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Default Extension="xml" ContentType="application/xml"/>
  <Override PartName="/xl/worksheets/sheet3.xml" ContentType="application/vnd.openxmlformats-officedocument.spreadsheetml.worksheet+xml"/>
  <Override PartName="/xl/worksheets/sheet89.xml" ContentType="application/vnd.openxmlformats-officedocument.spreadsheetml.worksheet+xml"/>
  <Override PartName="/xl/worksheets/sheet98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78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worksheets/sheet76.xml" ContentType="application/vnd.openxmlformats-officedocument.spreadsheetml.worksheet+xml"/>
  <Override PartName="/xl/worksheets/sheet8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65.xml" ContentType="application/vnd.openxmlformats-officedocument.spreadsheetml.worksheet+xml"/>
  <Override PartName="/xl/worksheets/sheet74.xml" ContentType="application/vnd.openxmlformats-officedocument.spreadsheetml.worksheet+xml"/>
  <Override PartName="/xl/worksheets/sheet83.xml" ContentType="application/vnd.openxmlformats-officedocument.spreadsheetml.worksheet+xml"/>
  <Override PartName="/xl/worksheets/sheet92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0.xml" ContentType="application/vnd.openxmlformats-officedocument.spreadsheetml.worksheet+xml"/>
  <Override PartName="/xl/worksheets/sheet100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99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1790" windowHeight="5430" firstSheet="102" activeTab="104"/>
  </bookViews>
  <sheets>
    <sheet name="Summer June 11-17" sheetId="3" r:id="rId1"/>
    <sheet name="Summer June 18-24 " sheetId="19" r:id="rId2"/>
    <sheet name="Summer 14-20" sheetId="36" r:id="rId3"/>
    <sheet name="Summer 21-27" sheetId="49" r:id="rId4"/>
    <sheet name="Summer 28-004" sheetId="55" r:id="rId5"/>
    <sheet name="Summer 05-11" sheetId="67" r:id="rId6"/>
    <sheet name="Summer 12-18" sheetId="80" r:id="rId7"/>
    <sheet name="3-77115" sheetId="98" r:id="rId8"/>
    <sheet name="3-77113" sheetId="102" r:id="rId9"/>
    <sheet name="3-77112" sheetId="95" r:id="rId10"/>
    <sheet name="3-84221" sheetId="93" r:id="rId11"/>
    <sheet name="3-47522" sheetId="1" r:id="rId12"/>
    <sheet name="3-51396" sheetId="2" r:id="rId13"/>
    <sheet name="3-51387" sheetId="4" r:id="rId14"/>
    <sheet name="3-51394" sheetId="103" r:id="rId15"/>
    <sheet name="3-51395" sheetId="5" r:id="rId16"/>
    <sheet name="3-83086" sheetId="6" r:id="rId17"/>
    <sheet name="3-61444" sheetId="85" r:id="rId18"/>
    <sheet name="3-61445" sheetId="7" r:id="rId19"/>
    <sheet name="3-70945" sheetId="8" r:id="rId20"/>
    <sheet name="3-47525" sheetId="9" r:id="rId21"/>
    <sheet name="3-75282" sheetId="11" r:id="rId22"/>
    <sheet name="3-65481" sheetId="87" r:id="rId23"/>
    <sheet name="3-65565" sheetId="86" r:id="rId24"/>
    <sheet name="3-49261" sheetId="88" r:id="rId25"/>
    <sheet name="3-49260" sheetId="12" r:id="rId26"/>
    <sheet name="3-A12170" sheetId="13" r:id="rId27"/>
    <sheet name="3-62224" sheetId="14" r:id="rId28"/>
    <sheet name="3-76107" sheetId="15" r:id="rId29"/>
    <sheet name="3-67899" sheetId="16" r:id="rId30"/>
    <sheet name="3-47530" sheetId="17" r:id="rId31"/>
    <sheet name="3-62219" sheetId="18" r:id="rId32"/>
    <sheet name="3-47527" sheetId="20" r:id="rId33"/>
    <sheet name="3-62220" sheetId="21" r:id="rId34"/>
    <sheet name="3-62221" sheetId="22" r:id="rId35"/>
    <sheet name="3-51390" sheetId="27" r:id="rId36"/>
    <sheet name="3-67900" sheetId="23" r:id="rId37"/>
    <sheet name="3-37093" sheetId="24" r:id="rId38"/>
    <sheet name="3-51392" sheetId="25" r:id="rId39"/>
    <sheet name="3-62223" sheetId="26" r:id="rId40"/>
    <sheet name="3-47528" sheetId="28" r:id="rId41"/>
    <sheet name="3-51391" sheetId="29" r:id="rId42"/>
    <sheet name="3-62222" sheetId="30" r:id="rId43"/>
    <sheet name="3-A10313" sheetId="31" r:id="rId44"/>
    <sheet name="3-44998" sheetId="91" r:id="rId45"/>
    <sheet name="3-47521" sheetId="90" r:id="rId46"/>
    <sheet name="3-47523" sheetId="92" r:id="rId47"/>
    <sheet name="3-47524" sheetId="32" r:id="rId48"/>
    <sheet name="3- 47516 1" sheetId="94" r:id="rId49"/>
    <sheet name="3-51388" sheetId="33" r:id="rId50"/>
    <sheet name="3-51389" sheetId="10" r:id="rId51"/>
    <sheet name="3-A16100" sheetId="34" r:id="rId52"/>
    <sheet name="3-47516" sheetId="35" r:id="rId53"/>
    <sheet name="3-37154" sheetId="37" r:id="rId54"/>
    <sheet name="3-49252" sheetId="38" r:id="rId55"/>
    <sheet name="01" sheetId="97" r:id="rId56"/>
    <sheet name="3-51393" sheetId="39" r:id="rId57"/>
    <sheet name="3-56942" sheetId="105" r:id="rId58"/>
    <sheet name="3-56943" sheetId="40" r:id="rId59"/>
    <sheet name="3-10099" sheetId="41" r:id="rId60"/>
    <sheet name="3-83085" sheetId="42" r:id="rId61"/>
    <sheet name="3-65615" sheetId="43" r:id="rId62"/>
    <sheet name="3-70929" sheetId="44" r:id="rId63"/>
    <sheet name="3-97707" sheetId="45" r:id="rId64"/>
    <sheet name="3-81355" sheetId="46" r:id="rId65"/>
    <sheet name="3-78327" sheetId="47" r:id="rId66"/>
    <sheet name="3-76269" sheetId="48" r:id="rId67"/>
    <sheet name="3-37092" sheetId="89" r:id="rId68"/>
    <sheet name="3-37094" sheetId="50" r:id="rId69"/>
    <sheet name="3-63785" sheetId="51" r:id="rId70"/>
    <sheet name="3-76263" sheetId="52" r:id="rId71"/>
    <sheet name="3-97703" sheetId="53" r:id="rId72"/>
    <sheet name="3-A00134" sheetId="54" r:id="rId73"/>
    <sheet name="3-75281" sheetId="56" r:id="rId74"/>
    <sheet name="3-A10315" sheetId="57" r:id="rId75"/>
    <sheet name="3-A12747" sheetId="58" r:id="rId76"/>
    <sheet name="3-49301" sheetId="66" r:id="rId77"/>
    <sheet name="3-76270" sheetId="60" r:id="rId78"/>
    <sheet name="3-A16404" sheetId="61" r:id="rId79"/>
    <sheet name="3-A16402" sheetId="62" r:id="rId80"/>
    <sheet name="3-A16048" sheetId="63" r:id="rId81"/>
    <sheet name="3-79629" sheetId="64" r:id="rId82"/>
    <sheet name="3-A16403" sheetId="65" r:id="rId83"/>
    <sheet name="3-A53248" sheetId="104" r:id="rId84"/>
    <sheet name="3-99741" sheetId="68" r:id="rId85"/>
    <sheet name="3-A16031" sheetId="69" r:id="rId86"/>
    <sheet name="3-83087" sheetId="70" r:id="rId87"/>
    <sheet name="3-A16030" sheetId="71" r:id="rId88"/>
    <sheet name="3-47529" sheetId="72" r:id="rId89"/>
    <sheet name="3-A23293" sheetId="77" r:id="rId90"/>
    <sheet name="3-A16401" sheetId="73" r:id="rId91"/>
    <sheet name="3-A16049" sheetId="74" r:id="rId92"/>
    <sheet name="3-80302" sheetId="75" r:id="rId93"/>
    <sheet name="3-99625" sheetId="78" r:id="rId94"/>
    <sheet name="3-A45132" sheetId="100" r:id="rId95"/>
    <sheet name="3-A12748" sheetId="79" r:id="rId96"/>
    <sheet name="3-98307" sheetId="81" r:id="rId97"/>
    <sheet name="3-70622(21233)" sheetId="82" r:id="rId98"/>
    <sheet name="With Remark" sheetId="83" r:id="rId99"/>
    <sheet name="3-79629 (2)" sheetId="76" r:id="rId100"/>
    <sheet name="Format" sheetId="84" r:id="rId101"/>
    <sheet name="0" sheetId="99" r:id="rId102"/>
    <sheet name="Summer " sheetId="106" r:id="rId103"/>
    <sheet name="Sheet1" sheetId="107" r:id="rId104"/>
    <sheet name="Sheet2" sheetId="108" r:id="rId105"/>
  </sheets>
  <externalReferences>
    <externalReference r:id="rId106"/>
  </externalReferences>
  <definedNames>
    <definedName name="_xlnm.Print_Area" localSheetId="55">'01'!$A$1:$P$22</definedName>
    <definedName name="_xlnm.Print_Area" localSheetId="48">'3- 47516 1'!$A$1:$P$21</definedName>
    <definedName name="_xlnm.Print_Area" localSheetId="59">'3-10099'!$A$1:$P$18</definedName>
    <definedName name="_xlnm.Print_Area" localSheetId="67">'3-37092'!$A$1:$P$17</definedName>
    <definedName name="_xlnm.Print_Area" localSheetId="68">'3-37094'!$A$1:$P$16</definedName>
    <definedName name="_xlnm.Print_Area" localSheetId="44">'3-44998'!$A$1:$P$17</definedName>
    <definedName name="_xlnm.Print_Area" localSheetId="45">'3-47521'!$A$1:$P$19</definedName>
    <definedName name="_xlnm.Print_Area" localSheetId="46">'3-47523'!$A$1:$P$23</definedName>
    <definedName name="_xlnm.Print_Area" localSheetId="47">'3-47524'!$A$1:$P$18</definedName>
    <definedName name="_xlnm.Print_Area" localSheetId="20">'3-47525'!$A$1:$P$15</definedName>
    <definedName name="_xlnm.Print_Area" localSheetId="32">'3-47527'!$A$1:$P$15</definedName>
    <definedName name="_xlnm.Print_Area" localSheetId="88">'3-47529'!$A$1:$P$19</definedName>
    <definedName name="_xlnm.Print_Area" localSheetId="30">'3-47530'!$A$1:$P$16</definedName>
    <definedName name="_xlnm.Print_Area" localSheetId="25">'3-49260'!$A$1:$P$16</definedName>
    <definedName name="_xlnm.Print_Area" localSheetId="24">'3-49261'!$A$1:$N$15</definedName>
    <definedName name="_xlnm.Print_Area" localSheetId="76">'3-49301'!$A$1:$P$18</definedName>
    <definedName name="_xlnm.Print_Area" localSheetId="49">'3-51388'!$A$1:$P$20</definedName>
    <definedName name="_xlnm.Print_Area" localSheetId="50">'3-51389'!$A$1:$P$22</definedName>
    <definedName name="_xlnm.Print_Area" localSheetId="38">'3-51392'!$A$1:$P$19</definedName>
    <definedName name="_xlnm.Print_Area" localSheetId="14">'3-51394'!$A$1:$P$15</definedName>
    <definedName name="_xlnm.Print_Area" localSheetId="15">'3-51395'!$A$1:$P$14</definedName>
    <definedName name="_xlnm.Print_Area" localSheetId="57">'3-56942'!$A$1:$P$24</definedName>
    <definedName name="_xlnm.Print_Area" localSheetId="58">'3-56943'!$A$1:$P$24</definedName>
    <definedName name="_xlnm.Print_Area" localSheetId="17">'3-61444'!$A$1:$O$34</definedName>
    <definedName name="_xlnm.Print_Area" localSheetId="31">'3-62219'!$A$1:$P$13</definedName>
    <definedName name="_xlnm.Print_Area" localSheetId="39">'3-62223'!$A$1:$P$18</definedName>
    <definedName name="_xlnm.Print_Area" localSheetId="22">'3-65481'!$A$1:$O$18</definedName>
    <definedName name="_xlnm.Print_Area" localSheetId="23">'3-65565'!$A$1:$P$18</definedName>
    <definedName name="_xlnm.Print_Area" localSheetId="36">'3-67900'!$A$1:$O$17</definedName>
    <definedName name="_xlnm.Print_Area" localSheetId="66">'3-76269'!$A$1:$P$17</definedName>
    <definedName name="_xlnm.Print_Area" localSheetId="65">'3-78327'!$A$1:$P$17</definedName>
    <definedName name="_xlnm.Print_Area" localSheetId="81">'3-79629'!$A$1:$P$17</definedName>
    <definedName name="_xlnm.Print_Area" localSheetId="64">'3-81355'!$A$1:$P$18</definedName>
    <definedName name="_xlnm.Print_Area" localSheetId="60">'3-83085'!$A$1:$P$18</definedName>
    <definedName name="_xlnm.Print_Area" localSheetId="16">'3-83086'!$A$1:$P$17</definedName>
    <definedName name="_xlnm.Print_Area" localSheetId="63">'3-97707'!$A$1:$P$18</definedName>
    <definedName name="_xlnm.Print_Area" localSheetId="74">'3-A10315'!$A$1:$P$18</definedName>
    <definedName name="_xlnm.Print_Area" localSheetId="75">'3-A12747'!$A$1:$N$18</definedName>
    <definedName name="_xlnm.Print_Area" localSheetId="91">'3-A16049'!$A$1:$P$17</definedName>
    <definedName name="_xlnm.Print_Area" localSheetId="90">'3-A16401'!$A$1:$P$17</definedName>
    <definedName name="_xlnm.Print_Area" localSheetId="79">'3-A16402'!$A$1:$P$18</definedName>
    <definedName name="_xlnm.Print_Area" localSheetId="82">'3-A16403'!$A$1:$P$17</definedName>
    <definedName name="_xlnm.Print_Area" localSheetId="89">'3-A23293'!$A$1:$P$17</definedName>
    <definedName name="_xlnm.Print_Area" localSheetId="102">'Summer '!$A$1:$P$38</definedName>
    <definedName name="_xlnm.Print_Area" localSheetId="5">'Summer 05-11'!$A$1:$N$158</definedName>
    <definedName name="_xlnm.Print_Area" localSheetId="6">'Summer 12-18'!$A$1:$N$161</definedName>
    <definedName name="_xlnm.Print_Area" localSheetId="2">'Summer 14-20'!$A$1:$N$106</definedName>
    <definedName name="_xlnm.Print_Area" localSheetId="3">'Summer 21-27'!$A$1:$N$102</definedName>
    <definedName name="_xlnm.Print_Area" localSheetId="4">'Summer 28-004'!$A$1:$N$105</definedName>
    <definedName name="_xlnm.Print_Area" localSheetId="1">'Summer June 18-24 '!$A$1:$N$197</definedName>
  </definedNames>
  <calcPr calcId="124519"/>
</workbook>
</file>

<file path=xl/calcChain.xml><?xml version="1.0" encoding="utf-8"?>
<calcChain xmlns="http://schemas.openxmlformats.org/spreadsheetml/2006/main">
  <c r="I13" i="66"/>
  <c r="I13" i="64"/>
  <c r="I13" i="41"/>
  <c r="I13" i="45" l="1"/>
  <c r="I13" i="44"/>
  <c r="I13" i="53" l="1"/>
  <c r="I13" i="57"/>
  <c r="I13" i="46" l="1"/>
  <c r="I14" i="6" l="1"/>
  <c r="I13" i="71"/>
  <c r="I13" i="78" l="1"/>
  <c r="I13" i="69" l="1"/>
  <c r="I13" i="58" l="1"/>
  <c r="I13" i="106" l="1"/>
  <c r="I13" i="54" l="1"/>
  <c r="I13" i="74"/>
  <c r="I13" i="63" l="1"/>
  <c r="I13" i="77"/>
  <c r="I13" i="65" l="1"/>
  <c r="I19" i="105"/>
  <c r="I13" i="52"/>
  <c r="I13" i="104" l="1"/>
  <c r="I13" i="70"/>
  <c r="I19" i="40" l="1"/>
  <c r="I13" i="62"/>
  <c r="I13" i="42"/>
  <c r="I14" i="98" l="1"/>
  <c r="I13" i="100"/>
  <c r="I13" i="31" l="1"/>
  <c r="I13" i="17"/>
  <c r="I14" i="102" l="1"/>
  <c r="I12" i="103" l="1"/>
  <c r="I14" i="25"/>
  <c r="I19" i="1"/>
  <c r="I13" i="48" l="1"/>
  <c r="I13" i="47"/>
  <c r="I10" i="20" l="1"/>
  <c r="I12" i="9" l="1"/>
  <c r="I11" i="5"/>
  <c r="I17" i="97"/>
  <c r="I13" i="60"/>
  <c r="I12" i="4"/>
  <c r="I12" i="50"/>
  <c r="X3"/>
  <c r="I14" i="95"/>
  <c r="I14" i="72"/>
  <c r="I15" i="33"/>
  <c r="I17" i="10"/>
  <c r="I13" i="32" l="1"/>
  <c r="I14" i="90" l="1"/>
  <c r="I13" i="82"/>
  <c r="I18" i="92" l="1"/>
  <c r="I13" i="91" l="1"/>
  <c r="I12" i="89"/>
  <c r="I11" i="88" l="1"/>
  <c r="I14" i="93"/>
  <c r="I8" i="18"/>
  <c r="I9" i="30"/>
  <c r="I13" i="87"/>
  <c r="I28" i="18" l="1"/>
  <c r="I13" i="86" l="1"/>
  <c r="I11" i="12" l="1"/>
  <c r="I13" i="26" l="1"/>
  <c r="G42" i="11" l="1"/>
  <c r="F16" i="15"/>
  <c r="I30" i="85" l="1"/>
  <c r="I12" i="22" l="1"/>
  <c r="I11" i="8"/>
  <c r="I9" i="16" l="1"/>
  <c r="H28" i="11"/>
  <c r="I13" i="23" l="1"/>
  <c r="K95" i="3" l="1"/>
  <c r="I90" s="1"/>
  <c r="I25"/>
  <c r="I155" i="80"/>
  <c r="I143"/>
  <c r="I131"/>
  <c r="I119"/>
  <c r="I107"/>
  <c r="I95"/>
  <c r="I84"/>
  <c r="I72"/>
  <c r="I60"/>
  <c r="I48"/>
  <c r="I36"/>
  <c r="I24"/>
  <c r="I13"/>
  <c r="I13" i="79"/>
  <c r="I13" i="75" l="1"/>
  <c r="I13" i="61"/>
  <c r="I153" i="67" l="1"/>
  <c r="I139"/>
  <c r="I127"/>
  <c r="I116"/>
  <c r="I105"/>
  <c r="I92"/>
  <c r="I81"/>
  <c r="I70"/>
  <c r="I59"/>
  <c r="I46"/>
  <c r="I35"/>
  <c r="I24"/>
  <c r="I13"/>
  <c r="I13" i="51" l="1"/>
  <c r="I13" i="56" l="1"/>
  <c r="I99" i="55" l="1"/>
  <c r="I89"/>
  <c r="I76"/>
  <c r="I65"/>
  <c r="I54"/>
  <c r="I43"/>
  <c r="I30"/>
  <c r="I19"/>
  <c r="I13" i="43" l="1"/>
  <c r="I97" i="49" l="1"/>
  <c r="I86"/>
  <c r="I75"/>
  <c r="I61"/>
  <c r="I51"/>
  <c r="I41"/>
  <c r="I25"/>
  <c r="I14"/>
  <c r="I13" i="39" l="1"/>
  <c r="I15" i="35" l="1"/>
  <c r="I13" i="34"/>
  <c r="I100" i="36"/>
  <c r="I12" i="28" l="1"/>
  <c r="I13" i="29"/>
  <c r="I86" i="36" l="1"/>
  <c r="I76"/>
  <c r="I66"/>
  <c r="I55"/>
  <c r="I45"/>
  <c r="I32"/>
  <c r="I21"/>
  <c r="I10"/>
  <c r="I13" i="27"/>
  <c r="I180" i="19" l="1"/>
  <c r="I167"/>
  <c r="I155"/>
  <c r="I138" l="1"/>
  <c r="I127"/>
  <c r="I114"/>
  <c r="I14" i="13" l="1"/>
  <c r="I71" i="19" l="1"/>
  <c r="I35"/>
  <c r="I105" l="1"/>
  <c r="I98"/>
  <c r="I86"/>
  <c r="I79"/>
  <c r="I60"/>
  <c r="I19"/>
  <c r="I10"/>
  <c r="I44" i="3" l="1"/>
  <c r="I72"/>
  <c r="I30" i="7" l="1"/>
  <c r="I11" i="2" l="1"/>
</calcChain>
</file>

<file path=xl/sharedStrings.xml><?xml version="1.0" encoding="utf-8"?>
<sst xmlns="http://schemas.openxmlformats.org/spreadsheetml/2006/main" count="5682" uniqueCount="1000">
  <si>
    <t>Aser Construction P.l.c</t>
  </si>
  <si>
    <t>Summer Maintenance Follow-up Sheet</t>
  </si>
  <si>
    <t>S/No.</t>
  </si>
  <si>
    <t>Equipment Type</t>
  </si>
  <si>
    <t>Plate No.</t>
  </si>
  <si>
    <t>Current Km Reading</t>
  </si>
  <si>
    <t xml:space="preserve"> Date In</t>
  </si>
  <si>
    <t xml:space="preserve"> Date Out</t>
  </si>
  <si>
    <t>Replaced Parts</t>
  </si>
  <si>
    <t>Part 
No.</t>
  </si>
  <si>
    <t>Qty.</t>
  </si>
  <si>
    <t>Changed Oil Type</t>
  </si>
  <si>
    <t>Qty/Lt.</t>
  </si>
  <si>
    <t>Serviced By</t>
  </si>
  <si>
    <t xml:space="preserve">For Next Summer Service Expected Spare Parts 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</si>
  <si>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</si>
  <si>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r>
      <rPr>
        <b/>
        <u/>
        <sz val="12"/>
        <color theme="1"/>
        <rFont val="Cambria"/>
        <family val="1"/>
        <scheme val="maj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</si>
  <si>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r>
      <t>Checked By ______</t>
    </r>
    <r>
      <rPr>
        <u/>
        <sz val="14"/>
        <color theme="1"/>
        <rFont val="Cambria"/>
        <family val="1"/>
        <scheme val="major"/>
      </rPr>
      <t>__     ___</t>
    </r>
    <r>
      <rPr>
        <sz val="14"/>
        <color theme="1"/>
        <rFont val="Cambria"/>
        <family val="1"/>
        <scheme val="major"/>
      </rPr>
      <t>__                                                                                                                                                Approved by _________________</t>
    </r>
  </si>
  <si>
    <r>
      <t xml:space="preserve">Signature _____________________                                                           </t>
    </r>
    <r>
      <rPr>
        <sz val="14"/>
        <color theme="1"/>
        <rFont val="Cambria"/>
        <family val="1"/>
        <scheme val="major"/>
      </rPr>
      <t xml:space="preserve">                                                                                Signature __________________</t>
    </r>
  </si>
  <si>
    <t>Daewoo</t>
  </si>
  <si>
    <t>3-47522</t>
  </si>
  <si>
    <t>3-51396</t>
  </si>
  <si>
    <t>3-51387</t>
  </si>
  <si>
    <r>
      <t>Serviced By ______</t>
    </r>
    <r>
      <rPr>
        <u/>
        <sz val="14"/>
        <color theme="1"/>
        <rFont val="Cambria"/>
        <family val="1"/>
        <scheme val="major"/>
      </rPr>
      <t>__     ___</t>
    </r>
    <r>
      <rPr>
        <sz val="14"/>
        <color theme="1"/>
        <rFont val="Cambria"/>
        <family val="1"/>
        <scheme val="major"/>
      </rPr>
      <t>__                                                                                                                                                Approved by _________________</t>
    </r>
  </si>
  <si>
    <t>3-51395</t>
  </si>
  <si>
    <t>Toyota</t>
  </si>
  <si>
    <t>3-83086</t>
  </si>
  <si>
    <t>Sino</t>
  </si>
  <si>
    <t>3-61445</t>
  </si>
  <si>
    <t>Cushion Rubber RHS</t>
  </si>
  <si>
    <t>Cushion Rubber LHS</t>
  </si>
  <si>
    <t>Center Bolt Rear</t>
  </si>
  <si>
    <t>80w90</t>
  </si>
  <si>
    <t>85w140</t>
  </si>
  <si>
    <r>
      <t>Gearse Ep</t>
    </r>
    <r>
      <rPr>
        <vertAlign val="subscript"/>
        <sz val="11"/>
        <color theme="1"/>
        <rFont val="Cambria"/>
        <family val="1"/>
        <scheme val="major"/>
      </rPr>
      <t>3</t>
    </r>
  </si>
  <si>
    <t>Getnet</t>
  </si>
  <si>
    <t>Fikadu</t>
  </si>
  <si>
    <t>Yirgalem</t>
  </si>
  <si>
    <t>10W</t>
  </si>
  <si>
    <r>
      <rPr>
        <b/>
        <sz val="14"/>
        <color theme="1"/>
        <rFont val="Cambria"/>
        <family val="1"/>
        <scheme val="major"/>
      </rPr>
      <t>Other Replaced Parts &amp; Work To Be Done:-</t>
    </r>
    <r>
      <rPr>
        <b/>
        <sz val="11"/>
        <color theme="1"/>
        <rFont val="Cambria"/>
        <family val="1"/>
        <scheme val="major"/>
      </rPr>
      <t xml:space="preserve">  </t>
    </r>
    <r>
      <rPr>
        <b/>
        <u/>
        <sz val="11"/>
        <color theme="1"/>
        <rFont val="Cambria"/>
        <family val="1"/>
        <scheme val="major"/>
      </rPr>
      <t>King Pin Welded &amp; Refaced.</t>
    </r>
  </si>
  <si>
    <t>Pad Spring</t>
  </si>
  <si>
    <t>RR Brake Lining  203</t>
  </si>
  <si>
    <t>FR Brake Lining CAM</t>
  </si>
  <si>
    <t>Bineyam</t>
  </si>
  <si>
    <t>Zelek</t>
  </si>
  <si>
    <t>FR Brake Lining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</si>
  <si>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 xml:space="preserve">:- </t>
    </r>
    <r>
      <rPr>
        <b/>
        <u/>
        <sz val="12"/>
        <color theme="1"/>
        <rFont val="Cambria"/>
        <family val="1"/>
        <scheme val="major"/>
      </rPr>
      <t xml:space="preserve">Used Cushion Rubber Replaced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</si>
  <si>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FR &amp; RR Brake Lining</t>
  </si>
  <si>
    <t>Total Spare Part, Oil  &amp; Lubricant Cost</t>
  </si>
  <si>
    <t>Dagnachew</t>
  </si>
  <si>
    <t>Mixer</t>
  </si>
  <si>
    <t>3-70945</t>
  </si>
  <si>
    <t>25855/3105</t>
  </si>
  <si>
    <t>3-47525</t>
  </si>
  <si>
    <t>3-51389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</si>
  <si>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Transmission Flange Seal Leakage Repaired.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</si>
  <si>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Abel</t>
  </si>
  <si>
    <t>Germachew</t>
  </si>
  <si>
    <t>Zeleke</t>
  </si>
  <si>
    <t xml:space="preserve">Prepared ፡-______________________         </t>
  </si>
  <si>
    <t>Checked :-_____________________</t>
  </si>
  <si>
    <t>Apprroved by :-__________________</t>
  </si>
  <si>
    <t>RR Both Side Brake Lining RR. 203</t>
  </si>
  <si>
    <t>RR LHS 2nd Axle Bearing Hub Outer</t>
  </si>
  <si>
    <t>RR LHS 2nd Axle Cup Bearing Hub Outer</t>
  </si>
  <si>
    <t>Upper Torque Rod Bushing</t>
  </si>
  <si>
    <t>No</t>
  </si>
  <si>
    <t>Alternator Carbon Brush</t>
  </si>
  <si>
    <r>
      <t>RR LHS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 Bolt Pad </t>
    </r>
  </si>
  <si>
    <t>RR LHS 1st Axle Nut</t>
  </si>
  <si>
    <t>FR RHS Outer Bearing Hub Outer</t>
  </si>
  <si>
    <t>FR RHS Outer Bearing Con Outer</t>
  </si>
  <si>
    <t>FR LHS Inner Cup Hub Bearing</t>
  </si>
  <si>
    <t>FR LHS Inner Con Hub Bearing</t>
  </si>
  <si>
    <r>
      <t>RR LHS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 Outer Bearing Hub</t>
    </r>
  </si>
  <si>
    <r>
      <t>RR LHS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 Outer Cup Bearing Hub</t>
    </r>
  </si>
  <si>
    <t>Engine Shout Off Cable</t>
  </si>
  <si>
    <r>
      <t>RR LHS 1</t>
    </r>
    <r>
      <rPr>
        <vertAlign val="superscript"/>
        <sz val="11"/>
        <color theme="1"/>
        <rFont val="Cambria"/>
        <family val="1"/>
        <scheme val="major"/>
      </rPr>
      <t xml:space="preserve">st </t>
    </r>
    <r>
      <rPr>
        <sz val="11"/>
        <color theme="1"/>
        <rFont val="Cambria"/>
        <family val="1"/>
        <scheme val="major"/>
      </rPr>
      <t>Axle Inner Seal Oil</t>
    </r>
  </si>
  <si>
    <t>FR LHS Hub Oil Seal</t>
  </si>
  <si>
    <t>RR RHS Pad Spring</t>
  </si>
  <si>
    <t>Contact Seat</t>
  </si>
  <si>
    <t>3-75282</t>
  </si>
  <si>
    <t>23561/3145</t>
  </si>
  <si>
    <t>0064205320</t>
  </si>
  <si>
    <t>Stop &amp; Turn Light Lamp</t>
  </si>
  <si>
    <r>
      <t>Brake Pad except RR LHS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</t>
    </r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</si>
  <si>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 Drum Turning Cable Grease Nipple Repaired.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</si>
  <si>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Getenet</t>
  </si>
  <si>
    <t>Sino W/T</t>
  </si>
  <si>
    <t>3-49260</t>
  </si>
  <si>
    <t>3-A12170</t>
  </si>
  <si>
    <t>3-62224</t>
  </si>
  <si>
    <t>60691/6746</t>
  </si>
  <si>
    <t>3-76107</t>
  </si>
  <si>
    <t>24140/3106</t>
  </si>
  <si>
    <t>3-67899</t>
  </si>
  <si>
    <t>32917/2930</t>
  </si>
  <si>
    <t>3-47530</t>
  </si>
  <si>
    <t>FR Both Side Axle Bearing</t>
  </si>
  <si>
    <t>90080-37030</t>
  </si>
  <si>
    <t>Seal Oil</t>
  </si>
  <si>
    <t>FR LHS Link Assy Stablizer</t>
  </si>
  <si>
    <t>48810-OK010</t>
  </si>
  <si>
    <t>90316-T0002</t>
  </si>
  <si>
    <t>90312-T0001</t>
  </si>
  <si>
    <t>Cylinder Kit  Brake Master</t>
  </si>
  <si>
    <t>04493OK010</t>
  </si>
  <si>
    <t>Bolt Hub</t>
  </si>
  <si>
    <t>Wheel Bolt Nut</t>
  </si>
  <si>
    <t>90942-02652</t>
  </si>
  <si>
    <t>Rubber Mounting</t>
  </si>
  <si>
    <t>A0003238185</t>
  </si>
  <si>
    <t>C.Pump</t>
  </si>
  <si>
    <t>3-62219</t>
  </si>
  <si>
    <t>Gear Box PTO Flange Seal</t>
  </si>
  <si>
    <t xml:space="preserve">High Pressure Washer </t>
  </si>
  <si>
    <t>125BAR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</si>
  <si>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.Pumping Line Alignment Repaired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</si>
  <si>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Summer Maintenance Follow-up Sheet As Of 07-11-2009-----13-11-2009 E.C OR 14-07-2017----20-07-2017</t>
  </si>
  <si>
    <t>Henoke</t>
  </si>
  <si>
    <t xml:space="preserve">Abel </t>
  </si>
  <si>
    <t>Dejene</t>
  </si>
  <si>
    <t>Grmachew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</si>
  <si>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.LHS Door Inner Handle Modified &amp; Radiator Coolant Added.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</si>
  <si>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.Cabin Shock Absorber &amp; Streering System Checked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</si>
  <si>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.Driver Seat Repaired By Welding.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</si>
  <si>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 xml:space="preserve">Henoke </t>
  </si>
  <si>
    <t>3-47527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</si>
  <si>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</si>
  <si>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RR Both Side Brake Lining</t>
  </si>
  <si>
    <t>FR Both Side Brake Lining</t>
  </si>
  <si>
    <t xml:space="preserve">FR Brake Lining Need After 6 Month </t>
  </si>
  <si>
    <t>Wipper Blade Hose</t>
  </si>
  <si>
    <t>FR Both Side Inner &amp; Outer Bearing</t>
  </si>
  <si>
    <t>FR Both Side Grease Seal</t>
  </si>
  <si>
    <r>
      <t>RR RHS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 Outer Bearing</t>
    </r>
  </si>
  <si>
    <r>
      <t>RR LHS 2</t>
    </r>
    <r>
      <rPr>
        <vertAlign val="superscript"/>
        <sz val="11"/>
        <color theme="1"/>
        <rFont val="Cambria"/>
        <family val="1"/>
        <scheme val="major"/>
      </rPr>
      <t>nd</t>
    </r>
    <r>
      <rPr>
        <sz val="11"/>
        <color theme="1"/>
        <rFont val="Cambria"/>
        <family val="1"/>
        <scheme val="major"/>
      </rPr>
      <t xml:space="preserve"> Axle Outer Bearing</t>
    </r>
  </si>
  <si>
    <r>
      <t>RR LHS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 Inner &amp; Outer Bearing</t>
    </r>
  </si>
  <si>
    <t>3-62220</t>
  </si>
  <si>
    <t>60288/6558</t>
  </si>
  <si>
    <t>3-62221</t>
  </si>
  <si>
    <t>62223/6743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</si>
  <si>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.RHS Door Lock Repaired By Welding.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</si>
  <si>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Henok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</si>
  <si>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.RR LHS Stablizer Bush Checked.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</si>
  <si>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3-67900</t>
  </si>
  <si>
    <t>Washer Claw</t>
  </si>
  <si>
    <t>90214-42030</t>
  </si>
  <si>
    <t xml:space="preserve">Washer </t>
  </si>
  <si>
    <t>Nut FR Wheel Axle Bearing</t>
  </si>
  <si>
    <t>Gasket Spindle</t>
  </si>
  <si>
    <t>Bushing</t>
  </si>
  <si>
    <t>Seal Sub Assy</t>
  </si>
  <si>
    <t>Pad Kit</t>
  </si>
  <si>
    <t>90215-42025</t>
  </si>
  <si>
    <t>43521-60015</t>
  </si>
  <si>
    <t>43435-60020</t>
  </si>
  <si>
    <t>90385-19003</t>
  </si>
  <si>
    <t>43204-60032</t>
  </si>
  <si>
    <t>04465-ok020</t>
  </si>
  <si>
    <t>Berehanu</t>
  </si>
  <si>
    <t>Hagmas</t>
  </si>
  <si>
    <t>FR Brake Pad</t>
  </si>
  <si>
    <t>0064205220</t>
  </si>
  <si>
    <t>RR Brake Pad</t>
  </si>
  <si>
    <t>Air Cleaner Flexible Hose</t>
  </si>
  <si>
    <t>Nissan UD</t>
  </si>
  <si>
    <t>3-37093</t>
  </si>
  <si>
    <t>RR RHS 2nd Axle  Inner &amp; Outer Bearing</t>
  </si>
  <si>
    <t>3-51392</t>
  </si>
  <si>
    <t>3-62223</t>
  </si>
  <si>
    <t>63152/6281</t>
  </si>
  <si>
    <t>Seal Oil Inner</t>
  </si>
  <si>
    <t>Bearing Hub Inner</t>
  </si>
  <si>
    <t>Cup Bearing Hub Inner</t>
  </si>
  <si>
    <t>Rubber Bush</t>
  </si>
  <si>
    <t xml:space="preserve">Crank Shaft Seal Oil </t>
  </si>
  <si>
    <t>65.01510-0157</t>
  </si>
  <si>
    <r>
      <t>RR RHS 2</t>
    </r>
    <r>
      <rPr>
        <vertAlign val="superscript"/>
        <sz val="11"/>
        <color theme="1"/>
        <rFont val="Cambria"/>
        <family val="1"/>
        <scheme val="major"/>
      </rPr>
      <t>nd</t>
    </r>
    <r>
      <rPr>
        <sz val="11"/>
        <color theme="1"/>
        <rFont val="Cambria"/>
        <family val="1"/>
        <scheme val="major"/>
      </rPr>
      <t xml:space="preserve"> Axle Inner Bearing &amp; Cup Hub Bearing</t>
    </r>
  </si>
  <si>
    <r>
      <t>RR RHS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 Inner Bearing &amp; Cup Hub Bearing</t>
    </r>
  </si>
  <si>
    <r>
      <t>RR LHS 2</t>
    </r>
    <r>
      <rPr>
        <vertAlign val="superscript"/>
        <sz val="11"/>
        <color theme="1"/>
        <rFont val="Cambria"/>
        <family val="1"/>
        <scheme val="major"/>
      </rPr>
      <t>nd</t>
    </r>
    <r>
      <rPr>
        <sz val="11"/>
        <color theme="1"/>
        <rFont val="Cambria"/>
        <family val="1"/>
        <scheme val="major"/>
      </rPr>
      <t xml:space="preserve"> Axle Inner Bearing &amp; Cup Hub Bearing</t>
    </r>
  </si>
  <si>
    <r>
      <t>RR RHS 2</t>
    </r>
    <r>
      <rPr>
        <vertAlign val="superscript"/>
        <sz val="11"/>
        <color theme="1"/>
        <rFont val="Cambria"/>
        <family val="1"/>
        <scheme val="major"/>
      </rPr>
      <t>nd</t>
    </r>
    <r>
      <rPr>
        <sz val="11"/>
        <color theme="1"/>
        <rFont val="Cambria"/>
        <family val="1"/>
        <scheme val="major"/>
      </rPr>
      <t xml:space="preserve"> Axle Outer Bearing &amp; Cup Hub Bearing</t>
    </r>
  </si>
  <si>
    <t>3-51390</t>
  </si>
  <si>
    <t>3374500160 &amp; 3374500150</t>
  </si>
  <si>
    <t>3374500140 &amp; 3374500130</t>
  </si>
  <si>
    <t>FR RHS Outer Cup Hub Bearing &amp; Outer Cone Hub Bearing</t>
  </si>
  <si>
    <t>3387100240 &amp; 3387100250</t>
  </si>
  <si>
    <t>Cushion Rubber RH</t>
  </si>
  <si>
    <t>Cushion Rubber LH</t>
  </si>
  <si>
    <t>Buzzle A. Back Up</t>
  </si>
  <si>
    <t>Wipper Blade</t>
  </si>
  <si>
    <t>Center Bolt</t>
  </si>
  <si>
    <r>
      <t>Prepared By ______</t>
    </r>
    <r>
      <rPr>
        <u/>
        <sz val="14"/>
        <color theme="1"/>
        <rFont val="Cambria"/>
        <family val="1"/>
        <scheme val="major"/>
      </rPr>
      <t>__     ___</t>
    </r>
    <r>
      <rPr>
        <sz val="14"/>
        <color theme="1"/>
        <rFont val="Cambria"/>
        <family val="1"/>
        <scheme val="major"/>
      </rPr>
      <t>__                                                                                                                                                Approved by _________________</t>
    </r>
  </si>
  <si>
    <t>Reta</t>
  </si>
  <si>
    <t>Shock Absorber</t>
  </si>
  <si>
    <t>Buzzle A.Back Up</t>
  </si>
  <si>
    <t>3-51391</t>
  </si>
  <si>
    <t>3-47528</t>
  </si>
  <si>
    <t>3-62222</t>
  </si>
  <si>
    <t>Current Km &amp; Hr Reading</t>
  </si>
  <si>
    <t>60496/6719</t>
  </si>
  <si>
    <t>Defac</t>
  </si>
  <si>
    <t>3-A10313</t>
  </si>
  <si>
    <t>Wheel Bolt Kit RR RHS</t>
  </si>
  <si>
    <t>43211-NA18J</t>
  </si>
  <si>
    <t>Hub Bolt Kit RR</t>
  </si>
  <si>
    <t>43211-NA09A</t>
  </si>
  <si>
    <t>Wheel Bolt Kit RR LHS</t>
  </si>
  <si>
    <t>43210-NA18J</t>
  </si>
  <si>
    <t>Alternator Belt</t>
  </si>
  <si>
    <t>Fan Belt</t>
  </si>
  <si>
    <t xml:space="preserve">3454105020 &amp; 3454105010 </t>
  </si>
  <si>
    <t>Shock Absorber Assmbly</t>
  </si>
  <si>
    <t>Upper &amp; Lower Torque Rod Bushing</t>
  </si>
  <si>
    <t>3-47524</t>
  </si>
  <si>
    <t>3-51388</t>
  </si>
  <si>
    <t>FR RHS Outer Con Bearing</t>
  </si>
  <si>
    <t>FR RHS Oil Seal</t>
  </si>
  <si>
    <t>RR RHS 2nd Axle Inner Oil Seal</t>
  </si>
  <si>
    <t>Buzzle A-Back Up</t>
  </si>
  <si>
    <t xml:space="preserve">FR &amp; RR Brake Lining </t>
  </si>
  <si>
    <r>
      <t>Pad Spring RHS 2</t>
    </r>
    <r>
      <rPr>
        <vertAlign val="superscript"/>
        <sz val="11"/>
        <color theme="1"/>
        <rFont val="Cambria"/>
        <family val="1"/>
        <scheme val="major"/>
      </rPr>
      <t>nd</t>
    </r>
    <r>
      <rPr>
        <sz val="11"/>
        <color theme="1"/>
        <rFont val="Cambria"/>
        <family val="1"/>
        <scheme val="major"/>
      </rPr>
      <t xml:space="preserve"> Axle </t>
    </r>
  </si>
  <si>
    <t>FR LHS King Pin</t>
  </si>
  <si>
    <t>FR LHS King Pin Bushing</t>
  </si>
  <si>
    <t>RR RHS 2nd Axle  Outer &amp; Inner Bearing</t>
  </si>
  <si>
    <t>3-A16100</t>
  </si>
  <si>
    <t>Toyota Pick Up</t>
  </si>
  <si>
    <r>
      <t>RR RHS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 Pad Spring</t>
    </r>
  </si>
  <si>
    <r>
      <t>RR Both Side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Axle Wheel Nut M22*1.5</t>
    </r>
  </si>
  <si>
    <r>
      <t>RR RHS 1</t>
    </r>
    <r>
      <rPr>
        <vertAlign val="superscript"/>
        <sz val="11"/>
        <color theme="1"/>
        <rFont val="Cambria"/>
        <family val="1"/>
        <scheme val="major"/>
      </rPr>
      <t>st</t>
    </r>
    <r>
      <rPr>
        <sz val="11"/>
        <color theme="1"/>
        <rFont val="Cambria"/>
        <family val="1"/>
        <scheme val="major"/>
      </rPr>
      <t xml:space="preserve"> Stud Bolt</t>
    </r>
  </si>
  <si>
    <t>Mud Flap RR</t>
  </si>
  <si>
    <t>Getent</t>
  </si>
  <si>
    <t>Exhaust Flexible Hose</t>
  </si>
  <si>
    <t>RR Brake Lining</t>
  </si>
  <si>
    <t>RR RHS Center Bolt</t>
  </si>
  <si>
    <t>Air Horn</t>
  </si>
  <si>
    <t>Wheel Nut m-22*1.5</t>
  </si>
  <si>
    <t>Nissan</t>
  </si>
  <si>
    <t>3-47516</t>
  </si>
  <si>
    <t>3-37154</t>
  </si>
  <si>
    <t>3-49252</t>
  </si>
  <si>
    <t>RR RHS Middle Axle Brake Lining</t>
  </si>
  <si>
    <t>Rubber Bushing</t>
  </si>
  <si>
    <t>RR Mud Flap</t>
  </si>
  <si>
    <t>3454105010 &amp; 3454105020</t>
  </si>
  <si>
    <t xml:space="preserve">Bineyam </t>
  </si>
  <si>
    <t>FR Shock Absorber</t>
  </si>
  <si>
    <t>Cushine Rubber RHS &amp; LHS</t>
  </si>
  <si>
    <r>
      <t>RR Brake Lining Ecept RHS 2</t>
    </r>
    <r>
      <rPr>
        <vertAlign val="superscript"/>
        <sz val="11"/>
        <color theme="1"/>
        <rFont val="Cambria"/>
        <family val="1"/>
        <scheme val="major"/>
      </rPr>
      <t>nd</t>
    </r>
    <r>
      <rPr>
        <sz val="11"/>
        <color theme="1"/>
        <rFont val="Cambria"/>
        <family val="1"/>
        <scheme val="major"/>
      </rPr>
      <t xml:space="preserve"> Axle</t>
    </r>
  </si>
  <si>
    <t>FR LHS Outer Bearing</t>
  </si>
  <si>
    <t>FR LHS Inner Bearing</t>
  </si>
  <si>
    <t>04465-YZZF6</t>
  </si>
  <si>
    <t>Washer</t>
  </si>
  <si>
    <t>962158-42025</t>
  </si>
  <si>
    <t>Hand Brake Cable</t>
  </si>
  <si>
    <t xml:space="preserve">Bearing Hub Inner RR RHS </t>
  </si>
  <si>
    <t xml:space="preserve">Cup Bearing Hub Inner RR RHS </t>
  </si>
  <si>
    <t>FR Hub Bearing Outer Cup &amp; Con</t>
  </si>
  <si>
    <t>FR Hub Bearing Inner Cup &amp; Con</t>
  </si>
  <si>
    <t>3387100490 &amp; 3387100500</t>
  </si>
  <si>
    <t>FR RHS Hub Oil Seal</t>
  </si>
  <si>
    <t>Wheel Nut m22*1.5</t>
  </si>
  <si>
    <t>Stud Bolt RR</t>
  </si>
  <si>
    <t>Back Let Cover</t>
  </si>
  <si>
    <t>3-51393</t>
  </si>
  <si>
    <t>3-56943</t>
  </si>
  <si>
    <t>43219-NA185</t>
  </si>
  <si>
    <t>43216-NA185</t>
  </si>
  <si>
    <t>Gear Box Upper Support=2 Pcs</t>
  </si>
  <si>
    <t>Cushine Rubber LHS With Support</t>
  </si>
  <si>
    <t>Valve Cover Gasket=6 Pcs</t>
  </si>
  <si>
    <t>Isuzu</t>
  </si>
  <si>
    <t>3-A10099</t>
  </si>
  <si>
    <t>3-83085</t>
  </si>
  <si>
    <t>Asphalt/D</t>
  </si>
  <si>
    <t>3-65615</t>
  </si>
  <si>
    <t>Bulk Truck</t>
  </si>
  <si>
    <t>3-97707</t>
  </si>
  <si>
    <t>RR Stud Bolt RR</t>
  </si>
  <si>
    <t>3-81355</t>
  </si>
  <si>
    <t>Isuzu Fuel Truck</t>
  </si>
  <si>
    <t>Front Brake Pad</t>
  </si>
  <si>
    <t xml:space="preserve">M/Crane </t>
  </si>
  <si>
    <t>3-78327</t>
  </si>
  <si>
    <t>04465-ok340</t>
  </si>
  <si>
    <t xml:space="preserve">FR Brake Lining </t>
  </si>
  <si>
    <t>Rear Brake Lining</t>
  </si>
  <si>
    <t>Local</t>
  </si>
  <si>
    <r>
      <t>RR RHS 2</t>
    </r>
    <r>
      <rPr>
        <vertAlign val="superscript"/>
        <sz val="11"/>
        <color theme="1"/>
        <rFont val="Cambria"/>
        <family val="1"/>
        <scheme val="major"/>
      </rPr>
      <t>nd</t>
    </r>
    <r>
      <rPr>
        <sz val="11"/>
        <color theme="1"/>
        <rFont val="Cambria"/>
        <family val="1"/>
        <scheme val="major"/>
      </rPr>
      <t xml:space="preserve"> Axle Drum</t>
    </r>
  </si>
  <si>
    <t>FR Both Side Oil Seal Hub</t>
  </si>
  <si>
    <t>Buzzle A-Buck Up</t>
  </si>
  <si>
    <t>RR Mud Flap Guard</t>
  </si>
  <si>
    <t xml:space="preserve">Getent </t>
  </si>
  <si>
    <t>Girmachew</t>
  </si>
  <si>
    <t>H/Crane</t>
  </si>
  <si>
    <t>3-76269</t>
  </si>
  <si>
    <t>Summer Maintenance Follow-up Sheet As Of 21-11-2009-----27-11-2009 E.C OR 28-07-2017----03-08-2017</t>
  </si>
  <si>
    <t>PTO Gear Seal</t>
  </si>
  <si>
    <t>Gear Shifting Lever Boots</t>
  </si>
  <si>
    <t>Ayalew</t>
  </si>
  <si>
    <t>RR LHS Grease Seal</t>
  </si>
  <si>
    <t>Slack Adjuster Spring</t>
  </si>
  <si>
    <t>RR Brake Shoe</t>
  </si>
  <si>
    <t>Tail Lamp</t>
  </si>
  <si>
    <t>Return Spring Kit</t>
  </si>
  <si>
    <t>0000002992123</t>
  </si>
  <si>
    <t>0000042537727</t>
  </si>
  <si>
    <t>0000042536192</t>
  </si>
  <si>
    <t>RR &amp; FR Brake Lining</t>
  </si>
  <si>
    <t>3-37094</t>
  </si>
  <si>
    <t>3-63785</t>
  </si>
  <si>
    <t>3-70929</t>
  </si>
  <si>
    <t>FR &amp; RR Both Side Outer &amp; Inner Bearing</t>
  </si>
  <si>
    <t>3-76263</t>
  </si>
  <si>
    <t>Torque Rod Bushing Upper</t>
  </si>
  <si>
    <t>Wheel Bolt Nut Front 2 Pcs</t>
  </si>
  <si>
    <t>Leaf Spring Contact Seat</t>
  </si>
  <si>
    <t>FR &amp; RR Inner Bearing</t>
  </si>
  <si>
    <t>FR &amp; RR Outer Bearing</t>
  </si>
  <si>
    <t>Bearing Tapered</t>
  </si>
  <si>
    <t>90368-49084</t>
  </si>
  <si>
    <t>90368-45087</t>
  </si>
  <si>
    <t>90366-20003</t>
  </si>
  <si>
    <t>90311-62001</t>
  </si>
  <si>
    <t>90311-62002</t>
  </si>
  <si>
    <t>Hub Seal</t>
  </si>
  <si>
    <t>90310-36003</t>
  </si>
  <si>
    <t>seal Sub Assy</t>
  </si>
  <si>
    <t>Seal Tubes</t>
  </si>
  <si>
    <t>90310-35010</t>
  </si>
  <si>
    <t>Pilot Bearing</t>
  </si>
  <si>
    <t>90363-12010</t>
  </si>
  <si>
    <t>Bush</t>
  </si>
  <si>
    <t>90385-18022</t>
  </si>
  <si>
    <t>Pad Kit, Disc Brake</t>
  </si>
  <si>
    <t>04465-60340</t>
  </si>
  <si>
    <t>Clutch Disc</t>
  </si>
  <si>
    <t>31250-60223</t>
  </si>
  <si>
    <t>3-97703</t>
  </si>
  <si>
    <t>3-A00134</t>
  </si>
  <si>
    <t>Summer Maintenance Follow-up Sheet As Of 28-11-2009-----04-12-2009 E.C OR 04-08-2017----10-08-2017</t>
  </si>
  <si>
    <t>Pick Up</t>
  </si>
  <si>
    <t>FSR</t>
  </si>
  <si>
    <t>3-75281</t>
  </si>
  <si>
    <t>3-A10315</t>
  </si>
  <si>
    <t>Shoe Kit Brake Rear</t>
  </si>
  <si>
    <t>04495-ok120</t>
  </si>
  <si>
    <t>Nut Hub</t>
  </si>
  <si>
    <t>90942-01101</t>
  </si>
  <si>
    <t xml:space="preserve">Trailer Brake Lining Replaced By Local Lining </t>
  </si>
  <si>
    <t>Trailer RR RHS 3rd Axle Inner Bearing Part No. KHM218248</t>
  </si>
  <si>
    <t xml:space="preserve">RR Hub Grease Seal </t>
  </si>
  <si>
    <t>Front Both Side Outer Bearing</t>
  </si>
  <si>
    <t>3-A12747</t>
  </si>
  <si>
    <t>Front LHS Outer Bearing</t>
  </si>
  <si>
    <t xml:space="preserve">All Tyre Rim </t>
  </si>
  <si>
    <t>Wheel Bolt LHS</t>
  </si>
  <si>
    <t>Wheel Bolt RHS</t>
  </si>
  <si>
    <t xml:space="preserve">Rear Brake Drum </t>
  </si>
  <si>
    <t>Mazda Pick Up</t>
  </si>
  <si>
    <t>3-A22782</t>
  </si>
  <si>
    <t>Timing Belt</t>
  </si>
  <si>
    <t>Wheel Nut</t>
  </si>
  <si>
    <t>Bush Leaf Spring</t>
  </si>
  <si>
    <t>90385-J0010</t>
  </si>
  <si>
    <t>3-A16404</t>
  </si>
  <si>
    <t>3-A16402</t>
  </si>
  <si>
    <t>3-A16048</t>
  </si>
  <si>
    <t>Nissan Pick Up</t>
  </si>
  <si>
    <t>3-76270</t>
  </si>
  <si>
    <t>3-A16403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</si>
  <si>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 Gear Box &amp; Differential Oil, Brake Pad &amp; Shoe &amp; All Electric System Checked.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</si>
  <si>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 xml:space="preserve">RR Brake Shoe 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</si>
  <si>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 Gear Box &amp; Differential Oil, Brake Pad  &amp; All Electric System Checked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</si>
  <si>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Tata Pick Up</t>
  </si>
  <si>
    <t>3-49301</t>
  </si>
  <si>
    <t>Binyam</t>
  </si>
  <si>
    <t>3-79629</t>
  </si>
  <si>
    <t>RR Spider Kit=02 Pcs</t>
  </si>
  <si>
    <t>Brake Wheel Cylinder Kit=02</t>
  </si>
  <si>
    <t>3-99741</t>
  </si>
  <si>
    <t>3-A16031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</si>
  <si>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.Gear Box &amp; Differential Oil, Brake Pad  &amp; All Electric System Checked.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</si>
  <si>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Summer Maintenance Follow-up Sheet As Of 05-12-2009-----11-12-2009 E.C OR 11-08-2017----17-08-2017</t>
  </si>
  <si>
    <t>3-83087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</si>
  <si>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 Gear Box &amp; Differential Oil, Brake Pad &amp; Shoe All Electric System Checked.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</si>
  <si>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Bearing FR Axle Hub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</si>
  <si>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.Gear Box &amp; Differential Oil, Brake Pad &amp; Shoe All Electric System Checked.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</si>
  <si>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.Gear Box &amp; Differential Oil Changed, Brake Shoe &amp; All Electric System Checked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</si>
  <si>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3-A16030</t>
  </si>
  <si>
    <t>Dump Truck</t>
  </si>
  <si>
    <t>3-47529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</si>
  <si>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.Gear Box &amp; Differential Oil Changed, Brake Shoe &amp; Pad &amp; All Electric System Checked.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</si>
  <si>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3-A16401</t>
  </si>
  <si>
    <t>3-A16049</t>
  </si>
  <si>
    <t>3-80302</t>
  </si>
  <si>
    <t>3-A23293</t>
  </si>
  <si>
    <t>3-99625</t>
  </si>
  <si>
    <t>FR Brake Pad Shoe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</si>
  <si>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.Gear Box &amp; Differential Oil Checked, Brake Shoe &amp; Pad &amp; All Electric System Checked.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</si>
  <si>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Idler &amp; Upper Arm Bushing</t>
  </si>
  <si>
    <t>Tie Rod Ball Joint</t>
  </si>
  <si>
    <t>Lower Arm Ball Joint=1</t>
  </si>
  <si>
    <t>FR Both Side Head Light</t>
  </si>
  <si>
    <t>3-A12748</t>
  </si>
  <si>
    <t>RR Cylinder  Seal Kit</t>
  </si>
  <si>
    <t>FR Brake Pad RR Brake  Shoe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</si>
  <si>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 Brake Shoe &amp; Pad &amp; All Electric System Checked.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</si>
  <si>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RHS CV Joint Oil Seal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</si>
  <si>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.Gear Box &amp; Differential Oil Changed, Brake Shoe, Pad &amp; All Electric System Checked.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</si>
  <si>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.Gear Box &amp; Differential Oil Changed, Brake Shoe, Pad &amp; All Electric System Checked.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</si>
  <si>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t>Seal Oil Outer</t>
  </si>
  <si>
    <t xml:space="preserve">Motor A- w/s Washer </t>
  </si>
  <si>
    <t>Summer Maintenance Follow-up Sheet As Of 12-12-2009-----18-12-2009 E.C OR 18-08-2017----24-08-2017</t>
  </si>
  <si>
    <t>Lower Torque Rod Bushing=4 Pcs</t>
  </si>
  <si>
    <t>Bearings</t>
  </si>
  <si>
    <t>3-98307</t>
  </si>
  <si>
    <t>Low Bed</t>
  </si>
  <si>
    <t>Mixer truck</t>
  </si>
  <si>
    <t>8 Paire pads</t>
  </si>
  <si>
    <t>Front Brake shoes</t>
  </si>
  <si>
    <t>A0064205220</t>
  </si>
  <si>
    <t>36392.7/4535</t>
  </si>
  <si>
    <t>35079/4500</t>
  </si>
  <si>
    <t xml:space="preserve">Mixer Truck </t>
  </si>
  <si>
    <t>Mixer Truck</t>
  </si>
  <si>
    <t>Summer Maintenance Follow-up Sheet As Of 04 -10-2010-----10-10-2010 E.C OR 11-06-2018----17-06-2018</t>
  </si>
  <si>
    <t xml:space="preserve">Summer Maintenance Follow-up Sheet </t>
  </si>
  <si>
    <t xml:space="preserve">Remark </t>
  </si>
  <si>
    <t>Rear Brake  pad 2 kit</t>
  </si>
  <si>
    <t>72085.7/8302</t>
  </si>
  <si>
    <t>Getenet Dress</t>
  </si>
  <si>
    <t>Rear brake pad 2 kit</t>
  </si>
  <si>
    <t>73431.3/8193</t>
  </si>
  <si>
    <t>34403.7/4639</t>
  </si>
  <si>
    <t>35079/4498</t>
  </si>
  <si>
    <t>Middle axel differential oil</t>
  </si>
  <si>
    <t>85W140</t>
  </si>
  <si>
    <t>45592/5195</t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</si>
  <si>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.Checked both front and rear brake pads, Checked all elecrical system, checked both differential and gear box oil level and oil condtion </t>
    </r>
  </si>
  <si>
    <r>
      <rPr>
        <b/>
        <u/>
        <sz val="12"/>
        <color theme="1"/>
        <rFont val="Cambria"/>
        <family val="1"/>
        <scheme val="major"/>
      </rPr>
      <t xml:space="preserve">                                    Repaired stebilazer bushing front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mbria"/>
        <family val="1"/>
        <scheme val="major"/>
      </rPr>
      <t>.</t>
    </r>
  </si>
  <si>
    <r>
      <rPr>
        <b/>
        <u val="double"/>
        <sz val="12"/>
        <color theme="1"/>
        <rFont val="Cambria"/>
        <family val="1"/>
        <scheme val="major"/>
      </rPr>
      <t>Other Replaced Parts &amp; Work To Be Done</t>
    </r>
    <r>
      <rPr>
        <b/>
        <sz val="12"/>
        <color theme="1"/>
        <rFont val="Cambria"/>
        <family val="1"/>
        <scheme val="major"/>
      </rPr>
      <t>:-</t>
    </r>
    <r>
      <rPr>
        <b/>
        <u/>
        <sz val="12"/>
        <color theme="1"/>
        <rFont val="Cambria"/>
        <family val="1"/>
        <scheme val="major"/>
      </rPr>
      <t xml:space="preserve">  .Checked both front and rear brake pads, Checked all elecrical system, checked both differential and gear box oil level and oil condition 
check and cleand differential oil level condtion </t>
    </r>
  </si>
  <si>
    <t xml:space="preserve">
Middle axel differential oil</t>
  </si>
  <si>
    <t>Brake pad front axle 02 set &amp; brake pad rear axle 02 Set</t>
  </si>
  <si>
    <t>Biniyam Alebachew</t>
  </si>
  <si>
    <t>Getnet Dress</t>
  </si>
  <si>
    <t>Bineyam Alebachew</t>
  </si>
  <si>
    <t xml:space="preserve">Middle axledifferential oil </t>
  </si>
  <si>
    <t xml:space="preserve">Biniyam Alebachew </t>
  </si>
  <si>
    <t>Summer Maintenance Follow-up Sheet As Of 11-10-2010------17-2010 E.C OR 18-06-2018----24-06-2018</t>
  </si>
  <si>
    <t xml:space="preserve">Water truck </t>
  </si>
  <si>
    <t>3-61444</t>
  </si>
  <si>
    <t>90W</t>
  </si>
  <si>
    <t xml:space="preserve">Brake shoe 6 set water pump gear box </t>
  </si>
  <si>
    <r>
      <t>Part N</t>
    </r>
    <r>
      <rPr>
        <b/>
        <u/>
        <sz val="12"/>
        <color theme="1"/>
        <rFont val="Cambria"/>
        <family val="1"/>
        <scheme val="major"/>
      </rPr>
      <t>O</t>
    </r>
  </si>
  <si>
    <t>Signature:-_______________________</t>
  </si>
  <si>
    <t>Checked By:-____________________</t>
  </si>
  <si>
    <t>Approved By:-____________________</t>
  </si>
  <si>
    <r>
      <t>Serviced By ______</t>
    </r>
    <r>
      <rPr>
        <u/>
        <sz val="14"/>
        <color theme="1"/>
        <rFont val="Cambria"/>
        <family val="1"/>
        <scheme val="major"/>
      </rPr>
      <t xml:space="preserve">__          </t>
    </r>
    <r>
      <rPr>
        <sz val="14"/>
        <color theme="1"/>
        <rFont val="Cambria"/>
        <family val="1"/>
        <scheme val="major"/>
      </rPr>
      <t xml:space="preserve">                                                                                                                                        Approved by _________________</t>
    </r>
  </si>
  <si>
    <r>
      <t>Part N</t>
    </r>
    <r>
      <rPr>
        <u/>
        <sz val="12"/>
        <color theme="1"/>
        <rFont val="Calibri"/>
        <family val="2"/>
        <scheme val="minor"/>
      </rPr>
      <t>O</t>
    </r>
  </si>
  <si>
    <r>
      <t>Serviced By _____________</t>
    </r>
    <r>
      <rPr>
        <u/>
        <sz val="14"/>
        <color theme="1"/>
        <rFont val="Cambria"/>
        <family val="1"/>
        <scheme val="major"/>
      </rPr>
      <t xml:space="preserve">__    </t>
    </r>
    <r>
      <rPr>
        <sz val="14"/>
        <color theme="1"/>
        <rFont val="Cambria"/>
        <family val="1"/>
        <scheme val="major"/>
      </rPr>
      <t xml:space="preserve">                                                                                                                                                Approved by _________________</t>
    </r>
  </si>
  <si>
    <t>Part No</t>
  </si>
  <si>
    <r>
      <t>Part N</t>
    </r>
    <r>
      <rPr>
        <u/>
        <sz val="12"/>
        <color theme="1"/>
        <rFont val="Calibri"/>
        <family val="2"/>
        <scheme val="minor"/>
      </rPr>
      <t>o</t>
    </r>
  </si>
  <si>
    <t xml:space="preserve">Equipment and Plant Maintenance Department </t>
  </si>
  <si>
    <t>Summer Maintenance Follow-up Sheet For The Year of 2010/2018</t>
  </si>
  <si>
    <t xml:space="preserve">Part No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</si>
  <si>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</si>
  <si>
    <t>Signature _____________________                                                                                                                                           Signature __________________</t>
  </si>
  <si>
    <t>45706.9/5456</t>
  </si>
  <si>
    <t xml:space="preserve">Tadsse Mekonin </t>
  </si>
  <si>
    <t>Part NO</t>
  </si>
  <si>
    <t>APPROVED BY:-______________________</t>
  </si>
  <si>
    <t>SIGNATURE:-_______________________</t>
  </si>
  <si>
    <t>brake pad rear axle 02 Set</t>
  </si>
  <si>
    <t xml:space="preserve">Brake pad front axle 02 set </t>
  </si>
  <si>
    <t xml:space="preserve">Front Brake Pad set </t>
  </si>
  <si>
    <t/>
  </si>
  <si>
    <t xml:space="preserve">
</t>
  </si>
  <si>
    <t>Stabilizer  bushing RR</t>
  </si>
  <si>
    <t>971780680035</t>
  </si>
  <si>
    <t>72064/8033</t>
  </si>
  <si>
    <t>Tadsse Mekonin</t>
  </si>
  <si>
    <r>
      <t>Serviced By ________________</t>
    </r>
    <r>
      <rPr>
        <u/>
        <sz val="14"/>
        <color theme="1"/>
        <rFont val="Cambria"/>
        <family val="1"/>
        <scheme val="major"/>
      </rPr>
      <t xml:space="preserve">__  </t>
    </r>
    <r>
      <rPr>
        <sz val="14"/>
        <color theme="1"/>
        <rFont val="Cambria"/>
        <family val="1"/>
        <scheme val="major"/>
      </rPr>
      <t xml:space="preserve">                                                                                                                                                Approved by _________________</t>
    </r>
  </si>
  <si>
    <r>
      <t>Checked By ________________</t>
    </r>
    <r>
      <rPr>
        <u/>
        <sz val="14"/>
        <color theme="1"/>
        <rFont val="Cambria"/>
        <family val="1"/>
        <scheme val="major"/>
      </rPr>
      <t xml:space="preserve">__   </t>
    </r>
    <r>
      <rPr>
        <sz val="14"/>
        <color theme="1"/>
        <rFont val="Cambria"/>
        <family val="1"/>
        <scheme val="major"/>
      </rPr>
      <t xml:space="preserve">                                                                                                                                   Approved by _________________</t>
    </r>
  </si>
  <si>
    <r>
      <t xml:space="preserve">Signature _____________________                                                           </t>
    </r>
    <r>
      <rPr>
        <sz val="14"/>
        <color theme="1"/>
        <rFont val="Cambria"/>
        <family val="1"/>
        <scheme val="major"/>
      </rPr>
      <t xml:space="preserve">                                                                        Signature __________________</t>
    </r>
  </si>
  <si>
    <t xml:space="preserve"> </t>
  </si>
  <si>
    <t>Bearing 2 pcs</t>
  </si>
  <si>
    <t>Summer Maintenance Follow-up Sheet For The Year 2010/2018</t>
  </si>
  <si>
    <t>Summer Maintenance Follow-up Sheet For The Year  2010/2018</t>
  </si>
  <si>
    <r>
      <t>Serviced By ______</t>
    </r>
    <r>
      <rPr>
        <u/>
        <sz val="16"/>
        <color theme="1"/>
        <rFont val="Cambria"/>
        <family val="1"/>
        <scheme val="major"/>
      </rPr>
      <t xml:space="preserve">__    </t>
    </r>
    <r>
      <rPr>
        <sz val="16"/>
        <color theme="1"/>
        <rFont val="Cambria"/>
        <family val="1"/>
        <scheme val="major"/>
      </rPr>
      <t xml:space="preserve">                                                              Approved by _________________</t>
    </r>
  </si>
  <si>
    <r>
      <t xml:space="preserve">                                                       Checked By ______</t>
    </r>
    <r>
      <rPr>
        <u/>
        <sz val="14"/>
        <color theme="1"/>
        <rFont val="Cambria"/>
        <family val="1"/>
        <scheme val="major"/>
      </rPr>
      <t xml:space="preserve">__           </t>
    </r>
    <r>
      <rPr>
        <sz val="14"/>
        <color theme="1"/>
        <rFont val="Cambria"/>
        <family val="1"/>
        <scheme val="major"/>
      </rPr>
      <t xml:space="preserve">                                                           Approved by _________________</t>
    </r>
  </si>
  <si>
    <t xml:space="preserve">                                                       Signature _____________________                                                  Signature __________________</t>
  </si>
  <si>
    <t>019910068068</t>
  </si>
  <si>
    <r>
      <t>Serviced By ______</t>
    </r>
    <r>
      <rPr>
        <b/>
        <u/>
        <sz val="14"/>
        <color theme="1"/>
        <rFont val="Cambria"/>
        <family val="1"/>
        <scheme val="major"/>
      </rPr>
      <t xml:space="preserve">__   </t>
    </r>
    <r>
      <rPr>
        <b/>
        <sz val="14"/>
        <color theme="1"/>
        <rFont val="Cambria"/>
        <family val="1"/>
        <scheme val="major"/>
      </rPr>
      <t xml:space="preserve">                                                                                                                                             Approved by _________________</t>
    </r>
  </si>
  <si>
    <r>
      <t>Checked By ______</t>
    </r>
    <r>
      <rPr>
        <b/>
        <u/>
        <sz val="14"/>
        <color theme="1"/>
        <rFont val="Cambria"/>
        <family val="1"/>
        <scheme val="major"/>
      </rPr>
      <t xml:space="preserve">__ </t>
    </r>
    <r>
      <rPr>
        <b/>
        <sz val="14"/>
        <color theme="1"/>
        <rFont val="Cambria"/>
        <family val="1"/>
        <scheme val="major"/>
      </rPr>
      <t xml:space="preserve">                                                                           </t>
    </r>
  </si>
  <si>
    <t>QTY</t>
  </si>
  <si>
    <t>2 Set</t>
  </si>
  <si>
    <t>2Set</t>
  </si>
  <si>
    <t>2 set</t>
  </si>
  <si>
    <t>Replaced 
Parts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</si>
  <si>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sz val="18"/>
        <color theme="1"/>
        <rFont val="Cambria"/>
        <family val="1"/>
        <scheme val="major"/>
      </rPr>
      <t xml:space="preserve">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Rear brake pad will be chack  after 5 month
- Checked  and cleaned front brake pad
- Checked and repaired all electrical system
- Checked for gear box and differential oil level and air condtion .
- Modified drum shutter rubber
- Summer To summer covered KM -11394</t>
    </r>
  </si>
  <si>
    <r>
      <rPr>
        <b/>
        <sz val="18"/>
        <color theme="1"/>
        <rFont val="Cambria"/>
        <family val="1"/>
        <scheme val="major"/>
      </rPr>
      <t xml:space="preserve"> Other activity checked &amp; performed :</t>
    </r>
    <r>
      <rPr>
        <b/>
        <sz val="14"/>
        <color theme="1"/>
        <rFont val="Cambria"/>
        <family val="1"/>
        <scheme val="major"/>
      </rPr>
      <t>-
- Checked gear box oil level
- Checked both front  and rear brake pad condtion
- Checked rear both differential  oil level 
- Checked and repaired all electrical system  
- Summer To summer covered KM 10939</t>
    </r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</si>
  <si>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</t>
    </r>
    <r>
      <rPr>
        <b/>
        <sz val="16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
- Checked all electrical system
- Checked both front and rear brake pad
- Checked both differential and gear box oil level and oil condtion
- Repaired stablizer bushing front
- Summer To summer covered KM     12675</t>
    </r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</si>
  <si>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
- Checked both front and rear brake pad
- Checked gear box oil level and condtion 
- cheked rear axle gear oil level and conndtion
- checked and repaired all electrical system.
 Summer To summer covered KM   11776  </t>
    </r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</si>
  <si>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sz val="14"/>
        <color theme="1"/>
        <rFont val="Cambria"/>
        <family val="1"/>
        <scheme val="major"/>
      </rPr>
      <t xml:space="preserve">
- Front and rear brake pad replaced by new (all)
- Fitted modification rubber shouter
- Cheked both gear box and differntial oil
- Checked and repaired all electrical systems
- Replaced rear front differential gear oil because of water daliuted to oil 18 liter  . 
- Summer To summer covered KM     10842</t>
    </r>
  </si>
  <si>
    <r>
      <rPr>
        <b/>
        <u val="double"/>
        <sz val="18"/>
        <color theme="1"/>
        <rFont val="Cambria"/>
        <family val="1"/>
        <scheme val="major"/>
      </rPr>
      <t xml:space="preserve">
Other activity checked &amp; performed :-
</t>
    </r>
    <r>
      <rPr>
        <b/>
        <sz val="18"/>
        <color theme="1"/>
        <rFont val="Cambria"/>
        <family val="1"/>
        <scheme val="major"/>
      </rPr>
      <t xml:space="preserve">- </t>
    </r>
    <r>
      <rPr>
        <b/>
        <sz val="14"/>
        <color theme="1"/>
        <rFont val="Cambria"/>
        <family val="1"/>
        <scheme val="major"/>
      </rPr>
      <t>Replaced front brake pad 02 set
- Checked and repired all electrical system
- Checked bot gear box and differential oil level and condtion
- Repaired stablizer bushing.                                                                                                                                                                                                                                   .
 Summer To summer covered KM  11644</t>
    </r>
  </si>
  <si>
    <r>
      <t xml:space="preserve">
</t>
    </r>
    <r>
      <rPr>
        <b/>
        <u val="double"/>
        <sz val="14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 C</t>
    </r>
    <r>
      <rPr>
        <b/>
        <u/>
        <sz val="14"/>
        <color theme="1"/>
        <rFont val="Cambria"/>
        <family val="1"/>
        <scheme val="major"/>
      </rPr>
      <t xml:space="preserve">heck all brake pad condtions
- Chacked and repaired all electrical system 
- Replaced rear front axle differential oil because of water daliuted to gear oil SAE 85w140 18 liter .
Summer To summer covered KM   11208 </t>
    </r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</si>
  <si>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
</t>
    </r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Check and reparied all electrical system
- Replaced front both axle brake pad kit
- Checked and cleaned rear brake pads
- Replaced rear rear axle gear oil because of water daliuted to gear oil 18 lit 85w140
- Summer To summer covered KM    10537</t>
    </r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</si>
  <si>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</t>
    </r>
    <r>
      <rPr>
        <b/>
        <u/>
        <sz val="14"/>
        <color theme="1"/>
        <rFont val="Cambria"/>
        <family val="1"/>
        <scheme val="major"/>
      </rPr>
      <t xml:space="preserve"> </t>
    </r>
    <r>
      <rPr>
        <b/>
        <sz val="14"/>
        <color theme="1"/>
        <rFont val="Cambria"/>
        <family val="1"/>
        <scheme val="major"/>
      </rPr>
      <t>Replaced Rear stablizer bushing 02 pcs
- Repaired rear leaf spring contact rubber
- Rear RHS water spray valve repaired 
- Checked and replaced front axle bearing grease
- Replaced gear box 80W90 17 liter
- Replaced frot and rear axle oil 85W140 40 lit
- Replaced water pump gear box oil 
- Checked and replaced front axle bearing grease 
- Checked all electrical system                                                        .</t>
    </r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</si>
  <si>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 Checked and replaced front hub bearing grease
- Replaced gear box oil
- replaced both differential oil
- Replaced PTO gear box oil
- Valve adjusted cover gasket replaced
- Checked and repaired all electrical system
</t>
    </r>
  </si>
  <si>
    <t>Replaced
 Parts</t>
  </si>
  <si>
    <t>Concrete
 Pump</t>
  </si>
  <si>
    <t>75133.5/7742</t>
  </si>
  <si>
    <t>6818/1737.6</t>
  </si>
  <si>
    <t>Rear brake pad set</t>
  </si>
  <si>
    <t>Asmamaw Tadsse</t>
  </si>
  <si>
    <t>Mixer
 Truck</t>
  </si>
  <si>
    <t xml:space="preserve">Signature:-__________________________ </t>
  </si>
  <si>
    <t>Serviced:-____________________________</t>
  </si>
  <si>
    <t>Date:-________________________________</t>
  </si>
  <si>
    <t xml:space="preserve">Signature:-_______________________ </t>
  </si>
  <si>
    <t>Brake pad rear axle set</t>
  </si>
  <si>
    <t>Brake pad front axle set</t>
  </si>
  <si>
    <t>80W90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</si>
  <si>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
- Replaced front brake pad by new set 01
- Replaced gear box oil SAE 85W90  20 liter
- Checked rear axle brake pad 
- Checked rear axle gear oil level and oil condtion 
- Checked and repaired all electrical system.
 Summer To summer covered KM   1258</t>
    </r>
  </si>
  <si>
    <t>Checked:-__________________________</t>
  </si>
  <si>
    <t>Approved:-____________________________</t>
  </si>
  <si>
    <t>3-65481</t>
  </si>
  <si>
    <t>3-49261</t>
  </si>
  <si>
    <t xml:space="preserve">Sino Water
 truck </t>
  </si>
  <si>
    <t xml:space="preserve">Ball joint </t>
  </si>
  <si>
    <t>3-47521</t>
  </si>
  <si>
    <t>Astra</t>
  </si>
  <si>
    <t>3-44998</t>
  </si>
  <si>
    <t>Nissan
UD</t>
  </si>
  <si>
    <t>Front Axle outer Hub bearing</t>
  </si>
  <si>
    <t>3-47523</t>
  </si>
  <si>
    <t>3-70622/
3-21233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</si>
  <si>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4"/>
        <color theme="1"/>
        <rFont val="Cambria"/>
        <family val="1"/>
        <scheme val="major"/>
      </rPr>
      <t xml:space="preserve">
- Front axle hub bearing grease replaced
- Rear axle brake lining replaced QTY 08 both side by new
-Replaced gear box oil
- Replaced rear differential both gear box oil
- Checked and repaired all electrical system
- water pump gear box oil replaced
Summer to summer covered KM -21426</t>
    </r>
  </si>
  <si>
    <t>Brake lining</t>
  </si>
  <si>
    <t>Gear box oil</t>
  </si>
  <si>
    <t>water pump gear oil</t>
  </si>
  <si>
    <t xml:space="preserve">Final drive hub </t>
  </si>
  <si>
    <r>
      <t>Differential oil 1</t>
    </r>
    <r>
      <rPr>
        <vertAlign val="superscript"/>
        <sz val="11"/>
        <color theme="1"/>
        <rFont val="Cambria"/>
        <family val="1"/>
        <scheme val="major"/>
      </rPr>
      <t>st</t>
    </r>
  </si>
  <si>
    <r>
      <t>Differential oil 2</t>
    </r>
    <r>
      <rPr>
        <vertAlign val="superscript"/>
        <sz val="11"/>
        <color theme="1"/>
        <rFont val="Cambria"/>
        <family val="1"/>
        <scheme val="major"/>
      </rPr>
      <t>nd</t>
    </r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</si>
  <si>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Front axle hub bearing grease replaced
- Checked gear box oil level and condtion
- Checked differential oil level and condtion
- Replaced water pump gear box oil
- Checked and repaired all electrical system.
-Replaced new front bumper 
 - Summer To summer covered KM 8138</t>
    </r>
  </si>
  <si>
    <t xml:space="preserve">Front  Brake shoe </t>
  </si>
  <si>
    <t>Rear Brake Shoe</t>
  </si>
  <si>
    <t>ASTRA</t>
  </si>
  <si>
    <t>3-84221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</si>
  <si>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Replaced gear box oil
-Replaced rear both axle (differential)oil
-Hub readuction oil replaced 
- Replaced rear RHS both brake kit item p/No 42536194 2 pcs
- Checked and replaced front hub bearng grease
- Checked all elecrical systems</t>
    </r>
  </si>
  <si>
    <t>Kit brake item</t>
  </si>
  <si>
    <t xml:space="preserve">Brake lining </t>
  </si>
  <si>
    <t xml:space="preserve">Differential oil </t>
  </si>
  <si>
    <t>Getenet
 Dress</t>
  </si>
  <si>
    <t>SINO
 WATER TRUCK</t>
  </si>
  <si>
    <r>
      <t>Differential oil 2</t>
    </r>
    <r>
      <rPr>
        <vertAlign val="superscript"/>
        <sz val="12"/>
        <color theme="1"/>
        <rFont val="Cambria"/>
        <family val="1"/>
        <scheme val="major"/>
      </rPr>
      <t>nd</t>
    </r>
  </si>
  <si>
    <t>Mixer
Truck</t>
  </si>
  <si>
    <t>71184/8120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</si>
  <si>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Replaced hydrulic temprature sensor by  new
- Checked all brake system and pad condtion 
- Replaced rear front diferential oil
- Checked and repaired all electrical system
- rear rear RHS brake caliper part refused (forign) 
- Summer to summer covered KM 10688</t>
    </r>
  </si>
  <si>
    <t>Temperature switch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</si>
  <si>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Replaced rear brake pad by new 2 set
-Checked rear axle gear oil
- Checked gear box oil
- Checked cleaned front axle brake pad 
- checked and repaired all electrical system.
-  Summer To summer covered KM   11981.5</t>
    </r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</si>
  <si>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Replaced rear both side brake lining by new  08 pcs
- Replaced front axle hub bearing grease 
-Replaced gear box oil
- REplaced rear differential gear oil both 
- Checked and repaired all electrical system.
- Replaced water pump gear box oil
-Repaired fuel return lining leakage
 Summer To summer covered KM  21537</t>
    </r>
  </si>
  <si>
    <t>Getent
 Dress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</si>
  <si>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-Rear both side hub bearing grease replaced
- Front both ide hub bearing grease replaced 
- Checked both front and rear brake lining 
- Replaced wheel bolt rear 01 set 
- Replaced shiftting  lever ball  joint 04 pcs
- Replaced front tyer by new 02 pcs
- Checked and repaired all electrical system
- N.B HYdrulic tank cracked 
</t>
    </r>
    <r>
      <rPr>
        <b/>
        <u val="double"/>
        <sz val="18"/>
        <color theme="1"/>
        <rFont val="Cambria"/>
        <family val="1"/>
        <scheme val="major"/>
      </rPr>
      <t xml:space="preserve">
</t>
    </r>
    <r>
      <rPr>
        <b/>
        <u/>
        <sz val="14"/>
        <color theme="1"/>
        <rFont val="Cambria"/>
        <family val="1"/>
        <scheme val="major"/>
      </rPr>
      <t/>
    </r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</si>
  <si>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
-Replaced front axle LHS outer bearing replaced 
- Checked gear box oil
- Checked rear axle gear oil 
- Replaced water pump gear box oil
- Checked and repaired elecrical system
</t>
    </r>
  </si>
  <si>
    <t xml:space="preserve">Steering oil changed </t>
  </si>
  <si>
    <r>
      <t>Differential oil 1</t>
    </r>
    <r>
      <rPr>
        <vertAlign val="superscript"/>
        <sz val="11"/>
        <color theme="1"/>
        <rFont val="Cambria"/>
        <family val="1"/>
        <scheme val="major"/>
      </rPr>
      <t xml:space="preserve">st </t>
    </r>
    <r>
      <rPr>
        <sz val="11"/>
        <color theme="1"/>
        <rFont val="Cambria"/>
        <family val="1"/>
        <scheme val="major"/>
      </rPr>
      <t xml:space="preserve">&amp; 2 </t>
    </r>
    <r>
      <rPr>
        <vertAlign val="superscript"/>
        <sz val="11"/>
        <color theme="1"/>
        <rFont val="Cambria"/>
        <family val="1"/>
        <scheme val="major"/>
      </rPr>
      <t xml:space="preserve">nd </t>
    </r>
    <r>
      <rPr>
        <sz val="11"/>
        <color theme="1"/>
        <rFont val="Cambria"/>
        <family val="1"/>
        <scheme val="major"/>
      </rPr>
      <t xml:space="preserve">Changed </t>
    </r>
  </si>
  <si>
    <t>ATF</t>
  </si>
  <si>
    <t xml:space="preserve">Piston for wedge </t>
  </si>
  <si>
    <t>Seal for middle differential (rear)</t>
  </si>
  <si>
    <t>Part no</t>
  </si>
  <si>
    <t>Bearig R outer</t>
  </si>
  <si>
    <t>Cup R outer</t>
  </si>
  <si>
    <t xml:space="preserve">Bearing R inner </t>
  </si>
  <si>
    <t>Cup R Inner</t>
  </si>
  <si>
    <t>Rear hub seal</t>
  </si>
  <si>
    <t>EP 3</t>
  </si>
  <si>
    <t>Front brake lining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</si>
  <si>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4"/>
        <color theme="1"/>
        <rFont val="Cambria"/>
        <family val="1"/>
        <scheme val="major"/>
      </rPr>
      <t xml:space="preserve">
- Both differential oil changed
- Rear middle axle hub seal and inner &amp; outer bearing replaced 
- Gear box oil changed 
- Electric lighting system repaired
- All rear &amp; front wheel grease replaced &amp; bearing greased
- Summer to summer covered KM 34529</t>
    </r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</si>
  <si>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All wheel bearing greased &amp; grease replaced
- Middle axle at RHS brake lining Changed
- Checked and repaired all brake lining condtion and cleaned
- middle axle at LHS 1</t>
    </r>
    <r>
      <rPr>
        <b/>
        <vertAlign val="superscript"/>
        <sz val="14"/>
        <color theme="1"/>
        <rFont val="Cambria"/>
        <family val="1"/>
        <scheme val="major"/>
      </rPr>
      <t>st</t>
    </r>
    <r>
      <rPr>
        <b/>
        <sz val="14"/>
        <color theme="1"/>
        <rFont val="Cambria"/>
        <family val="1"/>
        <scheme val="major"/>
      </rPr>
      <t xml:space="preserve">  leaf -Spring replaced</t>
    </r>
  </si>
  <si>
    <t>3-65565</t>
  </si>
  <si>
    <t>Abel Mekonin</t>
  </si>
  <si>
    <t>Reta Arga</t>
  </si>
  <si>
    <t>3-37092</t>
  </si>
  <si>
    <t>Serviced By:-____________________________</t>
  </si>
  <si>
    <t>Checked By:-__________________________</t>
  </si>
  <si>
    <t>Brake lining Rear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</si>
  <si>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 Checked all brake lining condtion
- Checked differential oil  &amp; gear box oil level and condtion
- Replaced new battery 12 V 150Amp.
- Checked and repaired all electrical system
- Rear &amp; front wheel grease changed &amp; greased 
bearing 
- Replaced Front side bumper  by new 02 pcs 
- steering  oil changed </t>
    </r>
    <r>
      <rPr>
        <b/>
        <u val="double"/>
        <sz val="18"/>
        <color theme="1"/>
        <rFont val="Cambria"/>
        <family val="1"/>
        <scheme val="major"/>
      </rPr>
      <t xml:space="preserve">
</t>
    </r>
    <r>
      <rPr>
        <b/>
        <sz val="18"/>
        <color theme="1"/>
        <rFont val="Cambria"/>
        <family val="1"/>
        <scheme val="major"/>
      </rPr>
      <t xml:space="preserve">- Summer to summer covered KM 17004
</t>
    </r>
  </si>
  <si>
    <t>*   Summer to summer covered KM 17004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</si>
  <si>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4"/>
        <color theme="1"/>
        <rFont val="Cambria"/>
        <family val="1"/>
        <scheme val="major"/>
      </rPr>
      <t xml:space="preserve">- Rear all brake lining replaced by new
- Differential oil changed
- Gear box oil check level and condition
- Inner door handle part requested 
- Rear RHS center bolts replaced by new
- Checked and repaired All electrical system 
- Rear and front wheel greased replaced &amp; bearing greased 
- Steering oil changed
- Summer to summer covered KM 30000
* N.B Rear  first differential have abnormal sound 
* Inner bearing is  work with remark 
</t>
    </r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</si>
  <si>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4"/>
        <color theme="1"/>
        <rFont val="Cambria"/>
        <family val="1"/>
        <scheme val="major"/>
      </rPr>
      <t xml:space="preserve">
-Both Differential oil  repalced 
Gear box oil changed
- 3</t>
    </r>
    <r>
      <rPr>
        <b/>
        <vertAlign val="superscript"/>
        <sz val="14"/>
        <color theme="1"/>
        <rFont val="Cambria"/>
        <family val="1"/>
        <scheme val="major"/>
      </rPr>
      <t xml:space="preserve">rd  </t>
    </r>
    <r>
      <rPr>
        <b/>
        <sz val="14"/>
        <color theme="1"/>
        <rFont val="Cambria"/>
        <family val="1"/>
        <scheme val="major"/>
      </rPr>
      <t>leaf spring requested / 3</t>
    </r>
    <r>
      <rPr>
        <b/>
        <vertAlign val="superscript"/>
        <sz val="14"/>
        <color theme="1"/>
        <rFont val="Cambria"/>
        <family val="1"/>
        <scheme val="major"/>
      </rPr>
      <t>rd</t>
    </r>
    <r>
      <rPr>
        <b/>
        <sz val="14"/>
        <color theme="1"/>
        <rFont val="Cambria"/>
        <family val="1"/>
        <scheme val="major"/>
      </rPr>
      <t xml:space="preserve"> leaf -spring part requested
- Brake system repaired &amp; cleaned 
- Checked and repaired all electrical system
- Front wheel both side grease replaced
</t>
    </r>
    <r>
      <rPr>
        <b/>
        <u/>
        <sz val="16"/>
        <color theme="1"/>
        <rFont val="Cambria"/>
        <family val="1"/>
        <scheme val="major"/>
      </rPr>
      <t>N.B</t>
    </r>
    <r>
      <rPr>
        <b/>
        <sz val="14"/>
        <color theme="1"/>
        <rFont val="Cambria"/>
        <family val="1"/>
        <scheme val="major"/>
      </rPr>
      <t xml:space="preserve"> * Chasis (frame) cracked
* Rear brake lining cracked</t>
    </r>
  </si>
  <si>
    <t>Hub seal front</t>
  </si>
  <si>
    <t>Getent Dress</t>
  </si>
  <si>
    <t xml:space="preserve">1st leaf spring </t>
  </si>
  <si>
    <t>0000002992113</t>
  </si>
  <si>
    <t>Spare Part</t>
  </si>
  <si>
    <t>Iveco</t>
  </si>
  <si>
    <t>Brake Lining Set</t>
  </si>
  <si>
    <t>Set</t>
  </si>
  <si>
    <t>0000000133125</t>
  </si>
  <si>
    <t>RR Leaf Spring No 3</t>
  </si>
  <si>
    <t>Pcs</t>
  </si>
  <si>
    <t>RHS middle axle Brake lining</t>
  </si>
  <si>
    <t>S- can with ball  Bearing  Dust cover bolts</t>
  </si>
  <si>
    <t>Asmamaw Tadese</t>
  </si>
  <si>
    <t>Front Bamper</t>
  </si>
  <si>
    <t>36610-01540</t>
  </si>
  <si>
    <t>36610-01530</t>
  </si>
  <si>
    <t xml:space="preserve">Battery </t>
  </si>
  <si>
    <t>12V150Amp</t>
  </si>
  <si>
    <t>Rear axel brake lining</t>
  </si>
  <si>
    <t>Center bolt  rear</t>
  </si>
  <si>
    <t xml:space="preserve">Torque rod bushing </t>
  </si>
  <si>
    <t>Air compressor</t>
  </si>
  <si>
    <t>Contact Seat bolt</t>
  </si>
  <si>
    <t>Contact Seat  nut</t>
  </si>
  <si>
    <t>Front hub seal</t>
  </si>
  <si>
    <t>Engine support LHS front</t>
  </si>
  <si>
    <t xml:space="preserve">Door winch LHS side </t>
  </si>
  <si>
    <t>EP3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</si>
  <si>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 Replaced used repaired air compressor complate
- All axle hub bearing grease lubricated
- Replaced lower right hand side torque rod bushing 03 pcs
- Replaced left side front hub seal 01 pcs
- Replaced front left side engine support (01 pcs)
- Replaced LHS door winch 
- Replaced steering oil and oil filter
- Replaced hydrulic oil filter
</t>
    </r>
    <r>
      <rPr>
        <b/>
        <u val="double"/>
        <sz val="18"/>
        <color theme="1"/>
        <rFont val="Cambria"/>
        <family val="1"/>
        <scheme val="major"/>
      </rPr>
      <t xml:space="preserve">
</t>
    </r>
  </si>
  <si>
    <t xml:space="preserve"> - Summer to summer covered KM 19446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</si>
  <si>
    <t>Tadse Mekonin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</si>
  <si>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 All axle Hub bearing lubricated
- Replaced rear axle right side outer bearing (01 pcs)
- Replaced gear box oil 
- Replaced power steering oil ATF 03 lit
- Replaced hydrulic oil filiter
- Replaced alternator carbon brush and checked all electrical system
-Replaced  modified  exhaust Flexible hose</t>
    </r>
    <r>
      <rPr>
        <b/>
        <u val="double"/>
        <sz val="18"/>
        <color theme="1"/>
        <rFont val="Cambria"/>
        <family val="1"/>
        <scheme val="major"/>
      </rPr>
      <t xml:space="preserve">
</t>
    </r>
    <r>
      <rPr>
        <b/>
        <sz val="18"/>
        <color theme="1"/>
        <rFont val="Cambria"/>
        <family val="1"/>
        <scheme val="major"/>
      </rPr>
      <t>- Summer to summer covered Km 25081</t>
    </r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</si>
  <si>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4"/>
        <color theme="1"/>
        <rFont val="Cambria"/>
        <family val="1"/>
        <scheme val="major"/>
      </rPr>
      <t xml:space="preserve">
- All axel hub bearing lubricated
- Checked gear box oil level
- Checked defferential oil level
- Replaced rear LHS middle axle outer bearing and cup
- Replaced front LHS axle grease seal 01 pcs
- Replaced and repaired alternaor carbon brush
- Summer to summer KM 12265</t>
    </r>
  </si>
  <si>
    <t xml:space="preserve">Rear LHS middle axle outer </t>
  </si>
  <si>
    <t xml:space="preserve">Part no </t>
  </si>
  <si>
    <t>Cone-Hub Brg, Otr</t>
  </si>
  <si>
    <t>Cup-Hub Brg,Otr</t>
  </si>
  <si>
    <t>Con Hub Brg Inner</t>
  </si>
  <si>
    <t>Cup Hub Brg Inner</t>
  </si>
  <si>
    <t>Insulation Eng-MTG, Frt</t>
  </si>
  <si>
    <t>Cushion Rubber , LH</t>
  </si>
  <si>
    <t>Engine support front RHS</t>
  </si>
  <si>
    <t>3215300740</t>
  </si>
  <si>
    <t xml:space="preserve">Abel
Mekonin </t>
  </si>
  <si>
    <t>Cup Hub Brg Outr</t>
  </si>
  <si>
    <t>FR both side brake lining</t>
  </si>
  <si>
    <t>3454105020 
&amp;3454105010</t>
  </si>
  <si>
    <t>RR Both side brake lining</t>
  </si>
  <si>
    <t xml:space="preserve">Carbon Brush 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</si>
  <si>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4"/>
        <color theme="1"/>
        <rFont val="Cambria"/>
        <family val="1"/>
        <scheme val="major"/>
      </rPr>
      <t xml:space="preserve">
-All axle hub bearing lubricated 
- Replaced front RHS foot step by new
- Checked and cleaned all brake system
- Checked gear box pl evel
- Checked differential oil level
- Checked and repaired all electrical system 
- Summer to summer covered Km 9745</t>
    </r>
  </si>
  <si>
    <t>Nissan
 UD</t>
  </si>
  <si>
    <t xml:space="preserve">Replaced new RHS foot step </t>
  </si>
  <si>
    <t xml:space="preserve">Oil filter </t>
  </si>
  <si>
    <t>14896991A</t>
  </si>
  <si>
    <t>Filter A-P/S Oil Tank</t>
  </si>
  <si>
    <t>DAEWOO</t>
  </si>
  <si>
    <t>Oil filter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</si>
  <si>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4"/>
        <color theme="1"/>
        <rFont val="Cambria"/>
        <family val="1"/>
        <scheme val="major"/>
      </rPr>
      <t>- Replaced front LHS inner bearing and cup 01 pcs
- Replaced front RHS outer bearing and cup 01 pcs
- Replaced wiper blade 02 pcs
- Replaced left and right caushion rubber 04 pcs
- Replaced &amp; repaired alternator carbon brush
- Replaced torque rod bushing lower
- Lubricated all axle hub bearing 
- Replaced hydrulic filter 
- Replaced engine support front RHS 01 pcs 
- Summer to summer Km  covered 15029</t>
    </r>
  </si>
  <si>
    <t>3433400131</t>
  </si>
  <si>
    <t xml:space="preserve">Rear RHS middle axle outer 
 bearing </t>
  </si>
  <si>
    <t>Alternator carbon brush</t>
  </si>
  <si>
    <t>Flexible hose</t>
  </si>
  <si>
    <t xml:space="preserve">Bearing Hub Inner </t>
  </si>
  <si>
    <t>Cup hub brg inner</t>
  </si>
  <si>
    <t>Filter A- p/s oil tank</t>
  </si>
  <si>
    <t>Mud flap RR</t>
  </si>
  <si>
    <t>Cushion  rubber LH</t>
  </si>
  <si>
    <t>Cushion  rubber RH</t>
  </si>
  <si>
    <t>Ins.eng mtg RR</t>
  </si>
  <si>
    <t>oil filter</t>
  </si>
  <si>
    <t>FR  side brake lining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</si>
  <si>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-Replaced rear RHS brake wage lifters 02 pcs 
- Replaced rear LHS brake adjuster 04 pcs
- Front axle hub bearing lubricated 
- Replaced air dryer 
- Replaced rear LHS last axle  brake lining 04 pcs
- Replaced gear box and differential oil
- Checked all electrical system
- </t>
    </r>
  </si>
  <si>
    <t>Brake lining Kit</t>
  </si>
  <si>
    <t>Aprv. Valve Filter</t>
  </si>
  <si>
    <t>Brake adjuster kit</t>
  </si>
  <si>
    <t>Brake adjuster Devi</t>
  </si>
  <si>
    <t>Clutch master cylinder kit</t>
  </si>
  <si>
    <t>Rear  brake lining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</si>
  <si>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All axle hub bearing lubricated 
- Checked gear box and differential oil level
- Checked and cleaned all brake lining
- Clutch boster rod adjusted
- Checked all electrical system
- summer to summer covered Km 1640</t>
    </r>
  </si>
  <si>
    <t>Asmamaw Tadesse</t>
  </si>
  <si>
    <t>3-77112</t>
  </si>
  <si>
    <t xml:space="preserve">FR  side brake lining maintenace cost </t>
  </si>
  <si>
    <t>Front Bumper-A-Side</t>
  </si>
  <si>
    <t>Front Bumper A LH Side</t>
  </si>
  <si>
    <t>3661001540</t>
  </si>
  <si>
    <t>3661001530</t>
  </si>
  <si>
    <r>
      <t xml:space="preserve">
</t>
    </r>
    <r>
      <rPr>
        <b/>
        <u val="double"/>
        <sz val="20"/>
        <color theme="1"/>
        <rFont val="Cambria"/>
        <family val="1"/>
        <scheme val="major"/>
      </rPr>
      <t>Other activity checked &amp; performed :-</t>
    </r>
    <r>
      <rPr>
        <b/>
        <u val="double"/>
        <sz val="18"/>
        <color theme="1"/>
        <rFont val="Cambria"/>
        <family val="1"/>
        <scheme val="major"/>
      </rPr>
      <t xml:space="preserve">
</t>
    </r>
    <r>
      <rPr>
        <sz val="18"/>
        <color theme="1"/>
        <rFont val="Cambria"/>
        <family val="1"/>
        <scheme val="major"/>
      </rPr>
      <t>- Replaced front brake lining 08 pcs 
- All axle hub bearing cleaned and lubricated 
- Replaced rear engine support both side replaced 02 pcs
- Front bumper side guard right ad left replaced 
- Replaced rear 1st axle left side inner bearing 
- Replaced hydrulic oil filter
- Checked all diffrential and gear box oil level
- Replaced pad spring rear rear LHS 01 pcs
- Replaced steering oil and oil filter
- Replaced  alternator carbon brush and repaired all electrical system
- Replaced caushion rubber 02 pcs
- Summer to summer Km covered 17920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/>
    </r>
  </si>
  <si>
    <t>Piston for brake adjuster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</si>
  <si>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sz val="18"/>
        <color theme="1"/>
        <rFont val="Cambria"/>
        <family val="1"/>
        <scheme val="major"/>
      </rPr>
      <t>- All hub bearing lubricated
- Replaced RHS rear n</t>
    </r>
    <r>
      <rPr>
        <vertAlign val="superscript"/>
        <sz val="18"/>
        <color theme="1"/>
        <rFont val="Cambria"/>
        <family val="1"/>
        <scheme val="major"/>
      </rPr>
      <t>o</t>
    </r>
    <r>
      <rPr>
        <sz val="18"/>
        <color theme="1"/>
        <rFont val="Cambria"/>
        <family val="1"/>
        <scheme val="major"/>
      </rPr>
      <t xml:space="preserve"> 1 leaf spring and one pcs contact seat 
- Replaced RHS king pin bearing and stoper bolt
- Replaced steering and guide bolts 02 pcs
- Replaced new modification hydrulic tanker
- Repaired engine brake and all electrical problem
- Replaced hydrulic oil
- Summer to summer covered Km 9729 </t>
    </r>
    <r>
      <rPr>
        <b/>
        <u val="double"/>
        <sz val="18"/>
        <color theme="1"/>
        <rFont val="Cambria"/>
        <family val="1"/>
        <scheme val="major"/>
      </rPr>
      <t xml:space="preserve">
</t>
    </r>
    <r>
      <rPr>
        <b/>
        <u/>
        <sz val="14"/>
        <color theme="1"/>
        <rFont val="Cambria"/>
        <family val="1"/>
        <scheme val="major"/>
      </rPr>
      <t/>
    </r>
  </si>
  <si>
    <t>King pin bearing  (UD)</t>
  </si>
  <si>
    <t>King pin lock bolt (UD)</t>
  </si>
  <si>
    <t>Steering end stopper bolt with nut</t>
  </si>
  <si>
    <t xml:space="preserve">Right side stopper </t>
  </si>
  <si>
    <t>Left Torque Rod</t>
  </si>
  <si>
    <t>Right  Torque Rod</t>
  </si>
  <si>
    <t xml:space="preserve">Bearing Hub outer </t>
  </si>
  <si>
    <t>Cup hub brg outer</t>
  </si>
  <si>
    <t>Filter A p/s oil tank</t>
  </si>
  <si>
    <t>Con - hub  brg out</t>
  </si>
  <si>
    <t>Car lock set A</t>
  </si>
  <si>
    <t xml:space="preserve">Engine support  Front LHS </t>
  </si>
  <si>
    <t xml:space="preserve">King pin bushing </t>
  </si>
  <si>
    <t>3454105020 
&amp;
3454105010</t>
  </si>
  <si>
    <t>3389801450</t>
  </si>
  <si>
    <t>Contact Rear Spring</t>
  </si>
  <si>
    <t>55532-90074</t>
  </si>
  <si>
    <t>54214-Z9508</t>
  </si>
  <si>
    <t>Leaf Spring Rear No 1</t>
  </si>
  <si>
    <t xml:space="preserve">Leaf Spring Rear </t>
  </si>
  <si>
    <t>Key ignition carbon brush</t>
  </si>
  <si>
    <t>1  set</t>
  </si>
  <si>
    <t xml:space="preserve"> Rear Brake shoe </t>
  </si>
  <si>
    <t>Oil Filter</t>
  </si>
  <si>
    <t>Wheel Nut-M22X1.5</t>
  </si>
  <si>
    <t>Switch A- Low Pressure</t>
  </si>
  <si>
    <t xml:space="preserve">Wheel nut RHS 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</si>
  <si>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sz val="14"/>
        <color theme="1"/>
        <rFont val="Cambria"/>
        <family val="1"/>
        <scheme val="major"/>
      </rPr>
      <t xml:space="preserve">
-All axle hub bearing grease lubricated
- Serviced and repaired spliter valve
- Replaced LHS lower torque rod bushing 02 pcs
- Replaced hand brake valve 
- Wheel bolt with nut front LHS 01 pcs
- Replaced steering oil and oil filter
- Replaced hydrulic oil filter
- Checked gear box and differential oil level
- Checked all electrical system
- Summer To summer covered KM     22379
 N.B -  Rear  first outer bearing work with remark </t>
    </r>
  </si>
  <si>
    <t xml:space="preserve">Bush-King Pin 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</si>
  <si>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</t>
    </r>
    <r>
      <rPr>
        <b/>
        <sz val="13"/>
        <color theme="1"/>
        <rFont val="Cambria"/>
        <family val="1"/>
        <scheme val="major"/>
      </rPr>
      <t xml:space="preserve"> All axle hub bearing lubricated
- Fitted missed chsis bolts 04 pcs 
- Replaced rear brake lining  16 pcs
Replaced rear mud flap 02 pcs
- Replaced car lock and engine starting key complate 
- Replaced rear hub bearing outer LH side 
- Repalced steering oil and filter
- Replaced hydrulic oil filter
- Replaced  front RHS side hub bearing outer 01 pcs
- Replaced alterntor carbun brush and checked all electrical system
- Summer to summer covered Km  20786</t>
    </r>
  </si>
  <si>
    <t xml:space="preserve">Mixer 
Truck </t>
  </si>
  <si>
    <t>85W90</t>
  </si>
  <si>
    <t>Getnet  Dress</t>
  </si>
  <si>
    <t>Tadesse Mekonin</t>
  </si>
  <si>
    <t>NISSAN
 UD</t>
  </si>
  <si>
    <t>Water truck</t>
  </si>
  <si>
    <t>Asmamaw
 Tadsse</t>
  </si>
  <si>
    <t>Rear Brake lining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</si>
  <si>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 All axle hub bearing lubricated
- All brake lining clean and checked
- Replaced gear box oil
- Checked differential oil level
-  Replaced cabin shock absorber 
- Checked all electrical systems
- Summer to summer Km 20330</t>
    </r>
  </si>
  <si>
    <t>S/ABS- Cab Susp</t>
  </si>
  <si>
    <t>Dawit Fikadu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</si>
  <si>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sz val="14"/>
        <color theme="1"/>
        <rFont val="Cambria"/>
        <family val="1"/>
        <scheme val="major"/>
      </rPr>
      <t xml:space="preserve">
- All axle hub bearing lubricated
- Checked gear box and differential oil level &amp; condtion 
- Replaced  pad spring 1 pcs 
- Replaced hydrulic oil filter
- Replaced steering oil and filter
- Checked and repaired all electrical system
- Summer To summer covered KM     11665</t>
    </r>
  </si>
  <si>
    <t>Filiter A p/s oil tank</t>
  </si>
  <si>
    <t>pad spring</t>
  </si>
  <si>
    <t>Serviced by</t>
  </si>
  <si>
    <t>Dawit 
Fikadu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</si>
  <si>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
</t>
    </r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Replaced upper torque rod bushing 04 pcs
- Replaced rear RHS second axle outer bearing 01 pcs
- Replaced rear RHS coushion rubber 01 pcs 
- Checked and greased all axle hub bearing 
Checked gear box and differential oil level and condtion 
- Checked all electrical system
- Replaced hydrulic oil filter
- Replaced steering oil and oil filter
- Summer To summer covered KM    19431</t>
    </r>
  </si>
  <si>
    <t>Bearing hub inner</t>
  </si>
  <si>
    <t>Cushion rubber LH</t>
  </si>
  <si>
    <t>Rubber bush</t>
  </si>
  <si>
    <t xml:space="preserve">ATF </t>
  </si>
  <si>
    <t>Rear axle brake pad</t>
  </si>
  <si>
    <t xml:space="preserve">Torque rod bushing lower </t>
  </si>
  <si>
    <t>3414200890</t>
  </si>
  <si>
    <t>Mud Flap- RR</t>
  </si>
  <si>
    <t>Front LHS bearing lock seal and framo</t>
  </si>
  <si>
    <t>Abel
 Mekonin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</si>
  <si>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sz val="18"/>
        <color theme="1"/>
        <rFont val="Cambria"/>
        <family val="1"/>
        <scheme val="major"/>
      </rPr>
      <t xml:space="preserve">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-Checked  and greased all axle hub bearing
- Checked gear box and differential oil level and condtion
- Replaced rear pad spring 01 pcs
- Replaced hydrulic oil filter
- Replaced steering oil and oil filter
- Replaced cabin shock absorber 01 pc
- Repaired spliter electric system
- Welded cracked tail gate
- Checked and repaired all electrical system
- Summer to summer KM covered 15394
</t>
    </r>
  </si>
  <si>
    <t>Pad spring</t>
  </si>
  <si>
    <t>Shock Absorber  cabin</t>
  </si>
  <si>
    <t>Aser Construction P.l.C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</si>
  <si>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sz val="14"/>
        <color theme="1"/>
        <rFont val="Cambria"/>
        <family val="1"/>
        <scheme val="major"/>
      </rPr>
      <t xml:space="preserve">- Replaced rear RHS rear axle brake chamber
- Replaced kit brake item (Adjuster rear RHS 02 pcs)
- Rear RHS brake piston 01 kit
- Replaced rear RHS rear axle wedge spring 01 pcs
- Replaced gear box and differential oil 
- Checked  and greased front axle hub bearing
- Checked all electrical system
- Replaced rear stabilizer upper RHS 01 pcs
</t>
    </r>
  </si>
  <si>
    <t>3-77115</t>
  </si>
  <si>
    <t>41285153</t>
  </si>
  <si>
    <t>Pneumatic Brake Cylinder</t>
  </si>
  <si>
    <t>41288750</t>
  </si>
  <si>
    <t>Spring Sleeve Front Stabilizer Bar</t>
  </si>
  <si>
    <t>42537365</t>
  </si>
  <si>
    <t>Kit Brake Item</t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</si>
  <si>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 Front axle hub bearing lubricated
- Replaced new rear brake lining all axle
- Replaced gear box oil 
- Checked and repaired all electrical system.
- Summer to summer covered Km 12295</t>
    </r>
  </si>
  <si>
    <t>Rear brake lining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</si>
  <si>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sz val="18"/>
        <color theme="1"/>
        <rFont val="Cambria"/>
        <family val="1"/>
        <scheme val="major"/>
      </rPr>
      <t>- All axle hub bearing cleaned and lubricated
- Replaced rear brake lining 16 pcs
- Replaced gear box oil
- Replaced and repaired all electrical system
- Summer to summer covered Km 24414</t>
    </r>
  </si>
  <si>
    <t>Abel  Mekonin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</si>
  <si>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4"/>
        <color theme="1"/>
        <rFont val="Cambria"/>
        <family val="1"/>
        <scheme val="major"/>
      </rPr>
      <t>- Checked all brake pad  and brake lining condtion 
Checked all electrical system.
-Summer to summer  covered Km  41728</t>
    </r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</si>
  <si>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 All axle hub bearing lubricated
- Replaced rear brake lining kit
- Replaced both side steering rod ball joint 02 pcs 
- Replaced radiator upper cover 
- Checked and repaired all electric system
- Replaced gear box and differential oil
- Summer to summer covered Km 41419</t>
    </r>
  </si>
  <si>
    <t>Shoe kit rear</t>
  </si>
  <si>
    <t>Tie rod  end RHS</t>
  </si>
  <si>
    <t>Tie rod  end LHS</t>
  </si>
  <si>
    <t>04495-60070</t>
  </si>
  <si>
    <t>45046-69135</t>
  </si>
  <si>
    <t>45047-69085</t>
  </si>
  <si>
    <t>3-A45132</t>
  </si>
  <si>
    <t>Out side repaire cost for radiator</t>
  </si>
  <si>
    <t>3-77113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</si>
  <si>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- Replaced rear LHS brake adjuster 01 pcs 
- Replaced rear LHS brake lining piston 01 pcs
- Replaced gear box and differential oil 
- Replaced wedge for brake LHS rear axle 
- Checked all electrical system
- Checked and greased front axle hub bearings </t>
    </r>
  </si>
  <si>
    <t>3-51394</t>
  </si>
  <si>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8"/>
        <color theme="1"/>
        <rFont val="Cambria"/>
        <family val="1"/>
        <scheme val="major"/>
      </rPr>
      <t xml:space="preserve">- </t>
    </r>
    <r>
      <rPr>
        <b/>
        <sz val="14"/>
        <color theme="1"/>
        <rFont val="Cambria"/>
        <family val="1"/>
        <scheme val="major"/>
      </rPr>
      <t>Replaced front brake lining 08 pcs
- Replaced gear box and differential oil
- All axle hub bearings cleaned and greased 
- Replaced LHS inner door hand lever by new
- REplaced RHS mirror 
- Replaced hydrulic oil filter
- Checked and repaired all electrical system 
- Replaced rear LHS lower torque bushing 01 pcs
- Summer To summer covered KM     29443</t>
    </r>
  </si>
  <si>
    <t>Hydrulic oil filter</t>
  </si>
  <si>
    <t>Right side mirror</t>
  </si>
  <si>
    <t>Lining FRT,CAM</t>
  </si>
  <si>
    <t>Handle Door Inner RH</t>
  </si>
  <si>
    <t>Torque rod RHS</t>
  </si>
  <si>
    <t>3423000320</t>
  </si>
  <si>
    <t>3374500140</t>
  </si>
  <si>
    <t>Bearing-Hub Inner</t>
  </si>
  <si>
    <t>Brake register</t>
  </si>
  <si>
    <r>
      <t>80</t>
    </r>
    <r>
      <rPr>
        <b/>
        <sz val="14"/>
        <color theme="1"/>
        <rFont val="Cambria"/>
        <family val="1"/>
        <scheme val="major"/>
      </rPr>
      <t>w</t>
    </r>
    <r>
      <rPr>
        <b/>
        <sz val="11"/>
        <color theme="1"/>
        <rFont val="Cambria"/>
        <family val="1"/>
        <scheme val="major"/>
      </rPr>
      <t>90</t>
    </r>
  </si>
  <si>
    <t>Air comprssor kit</t>
  </si>
  <si>
    <t>Air Compressor kit</t>
  </si>
  <si>
    <t>Seal oil outer</t>
  </si>
  <si>
    <t>Cone hub brg, oter</t>
  </si>
  <si>
    <t>Cup hub brg, otr</t>
  </si>
  <si>
    <t>Cushion rubber RH</t>
  </si>
  <si>
    <t>4896991A</t>
  </si>
  <si>
    <t>Diaphram</t>
  </si>
  <si>
    <t>T-30</t>
  </si>
  <si>
    <t>Front left and right brake shoe</t>
  </si>
  <si>
    <t xml:space="preserve">right middle inner grease seal </t>
  </si>
  <si>
    <t>Upper torque rod bush</t>
  </si>
  <si>
    <t>Front left inner bearing</t>
  </si>
  <si>
    <t>right side middle wheel bolt</t>
  </si>
  <si>
    <t>Hand brake</t>
  </si>
  <si>
    <t>Brake shoe</t>
  </si>
  <si>
    <t>All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</si>
  <si>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 All axle hub bearings grease lubricated 
- Checked front and brake lining 
- Replaced gear box oil
- Replaced differential oil 
- Repaired hand brake cable by modification
- Replaced steering oil 
- Summer to summer covered Km 32509</t>
    </r>
  </si>
  <si>
    <t>Bearing, Tapered</t>
  </si>
  <si>
    <t>90368-47084</t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</si>
  <si>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</t>
    </r>
    <r>
      <rPr>
        <b/>
        <sz val="16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
- All axle hub bearing lubricated 
- Replaced front LHS and RHS inner hub bearing 02 pcs
- Replaced front LHS and RHS outer hub bearing 02 pcs 
- Knucle bearing replaced both side 04 pcs
</t>
    </r>
  </si>
  <si>
    <t xml:space="preserve">hub seal rear </t>
  </si>
  <si>
    <t>Claw washer</t>
  </si>
  <si>
    <t>Lock washer</t>
  </si>
  <si>
    <t>Hub nut front</t>
  </si>
  <si>
    <t>Brake lining  kit</t>
  </si>
  <si>
    <t>Brake pad kit</t>
  </si>
  <si>
    <t>04465ok360</t>
  </si>
  <si>
    <t>9024-42030</t>
  </si>
  <si>
    <t>90942-01082</t>
  </si>
  <si>
    <t>Steering stoper</t>
  </si>
  <si>
    <r>
      <rPr>
        <b/>
        <u val="double"/>
        <sz val="20"/>
        <color theme="1"/>
        <rFont val="Cambria"/>
        <family val="1"/>
        <scheme val="major"/>
      </rPr>
      <t>Other activity checked &amp; performed</t>
    </r>
    <r>
      <rPr>
        <b/>
        <u val="double"/>
        <sz val="18"/>
        <color theme="1"/>
        <rFont val="Cambria"/>
        <family val="1"/>
        <scheme val="major"/>
      </rPr>
      <t xml:space="preserve"> </t>
    </r>
    <r>
      <rPr>
        <b/>
        <sz val="16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-Checked and greased all axle hub bearing 
- Replaced  RHS front coushion rubber 
- Replaced RHS front lower torque rod bushing 02 pcs 
- Checked gear box and differential oil level
- Replaced front LHS outer bearing replaced 
- Replaced rear differential oil 
- Replaced rear left side middle axle inner grease seal
- Replaced rear mud flap left and right
- Replaced pad spring rear right side middle axle 
- Checked and repaired all electrical system
- Summer to summer covered Km 123778</t>
    </r>
  </si>
  <si>
    <t xml:space="preserve"> Asmamaw Tadsse</t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</si>
  <si>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 Checked gear box and differential oil
- Replaced rear brake lining kit
- Checked all electrical system 
- Summer to summer covered Km 51075</t>
    </r>
  </si>
  <si>
    <t xml:space="preserve">Shoe kit brake rear </t>
  </si>
  <si>
    <t>Nut hub</t>
  </si>
  <si>
    <t>9942-01082</t>
  </si>
  <si>
    <t>3-A53248</t>
  </si>
  <si>
    <t>Fuel filter</t>
  </si>
  <si>
    <t>Air cleaner</t>
  </si>
  <si>
    <t>Pad kit</t>
  </si>
  <si>
    <t>23390-01070</t>
  </si>
  <si>
    <t>17801-01040</t>
  </si>
  <si>
    <t>04465-ok360</t>
  </si>
  <si>
    <t>90915-42224</t>
  </si>
  <si>
    <t>Yigerem Ayalew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</si>
  <si>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 Replaced gear box and defferential oil 
- 10,000 Km serevice performed
- Replaced front brake pad kit
- Replaced Air cleaner
- Checked all electrial system </t>
    </r>
  </si>
  <si>
    <t>15W40</t>
  </si>
  <si>
    <t xml:space="preserve">Nut hub </t>
  </si>
  <si>
    <t>Abel 
Mekonin</t>
  </si>
  <si>
    <t xml:space="preserve">Lamp Ass PR </t>
  </si>
  <si>
    <t>81560 ok 150</t>
  </si>
  <si>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
</t>
    </r>
    <r>
      <rPr>
        <sz val="18"/>
        <color theme="1"/>
        <rFont val="Cambria"/>
        <family val="1"/>
        <scheme val="major"/>
      </rPr>
      <t xml:space="preserve">- </t>
    </r>
    <r>
      <rPr>
        <b/>
        <sz val="16"/>
        <color theme="1"/>
        <rFont val="Cambria"/>
        <family val="1"/>
        <scheme val="major"/>
      </rPr>
      <t xml:space="preserve">Differential oil Changed
- Gear box oil changed
- Rear RHS combination light changed by new
</t>
    </r>
    <r>
      <rPr>
        <b/>
        <sz val="14"/>
        <color theme="1"/>
        <rFont val="Cambria"/>
        <family val="1"/>
        <scheme val="major"/>
      </rPr>
      <t xml:space="preserve">
- Summer to summer Km  covered 45333</t>
    </r>
  </si>
  <si>
    <t>con washer</t>
  </si>
  <si>
    <t>washer claw</t>
  </si>
  <si>
    <t xml:space="preserve">bolt Hub </t>
  </si>
  <si>
    <t>nut hub</t>
  </si>
  <si>
    <t>clip for front disc brake</t>
  </si>
  <si>
    <t>bush</t>
  </si>
  <si>
    <t>seal oil</t>
  </si>
  <si>
    <t xml:space="preserve">leaf RR spring </t>
  </si>
  <si>
    <t>stud hex lobular</t>
  </si>
  <si>
    <t>pad kit disc brake</t>
  </si>
  <si>
    <t>insulator engine mounting</t>
  </si>
  <si>
    <t>42323-60020</t>
  </si>
  <si>
    <t>90942-02030</t>
  </si>
  <si>
    <t>90942-02083</t>
  </si>
  <si>
    <t>90468-12015</t>
  </si>
  <si>
    <t>90385-18021</t>
  </si>
  <si>
    <t>48212-6A100</t>
  </si>
  <si>
    <t>90126-12005</t>
  </si>
  <si>
    <t>12361-17091</t>
  </si>
  <si>
    <t xml:space="preserve">Rear brake line </t>
  </si>
  <si>
    <t>Rear and front shock absorber</t>
  </si>
  <si>
    <t>RHS engine support</t>
  </si>
  <si>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 All axle hub bearing lubricated
- Replaced LHS front engine support 
- Replaced rear RHS 2nd and 5th and LHS 2nd leaf spring replaced
- Replaced front brake pad 
- Replaced gear box and differential oil 
- Replaced wheel bolt front RHS 01 pcs replaced leaf spring bushing 02 pcs
- Checked and repaired all electrical system 
</t>
    </r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</si>
  <si>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 Checked front and rear brake
- Replaced gear box oil
- Replaced differential front and rear oil
- Replaced new air cleaner
- Checked and repaired all electrical systems
- Summer to summer covered Km 39126</t>
    </r>
  </si>
  <si>
    <t>Element</t>
  </si>
  <si>
    <t>90915-427D2</t>
  </si>
  <si>
    <t>17801-01010</t>
  </si>
  <si>
    <t>Michael Tefera</t>
  </si>
  <si>
    <t>Front RHS bearing</t>
  </si>
  <si>
    <t>3-56942</t>
  </si>
  <si>
    <r>
      <t xml:space="preserve"> Other activity checked &amp; performed :-
</t>
    </r>
    <r>
      <rPr>
        <sz val="18"/>
        <color theme="1"/>
        <rFont val="Cambria"/>
        <family val="1"/>
        <scheme val="major"/>
      </rPr>
      <t>-</t>
    </r>
    <r>
      <rPr>
        <b/>
        <sz val="18"/>
        <color theme="1"/>
        <rFont val="Cambria"/>
        <family val="1"/>
        <scheme val="major"/>
      </rPr>
      <t xml:space="preserve"> Replaced</t>
    </r>
    <r>
      <rPr>
        <sz val="18"/>
        <color theme="1"/>
        <rFont val="Cambria"/>
        <family val="1"/>
        <scheme val="major"/>
      </rPr>
      <t xml:space="preserve">  </t>
    </r>
    <r>
      <rPr>
        <b/>
        <sz val="18"/>
        <color theme="1"/>
        <rFont val="Cambria"/>
        <family val="1"/>
        <scheme val="major"/>
      </rPr>
      <t>power rear brake lining
- Replaced trailer RHS last axle inner bearing 01 pcs 
- Checked and lubricated all axle hub bearing 
- Checked all electrical system
- Weld and turning leaf spring shackle  pin 
- Thightened  trailer leaf spring U bolt</t>
    </r>
    <r>
      <rPr>
        <b/>
        <u val="double"/>
        <sz val="18"/>
        <color theme="1"/>
        <rFont val="Cambria"/>
        <family val="1"/>
        <scheme val="major"/>
      </rPr>
      <t xml:space="preserve">
</t>
    </r>
    <r>
      <rPr>
        <b/>
        <sz val="18"/>
        <color theme="1"/>
        <rFont val="Cambria"/>
        <family val="1"/>
        <scheme val="major"/>
      </rPr>
      <t xml:space="preserve">
- Summer to summer Km 15667</t>
    </r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</si>
  <si>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 Replaced pressure plate
- Replaced clutch disc
- Replaced realease  bearing
- Replaced rear brake lining 
- Replaced gear box and differential oil 
- Checked all electrical system
- Modifaied missed fuel tanker cup door
- Replaced differential front and rear oil 
- Replaced gear box oil
-  
- Summer to summer covered Km 38668</t>
    </r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</si>
  <si>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 Checked all brake and cleaned
- Checked gear box and differential oil level
- Checked all electrical systems
- Replaced front brake pad sound control fitting
- Summer to summer covered Km 23988</t>
    </r>
  </si>
  <si>
    <t>90214-4230</t>
  </si>
  <si>
    <t>Rear axle brake lining</t>
  </si>
  <si>
    <t xml:space="preserve">Front LHS bearing lock </t>
  </si>
  <si>
    <t>Right side middle wheel bolt</t>
  </si>
  <si>
    <t xml:space="preserve">Right middle inner grease seal </t>
  </si>
  <si>
    <t>3454105020 &amp; 
3454105010</t>
  </si>
  <si>
    <t>LHS rare axle  colenet  wheel bolt</t>
  </si>
  <si>
    <t>P0942-02081</t>
  </si>
  <si>
    <t>90369-T0003</t>
  </si>
  <si>
    <t xml:space="preserve">Signature _____________________      </t>
  </si>
  <si>
    <t xml:space="preserve">      Signature _____________________      </t>
  </si>
  <si>
    <t xml:space="preserve">Rear brake lining </t>
  </si>
  <si>
    <t xml:space="preserve">Bulk Truck
</t>
  </si>
  <si>
    <t>04495-OK120</t>
  </si>
  <si>
    <t>48831-OK170</t>
  </si>
  <si>
    <t>Signature:-________________________________</t>
  </si>
  <si>
    <t>Fitting Kit</t>
  </si>
  <si>
    <t>04947-ok040</t>
  </si>
  <si>
    <t>Clutch disc with cover</t>
  </si>
  <si>
    <t>Release bearing</t>
  </si>
  <si>
    <t>Brake lining rear</t>
  </si>
  <si>
    <t>3-56066</t>
  </si>
  <si>
    <t>Medium truck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</si>
  <si>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-Cheked and cleaned all brake
- Checked all electric system
</t>
    </r>
  </si>
  <si>
    <r>
      <t>Leaf spring front 4</t>
    </r>
    <r>
      <rPr>
        <vertAlign val="superscript"/>
        <sz val="11"/>
        <color theme="1"/>
        <rFont val="Cambria"/>
        <family val="1"/>
        <scheme val="major"/>
      </rPr>
      <t>th</t>
    </r>
  </si>
  <si>
    <t>Leaf spring front 5th</t>
  </si>
  <si>
    <r>
      <t>Leaf spring front 3</t>
    </r>
    <r>
      <rPr>
        <vertAlign val="superscript"/>
        <sz val="11"/>
        <color theme="1"/>
        <rFont val="Cambria"/>
        <family val="1"/>
        <scheme val="major"/>
      </rPr>
      <t>rd</t>
    </r>
  </si>
  <si>
    <t xml:space="preserve">FR center bolt 100 m </t>
  </si>
  <si>
    <t>U bolt front</t>
  </si>
  <si>
    <t xml:space="preserve">Front left &amp; right brake shoe </t>
  </si>
  <si>
    <t>Rare left &amp; right brake shoe</t>
  </si>
  <si>
    <t>Rear left &amp; right inner seal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</si>
  <si>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sz val="14"/>
        <color theme="1"/>
        <rFont val="Cambria"/>
        <family val="1"/>
        <scheme val="major"/>
      </rPr>
      <t xml:space="preserve">
- Checked and cleaned all brake
- Replaced gear box oil 
- Replaced front and rear transmission oil
- Checked all electric system and replaced rear stop light bulb</t>
    </r>
  </si>
  <si>
    <r>
      <t>Serviced By ______</t>
    </r>
    <r>
      <rPr>
        <b/>
        <u/>
        <sz val="14"/>
        <color theme="1"/>
        <rFont val="Cambria"/>
        <family val="1"/>
        <scheme val="major"/>
      </rPr>
      <t>__     ___</t>
    </r>
    <r>
      <rPr>
        <b/>
        <sz val="14"/>
        <color theme="1"/>
        <rFont val="Cambria"/>
        <family val="1"/>
        <scheme val="major"/>
      </rPr>
      <t>__                                                                                                                                                Approved by _________________</t>
    </r>
  </si>
  <si>
    <r>
      <t>Checked By ______</t>
    </r>
    <r>
      <rPr>
        <b/>
        <u/>
        <sz val="14"/>
        <color theme="1"/>
        <rFont val="Cambria"/>
        <family val="1"/>
        <scheme val="major"/>
      </rPr>
      <t>__     ___</t>
    </r>
    <r>
      <rPr>
        <b/>
        <sz val="14"/>
        <color theme="1"/>
        <rFont val="Cambria"/>
        <family val="1"/>
        <scheme val="major"/>
      </rPr>
      <t>__                                                                                                                                                Approved by _________________</t>
    </r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</si>
  <si>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</t>
    </r>
    <r>
      <rPr>
        <b/>
        <sz val="16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
- Checked and cleaned all brake condtion 
- Cheked all electrical system
- All grease nipple greased</t>
    </r>
  </si>
  <si>
    <r>
      <t xml:space="preserve">                                                       Checked By ______</t>
    </r>
    <r>
      <rPr>
        <b/>
        <u/>
        <sz val="14"/>
        <color theme="1"/>
        <rFont val="Cambria"/>
        <family val="1"/>
        <scheme val="major"/>
      </rPr>
      <t xml:space="preserve">__           </t>
    </r>
    <r>
      <rPr>
        <b/>
        <sz val="14"/>
        <color theme="1"/>
        <rFont val="Cambria"/>
        <family val="1"/>
        <scheme val="major"/>
      </rPr>
      <t xml:space="preserve">                                                           Approved by _________________</t>
    </r>
  </si>
  <si>
    <r>
      <t>Serviced By ______</t>
    </r>
    <r>
      <rPr>
        <b/>
        <u/>
        <sz val="16"/>
        <color theme="1"/>
        <rFont val="Cambria"/>
        <family val="1"/>
        <scheme val="major"/>
      </rPr>
      <t xml:space="preserve">__    </t>
    </r>
    <r>
      <rPr>
        <b/>
        <sz val="16"/>
        <color theme="1"/>
        <rFont val="Cambria"/>
        <family val="1"/>
        <scheme val="major"/>
      </rPr>
      <t xml:space="preserve">                                                              Approved by _________________</t>
    </r>
  </si>
  <si>
    <t>RH brake pad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</si>
  <si>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-Replaced clutch cover (pressure plate)
- Replaced clutch disc
- Replaced release bearing 
- Cheked all brake
- Checked all electrical system</t>
    </r>
  </si>
  <si>
    <t>Brake shoes</t>
  </si>
  <si>
    <r>
      <t xml:space="preserve"> Other activity checked &amp; performed :-
</t>
    </r>
    <r>
      <rPr>
        <sz val="18"/>
        <color theme="1"/>
        <rFont val="Cambria"/>
        <family val="1"/>
        <scheme val="major"/>
      </rPr>
      <t>-</t>
    </r>
    <r>
      <rPr>
        <b/>
        <sz val="18"/>
        <color theme="1"/>
        <rFont val="Cambria"/>
        <family val="1"/>
        <scheme val="major"/>
      </rPr>
      <t xml:space="preserve"> Replaced rear brake lining kit
- Checked gear box and differential oil
- Checked and repaired all electrical system</t>
    </r>
  </si>
  <si>
    <t>Shoe kit brake rear</t>
  </si>
  <si>
    <t>04495-ok 120</t>
  </si>
  <si>
    <t>Hub bearing outer FR</t>
  </si>
  <si>
    <t>Cup set front wheel</t>
  </si>
  <si>
    <t>Cover Assy clutch</t>
  </si>
  <si>
    <t>31210-ok050</t>
  </si>
  <si>
    <t>Disc As clutch</t>
  </si>
  <si>
    <t>31250-Ok 060</t>
  </si>
  <si>
    <t xml:space="preserve">Bearing Assy clutch </t>
  </si>
  <si>
    <t>31230-71011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</si>
  <si>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-Checked and cleaned all brakes
- Checked all electrical system
</t>
    </r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</si>
  <si>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 Replaced front and rear differential oil
- Replaced gear box oil
- Checked front and rear brake lining and pads 
- Checked all electric system
</t>
    </r>
  </si>
  <si>
    <t xml:space="preserve">    Approved by _________________</t>
  </si>
  <si>
    <t xml:space="preserve">Signature _____________________                                                                                                                                           </t>
  </si>
  <si>
    <t>Signature __________________</t>
  </si>
  <si>
    <t xml:space="preserve">Michael 
Tefera  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</si>
  <si>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 Checked all front and rear brake
- Checked all electrical system
- All grease nipple greased 
-Replaced gear box oil 
- Replaced front rear differential oil </t>
    </r>
  </si>
  <si>
    <t xml:space="preserve"> Signature _____________________      </t>
  </si>
  <si>
    <t xml:space="preserve">Michael Tefera </t>
  </si>
  <si>
    <t>Reta Arega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</si>
  <si>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 Checked all front and rear brake 
- Replaced gear box oil 
- Replaced front and rear differential oil 
- Checked all electric system</t>
    </r>
  </si>
  <si>
    <t>Plug sub assy</t>
  </si>
  <si>
    <t>90341-18006</t>
  </si>
  <si>
    <t xml:space="preserve">Air cleaner 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</si>
  <si>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-Replaced rear brake lining 
- Checked and luricated front axle bearing
- Replaced front gear box and differential oil
- Replaced ignation key assy
- Startor motor waiting for out side repaire </t>
    </r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</si>
  <si>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 Replaced front axle inner and outer bearing for LHS and RHS
- Replaced front  axle hub seal 02 pcs both side
- Replaced rear  axle grease hub seal both side 
- Replaced gear box and differential oil
- Checked and repaired all electric system</t>
    </r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</si>
  <si>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-All axle bearing lubricated
- Replaced front  LHS brake wheel cylinder seal kit replaced
- Weld and repaired driver seat
- Fitted rear protector bolts 02 pcs
- Replaced gear box &amp; differential oil 
- Weld both side side protector
-  Repaired all electrical problem
- Welded rear differential cracked</t>
    </r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</si>
  <si>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-Reoplaced front brake lining 
- Replaced rear brake linings 
- Replaced all brake adjuster boots (16 pcs)
- Replaced brake adjuster (2) pcs
- Retaining rear RHS rear axle drum
- Replaced trailer LHS middle axle inner bearing 
- Replaced trailer LHS middle axle and last axle grease seals 02 pcs
- Repaired all electrical system
- </t>
    </r>
  </si>
  <si>
    <t xml:space="preserve">RR( RHS) drum </t>
  </si>
  <si>
    <t xml:space="preserve">Bearing </t>
  </si>
  <si>
    <t>Rear brake cylinder seal kit</t>
  </si>
  <si>
    <t xml:space="preserve">Yigerem Ayalew </t>
  </si>
  <si>
    <t>87831598-O</t>
  </si>
  <si>
    <t>Front Hub Outer Bearing</t>
  </si>
  <si>
    <t>Signature:-______________________</t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</si>
  <si>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-Replaced front axle LHS outer bearing
- Replaced front LHS wheel cylinder seal kit
- All Axle hub bearing lubricated 
- Replaced gear box and differential oil
- Checked and repaired all electrical system</t>
    </r>
  </si>
  <si>
    <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-All axle hub bearing lubricate
- Replaced front right and left side wheel brake cylinder 02 pcs
- Replaced engine oil pressure sensor by new 
- Repaired hand brake cable
- Replaced gear box and differenial oil
- Repaired bended tie rod</t>
    </r>
  </si>
  <si>
    <t>Engine oil pressure sensor</t>
  </si>
  <si>
    <t xml:space="preserve">Brake adjuster boots </t>
  </si>
  <si>
    <t>Front brake cylinder seal kit</t>
  </si>
  <si>
    <t>Front axle hub seal</t>
  </si>
  <si>
    <t>Rear axle hub seal</t>
  </si>
  <si>
    <t xml:space="preserve">Yirgalem Ayalew 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</si>
  <si>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>- Replaced front LHS lower bracket ball joint 
- Checked and lubricated front axle hub bearing
- Checked all brake systems
- Replaced gear box and differential oil
- Checked and repaired all electrical system
-</t>
    </r>
  </si>
  <si>
    <r>
      <t xml:space="preserve"> Other activity checked &amp; performed :-
</t>
    </r>
    <r>
      <rPr>
        <sz val="18"/>
        <color theme="1"/>
        <rFont val="Cambria"/>
        <family val="1"/>
        <scheme val="major"/>
      </rPr>
      <t>-</t>
    </r>
    <r>
      <rPr>
        <b/>
        <sz val="18"/>
        <color theme="1"/>
        <rFont val="Cambria"/>
        <family val="1"/>
        <scheme val="major"/>
      </rPr>
      <t xml:space="preserve"> All axle hub bearing lubricated
- Replaced gear box oil
- All brake lining cleaned and checked 
- Replaced differential oil
-  Checked and replaced all electrical system</t>
    </r>
  </si>
  <si>
    <t xml:space="preserve">Front and rear  left and right  brake shoe </t>
  </si>
  <si>
    <t>Rear inner left &amp; right bearing seal</t>
  </si>
  <si>
    <t>kit 02</t>
  </si>
  <si>
    <r>
      <rPr>
        <b/>
        <u val="double"/>
        <sz val="14"/>
        <color theme="1"/>
        <rFont val="Cambria"/>
        <family val="1"/>
        <scheme val="major"/>
      </rPr>
      <t xml:space="preserve">
</t>
    </r>
    <r>
      <rPr>
        <b/>
        <u val="double"/>
        <sz val="18"/>
        <color theme="1"/>
        <rFont val="Cambria"/>
        <family val="1"/>
        <scheme val="major"/>
      </rPr>
      <t xml:space="preserve">Other activity checked &amp; performed :-
</t>
    </r>
    <r>
      <rPr>
        <b/>
        <sz val="14"/>
        <color theme="1"/>
        <rFont val="Cambria"/>
        <family val="1"/>
        <scheme val="major"/>
      </rPr>
      <t xml:space="preserve">
-All axle hub bearing lubricated
- Checked and cleaned all brake lining
- Replaced gear box oil
- Replaced differential oil
- Checked all electrical system</t>
    </r>
  </si>
  <si>
    <t>Getntet Dress</t>
  </si>
  <si>
    <t xml:space="preserve">Hub seal rear RHS (Grease seal </t>
  </si>
  <si>
    <t>Rear inner &amp; outer RHS</t>
  </si>
  <si>
    <t xml:space="preserve">Front Hub bearing outer both </t>
  </si>
  <si>
    <r>
      <t xml:space="preserve"> Other activity checked &amp; performed :-
</t>
    </r>
    <r>
      <rPr>
        <b/>
        <sz val="18"/>
        <color theme="1"/>
        <rFont val="Cambria"/>
        <family val="1"/>
        <scheme val="major"/>
      </rPr>
      <t xml:space="preserve">- Replaced rear brake wheel cylinder seal kit
- Replaced steering belt
- Replaced front axle hub seal both side
-Replaced gear box and differential oil
-  Repaired cabin support
- Front axle bearing lubricated 
- Checked all electrical system </t>
    </r>
  </si>
  <si>
    <t>2 kit</t>
  </si>
  <si>
    <t>set</t>
  </si>
  <si>
    <t xml:space="preserve">Brake rigister </t>
  </si>
  <si>
    <t>Brake lining kit STD</t>
  </si>
  <si>
    <t>Front brake wheel cylinder</t>
  </si>
  <si>
    <t>Front &amp; rare  brake lining</t>
  </si>
  <si>
    <t>Front  hub outer bearing</t>
  </si>
  <si>
    <r>
      <rPr>
        <b/>
        <u val="double"/>
        <sz val="18"/>
        <color theme="1"/>
        <rFont val="Cambria"/>
        <family val="1"/>
        <scheme val="major"/>
      </rPr>
      <t>Other activity checked &amp; performed :-</t>
    </r>
    <r>
      <rPr>
        <b/>
        <sz val="18"/>
        <color theme="1"/>
        <rFont val="Cambria"/>
        <family val="1"/>
        <scheme val="major"/>
      </rPr>
      <t xml:space="preserve">
</t>
    </r>
    <r>
      <rPr>
        <b/>
        <u/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 xml:space="preserve">- Replaced front RHS knckle bearing 01 pcs
- Replaced front brake pad kit
- Replaced front and rear differential oil
- Replaced gear box oil
- Repaired LHS window regulator 
- Repaired all electrical system
- All axle hub bearing lubricated </t>
    </r>
  </si>
  <si>
    <t xml:space="preserve">Joint assy </t>
  </si>
  <si>
    <t>32925-00203</t>
  </si>
  <si>
    <t xml:space="preserve">Hose clamp </t>
  </si>
  <si>
    <t xml:space="preserve">Ignition key   </t>
  </si>
  <si>
    <t xml:space="preserve"> Other activity checked &amp; performed :-
</t>
  </si>
  <si>
    <t>APPROVED BY:</t>
  </si>
  <si>
    <t xml:space="preserve">Name: </t>
  </si>
  <si>
    <t>Signature:</t>
  </si>
  <si>
    <t>CREATED BY:</t>
  </si>
  <si>
    <t>Name:</t>
  </si>
  <si>
    <t xml:space="preserve">Effective Date </t>
  </si>
  <si>
    <t>Page 2</t>
  </si>
  <si>
    <t>Page 3</t>
  </si>
  <si>
    <t>Page 4</t>
  </si>
  <si>
    <t>አሰር ኮንስትራክሽን ኃ.የተ.የግ.ማ</t>
  </si>
  <si>
    <t xml:space="preserve">FORM </t>
  </si>
  <si>
    <t>Document No</t>
  </si>
  <si>
    <t>ASER CONSTRUCTION P.L.C</t>
  </si>
  <si>
    <t>Issue. No</t>
  </si>
  <si>
    <t xml:space="preserve">
Summer Maintenance report
</t>
  </si>
  <si>
    <t>PREPARED BY</t>
  </si>
  <si>
    <t>CHECKED BY</t>
  </si>
  <si>
    <t>APPROVED BY</t>
  </si>
  <si>
    <t>NAME:-____________</t>
  </si>
  <si>
    <t>NAME:-_____________</t>
  </si>
  <si>
    <t>NAME :- ________________</t>
  </si>
  <si>
    <t>SIGNATURE   _________</t>
  </si>
  <si>
    <t>SIGNATURE   _____________</t>
  </si>
  <si>
    <t>Date :-______________</t>
  </si>
  <si>
    <t>_______________</t>
  </si>
  <si>
    <t>OF/EMD/007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</si>
</sst>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h]:mm:ss;@"/>
  </numFmts>
  <fonts count="53"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u val="double"/>
      <sz val="12"/>
      <color theme="1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u/>
      <sz val="14"/>
      <color theme="1"/>
      <name val="Cambria"/>
      <family val="1"/>
      <scheme val="major"/>
    </font>
    <font>
      <vertAlign val="subscript"/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vertAlign val="superscript"/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u/>
      <sz val="16"/>
      <color theme="1"/>
      <name val="Cambria"/>
      <family val="1"/>
      <scheme val="major"/>
    </font>
    <font>
      <sz val="28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u val="double"/>
      <sz val="14"/>
      <color theme="1"/>
      <name val="Cambria"/>
      <family val="1"/>
      <scheme val="major"/>
    </font>
    <font>
      <b/>
      <u/>
      <sz val="14"/>
      <color theme="1"/>
      <name val="Cambria"/>
      <family val="1"/>
      <scheme val="major"/>
    </font>
    <font>
      <sz val="13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u val="double"/>
      <sz val="18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8"/>
      <color theme="1"/>
      <name val="Cambria"/>
      <family val="1"/>
      <scheme val="major"/>
    </font>
    <font>
      <vertAlign val="superscript"/>
      <sz val="12"/>
      <color theme="1"/>
      <name val="Cambria"/>
      <family val="1"/>
      <scheme val="major"/>
    </font>
    <font>
      <b/>
      <vertAlign val="superscript"/>
      <sz val="14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u/>
      <sz val="16"/>
      <color theme="1"/>
      <name val="Cambria"/>
      <family val="1"/>
      <scheme val="major"/>
    </font>
    <font>
      <sz val="10"/>
      <color indexed="8"/>
      <name val="Arial"/>
      <family val="2"/>
    </font>
    <font>
      <b/>
      <u val="double"/>
      <sz val="2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vertAlign val="superscript"/>
      <sz val="18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hadow/>
      <sz val="14"/>
      <color theme="1"/>
      <name val="Times New Roman"/>
      <family val="1"/>
    </font>
    <font>
      <u val="double"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2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14" fontId="4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8" xfId="0" applyBorder="1"/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14" fontId="4" fillId="0" borderId="11" xfId="0" applyNumberFormat="1" applyFont="1" applyBorder="1" applyAlignment="1">
      <alignment vertical="center"/>
    </xf>
    <xf numFmtId="0" fontId="4" fillId="0" borderId="11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vertical="center" wrapText="1"/>
    </xf>
    <xf numFmtId="0" fontId="7" fillId="0" borderId="0" xfId="0" applyFont="1" applyAlignment="1"/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2" fontId="4" fillId="0" borderId="8" xfId="0" applyNumberFormat="1" applyFont="1" applyBorder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/>
    </xf>
    <xf numFmtId="0" fontId="7" fillId="0" borderId="0" xfId="0" applyFont="1" applyBorder="1" applyAlignment="1"/>
    <xf numFmtId="0" fontId="0" fillId="0" borderId="0" xfId="0" applyBorder="1"/>
    <xf numFmtId="0" fontId="10" fillId="0" borderId="0" xfId="0" applyFont="1" applyBorder="1" applyAlignment="1">
      <alignment horizontal="left" vertical="center" indent="2"/>
    </xf>
    <xf numFmtId="0" fontId="4" fillId="0" borderId="6" xfId="0" applyFont="1" applyBorder="1"/>
    <xf numFmtId="0" fontId="4" fillId="0" borderId="9" xfId="0" applyFont="1" applyBorder="1"/>
    <xf numFmtId="0" fontId="1" fillId="0" borderId="27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2" fillId="0" borderId="30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3" fillId="0" borderId="0" xfId="0" applyFont="1" applyBorder="1" applyAlignment="1">
      <alignment horizontal="left" vertical="center" indent="2"/>
    </xf>
    <xf numFmtId="0" fontId="4" fillId="0" borderId="3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" fillId="0" borderId="25" xfId="0" applyFont="1" applyBorder="1" applyAlignment="1">
      <alignment vertical="center"/>
    </xf>
    <xf numFmtId="0" fontId="4" fillId="0" borderId="11" xfId="0" applyFont="1" applyBorder="1" applyAlignment="1">
      <alignment wrapText="1"/>
    </xf>
    <xf numFmtId="0" fontId="4" fillId="0" borderId="19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/>
    </xf>
    <xf numFmtId="0" fontId="0" fillId="0" borderId="9" xfId="0" applyBorder="1"/>
    <xf numFmtId="0" fontId="1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0" fillId="0" borderId="12" xfId="0" applyBorder="1"/>
    <xf numFmtId="0" fontId="1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23" xfId="0" applyFont="1" applyBorder="1"/>
    <xf numFmtId="0" fontId="4" fillId="0" borderId="23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1" fillId="0" borderId="3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0" fillId="0" borderId="8" xfId="0" applyFont="1" applyBorder="1" applyAlignment="1">
      <alignment horizontal="left" vertical="center" indent="2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4" fillId="0" borderId="9" xfId="0" applyFont="1" applyBorder="1" applyAlignment="1">
      <alignment wrapText="1"/>
    </xf>
    <xf numFmtId="0" fontId="1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left"/>
    </xf>
    <xf numFmtId="0" fontId="1" fillId="0" borderId="48" xfId="0" applyFont="1" applyBorder="1" applyAlignment="1">
      <alignment vertical="center"/>
    </xf>
    <xf numFmtId="0" fontId="4" fillId="0" borderId="8" xfId="0" applyFont="1" applyBorder="1" applyAlignment="1">
      <alignment horizontal="left" wrapText="1"/>
    </xf>
    <xf numFmtId="0" fontId="1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0" fillId="0" borderId="11" xfId="0" applyBorder="1"/>
    <xf numFmtId="0" fontId="12" fillId="0" borderId="0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23" xfId="0" applyBorder="1"/>
    <xf numFmtId="0" fontId="0" fillId="0" borderId="37" xfId="0" applyBorder="1"/>
    <xf numFmtId="0" fontId="4" fillId="0" borderId="7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31" xfId="0" applyBorder="1"/>
    <xf numFmtId="0" fontId="1" fillId="0" borderId="31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13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46" xfId="0" applyBorder="1"/>
    <xf numFmtId="14" fontId="4" fillId="0" borderId="19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0" xfId="0" applyFont="1" applyBorder="1" applyAlignment="1"/>
    <xf numFmtId="0" fontId="4" fillId="0" borderId="7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left"/>
    </xf>
    <xf numFmtId="0" fontId="4" fillId="0" borderId="12" xfId="0" applyFont="1" applyBorder="1" applyAlignment="1">
      <alignment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5" fillId="0" borderId="9" xfId="0" applyFont="1" applyBorder="1"/>
    <xf numFmtId="0" fontId="4" fillId="0" borderId="23" xfId="0" applyFont="1" applyBorder="1" applyAlignment="1">
      <alignment vertical="center"/>
    </xf>
    <xf numFmtId="14" fontId="4" fillId="0" borderId="23" xfId="0" applyNumberFormat="1" applyFont="1" applyBorder="1" applyAlignment="1">
      <alignment vertical="center"/>
    </xf>
    <xf numFmtId="0" fontId="15" fillId="0" borderId="38" xfId="0" applyFont="1" applyBorder="1"/>
    <xf numFmtId="0" fontId="4" fillId="0" borderId="23" xfId="0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2" fillId="0" borderId="51" xfId="0" applyFont="1" applyBorder="1" applyAlignment="1">
      <alignment horizontal="center" vertical="center" wrapText="1"/>
    </xf>
    <xf numFmtId="0" fontId="4" fillId="0" borderId="44" xfId="0" applyFont="1" applyBorder="1" applyAlignment="1">
      <alignment vertical="center" wrapText="1"/>
    </xf>
    <xf numFmtId="0" fontId="1" fillId="0" borderId="45" xfId="0" applyFont="1" applyBorder="1" applyAlignment="1">
      <alignment vertical="center"/>
    </xf>
    <xf numFmtId="0" fontId="1" fillId="0" borderId="0" xfId="0" applyFont="1" applyAlignment="1"/>
    <xf numFmtId="0" fontId="15" fillId="0" borderId="8" xfId="0" applyFont="1" applyBorder="1" applyAlignment="1">
      <alignment vertical="center" wrapText="1"/>
    </xf>
    <xf numFmtId="0" fontId="18" fillId="0" borderId="0" xfId="0" applyFont="1" applyAlignment="1"/>
    <xf numFmtId="0" fontId="0" fillId="0" borderId="9" xfId="0" applyBorder="1" applyAlignment="1">
      <alignment horizontal="left"/>
    </xf>
    <xf numFmtId="0" fontId="12" fillId="0" borderId="9" xfId="0" applyFont="1" applyBorder="1" applyAlignment="1">
      <alignment vertical="center" wrapText="1"/>
    </xf>
    <xf numFmtId="0" fontId="12" fillId="0" borderId="9" xfId="0" quotePrefix="1" applyFont="1" applyBorder="1" applyAlignment="1">
      <alignment vertical="center" wrapText="1"/>
    </xf>
    <xf numFmtId="0" fontId="0" fillId="0" borderId="8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10" fillId="0" borderId="8" xfId="0" applyFont="1" applyBorder="1"/>
    <xf numFmtId="0" fontId="10" fillId="0" borderId="8" xfId="0" quotePrefix="1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wrapText="1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vertical="center"/>
    </xf>
    <xf numFmtId="0" fontId="21" fillId="0" borderId="8" xfId="0" applyFont="1" applyBorder="1"/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7" fillId="0" borderId="8" xfId="0" applyFont="1" applyBorder="1"/>
    <xf numFmtId="0" fontId="7" fillId="0" borderId="8" xfId="0" applyFont="1" applyBorder="1" applyAlignment="1">
      <alignment horizontal="left"/>
    </xf>
    <xf numFmtId="0" fontId="12" fillId="0" borderId="9" xfId="0" quotePrefix="1" applyNumberFormat="1" applyFont="1" applyBorder="1" applyAlignment="1">
      <alignment horizontal="center" vertical="center"/>
    </xf>
    <xf numFmtId="0" fontId="7" fillId="0" borderId="8" xfId="0" applyFont="1" applyBorder="1" applyAlignment="1">
      <alignment wrapText="1"/>
    </xf>
    <xf numFmtId="0" fontId="24" fillId="0" borderId="8" xfId="0" applyFont="1" applyBorder="1" applyAlignment="1">
      <alignment vertical="center" wrapText="1"/>
    </xf>
    <xf numFmtId="14" fontId="15" fillId="0" borderId="8" xfId="0" applyNumberFormat="1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vertical="center"/>
    </xf>
    <xf numFmtId="0" fontId="7" fillId="0" borderId="8" xfId="0" quotePrefix="1" applyFont="1" applyBorder="1" applyAlignment="1">
      <alignment horizontal="left"/>
    </xf>
    <xf numFmtId="0" fontId="7" fillId="0" borderId="8" xfId="0" quotePrefix="1" applyFont="1" applyBorder="1" applyAlignment="1">
      <alignment horizontal="left" vertical="center"/>
    </xf>
    <xf numFmtId="0" fontId="25" fillId="0" borderId="9" xfId="0" applyFont="1" applyBorder="1"/>
    <xf numFmtId="0" fontId="12" fillId="0" borderId="0" xfId="0" applyFont="1" applyAlignment="1"/>
    <xf numFmtId="0" fontId="21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2" fillId="0" borderId="8" xfId="0" quotePrefix="1" applyFont="1" applyBorder="1" applyAlignment="1">
      <alignment vertical="center" wrapText="1"/>
    </xf>
    <xf numFmtId="0" fontId="25" fillId="0" borderId="8" xfId="0" applyFont="1" applyBorder="1"/>
    <xf numFmtId="0" fontId="12" fillId="0" borderId="11" xfId="0" quotePrefix="1" applyFont="1" applyBorder="1" applyAlignment="1">
      <alignment vertical="center" wrapText="1"/>
    </xf>
    <xf numFmtId="0" fontId="28" fillId="0" borderId="0" xfId="0" applyFont="1"/>
    <xf numFmtId="0" fontId="1" fillId="0" borderId="0" xfId="0" applyFont="1" applyBorder="1" applyAlignment="1"/>
    <xf numFmtId="0" fontId="7" fillId="0" borderId="9" xfId="0" applyFont="1" applyBorder="1" applyAlignment="1">
      <alignment horizontal="center" vertical="center" wrapText="1"/>
    </xf>
    <xf numFmtId="0" fontId="0" fillId="0" borderId="0" xfId="0" applyBorder="1" applyAlignment="1"/>
    <xf numFmtId="0" fontId="4" fillId="0" borderId="8" xfId="0" quotePrefix="1" applyFont="1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0" fontId="12" fillId="0" borderId="11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2" fillId="0" borderId="8" xfId="0" quotePrefix="1" applyNumberFormat="1" applyFont="1" applyBorder="1" applyAlignment="1">
      <alignment horizontal="center" vertical="center"/>
    </xf>
    <xf numFmtId="0" fontId="29" fillId="0" borderId="8" xfId="0" applyFont="1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0" fillId="0" borderId="8" xfId="0" quotePrefix="1" applyFont="1" applyBorder="1" applyAlignment="1">
      <alignment horizontal="left" vertical="center"/>
    </xf>
    <xf numFmtId="0" fontId="21" fillId="0" borderId="9" xfId="0" applyFont="1" applyBorder="1" applyAlignment="1">
      <alignment vertical="center"/>
    </xf>
    <xf numFmtId="0" fontId="4" fillId="0" borderId="8" xfId="0" quotePrefix="1" applyFont="1" applyBorder="1" applyAlignment="1">
      <alignment vertical="center" wrapText="1"/>
    </xf>
    <xf numFmtId="0" fontId="15" fillId="0" borderId="8" xfId="0" quotePrefix="1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indent="9"/>
    </xf>
    <xf numFmtId="0" fontId="0" fillId="0" borderId="0" xfId="0" applyAlignment="1">
      <alignment horizontal="left" indent="9"/>
    </xf>
    <xf numFmtId="0" fontId="15" fillId="0" borderId="8" xfId="0" quotePrefix="1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0" fillId="0" borderId="0" xfId="0" applyFont="1"/>
    <xf numFmtId="0" fontId="15" fillId="0" borderId="8" xfId="0" applyFont="1" applyBorder="1"/>
    <xf numFmtId="0" fontId="15" fillId="0" borderId="8" xfId="0" applyFont="1" applyBorder="1" applyAlignment="1">
      <alignment horizontal="left"/>
    </xf>
    <xf numFmtId="0" fontId="15" fillId="0" borderId="8" xfId="0" applyFont="1" applyBorder="1" applyAlignment="1">
      <alignment horizontal="center"/>
    </xf>
    <xf numFmtId="0" fontId="15" fillId="0" borderId="8" xfId="0" applyFont="1" applyBorder="1" applyAlignment="1">
      <alignment wrapText="1"/>
    </xf>
    <xf numFmtId="0" fontId="3" fillId="0" borderId="8" xfId="0" applyFont="1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0" fillId="0" borderId="9" xfId="0" applyBorder="1" applyAlignment="1">
      <alignment horizontal="center"/>
    </xf>
    <xf numFmtId="0" fontId="15" fillId="0" borderId="9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vertical="top"/>
    </xf>
    <xf numFmtId="0" fontId="32" fillId="0" borderId="0" xfId="0" applyFont="1" applyAlignment="1">
      <alignment vertical="top"/>
    </xf>
    <xf numFmtId="0" fontId="1" fillId="0" borderId="0" xfId="0" applyFont="1" applyAlignment="1">
      <alignment horizontal="left" indent="9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34" fillId="0" borderId="52" xfId="0" applyFont="1" applyFill="1" applyBorder="1" applyAlignment="1">
      <alignment wrapText="1"/>
    </xf>
    <xf numFmtId="0" fontId="0" fillId="0" borderId="52" xfId="0" applyFill="1" applyBorder="1" applyAlignment="1">
      <alignment wrapText="1"/>
    </xf>
    <xf numFmtId="4" fontId="34" fillId="0" borderId="52" xfId="0" applyNumberFormat="1" applyFont="1" applyFill="1" applyBorder="1" applyAlignment="1">
      <alignment horizontal="right" wrapText="1"/>
    </xf>
    <xf numFmtId="0" fontId="4" fillId="0" borderId="8" xfId="0" applyFont="1" applyBorder="1" applyAlignment="1">
      <alignment horizontal="center"/>
    </xf>
    <xf numFmtId="0" fontId="34" fillId="0" borderId="8" xfId="0" applyFont="1" applyFill="1" applyBorder="1" applyAlignment="1">
      <alignment wrapText="1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vertical="center"/>
    </xf>
    <xf numFmtId="0" fontId="0" fillId="0" borderId="53" xfId="0" applyBorder="1"/>
    <xf numFmtId="0" fontId="4" fillId="0" borderId="53" xfId="0" applyFont="1" applyBorder="1" applyAlignment="1">
      <alignment wrapText="1"/>
    </xf>
    <xf numFmtId="0" fontId="4" fillId="0" borderId="53" xfId="0" applyFont="1" applyBorder="1" applyAlignment="1">
      <alignment vertical="center" wrapText="1"/>
    </xf>
    <xf numFmtId="0" fontId="1" fillId="0" borderId="0" xfId="0" applyFont="1" applyBorder="1" applyAlignment="1">
      <alignment horizontal="left"/>
    </xf>
    <xf numFmtId="0" fontId="4" fillId="0" borderId="53" xfId="0" applyFont="1" applyBorder="1"/>
    <xf numFmtId="0" fontId="4" fillId="0" borderId="53" xfId="0" applyFont="1" applyBorder="1" applyAlignment="1">
      <alignment horizontal="left"/>
    </xf>
    <xf numFmtId="0" fontId="4" fillId="0" borderId="53" xfId="0" applyFont="1" applyBorder="1" applyAlignment="1">
      <alignment horizontal="center"/>
    </xf>
    <xf numFmtId="0" fontId="0" fillId="0" borderId="55" xfId="0" applyBorder="1"/>
    <xf numFmtId="0" fontId="4" fillId="0" borderId="54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4" fontId="4" fillId="0" borderId="53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vertical="center"/>
    </xf>
    <xf numFmtId="14" fontId="4" fillId="0" borderId="53" xfId="0" applyNumberFormat="1" applyFont="1" applyBorder="1" applyAlignment="1">
      <alignment vertical="center"/>
    </xf>
    <xf numFmtId="0" fontId="0" fillId="0" borderId="57" xfId="0" applyBorder="1"/>
    <xf numFmtId="0" fontId="1" fillId="0" borderId="57" xfId="0" applyFont="1" applyBorder="1" applyAlignment="1">
      <alignment vertical="center"/>
    </xf>
    <xf numFmtId="0" fontId="0" fillId="0" borderId="58" xfId="0" applyBorder="1"/>
    <xf numFmtId="0" fontId="12" fillId="0" borderId="0" xfId="0" applyFont="1" applyAlignment="1">
      <alignment horizontal="left"/>
    </xf>
    <xf numFmtId="0" fontId="15" fillId="0" borderId="53" xfId="0" applyFont="1" applyBorder="1" applyAlignment="1">
      <alignment wrapText="1"/>
    </xf>
    <xf numFmtId="0" fontId="15" fillId="0" borderId="53" xfId="0" applyFont="1" applyBorder="1" applyAlignment="1">
      <alignment horizontal="left"/>
    </xf>
    <xf numFmtId="0" fontId="15" fillId="0" borderId="53" xfId="0" applyFont="1" applyBorder="1" applyAlignment="1">
      <alignment horizontal="center"/>
    </xf>
    <xf numFmtId="0" fontId="15" fillId="0" borderId="53" xfId="0" applyFont="1" applyBorder="1"/>
    <xf numFmtId="0" fontId="15" fillId="0" borderId="53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7" fillId="0" borderId="0" xfId="0" applyFont="1" applyBorder="1"/>
    <xf numFmtId="0" fontId="4" fillId="0" borderId="0" xfId="0" applyFont="1" applyBorder="1" applyAlignment="1">
      <alignment horizontal="left" wrapText="1"/>
    </xf>
    <xf numFmtId="0" fontId="4" fillId="0" borderId="0" xfId="0" applyFont="1" applyBorder="1"/>
    <xf numFmtId="0" fontId="7" fillId="0" borderId="53" xfId="0" applyFont="1" applyBorder="1"/>
    <xf numFmtId="0" fontId="4" fillId="0" borderId="53" xfId="0" applyFont="1" applyBorder="1" applyAlignment="1">
      <alignment horizontal="left" wrapText="1"/>
    </xf>
    <xf numFmtId="0" fontId="0" fillId="0" borderId="55" xfId="0" applyBorder="1" applyAlignment="1">
      <alignment horizontal="center"/>
    </xf>
    <xf numFmtId="0" fontId="4" fillId="0" borderId="53" xfId="0" quotePrefix="1" applyFont="1" applyBorder="1" applyAlignment="1">
      <alignment horizontal="left"/>
    </xf>
    <xf numFmtId="0" fontId="34" fillId="0" borderId="53" xfId="0" applyFont="1" applyFill="1" applyBorder="1" applyAlignment="1">
      <alignment wrapText="1"/>
    </xf>
    <xf numFmtId="0" fontId="25" fillId="0" borderId="53" xfId="0" applyFont="1" applyBorder="1" applyAlignment="1">
      <alignment horizontal="center" vertical="center" wrapText="1"/>
    </xf>
    <xf numFmtId="0" fontId="7" fillId="0" borderId="53" xfId="0" applyFont="1" applyBorder="1" applyAlignment="1">
      <alignment vertical="center" wrapText="1"/>
    </xf>
    <xf numFmtId="0" fontId="15" fillId="0" borderId="55" xfId="0" applyFont="1" applyBorder="1" applyAlignment="1">
      <alignment horizontal="center" vertical="center"/>
    </xf>
    <xf numFmtId="1" fontId="15" fillId="0" borderId="53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/>
    </xf>
    <xf numFmtId="1" fontId="15" fillId="0" borderId="23" xfId="0" applyNumberFormat="1" applyFont="1" applyBorder="1" applyAlignment="1">
      <alignment vertical="center"/>
    </xf>
    <xf numFmtId="0" fontId="34" fillId="0" borderId="59" xfId="0" applyFont="1" applyFill="1" applyBorder="1" applyAlignment="1">
      <alignment wrapText="1"/>
    </xf>
    <xf numFmtId="0" fontId="4" fillId="0" borderId="53" xfId="0" applyNumberFormat="1" applyFont="1" applyBorder="1" applyAlignment="1">
      <alignment vertical="center"/>
    </xf>
    <xf numFmtId="0" fontId="4" fillId="0" borderId="60" xfId="0" applyFont="1" applyBorder="1"/>
    <xf numFmtId="0" fontId="4" fillId="0" borderId="60" xfId="0" applyFont="1" applyBorder="1" applyAlignment="1">
      <alignment horizontal="center"/>
    </xf>
    <xf numFmtId="0" fontId="0" fillId="0" borderId="60" xfId="0" applyBorder="1"/>
    <xf numFmtId="0" fontId="4" fillId="0" borderId="60" xfId="0" applyFont="1" applyBorder="1" applyAlignment="1">
      <alignment vertical="center" wrapText="1"/>
    </xf>
    <xf numFmtId="0" fontId="0" fillId="0" borderId="61" xfId="0" applyBorder="1"/>
    <xf numFmtId="0" fontId="34" fillId="0" borderId="62" xfId="0" applyFont="1" applyFill="1" applyBorder="1" applyAlignment="1">
      <alignment wrapText="1"/>
    </xf>
    <xf numFmtId="0" fontId="12" fillId="0" borderId="0" xfId="0" applyFont="1" applyAlignment="1">
      <alignment horizontal="left"/>
    </xf>
    <xf numFmtId="0" fontId="4" fillId="0" borderId="64" xfId="0" applyFont="1" applyBorder="1" applyAlignment="1">
      <alignment horizontal="center" vertical="center"/>
    </xf>
    <xf numFmtId="0" fontId="4" fillId="0" borderId="67" xfId="0" applyFont="1" applyBorder="1"/>
    <xf numFmtId="0" fontId="4" fillId="0" borderId="67" xfId="0" applyFont="1" applyBorder="1" applyAlignment="1">
      <alignment horizontal="left"/>
    </xf>
    <xf numFmtId="0" fontId="4" fillId="0" borderId="67" xfId="0" applyFont="1" applyBorder="1" applyAlignment="1">
      <alignment horizontal="center"/>
    </xf>
    <xf numFmtId="0" fontId="15" fillId="0" borderId="67" xfId="0" applyFont="1" applyBorder="1" applyAlignment="1">
      <alignment wrapText="1"/>
    </xf>
    <xf numFmtId="0" fontId="4" fillId="0" borderId="68" xfId="0" applyFont="1" applyBorder="1" applyAlignment="1">
      <alignment horizontal="center"/>
    </xf>
    <xf numFmtId="0" fontId="4" fillId="0" borderId="67" xfId="0" applyFont="1" applyBorder="1" applyAlignment="1">
      <alignment vertical="center" wrapText="1"/>
    </xf>
    <xf numFmtId="0" fontId="0" fillId="0" borderId="67" xfId="0" applyBorder="1"/>
    <xf numFmtId="0" fontId="0" fillId="0" borderId="68" xfId="0" applyBorder="1"/>
    <xf numFmtId="0" fontId="4" fillId="0" borderId="67" xfId="0" applyFont="1" applyBorder="1" applyAlignment="1">
      <alignment wrapText="1"/>
    </xf>
    <xf numFmtId="0" fontId="36" fillId="0" borderId="67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14" fontId="2" fillId="0" borderId="67" xfId="0" applyNumberFormat="1" applyFont="1" applyBorder="1" applyAlignment="1">
      <alignment horizontal="center" vertical="center"/>
    </xf>
    <xf numFmtId="0" fontId="1" fillId="0" borderId="70" xfId="0" applyFont="1" applyBorder="1" applyAlignment="1">
      <alignment vertical="center"/>
    </xf>
    <xf numFmtId="0" fontId="12" fillId="0" borderId="70" xfId="0" applyFont="1" applyBorder="1" applyAlignment="1">
      <alignment vertical="center" wrapText="1"/>
    </xf>
    <xf numFmtId="0" fontId="0" fillId="0" borderId="70" xfId="0" applyBorder="1"/>
    <xf numFmtId="0" fontId="0" fillId="0" borderId="71" xfId="0" applyBorder="1"/>
    <xf numFmtId="0" fontId="4" fillId="0" borderId="67" xfId="0" applyFont="1" applyBorder="1" applyAlignment="1">
      <alignment vertical="center"/>
    </xf>
    <xf numFmtId="14" fontId="4" fillId="0" borderId="67" xfId="0" applyNumberFormat="1" applyFont="1" applyBorder="1" applyAlignment="1">
      <alignment vertical="center"/>
    </xf>
    <xf numFmtId="0" fontId="12" fillId="0" borderId="60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14" fontId="2" fillId="0" borderId="60" xfId="0" applyNumberFormat="1" applyFont="1" applyBorder="1" applyAlignment="1">
      <alignment horizontal="center" vertical="center"/>
    </xf>
    <xf numFmtId="0" fontId="4" fillId="0" borderId="60" xfId="0" applyFont="1" applyBorder="1" applyAlignment="1">
      <alignment wrapText="1"/>
    </xf>
    <xf numFmtId="0" fontId="4" fillId="0" borderId="60" xfId="0" applyFont="1" applyBorder="1" applyAlignment="1">
      <alignment horizontal="left"/>
    </xf>
    <xf numFmtId="0" fontId="4" fillId="0" borderId="72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25" xfId="0" applyFont="1" applyBorder="1" applyAlignment="1">
      <alignment vertical="center" wrapText="1"/>
    </xf>
    <xf numFmtId="0" fontId="0" fillId="0" borderId="25" xfId="0" applyBorder="1"/>
    <xf numFmtId="0" fontId="0" fillId="0" borderId="48" xfId="0" applyBorder="1"/>
    <xf numFmtId="0" fontId="15" fillId="0" borderId="74" xfId="0" applyFont="1" applyBorder="1"/>
    <xf numFmtId="0" fontId="15" fillId="0" borderId="74" xfId="0" applyFont="1" applyBorder="1" applyAlignment="1">
      <alignment horizontal="left"/>
    </xf>
    <xf numFmtId="0" fontId="15" fillId="0" borderId="74" xfId="0" applyFont="1" applyBorder="1" applyAlignment="1">
      <alignment horizontal="center"/>
    </xf>
    <xf numFmtId="0" fontId="4" fillId="0" borderId="74" xfId="0" applyFont="1" applyBorder="1" applyAlignment="1">
      <alignment vertical="center" wrapText="1"/>
    </xf>
    <xf numFmtId="0" fontId="0" fillId="0" borderId="74" xfId="0" applyBorder="1"/>
    <xf numFmtId="0" fontId="15" fillId="0" borderId="75" xfId="0" applyFont="1" applyBorder="1" applyAlignment="1">
      <alignment horizontal="center"/>
    </xf>
    <xf numFmtId="0" fontId="15" fillId="0" borderId="74" xfId="0" applyFont="1" applyBorder="1" applyAlignment="1">
      <alignment wrapText="1"/>
    </xf>
    <xf numFmtId="0" fontId="0" fillId="0" borderId="75" xfId="0" applyBorder="1"/>
    <xf numFmtId="0" fontId="15" fillId="0" borderId="74" xfId="0" applyFont="1" applyBorder="1" applyAlignment="1">
      <alignment horizontal="center" wrapText="1"/>
    </xf>
    <xf numFmtId="0" fontId="15" fillId="0" borderId="77" xfId="0" applyFont="1" applyBorder="1"/>
    <xf numFmtId="0" fontId="15" fillId="0" borderId="77" xfId="0" applyFont="1" applyBorder="1" applyAlignment="1">
      <alignment horizontal="left"/>
    </xf>
    <xf numFmtId="0" fontId="15" fillId="0" borderId="77" xfId="0" applyFont="1" applyBorder="1" applyAlignment="1">
      <alignment horizontal="center"/>
    </xf>
    <xf numFmtId="0" fontId="4" fillId="0" borderId="77" xfId="0" applyFont="1" applyBorder="1" applyAlignment="1">
      <alignment vertical="center" wrapText="1"/>
    </xf>
    <xf numFmtId="0" fontId="0" fillId="0" borderId="77" xfId="0" applyBorder="1"/>
    <xf numFmtId="0" fontId="0" fillId="0" borderId="78" xfId="0" applyBorder="1"/>
    <xf numFmtId="0" fontId="34" fillId="0" borderId="79" xfId="0" applyFont="1" applyFill="1" applyBorder="1" applyAlignment="1">
      <alignment wrapText="1"/>
    </xf>
    <xf numFmtId="0" fontId="0" fillId="0" borderId="81" xfId="0" applyBorder="1"/>
    <xf numFmtId="0" fontId="4" fillId="0" borderId="80" xfId="0" applyFont="1" applyBorder="1" applyAlignment="1">
      <alignment horizontal="center" vertical="center"/>
    </xf>
    <xf numFmtId="0" fontId="0" fillId="0" borderId="83" xfId="0" applyBorder="1"/>
    <xf numFmtId="0" fontId="1" fillId="0" borderId="83" xfId="0" applyFont="1" applyBorder="1" applyAlignment="1">
      <alignment vertical="center"/>
    </xf>
    <xf numFmtId="0" fontId="12" fillId="0" borderId="83" xfId="0" applyFont="1" applyBorder="1" applyAlignment="1">
      <alignment vertical="center" wrapText="1"/>
    </xf>
    <xf numFmtId="0" fontId="0" fillId="0" borderId="84" xfId="0" applyBorder="1"/>
    <xf numFmtId="0" fontId="4" fillId="0" borderId="74" xfId="0" applyFont="1" applyBorder="1"/>
    <xf numFmtId="0" fontId="4" fillId="0" borderId="74" xfId="0" applyFont="1" applyBorder="1" applyAlignment="1">
      <alignment horizontal="left"/>
    </xf>
    <xf numFmtId="0" fontId="4" fillId="0" borderId="74" xfId="0" applyFont="1" applyBorder="1" applyAlignment="1">
      <alignment horizontal="center"/>
    </xf>
    <xf numFmtId="0" fontId="4" fillId="0" borderId="74" xfId="0" applyFont="1" applyBorder="1" applyAlignment="1">
      <alignment wrapText="1"/>
    </xf>
    <xf numFmtId="0" fontId="15" fillId="0" borderId="74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 wrapText="1"/>
    </xf>
    <xf numFmtId="0" fontId="34" fillId="0" borderId="74" xfId="0" applyFont="1" applyFill="1" applyBorder="1" applyAlignment="1">
      <alignment wrapText="1"/>
    </xf>
    <xf numFmtId="0" fontId="4" fillId="0" borderId="74" xfId="0" applyFont="1" applyBorder="1" applyAlignment="1">
      <alignment vertical="center"/>
    </xf>
    <xf numFmtId="14" fontId="4" fillId="0" borderId="74" xfId="0" applyNumberFormat="1" applyFont="1" applyBorder="1" applyAlignment="1">
      <alignment vertical="center"/>
    </xf>
    <xf numFmtId="0" fontId="0" fillId="0" borderId="81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68" xfId="0" applyBorder="1" applyAlignment="1">
      <alignment horizontal="center"/>
    </xf>
    <xf numFmtId="0" fontId="15" fillId="2" borderId="74" xfId="0" applyFont="1" applyFill="1" applyBorder="1" applyAlignment="1">
      <alignment horizontal="left"/>
    </xf>
    <xf numFmtId="0" fontId="12" fillId="2" borderId="74" xfId="0" applyFont="1" applyFill="1" applyBorder="1"/>
    <xf numFmtId="0" fontId="1" fillId="0" borderId="83" xfId="0" applyFont="1" applyBorder="1" applyAlignment="1">
      <alignment horizontal="center" vertical="center"/>
    </xf>
    <xf numFmtId="0" fontId="15" fillId="0" borderId="81" xfId="0" applyFont="1" applyBorder="1" applyAlignment="1">
      <alignment horizontal="left"/>
    </xf>
    <xf numFmtId="0" fontId="4" fillId="2" borderId="74" xfId="0" applyFont="1" applyFill="1" applyBorder="1" applyAlignment="1">
      <alignment wrapText="1"/>
    </xf>
    <xf numFmtId="0" fontId="0" fillId="0" borderId="87" xfId="0" applyBorder="1"/>
    <xf numFmtId="0" fontId="0" fillId="0" borderId="86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/>
    <xf numFmtId="0" fontId="0" fillId="0" borderId="90" xfId="0" applyBorder="1"/>
    <xf numFmtId="0" fontId="0" fillId="0" borderId="89" xfId="0" applyBorder="1" applyAlignment="1">
      <alignment horizontal="center"/>
    </xf>
    <xf numFmtId="0" fontId="12" fillId="0" borderId="85" xfId="0" applyFont="1" applyBorder="1" applyAlignment="1">
      <alignment vertical="center" wrapText="1"/>
    </xf>
    <xf numFmtId="0" fontId="4" fillId="0" borderId="53" xfId="0" applyFont="1" applyBorder="1" applyAlignment="1">
      <alignment horizontal="center" vertical="center"/>
    </xf>
    <xf numFmtId="14" fontId="4" fillId="0" borderId="53" xfId="0" applyNumberFormat="1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  <xf numFmtId="0" fontId="4" fillId="2" borderId="53" xfId="0" applyFont="1" applyFill="1" applyBorder="1" applyAlignment="1">
      <alignment wrapText="1"/>
    </xf>
    <xf numFmtId="0" fontId="4" fillId="0" borderId="53" xfId="0" applyFont="1" applyBorder="1" applyAlignment="1">
      <alignment horizontal="left" vertical="center"/>
    </xf>
    <xf numFmtId="0" fontId="7" fillId="0" borderId="53" xfId="0" applyFont="1" applyBorder="1" applyAlignment="1">
      <alignment vertical="center"/>
    </xf>
    <xf numFmtId="14" fontId="24" fillId="0" borderId="53" xfId="0" applyNumberFormat="1" applyFont="1" applyBorder="1" applyAlignment="1">
      <alignment vertical="center"/>
    </xf>
    <xf numFmtId="14" fontId="7" fillId="0" borderId="53" xfId="0" applyNumberFormat="1" applyFont="1" applyBorder="1" applyAlignment="1">
      <alignment vertical="center"/>
    </xf>
    <xf numFmtId="0" fontId="15" fillId="0" borderId="53" xfId="0" quotePrefix="1" applyFont="1" applyBorder="1" applyAlignment="1">
      <alignment horizontal="center" vertical="center"/>
    </xf>
    <xf numFmtId="0" fontId="15" fillId="0" borderId="53" xfId="0" applyFont="1" applyBorder="1" applyAlignment="1">
      <alignment vertical="center"/>
    </xf>
    <xf numFmtId="14" fontId="15" fillId="0" borderId="53" xfId="0" applyNumberFormat="1" applyFont="1" applyBorder="1" applyAlignment="1">
      <alignment vertical="center"/>
    </xf>
    <xf numFmtId="0" fontId="4" fillId="0" borderId="53" xfId="0" applyFont="1" applyBorder="1" applyAlignment="1">
      <alignment horizontal="center" wrapText="1"/>
    </xf>
    <xf numFmtId="0" fontId="0" fillId="0" borderId="53" xfId="0" applyBorder="1" applyAlignment="1">
      <alignment horizontal="center"/>
    </xf>
    <xf numFmtId="0" fontId="10" fillId="0" borderId="53" xfId="0" applyFont="1" applyBorder="1" applyAlignment="1">
      <alignment horizontal="center" vertical="center" wrapText="1"/>
    </xf>
    <xf numFmtId="0" fontId="7" fillId="0" borderId="53" xfId="0" quotePrefix="1" applyNumberFormat="1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0" fontId="4" fillId="2" borderId="53" xfId="0" applyFont="1" applyFill="1" applyBorder="1" applyAlignment="1">
      <alignment horizontal="center" wrapText="1"/>
    </xf>
    <xf numFmtId="0" fontId="15" fillId="0" borderId="53" xfId="0" applyFont="1" applyBorder="1" applyAlignment="1">
      <alignment horizontal="center" wrapText="1"/>
    </xf>
    <xf numFmtId="0" fontId="15" fillId="0" borderId="53" xfId="0" quotePrefix="1" applyFont="1" applyBorder="1" applyAlignment="1">
      <alignment horizontal="center"/>
    </xf>
    <xf numFmtId="0" fontId="15" fillId="0" borderId="53" xfId="0" applyFont="1" applyBorder="1" applyAlignment="1">
      <alignment horizontal="center" vertical="center" wrapText="1"/>
    </xf>
    <xf numFmtId="0" fontId="15" fillId="0" borderId="53" xfId="0" quotePrefix="1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54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/>
    </xf>
    <xf numFmtId="0" fontId="15" fillId="0" borderId="95" xfId="0" applyFont="1" applyBorder="1" applyAlignment="1">
      <alignment vertical="center"/>
    </xf>
    <xf numFmtId="0" fontId="15" fillId="0" borderId="95" xfId="0" applyFont="1" applyBorder="1" applyAlignment="1">
      <alignment horizontal="left" vertical="center"/>
    </xf>
    <xf numFmtId="0" fontId="15" fillId="0" borderId="95" xfId="0" applyFont="1" applyBorder="1" applyAlignment="1">
      <alignment horizontal="center" vertical="center"/>
    </xf>
    <xf numFmtId="0" fontId="15" fillId="0" borderId="95" xfId="0" applyFont="1" applyBorder="1" applyAlignment="1">
      <alignment vertical="center" wrapText="1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14" fontId="4" fillId="0" borderId="95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wrapText="1"/>
    </xf>
    <xf numFmtId="0" fontId="4" fillId="0" borderId="95" xfId="0" applyFont="1" applyBorder="1" applyAlignment="1">
      <alignment horizontal="left"/>
    </xf>
    <xf numFmtId="0" fontId="4" fillId="0" borderId="95" xfId="0" applyFont="1" applyBorder="1" applyAlignment="1">
      <alignment horizontal="center"/>
    </xf>
    <xf numFmtId="0" fontId="4" fillId="0" borderId="95" xfId="0" applyFont="1" applyBorder="1"/>
    <xf numFmtId="0" fontId="4" fillId="0" borderId="95" xfId="0" applyFont="1" applyBorder="1" applyAlignment="1">
      <alignment vertical="center" wrapText="1"/>
    </xf>
    <xf numFmtId="0" fontId="4" fillId="0" borderId="95" xfId="0" applyFont="1" applyBorder="1" applyAlignment="1">
      <alignment vertical="center"/>
    </xf>
    <xf numFmtId="14" fontId="4" fillId="0" borderId="95" xfId="0" applyNumberFormat="1" applyFont="1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1" fillId="0" borderId="92" xfId="0" applyFont="1" applyBorder="1" applyAlignment="1">
      <alignment vertical="center"/>
    </xf>
    <xf numFmtId="0" fontId="12" fillId="0" borderId="92" xfId="0" applyFont="1" applyBorder="1" applyAlignment="1">
      <alignment vertical="center" wrapText="1"/>
    </xf>
    <xf numFmtId="0" fontId="0" fillId="0" borderId="93" xfId="0" applyBorder="1"/>
    <xf numFmtId="0" fontId="3" fillId="0" borderId="95" xfId="0" applyFont="1" applyBorder="1"/>
    <xf numFmtId="0" fontId="1" fillId="0" borderId="92" xfId="0" applyFont="1" applyBorder="1" applyAlignment="1">
      <alignment horizontal="center" vertical="center"/>
    </xf>
    <xf numFmtId="0" fontId="4" fillId="0" borderId="98" xfId="0" applyFont="1" applyBorder="1"/>
    <xf numFmtId="0" fontId="4" fillId="0" borderId="98" xfId="0" applyFont="1" applyBorder="1" applyAlignment="1">
      <alignment horizontal="left"/>
    </xf>
    <xf numFmtId="0" fontId="4" fillId="0" borderId="98" xfId="0" applyFont="1" applyBorder="1" applyAlignment="1">
      <alignment horizontal="center"/>
    </xf>
    <xf numFmtId="0" fontId="4" fillId="0" borderId="98" xfId="0" applyFont="1" applyBorder="1" applyAlignment="1">
      <alignment vertical="center" wrapText="1"/>
    </xf>
    <xf numFmtId="0" fontId="0" fillId="0" borderId="98" xfId="0" applyBorder="1"/>
    <xf numFmtId="0" fontId="4" fillId="0" borderId="99" xfId="0" applyFont="1" applyBorder="1" applyAlignment="1">
      <alignment horizontal="center" vertical="center" wrapText="1"/>
    </xf>
    <xf numFmtId="0" fontId="4" fillId="0" borderId="98" xfId="0" applyFont="1" applyBorder="1" applyAlignment="1">
      <alignment wrapText="1"/>
    </xf>
    <xf numFmtId="0" fontId="0" fillId="0" borderId="99" xfId="0" applyBorder="1"/>
    <xf numFmtId="0" fontId="1" fillId="0" borderId="101" xfId="0" applyFont="1" applyBorder="1" applyAlignment="1">
      <alignment horizontal="center" vertical="center"/>
    </xf>
    <xf numFmtId="0" fontId="1" fillId="0" borderId="101" xfId="0" applyFont="1" applyBorder="1" applyAlignment="1">
      <alignment vertical="center"/>
    </xf>
    <xf numFmtId="0" fontId="12" fillId="0" borderId="101" xfId="0" applyFont="1" applyBorder="1" applyAlignment="1">
      <alignment vertical="center" wrapText="1"/>
    </xf>
    <xf numFmtId="0" fontId="0" fillId="0" borderId="102" xfId="0" applyBorder="1"/>
    <xf numFmtId="0" fontId="4" fillId="0" borderId="95" xfId="0" applyFont="1" applyBorder="1" applyAlignment="1">
      <alignment horizontal="left" wrapText="1"/>
    </xf>
    <xf numFmtId="0" fontId="0" fillId="0" borderId="92" xfId="0" applyBorder="1"/>
    <xf numFmtId="0" fontId="0" fillId="0" borderId="95" xfId="0" applyFill="1" applyBorder="1" applyAlignment="1">
      <alignment wrapText="1"/>
    </xf>
    <xf numFmtId="0" fontId="3" fillId="0" borderId="97" xfId="0" applyFont="1" applyBorder="1"/>
    <xf numFmtId="0" fontId="0" fillId="0" borderId="97" xfId="0" applyBorder="1"/>
    <xf numFmtId="0" fontId="15" fillId="0" borderId="95" xfId="0" applyFont="1" applyBorder="1" applyAlignment="1">
      <alignment wrapText="1"/>
    </xf>
    <xf numFmtId="0" fontId="4" fillId="0" borderId="96" xfId="0" applyFont="1" applyBorder="1" applyAlignment="1">
      <alignment horizontal="center"/>
    </xf>
    <xf numFmtId="0" fontId="0" fillId="0" borderId="96" xfId="0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107" xfId="0" applyFont="1" applyBorder="1" applyAlignment="1">
      <alignment vertical="center" wrapText="1"/>
    </xf>
    <xf numFmtId="0" fontId="15" fillId="0" borderId="107" xfId="0" applyFont="1" applyBorder="1" applyAlignment="1">
      <alignment horizontal="center"/>
    </xf>
    <xf numFmtId="0" fontId="15" fillId="0" borderId="107" xfId="0" applyFont="1" applyBorder="1"/>
    <xf numFmtId="0" fontId="0" fillId="0" borderId="107" xfId="0" applyBorder="1"/>
    <xf numFmtId="0" fontId="15" fillId="0" borderId="109" xfId="0" applyFont="1" applyBorder="1" applyAlignment="1">
      <alignment horizontal="center"/>
    </xf>
    <xf numFmtId="0" fontId="0" fillId="0" borderId="109" xfId="0" applyBorder="1"/>
    <xf numFmtId="0" fontId="15" fillId="0" borderId="107" xfId="0" applyFont="1" applyBorder="1" applyAlignment="1">
      <alignment wrapText="1"/>
    </xf>
    <xf numFmtId="0" fontId="34" fillId="0" borderId="107" xfId="0" applyFont="1" applyFill="1" applyBorder="1" applyAlignment="1">
      <alignment wrapText="1"/>
    </xf>
    <xf numFmtId="0" fontId="15" fillId="0" borderId="107" xfId="0" applyFont="1" applyBorder="1" applyAlignment="1">
      <alignment horizontal="left"/>
    </xf>
    <xf numFmtId="0" fontId="15" fillId="0" borderId="107" xfId="0" applyFont="1" applyBorder="1" applyAlignment="1">
      <alignment horizontal="center" wrapText="1"/>
    </xf>
    <xf numFmtId="0" fontId="1" fillId="0" borderId="111" xfId="0" applyFont="1" applyBorder="1" applyAlignment="1">
      <alignment vertical="center"/>
    </xf>
    <xf numFmtId="0" fontId="12" fillId="0" borderId="111" xfId="0" applyFont="1" applyBorder="1" applyAlignment="1">
      <alignment vertical="center" wrapText="1"/>
    </xf>
    <xf numFmtId="0" fontId="0" fillId="0" borderId="111" xfId="0" applyBorder="1"/>
    <xf numFmtId="0" fontId="0" fillId="0" borderId="112" xfId="0" applyBorder="1"/>
    <xf numFmtId="0" fontId="4" fillId="0" borderId="107" xfId="0" applyFont="1" applyBorder="1"/>
    <xf numFmtId="0" fontId="4" fillId="0" borderId="107" xfId="0" applyFont="1" applyBorder="1" applyAlignment="1">
      <alignment horizontal="left"/>
    </xf>
    <xf numFmtId="0" fontId="4" fillId="0" borderId="107" xfId="0" applyFont="1" applyBorder="1" applyAlignment="1">
      <alignment horizontal="center"/>
    </xf>
    <xf numFmtId="0" fontId="4" fillId="0" borderId="107" xfId="0" applyFont="1" applyBorder="1" applyAlignment="1">
      <alignment wrapText="1"/>
    </xf>
    <xf numFmtId="0" fontId="4" fillId="0" borderId="107" xfId="0" applyFont="1" applyBorder="1" applyAlignment="1">
      <alignment horizontal="center" vertical="center"/>
    </xf>
    <xf numFmtId="14" fontId="4" fillId="0" borderId="107" xfId="0" applyNumberFormat="1" applyFont="1" applyBorder="1" applyAlignment="1">
      <alignment horizontal="center" vertical="center"/>
    </xf>
    <xf numFmtId="0" fontId="4" fillId="0" borderId="107" xfId="0" applyFont="1" applyBorder="1" applyAlignment="1">
      <alignment vertical="center"/>
    </xf>
    <xf numFmtId="14" fontId="4" fillId="0" borderId="107" xfId="0" applyNumberFormat="1" applyFont="1" applyBorder="1" applyAlignment="1">
      <alignment vertical="center"/>
    </xf>
    <xf numFmtId="0" fontId="4" fillId="0" borderId="108" xfId="0" applyFont="1" applyBorder="1" applyAlignment="1">
      <alignment horizontal="center" vertical="center"/>
    </xf>
    <xf numFmtId="2" fontId="4" fillId="2" borderId="109" xfId="0" applyNumberFormat="1" applyFont="1" applyFill="1" applyBorder="1" applyAlignment="1">
      <alignment horizontal="center" vertical="center" wrapText="1"/>
    </xf>
    <xf numFmtId="0" fontId="7" fillId="0" borderId="107" xfId="0" applyFont="1" applyBorder="1"/>
    <xf numFmtId="0" fontId="4" fillId="0" borderId="107" xfId="0" quotePrefix="1" applyFont="1" applyBorder="1" applyAlignment="1">
      <alignment horizontal="left"/>
    </xf>
    <xf numFmtId="0" fontId="0" fillId="0" borderId="107" xfId="0" applyBorder="1" applyAlignment="1">
      <alignment horizontal="center"/>
    </xf>
    <xf numFmtId="0" fontId="4" fillId="0" borderId="111" xfId="0" applyFont="1" applyBorder="1" applyAlignment="1">
      <alignment vertical="center" wrapText="1"/>
    </xf>
    <xf numFmtId="0" fontId="0" fillId="0" borderId="109" xfId="0" applyBorder="1" applyAlignment="1">
      <alignment horizontal="center"/>
    </xf>
    <xf numFmtId="0" fontId="7" fillId="0" borderId="95" xfId="0" applyFont="1" applyBorder="1" applyAlignment="1">
      <alignment vertical="center"/>
    </xf>
    <xf numFmtId="0" fontId="7" fillId="0" borderId="95" xfId="0" applyFont="1" applyBorder="1" applyAlignment="1">
      <alignment horizontal="center" vertical="center"/>
    </xf>
    <xf numFmtId="0" fontId="3" fillId="0" borderId="96" xfId="0" applyFont="1" applyBorder="1"/>
    <xf numFmtId="0" fontId="0" fillId="0" borderId="0" xfId="0" applyBorder="1" applyAlignment="1">
      <alignment horizontal="center"/>
    </xf>
    <xf numFmtId="0" fontId="1" fillId="0" borderId="92" xfId="0" applyFont="1" applyBorder="1" applyAlignment="1">
      <alignment horizontal="center" vertical="center"/>
    </xf>
    <xf numFmtId="0" fontId="0" fillId="0" borderId="114" xfId="0" applyBorder="1"/>
    <xf numFmtId="0" fontId="4" fillId="0" borderId="114" xfId="0" applyFont="1" applyBorder="1"/>
    <xf numFmtId="0" fontId="4" fillId="0" borderId="114" xfId="0" applyFont="1" applyBorder="1" applyAlignment="1">
      <alignment horizontal="center"/>
    </xf>
    <xf numFmtId="0" fontId="15" fillId="0" borderId="114" xfId="0" applyFont="1" applyBorder="1"/>
    <xf numFmtId="0" fontId="7" fillId="0" borderId="114" xfId="0" applyFont="1" applyBorder="1" applyAlignment="1">
      <alignment horizontal="center" vertical="center"/>
    </xf>
    <xf numFmtId="0" fontId="15" fillId="0" borderId="114" xfId="0" applyFont="1" applyBorder="1" applyAlignment="1">
      <alignment wrapText="1"/>
    </xf>
    <xf numFmtId="0" fontId="7" fillId="0" borderId="114" xfId="0" applyFont="1" applyBorder="1" applyAlignment="1">
      <alignment vertical="center"/>
    </xf>
    <xf numFmtId="0" fontId="4" fillId="0" borderId="114" xfId="0" applyFont="1" applyBorder="1" applyAlignment="1">
      <alignment vertical="center" wrapText="1"/>
    </xf>
    <xf numFmtId="0" fontId="15" fillId="0" borderId="95" xfId="0" applyFont="1" applyBorder="1"/>
    <xf numFmtId="0" fontId="15" fillId="0" borderId="95" xfId="0" applyFont="1" applyBorder="1" applyAlignment="1">
      <alignment horizontal="center"/>
    </xf>
    <xf numFmtId="0" fontId="7" fillId="0" borderId="67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/>
    </xf>
    <xf numFmtId="0" fontId="15" fillId="0" borderId="114" xfId="0" applyFont="1" applyBorder="1" applyAlignment="1">
      <alignment horizontal="left"/>
    </xf>
    <xf numFmtId="0" fontId="15" fillId="0" borderId="114" xfId="0" applyFont="1" applyBorder="1" applyAlignment="1">
      <alignment horizontal="center"/>
    </xf>
    <xf numFmtId="0" fontId="15" fillId="0" borderId="114" xfId="0" applyFont="1" applyBorder="1" applyAlignment="1">
      <alignment horizontal="center" wrapText="1"/>
    </xf>
    <xf numFmtId="0" fontId="4" fillId="0" borderId="53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  <xf numFmtId="0" fontId="0" fillId="0" borderId="116" xfId="0" applyBorder="1"/>
    <xf numFmtId="0" fontId="0" fillId="0" borderId="118" xfId="0" applyBorder="1"/>
    <xf numFmtId="0" fontId="1" fillId="0" borderId="118" xfId="0" applyFont="1" applyBorder="1" applyAlignment="1">
      <alignment vertical="center"/>
    </xf>
    <xf numFmtId="0" fontId="12" fillId="0" borderId="118" xfId="0" applyFont="1" applyBorder="1" applyAlignment="1">
      <alignment vertical="center" wrapText="1"/>
    </xf>
    <xf numFmtId="0" fontId="0" fillId="0" borderId="119" xfId="0" applyBorder="1"/>
    <xf numFmtId="0" fontId="4" fillId="0" borderId="120" xfId="0" applyFont="1" applyBorder="1"/>
    <xf numFmtId="0" fontId="4" fillId="0" borderId="120" xfId="0" applyFont="1" applyBorder="1" applyAlignment="1">
      <alignment horizontal="left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vertical="center" wrapText="1"/>
    </xf>
    <xf numFmtId="0" fontId="0" fillId="0" borderId="120" xfId="0" applyBorder="1"/>
    <xf numFmtId="0" fontId="4" fillId="0" borderId="120" xfId="0" applyFont="1" applyBorder="1" applyAlignment="1">
      <alignment wrapText="1"/>
    </xf>
    <xf numFmtId="0" fontId="15" fillId="0" borderId="120" xfId="0" applyFont="1" applyBorder="1" applyAlignment="1">
      <alignment horizontal="center" vertical="center" wrapText="1"/>
    </xf>
    <xf numFmtId="0" fontId="4" fillId="0" borderId="115" xfId="0" applyFont="1" applyBorder="1" applyAlignment="1">
      <alignment horizontal="center" vertic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4" fillId="0" borderId="120" xfId="0" applyFont="1" applyBorder="1" applyAlignment="1">
      <alignment vertical="center"/>
    </xf>
    <xf numFmtId="14" fontId="4" fillId="0" borderId="120" xfId="0" applyNumberFormat="1" applyFont="1" applyBorder="1" applyAlignment="1">
      <alignment vertical="center"/>
    </xf>
    <xf numFmtId="0" fontId="0" fillId="0" borderId="116" xfId="0" applyBorder="1" applyAlignment="1">
      <alignment horizontal="center"/>
    </xf>
    <xf numFmtId="0" fontId="15" fillId="0" borderId="116" xfId="0" applyFont="1" applyBorder="1" applyAlignment="1">
      <alignment horizontal="center" vertical="center" wrapText="1"/>
    </xf>
    <xf numFmtId="14" fontId="4" fillId="0" borderId="120" xfId="0" applyNumberFormat="1" applyFont="1" applyBorder="1" applyAlignment="1"/>
    <xf numFmtId="0" fontId="0" fillId="0" borderId="120" xfId="0" quotePrefix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121" xfId="0" applyFont="1" applyBorder="1"/>
    <xf numFmtId="0" fontId="4" fillId="0" borderId="121" xfId="0" applyFont="1" applyBorder="1" applyAlignment="1">
      <alignment horizontal="left"/>
    </xf>
    <xf numFmtId="0" fontId="4" fillId="0" borderId="121" xfId="0" applyFont="1" applyBorder="1" applyAlignment="1">
      <alignment horizontal="center"/>
    </xf>
    <xf numFmtId="0" fontId="4" fillId="0" borderId="121" xfId="0" applyFont="1" applyBorder="1" applyAlignment="1">
      <alignment wrapText="1"/>
    </xf>
    <xf numFmtId="0" fontId="0" fillId="0" borderId="121" xfId="0" applyBorder="1"/>
    <xf numFmtId="0" fontId="0" fillId="0" borderId="122" xfId="0" applyBorder="1"/>
    <xf numFmtId="0" fontId="4" fillId="0" borderId="121" xfId="0" applyFont="1" applyBorder="1" applyAlignment="1">
      <alignment vertical="center" wrapText="1"/>
    </xf>
    <xf numFmtId="0" fontId="4" fillId="0" borderId="121" xfId="0" quotePrefix="1" applyFont="1" applyBorder="1" applyAlignment="1">
      <alignment horizontal="left"/>
    </xf>
    <xf numFmtId="0" fontId="4" fillId="0" borderId="123" xfId="0" applyFont="1" applyBorder="1" applyAlignment="1">
      <alignment horizontal="center" vertical="center"/>
    </xf>
    <xf numFmtId="0" fontId="4" fillId="0" borderId="121" xfId="0" applyFont="1" applyBorder="1" applyAlignment="1">
      <alignment vertical="center"/>
    </xf>
    <xf numFmtId="14" fontId="4" fillId="0" borderId="121" xfId="0" applyNumberFormat="1" applyFont="1" applyBorder="1" applyAlignment="1">
      <alignment vertical="center"/>
    </xf>
    <xf numFmtId="0" fontId="0" fillId="0" borderId="125" xfId="0" applyBorder="1"/>
    <xf numFmtId="0" fontId="1" fillId="0" borderId="125" xfId="0" applyFont="1" applyBorder="1" applyAlignment="1">
      <alignment vertical="center"/>
    </xf>
    <xf numFmtId="0" fontId="12" fillId="0" borderId="125" xfId="0" applyFont="1" applyBorder="1" applyAlignment="1">
      <alignment vertical="center" wrapText="1"/>
    </xf>
    <xf numFmtId="0" fontId="0" fillId="0" borderId="126" xfId="0" applyBorder="1"/>
    <xf numFmtId="0" fontId="12" fillId="0" borderId="0" xfId="0" applyFont="1" applyAlignment="1">
      <alignment horizontal="left"/>
    </xf>
    <xf numFmtId="0" fontId="0" fillId="0" borderId="127" xfId="0" applyBorder="1"/>
    <xf numFmtId="0" fontId="4" fillId="0" borderId="127" xfId="0" applyFont="1" applyBorder="1"/>
    <xf numFmtId="0" fontId="4" fillId="0" borderId="127" xfId="0" applyFont="1" applyBorder="1" applyAlignment="1">
      <alignment horizontal="left"/>
    </xf>
    <xf numFmtId="0" fontId="4" fillId="0" borderId="127" xfId="0" applyFont="1" applyBorder="1" applyAlignment="1">
      <alignment horizontal="center"/>
    </xf>
    <xf numFmtId="0" fontId="4" fillId="0" borderId="127" xfId="0" applyFont="1" applyBorder="1" applyAlignment="1">
      <alignment wrapText="1"/>
    </xf>
    <xf numFmtId="0" fontId="0" fillId="0" borderId="129" xfId="0" applyBorder="1"/>
    <xf numFmtId="0" fontId="4" fillId="0" borderId="127" xfId="0" applyFont="1" applyBorder="1" applyAlignment="1">
      <alignment horizontal="center" vertical="center"/>
    </xf>
    <xf numFmtId="0" fontId="4" fillId="0" borderId="127" xfId="0" applyFont="1" applyBorder="1" applyAlignment="1">
      <alignment vertical="center" wrapText="1"/>
    </xf>
    <xf numFmtId="0" fontId="4" fillId="0" borderId="128" xfId="0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vertical="center"/>
    </xf>
    <xf numFmtId="14" fontId="4" fillId="0" borderId="127" xfId="0" applyNumberFormat="1" applyFont="1" applyBorder="1" applyAlignment="1">
      <alignment vertical="center"/>
    </xf>
    <xf numFmtId="0" fontId="0" fillId="0" borderId="131" xfId="0" applyBorder="1"/>
    <xf numFmtId="0" fontId="1" fillId="0" borderId="131" xfId="0" applyFont="1" applyBorder="1" applyAlignment="1">
      <alignment vertical="center"/>
    </xf>
    <xf numFmtId="0" fontId="12" fillId="0" borderId="131" xfId="0" applyFont="1" applyBorder="1" applyAlignment="1">
      <alignment vertical="center" wrapText="1"/>
    </xf>
    <xf numFmtId="0" fontId="0" fillId="0" borderId="132" xfId="0" applyBorder="1"/>
    <xf numFmtId="0" fontId="0" fillId="0" borderId="127" xfId="0" applyBorder="1" applyAlignment="1">
      <alignment horizontal="center"/>
    </xf>
    <xf numFmtId="164" fontId="4" fillId="0" borderId="127" xfId="0" applyNumberFormat="1" applyFont="1" applyBorder="1" applyAlignment="1">
      <alignment wrapText="1"/>
    </xf>
    <xf numFmtId="164" fontId="4" fillId="0" borderId="127" xfId="1" applyNumberFormat="1" applyFont="1" applyBorder="1" applyAlignment="1">
      <alignment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133" xfId="0" applyBorder="1"/>
    <xf numFmtId="0" fontId="4" fillId="0" borderId="133" xfId="0" applyFont="1" applyBorder="1" applyAlignment="1">
      <alignment wrapText="1"/>
    </xf>
    <xf numFmtId="0" fontId="4" fillId="0" borderId="133" xfId="0" applyFont="1" applyBorder="1" applyAlignment="1">
      <alignment horizontal="left"/>
    </xf>
    <xf numFmtId="0" fontId="4" fillId="0" borderId="133" xfId="0" applyFont="1" applyBorder="1" applyAlignment="1">
      <alignment horizontal="center"/>
    </xf>
    <xf numFmtId="0" fontId="4" fillId="0" borderId="133" xfId="0" applyFont="1" applyBorder="1"/>
    <xf numFmtId="0" fontId="4" fillId="0" borderId="133" xfId="0" applyFont="1" applyBorder="1" applyAlignment="1">
      <alignment vertical="center" wrapText="1"/>
    </xf>
    <xf numFmtId="0" fontId="0" fillId="0" borderId="135" xfId="0" applyBorder="1"/>
    <xf numFmtId="0" fontId="4" fillId="0" borderId="134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14" fontId="4" fillId="0" borderId="133" xfId="0" applyNumberFormat="1" applyFont="1" applyBorder="1" applyAlignment="1">
      <alignment horizontal="center" vertical="center"/>
    </xf>
    <xf numFmtId="0" fontId="4" fillId="0" borderId="133" xfId="0" applyFont="1" applyBorder="1" applyAlignment="1">
      <alignment vertical="center"/>
    </xf>
    <xf numFmtId="14" fontId="4" fillId="0" borderId="133" xfId="0" applyNumberFormat="1" applyFont="1" applyBorder="1" applyAlignment="1">
      <alignment vertical="center"/>
    </xf>
    <xf numFmtId="0" fontId="0" fillId="0" borderId="137" xfId="0" applyBorder="1"/>
    <xf numFmtId="0" fontId="1" fillId="0" borderId="137" xfId="0" applyFont="1" applyBorder="1" applyAlignment="1">
      <alignment vertical="center"/>
    </xf>
    <xf numFmtId="0" fontId="12" fillId="0" borderId="137" xfId="0" applyFont="1" applyBorder="1" applyAlignment="1">
      <alignment vertical="center" wrapText="1"/>
    </xf>
    <xf numFmtId="0" fontId="0" fillId="0" borderId="138" xfId="0" applyBorder="1"/>
    <xf numFmtId="0" fontId="0" fillId="0" borderId="120" xfId="0" applyBorder="1" applyAlignment="1">
      <alignment horizontal="center" vertical="center" wrapText="1"/>
    </xf>
    <xf numFmtId="0" fontId="0" fillId="0" borderId="120" xfId="0" applyBorder="1" applyAlignment="1">
      <alignment horizontal="center"/>
    </xf>
    <xf numFmtId="0" fontId="0" fillId="0" borderId="116" xfId="0" applyBorder="1" applyAlignment="1">
      <alignment horizontal="center" vertical="center"/>
    </xf>
    <xf numFmtId="0" fontId="0" fillId="0" borderId="114" xfId="0" applyBorder="1" applyAlignment="1">
      <alignment horizontal="center"/>
    </xf>
    <xf numFmtId="0" fontId="0" fillId="0" borderId="129" xfId="0" applyBorder="1" applyAlignment="1">
      <alignment horizontal="center"/>
    </xf>
    <xf numFmtId="0" fontId="7" fillId="0" borderId="0" xfId="0" applyFont="1" applyAlignment="1">
      <alignment horizontal="left"/>
    </xf>
    <xf numFmtId="0" fontId="4" fillId="0" borderId="133" xfId="0" quotePrefix="1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134" xfId="0" applyFont="1" applyBorder="1" applyAlignment="1">
      <alignment horizontal="center" vertical="center"/>
    </xf>
    <xf numFmtId="0" fontId="0" fillId="0" borderId="121" xfId="0" quotePrefix="1" applyBorder="1"/>
    <xf numFmtId="0" fontId="0" fillId="0" borderId="121" xfId="0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139" xfId="0" applyBorder="1"/>
    <xf numFmtId="0" fontId="4" fillId="0" borderId="139" xfId="0" applyFont="1" applyBorder="1"/>
    <xf numFmtId="0" fontId="4" fillId="0" borderId="139" xfId="0" quotePrefix="1" applyFont="1" applyBorder="1" applyAlignment="1">
      <alignment horizontal="left"/>
    </xf>
    <xf numFmtId="0" fontId="4" fillId="0" borderId="139" xfId="0" applyFont="1" applyBorder="1" applyAlignment="1">
      <alignment horizontal="center"/>
    </xf>
    <xf numFmtId="0" fontId="4" fillId="0" borderId="139" xfId="0" applyFont="1" applyBorder="1" applyAlignment="1">
      <alignment wrapText="1"/>
    </xf>
    <xf numFmtId="0" fontId="0" fillId="0" borderId="141" xfId="0" applyBorder="1"/>
    <xf numFmtId="0" fontId="4" fillId="0" borderId="139" xfId="0" applyFont="1" applyBorder="1" applyAlignment="1">
      <alignment horizontal="left"/>
    </xf>
    <xf numFmtId="0" fontId="4" fillId="0" borderId="140" xfId="0" applyFont="1" applyBorder="1" applyAlignment="1">
      <alignment horizontal="center" vertical="center"/>
    </xf>
    <xf numFmtId="0" fontId="4" fillId="0" borderId="139" xfId="0" applyFont="1" applyBorder="1" applyAlignment="1">
      <alignment horizontal="center" vertical="center"/>
    </xf>
    <xf numFmtId="14" fontId="4" fillId="0" borderId="139" xfId="0" applyNumberFormat="1" applyFont="1" applyBorder="1" applyAlignment="1">
      <alignment horizontal="center" vertical="center"/>
    </xf>
    <xf numFmtId="0" fontId="4" fillId="0" borderId="139" xfId="0" applyFont="1" applyBorder="1" applyAlignment="1">
      <alignment vertical="center" wrapText="1"/>
    </xf>
    <xf numFmtId="0" fontId="4" fillId="0" borderId="139" xfId="0" applyFont="1" applyBorder="1" applyAlignment="1">
      <alignment vertical="center"/>
    </xf>
    <xf numFmtId="14" fontId="4" fillId="0" borderId="139" xfId="0" applyNumberFormat="1" applyFont="1" applyBorder="1" applyAlignment="1">
      <alignment vertical="center"/>
    </xf>
    <xf numFmtId="0" fontId="0" fillId="0" borderId="143" xfId="0" applyBorder="1"/>
    <xf numFmtId="0" fontId="1" fillId="0" borderId="143" xfId="0" applyFont="1" applyBorder="1" applyAlignment="1">
      <alignment vertical="center"/>
    </xf>
    <xf numFmtId="0" fontId="12" fillId="0" borderId="143" xfId="0" applyFont="1" applyBorder="1" applyAlignment="1">
      <alignment vertical="center" wrapText="1"/>
    </xf>
    <xf numFmtId="0" fontId="0" fillId="0" borderId="144" xfId="0" applyBorder="1"/>
    <xf numFmtId="0" fontId="26" fillId="0" borderId="0" xfId="0" applyFont="1" applyAlignment="1"/>
    <xf numFmtId="0" fontId="12" fillId="0" borderId="0" xfId="0" applyFont="1" applyAlignment="1">
      <alignment horizontal="left"/>
    </xf>
    <xf numFmtId="0" fontId="21" fillId="0" borderId="0" xfId="0" applyFont="1" applyAlignment="1"/>
    <xf numFmtId="0" fontId="21" fillId="0" borderId="145" xfId="0" applyFont="1" applyBorder="1" applyAlignment="1"/>
    <xf numFmtId="0" fontId="12" fillId="0" borderId="0" xfId="0" applyFont="1" applyAlignment="1">
      <alignment horizontal="left"/>
    </xf>
    <xf numFmtId="0" fontId="0" fillId="0" borderId="146" xfId="0" applyBorder="1"/>
    <xf numFmtId="0" fontId="4" fillId="0" borderId="146" xfId="0" applyFont="1" applyBorder="1"/>
    <xf numFmtId="0" fontId="4" fillId="0" borderId="146" xfId="0" applyFont="1" applyBorder="1" applyAlignment="1">
      <alignment horizontal="left"/>
    </xf>
    <xf numFmtId="0" fontId="4" fillId="0" borderId="146" xfId="0" applyFont="1" applyBorder="1" applyAlignment="1">
      <alignment horizontal="center"/>
    </xf>
    <xf numFmtId="0" fontId="4" fillId="0" borderId="146" xfId="0" applyFont="1" applyBorder="1" applyAlignment="1">
      <alignment vertical="center" wrapText="1"/>
    </xf>
    <xf numFmtId="0" fontId="4" fillId="0" borderId="148" xfId="0" applyFont="1" applyBorder="1" applyAlignment="1">
      <alignment wrapText="1"/>
    </xf>
    <xf numFmtId="0" fontId="4" fillId="0" borderId="146" xfId="0" applyFont="1" applyBorder="1" applyAlignment="1">
      <alignment wrapText="1"/>
    </xf>
    <xf numFmtId="0" fontId="4" fillId="0" borderId="147" xfId="0" applyFont="1" applyBorder="1" applyAlignment="1">
      <alignment horizontal="center" vertical="center"/>
    </xf>
    <xf numFmtId="0" fontId="4" fillId="0" borderId="146" xfId="0" applyFont="1" applyBorder="1" applyAlignment="1">
      <alignment horizontal="center" vertical="center"/>
    </xf>
    <xf numFmtId="14" fontId="4" fillId="0" borderId="146" xfId="0" applyNumberFormat="1" applyFont="1" applyBorder="1" applyAlignment="1">
      <alignment horizontal="center" vertical="center"/>
    </xf>
    <xf numFmtId="0" fontId="4" fillId="0" borderId="148" xfId="0" applyFont="1" applyBorder="1" applyAlignment="1">
      <alignment vertical="center" wrapText="1"/>
    </xf>
    <xf numFmtId="0" fontId="4" fillId="0" borderId="146" xfId="0" applyFont="1" applyBorder="1" applyAlignment="1">
      <alignment vertical="center"/>
    </xf>
    <xf numFmtId="14" fontId="4" fillId="0" borderId="146" xfId="0" applyNumberFormat="1" applyFont="1" applyBorder="1" applyAlignment="1">
      <alignment vertical="center"/>
    </xf>
    <xf numFmtId="0" fontId="0" fillId="0" borderId="150" xfId="0" applyBorder="1"/>
    <xf numFmtId="0" fontId="1" fillId="0" borderId="151" xfId="0" applyFont="1" applyBorder="1" applyAlignment="1">
      <alignment vertical="center"/>
    </xf>
    <xf numFmtId="0" fontId="0" fillId="0" borderId="148" xfId="0" applyBorder="1"/>
    <xf numFmtId="0" fontId="1" fillId="0" borderId="150" xfId="0" applyFont="1" applyBorder="1" applyAlignment="1">
      <alignment vertical="center"/>
    </xf>
    <xf numFmtId="0" fontId="12" fillId="0" borderId="150" xfId="0" applyFont="1" applyBorder="1" applyAlignment="1">
      <alignment vertical="center" wrapText="1"/>
    </xf>
    <xf numFmtId="0" fontId="0" fillId="0" borderId="151" xfId="0" applyBorder="1"/>
    <xf numFmtId="0" fontId="4" fillId="0" borderId="146" xfId="0" quotePrefix="1" applyFont="1" applyBorder="1" applyAlignment="1">
      <alignment horizontal="left"/>
    </xf>
    <xf numFmtId="0" fontId="15" fillId="0" borderId="146" xfId="0" applyFont="1" applyBorder="1"/>
    <xf numFmtId="0" fontId="15" fillId="0" borderId="146" xfId="0" applyFont="1" applyBorder="1" applyAlignment="1">
      <alignment horizontal="left"/>
    </xf>
    <xf numFmtId="0" fontId="15" fillId="0" borderId="146" xfId="0" applyFont="1" applyBorder="1" applyAlignment="1">
      <alignment horizontal="center"/>
    </xf>
    <xf numFmtId="0" fontId="15" fillId="0" borderId="146" xfId="0" applyFont="1" applyBorder="1" applyAlignment="1">
      <alignment wrapText="1"/>
    </xf>
    <xf numFmtId="0" fontId="4" fillId="0" borderId="150" xfId="0" applyFont="1" applyBorder="1" applyAlignment="1">
      <alignment vertical="center" wrapText="1"/>
    </xf>
    <xf numFmtId="0" fontId="12" fillId="0" borderId="0" xfId="0" applyFont="1" applyAlignment="1">
      <alignment horizontal="left"/>
    </xf>
    <xf numFmtId="0" fontId="4" fillId="0" borderId="148" xfId="0" applyFont="1" applyBorder="1" applyAlignment="1">
      <alignment horizontal="center"/>
    </xf>
    <xf numFmtId="0" fontId="15" fillId="0" borderId="146" xfId="0" quotePrefix="1" applyFont="1" applyBorder="1" applyAlignment="1">
      <alignment horizontal="left"/>
    </xf>
    <xf numFmtId="0" fontId="15" fillId="0" borderId="146" xfId="0" applyFont="1" applyBorder="1" applyAlignment="1">
      <alignment vertical="center" wrapText="1"/>
    </xf>
    <xf numFmtId="0" fontId="0" fillId="0" borderId="139" xfId="0" applyBorder="1" applyAlignment="1">
      <alignment horizontal="center"/>
    </xf>
    <xf numFmtId="0" fontId="0" fillId="0" borderId="152" xfId="0" applyBorder="1"/>
    <xf numFmtId="0" fontId="4" fillId="0" borderId="152" xfId="0" applyFont="1" applyBorder="1"/>
    <xf numFmtId="0" fontId="4" fillId="0" borderId="152" xfId="0" applyFont="1" applyBorder="1" applyAlignment="1">
      <alignment horizontal="left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wrapText="1"/>
    </xf>
    <xf numFmtId="0" fontId="0" fillId="0" borderId="154" xfId="0" applyBorder="1"/>
    <xf numFmtId="0" fontId="4" fillId="0" borderId="153" xfId="0" applyFont="1" applyBorder="1" applyAlignment="1">
      <alignment horizontal="center" vertical="center"/>
    </xf>
    <xf numFmtId="0" fontId="4" fillId="0" borderId="152" xfId="0" applyFont="1" applyBorder="1" applyAlignment="1">
      <alignment horizontal="center" vertical="center"/>
    </xf>
    <xf numFmtId="14" fontId="4" fillId="0" borderId="152" xfId="0" applyNumberFormat="1" applyFont="1" applyBorder="1" applyAlignment="1">
      <alignment horizontal="center" vertical="center"/>
    </xf>
    <xf numFmtId="0" fontId="4" fillId="0" borderId="152" xfId="0" applyFont="1" applyBorder="1" applyAlignment="1">
      <alignment vertical="center" wrapText="1"/>
    </xf>
    <xf numFmtId="0" fontId="4" fillId="0" borderId="152" xfId="0" applyFont="1" applyBorder="1" applyAlignment="1">
      <alignment vertical="center"/>
    </xf>
    <xf numFmtId="14" fontId="4" fillId="0" borderId="152" xfId="0" applyNumberFormat="1" applyFont="1" applyBorder="1" applyAlignment="1">
      <alignment vertical="center"/>
    </xf>
    <xf numFmtId="0" fontId="0" fillId="0" borderId="156" xfId="0" applyBorder="1"/>
    <xf numFmtId="0" fontId="1" fillId="0" borderId="156" xfId="0" applyFont="1" applyBorder="1" applyAlignment="1">
      <alignment vertical="center"/>
    </xf>
    <xf numFmtId="0" fontId="12" fillId="0" borderId="156" xfId="0" applyFont="1" applyBorder="1" applyAlignment="1">
      <alignment vertical="center" wrapText="1"/>
    </xf>
    <xf numFmtId="0" fontId="0" fillId="0" borderId="157" xfId="0" applyBorder="1"/>
    <xf numFmtId="0" fontId="12" fillId="0" borderId="0" xfId="0" applyFont="1" applyAlignment="1">
      <alignment horizontal="right" indent="9"/>
    </xf>
    <xf numFmtId="0" fontId="4" fillId="0" borderId="152" xfId="0" quotePrefix="1" applyFont="1" applyBorder="1" applyAlignment="1">
      <alignment horizontal="left"/>
    </xf>
    <xf numFmtId="0" fontId="2" fillId="0" borderId="53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14" fontId="15" fillId="0" borderId="53" xfId="0" applyNumberFormat="1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4" fontId="4" fillId="0" borderId="53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/>
    </xf>
    <xf numFmtId="0" fontId="12" fillId="0" borderId="5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4" fillId="0" borderId="53" xfId="0" quotePrefix="1" applyFont="1" applyBorder="1" applyAlignment="1">
      <alignment horizontal="left" vertical="center" wrapText="1"/>
    </xf>
    <xf numFmtId="0" fontId="0" fillId="0" borderId="53" xfId="0" applyBorder="1" applyAlignment="1">
      <alignment vertical="center"/>
    </xf>
    <xf numFmtId="0" fontId="0" fillId="0" borderId="53" xfId="0" applyBorder="1" applyAlignment="1">
      <alignment horizontal="center" vertical="center"/>
    </xf>
    <xf numFmtId="164" fontId="4" fillId="0" borderId="53" xfId="1" applyNumberFormat="1" applyFont="1" applyBorder="1" applyAlignment="1">
      <alignment vertical="center"/>
    </xf>
    <xf numFmtId="0" fontId="4" fillId="0" borderId="53" xfId="0" quotePrefix="1" applyFont="1" applyBorder="1" applyAlignment="1">
      <alignment horizontal="center"/>
    </xf>
    <xf numFmtId="164" fontId="18" fillId="0" borderId="53" xfId="1" applyNumberFormat="1" applyFont="1" applyBorder="1" applyAlignment="1">
      <alignment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" fillId="0" borderId="159" xfId="0" applyFont="1" applyBorder="1" applyAlignment="1">
      <alignment horizontal="center" vertical="center" wrapText="1"/>
    </xf>
    <xf numFmtId="0" fontId="4" fillId="0" borderId="44" xfId="0" applyFont="1" applyBorder="1" applyAlignment="1">
      <alignment wrapText="1"/>
    </xf>
    <xf numFmtId="0" fontId="1" fillId="0" borderId="160" xfId="0" applyFont="1" applyBorder="1" applyAlignment="1">
      <alignment vertical="center"/>
    </xf>
    <xf numFmtId="0" fontId="0" fillId="0" borderId="158" xfId="0" applyBorder="1"/>
    <xf numFmtId="0" fontId="12" fillId="0" borderId="158" xfId="0" applyFont="1" applyBorder="1" applyAlignment="1">
      <alignment vertical="center" wrapText="1"/>
    </xf>
    <xf numFmtId="0" fontId="12" fillId="0" borderId="0" xfId="0" applyFont="1" applyAlignment="1">
      <alignment horizontal="left"/>
    </xf>
    <xf numFmtId="0" fontId="0" fillId="0" borderId="161" xfId="0" applyBorder="1"/>
    <xf numFmtId="0" fontId="4" fillId="0" borderId="161" xfId="0" applyFont="1" applyBorder="1"/>
    <xf numFmtId="0" fontId="4" fillId="0" borderId="161" xfId="0" applyFont="1" applyBorder="1" applyAlignment="1">
      <alignment horizontal="left"/>
    </xf>
    <xf numFmtId="0" fontId="4" fillId="0" borderId="161" xfId="0" applyFont="1" applyBorder="1" applyAlignment="1">
      <alignment horizontal="center"/>
    </xf>
    <xf numFmtId="0" fontId="4" fillId="0" borderId="161" xfId="0" applyFont="1" applyBorder="1" applyAlignment="1">
      <alignment wrapText="1"/>
    </xf>
    <xf numFmtId="0" fontId="0" fillId="0" borderId="163" xfId="0" applyBorder="1" applyAlignment="1">
      <alignment horizontal="center"/>
    </xf>
    <xf numFmtId="0" fontId="4" fillId="0" borderId="162" xfId="0" applyFont="1" applyBorder="1" applyAlignment="1">
      <alignment horizontal="center" vertical="center"/>
    </xf>
    <xf numFmtId="0" fontId="4" fillId="0" borderId="161" xfId="0" applyFont="1" applyBorder="1" applyAlignment="1">
      <alignment horizontal="center" vertical="center"/>
    </xf>
    <xf numFmtId="14" fontId="4" fillId="0" borderId="161" xfId="0" applyNumberFormat="1" applyFont="1" applyBorder="1" applyAlignment="1">
      <alignment horizontal="center" vertical="center"/>
    </xf>
    <xf numFmtId="0" fontId="4" fillId="0" borderId="161" xfId="0" applyFont="1" applyBorder="1" applyAlignment="1">
      <alignment vertical="center" wrapText="1"/>
    </xf>
    <xf numFmtId="0" fontId="0" fillId="0" borderId="163" xfId="0" applyBorder="1"/>
    <xf numFmtId="0" fontId="4" fillId="0" borderId="161" xfId="0" applyFont="1" applyBorder="1" applyAlignment="1">
      <alignment vertical="center"/>
    </xf>
    <xf numFmtId="14" fontId="4" fillId="0" borderId="161" xfId="0" applyNumberFormat="1" applyFont="1" applyBorder="1" applyAlignment="1">
      <alignment vertical="center"/>
    </xf>
    <xf numFmtId="0" fontId="1" fillId="0" borderId="165" xfId="0" applyFont="1" applyBorder="1" applyAlignment="1">
      <alignment vertical="center"/>
    </xf>
    <xf numFmtId="0" fontId="12" fillId="0" borderId="165" xfId="0" applyFont="1" applyBorder="1" applyAlignment="1">
      <alignment vertical="center" wrapText="1"/>
    </xf>
    <xf numFmtId="0" fontId="0" fillId="0" borderId="166" xfId="0" applyBorder="1"/>
    <xf numFmtId="0" fontId="0" fillId="0" borderId="165" xfId="0" applyBorder="1"/>
    <xf numFmtId="0" fontId="0" fillId="0" borderId="0" xfId="0" applyBorder="1"/>
    <xf numFmtId="0" fontId="0" fillId="0" borderId="154" xfId="0" applyBorder="1" applyAlignment="1">
      <alignment horizontal="center"/>
    </xf>
    <xf numFmtId="0" fontId="4" fillId="0" borderId="162" xfId="0" applyFont="1" applyBorder="1" applyAlignment="1">
      <alignment horizontal="center" vertical="center"/>
    </xf>
    <xf numFmtId="0" fontId="3" fillId="0" borderId="167" xfId="0" applyFont="1" applyBorder="1"/>
    <xf numFmtId="0" fontId="0" fillId="0" borderId="167" xfId="0" applyBorder="1"/>
    <xf numFmtId="0" fontId="12" fillId="0" borderId="167" xfId="0" applyFont="1" applyBorder="1" applyAlignment="1">
      <alignment vertical="center" wrapText="1"/>
    </xf>
    <xf numFmtId="0" fontId="4" fillId="0" borderId="167" xfId="0" applyFont="1" applyBorder="1"/>
    <xf numFmtId="0" fontId="4" fillId="0" borderId="167" xfId="0" applyFont="1" applyBorder="1" applyAlignment="1">
      <alignment horizontal="left"/>
    </xf>
    <xf numFmtId="0" fontId="4" fillId="0" borderId="167" xfId="0" applyFont="1" applyBorder="1" applyAlignment="1">
      <alignment horizontal="center"/>
    </xf>
    <xf numFmtId="0" fontId="4" fillId="0" borderId="167" xfId="0" applyFont="1" applyBorder="1" applyAlignment="1">
      <alignment wrapText="1"/>
    </xf>
    <xf numFmtId="0" fontId="4" fillId="0" borderId="167" xfId="0" applyFont="1" applyBorder="1" applyAlignment="1">
      <alignment horizontal="center" vertical="center"/>
    </xf>
    <xf numFmtId="14" fontId="4" fillId="0" borderId="167" xfId="0" applyNumberFormat="1" applyFont="1" applyBorder="1" applyAlignment="1">
      <alignment horizontal="center" vertical="center"/>
    </xf>
    <xf numFmtId="0" fontId="4" fillId="0" borderId="167" xfId="0" applyFont="1" applyBorder="1" applyAlignment="1">
      <alignment vertical="center" wrapText="1"/>
    </xf>
    <xf numFmtId="0" fontId="4" fillId="0" borderId="167" xfId="0" applyFont="1" applyBorder="1" applyAlignment="1">
      <alignment vertical="center"/>
    </xf>
    <xf numFmtId="14" fontId="4" fillId="0" borderId="167" xfId="0" applyNumberFormat="1" applyFont="1" applyBorder="1" applyAlignment="1">
      <alignment vertical="center"/>
    </xf>
    <xf numFmtId="0" fontId="41" fillId="0" borderId="168" xfId="0" applyFont="1" applyBorder="1"/>
    <xf numFmtId="0" fontId="41" fillId="0" borderId="171" xfId="0" applyFont="1" applyBorder="1" applyAlignment="1">
      <alignment vertical="top" wrapText="1"/>
    </xf>
    <xf numFmtId="0" fontId="41" fillId="0" borderId="174" xfId="0" applyFont="1" applyBorder="1" applyAlignment="1">
      <alignment vertical="top" wrapText="1"/>
    </xf>
    <xf numFmtId="0" fontId="41" fillId="0" borderId="170" xfId="0" applyFont="1" applyBorder="1"/>
    <xf numFmtId="0" fontId="41" fillId="0" borderId="173" xfId="0" applyFont="1" applyBorder="1" applyAlignment="1">
      <alignment vertical="top" wrapText="1"/>
    </xf>
    <xf numFmtId="0" fontId="41" fillId="0" borderId="176" xfId="0" applyFont="1" applyBorder="1" applyAlignment="1">
      <alignment vertical="top" wrapText="1"/>
    </xf>
    <xf numFmtId="0" fontId="41" fillId="0" borderId="177" xfId="0" applyFont="1" applyBorder="1"/>
    <xf numFmtId="0" fontId="41" fillId="0" borderId="177" xfId="0" applyFont="1" applyBorder="1" applyAlignment="1">
      <alignment vertical="top" wrapText="1"/>
    </xf>
    <xf numFmtId="0" fontId="47" fillId="0" borderId="179" xfId="0" applyNumberFormat="1" applyFont="1" applyBorder="1" applyAlignment="1"/>
    <xf numFmtId="165" fontId="47" fillId="0" borderId="0" xfId="0" applyNumberFormat="1" applyFont="1" applyBorder="1" applyAlignment="1"/>
    <xf numFmtId="0" fontId="45" fillId="0" borderId="0" xfId="0" applyNumberFormat="1" applyFont="1" applyAlignment="1"/>
    <xf numFmtId="165" fontId="45" fillId="0" borderId="0" xfId="0" applyNumberFormat="1" applyFont="1" applyAlignment="1"/>
    <xf numFmtId="0" fontId="48" fillId="0" borderId="180" xfId="0" applyFont="1" applyBorder="1" applyAlignment="1"/>
    <xf numFmtId="0" fontId="43" fillId="0" borderId="139" xfId="0" applyFont="1" applyBorder="1"/>
    <xf numFmtId="0" fontId="43" fillId="0" borderId="139" xfId="0" quotePrefix="1" applyFont="1" applyBorder="1" applyAlignment="1">
      <alignment horizontal="left"/>
    </xf>
    <xf numFmtId="0" fontId="43" fillId="0" borderId="139" xfId="0" applyFont="1" applyBorder="1" applyAlignment="1">
      <alignment horizontal="center"/>
    </xf>
    <xf numFmtId="0" fontId="43" fillId="0" borderId="139" xfId="0" applyFont="1" applyBorder="1" applyAlignment="1">
      <alignment wrapText="1"/>
    </xf>
    <xf numFmtId="0" fontId="43" fillId="0" borderId="141" xfId="0" applyFont="1" applyBorder="1"/>
    <xf numFmtId="0" fontId="43" fillId="0" borderId="139" xfId="0" applyFont="1" applyBorder="1" applyAlignment="1">
      <alignment horizontal="left"/>
    </xf>
    <xf numFmtId="0" fontId="43" fillId="0" borderId="139" xfId="0" applyFont="1" applyBorder="1" applyAlignment="1">
      <alignment vertical="center" wrapText="1"/>
    </xf>
    <xf numFmtId="0" fontId="43" fillId="0" borderId="143" xfId="0" applyFont="1" applyBorder="1"/>
    <xf numFmtId="0" fontId="43" fillId="0" borderId="144" xfId="0" applyFont="1" applyBorder="1"/>
    <xf numFmtId="0" fontId="49" fillId="0" borderId="143" xfId="0" applyFont="1" applyBorder="1" applyAlignment="1">
      <alignment vertical="center"/>
    </xf>
    <xf numFmtId="0" fontId="49" fillId="0" borderId="143" xfId="0" applyFont="1" applyBorder="1" applyAlignment="1">
      <alignment vertical="center" wrapText="1"/>
    </xf>
    <xf numFmtId="0" fontId="44" fillId="0" borderId="180" xfId="0" applyFont="1" applyBorder="1" applyAlignment="1"/>
    <xf numFmtId="0" fontId="43" fillId="0" borderId="0" xfId="0" applyFont="1"/>
    <xf numFmtId="0" fontId="44" fillId="0" borderId="15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 indent="2"/>
    </xf>
    <xf numFmtId="0" fontId="4" fillId="0" borderId="2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vertical="top" wrapText="1"/>
    </xf>
    <xf numFmtId="0" fontId="2" fillId="0" borderId="31" xfId="0" applyFont="1" applyBorder="1" applyAlignment="1">
      <alignment vertical="top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left" vertical="center"/>
    </xf>
    <xf numFmtId="0" fontId="15" fillId="0" borderId="49" xfId="0" applyFont="1" applyBorder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" fillId="0" borderId="13" xfId="0" applyFont="1" applyBorder="1" applyAlignment="1"/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2" fillId="0" borderId="110" xfId="0" applyFont="1" applyBorder="1" applyAlignment="1">
      <alignment horizontal="center" vertical="center"/>
    </xf>
    <xf numFmtId="0" fontId="2" fillId="0" borderId="111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wrapText="1"/>
    </xf>
    <xf numFmtId="0" fontId="15" fillId="0" borderId="108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4" fontId="7" fillId="0" borderId="107" xfId="0" applyNumberFormat="1" applyFont="1" applyBorder="1" applyAlignment="1">
      <alignment horizontal="center" vertical="center"/>
    </xf>
    <xf numFmtId="0" fontId="26" fillId="0" borderId="107" xfId="0" applyFont="1" applyBorder="1" applyAlignment="1">
      <alignment horizontal="center" vertical="center" wrapText="1"/>
    </xf>
    <xf numFmtId="0" fontId="7" fillId="0" borderId="114" xfId="0" applyFont="1" applyBorder="1" applyAlignment="1">
      <alignment horizontal="center" vertical="center"/>
    </xf>
    <xf numFmtId="14" fontId="7" fillId="0" borderId="114" xfId="0" applyNumberFormat="1" applyFont="1" applyBorder="1" applyAlignment="1">
      <alignment horizontal="center" vertical="center"/>
    </xf>
    <xf numFmtId="0" fontId="26" fillId="0" borderId="11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14" fontId="7" fillId="0" borderId="74" xfId="0" applyNumberFormat="1" applyFont="1" applyBorder="1" applyAlignment="1">
      <alignment horizontal="center" vertical="center"/>
    </xf>
    <xf numFmtId="14" fontId="7" fillId="0" borderId="77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14" fontId="2" fillId="0" borderId="67" xfId="0" applyNumberFormat="1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/>
    </xf>
    <xf numFmtId="0" fontId="2" fillId="0" borderId="82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14" fontId="2" fillId="0" borderId="74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0" fontId="2" fillId="0" borderId="91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106" xfId="0" applyFont="1" applyBorder="1" applyAlignment="1">
      <alignment horizontal="center" vertical="center" wrapText="1"/>
    </xf>
    <xf numFmtId="14" fontId="15" fillId="0" borderId="23" xfId="0" applyNumberFormat="1" applyFont="1" applyBorder="1" applyAlignment="1">
      <alignment horizontal="center" vertical="center"/>
    </xf>
    <xf numFmtId="14" fontId="15" fillId="0" borderId="24" xfId="0" applyNumberFormat="1" applyFont="1" applyBorder="1" applyAlignment="1">
      <alignment horizontal="center" vertical="center"/>
    </xf>
    <xf numFmtId="14" fontId="15" fillId="0" borderId="106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14" fontId="15" fillId="0" borderId="95" xfId="0" applyNumberFormat="1" applyFont="1" applyBorder="1" applyAlignment="1">
      <alignment horizontal="center" vertical="center"/>
    </xf>
    <xf numFmtId="0" fontId="2" fillId="0" borderId="149" xfId="0" applyFont="1" applyBorder="1" applyAlignment="1">
      <alignment horizontal="center" vertical="center"/>
    </xf>
    <xf numFmtId="0" fontId="2" fillId="0" borderId="150" xfId="0" applyFont="1" applyBorder="1" applyAlignment="1">
      <alignment horizontal="center" vertical="center"/>
    </xf>
    <xf numFmtId="0" fontId="1" fillId="0" borderId="150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46" xfId="0" applyFont="1" applyBorder="1" applyAlignment="1">
      <alignment horizontal="center" vertical="center"/>
    </xf>
    <xf numFmtId="3" fontId="4" fillId="0" borderId="146" xfId="0" applyNumberFormat="1" applyFont="1" applyBorder="1" applyAlignment="1">
      <alignment horizontal="center" vertical="center"/>
    </xf>
    <xf numFmtId="14" fontId="4" fillId="0" borderId="146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top" wrapText="1"/>
    </xf>
    <xf numFmtId="0" fontId="4" fillId="0" borderId="103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14" fontId="4" fillId="0" borderId="103" xfId="0" applyNumberFormat="1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Border="1" applyAlignment="1">
      <alignment vertical="top" wrapText="1"/>
    </xf>
    <xf numFmtId="0" fontId="12" fillId="0" borderId="0" xfId="0" applyFont="1" applyBorder="1" applyAlignment="1">
      <alignment vertical="top"/>
    </xf>
    <xf numFmtId="0" fontId="7" fillId="0" borderId="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2" fillId="0" borderId="117" xfId="0" applyFont="1" applyBorder="1" applyAlignment="1">
      <alignment horizontal="center" vertical="center"/>
    </xf>
    <xf numFmtId="0" fontId="2" fillId="0" borderId="118" xfId="0" applyFont="1" applyBorder="1" applyAlignment="1">
      <alignment horizontal="center" vertical="center"/>
    </xf>
    <xf numFmtId="0" fontId="1" fillId="0" borderId="118" xfId="0" applyFont="1" applyBorder="1" applyAlignment="1">
      <alignment horizontal="center" vertical="center"/>
    </xf>
    <xf numFmtId="0" fontId="2" fillId="0" borderId="120" xfId="0" applyFont="1" applyBorder="1" applyAlignment="1">
      <alignment horizontal="center" vertical="center" wrapText="1"/>
    </xf>
    <xf numFmtId="0" fontId="15" fillId="0" borderId="115" xfId="0" applyFont="1" applyBorder="1" applyAlignment="1">
      <alignment horizontal="center" vertical="center"/>
    </xf>
    <xf numFmtId="0" fontId="15" fillId="0" borderId="120" xfId="0" applyFont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14" fontId="4" fillId="0" borderId="95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left" vertical="center" wrapText="1"/>
    </xf>
    <xf numFmtId="0" fontId="4" fillId="0" borderId="96" xfId="0" applyFont="1" applyBorder="1" applyAlignment="1">
      <alignment horizontal="center" vertical="center"/>
    </xf>
    <xf numFmtId="0" fontId="12" fillId="0" borderId="105" xfId="0" applyFont="1" applyBorder="1" applyAlignment="1">
      <alignment vertical="top" wrapText="1"/>
    </xf>
    <xf numFmtId="0" fontId="7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1" fillId="0" borderId="11" xfId="1" applyNumberFormat="1" applyFont="1" applyBorder="1" applyAlignment="1">
      <alignment horizontal="left" vertical="center"/>
    </xf>
    <xf numFmtId="0" fontId="12" fillId="0" borderId="13" xfId="0" applyFont="1" applyBorder="1" applyAlignment="1">
      <alignment vertical="top" wrapText="1"/>
    </xf>
    <xf numFmtId="0" fontId="12" fillId="0" borderId="13" xfId="0" applyFont="1" applyBorder="1" applyAlignment="1">
      <alignment vertical="top"/>
    </xf>
    <xf numFmtId="0" fontId="12" fillId="0" borderId="65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14" fontId="15" fillId="0" borderId="67" xfId="0" applyNumberFormat="1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14" fontId="4" fillId="0" borderId="74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left" vertical="center" wrapText="1"/>
    </xf>
    <xf numFmtId="0" fontId="15" fillId="0" borderId="74" xfId="0" applyFont="1" applyBorder="1" applyAlignment="1">
      <alignment horizontal="center" vertical="center"/>
    </xf>
    <xf numFmtId="0" fontId="4" fillId="0" borderId="120" xfId="0" applyFont="1" applyBorder="1" applyAlignment="1">
      <alignment horizontal="center" vertical="center" wrapText="1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14" fontId="4" fillId="0" borderId="106" xfId="0" applyNumberFormat="1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26" fillId="0" borderId="0" xfId="0" applyFont="1" applyAlignment="1">
      <alignment horizontal="left"/>
    </xf>
    <xf numFmtId="0" fontId="4" fillId="0" borderId="5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14" fontId="15" fillId="0" borderId="53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7" fillId="0" borderId="0" xfId="0" applyFont="1" applyBorder="1" applyAlignment="1">
      <alignment horizontal="left" vertical="top" wrapText="1"/>
    </xf>
    <xf numFmtId="0" fontId="27" fillId="0" borderId="0" xfId="0" applyFont="1" applyBorder="1" applyAlignment="1">
      <alignment horizontal="left" vertical="center" wrapText="1"/>
    </xf>
    <xf numFmtId="0" fontId="1" fillId="0" borderId="57" xfId="0" applyFont="1" applyBorder="1" applyAlignment="1">
      <alignment horizontal="center" vertical="center"/>
    </xf>
    <xf numFmtId="0" fontId="26" fillId="0" borderId="60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1" fillId="0" borderId="11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6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4" fontId="4" fillId="0" borderId="53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/>
    <xf numFmtId="0" fontId="1" fillId="0" borderId="53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 wrapText="1"/>
    </xf>
    <xf numFmtId="14" fontId="4" fillId="0" borderId="23" xfId="0" applyNumberFormat="1" applyFont="1" applyBorder="1" applyAlignment="1">
      <alignment horizontal="center" vertical="center" wrapText="1"/>
    </xf>
    <xf numFmtId="14" fontId="4" fillId="0" borderId="24" xfId="0" applyNumberFormat="1" applyFont="1" applyBorder="1" applyAlignment="1">
      <alignment horizontal="center" vertical="center" wrapText="1"/>
    </xf>
    <xf numFmtId="14" fontId="4" fillId="0" borderId="106" xfId="0" applyNumberFormat="1" applyFont="1" applyBorder="1" applyAlignment="1">
      <alignment horizontal="center" vertical="center" wrapText="1"/>
    </xf>
    <xf numFmtId="0" fontId="2" fillId="0" borderId="106" xfId="0" applyFont="1" applyBorder="1" applyAlignment="1">
      <alignment horizontal="center" vertical="center" wrapText="1"/>
    </xf>
    <xf numFmtId="0" fontId="2" fillId="0" borderId="124" xfId="0" applyFont="1" applyBorder="1" applyAlignment="1">
      <alignment horizontal="center" vertical="center"/>
    </xf>
    <xf numFmtId="0" fontId="2" fillId="0" borderId="125" xfId="0" applyFont="1" applyBorder="1" applyAlignment="1">
      <alignment horizontal="center" vertical="center"/>
    </xf>
    <xf numFmtId="0" fontId="1" fillId="0" borderId="125" xfId="0" applyFont="1" applyBorder="1" applyAlignment="1">
      <alignment horizontal="center" vertical="center"/>
    </xf>
    <xf numFmtId="0" fontId="4" fillId="0" borderId="123" xfId="0" applyFont="1" applyBorder="1" applyAlignment="1">
      <alignment horizontal="center" vertical="center"/>
    </xf>
    <xf numFmtId="0" fontId="4" fillId="0" borderId="121" xfId="0" applyFont="1" applyBorder="1" applyAlignment="1">
      <alignment horizontal="center" vertical="center" wrapText="1"/>
    </xf>
    <xf numFmtId="14" fontId="4" fillId="0" borderId="121" xfId="0" applyNumberFormat="1" applyFont="1" applyBorder="1" applyAlignment="1">
      <alignment horizontal="center" vertical="center" wrapText="1"/>
    </xf>
    <xf numFmtId="0" fontId="2" fillId="0" borderId="161" xfId="0" applyFont="1" applyBorder="1" applyAlignment="1">
      <alignment horizontal="center" vertical="center" wrapText="1"/>
    </xf>
    <xf numFmtId="0" fontId="4" fillId="0" borderId="161" xfId="0" applyFont="1" applyBorder="1" applyAlignment="1">
      <alignment horizontal="center" vertical="center" wrapText="1"/>
    </xf>
    <xf numFmtId="0" fontId="4" fillId="0" borderId="161" xfId="0" applyFont="1" applyBorder="1" applyAlignment="1">
      <alignment horizontal="center" vertical="center"/>
    </xf>
    <xf numFmtId="0" fontId="4" fillId="0" borderId="162" xfId="0" applyFont="1" applyBorder="1" applyAlignment="1">
      <alignment horizontal="center" vertical="center"/>
    </xf>
    <xf numFmtId="14" fontId="4" fillId="0" borderId="161" xfId="0" applyNumberFormat="1" applyFont="1" applyBorder="1" applyAlignment="1">
      <alignment horizontal="center" vertical="center"/>
    </xf>
    <xf numFmtId="0" fontId="2" fillId="0" borderId="164" xfId="0" applyFont="1" applyBorder="1" applyAlignment="1">
      <alignment horizontal="center" vertical="center"/>
    </xf>
    <xf numFmtId="0" fontId="2" fillId="0" borderId="165" xfId="0" applyFont="1" applyBorder="1" applyAlignment="1">
      <alignment horizontal="center" vertical="center"/>
    </xf>
    <xf numFmtId="0" fontId="1" fillId="0" borderId="165" xfId="0" applyFont="1" applyBorder="1" applyAlignment="1">
      <alignment horizontal="center" vertical="center"/>
    </xf>
    <xf numFmtId="0" fontId="12" fillId="0" borderId="127" xfId="0" applyFont="1" applyBorder="1" applyAlignment="1">
      <alignment horizontal="center" vertical="center" wrapText="1"/>
    </xf>
    <xf numFmtId="0" fontId="2" fillId="0" borderId="130" xfId="0" applyFont="1" applyBorder="1" applyAlignment="1">
      <alignment horizontal="center" vertical="center"/>
    </xf>
    <xf numFmtId="0" fontId="2" fillId="0" borderId="131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 wrapText="1"/>
    </xf>
    <xf numFmtId="0" fontId="4" fillId="0" borderId="127" xfId="0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0" fontId="2" fillId="0" borderId="155" xfId="0" applyFont="1" applyBorder="1" applyAlignment="1">
      <alignment horizontal="center" vertical="center"/>
    </xf>
    <xf numFmtId="0" fontId="2" fillId="0" borderId="156" xfId="0" applyFont="1" applyBorder="1" applyAlignment="1">
      <alignment horizontal="center" vertical="center"/>
    </xf>
    <xf numFmtId="0" fontId="1" fillId="0" borderId="156" xfId="0" applyFont="1" applyBorder="1" applyAlignment="1">
      <alignment horizontal="center" vertical="center"/>
    </xf>
    <xf numFmtId="0" fontId="10" fillId="0" borderId="152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 wrapText="1"/>
    </xf>
    <xf numFmtId="0" fontId="4" fillId="0" borderId="153" xfId="0" applyFont="1" applyBorder="1" applyAlignment="1">
      <alignment horizontal="center" vertical="center"/>
    </xf>
    <xf numFmtId="0" fontId="4" fillId="0" borderId="152" xfId="0" applyFont="1" applyBorder="1" applyAlignment="1">
      <alignment horizontal="center" vertical="center"/>
    </xf>
    <xf numFmtId="14" fontId="4" fillId="0" borderId="152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 wrapText="1"/>
    </xf>
    <xf numFmtId="0" fontId="4" fillId="0" borderId="107" xfId="0" applyFont="1" applyBorder="1" applyAlignment="1">
      <alignment horizontal="center" vertical="center"/>
    </xf>
    <xf numFmtId="14" fontId="4" fillId="0" borderId="107" xfId="0" applyNumberFormat="1" applyFont="1" applyBorder="1" applyAlignment="1">
      <alignment horizontal="center" vertical="center"/>
    </xf>
    <xf numFmtId="0" fontId="2" fillId="0" borderId="107" xfId="0" applyFont="1" applyBorder="1" applyAlignment="1">
      <alignment horizontal="center" vertical="center" wrapText="1"/>
    </xf>
    <xf numFmtId="0" fontId="32" fillId="0" borderId="111" xfId="0" applyFont="1" applyBorder="1" applyAlignment="1">
      <alignment horizontal="center" vertical="center"/>
    </xf>
    <xf numFmtId="0" fontId="15" fillId="0" borderId="107" xfId="0" applyFont="1" applyBorder="1" applyAlignment="1">
      <alignment horizontal="center" vertical="center" wrapText="1"/>
    </xf>
    <xf numFmtId="0" fontId="15" fillId="0" borderId="107" xfId="0" applyFont="1" applyBorder="1" applyAlignment="1">
      <alignment horizontal="center" vertical="center"/>
    </xf>
    <xf numFmtId="14" fontId="15" fillId="0" borderId="107" xfId="0" applyNumberFormat="1" applyFont="1" applyBorder="1" applyAlignment="1">
      <alignment horizontal="center" vertical="center"/>
    </xf>
    <xf numFmtId="0" fontId="2" fillId="0" borderId="113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" fillId="0" borderId="136" xfId="0" applyFont="1" applyBorder="1" applyAlignment="1">
      <alignment horizontal="center" vertical="center"/>
    </xf>
    <xf numFmtId="0" fontId="2" fillId="0" borderId="137" xfId="0" applyFont="1" applyBorder="1" applyAlignment="1">
      <alignment horizontal="center" vertical="center"/>
    </xf>
    <xf numFmtId="0" fontId="1" fillId="0" borderId="137" xfId="0" applyFont="1" applyBorder="1" applyAlignment="1">
      <alignment horizontal="center" vertical="center"/>
    </xf>
    <xf numFmtId="0" fontId="4" fillId="0" borderId="134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14" fontId="4" fillId="0" borderId="133" xfId="0" applyNumberFormat="1" applyFont="1" applyBorder="1" applyAlignment="1">
      <alignment horizontal="center" vertical="center"/>
    </xf>
    <xf numFmtId="0" fontId="15" fillId="0" borderId="161" xfId="0" applyFont="1" applyBorder="1" applyAlignment="1">
      <alignment horizontal="center" vertical="center" wrapText="1"/>
    </xf>
    <xf numFmtId="0" fontId="15" fillId="0" borderId="165" xfId="0" applyFont="1" applyBorder="1" applyAlignment="1">
      <alignment horizontal="center" vertical="center" wrapText="1"/>
    </xf>
    <xf numFmtId="0" fontId="15" fillId="0" borderId="146" xfId="0" applyFont="1" applyBorder="1" applyAlignment="1">
      <alignment horizontal="center" vertical="center" wrapText="1"/>
    </xf>
    <xf numFmtId="0" fontId="15" fillId="0" borderId="146" xfId="0" applyFont="1" applyBorder="1" applyAlignment="1">
      <alignment horizontal="center" vertical="center"/>
    </xf>
    <xf numFmtId="3" fontId="15" fillId="0" borderId="146" xfId="0" applyNumberFormat="1" applyFont="1" applyBorder="1" applyAlignment="1">
      <alignment horizontal="center" vertical="center"/>
    </xf>
    <xf numFmtId="14" fontId="15" fillId="0" borderId="146" xfId="0" applyNumberFormat="1" applyFont="1" applyBorder="1" applyAlignment="1">
      <alignment horizontal="center" vertical="center"/>
    </xf>
    <xf numFmtId="0" fontId="4" fillId="0" borderId="146" xfId="0" applyFont="1" applyBorder="1" applyAlignment="1">
      <alignment horizontal="center" vertical="center" wrapText="1"/>
    </xf>
    <xf numFmtId="0" fontId="10" fillId="0" borderId="146" xfId="0" applyFont="1" applyBorder="1" applyAlignment="1">
      <alignment horizontal="center" vertical="center" wrapText="1"/>
    </xf>
    <xf numFmtId="0" fontId="10" fillId="0" borderId="146" xfId="0" applyFont="1" applyBorder="1" applyAlignment="1">
      <alignment horizontal="center" vertical="center"/>
    </xf>
    <xf numFmtId="0" fontId="4" fillId="0" borderId="167" xfId="0" applyFont="1" applyBorder="1" applyAlignment="1">
      <alignment horizontal="center" vertical="center" wrapText="1"/>
    </xf>
    <xf numFmtId="0" fontId="4" fillId="0" borderId="167" xfId="0" applyFont="1" applyBorder="1" applyAlignment="1">
      <alignment horizontal="center" vertical="center"/>
    </xf>
    <xf numFmtId="14" fontId="4" fillId="0" borderId="167" xfId="0" applyNumberFormat="1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 wrapText="1"/>
    </xf>
    <xf numFmtId="0" fontId="4" fillId="0" borderId="140" xfId="0" applyFont="1" applyBorder="1" applyAlignment="1">
      <alignment horizontal="center" vertical="center"/>
    </xf>
    <xf numFmtId="0" fontId="4" fillId="0" borderId="139" xfId="0" applyFont="1" applyBorder="1" applyAlignment="1">
      <alignment horizontal="center" vertical="center" wrapText="1"/>
    </xf>
    <xf numFmtId="0" fontId="4" fillId="0" borderId="139" xfId="0" applyFont="1" applyBorder="1" applyAlignment="1">
      <alignment horizontal="center" vertical="center"/>
    </xf>
    <xf numFmtId="14" fontId="4" fillId="0" borderId="139" xfId="0" applyNumberFormat="1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 wrapText="1"/>
    </xf>
    <xf numFmtId="0" fontId="2" fillId="0" borderId="142" xfId="0" applyFont="1" applyBorder="1" applyAlignment="1">
      <alignment horizontal="center" vertical="center"/>
    </xf>
    <xf numFmtId="0" fontId="2" fillId="0" borderId="143" xfId="0" applyFont="1" applyBorder="1" applyAlignment="1">
      <alignment horizontal="center" vertical="center"/>
    </xf>
    <xf numFmtId="0" fontId="1" fillId="0" borderId="143" xfId="0" applyFont="1" applyBorder="1" applyAlignment="1">
      <alignment horizontal="center" vertical="center"/>
    </xf>
    <xf numFmtId="0" fontId="2" fillId="0" borderId="167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164" fontId="4" fillId="0" borderId="127" xfId="1" applyNumberFormat="1" applyFont="1" applyBorder="1" applyAlignment="1">
      <alignment horizontal="center" vertical="center"/>
    </xf>
    <xf numFmtId="0" fontId="2" fillId="0" borderId="127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106" xfId="0" applyFont="1" applyBorder="1" applyAlignment="1">
      <alignment horizontal="center" vertical="center" wrapText="1"/>
    </xf>
    <xf numFmtId="0" fontId="2" fillId="0" borderId="146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14" fontId="15" fillId="0" borderId="63" xfId="0" applyNumberFormat="1" applyFont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2" fillId="0" borderId="10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/>
    </xf>
    <xf numFmtId="14" fontId="10" fillId="0" borderId="106" xfId="0" applyNumberFormat="1" applyFont="1" applyBorder="1" applyAlignment="1">
      <alignment horizontal="center" vertical="center"/>
    </xf>
    <xf numFmtId="0" fontId="12" fillId="0" borderId="145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center" vertical="center" wrapText="1"/>
    </xf>
    <xf numFmtId="4" fontId="1" fillId="0" borderId="11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14" fontId="7" fillId="0" borderId="53" xfId="0" applyNumberFormat="1" applyFont="1" applyBorder="1" applyAlignment="1">
      <alignment horizontal="center" vertical="center"/>
    </xf>
    <xf numFmtId="14" fontId="4" fillId="0" borderId="53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/>
    </xf>
    <xf numFmtId="0" fontId="12" fillId="0" borderId="53" xfId="0" applyFont="1" applyBorder="1" applyAlignment="1">
      <alignment horizontal="center" vertical="center"/>
    </xf>
    <xf numFmtId="14" fontId="2" fillId="0" borderId="53" xfId="0" applyNumberFormat="1" applyFont="1" applyBorder="1" applyAlignment="1">
      <alignment horizontal="center" vertical="center"/>
    </xf>
    <xf numFmtId="14" fontId="12" fillId="0" borderId="53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left" vertical="center" wrapText="1"/>
    </xf>
    <xf numFmtId="0" fontId="0" fillId="0" borderId="53" xfId="0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40" fillId="0" borderId="169" xfId="0" applyFont="1" applyBorder="1" applyAlignment="1">
      <alignment vertical="top" wrapText="1"/>
    </xf>
    <xf numFmtId="0" fontId="40" fillId="0" borderId="175" xfId="0" applyFont="1" applyBorder="1" applyAlignment="1">
      <alignment vertical="top" wrapText="1"/>
    </xf>
    <xf numFmtId="0" fontId="40" fillId="0" borderId="172" xfId="0" applyFont="1" applyBorder="1" applyAlignment="1">
      <alignment vertical="top" wrapText="1"/>
    </xf>
    <xf numFmtId="0" fontId="39" fillId="0" borderId="175" xfId="0" applyFont="1" applyBorder="1" applyAlignment="1">
      <alignment horizontal="center" vertical="top" wrapText="1"/>
    </xf>
    <xf numFmtId="0" fontId="39" fillId="0" borderId="0" xfId="0" applyFont="1" applyBorder="1" applyAlignment="1">
      <alignment horizontal="center" vertical="top" wrapText="1"/>
    </xf>
    <xf numFmtId="0" fontId="39" fillId="0" borderId="145" xfId="0" applyFont="1" applyBorder="1" applyAlignment="1">
      <alignment horizontal="center" vertical="top" wrapText="1"/>
    </xf>
    <xf numFmtId="0" fontId="39" fillId="0" borderId="177" xfId="0" applyFont="1" applyBorder="1" applyAlignment="1">
      <alignment vertical="top" wrapText="1"/>
    </xf>
    <xf numFmtId="0" fontId="40" fillId="0" borderId="177" xfId="0" applyFont="1" applyBorder="1" applyAlignment="1">
      <alignment vertical="top" wrapText="1"/>
    </xf>
    <xf numFmtId="0" fontId="39" fillId="0" borderId="168" xfId="0" applyFont="1" applyBorder="1" applyAlignment="1">
      <alignment vertical="top" wrapText="1"/>
    </xf>
    <xf numFmtId="0" fontId="39" fillId="0" borderId="174" xfId="0" applyFont="1" applyBorder="1" applyAlignment="1">
      <alignment vertical="top" wrapText="1"/>
    </xf>
    <xf numFmtId="0" fontId="39" fillId="0" borderId="171" xfId="0" applyFont="1" applyBorder="1" applyAlignment="1">
      <alignment vertical="top" wrapText="1"/>
    </xf>
    <xf numFmtId="0" fontId="40" fillId="0" borderId="170" xfId="0" applyFont="1" applyBorder="1" applyAlignment="1">
      <alignment vertical="top" wrapText="1"/>
    </xf>
    <xf numFmtId="0" fontId="40" fillId="0" borderId="173" xfId="0" applyFont="1" applyBorder="1" applyAlignment="1">
      <alignment vertical="top" wrapText="1"/>
    </xf>
    <xf numFmtId="0" fontId="40" fillId="0" borderId="176" xfId="0" applyFont="1" applyBorder="1" applyAlignment="1">
      <alignment vertical="top" wrapText="1"/>
    </xf>
    <xf numFmtId="0" fontId="39" fillId="0" borderId="169" xfId="0" applyFont="1" applyBorder="1" applyAlignment="1">
      <alignment vertical="top" wrapText="1"/>
    </xf>
    <xf numFmtId="0" fontId="39" fillId="0" borderId="172" xfId="0" applyFont="1" applyBorder="1" applyAlignment="1">
      <alignment vertical="top" wrapText="1"/>
    </xf>
    <xf numFmtId="14" fontId="43" fillId="0" borderId="23" xfId="0" applyNumberFormat="1" applyFont="1" applyBorder="1" applyAlignment="1">
      <alignment horizontal="center" vertical="center"/>
    </xf>
    <xf numFmtId="14" fontId="43" fillId="0" borderId="24" xfId="0" applyNumberFormat="1" applyFont="1" applyBorder="1" applyAlignment="1">
      <alignment horizontal="center" vertical="center"/>
    </xf>
    <xf numFmtId="14" fontId="43" fillId="0" borderId="106" xfId="0" applyNumberFormat="1" applyFont="1" applyBorder="1" applyAlignment="1">
      <alignment horizontal="center" vertical="center"/>
    </xf>
    <xf numFmtId="0" fontId="43" fillId="0" borderId="171" xfId="0" applyFont="1" applyBorder="1" applyAlignment="1">
      <alignment horizontal="center" vertical="top" wrapText="1"/>
    </xf>
    <xf numFmtId="0" fontId="43" fillId="0" borderId="178" xfId="0" applyFont="1" applyBorder="1" applyAlignment="1">
      <alignment horizontal="center" vertical="top" wrapText="1"/>
    </xf>
    <xf numFmtId="0" fontId="43" fillId="0" borderId="20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3" fillId="0" borderId="23" xfId="0" applyFont="1" applyBorder="1" applyAlignment="1">
      <alignment horizontal="center" vertical="center" wrapText="1"/>
    </xf>
    <xf numFmtId="0" fontId="43" fillId="0" borderId="24" xfId="0" applyFont="1" applyBorder="1" applyAlignment="1">
      <alignment horizontal="center" vertical="center" wrapText="1"/>
    </xf>
    <xf numFmtId="0" fontId="43" fillId="0" borderId="106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0" fontId="43" fillId="0" borderId="106" xfId="0" applyFont="1" applyBorder="1" applyAlignment="1">
      <alignment horizontal="center" vertical="center"/>
    </xf>
    <xf numFmtId="0" fontId="45" fillId="0" borderId="0" xfId="0" applyNumberFormat="1" applyFont="1" applyAlignment="1">
      <alignment horizontal="left" indent="1"/>
    </xf>
    <xf numFmtId="0" fontId="50" fillId="0" borderId="178" xfId="0" applyFont="1" applyBorder="1" applyAlignment="1">
      <alignment horizontal="center" vertical="top" wrapText="1"/>
    </xf>
    <xf numFmtId="0" fontId="46" fillId="0" borderId="178" xfId="0" applyFont="1" applyBorder="1" applyAlignment="1">
      <alignment horizontal="center" vertical="center" wrapText="1"/>
    </xf>
    <xf numFmtId="0" fontId="42" fillId="0" borderId="178" xfId="0" applyFont="1" applyBorder="1" applyAlignment="1">
      <alignment horizontal="center" vertical="center" wrapText="1"/>
    </xf>
    <xf numFmtId="0" fontId="47" fillId="0" borderId="0" xfId="0" applyNumberFormat="1" applyFont="1" applyBorder="1" applyAlignment="1">
      <alignment horizontal="left" indent="1"/>
    </xf>
    <xf numFmtId="0" fontId="45" fillId="0" borderId="0" xfId="0" applyFont="1" applyAlignment="1">
      <alignment horizontal="left" indent="1"/>
    </xf>
    <xf numFmtId="0" fontId="45" fillId="0" borderId="0" xfId="0" applyNumberFormat="1" applyFont="1" applyAlignment="1">
      <alignment horizontal="left"/>
    </xf>
    <xf numFmtId="0" fontId="49" fillId="0" borderId="142" xfId="0" applyFont="1" applyBorder="1" applyAlignment="1">
      <alignment horizontal="center" vertical="center"/>
    </xf>
    <xf numFmtId="0" fontId="49" fillId="0" borderId="143" xfId="0" applyFont="1" applyBorder="1" applyAlignment="1">
      <alignment horizontal="center" vertical="center"/>
    </xf>
    <xf numFmtId="0" fontId="44" fillId="0" borderId="169" xfId="0" applyFont="1" applyBorder="1" applyAlignment="1">
      <alignment horizontal="center" vertical="center" wrapText="1"/>
    </xf>
    <xf numFmtId="0" fontId="44" fillId="0" borderId="170" xfId="0" applyFont="1" applyBorder="1" applyAlignment="1">
      <alignment horizontal="center" vertical="center" wrapText="1"/>
    </xf>
    <xf numFmtId="0" fontId="50" fillId="0" borderId="178" xfId="0" applyFont="1" applyBorder="1" applyAlignment="1">
      <alignment horizontal="center" vertical="center" wrapText="1"/>
    </xf>
    <xf numFmtId="0" fontId="44" fillId="0" borderId="172" xfId="0" applyFont="1" applyBorder="1" applyAlignment="1">
      <alignment horizontal="center" vertical="top" wrapText="1"/>
    </xf>
    <xf numFmtId="0" fontId="44" fillId="0" borderId="173" xfId="0" applyFont="1" applyBorder="1" applyAlignment="1">
      <alignment horizontal="center" vertical="top" wrapText="1"/>
    </xf>
    <xf numFmtId="0" fontId="51" fillId="0" borderId="178" xfId="0" applyFont="1" applyBorder="1" applyAlignment="1">
      <alignment horizontal="center" vertical="top" wrapText="1"/>
    </xf>
    <xf numFmtId="0" fontId="52" fillId="0" borderId="15" xfId="0" applyFont="1" applyBorder="1" applyAlignment="1">
      <alignment horizontal="center" vertical="center"/>
    </xf>
    <xf numFmtId="0" fontId="52" fillId="0" borderId="16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SE%20&amp;%20OUT%20SIDE%20REPAIR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01-07"/>
      <sheetName val="08-14"/>
      <sheetName val="15-21"/>
      <sheetName val="22-28"/>
      <sheetName val="29-05"/>
      <sheetName val="06-12"/>
      <sheetName val="13-19"/>
      <sheetName val="20-26"/>
      <sheetName val="06-12."/>
      <sheetName val="13-19."/>
      <sheetName val="27-03"/>
      <sheetName val="11-17"/>
      <sheetName val="18-24"/>
      <sheetName val="25-01"/>
      <sheetName val="02-08"/>
      <sheetName val="09-15"/>
      <sheetName val="16-22"/>
      <sheetName val="23-29"/>
      <sheetName val="30-06"/>
      <sheetName val="07-13"/>
      <sheetName val="14-20"/>
      <sheetName val="28-04"/>
      <sheetName val="05-11"/>
      <sheetName val="12-18"/>
      <sheetName val="19-25"/>
      <sheetName val="26-02"/>
      <sheetName val="03-09"/>
      <sheetName val="10-16"/>
      <sheetName val="17-23"/>
      <sheetName val="24-30"/>
      <sheetName val="01-007"/>
      <sheetName val="008-14"/>
      <sheetName val="015-21"/>
      <sheetName val="022-28"/>
      <sheetName val="29-005"/>
      <sheetName val="006-12"/>
      <sheetName val="013-19"/>
      <sheetName val="027-03"/>
      <sheetName val="004-10"/>
      <sheetName val="011-17"/>
      <sheetName val="018-24"/>
      <sheetName val="25-001"/>
      <sheetName val="002-08"/>
      <sheetName val="009-15"/>
      <sheetName val="016-22"/>
      <sheetName val="023-29"/>
      <sheetName val="30-006"/>
      <sheetName val="007-13"/>
      <sheetName val="014-20"/>
      <sheetName val="21-27"/>
      <sheetName val="28-004"/>
      <sheetName val="005-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>
        <row r="25">
          <cell r="O25">
            <v>720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1.v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N98"/>
  <sheetViews>
    <sheetView workbookViewId="0">
      <pane xSplit="3" ySplit="4" topLeftCell="E84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28515625" customWidth="1"/>
    <col min="3" max="3" width="13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5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23.7109375" customWidth="1"/>
    <col min="14" max="14" width="42" customWidth="1"/>
  </cols>
  <sheetData>
    <row r="1" spans="2:14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4" ht="27" customHeight="1">
      <c r="B2" s="861" t="s">
        <v>426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4" ht="9" customHeight="1" thickBo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</row>
    <row r="4" spans="2:14" s="6" customFormat="1" ht="52.5" hidden="1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6" t="s">
        <v>14</v>
      </c>
    </row>
    <row r="5" spans="2:14" ht="24.95" hidden="1" customHeight="1">
      <c r="B5" s="863">
        <v>1</v>
      </c>
      <c r="C5" s="864" t="s">
        <v>19</v>
      </c>
      <c r="D5" s="864" t="s">
        <v>20</v>
      </c>
      <c r="E5" s="864">
        <v>150820</v>
      </c>
      <c r="F5" s="865">
        <v>40115</v>
      </c>
      <c r="G5" s="865">
        <v>40120</v>
      </c>
      <c r="H5" s="17" t="s">
        <v>29</v>
      </c>
      <c r="I5" s="15">
        <v>3423012030</v>
      </c>
      <c r="J5" s="16">
        <v>1</v>
      </c>
      <c r="K5" s="17" t="s">
        <v>32</v>
      </c>
      <c r="L5" s="16">
        <v>22</v>
      </c>
      <c r="M5" s="18" t="s">
        <v>35</v>
      </c>
      <c r="N5" s="19" t="s">
        <v>45</v>
      </c>
    </row>
    <row r="6" spans="2:14" ht="24.95" hidden="1" customHeight="1">
      <c r="B6" s="852"/>
      <c r="C6" s="855"/>
      <c r="D6" s="855"/>
      <c r="E6" s="855"/>
      <c r="F6" s="839"/>
      <c r="G6" s="839"/>
      <c r="H6" s="17" t="s">
        <v>30</v>
      </c>
      <c r="I6" s="15">
        <v>342301040</v>
      </c>
      <c r="J6" s="16">
        <v>1</v>
      </c>
      <c r="K6" s="17" t="s">
        <v>33</v>
      </c>
      <c r="L6" s="16">
        <v>41</v>
      </c>
      <c r="M6" s="18" t="s">
        <v>36</v>
      </c>
      <c r="N6" s="19"/>
    </row>
    <row r="7" spans="2:14" ht="24.95" hidden="1" customHeight="1">
      <c r="B7" s="852"/>
      <c r="C7" s="855"/>
      <c r="D7" s="855"/>
      <c r="E7" s="855"/>
      <c r="F7" s="839"/>
      <c r="G7" s="839"/>
      <c r="H7" s="14" t="s">
        <v>31</v>
      </c>
      <c r="I7" s="15"/>
      <c r="J7" s="16">
        <v>1</v>
      </c>
      <c r="K7" s="17" t="s">
        <v>38</v>
      </c>
      <c r="L7" s="16">
        <v>85</v>
      </c>
      <c r="M7" s="18" t="s">
        <v>37</v>
      </c>
      <c r="N7" s="19"/>
    </row>
    <row r="8" spans="2:14" ht="30.75" hidden="1" customHeight="1">
      <c r="B8" s="852"/>
      <c r="C8" s="855"/>
      <c r="D8" s="855"/>
      <c r="E8" s="855"/>
      <c r="F8" s="839"/>
      <c r="G8" s="839"/>
      <c r="H8" s="14" t="s">
        <v>63</v>
      </c>
      <c r="I8" s="15">
        <v>3374500160</v>
      </c>
      <c r="J8" s="16">
        <v>1</v>
      </c>
      <c r="K8" s="17" t="s">
        <v>34</v>
      </c>
      <c r="L8" s="16">
        <v>8</v>
      </c>
      <c r="M8" s="18"/>
      <c r="N8" s="19"/>
    </row>
    <row r="9" spans="2:14" ht="33.75" hidden="1" customHeight="1">
      <c r="B9" s="852"/>
      <c r="C9" s="855"/>
      <c r="D9" s="855"/>
      <c r="E9" s="855"/>
      <c r="F9" s="839"/>
      <c r="G9" s="839"/>
      <c r="H9" s="14" t="s">
        <v>64</v>
      </c>
      <c r="I9" s="15">
        <v>3374500150</v>
      </c>
      <c r="J9" s="16">
        <v>1</v>
      </c>
      <c r="K9" s="17"/>
      <c r="L9" s="16"/>
      <c r="M9" s="18"/>
      <c r="N9" s="19"/>
    </row>
    <row r="10" spans="2:14" ht="33" hidden="1" customHeight="1">
      <c r="B10" s="852"/>
      <c r="C10" s="855"/>
      <c r="D10" s="855"/>
      <c r="E10" s="855"/>
      <c r="F10" s="839"/>
      <c r="G10" s="839"/>
      <c r="H10" s="14" t="s">
        <v>62</v>
      </c>
      <c r="I10" s="15">
        <v>3454205200</v>
      </c>
      <c r="J10" s="16">
        <v>16</v>
      </c>
      <c r="K10" s="17"/>
      <c r="L10" s="16"/>
      <c r="M10" s="18"/>
      <c r="N10" s="19"/>
    </row>
    <row r="11" spans="2:14" ht="24.95" hidden="1" customHeight="1">
      <c r="B11" s="852"/>
      <c r="C11" s="855"/>
      <c r="D11" s="855"/>
      <c r="E11" s="855"/>
      <c r="F11" s="839"/>
      <c r="G11" s="839"/>
      <c r="H11" s="14"/>
      <c r="I11" s="15"/>
      <c r="J11" s="16"/>
      <c r="K11" s="17"/>
      <c r="L11" s="16"/>
      <c r="M11" s="18"/>
      <c r="N11" s="19"/>
    </row>
    <row r="12" spans="2:14" ht="24.95" hidden="1" customHeight="1">
      <c r="B12" s="852"/>
      <c r="C12" s="855"/>
      <c r="D12" s="855"/>
      <c r="E12" s="855"/>
      <c r="F12" s="839"/>
      <c r="G12" s="839"/>
      <c r="H12" s="17"/>
      <c r="I12" s="15"/>
      <c r="J12" s="16"/>
      <c r="K12" s="17"/>
      <c r="L12" s="17"/>
      <c r="M12" s="18"/>
      <c r="N12" s="19"/>
    </row>
    <row r="13" spans="2:14" ht="24.95" hidden="1" customHeight="1">
      <c r="B13" s="852"/>
      <c r="C13" s="855"/>
      <c r="D13" s="855"/>
      <c r="E13" s="855"/>
      <c r="F13" s="839"/>
      <c r="G13" s="839"/>
      <c r="H13" s="17"/>
      <c r="I13" s="15"/>
      <c r="J13" s="16"/>
      <c r="K13" s="17"/>
      <c r="L13" s="16"/>
      <c r="M13" s="18"/>
      <c r="N13" s="19"/>
    </row>
    <row r="14" spans="2:14" ht="24.95" hidden="1" customHeight="1">
      <c r="B14" s="852"/>
      <c r="C14" s="855"/>
      <c r="D14" s="855"/>
      <c r="E14" s="855"/>
      <c r="F14" s="839"/>
      <c r="G14" s="839"/>
      <c r="H14" s="62"/>
      <c r="I14" s="63"/>
      <c r="J14" s="64"/>
      <c r="K14" s="62"/>
      <c r="L14" s="64"/>
      <c r="M14" s="65"/>
      <c r="N14" s="53"/>
    </row>
    <row r="15" spans="2:14" ht="24.95" hidden="1" customHeight="1" thickBot="1">
      <c r="B15" s="853"/>
      <c r="C15" s="856"/>
      <c r="D15" s="856"/>
      <c r="E15" s="856"/>
      <c r="F15" s="857"/>
      <c r="G15" s="857"/>
      <c r="H15" s="26"/>
      <c r="I15" s="37"/>
      <c r="J15" s="27"/>
      <c r="K15" s="26"/>
      <c r="L15" s="27"/>
      <c r="M15" s="24"/>
      <c r="N15" s="28"/>
    </row>
    <row r="16" spans="2:14" ht="24.95" hidden="1" customHeight="1" thickTop="1" thickBot="1">
      <c r="B16" s="841" t="s">
        <v>48</v>
      </c>
      <c r="C16" s="842"/>
      <c r="D16" s="842"/>
      <c r="E16" s="842"/>
      <c r="F16" s="842"/>
      <c r="G16" s="842"/>
      <c r="H16" s="842"/>
      <c r="I16" s="849"/>
      <c r="J16" s="847"/>
      <c r="K16" s="847"/>
      <c r="L16" s="848"/>
      <c r="M16" s="44"/>
      <c r="N16" s="49"/>
    </row>
    <row r="17" spans="2:14" ht="24.95" hidden="1" customHeight="1" thickTop="1">
      <c r="B17" s="850" t="s">
        <v>39</v>
      </c>
      <c r="C17" s="850"/>
      <c r="D17" s="850"/>
      <c r="E17" s="850"/>
      <c r="F17" s="850"/>
      <c r="G17" s="850"/>
      <c r="H17" s="850"/>
      <c r="I17" s="850"/>
      <c r="J17" s="850"/>
      <c r="K17" s="850"/>
      <c r="L17" s="850"/>
      <c r="M17" s="850"/>
      <c r="N17" s="850"/>
    </row>
    <row r="18" spans="2:14" ht="8.25" hidden="1" customHeight="1" thickBot="1">
      <c r="B18" s="40"/>
      <c r="C18" s="40"/>
      <c r="D18" s="40"/>
      <c r="E18" s="40"/>
      <c r="F18" s="40"/>
      <c r="G18" s="40"/>
      <c r="H18" s="40"/>
      <c r="I18" s="40"/>
      <c r="J18" s="40"/>
      <c r="K18" s="47"/>
      <c r="L18" s="40"/>
      <c r="M18" s="40"/>
      <c r="N18" s="40"/>
    </row>
    <row r="19" spans="2:14" s="6" customFormat="1" ht="54" hidden="1" customHeight="1" thickTop="1" thickBot="1">
      <c r="B19" s="1" t="s">
        <v>2</v>
      </c>
      <c r="C19" s="2" t="s">
        <v>3</v>
      </c>
      <c r="D19" s="3" t="s">
        <v>4</v>
      </c>
      <c r="E19" s="2" t="s">
        <v>5</v>
      </c>
      <c r="F19" s="2" t="s">
        <v>6</v>
      </c>
      <c r="G19" s="2" t="s">
        <v>7</v>
      </c>
      <c r="H19" s="3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4" t="s">
        <v>13</v>
      </c>
      <c r="N19" s="5" t="s">
        <v>14</v>
      </c>
    </row>
    <row r="20" spans="2:14" ht="31.5" hidden="1" customHeight="1">
      <c r="B20" s="851">
        <v>1</v>
      </c>
      <c r="C20" s="854" t="s">
        <v>19</v>
      </c>
      <c r="D20" s="854" t="s">
        <v>21</v>
      </c>
      <c r="E20" s="854">
        <v>135627</v>
      </c>
      <c r="F20" s="838">
        <v>40118</v>
      </c>
      <c r="G20" s="838">
        <v>40120</v>
      </c>
      <c r="H20" s="67"/>
      <c r="I20" s="8"/>
      <c r="J20" s="9"/>
      <c r="K20" s="17"/>
      <c r="L20" s="16"/>
      <c r="M20" s="10" t="s">
        <v>43</v>
      </c>
      <c r="N20" s="41" t="s">
        <v>29</v>
      </c>
    </row>
    <row r="21" spans="2:14" ht="32.25" hidden="1" customHeight="1">
      <c r="B21" s="852"/>
      <c r="C21" s="855"/>
      <c r="D21" s="855"/>
      <c r="E21" s="855"/>
      <c r="F21" s="839"/>
      <c r="G21" s="839"/>
      <c r="H21" s="14"/>
      <c r="I21" s="15"/>
      <c r="J21" s="16"/>
      <c r="K21" s="17"/>
      <c r="L21" s="16"/>
      <c r="M21" s="18" t="s">
        <v>44</v>
      </c>
      <c r="N21" s="42" t="s">
        <v>30</v>
      </c>
    </row>
    <row r="22" spans="2:14" ht="24.95" hidden="1" customHeight="1">
      <c r="B22" s="852"/>
      <c r="C22" s="855"/>
      <c r="D22" s="855"/>
      <c r="E22" s="855"/>
      <c r="F22" s="839"/>
      <c r="G22" s="839"/>
      <c r="H22" s="14"/>
      <c r="I22" s="15"/>
      <c r="J22" s="16"/>
      <c r="K22" s="17"/>
      <c r="L22" s="16"/>
      <c r="M22" s="18" t="s">
        <v>36</v>
      </c>
      <c r="N22" s="19"/>
    </row>
    <row r="23" spans="2:14" ht="24.95" hidden="1" customHeight="1">
      <c r="B23" s="852"/>
      <c r="C23" s="855"/>
      <c r="D23" s="855"/>
      <c r="E23" s="855"/>
      <c r="F23" s="839"/>
      <c r="G23" s="839"/>
      <c r="H23" s="62"/>
      <c r="I23" s="63"/>
      <c r="J23" s="64"/>
      <c r="K23" s="17"/>
      <c r="L23" s="16"/>
      <c r="M23" s="18"/>
      <c r="N23" s="19"/>
    </row>
    <row r="24" spans="2:14" ht="30" hidden="1" customHeight="1" thickBot="1">
      <c r="B24" s="853"/>
      <c r="C24" s="856"/>
      <c r="D24" s="856"/>
      <c r="E24" s="856"/>
      <c r="F24" s="857"/>
      <c r="G24" s="857"/>
      <c r="H24" s="51"/>
      <c r="I24" s="37"/>
      <c r="J24" s="27"/>
      <c r="K24" s="17"/>
      <c r="L24" s="16"/>
      <c r="M24" s="18"/>
      <c r="N24" s="19"/>
    </row>
    <row r="25" spans="2:14" ht="38.1" hidden="1" customHeight="1" thickTop="1" thickBot="1">
      <c r="B25" s="843" t="s">
        <v>48</v>
      </c>
      <c r="C25" s="844"/>
      <c r="D25" s="844"/>
      <c r="E25" s="844"/>
      <c r="F25" s="844"/>
      <c r="G25" s="844"/>
      <c r="H25" s="844"/>
      <c r="I25" s="845">
        <f>29391.2+7080+1462+L20*84.01+L21*84.01+L22*77.98+L24*109.25+53.93+53.93</f>
        <v>38041.06</v>
      </c>
      <c r="J25" s="846"/>
      <c r="K25" s="847"/>
      <c r="L25" s="848"/>
      <c r="M25" s="44"/>
      <c r="N25" s="49"/>
    </row>
    <row r="26" spans="2:14" ht="12" hidden="1" customHeight="1" thickTop="1" thickBot="1"/>
    <row r="27" spans="2:14" s="6" customFormat="1" ht="53.25" hidden="1" customHeight="1" thickTop="1" thickBot="1">
      <c r="B27" s="1" t="s">
        <v>2</v>
      </c>
      <c r="C27" s="2" t="s">
        <v>3</v>
      </c>
      <c r="D27" s="3" t="s">
        <v>4</v>
      </c>
      <c r="E27" s="2" t="s">
        <v>5</v>
      </c>
      <c r="F27" s="2" t="s">
        <v>6</v>
      </c>
      <c r="G27" s="2" t="s">
        <v>7</v>
      </c>
      <c r="H27" s="3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s="5" t="s">
        <v>14</v>
      </c>
    </row>
    <row r="28" spans="2:14" ht="24.95" hidden="1" customHeight="1">
      <c r="B28" s="851">
        <v>1</v>
      </c>
      <c r="C28" s="854"/>
      <c r="D28" s="854"/>
      <c r="E28" s="854"/>
      <c r="F28" s="838"/>
      <c r="G28" s="838"/>
      <c r="H28" s="68"/>
      <c r="I28" s="69"/>
      <c r="J28" s="70"/>
      <c r="K28" s="17"/>
      <c r="L28" s="16"/>
      <c r="M28" s="52"/>
      <c r="N28" s="11"/>
    </row>
    <row r="29" spans="2:14" ht="24.95" hidden="1" customHeight="1">
      <c r="B29" s="852"/>
      <c r="C29" s="855"/>
      <c r="D29" s="855"/>
      <c r="E29" s="855"/>
      <c r="F29" s="839"/>
      <c r="G29" s="839"/>
      <c r="H29" s="62"/>
      <c r="I29" s="63"/>
      <c r="J29" s="64"/>
      <c r="K29" s="17"/>
      <c r="L29" s="16"/>
      <c r="M29" s="18"/>
      <c r="N29" s="19"/>
    </row>
    <row r="30" spans="2:14" ht="24.95" hidden="1" customHeight="1">
      <c r="B30" s="852"/>
      <c r="C30" s="855"/>
      <c r="D30" s="855"/>
      <c r="E30" s="855"/>
      <c r="F30" s="839"/>
      <c r="G30" s="839"/>
      <c r="H30" s="12"/>
      <c r="I30" s="12"/>
      <c r="J30" s="12"/>
      <c r="K30" s="17"/>
      <c r="L30" s="16"/>
      <c r="M30" s="18"/>
      <c r="N30" s="19"/>
    </row>
    <row r="31" spans="2:14" ht="24.95" hidden="1" customHeight="1" thickBot="1">
      <c r="B31" s="858"/>
      <c r="C31" s="859"/>
      <c r="D31" s="859"/>
      <c r="E31" s="859"/>
      <c r="F31" s="840"/>
      <c r="G31" s="840"/>
      <c r="H31" s="23"/>
      <c r="I31" s="23"/>
      <c r="J31" s="23"/>
      <c r="K31" s="17"/>
      <c r="L31" s="16"/>
      <c r="M31" s="24"/>
      <c r="N31" s="48"/>
    </row>
    <row r="32" spans="2:14" ht="38.1" hidden="1" customHeight="1" thickTop="1" thickBot="1">
      <c r="B32" s="876" t="s">
        <v>48</v>
      </c>
      <c r="C32" s="877"/>
      <c r="D32" s="877"/>
      <c r="E32" s="877"/>
      <c r="F32" s="877"/>
      <c r="G32" s="877"/>
      <c r="H32" s="877"/>
      <c r="I32" s="849"/>
      <c r="J32" s="847"/>
      <c r="K32" s="847"/>
      <c r="L32" s="848"/>
      <c r="M32" s="50"/>
      <c r="N32" s="49"/>
    </row>
    <row r="33" spans="2:14" ht="24.95" hidden="1" customHeight="1" thickTop="1">
      <c r="B33" s="867" t="s">
        <v>46</v>
      </c>
      <c r="C33" s="867"/>
      <c r="D33" s="867"/>
      <c r="E33" s="867"/>
      <c r="F33" s="867"/>
      <c r="G33" s="867"/>
      <c r="H33" s="867"/>
      <c r="I33" s="867"/>
      <c r="J33" s="867"/>
      <c r="K33" s="867"/>
      <c r="L33" s="867"/>
      <c r="M33" s="867"/>
    </row>
    <row r="34" spans="2:14" ht="24.95" hidden="1" customHeight="1"/>
    <row r="35" spans="2:14" ht="28.5" hidden="1" customHeight="1">
      <c r="B35" s="860" t="s">
        <v>0</v>
      </c>
      <c r="C35" s="860"/>
      <c r="D35" s="860"/>
      <c r="E35" s="860"/>
      <c r="F35" s="860"/>
      <c r="G35" s="860"/>
      <c r="H35" s="860"/>
      <c r="I35" s="860"/>
      <c r="J35" s="860"/>
      <c r="K35" s="860"/>
      <c r="L35" s="860"/>
      <c r="M35" s="860"/>
    </row>
    <row r="36" spans="2:14" ht="27" hidden="1" customHeight="1">
      <c r="B36" s="861" t="s">
        <v>1</v>
      </c>
      <c r="C36" s="861"/>
      <c r="D36" s="861"/>
      <c r="E36" s="861"/>
      <c r="F36" s="861"/>
      <c r="G36" s="861"/>
      <c r="H36" s="861"/>
      <c r="I36" s="861"/>
      <c r="J36" s="861"/>
      <c r="K36" s="861"/>
      <c r="L36" s="861"/>
      <c r="M36" s="861"/>
    </row>
    <row r="37" spans="2:14" ht="9" hidden="1" customHeight="1" thickBot="1">
      <c r="B37" s="862"/>
      <c r="C37" s="862"/>
      <c r="D37" s="862"/>
      <c r="E37" s="862"/>
      <c r="F37" s="862"/>
      <c r="G37" s="862"/>
      <c r="H37" s="862"/>
      <c r="I37" s="862"/>
      <c r="J37" s="862"/>
      <c r="K37" s="862"/>
      <c r="L37" s="862"/>
    </row>
    <row r="38" spans="2:14" s="6" customFormat="1" ht="39.950000000000003" hidden="1" customHeight="1" thickTop="1">
      <c r="B38" s="33" t="s">
        <v>2</v>
      </c>
      <c r="C38" s="34" t="s">
        <v>3</v>
      </c>
      <c r="D38" s="35" t="s">
        <v>4</v>
      </c>
      <c r="E38" s="34" t="s">
        <v>5</v>
      </c>
      <c r="F38" s="34" t="s">
        <v>6</v>
      </c>
      <c r="G38" s="34" t="s">
        <v>7</v>
      </c>
      <c r="H38" s="35" t="s">
        <v>8</v>
      </c>
      <c r="I38" s="34" t="s">
        <v>9</v>
      </c>
      <c r="J38" s="34" t="s">
        <v>10</v>
      </c>
      <c r="K38" s="34" t="s">
        <v>11</v>
      </c>
      <c r="L38" s="34" t="s">
        <v>12</v>
      </c>
      <c r="M38" s="34" t="s">
        <v>13</v>
      </c>
      <c r="N38" s="36" t="s">
        <v>14</v>
      </c>
    </row>
    <row r="39" spans="2:14" ht="32.25" hidden="1" customHeight="1">
      <c r="B39" s="872">
        <v>1</v>
      </c>
      <c r="C39" s="873"/>
      <c r="D39" s="873"/>
      <c r="E39" s="873"/>
      <c r="F39" s="874"/>
      <c r="G39" s="874"/>
      <c r="H39" s="14"/>
      <c r="I39" s="15"/>
      <c r="J39" s="16"/>
      <c r="K39" s="17"/>
      <c r="L39" s="16"/>
      <c r="M39" s="18"/>
      <c r="N39" s="19"/>
    </row>
    <row r="40" spans="2:14" ht="32.25" hidden="1" customHeight="1">
      <c r="B40" s="872"/>
      <c r="C40" s="873"/>
      <c r="D40" s="873"/>
      <c r="E40" s="873"/>
      <c r="F40" s="874"/>
      <c r="G40" s="874"/>
      <c r="H40" s="14"/>
      <c r="I40" s="15"/>
      <c r="J40" s="16"/>
      <c r="K40" s="17"/>
      <c r="L40" s="16"/>
      <c r="M40" s="17"/>
      <c r="N40" s="42"/>
    </row>
    <row r="41" spans="2:14" ht="35.25" hidden="1" customHeight="1">
      <c r="B41" s="872"/>
      <c r="C41" s="873"/>
      <c r="D41" s="873"/>
      <c r="E41" s="873"/>
      <c r="F41" s="874"/>
      <c r="G41" s="874"/>
      <c r="H41" s="14"/>
      <c r="I41" s="15"/>
      <c r="J41" s="16"/>
      <c r="K41" s="17"/>
      <c r="L41" s="16"/>
      <c r="M41" s="17"/>
      <c r="N41" s="42"/>
    </row>
    <row r="42" spans="2:14" ht="35.25" hidden="1" customHeight="1">
      <c r="B42" s="872"/>
      <c r="C42" s="873"/>
      <c r="D42" s="873"/>
      <c r="E42" s="873"/>
      <c r="F42" s="874"/>
      <c r="G42" s="874"/>
      <c r="H42" s="62"/>
      <c r="I42" s="63"/>
      <c r="J42" s="64"/>
      <c r="K42" s="17"/>
      <c r="L42" s="16"/>
      <c r="M42" s="18"/>
      <c r="N42" s="55"/>
    </row>
    <row r="43" spans="2:14" ht="24.95" hidden="1" customHeight="1">
      <c r="B43" s="21"/>
      <c r="C43" s="12"/>
      <c r="D43" s="12"/>
      <c r="E43" s="18"/>
      <c r="F43" s="13"/>
      <c r="G43" s="13"/>
      <c r="H43" s="17"/>
      <c r="I43" s="17"/>
      <c r="J43" s="16"/>
      <c r="K43" s="17"/>
      <c r="L43" s="17"/>
      <c r="M43" s="18"/>
      <c r="N43" s="55"/>
    </row>
    <row r="44" spans="2:14" ht="38.1" hidden="1" customHeight="1" thickBot="1">
      <c r="B44" s="868" t="s">
        <v>48</v>
      </c>
      <c r="C44" s="869"/>
      <c r="D44" s="869"/>
      <c r="E44" s="869"/>
      <c r="F44" s="869"/>
      <c r="G44" s="869"/>
      <c r="H44" s="869"/>
      <c r="I44" s="870">
        <f>29391.2+L39*84.01+L40*84.01+L41*77.98+L42*109.25+1020.48+2274.03+107.86</f>
        <v>32793.57</v>
      </c>
      <c r="J44" s="870"/>
      <c r="K44" s="870"/>
      <c r="L44" s="870"/>
      <c r="M44" s="56"/>
      <c r="N44" s="57"/>
    </row>
    <row r="45" spans="2:14" ht="24.95" hidden="1" customHeight="1" thickTop="1">
      <c r="B45" s="871" t="s">
        <v>15</v>
      </c>
      <c r="C45" s="871"/>
      <c r="D45" s="871"/>
      <c r="E45" s="871"/>
      <c r="F45" s="871"/>
      <c r="G45" s="871"/>
      <c r="H45" s="871"/>
      <c r="I45" s="871"/>
      <c r="J45" s="871"/>
      <c r="K45" s="871"/>
      <c r="L45" s="871"/>
      <c r="M45" s="871"/>
    </row>
    <row r="46" spans="2:14" ht="12.75" hidden="1" customHeight="1" thickBot="1"/>
    <row r="47" spans="2:14" s="6" customFormat="1" ht="39.950000000000003" hidden="1" customHeight="1" thickTop="1">
      <c r="B47" s="33" t="s">
        <v>2</v>
      </c>
      <c r="C47" s="34" t="s">
        <v>3</v>
      </c>
      <c r="D47" s="35" t="s">
        <v>4</v>
      </c>
      <c r="E47" s="34" t="s">
        <v>5</v>
      </c>
      <c r="F47" s="34" t="s">
        <v>6</v>
      </c>
      <c r="G47" s="34" t="s">
        <v>7</v>
      </c>
      <c r="H47" s="35" t="s">
        <v>8</v>
      </c>
      <c r="I47" s="34" t="s">
        <v>9</v>
      </c>
      <c r="J47" s="34" t="s">
        <v>10</v>
      </c>
      <c r="K47" s="34" t="s">
        <v>11</v>
      </c>
      <c r="L47" s="34" t="s">
        <v>12</v>
      </c>
      <c r="M47" s="34" t="s">
        <v>13</v>
      </c>
      <c r="N47" s="36" t="s">
        <v>14</v>
      </c>
    </row>
    <row r="48" spans="2:14" ht="24.95" hidden="1" customHeight="1">
      <c r="B48" s="872">
        <v>1</v>
      </c>
      <c r="C48" s="873"/>
      <c r="D48" s="873"/>
      <c r="E48" s="873"/>
      <c r="F48" s="874"/>
      <c r="G48" s="874"/>
      <c r="H48" s="17"/>
      <c r="I48" s="15"/>
      <c r="J48" s="16"/>
      <c r="K48" s="17"/>
      <c r="L48" s="16"/>
      <c r="M48" s="18"/>
      <c r="N48" s="19"/>
    </row>
    <row r="49" spans="2:14" ht="24.95" hidden="1" customHeight="1">
      <c r="B49" s="872"/>
      <c r="C49" s="873"/>
      <c r="D49" s="873"/>
      <c r="E49" s="873"/>
      <c r="F49" s="874"/>
      <c r="G49" s="874"/>
      <c r="H49" s="14"/>
      <c r="I49" s="15"/>
      <c r="J49" s="16"/>
      <c r="K49" s="17"/>
      <c r="L49" s="16"/>
      <c r="M49" s="18"/>
      <c r="N49" s="55"/>
    </row>
    <row r="50" spans="2:14" ht="24.95" hidden="1" customHeight="1">
      <c r="B50" s="872"/>
      <c r="C50" s="873"/>
      <c r="D50" s="873"/>
      <c r="E50" s="873"/>
      <c r="F50" s="874"/>
      <c r="G50" s="874"/>
      <c r="H50" s="14"/>
      <c r="I50" s="15"/>
      <c r="J50" s="16"/>
      <c r="K50" s="17"/>
      <c r="L50" s="16"/>
      <c r="M50" s="18"/>
      <c r="N50" s="55"/>
    </row>
    <row r="51" spans="2:14" ht="35.25" hidden="1" customHeight="1">
      <c r="B51" s="21"/>
      <c r="C51" s="12"/>
      <c r="D51" s="12"/>
      <c r="E51" s="30"/>
      <c r="F51" s="13"/>
      <c r="G51" s="13"/>
      <c r="H51" s="14"/>
      <c r="I51" s="15"/>
      <c r="J51" s="16"/>
      <c r="K51" s="17"/>
      <c r="L51" s="16"/>
      <c r="M51" s="18"/>
      <c r="N51" s="55"/>
    </row>
    <row r="52" spans="2:14" ht="24.95" hidden="1" customHeight="1">
      <c r="B52" s="21"/>
      <c r="C52" s="12"/>
      <c r="D52" s="12"/>
      <c r="E52" s="30"/>
      <c r="F52" s="13"/>
      <c r="G52" s="13"/>
      <c r="H52" s="17"/>
      <c r="I52" s="15"/>
      <c r="J52" s="16"/>
      <c r="K52" s="17"/>
      <c r="L52" s="17"/>
      <c r="M52" s="18"/>
      <c r="N52" s="55"/>
    </row>
    <row r="53" spans="2:14" ht="30" hidden="1" customHeight="1">
      <c r="B53" s="21"/>
      <c r="C53" s="12"/>
      <c r="D53" s="12"/>
      <c r="E53" s="30"/>
      <c r="F53" s="13"/>
      <c r="G53" s="13"/>
      <c r="H53" s="14"/>
      <c r="I53" s="15"/>
      <c r="J53" s="16"/>
      <c r="K53" s="17"/>
      <c r="L53" s="17"/>
      <c r="M53" s="18"/>
      <c r="N53" s="55"/>
    </row>
    <row r="54" spans="2:14" ht="31.5" hidden="1" customHeight="1">
      <c r="B54" s="21"/>
      <c r="C54" s="12"/>
      <c r="D54" s="12"/>
      <c r="E54" s="30"/>
      <c r="F54" s="13"/>
      <c r="G54" s="13"/>
      <c r="H54" s="14"/>
      <c r="I54" s="15"/>
      <c r="J54" s="16"/>
      <c r="K54" s="20"/>
      <c r="L54" s="17"/>
      <c r="M54" s="18"/>
      <c r="N54" s="55"/>
    </row>
    <row r="55" spans="2:14" ht="24.95" hidden="1" customHeight="1">
      <c r="B55" s="21"/>
      <c r="C55" s="12"/>
      <c r="D55" s="12"/>
      <c r="E55" s="30"/>
      <c r="F55" s="13"/>
      <c r="G55" s="13"/>
      <c r="H55" s="17"/>
      <c r="I55" s="15"/>
      <c r="J55" s="16"/>
      <c r="K55" s="17"/>
      <c r="L55" s="17"/>
      <c r="M55" s="18"/>
      <c r="N55" s="55"/>
    </row>
    <row r="56" spans="2:14" ht="24.95" hidden="1" customHeight="1">
      <c r="B56" s="21"/>
      <c r="C56" s="12"/>
      <c r="D56" s="12"/>
      <c r="E56" s="31"/>
      <c r="F56" s="13"/>
      <c r="G56" s="13"/>
      <c r="H56" s="17"/>
      <c r="I56" s="15"/>
      <c r="J56" s="16"/>
      <c r="K56" s="17"/>
      <c r="L56" s="16"/>
      <c r="M56" s="18"/>
      <c r="N56" s="55"/>
    </row>
    <row r="57" spans="2:14" ht="24.95" hidden="1" customHeight="1">
      <c r="B57" s="21"/>
      <c r="C57" s="12"/>
      <c r="D57" s="12"/>
      <c r="E57" s="31"/>
      <c r="F57" s="13"/>
      <c r="G57" s="13"/>
      <c r="H57" s="17"/>
      <c r="I57" s="15"/>
      <c r="J57" s="16"/>
      <c r="K57" s="17"/>
      <c r="L57" s="16"/>
      <c r="M57" s="18"/>
      <c r="N57" s="55"/>
    </row>
    <row r="58" spans="2:14" ht="24.95" hidden="1" customHeight="1">
      <c r="B58" s="21"/>
      <c r="C58" s="12"/>
      <c r="D58" s="12"/>
      <c r="E58" s="31"/>
      <c r="F58" s="13"/>
      <c r="G58" s="13"/>
      <c r="H58" s="17"/>
      <c r="I58" s="15"/>
      <c r="J58" s="16"/>
      <c r="K58" s="17"/>
      <c r="L58" s="16"/>
      <c r="M58" s="18"/>
      <c r="N58" s="55"/>
    </row>
    <row r="59" spans="2:14" ht="24.95" hidden="1" customHeight="1">
      <c r="B59" s="21"/>
      <c r="C59" s="12"/>
      <c r="D59" s="12"/>
      <c r="E59" s="31"/>
      <c r="F59" s="13"/>
      <c r="G59" s="13"/>
      <c r="H59" s="14"/>
      <c r="I59" s="15"/>
      <c r="J59" s="16"/>
      <c r="K59" s="17"/>
      <c r="L59" s="17"/>
      <c r="M59" s="18"/>
      <c r="N59" s="55"/>
    </row>
    <row r="60" spans="2:14" ht="24.95" hidden="1" customHeight="1">
      <c r="B60" s="21"/>
      <c r="C60" s="12"/>
      <c r="D60" s="12"/>
      <c r="E60" s="31"/>
      <c r="F60" s="13"/>
      <c r="G60" s="13"/>
      <c r="H60" s="17"/>
      <c r="I60" s="15"/>
      <c r="J60" s="16"/>
      <c r="K60" s="17"/>
      <c r="L60" s="17"/>
      <c r="M60" s="18"/>
      <c r="N60" s="55"/>
    </row>
    <row r="61" spans="2:14" ht="24.95" hidden="1" customHeight="1">
      <c r="B61" s="21"/>
      <c r="C61" s="12"/>
      <c r="D61" s="12"/>
      <c r="E61" s="18"/>
      <c r="F61" s="13"/>
      <c r="G61" s="13"/>
      <c r="H61" s="17"/>
      <c r="I61" s="17"/>
      <c r="J61" s="16"/>
      <c r="K61" s="17"/>
      <c r="L61" s="17"/>
      <c r="M61" s="18"/>
      <c r="N61" s="55"/>
    </row>
    <row r="62" spans="2:14" ht="24.95" hidden="1" customHeight="1">
      <c r="B62" s="21"/>
      <c r="C62" s="12"/>
      <c r="D62" s="12"/>
      <c r="E62" s="18"/>
      <c r="F62" s="13"/>
      <c r="G62" s="13"/>
      <c r="H62" s="17"/>
      <c r="I62" s="17"/>
      <c r="J62" s="16"/>
      <c r="K62" s="17"/>
      <c r="L62" s="17"/>
      <c r="M62" s="18"/>
      <c r="N62" s="55"/>
    </row>
    <row r="63" spans="2:14" ht="24.95" hidden="1" customHeight="1">
      <c r="B63" s="21"/>
      <c r="C63" s="12"/>
      <c r="D63" s="12"/>
      <c r="E63" s="18"/>
      <c r="F63" s="13"/>
      <c r="G63" s="13"/>
      <c r="H63" s="17"/>
      <c r="I63" s="17"/>
      <c r="J63" s="16"/>
      <c r="K63" s="17"/>
      <c r="L63" s="17"/>
      <c r="M63" s="18"/>
      <c r="N63" s="55"/>
    </row>
    <row r="64" spans="2:14" ht="24.95" hidden="1" customHeight="1">
      <c r="B64" s="21"/>
      <c r="C64" s="12"/>
      <c r="D64" s="12"/>
      <c r="E64" s="18"/>
      <c r="F64" s="13"/>
      <c r="G64" s="13"/>
      <c r="H64" s="17"/>
      <c r="I64" s="17"/>
      <c r="J64" s="16"/>
      <c r="K64" s="17"/>
      <c r="L64" s="17"/>
      <c r="M64" s="18"/>
      <c r="N64" s="55"/>
    </row>
    <row r="65" spans="2:14" ht="24.95" hidden="1" customHeight="1">
      <c r="B65" s="21"/>
      <c r="C65" s="12"/>
      <c r="D65" s="12"/>
      <c r="E65" s="18"/>
      <c r="F65" s="13"/>
      <c r="G65" s="13"/>
      <c r="H65" s="17"/>
      <c r="I65" s="17"/>
      <c r="J65" s="16"/>
      <c r="K65" s="17"/>
      <c r="L65" s="17"/>
      <c r="M65" s="18"/>
      <c r="N65" s="55"/>
    </row>
    <row r="66" spans="2:14" ht="24.95" hidden="1" customHeight="1">
      <c r="B66" s="21"/>
      <c r="C66" s="12"/>
      <c r="D66" s="12"/>
      <c r="E66" s="18"/>
      <c r="F66" s="13"/>
      <c r="G66" s="13"/>
      <c r="H66" s="17"/>
      <c r="I66" s="17"/>
      <c r="J66" s="16"/>
      <c r="K66" s="17"/>
      <c r="L66" s="17"/>
      <c r="M66" s="18"/>
      <c r="N66" s="55"/>
    </row>
    <row r="67" spans="2:14" ht="24.95" hidden="1" customHeight="1">
      <c r="B67" s="21"/>
      <c r="C67" s="12"/>
      <c r="D67" s="12"/>
      <c r="E67" s="18"/>
      <c r="F67" s="13"/>
      <c r="G67" s="13"/>
      <c r="H67" s="17"/>
      <c r="I67" s="17"/>
      <c r="J67" s="16"/>
      <c r="K67" s="17"/>
      <c r="L67" s="17"/>
      <c r="M67" s="18"/>
      <c r="N67" s="55"/>
    </row>
    <row r="68" spans="2:14" ht="24.95" hidden="1" customHeight="1">
      <c r="B68" s="21"/>
      <c r="C68" s="12"/>
      <c r="D68" s="12"/>
      <c r="E68" s="18"/>
      <c r="F68" s="13"/>
      <c r="G68" s="13"/>
      <c r="H68" s="17"/>
      <c r="I68" s="17"/>
      <c r="J68" s="16"/>
      <c r="K68" s="17"/>
      <c r="L68" s="17"/>
      <c r="M68" s="18"/>
      <c r="N68" s="55"/>
    </row>
    <row r="69" spans="2:14" ht="24.95" hidden="1" customHeight="1">
      <c r="B69" s="21"/>
      <c r="C69" s="12"/>
      <c r="D69" s="12"/>
      <c r="E69" s="18"/>
      <c r="F69" s="13"/>
      <c r="G69" s="13"/>
      <c r="H69" s="17"/>
      <c r="I69" s="17"/>
      <c r="J69" s="16"/>
      <c r="K69" s="17"/>
      <c r="L69" s="17"/>
      <c r="M69" s="18"/>
      <c r="N69" s="55"/>
    </row>
    <row r="70" spans="2:14" ht="24.95" hidden="1" customHeight="1">
      <c r="B70" s="21"/>
      <c r="C70" s="12"/>
      <c r="D70" s="12"/>
      <c r="E70" s="18"/>
      <c r="F70" s="13"/>
      <c r="G70" s="13"/>
      <c r="H70" s="17"/>
      <c r="I70" s="17"/>
      <c r="J70" s="16"/>
      <c r="K70" s="17"/>
      <c r="L70" s="17"/>
      <c r="M70" s="18"/>
      <c r="N70" s="55"/>
    </row>
    <row r="71" spans="2:14" ht="24.95" hidden="1" customHeight="1">
      <c r="B71" s="21"/>
      <c r="C71" s="12"/>
      <c r="D71" s="12"/>
      <c r="E71" s="18"/>
      <c r="F71" s="13"/>
      <c r="G71" s="13"/>
      <c r="H71" s="17"/>
      <c r="I71" s="17"/>
      <c r="J71" s="16"/>
      <c r="K71" s="17"/>
      <c r="L71" s="17"/>
      <c r="M71" s="18"/>
      <c r="N71" s="55"/>
    </row>
    <row r="72" spans="2:14" ht="38.1" hidden="1" customHeight="1" thickBot="1">
      <c r="B72" s="868" t="s">
        <v>48</v>
      </c>
      <c r="C72" s="869"/>
      <c r="D72" s="869"/>
      <c r="E72" s="869"/>
      <c r="F72" s="869"/>
      <c r="G72" s="869"/>
      <c r="H72" s="869"/>
      <c r="I72" s="870">
        <f>0+L48*84.01+L49*84.01+L69*77.98+L50*109.25</f>
        <v>0</v>
      </c>
      <c r="J72" s="870"/>
      <c r="K72" s="870"/>
      <c r="L72" s="870"/>
      <c r="M72" s="56"/>
      <c r="N72" s="57"/>
    </row>
    <row r="73" spans="2:14" ht="24.95" hidden="1" customHeight="1" thickTop="1">
      <c r="B73" s="867" t="s">
        <v>55</v>
      </c>
      <c r="C73" s="867"/>
      <c r="D73" s="867"/>
      <c r="E73" s="867"/>
      <c r="F73" s="867"/>
      <c r="G73" s="867"/>
      <c r="H73" s="867"/>
      <c r="I73" s="867"/>
      <c r="J73" s="867"/>
      <c r="K73" s="867"/>
      <c r="L73" s="867"/>
      <c r="M73" s="867"/>
    </row>
    <row r="74" spans="2:14" ht="12" hidden="1" customHeight="1" thickBot="1"/>
    <row r="75" spans="2:14" s="6" customFormat="1" ht="39.950000000000003" hidden="1" customHeight="1" thickTop="1">
      <c r="B75" s="33" t="s">
        <v>2</v>
      </c>
      <c r="C75" s="34" t="s">
        <v>3</v>
      </c>
      <c r="D75" s="35" t="s">
        <v>4</v>
      </c>
      <c r="E75" s="34" t="s">
        <v>5</v>
      </c>
      <c r="F75" s="34" t="s">
        <v>6</v>
      </c>
      <c r="G75" s="34" t="s">
        <v>7</v>
      </c>
      <c r="H75" s="35" t="s">
        <v>8</v>
      </c>
      <c r="I75" s="34" t="s">
        <v>9</v>
      </c>
      <c r="J75" s="34" t="s">
        <v>10</v>
      </c>
      <c r="K75" s="34" t="s">
        <v>11</v>
      </c>
      <c r="L75" s="34" t="s">
        <v>12</v>
      </c>
      <c r="M75" s="34" t="s">
        <v>13</v>
      </c>
      <c r="N75" s="36" t="s">
        <v>14</v>
      </c>
    </row>
    <row r="76" spans="2:14" ht="24.95" hidden="1" customHeight="1" thickBot="1">
      <c r="B76" s="22">
        <v>1</v>
      </c>
      <c r="C76" s="23"/>
      <c r="D76" s="23"/>
      <c r="E76" s="58"/>
      <c r="F76" s="25"/>
      <c r="G76" s="25"/>
      <c r="H76" s="26"/>
      <c r="I76" s="37"/>
      <c r="J76" s="27"/>
      <c r="K76" s="26"/>
      <c r="L76" s="27"/>
      <c r="M76" s="24"/>
      <c r="N76" s="59"/>
    </row>
    <row r="77" spans="2:14" ht="10.5" hidden="1" customHeight="1" thickTop="1" thickBot="1"/>
    <row r="78" spans="2:14" s="6" customFormat="1" ht="39.950000000000003" hidden="1" customHeight="1" thickTop="1">
      <c r="B78" s="33" t="s">
        <v>2</v>
      </c>
      <c r="C78" s="34" t="s">
        <v>3</v>
      </c>
      <c r="D78" s="35" t="s">
        <v>4</v>
      </c>
      <c r="E78" s="34" t="s">
        <v>5</v>
      </c>
      <c r="F78" s="34" t="s">
        <v>6</v>
      </c>
      <c r="G78" s="34" t="s">
        <v>7</v>
      </c>
      <c r="H78" s="35" t="s">
        <v>8</v>
      </c>
      <c r="I78" s="34" t="s">
        <v>9</v>
      </c>
      <c r="J78" s="34" t="s">
        <v>10</v>
      </c>
      <c r="K78" s="34" t="s">
        <v>11</v>
      </c>
      <c r="L78" s="34" t="s">
        <v>12</v>
      </c>
      <c r="M78" s="34" t="s">
        <v>13</v>
      </c>
      <c r="N78" s="36" t="s">
        <v>14</v>
      </c>
    </row>
    <row r="79" spans="2:14" ht="24.95" hidden="1" customHeight="1" thickBot="1">
      <c r="B79" s="22">
        <v>1</v>
      </c>
      <c r="C79" s="23"/>
      <c r="D79" s="23"/>
      <c r="E79" s="58"/>
      <c r="F79" s="25"/>
      <c r="G79" s="25"/>
      <c r="H79" s="26"/>
      <c r="I79" s="37"/>
      <c r="J79" s="27"/>
      <c r="K79" s="26"/>
      <c r="L79" s="27"/>
      <c r="M79" s="24"/>
      <c r="N79" s="59"/>
    </row>
    <row r="80" spans="2:14" ht="10.5" hidden="1" customHeight="1" thickTop="1" thickBot="1"/>
    <row r="81" spans="1:14" s="6" customFormat="1" ht="39.950000000000003" customHeight="1" thickTop="1">
      <c r="B81" s="33" t="s">
        <v>2</v>
      </c>
      <c r="C81" s="34" t="s">
        <v>3</v>
      </c>
      <c r="D81" s="35" t="s">
        <v>4</v>
      </c>
      <c r="E81" s="34" t="s">
        <v>5</v>
      </c>
      <c r="F81" s="34" t="s">
        <v>6</v>
      </c>
      <c r="G81" s="34" t="s">
        <v>7</v>
      </c>
      <c r="H81" s="35" t="s">
        <v>8</v>
      </c>
      <c r="I81" s="34" t="s">
        <v>9</v>
      </c>
      <c r="J81" s="34" t="s">
        <v>10</v>
      </c>
      <c r="K81" s="34" t="s">
        <v>11</v>
      </c>
      <c r="L81" s="34" t="s">
        <v>12</v>
      </c>
      <c r="M81" s="34" t="s">
        <v>13</v>
      </c>
      <c r="N81" s="36" t="s">
        <v>14</v>
      </c>
    </row>
    <row r="82" spans="1:14" ht="24.95" customHeight="1">
      <c r="B82" s="179">
        <v>1</v>
      </c>
      <c r="C82" s="12" t="s">
        <v>418</v>
      </c>
      <c r="D82" s="12" t="s">
        <v>93</v>
      </c>
      <c r="E82" s="192" t="s">
        <v>435</v>
      </c>
      <c r="F82" s="13">
        <v>40455</v>
      </c>
      <c r="G82" s="13">
        <v>40455</v>
      </c>
      <c r="H82" s="17"/>
      <c r="I82" s="15"/>
      <c r="J82" s="16"/>
      <c r="K82" s="17"/>
      <c r="L82" s="16"/>
      <c r="M82" s="183" t="s">
        <v>444</v>
      </c>
      <c r="N82" s="184" t="s">
        <v>419</v>
      </c>
    </row>
    <row r="83" spans="1:14" ht="24.95" customHeight="1">
      <c r="B83" s="179">
        <v>2</v>
      </c>
      <c r="C83" s="12" t="s">
        <v>418</v>
      </c>
      <c r="D83" s="12" t="s">
        <v>51</v>
      </c>
      <c r="E83" s="192" t="s">
        <v>422</v>
      </c>
      <c r="F83" s="13">
        <v>40456</v>
      </c>
      <c r="G83" s="13">
        <v>40457</v>
      </c>
      <c r="H83" s="17" t="s">
        <v>420</v>
      </c>
      <c r="I83" s="15" t="s">
        <v>421</v>
      </c>
      <c r="J83" s="16">
        <v>2</v>
      </c>
      <c r="K83" s="17"/>
      <c r="L83" s="16"/>
      <c r="M83" s="183" t="s">
        <v>445</v>
      </c>
      <c r="N83" s="184"/>
    </row>
    <row r="84" spans="1:14" ht="24.95" customHeight="1">
      <c r="B84" s="863">
        <v>3</v>
      </c>
      <c r="C84" s="864" t="s">
        <v>418</v>
      </c>
      <c r="D84" s="864" t="s">
        <v>91</v>
      </c>
      <c r="E84" s="864" t="s">
        <v>430</v>
      </c>
      <c r="F84" s="865">
        <v>40457</v>
      </c>
      <c r="G84" s="865">
        <v>40458</v>
      </c>
      <c r="H84" s="883"/>
      <c r="I84" s="883"/>
      <c r="J84" s="883"/>
      <c r="K84" s="883"/>
      <c r="L84" s="883"/>
      <c r="M84" s="880" t="s">
        <v>445</v>
      </c>
      <c r="N84" s="886" t="s">
        <v>429</v>
      </c>
    </row>
    <row r="85" spans="1:14" ht="24.95" customHeight="1">
      <c r="B85" s="852"/>
      <c r="C85" s="855"/>
      <c r="D85" s="855"/>
      <c r="E85" s="855"/>
      <c r="F85" s="839"/>
      <c r="G85" s="839"/>
      <c r="H85" s="884"/>
      <c r="I85" s="884"/>
      <c r="J85" s="884"/>
      <c r="K85" s="884"/>
      <c r="L85" s="884"/>
      <c r="M85" s="881"/>
      <c r="N85" s="887"/>
    </row>
    <row r="86" spans="1:14" ht="24.95" customHeight="1">
      <c r="B86" s="852"/>
      <c r="C86" s="855"/>
      <c r="D86" s="855"/>
      <c r="E86" s="855"/>
      <c r="F86" s="839"/>
      <c r="G86" s="839"/>
      <c r="H86" s="884"/>
      <c r="I86" s="884"/>
      <c r="J86" s="884"/>
      <c r="K86" s="884"/>
      <c r="L86" s="884"/>
      <c r="M86" s="881"/>
      <c r="N86" s="887"/>
    </row>
    <row r="87" spans="1:14" ht="24.95" customHeight="1">
      <c r="B87" s="858"/>
      <c r="C87" s="859"/>
      <c r="D87" s="859"/>
      <c r="E87" s="859"/>
      <c r="F87" s="840"/>
      <c r="G87" s="840"/>
      <c r="H87" s="885"/>
      <c r="I87" s="885"/>
      <c r="J87" s="885"/>
      <c r="K87" s="885"/>
      <c r="L87" s="885"/>
      <c r="M87" s="882"/>
      <c r="N87" s="888"/>
    </row>
    <row r="88" spans="1:14" ht="65.25" customHeight="1">
      <c r="B88" s="190">
        <v>4</v>
      </c>
      <c r="C88" s="191" t="s">
        <v>418</v>
      </c>
      <c r="D88" s="191" t="s">
        <v>81</v>
      </c>
      <c r="E88" s="191" t="s">
        <v>434</v>
      </c>
      <c r="F88" s="189">
        <v>40457</v>
      </c>
      <c r="G88" s="189">
        <v>40458</v>
      </c>
      <c r="H88" s="194" t="s">
        <v>442</v>
      </c>
      <c r="I88" s="63"/>
      <c r="J88" s="64"/>
      <c r="K88" s="62" t="s">
        <v>437</v>
      </c>
      <c r="L88" s="64">
        <v>18</v>
      </c>
      <c r="M88" s="193" t="s">
        <v>444</v>
      </c>
      <c r="N88" s="196" t="s">
        <v>443</v>
      </c>
    </row>
    <row r="89" spans="1:14" ht="24.95" customHeight="1">
      <c r="B89" s="182">
        <v>5</v>
      </c>
      <c r="C89" s="185" t="s">
        <v>418</v>
      </c>
      <c r="D89" s="185" t="s">
        <v>140</v>
      </c>
      <c r="E89" s="188" t="s">
        <v>433</v>
      </c>
      <c r="F89" s="186">
        <v>40460</v>
      </c>
      <c r="G89" s="186">
        <v>40460</v>
      </c>
      <c r="H89" s="62" t="s">
        <v>436</v>
      </c>
      <c r="I89" s="63"/>
      <c r="J89" s="64"/>
      <c r="K89" s="62" t="s">
        <v>437</v>
      </c>
      <c r="L89" s="64">
        <v>18</v>
      </c>
      <c r="M89" s="193" t="s">
        <v>444</v>
      </c>
      <c r="N89" s="187"/>
    </row>
    <row r="90" spans="1:14" ht="38.1" customHeight="1" thickBot="1">
      <c r="B90" s="868" t="s">
        <v>48</v>
      </c>
      <c r="C90" s="869"/>
      <c r="D90" s="869"/>
      <c r="E90" s="869"/>
      <c r="F90" s="869"/>
      <c r="G90" s="869"/>
      <c r="H90" s="869"/>
      <c r="I90" s="870">
        <f>L82*89.08+L83*89.08+2000+12833.04+K95+L89*84.01+L88*84.01</f>
        <v>27080.940000000002</v>
      </c>
      <c r="J90" s="870"/>
      <c r="K90" s="870"/>
      <c r="L90" s="870"/>
      <c r="M90" s="56"/>
      <c r="N90" s="57"/>
    </row>
    <row r="91" spans="1:14" ht="42.75" customHeight="1" thickTop="1" thickBot="1">
      <c r="B91" s="878" t="s">
        <v>441</v>
      </c>
      <c r="C91" s="879"/>
      <c r="D91" s="879"/>
      <c r="E91" s="879"/>
      <c r="F91" s="879"/>
      <c r="G91" s="879"/>
      <c r="H91" s="879"/>
      <c r="I91" s="879"/>
      <c r="J91" s="879"/>
      <c r="K91" s="879"/>
      <c r="L91" s="879"/>
      <c r="M91" s="879"/>
      <c r="N91" s="879"/>
    </row>
    <row r="92" spans="1:14" ht="24.95" customHeight="1" thickTop="1">
      <c r="B92" s="875"/>
      <c r="C92" s="875"/>
      <c r="D92" s="875"/>
      <c r="E92" s="875"/>
      <c r="F92" s="875"/>
      <c r="G92" s="875"/>
      <c r="H92" s="875"/>
      <c r="I92" s="875"/>
      <c r="J92" s="875"/>
      <c r="K92" s="875"/>
      <c r="L92" s="875"/>
      <c r="M92" s="875"/>
      <c r="N92" s="875"/>
    </row>
    <row r="93" spans="1:14" ht="24.95" customHeight="1">
      <c r="A93" s="866" t="s">
        <v>59</v>
      </c>
      <c r="B93" s="866"/>
      <c r="C93" s="866"/>
      <c r="D93" s="866"/>
      <c r="E93" s="866"/>
      <c r="F93" s="60"/>
      <c r="G93" s="866" t="s">
        <v>60</v>
      </c>
      <c r="H93" s="866"/>
      <c r="I93" s="866"/>
      <c r="J93" s="866"/>
      <c r="K93" s="61"/>
      <c r="L93" s="61"/>
      <c r="M93" s="866" t="s">
        <v>61</v>
      </c>
      <c r="N93" s="866"/>
    </row>
    <row r="94" spans="1:14" ht="24.95" customHeight="1"/>
    <row r="95" spans="1:14" ht="24.95" customHeight="1">
      <c r="K95">
        <f>2000+3745.22+3478.32</f>
        <v>9223.5399999999991</v>
      </c>
    </row>
    <row r="96" spans="1:14" ht="24.95" customHeight="1"/>
    <row r="97" ht="20.100000000000001" customHeight="1"/>
    <row r="98" ht="20.100000000000001" customHeight="1"/>
  </sheetData>
  <mergeCells count="70">
    <mergeCell ref="B91:N91"/>
    <mergeCell ref="G84:G87"/>
    <mergeCell ref="M84:M87"/>
    <mergeCell ref="C84:C87"/>
    <mergeCell ref="B84:B87"/>
    <mergeCell ref="D84:D87"/>
    <mergeCell ref="E84:E87"/>
    <mergeCell ref="F84:F87"/>
    <mergeCell ref="H84:H87"/>
    <mergeCell ref="I84:I87"/>
    <mergeCell ref="J84:J87"/>
    <mergeCell ref="K84:K87"/>
    <mergeCell ref="L84:L87"/>
    <mergeCell ref="B90:H90"/>
    <mergeCell ref="I90:L90"/>
    <mergeCell ref="N84:N87"/>
    <mergeCell ref="I32:L32"/>
    <mergeCell ref="B72:H72"/>
    <mergeCell ref="I72:L72"/>
    <mergeCell ref="B33:M33"/>
    <mergeCell ref="B35:M35"/>
    <mergeCell ref="B36:M36"/>
    <mergeCell ref="B37:L37"/>
    <mergeCell ref="B39:B42"/>
    <mergeCell ref="C39:C42"/>
    <mergeCell ref="D39:D42"/>
    <mergeCell ref="E39:E42"/>
    <mergeCell ref="F39:F42"/>
    <mergeCell ref="G39:G42"/>
    <mergeCell ref="F28:F31"/>
    <mergeCell ref="A93:E93"/>
    <mergeCell ref="B73:M73"/>
    <mergeCell ref="B44:H44"/>
    <mergeCell ref="I44:L44"/>
    <mergeCell ref="B45:M45"/>
    <mergeCell ref="B48:B50"/>
    <mergeCell ref="C48:C50"/>
    <mergeCell ref="D48:D50"/>
    <mergeCell ref="E48:E50"/>
    <mergeCell ref="F48:F50"/>
    <mergeCell ref="G48:G50"/>
    <mergeCell ref="G93:J93"/>
    <mergeCell ref="M93:N93"/>
    <mergeCell ref="B92:N92"/>
    <mergeCell ref="B32:H32"/>
    <mergeCell ref="B1:N1"/>
    <mergeCell ref="B2:N2"/>
    <mergeCell ref="B3:L3"/>
    <mergeCell ref="B5:B15"/>
    <mergeCell ref="C5:C15"/>
    <mergeCell ref="D5:D15"/>
    <mergeCell ref="E5:E15"/>
    <mergeCell ref="F5:F15"/>
    <mergeCell ref="G5:G15"/>
    <mergeCell ref="G28:G31"/>
    <mergeCell ref="B16:H16"/>
    <mergeCell ref="B25:H25"/>
    <mergeCell ref="I25:L25"/>
    <mergeCell ref="I16:L16"/>
    <mergeCell ref="B17:N17"/>
    <mergeCell ref="B20:B24"/>
    <mergeCell ref="C20:C24"/>
    <mergeCell ref="D20:D24"/>
    <mergeCell ref="E20:E24"/>
    <mergeCell ref="F20:F24"/>
    <mergeCell ref="G20:G24"/>
    <mergeCell ref="B28:B31"/>
    <mergeCell ref="C28:C31"/>
    <mergeCell ref="D28:D31"/>
    <mergeCell ref="E28:E31"/>
  </mergeCells>
  <pageMargins left="0.19" right="0.15" top="0.21" bottom="0.28000000000000003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B1:O197"/>
  <sheetViews>
    <sheetView workbookViewId="0">
      <pane xSplit="3" ySplit="3" topLeftCell="E183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2.85546875" customWidth="1"/>
    <col min="2" max="2" width="8.7109375" customWidth="1"/>
    <col min="3" max="3" width="13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5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3.85546875" customWidth="1"/>
    <col min="14" max="14" width="42.140625" customWidth="1"/>
  </cols>
  <sheetData>
    <row r="1" spans="2:14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4" ht="27" customHeight="1">
      <c r="B2" s="861" t="s">
        <v>449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4" ht="14.25" hidden="1" customHeight="1" thickBo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</row>
    <row r="4" spans="2:14" s="6" customFormat="1" ht="39.950000000000003" hidden="1" customHeight="1" thickTop="1">
      <c r="B4" s="71" t="s">
        <v>2</v>
      </c>
      <c r="C4" s="72" t="s">
        <v>3</v>
      </c>
      <c r="D4" s="73" t="s">
        <v>4</v>
      </c>
      <c r="E4" s="72" t="s">
        <v>5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4" ht="24.95" hidden="1" customHeight="1">
      <c r="B5" s="872">
        <v>1</v>
      </c>
      <c r="C5" s="873" t="s">
        <v>50</v>
      </c>
      <c r="D5" s="873" t="s">
        <v>51</v>
      </c>
      <c r="E5" s="873" t="s">
        <v>52</v>
      </c>
      <c r="F5" s="874">
        <v>40123</v>
      </c>
      <c r="G5" s="874">
        <v>40124</v>
      </c>
      <c r="H5" s="17" t="s">
        <v>85</v>
      </c>
      <c r="I5" s="82" t="s">
        <v>83</v>
      </c>
      <c r="J5" s="16">
        <v>1.5</v>
      </c>
      <c r="K5" s="17" t="s">
        <v>32</v>
      </c>
      <c r="L5" s="16">
        <v>19</v>
      </c>
      <c r="M5" s="18" t="s">
        <v>35</v>
      </c>
      <c r="N5" s="55"/>
    </row>
    <row r="6" spans="2:14" ht="24.95" hidden="1" customHeight="1">
      <c r="B6" s="872"/>
      <c r="C6" s="873"/>
      <c r="D6" s="873"/>
      <c r="E6" s="873"/>
      <c r="F6" s="874"/>
      <c r="G6" s="874"/>
      <c r="H6" s="14" t="s">
        <v>84</v>
      </c>
      <c r="I6" s="15"/>
      <c r="J6" s="16"/>
      <c r="K6" s="17" t="s">
        <v>33</v>
      </c>
      <c r="L6" s="16">
        <v>32</v>
      </c>
      <c r="M6" s="18" t="s">
        <v>119</v>
      </c>
      <c r="N6" s="55"/>
    </row>
    <row r="7" spans="2:14" ht="24.95" hidden="1" customHeight="1">
      <c r="B7" s="872"/>
      <c r="C7" s="873"/>
      <c r="D7" s="873"/>
      <c r="E7" s="873"/>
      <c r="F7" s="874"/>
      <c r="G7" s="874"/>
      <c r="H7" s="17"/>
      <c r="I7" s="15"/>
      <c r="J7" s="16"/>
      <c r="K7" s="17"/>
      <c r="L7" s="16"/>
      <c r="M7" s="18" t="s">
        <v>36</v>
      </c>
      <c r="N7" s="55"/>
    </row>
    <row r="8" spans="2:14" ht="24.95" hidden="1" customHeight="1">
      <c r="B8" s="86"/>
      <c r="C8" s="12"/>
      <c r="D8" s="12"/>
      <c r="E8" s="87"/>
      <c r="F8" s="13"/>
      <c r="G8" s="13"/>
      <c r="H8" s="17"/>
      <c r="I8" s="15"/>
      <c r="J8" s="16"/>
      <c r="K8" s="17"/>
      <c r="L8" s="16"/>
      <c r="M8" s="18"/>
      <c r="N8" s="55"/>
    </row>
    <row r="9" spans="2:14" ht="24.95" hidden="1" customHeight="1">
      <c r="B9" s="86"/>
      <c r="C9" s="12"/>
      <c r="D9" s="12"/>
      <c r="E9" s="87"/>
      <c r="F9" s="13"/>
      <c r="G9" s="13"/>
      <c r="H9" s="17"/>
      <c r="I9" s="15"/>
      <c r="J9" s="16"/>
      <c r="K9" s="17"/>
      <c r="L9" s="16"/>
      <c r="M9" s="18"/>
      <c r="N9" s="55"/>
    </row>
    <row r="10" spans="2:14" ht="38.1" hidden="1" customHeight="1" thickBot="1">
      <c r="B10" s="868" t="s">
        <v>48</v>
      </c>
      <c r="C10" s="869"/>
      <c r="D10" s="869"/>
      <c r="E10" s="869"/>
      <c r="F10" s="869"/>
      <c r="G10" s="869"/>
      <c r="H10" s="869"/>
      <c r="I10" s="870">
        <f>12046.42+L5*84.01+L6*84.01</f>
        <v>16330.93</v>
      </c>
      <c r="J10" s="870"/>
      <c r="K10" s="870"/>
      <c r="L10" s="870"/>
      <c r="M10" s="56"/>
      <c r="N10" s="57"/>
    </row>
    <row r="11" spans="2:14" ht="24.95" hidden="1" customHeight="1" thickTop="1">
      <c r="B11" s="871" t="s">
        <v>86</v>
      </c>
      <c r="C11" s="871"/>
      <c r="D11" s="871"/>
      <c r="E11" s="871"/>
      <c r="F11" s="871"/>
      <c r="G11" s="871"/>
      <c r="H11" s="871"/>
      <c r="I11" s="871"/>
      <c r="J11" s="871"/>
      <c r="K11" s="871"/>
      <c r="L11" s="871"/>
      <c r="M11" s="871"/>
    </row>
    <row r="12" spans="2:14" ht="7.5" hidden="1" customHeight="1" thickBot="1"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</row>
    <row r="13" spans="2:14" s="6" customFormat="1" ht="39.950000000000003" hidden="1" customHeight="1" thickTop="1">
      <c r="B13" s="33" t="s">
        <v>2</v>
      </c>
      <c r="C13" s="34" t="s">
        <v>3</v>
      </c>
      <c r="D13" s="35" t="s">
        <v>4</v>
      </c>
      <c r="E13" s="34" t="s">
        <v>5</v>
      </c>
      <c r="F13" s="34" t="s">
        <v>6</v>
      </c>
      <c r="G13" s="34" t="s">
        <v>7</v>
      </c>
      <c r="H13" s="35" t="s">
        <v>8</v>
      </c>
      <c r="I13" s="34" t="s">
        <v>9</v>
      </c>
      <c r="J13" s="34" t="s">
        <v>10</v>
      </c>
      <c r="K13" s="34" t="s">
        <v>11</v>
      </c>
      <c r="L13" s="34" t="s">
        <v>12</v>
      </c>
      <c r="M13" s="34" t="s">
        <v>13</v>
      </c>
      <c r="N13" s="36" t="s">
        <v>14</v>
      </c>
    </row>
    <row r="14" spans="2:14" ht="24.95" hidden="1" customHeight="1">
      <c r="B14" s="872">
        <v>1</v>
      </c>
      <c r="C14" s="873" t="s">
        <v>19</v>
      </c>
      <c r="D14" s="873" t="s">
        <v>53</v>
      </c>
      <c r="E14" s="873">
        <v>129481</v>
      </c>
      <c r="F14" s="874">
        <v>40123</v>
      </c>
      <c r="G14" s="874">
        <v>40125</v>
      </c>
      <c r="H14" s="17" t="s">
        <v>77</v>
      </c>
      <c r="I14" s="15">
        <v>1026679</v>
      </c>
      <c r="J14" s="16">
        <v>1</v>
      </c>
      <c r="K14" s="17" t="s">
        <v>32</v>
      </c>
      <c r="L14" s="16">
        <v>22</v>
      </c>
      <c r="M14" s="16" t="s">
        <v>120</v>
      </c>
      <c r="N14" s="19" t="s">
        <v>47</v>
      </c>
    </row>
    <row r="15" spans="2:14" ht="24.95" hidden="1" customHeight="1">
      <c r="B15" s="872"/>
      <c r="C15" s="873"/>
      <c r="D15" s="873"/>
      <c r="E15" s="873"/>
      <c r="F15" s="874"/>
      <c r="G15" s="874"/>
      <c r="H15" s="14" t="s">
        <v>78</v>
      </c>
      <c r="I15" s="15">
        <v>3389800650</v>
      </c>
      <c r="J15" s="16">
        <v>1</v>
      </c>
      <c r="K15" s="17" t="s">
        <v>33</v>
      </c>
      <c r="L15" s="16">
        <v>41</v>
      </c>
      <c r="M15" s="16" t="s">
        <v>121</v>
      </c>
      <c r="N15" s="19" t="s">
        <v>65</v>
      </c>
    </row>
    <row r="16" spans="2:14" ht="24.95" hidden="1" customHeight="1">
      <c r="B16" s="872"/>
      <c r="C16" s="873"/>
      <c r="D16" s="873"/>
      <c r="E16" s="873"/>
      <c r="F16" s="874"/>
      <c r="G16" s="874"/>
      <c r="H16" s="14" t="s">
        <v>79</v>
      </c>
      <c r="I16" s="15">
        <v>1034330</v>
      </c>
      <c r="J16" s="16">
        <v>1</v>
      </c>
      <c r="K16" s="17" t="s">
        <v>38</v>
      </c>
      <c r="L16" s="16">
        <v>85</v>
      </c>
      <c r="M16" s="16" t="s">
        <v>122</v>
      </c>
      <c r="N16" s="19"/>
    </row>
    <row r="17" spans="2:15" ht="24.95" hidden="1" customHeight="1">
      <c r="B17" s="872"/>
      <c r="C17" s="873"/>
      <c r="D17" s="873"/>
      <c r="E17" s="873"/>
      <c r="F17" s="874"/>
      <c r="G17" s="874"/>
      <c r="H17" s="14" t="s">
        <v>67</v>
      </c>
      <c r="I17" s="15" t="s">
        <v>66</v>
      </c>
      <c r="J17" s="16">
        <v>2</v>
      </c>
      <c r="K17" s="17" t="s">
        <v>34</v>
      </c>
      <c r="L17" s="16">
        <v>8</v>
      </c>
      <c r="M17" s="16"/>
      <c r="N17" s="19"/>
    </row>
    <row r="18" spans="2:15" ht="24.95" hidden="1" customHeight="1">
      <c r="B18" s="86"/>
      <c r="C18" s="12"/>
      <c r="D18" s="12"/>
      <c r="E18" s="18"/>
      <c r="F18" s="13"/>
      <c r="G18" s="13"/>
      <c r="H18" s="17"/>
      <c r="I18" s="17"/>
      <c r="J18" s="16"/>
      <c r="K18" s="17"/>
      <c r="L18" s="17"/>
      <c r="M18" s="17"/>
      <c r="N18" s="19"/>
    </row>
    <row r="19" spans="2:15" ht="38.1" hidden="1" customHeight="1" thickBot="1">
      <c r="B19" s="868" t="s">
        <v>48</v>
      </c>
      <c r="C19" s="869"/>
      <c r="D19" s="869"/>
      <c r="E19" s="869"/>
      <c r="F19" s="869"/>
      <c r="G19" s="869"/>
      <c r="H19" s="869"/>
      <c r="I19" s="870">
        <f>195.96+80.25+731.25+L14*84.01+L15*84.01+L16*77.98+L17*109.25+107.86</f>
        <v>13910.25</v>
      </c>
      <c r="J19" s="870"/>
      <c r="K19" s="870"/>
      <c r="L19" s="870"/>
      <c r="M19" s="85"/>
      <c r="N19" s="81"/>
      <c r="O19" s="45"/>
    </row>
    <row r="20" spans="2:15" ht="10.5" hidden="1" customHeight="1" thickTop="1"/>
    <row r="21" spans="2:15" ht="24.95" hidden="1" customHeight="1">
      <c r="B21" s="867" t="s">
        <v>15</v>
      </c>
      <c r="C21" s="867"/>
      <c r="D21" s="867"/>
      <c r="E21" s="867"/>
      <c r="F21" s="867"/>
      <c r="G21" s="867"/>
      <c r="H21" s="867"/>
      <c r="I21" s="867"/>
      <c r="J21" s="867"/>
      <c r="K21" s="867"/>
      <c r="L21" s="867"/>
      <c r="M21" s="867"/>
      <c r="N21" s="867"/>
    </row>
    <row r="22" spans="2:15" ht="7.5" hidden="1" customHeight="1" thickBot="1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</row>
    <row r="23" spans="2:15" s="6" customFormat="1" ht="39.950000000000003" hidden="1" customHeight="1" thickTop="1">
      <c r="B23" s="33" t="s">
        <v>2</v>
      </c>
      <c r="C23" s="34" t="s">
        <v>3</v>
      </c>
      <c r="D23" s="35" t="s">
        <v>4</v>
      </c>
      <c r="E23" s="34" t="s">
        <v>5</v>
      </c>
      <c r="F23" s="34" t="s">
        <v>6</v>
      </c>
      <c r="G23" s="34" t="s">
        <v>7</v>
      </c>
      <c r="H23" s="35" t="s">
        <v>8</v>
      </c>
      <c r="I23" s="34" t="s">
        <v>9</v>
      </c>
      <c r="J23" s="34" t="s">
        <v>10</v>
      </c>
      <c r="K23" s="34" t="s">
        <v>11</v>
      </c>
      <c r="L23" s="34" t="s">
        <v>12</v>
      </c>
      <c r="M23" s="34" t="s">
        <v>13</v>
      </c>
      <c r="N23" s="36" t="s">
        <v>14</v>
      </c>
    </row>
    <row r="24" spans="2:15" ht="24.95" hidden="1" customHeight="1">
      <c r="B24" s="872">
        <v>1</v>
      </c>
      <c r="C24" s="873" t="s">
        <v>19</v>
      </c>
      <c r="D24" s="873" t="s">
        <v>54</v>
      </c>
      <c r="E24" s="873">
        <v>134876</v>
      </c>
      <c r="F24" s="874">
        <v>40123</v>
      </c>
      <c r="G24" s="874">
        <v>40125</v>
      </c>
      <c r="H24" s="17" t="s">
        <v>68</v>
      </c>
      <c r="I24" s="15">
        <v>1027698</v>
      </c>
      <c r="J24" s="16">
        <v>1</v>
      </c>
      <c r="K24" s="17" t="s">
        <v>32</v>
      </c>
      <c r="L24" s="16">
        <v>22</v>
      </c>
      <c r="M24" s="18" t="s">
        <v>43</v>
      </c>
      <c r="N24" s="19" t="s">
        <v>47</v>
      </c>
    </row>
    <row r="25" spans="2:15" ht="24.95" hidden="1" customHeight="1">
      <c r="B25" s="872"/>
      <c r="C25" s="873"/>
      <c r="D25" s="873"/>
      <c r="E25" s="873"/>
      <c r="F25" s="874"/>
      <c r="G25" s="874"/>
      <c r="H25" s="14" t="s">
        <v>69</v>
      </c>
      <c r="I25" s="15">
        <v>1006048</v>
      </c>
      <c r="J25" s="16">
        <v>1</v>
      </c>
      <c r="K25" s="17" t="s">
        <v>33</v>
      </c>
      <c r="L25" s="16">
        <v>41</v>
      </c>
      <c r="M25" s="18" t="s">
        <v>58</v>
      </c>
      <c r="N25" s="19" t="s">
        <v>80</v>
      </c>
    </row>
    <row r="26" spans="2:15" ht="33" hidden="1" customHeight="1">
      <c r="B26" s="872"/>
      <c r="C26" s="873"/>
      <c r="D26" s="873"/>
      <c r="E26" s="873"/>
      <c r="F26" s="874"/>
      <c r="G26" s="874"/>
      <c r="H26" s="14" t="s">
        <v>70</v>
      </c>
      <c r="I26" s="15">
        <v>3374500160</v>
      </c>
      <c r="J26" s="16">
        <v>1</v>
      </c>
      <c r="K26" s="17" t="s">
        <v>38</v>
      </c>
      <c r="L26" s="16">
        <v>85</v>
      </c>
      <c r="M26" s="16"/>
      <c r="N26" s="19"/>
    </row>
    <row r="27" spans="2:15" ht="33" hidden="1" customHeight="1">
      <c r="B27" s="872"/>
      <c r="C27" s="873"/>
      <c r="D27" s="873"/>
      <c r="E27" s="873"/>
      <c r="F27" s="874"/>
      <c r="G27" s="874"/>
      <c r="H27" s="14" t="s">
        <v>71</v>
      </c>
      <c r="I27" s="15">
        <v>3387100250</v>
      </c>
      <c r="J27" s="16">
        <v>1</v>
      </c>
      <c r="K27" s="17" t="s">
        <v>34</v>
      </c>
      <c r="L27" s="16">
        <v>8</v>
      </c>
      <c r="M27" s="16"/>
      <c r="N27" s="19"/>
    </row>
    <row r="28" spans="2:15" ht="36.75" hidden="1" customHeight="1">
      <c r="B28" s="872"/>
      <c r="C28" s="873"/>
      <c r="D28" s="873"/>
      <c r="E28" s="873"/>
      <c r="F28" s="874"/>
      <c r="G28" s="874"/>
      <c r="H28" s="14" t="s">
        <v>72</v>
      </c>
      <c r="I28" s="15">
        <v>3387100490</v>
      </c>
      <c r="J28" s="16">
        <v>1</v>
      </c>
      <c r="K28" s="17"/>
      <c r="L28" s="17"/>
      <c r="M28" s="17"/>
      <c r="N28" s="19"/>
    </row>
    <row r="29" spans="2:15" ht="30" hidden="1" customHeight="1">
      <c r="B29" s="872"/>
      <c r="C29" s="873"/>
      <c r="D29" s="873"/>
      <c r="E29" s="873"/>
      <c r="F29" s="874"/>
      <c r="G29" s="874"/>
      <c r="H29" s="17" t="s">
        <v>73</v>
      </c>
      <c r="I29" s="15">
        <v>3387100500</v>
      </c>
      <c r="J29" s="16">
        <v>1</v>
      </c>
      <c r="K29" s="17"/>
      <c r="L29" s="17"/>
      <c r="M29" s="17"/>
      <c r="N29" s="19"/>
    </row>
    <row r="30" spans="2:15" ht="33" hidden="1" customHeight="1">
      <c r="B30" s="872"/>
      <c r="C30" s="873"/>
      <c r="D30" s="873"/>
      <c r="E30" s="873"/>
      <c r="F30" s="874"/>
      <c r="G30" s="874"/>
      <c r="H30" s="14" t="s">
        <v>74</v>
      </c>
      <c r="I30" s="15">
        <v>3387100240</v>
      </c>
      <c r="J30" s="16">
        <v>1</v>
      </c>
      <c r="K30" s="20"/>
      <c r="L30" s="17"/>
      <c r="M30" s="17"/>
      <c r="N30" s="19"/>
    </row>
    <row r="31" spans="2:15" ht="31.5" hidden="1" customHeight="1">
      <c r="B31" s="872"/>
      <c r="C31" s="873"/>
      <c r="D31" s="873"/>
      <c r="E31" s="873"/>
      <c r="F31" s="874"/>
      <c r="G31" s="874"/>
      <c r="H31" s="14" t="s">
        <v>75</v>
      </c>
      <c r="I31" s="15">
        <v>3374500150</v>
      </c>
      <c r="J31" s="16">
        <v>1</v>
      </c>
      <c r="K31" s="17"/>
      <c r="L31" s="17"/>
      <c r="M31" s="17"/>
      <c r="N31" s="19"/>
    </row>
    <row r="32" spans="2:15" ht="24.95" hidden="1" customHeight="1">
      <c r="B32" s="872"/>
      <c r="C32" s="873"/>
      <c r="D32" s="873"/>
      <c r="E32" s="873"/>
      <c r="F32" s="874"/>
      <c r="G32" s="874"/>
      <c r="H32" s="17" t="s">
        <v>67</v>
      </c>
      <c r="I32" s="15" t="s">
        <v>66</v>
      </c>
      <c r="J32" s="16">
        <v>2</v>
      </c>
      <c r="K32" s="17"/>
      <c r="L32" s="16"/>
      <c r="M32" s="16"/>
      <c r="N32" s="19"/>
    </row>
    <row r="33" spans="2:15" ht="24.95" hidden="1" customHeight="1">
      <c r="B33" s="872"/>
      <c r="C33" s="873"/>
      <c r="D33" s="873"/>
      <c r="E33" s="873"/>
      <c r="F33" s="874"/>
      <c r="G33" s="874"/>
      <c r="H33" s="17" t="s">
        <v>76</v>
      </c>
      <c r="I33" s="15"/>
      <c r="J33" s="16">
        <v>1</v>
      </c>
      <c r="K33" s="17"/>
      <c r="L33" s="16"/>
      <c r="M33" s="16"/>
      <c r="N33" s="19"/>
    </row>
    <row r="34" spans="2:15" ht="24.95" hidden="1" customHeight="1">
      <c r="B34" s="86"/>
      <c r="C34" s="12"/>
      <c r="D34" s="12"/>
      <c r="E34" s="18"/>
      <c r="F34" s="13"/>
      <c r="G34" s="13"/>
      <c r="H34" s="17"/>
      <c r="I34" s="17"/>
      <c r="J34" s="16"/>
      <c r="K34" s="17"/>
      <c r="L34" s="17"/>
      <c r="M34" s="17"/>
      <c r="N34" s="19"/>
    </row>
    <row r="35" spans="2:15" ht="38.1" hidden="1" customHeight="1" thickBot="1">
      <c r="B35" s="868" t="s">
        <v>48</v>
      </c>
      <c r="C35" s="869"/>
      <c r="D35" s="869"/>
      <c r="E35" s="869"/>
      <c r="F35" s="869"/>
      <c r="G35" s="869"/>
      <c r="H35" s="869"/>
      <c r="I35" s="870">
        <f>107.86+13.91+7.82+1595.54+799.57+4029.36+1254.98+532.68+756.32+L24*84.01+L25*84.01+L26*77.98+L27*109.25+1138.32</f>
        <v>23031.289999999997</v>
      </c>
      <c r="J35" s="870"/>
      <c r="K35" s="870"/>
      <c r="L35" s="870"/>
      <c r="M35" s="85"/>
      <c r="N35" s="81"/>
      <c r="O35" s="45"/>
    </row>
    <row r="36" spans="2:15" ht="24.95" hidden="1" customHeight="1" thickTop="1">
      <c r="B36" s="871" t="s">
        <v>123</v>
      </c>
      <c r="C36" s="871"/>
      <c r="D36" s="871"/>
      <c r="E36" s="871"/>
      <c r="F36" s="871"/>
      <c r="G36" s="871"/>
      <c r="H36" s="871"/>
      <c r="I36" s="871"/>
      <c r="J36" s="871"/>
      <c r="K36" s="871"/>
      <c r="L36" s="871"/>
      <c r="M36" s="871"/>
      <c r="N36" s="871"/>
    </row>
    <row r="37" spans="2:15" ht="8.25" hidden="1" customHeight="1" thickBot="1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</row>
    <row r="38" spans="2:15" s="6" customFormat="1" ht="39.950000000000003" hidden="1" customHeight="1" thickTop="1">
      <c r="B38" s="33" t="s">
        <v>2</v>
      </c>
      <c r="C38" s="34" t="s">
        <v>3</v>
      </c>
      <c r="D38" s="35" t="s">
        <v>4</v>
      </c>
      <c r="E38" s="34" t="s">
        <v>5</v>
      </c>
      <c r="F38" s="34" t="s">
        <v>6</v>
      </c>
      <c r="G38" s="34" t="s">
        <v>7</v>
      </c>
      <c r="H38" s="35" t="s">
        <v>8</v>
      </c>
      <c r="I38" s="34" t="s">
        <v>9</v>
      </c>
      <c r="J38" s="34" t="s">
        <v>10</v>
      </c>
      <c r="K38" s="34" t="s">
        <v>11</v>
      </c>
      <c r="L38" s="34" t="s">
        <v>12</v>
      </c>
      <c r="M38" s="34" t="s">
        <v>13</v>
      </c>
      <c r="N38" s="36" t="s">
        <v>14</v>
      </c>
    </row>
    <row r="39" spans="2:15" ht="24.95" hidden="1" customHeight="1">
      <c r="B39" s="872">
        <v>1</v>
      </c>
      <c r="C39" s="873" t="s">
        <v>50</v>
      </c>
      <c r="D39" s="873" t="s">
        <v>81</v>
      </c>
      <c r="E39" s="873" t="s">
        <v>82</v>
      </c>
      <c r="F39" s="874">
        <v>40125</v>
      </c>
      <c r="G39" s="874">
        <v>40125</v>
      </c>
      <c r="H39" s="17"/>
      <c r="I39" s="15"/>
      <c r="J39" s="16"/>
      <c r="K39" s="17" t="s">
        <v>32</v>
      </c>
      <c r="L39" s="16">
        <v>19</v>
      </c>
      <c r="M39" s="18" t="s">
        <v>87</v>
      </c>
      <c r="N39" s="19"/>
    </row>
    <row r="40" spans="2:15" ht="24.95" hidden="1" customHeight="1">
      <c r="B40" s="872"/>
      <c r="C40" s="873"/>
      <c r="D40" s="873"/>
      <c r="E40" s="873"/>
      <c r="F40" s="874"/>
      <c r="G40" s="874"/>
      <c r="H40" s="14"/>
      <c r="I40" s="15"/>
      <c r="J40" s="16"/>
      <c r="K40" s="17" t="s">
        <v>33</v>
      </c>
      <c r="L40" s="16">
        <v>32</v>
      </c>
      <c r="M40" s="18" t="s">
        <v>36</v>
      </c>
      <c r="N40" s="19"/>
    </row>
    <row r="41" spans="2:15" ht="24.95" hidden="1" customHeight="1">
      <c r="B41" s="86"/>
      <c r="C41" s="12"/>
      <c r="D41" s="12"/>
      <c r="E41" s="87"/>
      <c r="F41" s="13"/>
      <c r="G41" s="13"/>
      <c r="H41" s="14"/>
      <c r="I41" s="15"/>
      <c r="J41" s="16"/>
      <c r="K41" s="17"/>
      <c r="L41" s="16"/>
      <c r="M41" s="18"/>
      <c r="N41" s="19"/>
    </row>
    <row r="42" spans="2:15" ht="35.25" hidden="1" customHeight="1">
      <c r="B42" s="86"/>
      <c r="C42" s="12"/>
      <c r="D42" s="12"/>
      <c r="E42" s="87"/>
      <c r="F42" s="13"/>
      <c r="G42" s="13"/>
      <c r="H42" s="14"/>
      <c r="I42" s="15"/>
      <c r="J42" s="16"/>
      <c r="K42" s="32"/>
      <c r="L42" s="17"/>
      <c r="M42" s="18"/>
      <c r="N42" s="19"/>
    </row>
    <row r="43" spans="2:15" ht="24.95" hidden="1" customHeight="1">
      <c r="B43" s="86"/>
      <c r="C43" s="12"/>
      <c r="D43" s="12"/>
      <c r="E43" s="87"/>
      <c r="F43" s="13"/>
      <c r="G43" s="13"/>
      <c r="H43" s="17"/>
      <c r="I43" s="15"/>
      <c r="J43" s="16"/>
      <c r="K43" s="17"/>
      <c r="L43" s="17"/>
      <c r="M43" s="18"/>
      <c r="N43" s="19"/>
    </row>
    <row r="44" spans="2:15" ht="24.95" hidden="1" customHeight="1">
      <c r="B44" s="86"/>
      <c r="C44" s="12"/>
      <c r="D44" s="12"/>
      <c r="E44" s="31"/>
      <c r="F44" s="13"/>
      <c r="G44" s="13"/>
      <c r="H44" s="17"/>
      <c r="I44" s="15"/>
      <c r="J44" s="16"/>
      <c r="K44" s="17"/>
      <c r="L44" s="16"/>
      <c r="M44" s="18"/>
      <c r="N44" s="19"/>
    </row>
    <row r="45" spans="2:15" ht="24.95" hidden="1" customHeight="1">
      <c r="B45" s="86"/>
      <c r="C45" s="12"/>
      <c r="D45" s="12"/>
      <c r="E45" s="31"/>
      <c r="F45" s="13"/>
      <c r="G45" s="13"/>
      <c r="H45" s="17"/>
      <c r="I45" s="15"/>
      <c r="J45" s="16"/>
      <c r="K45" s="17"/>
      <c r="L45" s="16"/>
      <c r="M45" s="76"/>
      <c r="N45" s="19"/>
    </row>
    <row r="46" spans="2:15" ht="24.95" hidden="1" customHeight="1">
      <c r="B46" s="86"/>
      <c r="C46" s="12"/>
      <c r="D46" s="12"/>
      <c r="E46" s="31"/>
      <c r="F46" s="13"/>
      <c r="G46" s="13"/>
      <c r="H46" s="17"/>
      <c r="I46" s="15"/>
      <c r="J46" s="16"/>
      <c r="K46" s="17"/>
      <c r="L46" s="16"/>
      <c r="M46" s="18"/>
      <c r="N46" s="19"/>
    </row>
    <row r="47" spans="2:15" ht="24.95" hidden="1" customHeight="1">
      <c r="B47" s="86"/>
      <c r="C47" s="12"/>
      <c r="D47" s="12"/>
      <c r="E47" s="31"/>
      <c r="F47" s="13"/>
      <c r="G47" s="13"/>
      <c r="H47" s="14"/>
      <c r="I47" s="15"/>
      <c r="J47" s="16"/>
      <c r="K47" s="17"/>
      <c r="L47" s="17"/>
      <c r="M47" s="17"/>
      <c r="N47" s="19"/>
    </row>
    <row r="48" spans="2:15" ht="24.95" hidden="1" customHeight="1">
      <c r="B48" s="86"/>
      <c r="C48" s="12"/>
      <c r="D48" s="12"/>
      <c r="E48" s="31"/>
      <c r="F48" s="13"/>
      <c r="G48" s="13"/>
      <c r="H48" s="17"/>
      <c r="I48" s="15"/>
      <c r="J48" s="16"/>
      <c r="K48" s="17"/>
      <c r="L48" s="17"/>
      <c r="M48" s="77"/>
      <c r="N48" s="19"/>
    </row>
    <row r="49" spans="2:15" ht="24.95" hidden="1" customHeight="1">
      <c r="B49" s="86"/>
      <c r="C49" s="12"/>
      <c r="D49" s="12"/>
      <c r="E49" s="18"/>
      <c r="F49" s="13"/>
      <c r="G49" s="13"/>
      <c r="H49" s="17"/>
      <c r="I49" s="17"/>
      <c r="J49" s="16"/>
      <c r="K49" s="17"/>
      <c r="L49" s="17"/>
      <c r="M49" s="20"/>
      <c r="N49" s="19"/>
    </row>
    <row r="50" spans="2:15" ht="24.95" hidden="1" customHeight="1">
      <c r="B50" s="86"/>
      <c r="C50" s="12"/>
      <c r="D50" s="12"/>
      <c r="E50" s="18"/>
      <c r="F50" s="13"/>
      <c r="G50" s="13"/>
      <c r="H50" s="17"/>
      <c r="I50" s="17"/>
      <c r="J50" s="16"/>
      <c r="K50" s="17"/>
      <c r="L50" s="17"/>
      <c r="M50" s="20"/>
      <c r="N50" s="19"/>
    </row>
    <row r="51" spans="2:15" ht="24.95" hidden="1" customHeight="1">
      <c r="B51" s="86"/>
      <c r="C51" s="12"/>
      <c r="D51" s="12"/>
      <c r="E51" s="18"/>
      <c r="F51" s="13"/>
      <c r="G51" s="13"/>
      <c r="H51" s="17"/>
      <c r="I51" s="17"/>
      <c r="J51" s="16"/>
      <c r="K51" s="17"/>
      <c r="L51" s="17"/>
      <c r="M51" s="20"/>
      <c r="N51" s="19"/>
    </row>
    <row r="52" spans="2:15" ht="24.95" hidden="1" customHeight="1">
      <c r="B52" s="86"/>
      <c r="C52" s="12"/>
      <c r="D52" s="12"/>
      <c r="E52" s="18"/>
      <c r="F52" s="13"/>
      <c r="G52" s="13"/>
      <c r="H52" s="17"/>
      <c r="I52" s="17"/>
      <c r="J52" s="16"/>
      <c r="K52" s="17"/>
      <c r="L52" s="17"/>
      <c r="M52" s="20"/>
      <c r="N52" s="19"/>
    </row>
    <row r="53" spans="2:15" ht="24.95" hidden="1" customHeight="1">
      <c r="B53" s="86"/>
      <c r="C53" s="12"/>
      <c r="D53" s="12"/>
      <c r="E53" s="18"/>
      <c r="F53" s="13"/>
      <c r="G53" s="13"/>
      <c r="H53" s="17"/>
      <c r="I53" s="17"/>
      <c r="J53" s="16"/>
      <c r="K53" s="17"/>
      <c r="L53" s="17"/>
      <c r="M53" s="20"/>
      <c r="N53" s="19"/>
    </row>
    <row r="54" spans="2:15" ht="24.95" hidden="1" customHeight="1">
      <c r="B54" s="86"/>
      <c r="C54" s="12"/>
      <c r="D54" s="12"/>
      <c r="E54" s="18"/>
      <c r="F54" s="13"/>
      <c r="G54" s="13"/>
      <c r="H54" s="17"/>
      <c r="I54" s="17"/>
      <c r="J54" s="16"/>
      <c r="K54" s="17"/>
      <c r="L54" s="17"/>
      <c r="M54" s="20"/>
      <c r="N54" s="19"/>
    </row>
    <row r="55" spans="2:15" ht="24.95" hidden="1" customHeight="1">
      <c r="B55" s="86"/>
      <c r="C55" s="12"/>
      <c r="D55" s="12"/>
      <c r="E55" s="18"/>
      <c r="F55" s="13"/>
      <c r="G55" s="13"/>
      <c r="H55" s="17"/>
      <c r="I55" s="17"/>
      <c r="J55" s="16"/>
      <c r="K55" s="17"/>
      <c r="L55" s="17"/>
      <c r="M55" s="20"/>
      <c r="N55" s="19"/>
    </row>
    <row r="56" spans="2:15" ht="24.95" hidden="1" customHeight="1">
      <c r="B56" s="86"/>
      <c r="C56" s="12"/>
      <c r="D56" s="12"/>
      <c r="E56" s="18"/>
      <c r="F56" s="13"/>
      <c r="G56" s="13"/>
      <c r="H56" s="17"/>
      <c r="I56" s="17"/>
      <c r="J56" s="16"/>
      <c r="K56" s="17"/>
      <c r="L56" s="17"/>
      <c r="M56" s="20"/>
      <c r="N56" s="19"/>
    </row>
    <row r="57" spans="2:15" ht="24.95" hidden="1" customHeight="1">
      <c r="B57" s="86"/>
      <c r="C57" s="12"/>
      <c r="D57" s="12"/>
      <c r="E57" s="18"/>
      <c r="F57" s="13"/>
      <c r="G57" s="13"/>
      <c r="H57" s="17"/>
      <c r="I57" s="17"/>
      <c r="J57" s="16"/>
      <c r="K57" s="17"/>
      <c r="L57" s="17"/>
      <c r="M57" s="20"/>
      <c r="N57" s="19"/>
    </row>
    <row r="58" spans="2:15" ht="24.95" hidden="1" customHeight="1">
      <c r="B58" s="86"/>
      <c r="C58" s="12"/>
      <c r="D58" s="12"/>
      <c r="E58" s="18"/>
      <c r="F58" s="13"/>
      <c r="G58" s="13"/>
      <c r="H58" s="17"/>
      <c r="I58" s="17"/>
      <c r="J58" s="16"/>
      <c r="K58" s="17"/>
      <c r="L58" s="17"/>
      <c r="M58" s="20"/>
      <c r="N58" s="19"/>
    </row>
    <row r="59" spans="2:15" ht="24.95" hidden="1" customHeight="1">
      <c r="B59" s="86"/>
      <c r="C59" s="12"/>
      <c r="D59" s="12"/>
      <c r="E59" s="18"/>
      <c r="F59" s="13"/>
      <c r="G59" s="13"/>
      <c r="H59" s="17"/>
      <c r="I59" s="17"/>
      <c r="J59" s="16"/>
      <c r="K59" s="17"/>
      <c r="L59" s="17"/>
      <c r="M59" s="20"/>
      <c r="N59" s="19"/>
    </row>
    <row r="60" spans="2:15" ht="38.1" hidden="1" customHeight="1" thickBot="1">
      <c r="B60" s="868" t="s">
        <v>48</v>
      </c>
      <c r="C60" s="869"/>
      <c r="D60" s="869"/>
      <c r="E60" s="869"/>
      <c r="F60" s="869"/>
      <c r="G60" s="869"/>
      <c r="H60" s="869"/>
      <c r="I60" s="870">
        <f>0+L39*84.01+L40*84.01+L57*77.98+L58*109.25</f>
        <v>4284.51</v>
      </c>
      <c r="J60" s="870"/>
      <c r="K60" s="870"/>
      <c r="L60" s="870"/>
      <c r="M60" s="89"/>
      <c r="N60" s="81"/>
      <c r="O60" s="45"/>
    </row>
    <row r="61" spans="2:15" ht="24.95" hidden="1" customHeight="1" thickTop="1">
      <c r="B61" s="871" t="s">
        <v>15</v>
      </c>
      <c r="C61" s="871"/>
      <c r="D61" s="871"/>
      <c r="E61" s="871"/>
      <c r="F61" s="871"/>
      <c r="G61" s="871"/>
      <c r="H61" s="871"/>
      <c r="I61" s="871"/>
      <c r="J61" s="871"/>
      <c r="K61" s="871"/>
      <c r="L61" s="871"/>
      <c r="M61" s="871"/>
      <c r="N61" s="871"/>
    </row>
    <row r="62" spans="2:15" ht="6" hidden="1" customHeight="1" thickBot="1"/>
    <row r="63" spans="2:15" s="6" customFormat="1" ht="39.950000000000003" hidden="1" customHeight="1" thickTop="1">
      <c r="B63" s="33" t="s">
        <v>2</v>
      </c>
      <c r="C63" s="34" t="s">
        <v>3</v>
      </c>
      <c r="D63" s="35" t="s">
        <v>4</v>
      </c>
      <c r="E63" s="34" t="s">
        <v>5</v>
      </c>
      <c r="F63" s="34" t="s">
        <v>6</v>
      </c>
      <c r="G63" s="34" t="s">
        <v>7</v>
      </c>
      <c r="H63" s="35" t="s">
        <v>8</v>
      </c>
      <c r="I63" s="34" t="s">
        <v>9</v>
      </c>
      <c r="J63" s="34" t="s">
        <v>10</v>
      </c>
      <c r="K63" s="34" t="s">
        <v>11</v>
      </c>
      <c r="L63" s="34" t="s">
        <v>12</v>
      </c>
      <c r="M63" s="34" t="s">
        <v>13</v>
      </c>
      <c r="N63" s="36" t="s">
        <v>14</v>
      </c>
    </row>
    <row r="64" spans="2:15" ht="24.95" hidden="1" customHeight="1">
      <c r="B64" s="872">
        <v>1</v>
      </c>
      <c r="C64" s="873" t="s">
        <v>50</v>
      </c>
      <c r="D64" s="873" t="s">
        <v>91</v>
      </c>
      <c r="E64" s="873" t="s">
        <v>92</v>
      </c>
      <c r="F64" s="874">
        <v>40125</v>
      </c>
      <c r="G64" s="874">
        <v>40126</v>
      </c>
      <c r="H64" s="17" t="s">
        <v>110</v>
      </c>
      <c r="I64" s="15" t="s">
        <v>111</v>
      </c>
      <c r="J64" s="16">
        <v>1</v>
      </c>
      <c r="K64" s="17" t="s">
        <v>32</v>
      </c>
      <c r="L64" s="16">
        <v>19</v>
      </c>
      <c r="M64" s="18" t="s">
        <v>87</v>
      </c>
      <c r="N64" s="19"/>
    </row>
    <row r="65" spans="2:15" ht="24.95" hidden="1" customHeight="1">
      <c r="B65" s="872"/>
      <c r="C65" s="873"/>
      <c r="D65" s="873"/>
      <c r="E65" s="873"/>
      <c r="F65" s="874"/>
      <c r="G65" s="874"/>
      <c r="H65" s="14"/>
      <c r="I65" s="15"/>
      <c r="J65" s="16"/>
      <c r="K65" s="17" t="s">
        <v>33</v>
      </c>
      <c r="L65" s="16">
        <v>32</v>
      </c>
      <c r="M65" s="18" t="s">
        <v>36</v>
      </c>
      <c r="N65" s="19"/>
    </row>
    <row r="66" spans="2:15" ht="24.95" hidden="1" customHeight="1">
      <c r="B66" s="872"/>
      <c r="C66" s="873"/>
      <c r="D66" s="873"/>
      <c r="E66" s="873"/>
      <c r="F66" s="874"/>
      <c r="G66" s="874"/>
      <c r="H66" s="14"/>
      <c r="I66" s="15"/>
      <c r="J66" s="16"/>
      <c r="K66" s="17"/>
      <c r="L66" s="16"/>
      <c r="M66" s="18" t="s">
        <v>49</v>
      </c>
      <c r="N66" s="19"/>
    </row>
    <row r="67" spans="2:15" ht="24.95" hidden="1" customHeight="1">
      <c r="B67" s="86"/>
      <c r="C67" s="12"/>
      <c r="D67" s="12"/>
      <c r="E67" s="18"/>
      <c r="F67" s="13"/>
      <c r="G67" s="13"/>
      <c r="H67" s="17"/>
      <c r="I67" s="17"/>
      <c r="J67" s="16"/>
      <c r="K67" s="17"/>
      <c r="L67" s="17"/>
      <c r="M67" s="20"/>
      <c r="N67" s="19"/>
    </row>
    <row r="68" spans="2:15" ht="24.95" hidden="1" customHeight="1">
      <c r="B68" s="86"/>
      <c r="C68" s="12"/>
      <c r="D68" s="12"/>
      <c r="E68" s="18"/>
      <c r="F68" s="13"/>
      <c r="G68" s="13"/>
      <c r="H68" s="17"/>
      <c r="I68" s="17"/>
      <c r="J68" s="16"/>
      <c r="K68" s="17"/>
      <c r="L68" s="17"/>
      <c r="M68" s="20"/>
      <c r="N68" s="19"/>
    </row>
    <row r="69" spans="2:15" ht="24.95" hidden="1" customHeight="1">
      <c r="B69" s="86"/>
      <c r="C69" s="12"/>
      <c r="D69" s="12"/>
      <c r="E69" s="18"/>
      <c r="F69" s="13"/>
      <c r="G69" s="13"/>
      <c r="H69" s="17"/>
      <c r="I69" s="17"/>
      <c r="J69" s="16"/>
      <c r="K69" s="17"/>
      <c r="L69" s="17"/>
      <c r="M69" s="20"/>
      <c r="N69" s="19"/>
    </row>
    <row r="70" spans="2:15" ht="24.95" hidden="1" customHeight="1">
      <c r="B70" s="86"/>
      <c r="C70" s="12"/>
      <c r="D70" s="12"/>
      <c r="E70" s="18"/>
      <c r="F70" s="13"/>
      <c r="G70" s="13"/>
      <c r="H70" s="17"/>
      <c r="I70" s="17"/>
      <c r="J70" s="16"/>
      <c r="K70" s="17"/>
      <c r="L70" s="17"/>
      <c r="M70" s="20"/>
      <c r="N70" s="19"/>
    </row>
    <row r="71" spans="2:15" ht="38.1" hidden="1" customHeight="1" thickBot="1">
      <c r="B71" s="868" t="s">
        <v>48</v>
      </c>
      <c r="C71" s="869"/>
      <c r="D71" s="869"/>
      <c r="E71" s="869"/>
      <c r="F71" s="869"/>
      <c r="G71" s="869"/>
      <c r="H71" s="869"/>
      <c r="I71" s="870">
        <f>665+L64*84.01+L65*84.01+L68*77.98+L69*109.25</f>
        <v>4949.51</v>
      </c>
      <c r="J71" s="870"/>
      <c r="K71" s="870"/>
      <c r="L71" s="870"/>
      <c r="M71" s="89"/>
      <c r="N71" s="81"/>
      <c r="O71" s="45"/>
    </row>
    <row r="72" spans="2:15" ht="24.95" hidden="1" customHeight="1" thickTop="1">
      <c r="B72" s="871" t="s">
        <v>15</v>
      </c>
      <c r="C72" s="871"/>
      <c r="D72" s="871"/>
      <c r="E72" s="871"/>
      <c r="F72" s="871"/>
      <c r="G72" s="871"/>
      <c r="H72" s="871"/>
      <c r="I72" s="871"/>
      <c r="J72" s="871"/>
      <c r="K72" s="871"/>
      <c r="L72" s="871"/>
      <c r="M72" s="871"/>
      <c r="N72" s="871"/>
    </row>
    <row r="73" spans="2:15" ht="6" hidden="1" customHeight="1" thickBot="1"/>
    <row r="74" spans="2:15" s="6" customFormat="1" ht="39.950000000000003" hidden="1" customHeight="1" thickTop="1">
      <c r="B74" s="33" t="s">
        <v>2</v>
      </c>
      <c r="C74" s="34" t="s">
        <v>3</v>
      </c>
      <c r="D74" s="35" t="s">
        <v>4</v>
      </c>
      <c r="E74" s="34" t="s">
        <v>5</v>
      </c>
      <c r="F74" s="34" t="s">
        <v>6</v>
      </c>
      <c r="G74" s="34" t="s">
        <v>7</v>
      </c>
      <c r="H74" s="35" t="s">
        <v>8</v>
      </c>
      <c r="I74" s="34" t="s">
        <v>9</v>
      </c>
      <c r="J74" s="34" t="s">
        <v>10</v>
      </c>
      <c r="K74" s="34" t="s">
        <v>11</v>
      </c>
      <c r="L74" s="34" t="s">
        <v>12</v>
      </c>
      <c r="M74" s="34" t="s">
        <v>13</v>
      </c>
      <c r="N74" s="36" t="s">
        <v>14</v>
      </c>
    </row>
    <row r="75" spans="2:15" ht="24.95" hidden="1" customHeight="1">
      <c r="B75" s="872">
        <v>1</v>
      </c>
      <c r="C75" s="873" t="s">
        <v>50</v>
      </c>
      <c r="D75" s="873" t="s">
        <v>95</v>
      </c>
      <c r="E75" s="873" t="s">
        <v>96</v>
      </c>
      <c r="F75" s="874">
        <v>40126</v>
      </c>
      <c r="G75" s="874">
        <v>40126</v>
      </c>
      <c r="H75" s="17"/>
      <c r="I75" s="15"/>
      <c r="J75" s="16"/>
      <c r="K75" s="17" t="s">
        <v>32</v>
      </c>
      <c r="L75" s="16">
        <v>19</v>
      </c>
      <c r="M75" s="18" t="s">
        <v>87</v>
      </c>
      <c r="N75" s="19"/>
    </row>
    <row r="76" spans="2:15" ht="24.95" hidden="1" customHeight="1">
      <c r="B76" s="872"/>
      <c r="C76" s="873"/>
      <c r="D76" s="873"/>
      <c r="E76" s="873"/>
      <c r="F76" s="874"/>
      <c r="G76" s="874"/>
      <c r="H76" s="14"/>
      <c r="I76" s="15"/>
      <c r="J76" s="16"/>
      <c r="K76" s="17" t="s">
        <v>33</v>
      </c>
      <c r="L76" s="16">
        <v>32</v>
      </c>
      <c r="M76" s="18" t="s">
        <v>36</v>
      </c>
      <c r="N76" s="19"/>
    </row>
    <row r="77" spans="2:15" ht="24.95" hidden="1" customHeight="1">
      <c r="B77" s="872"/>
      <c r="C77" s="873"/>
      <c r="D77" s="873"/>
      <c r="E77" s="873"/>
      <c r="F77" s="874"/>
      <c r="G77" s="874"/>
      <c r="H77" s="14"/>
      <c r="I77" s="15"/>
      <c r="J77" s="16"/>
      <c r="K77" s="17"/>
      <c r="L77" s="16"/>
      <c r="M77" s="18" t="s">
        <v>49</v>
      </c>
      <c r="N77" s="19"/>
    </row>
    <row r="78" spans="2:15" ht="24.95" hidden="1" customHeight="1">
      <c r="B78" s="86"/>
      <c r="C78" s="12"/>
      <c r="D78" s="12"/>
      <c r="E78" s="18"/>
      <c r="F78" s="13"/>
      <c r="G78" s="13"/>
      <c r="H78" s="17"/>
      <c r="I78" s="17"/>
      <c r="J78" s="16"/>
      <c r="K78" s="17"/>
      <c r="L78" s="17"/>
      <c r="M78" s="20"/>
      <c r="N78" s="19"/>
    </row>
    <row r="79" spans="2:15" ht="38.1" hidden="1" customHeight="1" thickBot="1">
      <c r="B79" s="868" t="s">
        <v>48</v>
      </c>
      <c r="C79" s="869"/>
      <c r="D79" s="869"/>
      <c r="E79" s="869"/>
      <c r="F79" s="869"/>
      <c r="G79" s="869"/>
      <c r="H79" s="869"/>
      <c r="I79" s="870">
        <f>L75*84.01+L76*84.01</f>
        <v>4284.51</v>
      </c>
      <c r="J79" s="870"/>
      <c r="K79" s="870"/>
      <c r="L79" s="870"/>
      <c r="M79" s="89"/>
      <c r="N79" s="81"/>
      <c r="O79" s="45"/>
    </row>
    <row r="80" spans="2:15" ht="24.95" hidden="1" customHeight="1" thickTop="1">
      <c r="B80" s="871" t="s">
        <v>15</v>
      </c>
      <c r="C80" s="871"/>
      <c r="D80" s="871"/>
      <c r="E80" s="871"/>
      <c r="F80" s="871"/>
      <c r="G80" s="871"/>
      <c r="H80" s="871"/>
      <c r="I80" s="871"/>
      <c r="J80" s="871"/>
      <c r="K80" s="871"/>
      <c r="L80" s="871"/>
      <c r="M80" s="871"/>
      <c r="N80" s="871"/>
    </row>
    <row r="81" spans="2:15" ht="7.5" hidden="1" customHeight="1" thickBot="1"/>
    <row r="82" spans="2:15" s="6" customFormat="1" ht="39.950000000000003" hidden="1" customHeight="1" thickTop="1">
      <c r="B82" s="33" t="s">
        <v>2</v>
      </c>
      <c r="C82" s="34" t="s">
        <v>3</v>
      </c>
      <c r="D82" s="35" t="s">
        <v>4</v>
      </c>
      <c r="E82" s="34" t="s">
        <v>5</v>
      </c>
      <c r="F82" s="34" t="s">
        <v>6</v>
      </c>
      <c r="G82" s="34" t="s">
        <v>7</v>
      </c>
      <c r="H82" s="35" t="s">
        <v>8</v>
      </c>
      <c r="I82" s="34" t="s">
        <v>9</v>
      </c>
      <c r="J82" s="34" t="s">
        <v>10</v>
      </c>
      <c r="K82" s="34" t="s">
        <v>11</v>
      </c>
      <c r="L82" s="34" t="s">
        <v>12</v>
      </c>
      <c r="M82" s="34" t="s">
        <v>13</v>
      </c>
      <c r="N82" s="36" t="s">
        <v>14</v>
      </c>
    </row>
    <row r="83" spans="2:15" ht="24.95" hidden="1" customHeight="1">
      <c r="B83" s="872">
        <v>1</v>
      </c>
      <c r="C83" s="873" t="s">
        <v>50</v>
      </c>
      <c r="D83" s="873" t="s">
        <v>93</v>
      </c>
      <c r="E83" s="873" t="s">
        <v>94</v>
      </c>
      <c r="F83" s="874">
        <v>40126</v>
      </c>
      <c r="G83" s="874">
        <v>40126</v>
      </c>
      <c r="H83" s="17"/>
      <c r="I83" s="15"/>
      <c r="J83" s="16"/>
      <c r="K83" s="17" t="s">
        <v>32</v>
      </c>
      <c r="L83" s="16">
        <v>19</v>
      </c>
      <c r="M83" s="18" t="s">
        <v>43</v>
      </c>
      <c r="N83" s="19"/>
    </row>
    <row r="84" spans="2:15" ht="24.95" hidden="1" customHeight="1">
      <c r="B84" s="872"/>
      <c r="C84" s="873"/>
      <c r="D84" s="873"/>
      <c r="E84" s="873"/>
      <c r="F84" s="874"/>
      <c r="G84" s="874"/>
      <c r="H84" s="14"/>
      <c r="I84" s="15"/>
      <c r="J84" s="16"/>
      <c r="K84" s="17" t="s">
        <v>33</v>
      </c>
      <c r="L84" s="16">
        <v>32</v>
      </c>
      <c r="M84" s="18" t="s">
        <v>58</v>
      </c>
      <c r="N84" s="19"/>
    </row>
    <row r="85" spans="2:15" ht="24.95" hidden="1" customHeight="1">
      <c r="B85" s="86"/>
      <c r="C85" s="12"/>
      <c r="D85" s="12"/>
      <c r="E85" s="18"/>
      <c r="F85" s="13"/>
      <c r="G85" s="13"/>
      <c r="H85" s="17"/>
      <c r="I85" s="17"/>
      <c r="J85" s="16"/>
      <c r="K85" s="17"/>
      <c r="L85" s="17"/>
      <c r="M85" s="20"/>
      <c r="N85" s="19"/>
    </row>
    <row r="86" spans="2:15" ht="38.1" hidden="1" customHeight="1" thickBot="1">
      <c r="B86" s="868" t="s">
        <v>48</v>
      </c>
      <c r="C86" s="869"/>
      <c r="D86" s="869"/>
      <c r="E86" s="869"/>
      <c r="F86" s="869"/>
      <c r="G86" s="869"/>
      <c r="H86" s="869"/>
      <c r="I86" s="870">
        <f>L83*84.01+L84*84.01</f>
        <v>4284.51</v>
      </c>
      <c r="J86" s="870"/>
      <c r="K86" s="870"/>
      <c r="L86" s="870"/>
      <c r="M86" s="89"/>
      <c r="N86" s="81"/>
      <c r="O86" s="45"/>
    </row>
    <row r="87" spans="2:15" ht="24.95" hidden="1" customHeight="1" thickTop="1">
      <c r="B87" s="871" t="s">
        <v>124</v>
      </c>
      <c r="C87" s="871"/>
      <c r="D87" s="871"/>
      <c r="E87" s="871"/>
      <c r="F87" s="871"/>
      <c r="G87" s="871"/>
      <c r="H87" s="871"/>
      <c r="I87" s="871"/>
      <c r="J87" s="871"/>
      <c r="K87" s="871"/>
      <c r="L87" s="871"/>
      <c r="M87" s="871"/>
      <c r="N87" s="871"/>
    </row>
    <row r="88" spans="2:15" ht="24.95" hidden="1" customHeight="1" thickBot="1"/>
    <row r="89" spans="2:15" s="6" customFormat="1" ht="39.950000000000003" hidden="1" customHeight="1" thickTop="1">
      <c r="B89" s="33" t="s">
        <v>2</v>
      </c>
      <c r="C89" s="34" t="s">
        <v>3</v>
      </c>
      <c r="D89" s="35" t="s">
        <v>4</v>
      </c>
      <c r="E89" s="34" t="s">
        <v>5</v>
      </c>
      <c r="F89" s="34" t="s">
        <v>6</v>
      </c>
      <c r="G89" s="34" t="s">
        <v>7</v>
      </c>
      <c r="H89" s="35" t="s">
        <v>8</v>
      </c>
      <c r="I89" s="34" t="s">
        <v>9</v>
      </c>
      <c r="J89" s="34" t="s">
        <v>10</v>
      </c>
      <c r="K89" s="34" t="s">
        <v>11</v>
      </c>
      <c r="L89" s="34" t="s">
        <v>12</v>
      </c>
      <c r="M89" s="34" t="s">
        <v>13</v>
      </c>
      <c r="N89" s="36" t="s">
        <v>14</v>
      </c>
    </row>
    <row r="90" spans="2:15" ht="24.95" hidden="1" customHeight="1">
      <c r="B90" s="872">
        <v>1</v>
      </c>
      <c r="C90" s="873" t="s">
        <v>25</v>
      </c>
      <c r="D90" s="873" t="s">
        <v>26</v>
      </c>
      <c r="E90" s="873">
        <v>298743</v>
      </c>
      <c r="F90" s="874">
        <v>40121</v>
      </c>
      <c r="G90" s="874">
        <v>40126</v>
      </c>
      <c r="H90" s="17" t="s">
        <v>98</v>
      </c>
      <c r="I90" s="15" t="s">
        <v>99</v>
      </c>
      <c r="J90" s="16">
        <v>2</v>
      </c>
      <c r="K90" s="17" t="s">
        <v>32</v>
      </c>
      <c r="L90" s="16">
        <v>3.5</v>
      </c>
      <c r="M90" s="16" t="s">
        <v>126</v>
      </c>
      <c r="N90" s="19"/>
    </row>
    <row r="91" spans="2:15" ht="24.95" hidden="1" customHeight="1">
      <c r="B91" s="872"/>
      <c r="C91" s="873"/>
      <c r="D91" s="873"/>
      <c r="E91" s="873"/>
      <c r="F91" s="874"/>
      <c r="G91" s="874"/>
      <c r="H91" s="14" t="s">
        <v>100</v>
      </c>
      <c r="I91" s="15" t="s">
        <v>103</v>
      </c>
      <c r="J91" s="16">
        <v>2</v>
      </c>
      <c r="K91" s="17" t="s">
        <v>32</v>
      </c>
      <c r="L91" s="16">
        <v>6.5</v>
      </c>
      <c r="M91" s="16" t="s">
        <v>56</v>
      </c>
      <c r="N91" s="19"/>
    </row>
    <row r="92" spans="2:15" ht="24.95" hidden="1" customHeight="1">
      <c r="B92" s="872"/>
      <c r="C92" s="873"/>
      <c r="D92" s="873"/>
      <c r="E92" s="873"/>
      <c r="F92" s="874"/>
      <c r="G92" s="874"/>
      <c r="H92" s="14" t="s">
        <v>100</v>
      </c>
      <c r="I92" s="15" t="s">
        <v>104</v>
      </c>
      <c r="J92" s="16">
        <v>2</v>
      </c>
      <c r="K92" s="17"/>
      <c r="L92" s="16"/>
      <c r="M92" s="16"/>
      <c r="N92" s="19"/>
    </row>
    <row r="93" spans="2:15" ht="24.95" hidden="1" customHeight="1">
      <c r="B93" s="872"/>
      <c r="C93" s="873"/>
      <c r="D93" s="873"/>
      <c r="E93" s="873"/>
      <c r="F93" s="874"/>
      <c r="G93" s="874"/>
      <c r="H93" s="14" t="s">
        <v>101</v>
      </c>
      <c r="I93" s="15" t="s">
        <v>102</v>
      </c>
      <c r="J93" s="16">
        <v>1</v>
      </c>
      <c r="K93" s="17"/>
      <c r="L93" s="16"/>
      <c r="M93" s="16"/>
      <c r="N93" s="19"/>
    </row>
    <row r="94" spans="2:15" ht="24.95" hidden="1" customHeight="1">
      <c r="B94" s="872"/>
      <c r="C94" s="873"/>
      <c r="D94" s="873"/>
      <c r="E94" s="873"/>
      <c r="F94" s="874"/>
      <c r="G94" s="874"/>
      <c r="H94" s="14" t="s">
        <v>105</v>
      </c>
      <c r="I94" s="15" t="s">
        <v>106</v>
      </c>
      <c r="J94" s="16">
        <v>1</v>
      </c>
      <c r="K94" s="17"/>
      <c r="L94" s="16"/>
      <c r="M94" s="16"/>
      <c r="N94" s="19"/>
    </row>
    <row r="95" spans="2:15" ht="24.95" hidden="1" customHeight="1">
      <c r="B95" s="872"/>
      <c r="C95" s="873"/>
      <c r="D95" s="873"/>
      <c r="E95" s="873"/>
      <c r="F95" s="874"/>
      <c r="G95" s="874"/>
      <c r="H95" s="14" t="s">
        <v>107</v>
      </c>
      <c r="I95" s="15" t="s">
        <v>109</v>
      </c>
      <c r="J95" s="16">
        <v>10</v>
      </c>
      <c r="K95" s="17"/>
      <c r="L95" s="16"/>
      <c r="M95" s="16"/>
      <c r="N95" s="19"/>
    </row>
    <row r="96" spans="2:15" ht="31.5" hidden="1" customHeight="1">
      <c r="B96" s="872"/>
      <c r="C96" s="873"/>
      <c r="D96" s="873"/>
      <c r="E96" s="873"/>
      <c r="F96" s="874"/>
      <c r="G96" s="874"/>
      <c r="H96" s="14" t="s">
        <v>108</v>
      </c>
      <c r="I96" s="15" t="s">
        <v>66</v>
      </c>
      <c r="J96" s="16">
        <v>13</v>
      </c>
      <c r="K96" s="20"/>
      <c r="L96" s="17"/>
      <c r="M96" s="17"/>
      <c r="N96" s="19"/>
    </row>
    <row r="97" spans="2:15" ht="24.95" hidden="1" customHeight="1">
      <c r="B97" s="86"/>
      <c r="C97" s="12"/>
      <c r="D97" s="12"/>
      <c r="E97" s="18"/>
      <c r="F97" s="13"/>
      <c r="G97" s="13"/>
      <c r="H97" s="17"/>
      <c r="I97" s="17"/>
      <c r="J97" s="16"/>
      <c r="K97" s="17"/>
      <c r="L97" s="17"/>
      <c r="M97" s="17"/>
      <c r="N97" s="19"/>
    </row>
    <row r="98" spans="2:15" ht="38.1" hidden="1" customHeight="1" thickBot="1">
      <c r="B98" s="868" t="s">
        <v>48</v>
      </c>
      <c r="C98" s="869"/>
      <c r="D98" s="869"/>
      <c r="E98" s="869"/>
      <c r="F98" s="869"/>
      <c r="G98" s="869"/>
      <c r="H98" s="869"/>
      <c r="I98" s="870">
        <f>5401.22+1768.04+796.38+4043.3+2003.54+1236.3+1061.71+840.1</f>
        <v>17150.589999999997</v>
      </c>
      <c r="J98" s="870"/>
      <c r="K98" s="870"/>
      <c r="L98" s="870"/>
      <c r="M98" s="85"/>
      <c r="N98" s="81"/>
      <c r="O98" s="45"/>
    </row>
    <row r="99" spans="2:15" ht="24.95" hidden="1" customHeight="1" thickTop="1">
      <c r="B99" s="871" t="s">
        <v>125</v>
      </c>
      <c r="C99" s="871"/>
      <c r="D99" s="871"/>
      <c r="E99" s="871"/>
      <c r="F99" s="871"/>
      <c r="G99" s="871"/>
      <c r="H99" s="871"/>
      <c r="I99" s="871"/>
      <c r="J99" s="871"/>
      <c r="K99" s="871"/>
      <c r="L99" s="871"/>
      <c r="M99" s="871"/>
      <c r="N99" s="871"/>
    </row>
    <row r="100" spans="2:15" ht="9" hidden="1" customHeight="1" thickBot="1"/>
    <row r="101" spans="2:15" s="6" customFormat="1" ht="39.950000000000003" hidden="1" customHeight="1" thickTop="1">
      <c r="B101" s="33" t="s">
        <v>2</v>
      </c>
      <c r="C101" s="34" t="s">
        <v>3</v>
      </c>
      <c r="D101" s="35" t="s">
        <v>4</v>
      </c>
      <c r="E101" s="34" t="s">
        <v>5</v>
      </c>
      <c r="F101" s="34" t="s">
        <v>6</v>
      </c>
      <c r="G101" s="34" t="s">
        <v>7</v>
      </c>
      <c r="H101" s="35" t="s">
        <v>8</v>
      </c>
      <c r="I101" s="34" t="s">
        <v>9</v>
      </c>
      <c r="J101" s="34" t="s">
        <v>10</v>
      </c>
      <c r="K101" s="34" t="s">
        <v>11</v>
      </c>
      <c r="L101" s="34" t="s">
        <v>12</v>
      </c>
      <c r="M101" s="34" t="s">
        <v>13</v>
      </c>
      <c r="N101" s="36" t="s">
        <v>14</v>
      </c>
    </row>
    <row r="102" spans="2:15" ht="24.95" hidden="1" customHeight="1">
      <c r="B102" s="872">
        <v>1</v>
      </c>
      <c r="C102" s="873" t="s">
        <v>112</v>
      </c>
      <c r="D102" s="873" t="s">
        <v>113</v>
      </c>
      <c r="E102" s="873">
        <v>5560</v>
      </c>
      <c r="F102" s="874">
        <v>40126</v>
      </c>
      <c r="G102" s="874">
        <v>40126</v>
      </c>
      <c r="H102" s="17" t="s">
        <v>115</v>
      </c>
      <c r="I102" s="15" t="s">
        <v>116</v>
      </c>
      <c r="J102" s="16">
        <v>1</v>
      </c>
      <c r="K102" s="17" t="s">
        <v>32</v>
      </c>
      <c r="L102" s="16">
        <v>20</v>
      </c>
      <c r="M102" s="18" t="s">
        <v>43</v>
      </c>
      <c r="N102" s="19" t="s">
        <v>114</v>
      </c>
    </row>
    <row r="103" spans="2:15" ht="24.95" hidden="1" customHeight="1">
      <c r="B103" s="872"/>
      <c r="C103" s="873"/>
      <c r="D103" s="873"/>
      <c r="E103" s="873"/>
      <c r="F103" s="874"/>
      <c r="G103" s="874"/>
      <c r="H103" s="14"/>
      <c r="I103" s="15"/>
      <c r="J103" s="16"/>
      <c r="K103" s="17" t="s">
        <v>33</v>
      </c>
      <c r="L103" s="16">
        <v>43</v>
      </c>
      <c r="M103" s="18" t="s">
        <v>58</v>
      </c>
      <c r="N103" s="19"/>
    </row>
    <row r="104" spans="2:15" ht="24.95" hidden="1" customHeight="1">
      <c r="B104" s="86"/>
      <c r="C104" s="12"/>
      <c r="D104" s="12"/>
      <c r="E104" s="18"/>
      <c r="F104" s="13"/>
      <c r="G104" s="13"/>
      <c r="H104" s="17"/>
      <c r="I104" s="17"/>
      <c r="J104" s="16"/>
      <c r="K104" s="17"/>
      <c r="L104" s="17"/>
      <c r="M104" s="20"/>
      <c r="N104" s="19"/>
    </row>
    <row r="105" spans="2:15" ht="38.1" hidden="1" customHeight="1" thickBot="1">
      <c r="B105" s="868" t="s">
        <v>48</v>
      </c>
      <c r="C105" s="869"/>
      <c r="D105" s="869"/>
      <c r="E105" s="869"/>
      <c r="F105" s="869"/>
      <c r="G105" s="869"/>
      <c r="H105" s="869"/>
      <c r="I105" s="870">
        <f>L102*84.01+L103*84.01+2173.9</f>
        <v>7466.5300000000007</v>
      </c>
      <c r="J105" s="870"/>
      <c r="K105" s="870"/>
      <c r="L105" s="870"/>
      <c r="M105" s="89"/>
      <c r="N105" s="81"/>
      <c r="O105" s="45"/>
    </row>
    <row r="106" spans="2:15" ht="24.95" hidden="1" customHeight="1" thickTop="1">
      <c r="B106" s="889" t="s">
        <v>117</v>
      </c>
      <c r="C106" s="889"/>
      <c r="D106" s="889"/>
      <c r="E106" s="889"/>
      <c r="F106" s="889"/>
      <c r="G106" s="889"/>
      <c r="H106" s="889"/>
      <c r="I106" s="889"/>
      <c r="J106" s="889"/>
      <c r="K106" s="889"/>
      <c r="L106" s="889"/>
      <c r="M106" s="889"/>
      <c r="N106" s="889"/>
    </row>
    <row r="107" spans="2:15" ht="20.100000000000001" hidden="1" customHeight="1" thickBot="1"/>
    <row r="108" spans="2:15" s="6" customFormat="1" ht="39.950000000000003" hidden="1" customHeight="1" thickTop="1">
      <c r="B108" s="33" t="s">
        <v>2</v>
      </c>
      <c r="C108" s="34" t="s">
        <v>3</v>
      </c>
      <c r="D108" s="35" t="s">
        <v>4</v>
      </c>
      <c r="E108" s="34" t="s">
        <v>5</v>
      </c>
      <c r="F108" s="34" t="s">
        <v>6</v>
      </c>
      <c r="G108" s="34" t="s">
        <v>7</v>
      </c>
      <c r="H108" s="35" t="s">
        <v>8</v>
      </c>
      <c r="I108" s="34" t="s">
        <v>9</v>
      </c>
      <c r="J108" s="34" t="s">
        <v>10</v>
      </c>
      <c r="K108" s="34" t="s">
        <v>11</v>
      </c>
      <c r="L108" s="34" t="s">
        <v>12</v>
      </c>
      <c r="M108" s="34" t="s">
        <v>13</v>
      </c>
      <c r="N108" s="36" t="s">
        <v>14</v>
      </c>
    </row>
    <row r="109" spans="2:15" ht="24.95" hidden="1" customHeight="1">
      <c r="B109" s="872">
        <v>1</v>
      </c>
      <c r="C109" s="873" t="s">
        <v>88</v>
      </c>
      <c r="D109" s="873" t="s">
        <v>89</v>
      </c>
      <c r="E109" s="873">
        <v>48375</v>
      </c>
      <c r="F109" s="874">
        <v>40125</v>
      </c>
      <c r="G109" s="874">
        <v>40127</v>
      </c>
      <c r="H109" s="17" t="s">
        <v>129</v>
      </c>
      <c r="I109" s="15"/>
      <c r="J109" s="16">
        <v>8</v>
      </c>
      <c r="K109" s="17" t="s">
        <v>32</v>
      </c>
      <c r="L109" s="16">
        <v>18</v>
      </c>
      <c r="M109" s="18" t="s">
        <v>56</v>
      </c>
      <c r="N109" s="19" t="s">
        <v>130</v>
      </c>
    </row>
    <row r="110" spans="2:15" ht="24.75" hidden="1" customHeight="1">
      <c r="B110" s="872"/>
      <c r="C110" s="873"/>
      <c r="D110" s="873"/>
      <c r="E110" s="873"/>
      <c r="F110" s="874"/>
      <c r="G110" s="874"/>
      <c r="H110" s="14" t="s">
        <v>165</v>
      </c>
      <c r="I110" s="15"/>
      <c r="J110" s="16">
        <v>1</v>
      </c>
      <c r="K110" s="17" t="s">
        <v>32</v>
      </c>
      <c r="L110" s="16">
        <v>2</v>
      </c>
      <c r="M110" s="18" t="s">
        <v>57</v>
      </c>
      <c r="N110" s="19"/>
    </row>
    <row r="111" spans="2:15" ht="24.95" hidden="1" customHeight="1">
      <c r="B111" s="872"/>
      <c r="C111" s="873"/>
      <c r="D111" s="873"/>
      <c r="E111" s="873"/>
      <c r="F111" s="874"/>
      <c r="G111" s="874"/>
      <c r="H111" s="14"/>
      <c r="I111" s="15"/>
      <c r="J111" s="16"/>
      <c r="K111" s="17" t="s">
        <v>33</v>
      </c>
      <c r="L111" s="16">
        <v>19</v>
      </c>
      <c r="M111" s="18"/>
      <c r="N111" s="19"/>
    </row>
    <row r="112" spans="2:15" ht="24.95" hidden="1" customHeight="1">
      <c r="B112" s="872"/>
      <c r="C112" s="873"/>
      <c r="D112" s="873"/>
      <c r="E112" s="873"/>
      <c r="F112" s="874"/>
      <c r="G112" s="874"/>
      <c r="H112" s="14"/>
      <c r="I112" s="15"/>
      <c r="J112" s="16"/>
      <c r="K112" s="17" t="s">
        <v>34</v>
      </c>
      <c r="L112" s="16">
        <v>3</v>
      </c>
      <c r="M112" s="18"/>
      <c r="N112" s="19"/>
    </row>
    <row r="113" spans="2:15" ht="24.95" hidden="1" customHeight="1">
      <c r="B113" s="86"/>
      <c r="C113" s="12"/>
      <c r="D113" s="12"/>
      <c r="E113" s="18"/>
      <c r="F113" s="13"/>
      <c r="G113" s="13"/>
      <c r="H113" s="17"/>
      <c r="I113" s="17"/>
      <c r="J113" s="16"/>
      <c r="K113" s="17"/>
      <c r="L113" s="17"/>
      <c r="M113" s="20"/>
      <c r="N113" s="19"/>
    </row>
    <row r="114" spans="2:15" ht="38.1" hidden="1" customHeight="1" thickBot="1">
      <c r="B114" s="868" t="s">
        <v>48</v>
      </c>
      <c r="C114" s="869"/>
      <c r="D114" s="869"/>
      <c r="E114" s="869"/>
      <c r="F114" s="869"/>
      <c r="G114" s="869"/>
      <c r="H114" s="869"/>
      <c r="I114" s="870">
        <f>2875+L109*84.01+L110*84.01+L111*84.01+L112*109.25</f>
        <v>6479.1400000000012</v>
      </c>
      <c r="J114" s="870"/>
      <c r="K114" s="870"/>
      <c r="L114" s="870"/>
      <c r="M114" s="89"/>
      <c r="N114" s="81"/>
      <c r="O114" s="45"/>
    </row>
    <row r="115" spans="2:15" ht="24.95" hidden="1" customHeight="1" thickTop="1">
      <c r="B115" s="871" t="s">
        <v>142</v>
      </c>
      <c r="C115" s="871"/>
      <c r="D115" s="871"/>
      <c r="E115" s="871"/>
      <c r="F115" s="871"/>
      <c r="G115" s="871"/>
      <c r="H115" s="871"/>
      <c r="I115" s="871"/>
      <c r="J115" s="871"/>
      <c r="K115" s="871"/>
      <c r="L115" s="871"/>
      <c r="M115" s="871"/>
      <c r="N115" s="871"/>
    </row>
    <row r="116" spans="2:15" ht="24.95" hidden="1" customHeight="1">
      <c r="B116" s="890" t="s">
        <v>16</v>
      </c>
      <c r="C116" s="890"/>
      <c r="D116" s="890"/>
      <c r="E116" s="890"/>
      <c r="F116" s="890"/>
      <c r="G116" s="890"/>
      <c r="H116" s="890"/>
      <c r="I116" s="890"/>
      <c r="J116" s="890"/>
      <c r="K116" s="890"/>
      <c r="L116" s="890"/>
      <c r="M116" s="890"/>
      <c r="N116" s="890"/>
    </row>
    <row r="117" spans="2:15" ht="15.75" hidden="1" thickBot="1"/>
    <row r="118" spans="2:15" s="6" customFormat="1" ht="39.950000000000003" hidden="1" customHeight="1" thickTop="1">
      <c r="B118" s="33" t="s">
        <v>2</v>
      </c>
      <c r="C118" s="34" t="s">
        <v>3</v>
      </c>
      <c r="D118" s="35" t="s">
        <v>4</v>
      </c>
      <c r="E118" s="34" t="s">
        <v>5</v>
      </c>
      <c r="F118" s="34" t="s">
        <v>6</v>
      </c>
      <c r="G118" s="34" t="s">
        <v>7</v>
      </c>
      <c r="H118" s="35" t="s">
        <v>8</v>
      </c>
      <c r="I118" s="34" t="s">
        <v>9</v>
      </c>
      <c r="J118" s="34" t="s">
        <v>10</v>
      </c>
      <c r="K118" s="34" t="s">
        <v>11</v>
      </c>
      <c r="L118" s="34" t="s">
        <v>12</v>
      </c>
      <c r="M118" s="34" t="s">
        <v>13</v>
      </c>
      <c r="N118" s="36" t="s">
        <v>14</v>
      </c>
    </row>
    <row r="119" spans="2:15" ht="24.95" hidden="1" customHeight="1">
      <c r="B119" s="872">
        <v>1</v>
      </c>
      <c r="C119" s="873" t="s">
        <v>25</v>
      </c>
      <c r="D119" s="873" t="s">
        <v>90</v>
      </c>
      <c r="E119" s="873">
        <v>135069</v>
      </c>
      <c r="F119" s="874">
        <v>40124</v>
      </c>
      <c r="G119" s="874">
        <v>40129</v>
      </c>
      <c r="H119" s="17" t="s">
        <v>146</v>
      </c>
      <c r="I119" s="15" t="s">
        <v>147</v>
      </c>
      <c r="J119" s="16">
        <v>2</v>
      </c>
      <c r="K119" s="17" t="s">
        <v>32</v>
      </c>
      <c r="L119" s="16">
        <v>5.5</v>
      </c>
      <c r="M119" s="18" t="s">
        <v>160</v>
      </c>
      <c r="N119" s="19"/>
    </row>
    <row r="120" spans="2:15" ht="24.75" hidden="1" customHeight="1">
      <c r="B120" s="872"/>
      <c r="C120" s="873"/>
      <c r="D120" s="873"/>
      <c r="E120" s="873"/>
      <c r="F120" s="874"/>
      <c r="G120" s="874"/>
      <c r="H120" s="14" t="s">
        <v>148</v>
      </c>
      <c r="I120" s="15" t="s">
        <v>154</v>
      </c>
      <c r="J120" s="16">
        <v>2</v>
      </c>
      <c r="K120" s="17" t="s">
        <v>32</v>
      </c>
      <c r="L120" s="16">
        <v>6.5</v>
      </c>
      <c r="M120" s="18" t="s">
        <v>161</v>
      </c>
      <c r="N120" s="19"/>
    </row>
    <row r="121" spans="2:15" ht="24.95" hidden="1" customHeight="1">
      <c r="B121" s="872"/>
      <c r="C121" s="873"/>
      <c r="D121" s="873"/>
      <c r="E121" s="873"/>
      <c r="F121" s="874"/>
      <c r="G121" s="874"/>
      <c r="H121" s="14" t="s">
        <v>149</v>
      </c>
      <c r="I121" s="15" t="s">
        <v>155</v>
      </c>
      <c r="J121" s="16">
        <v>4</v>
      </c>
      <c r="K121" s="17"/>
      <c r="L121" s="16"/>
      <c r="M121" s="18" t="s">
        <v>119</v>
      </c>
      <c r="N121" s="19"/>
    </row>
    <row r="122" spans="2:15" ht="24.95" hidden="1" customHeight="1">
      <c r="B122" s="872"/>
      <c r="C122" s="873"/>
      <c r="D122" s="873"/>
      <c r="E122" s="873"/>
      <c r="F122" s="874"/>
      <c r="G122" s="874"/>
      <c r="H122" s="14" t="s">
        <v>150</v>
      </c>
      <c r="I122" s="15" t="s">
        <v>156</v>
      </c>
      <c r="J122" s="16">
        <v>2</v>
      </c>
      <c r="K122" s="17"/>
      <c r="L122" s="16"/>
      <c r="M122" s="18"/>
      <c r="N122" s="19"/>
    </row>
    <row r="123" spans="2:15" ht="24.95" hidden="1" customHeight="1">
      <c r="B123" s="872"/>
      <c r="C123" s="873"/>
      <c r="D123" s="873"/>
      <c r="E123" s="873"/>
      <c r="F123" s="874"/>
      <c r="G123" s="874"/>
      <c r="H123" s="17" t="s">
        <v>151</v>
      </c>
      <c r="I123" s="15" t="s">
        <v>157</v>
      </c>
      <c r="J123" s="16">
        <v>2</v>
      </c>
      <c r="K123" s="17"/>
      <c r="L123" s="17"/>
      <c r="M123" s="18"/>
      <c r="N123" s="19"/>
    </row>
    <row r="124" spans="2:15" ht="24.95" hidden="1" customHeight="1">
      <c r="B124" s="872"/>
      <c r="C124" s="873"/>
      <c r="D124" s="873"/>
      <c r="E124" s="873"/>
      <c r="F124" s="874"/>
      <c r="G124" s="874"/>
      <c r="H124" s="17" t="s">
        <v>152</v>
      </c>
      <c r="I124" s="15" t="s">
        <v>158</v>
      </c>
      <c r="J124" s="16">
        <v>2</v>
      </c>
      <c r="K124" s="17"/>
      <c r="L124" s="16"/>
      <c r="M124" s="18"/>
      <c r="N124" s="19"/>
    </row>
    <row r="125" spans="2:15" ht="24.95" hidden="1" customHeight="1">
      <c r="B125" s="872"/>
      <c r="C125" s="873"/>
      <c r="D125" s="873"/>
      <c r="E125" s="873"/>
      <c r="F125" s="874"/>
      <c r="G125" s="874"/>
      <c r="H125" s="17" t="s">
        <v>153</v>
      </c>
      <c r="I125" s="15" t="s">
        <v>159</v>
      </c>
      <c r="J125" s="16">
        <v>1</v>
      </c>
      <c r="K125" s="17"/>
      <c r="L125" s="16"/>
      <c r="M125" s="76"/>
      <c r="N125" s="19"/>
    </row>
    <row r="126" spans="2:15" ht="24.95" hidden="1" customHeight="1">
      <c r="B126" s="86"/>
      <c r="C126" s="12"/>
      <c r="D126" s="12"/>
      <c r="E126" s="18"/>
      <c r="F126" s="13"/>
      <c r="G126" s="13"/>
      <c r="H126" s="17"/>
      <c r="I126" s="17"/>
      <c r="J126" s="16"/>
      <c r="K126" s="17"/>
      <c r="L126" s="17"/>
      <c r="M126" s="20"/>
      <c r="N126" s="19"/>
    </row>
    <row r="127" spans="2:15" ht="38.1" hidden="1" customHeight="1" thickBot="1">
      <c r="B127" s="868" t="s">
        <v>48</v>
      </c>
      <c r="C127" s="869"/>
      <c r="D127" s="869"/>
      <c r="E127" s="869"/>
      <c r="F127" s="869"/>
      <c r="G127" s="869"/>
      <c r="H127" s="869"/>
      <c r="I127" s="870">
        <f>L119*84.01+L120*84.01+142.5+104+593.16+56.8+136.16+1306.88+4562.01</f>
        <v>7909.630000000001</v>
      </c>
      <c r="J127" s="870"/>
      <c r="K127" s="870"/>
      <c r="L127" s="870"/>
      <c r="M127" s="89"/>
      <c r="N127" s="81"/>
      <c r="O127" s="45"/>
    </row>
    <row r="128" spans="2:15" ht="24.95" hidden="1" customHeight="1" thickTop="1">
      <c r="B128" s="891" t="s">
        <v>15</v>
      </c>
      <c r="C128" s="891"/>
      <c r="D128" s="891"/>
      <c r="E128" s="891"/>
      <c r="F128" s="891"/>
      <c r="G128" s="891"/>
      <c r="H128" s="891"/>
      <c r="I128" s="891"/>
      <c r="J128" s="891"/>
      <c r="K128" s="891"/>
      <c r="L128" s="891"/>
      <c r="M128" s="891"/>
      <c r="N128" s="891"/>
    </row>
    <row r="129" spans="2:15" hidden="1"/>
    <row r="130" spans="2:15" s="6" customFormat="1" ht="39.950000000000003" hidden="1" customHeight="1" thickTop="1">
      <c r="B130" s="33" t="s">
        <v>2</v>
      </c>
      <c r="C130" s="34" t="s">
        <v>3</v>
      </c>
      <c r="D130" s="35" t="s">
        <v>4</v>
      </c>
      <c r="E130" s="34" t="s">
        <v>5</v>
      </c>
      <c r="F130" s="34" t="s">
        <v>6</v>
      </c>
      <c r="G130" s="34" t="s">
        <v>7</v>
      </c>
      <c r="H130" s="35" t="s">
        <v>8</v>
      </c>
      <c r="I130" s="34" t="s">
        <v>9</v>
      </c>
      <c r="J130" s="34" t="s">
        <v>10</v>
      </c>
      <c r="K130" s="34" t="s">
        <v>11</v>
      </c>
      <c r="L130" s="34" t="s">
        <v>12</v>
      </c>
      <c r="M130" s="34" t="s">
        <v>13</v>
      </c>
      <c r="N130" s="36" t="s">
        <v>14</v>
      </c>
    </row>
    <row r="131" spans="2:15" ht="24.95" hidden="1" customHeight="1">
      <c r="B131" s="872">
        <v>1</v>
      </c>
      <c r="C131" s="873" t="s">
        <v>19</v>
      </c>
      <c r="D131" s="873" t="s">
        <v>97</v>
      </c>
      <c r="E131" s="873">
        <v>143839</v>
      </c>
      <c r="F131" s="874">
        <v>40126</v>
      </c>
      <c r="G131" s="874">
        <v>40130</v>
      </c>
      <c r="H131" s="17" t="s">
        <v>172</v>
      </c>
      <c r="I131" s="15">
        <v>1026681</v>
      </c>
      <c r="J131" s="16">
        <v>3</v>
      </c>
      <c r="K131" s="17" t="s">
        <v>32</v>
      </c>
      <c r="L131" s="16">
        <v>22</v>
      </c>
      <c r="M131" s="18" t="s">
        <v>43</v>
      </c>
      <c r="N131" s="19" t="s">
        <v>131</v>
      </c>
    </row>
    <row r="132" spans="2:15" ht="24.95" hidden="1" customHeight="1">
      <c r="B132" s="872"/>
      <c r="C132" s="873"/>
      <c r="D132" s="873"/>
      <c r="E132" s="873"/>
      <c r="F132" s="874"/>
      <c r="G132" s="874"/>
      <c r="H132" s="14" t="s">
        <v>173</v>
      </c>
      <c r="I132" s="15">
        <v>3374500140</v>
      </c>
      <c r="J132" s="16">
        <v>1</v>
      </c>
      <c r="K132" s="17" t="s">
        <v>33</v>
      </c>
      <c r="L132" s="16">
        <v>41</v>
      </c>
      <c r="M132" s="18" t="s">
        <v>58</v>
      </c>
      <c r="N132" s="19" t="s">
        <v>133</v>
      </c>
    </row>
    <row r="133" spans="2:15" ht="24.95" hidden="1" customHeight="1">
      <c r="B133" s="872"/>
      <c r="C133" s="873"/>
      <c r="D133" s="873"/>
      <c r="E133" s="873"/>
      <c r="F133" s="874"/>
      <c r="G133" s="874"/>
      <c r="H133" s="14" t="s">
        <v>174</v>
      </c>
      <c r="I133" s="15">
        <v>3374500130</v>
      </c>
      <c r="J133" s="16">
        <v>1</v>
      </c>
      <c r="K133" s="17" t="s">
        <v>38</v>
      </c>
      <c r="L133" s="16">
        <v>85</v>
      </c>
      <c r="M133" s="18"/>
      <c r="N133" s="19" t="s">
        <v>134</v>
      </c>
    </row>
    <row r="134" spans="2:15" ht="35.25" hidden="1" customHeight="1">
      <c r="B134" s="872"/>
      <c r="C134" s="873"/>
      <c r="D134" s="873"/>
      <c r="E134" s="873"/>
      <c r="F134" s="874"/>
      <c r="G134" s="874"/>
      <c r="H134" s="14" t="s">
        <v>175</v>
      </c>
      <c r="I134" s="15">
        <v>3423004920</v>
      </c>
      <c r="J134" s="16">
        <v>1</v>
      </c>
      <c r="K134" s="17" t="s">
        <v>34</v>
      </c>
      <c r="L134" s="16">
        <v>8</v>
      </c>
      <c r="M134" s="18"/>
      <c r="N134" s="19" t="s">
        <v>132</v>
      </c>
    </row>
    <row r="135" spans="2:15" ht="30.75" hidden="1" customHeight="1">
      <c r="B135" s="872"/>
      <c r="C135" s="873"/>
      <c r="D135" s="873"/>
      <c r="E135" s="873"/>
      <c r="F135" s="874"/>
      <c r="G135" s="874"/>
      <c r="H135" s="17" t="s">
        <v>176</v>
      </c>
      <c r="I135" s="15" t="s">
        <v>177</v>
      </c>
      <c r="J135" s="16">
        <v>1</v>
      </c>
      <c r="K135" s="17"/>
      <c r="L135" s="17"/>
      <c r="M135" s="18"/>
      <c r="N135" s="19" t="s">
        <v>168</v>
      </c>
    </row>
    <row r="136" spans="2:15" ht="24.95" hidden="1" customHeight="1">
      <c r="B136" s="872"/>
      <c r="C136" s="873"/>
      <c r="D136" s="873"/>
      <c r="E136" s="873"/>
      <c r="F136" s="874"/>
      <c r="G136" s="874"/>
      <c r="H136" s="17" t="s">
        <v>67</v>
      </c>
      <c r="I136" s="15" t="s">
        <v>66</v>
      </c>
      <c r="J136" s="16">
        <v>2</v>
      </c>
      <c r="K136" s="17"/>
      <c r="L136" s="16"/>
      <c r="M136" s="18"/>
      <c r="N136" s="19"/>
    </row>
    <row r="137" spans="2:15" ht="24.95" hidden="1" customHeight="1">
      <c r="B137" s="86"/>
      <c r="C137" s="12"/>
      <c r="D137" s="12"/>
      <c r="E137" s="18"/>
      <c r="F137" s="13"/>
      <c r="G137" s="13"/>
      <c r="H137" s="17" t="s">
        <v>129</v>
      </c>
      <c r="I137" s="15">
        <v>3454205200</v>
      </c>
      <c r="J137" s="16">
        <v>16</v>
      </c>
      <c r="K137" s="17"/>
      <c r="L137" s="17"/>
      <c r="M137" s="20"/>
      <c r="N137" s="19"/>
    </row>
    <row r="138" spans="2:15" ht="38.1" hidden="1" customHeight="1" thickBot="1">
      <c r="B138" s="868" t="s">
        <v>48</v>
      </c>
      <c r="C138" s="869"/>
      <c r="D138" s="869"/>
      <c r="E138" s="869"/>
      <c r="F138" s="869"/>
      <c r="G138" s="869"/>
      <c r="H138" s="869"/>
      <c r="I138" s="870">
        <f>0+L131*84.01+L132*84.01+L133*77.98+L134*109.25+107.83+459.69+2274.03+1020.48+703.48+652.68+29391.2</f>
        <v>47404.320000000007</v>
      </c>
      <c r="J138" s="870"/>
      <c r="K138" s="870"/>
      <c r="L138" s="870"/>
      <c r="M138" s="89"/>
      <c r="N138" s="81"/>
      <c r="O138" s="45"/>
    </row>
    <row r="139" spans="2:15" ht="24.95" hidden="1" customHeight="1" thickTop="1">
      <c r="B139" s="891" t="s">
        <v>15</v>
      </c>
      <c r="C139" s="891"/>
      <c r="D139" s="891"/>
      <c r="E139" s="891"/>
      <c r="F139" s="891"/>
      <c r="G139" s="891"/>
      <c r="H139" s="891"/>
      <c r="I139" s="891"/>
      <c r="J139" s="891"/>
      <c r="K139" s="891"/>
      <c r="L139" s="891"/>
      <c r="M139" s="891"/>
      <c r="N139" s="891"/>
    </row>
    <row r="140" spans="2:15" ht="24.95" hidden="1" customHeight="1">
      <c r="B140" s="890" t="s">
        <v>16</v>
      </c>
      <c r="C140" s="890"/>
      <c r="D140" s="890"/>
      <c r="E140" s="890"/>
      <c r="F140" s="890"/>
      <c r="G140" s="890"/>
      <c r="H140" s="890"/>
      <c r="I140" s="890"/>
      <c r="J140" s="890"/>
      <c r="K140" s="890"/>
      <c r="L140" s="890"/>
      <c r="M140" s="890"/>
      <c r="N140" s="890"/>
    </row>
    <row r="141" spans="2:15" ht="15.75" hidden="1" thickBot="1"/>
    <row r="142" spans="2:15" s="6" customFormat="1" ht="39.950000000000003" hidden="1" customHeight="1" thickTop="1">
      <c r="B142" s="33" t="s">
        <v>2</v>
      </c>
      <c r="C142" s="34" t="s">
        <v>3</v>
      </c>
      <c r="D142" s="35" t="s">
        <v>4</v>
      </c>
      <c r="E142" s="34" t="s">
        <v>5</v>
      </c>
      <c r="F142" s="34" t="s">
        <v>6</v>
      </c>
      <c r="G142" s="34" t="s">
        <v>7</v>
      </c>
      <c r="H142" s="35" t="s">
        <v>8</v>
      </c>
      <c r="I142" s="34" t="s">
        <v>9</v>
      </c>
      <c r="J142" s="34" t="s">
        <v>10</v>
      </c>
      <c r="K142" s="34" t="s">
        <v>11</v>
      </c>
      <c r="L142" s="34" t="s">
        <v>12</v>
      </c>
      <c r="M142" s="34" t="s">
        <v>13</v>
      </c>
      <c r="N142" s="36" t="s">
        <v>14</v>
      </c>
    </row>
    <row r="143" spans="2:15" ht="32.25" hidden="1" customHeight="1">
      <c r="B143" s="872">
        <v>1</v>
      </c>
      <c r="C143" s="873" t="s">
        <v>19</v>
      </c>
      <c r="D143" s="873" t="s">
        <v>127</v>
      </c>
      <c r="E143" s="873">
        <v>145431</v>
      </c>
      <c r="F143" s="874">
        <v>40127</v>
      </c>
      <c r="G143" s="874">
        <v>40130</v>
      </c>
      <c r="H143" s="14" t="s">
        <v>181</v>
      </c>
      <c r="I143" s="84" t="s">
        <v>183</v>
      </c>
      <c r="J143" s="16">
        <v>2</v>
      </c>
      <c r="K143" s="17" t="s">
        <v>32</v>
      </c>
      <c r="L143" s="16">
        <v>22</v>
      </c>
      <c r="M143" s="18"/>
      <c r="N143" s="80" t="s">
        <v>135</v>
      </c>
    </row>
    <row r="144" spans="2:15" ht="32.25" hidden="1" customHeight="1">
      <c r="B144" s="872"/>
      <c r="C144" s="873"/>
      <c r="D144" s="873"/>
      <c r="E144" s="873"/>
      <c r="F144" s="874"/>
      <c r="G144" s="874"/>
      <c r="H144" s="14" t="s">
        <v>178</v>
      </c>
      <c r="I144" s="84" t="s">
        <v>184</v>
      </c>
      <c r="J144" s="16">
        <v>2</v>
      </c>
      <c r="K144" s="17" t="s">
        <v>33</v>
      </c>
      <c r="L144" s="16">
        <v>41</v>
      </c>
      <c r="M144" s="18"/>
      <c r="N144" s="80" t="s">
        <v>136</v>
      </c>
    </row>
    <row r="145" spans="2:15" ht="32.25" hidden="1" customHeight="1">
      <c r="B145" s="872"/>
      <c r="C145" s="873"/>
      <c r="D145" s="873"/>
      <c r="E145" s="873"/>
      <c r="F145" s="874"/>
      <c r="G145" s="874"/>
      <c r="H145" s="14" t="s">
        <v>179</v>
      </c>
      <c r="I145" s="84" t="s">
        <v>184</v>
      </c>
      <c r="J145" s="16">
        <v>2</v>
      </c>
      <c r="K145" s="17" t="s">
        <v>38</v>
      </c>
      <c r="L145" s="16">
        <v>85</v>
      </c>
      <c r="M145" s="18"/>
      <c r="N145" s="80" t="s">
        <v>137</v>
      </c>
    </row>
    <row r="146" spans="2:15" ht="32.25" hidden="1" customHeight="1">
      <c r="B146" s="872"/>
      <c r="C146" s="873"/>
      <c r="D146" s="873"/>
      <c r="E146" s="873"/>
      <c r="F146" s="874"/>
      <c r="G146" s="874"/>
      <c r="H146" s="14" t="s">
        <v>180</v>
      </c>
      <c r="I146" s="84" t="s">
        <v>184</v>
      </c>
      <c r="J146" s="16">
        <v>2</v>
      </c>
      <c r="K146" s="17" t="s">
        <v>34</v>
      </c>
      <c r="L146" s="16">
        <v>8</v>
      </c>
      <c r="M146" s="18"/>
      <c r="N146" s="80" t="s">
        <v>47</v>
      </c>
    </row>
    <row r="147" spans="2:15" ht="45.75" hidden="1" customHeight="1">
      <c r="B147" s="872"/>
      <c r="C147" s="873"/>
      <c r="D147" s="873"/>
      <c r="E147" s="873"/>
      <c r="F147" s="874"/>
      <c r="G147" s="874"/>
      <c r="H147" s="14" t="s">
        <v>185</v>
      </c>
      <c r="I147" s="84" t="s">
        <v>186</v>
      </c>
      <c r="J147" s="16">
        <v>2</v>
      </c>
      <c r="K147" s="17"/>
      <c r="L147" s="16"/>
      <c r="M147" s="18"/>
      <c r="N147" s="19"/>
    </row>
    <row r="148" spans="2:15" ht="24.95" hidden="1" customHeight="1">
      <c r="B148" s="872"/>
      <c r="C148" s="873"/>
      <c r="D148" s="873"/>
      <c r="E148" s="873"/>
      <c r="F148" s="874"/>
      <c r="G148" s="874"/>
      <c r="H148" s="14" t="s">
        <v>175</v>
      </c>
      <c r="I148" s="15">
        <v>3423004920</v>
      </c>
      <c r="J148" s="16">
        <v>4</v>
      </c>
      <c r="K148" s="17"/>
      <c r="L148" s="16"/>
      <c r="M148" s="18"/>
      <c r="N148" s="19"/>
    </row>
    <row r="149" spans="2:15" ht="24.95" hidden="1" customHeight="1">
      <c r="B149" s="872"/>
      <c r="C149" s="873"/>
      <c r="D149" s="873"/>
      <c r="E149" s="873"/>
      <c r="F149" s="874"/>
      <c r="G149" s="874"/>
      <c r="H149" s="14" t="s">
        <v>187</v>
      </c>
      <c r="I149" s="15">
        <v>3423012030</v>
      </c>
      <c r="J149" s="16">
        <v>2</v>
      </c>
      <c r="K149" s="17"/>
      <c r="L149" s="16"/>
      <c r="M149" s="18"/>
      <c r="N149" s="19"/>
    </row>
    <row r="150" spans="2:15" ht="24.95" hidden="1" customHeight="1">
      <c r="B150" s="872"/>
      <c r="C150" s="873"/>
      <c r="D150" s="873"/>
      <c r="E150" s="873"/>
      <c r="F150" s="874"/>
      <c r="G150" s="874"/>
      <c r="H150" s="14" t="s">
        <v>188</v>
      </c>
      <c r="I150" s="15">
        <v>3423012040</v>
      </c>
      <c r="J150" s="16">
        <v>2</v>
      </c>
      <c r="K150" s="17"/>
      <c r="L150" s="16"/>
      <c r="M150" s="18"/>
      <c r="N150" s="19"/>
    </row>
    <row r="151" spans="2:15" ht="24.95" hidden="1" customHeight="1">
      <c r="B151" s="872"/>
      <c r="C151" s="873"/>
      <c r="D151" s="873"/>
      <c r="E151" s="873"/>
      <c r="F151" s="874"/>
      <c r="G151" s="874"/>
      <c r="H151" s="14" t="s">
        <v>189</v>
      </c>
      <c r="I151" s="15">
        <v>3840000030</v>
      </c>
      <c r="J151" s="16">
        <v>1</v>
      </c>
      <c r="K151" s="17"/>
      <c r="L151" s="16"/>
      <c r="M151" s="18"/>
      <c r="N151" s="19"/>
    </row>
    <row r="152" spans="2:15" ht="24.95" hidden="1" customHeight="1">
      <c r="B152" s="872"/>
      <c r="C152" s="873"/>
      <c r="D152" s="873"/>
      <c r="E152" s="873"/>
      <c r="F152" s="874"/>
      <c r="G152" s="874"/>
      <c r="H152" s="14" t="s">
        <v>190</v>
      </c>
      <c r="I152" s="15">
        <v>3781400100</v>
      </c>
      <c r="J152" s="16">
        <v>2</v>
      </c>
      <c r="K152" s="17"/>
      <c r="L152" s="16"/>
      <c r="M152" s="18"/>
      <c r="N152" s="19"/>
    </row>
    <row r="153" spans="2:15" ht="24.95" hidden="1" customHeight="1">
      <c r="B153" s="872"/>
      <c r="C153" s="873"/>
      <c r="D153" s="873"/>
      <c r="E153" s="873"/>
      <c r="F153" s="874"/>
      <c r="G153" s="874"/>
      <c r="H153" s="17" t="s">
        <v>191</v>
      </c>
      <c r="I153" s="17"/>
      <c r="J153" s="16">
        <v>1</v>
      </c>
      <c r="K153" s="17"/>
      <c r="L153" s="17"/>
      <c r="M153" s="20"/>
      <c r="N153" s="19"/>
    </row>
    <row r="154" spans="2:15" ht="24.95" hidden="1" customHeight="1">
      <c r="B154" s="872"/>
      <c r="C154" s="873"/>
      <c r="D154" s="873"/>
      <c r="E154" s="873"/>
      <c r="F154" s="874"/>
      <c r="G154" s="874"/>
      <c r="H154" s="17" t="s">
        <v>67</v>
      </c>
      <c r="I154" s="15" t="s">
        <v>66</v>
      </c>
      <c r="J154" s="16">
        <v>2</v>
      </c>
      <c r="K154" s="17"/>
      <c r="L154" s="17"/>
      <c r="M154" s="20"/>
      <c r="N154" s="19"/>
    </row>
    <row r="155" spans="2:15" ht="38.1" hidden="1" customHeight="1" thickBot="1">
      <c r="B155" s="868" t="s">
        <v>48</v>
      </c>
      <c r="C155" s="869"/>
      <c r="D155" s="869"/>
      <c r="E155" s="869"/>
      <c r="F155" s="869"/>
      <c r="G155" s="869"/>
      <c r="H155" s="869"/>
      <c r="I155" s="870">
        <f>L143*84.01+L144*84.01+L145*77.98+L146*109.25+107.86+6822.09+1020.48+1595.54+756.32+462.59+323.76+100+2800+2800+532.68+779.57+2813.92</f>
        <v>33709.74</v>
      </c>
      <c r="J155" s="870"/>
      <c r="K155" s="870"/>
      <c r="L155" s="870"/>
      <c r="M155" s="89"/>
      <c r="N155" s="81"/>
      <c r="O155" s="90"/>
    </row>
    <row r="156" spans="2:15" ht="24.95" hidden="1" customHeight="1" thickTop="1">
      <c r="B156" s="889" t="s">
        <v>128</v>
      </c>
      <c r="C156" s="889"/>
      <c r="D156" s="889"/>
      <c r="E156" s="889"/>
      <c r="F156" s="889"/>
      <c r="G156" s="889"/>
      <c r="H156" s="889"/>
      <c r="I156" s="889"/>
      <c r="J156" s="889"/>
      <c r="K156" s="889"/>
      <c r="L156" s="889"/>
      <c r="M156" s="889"/>
      <c r="N156" s="889"/>
    </row>
    <row r="157" spans="2:15" ht="15.75" hidden="1" thickBot="1"/>
    <row r="158" spans="2:15" s="6" customFormat="1" ht="39.950000000000003" hidden="1" customHeight="1" thickTop="1">
      <c r="B158" s="33" t="s">
        <v>2</v>
      </c>
      <c r="C158" s="34" t="s">
        <v>3</v>
      </c>
      <c r="D158" s="35" t="s">
        <v>4</v>
      </c>
      <c r="E158" s="34" t="s">
        <v>5</v>
      </c>
      <c r="F158" s="34" t="s">
        <v>6</v>
      </c>
      <c r="G158" s="34" t="s">
        <v>7</v>
      </c>
      <c r="H158" s="35" t="s">
        <v>8</v>
      </c>
      <c r="I158" s="34" t="s">
        <v>9</v>
      </c>
      <c r="J158" s="34" t="s">
        <v>10</v>
      </c>
      <c r="K158" s="34" t="s">
        <v>11</v>
      </c>
      <c r="L158" s="34" t="s">
        <v>12</v>
      </c>
      <c r="M158" s="34" t="s">
        <v>13</v>
      </c>
      <c r="N158" s="36" t="s">
        <v>14</v>
      </c>
    </row>
    <row r="159" spans="2:15" ht="24.95" hidden="1" customHeight="1">
      <c r="B159" s="872">
        <v>1</v>
      </c>
      <c r="C159" s="873" t="s">
        <v>50</v>
      </c>
      <c r="D159" s="873" t="s">
        <v>138</v>
      </c>
      <c r="E159" s="873" t="s">
        <v>139</v>
      </c>
      <c r="F159" s="874">
        <v>40127</v>
      </c>
      <c r="G159" s="874">
        <v>40128</v>
      </c>
      <c r="H159" s="17"/>
      <c r="I159" s="15"/>
      <c r="J159" s="16"/>
      <c r="K159" s="17" t="s">
        <v>32</v>
      </c>
      <c r="L159" s="16">
        <v>19</v>
      </c>
      <c r="M159" s="18" t="s">
        <v>143</v>
      </c>
      <c r="N159" s="80"/>
    </row>
    <row r="160" spans="2:15" ht="24.95" hidden="1" customHeight="1">
      <c r="B160" s="872"/>
      <c r="C160" s="873"/>
      <c r="D160" s="873"/>
      <c r="E160" s="873"/>
      <c r="F160" s="874"/>
      <c r="G160" s="874"/>
      <c r="H160" s="14"/>
      <c r="I160" s="15"/>
      <c r="J160" s="16"/>
      <c r="K160" s="17" t="s">
        <v>33</v>
      </c>
      <c r="L160" s="16">
        <v>30</v>
      </c>
      <c r="M160" s="18" t="s">
        <v>57</v>
      </c>
      <c r="N160" s="80"/>
    </row>
    <row r="161" spans="2:15" ht="24.95" hidden="1" customHeight="1">
      <c r="B161" s="86"/>
      <c r="C161" s="87"/>
      <c r="D161" s="87"/>
      <c r="E161" s="87"/>
      <c r="F161" s="88"/>
      <c r="G161" s="88"/>
      <c r="H161" s="14"/>
      <c r="I161" s="15"/>
      <c r="J161" s="16"/>
      <c r="K161" s="17"/>
      <c r="L161" s="16"/>
      <c r="M161" s="18"/>
      <c r="N161" s="80"/>
    </row>
    <row r="162" spans="2:15" ht="24.95" hidden="1" customHeight="1">
      <c r="B162" s="86"/>
      <c r="C162" s="87"/>
      <c r="D162" s="87"/>
      <c r="E162" s="87"/>
      <c r="F162" s="88"/>
      <c r="G162" s="88"/>
      <c r="H162" s="14"/>
      <c r="I162" s="15"/>
      <c r="J162" s="16"/>
      <c r="K162" s="17"/>
      <c r="L162" s="16"/>
      <c r="M162" s="18"/>
      <c r="N162" s="19"/>
    </row>
    <row r="163" spans="2:15" ht="24.95" hidden="1" customHeight="1">
      <c r="B163" s="86"/>
      <c r="C163" s="87"/>
      <c r="D163" s="87"/>
      <c r="E163" s="87"/>
      <c r="F163" s="88"/>
      <c r="G163" s="88"/>
      <c r="H163" s="14"/>
      <c r="I163" s="15"/>
      <c r="J163" s="16"/>
      <c r="K163" s="17"/>
      <c r="L163" s="16"/>
      <c r="M163" s="18"/>
      <c r="N163" s="19"/>
    </row>
    <row r="164" spans="2:15" ht="24.95" hidden="1" customHeight="1">
      <c r="B164" s="86"/>
      <c r="C164" s="87"/>
      <c r="D164" s="87"/>
      <c r="E164" s="87"/>
      <c r="F164" s="88"/>
      <c r="G164" s="88"/>
      <c r="H164" s="14"/>
      <c r="I164" s="15"/>
      <c r="J164" s="16"/>
      <c r="K164" s="17"/>
      <c r="L164" s="16"/>
      <c r="M164" s="18"/>
      <c r="N164" s="19"/>
    </row>
    <row r="165" spans="2:15" ht="24.95" hidden="1" customHeight="1">
      <c r="B165" s="86"/>
      <c r="C165" s="87"/>
      <c r="D165" s="87"/>
      <c r="E165" s="87"/>
      <c r="F165" s="88"/>
      <c r="G165" s="88"/>
      <c r="H165" s="14"/>
      <c r="I165" s="15"/>
      <c r="J165" s="16"/>
      <c r="K165" s="17"/>
      <c r="L165" s="16"/>
      <c r="M165" s="18"/>
      <c r="N165" s="19"/>
    </row>
    <row r="166" spans="2:15" ht="24.95" hidden="1" customHeight="1">
      <c r="B166" s="86"/>
      <c r="C166" s="12"/>
      <c r="D166" s="12"/>
      <c r="E166" s="18"/>
      <c r="F166" s="13"/>
      <c r="G166" s="13"/>
      <c r="H166" s="17"/>
      <c r="I166" s="17"/>
      <c r="J166" s="16"/>
      <c r="K166" s="17"/>
      <c r="L166" s="17"/>
      <c r="M166" s="20"/>
      <c r="N166" s="19"/>
    </row>
    <row r="167" spans="2:15" ht="38.1" hidden="1" customHeight="1" thickBot="1">
      <c r="B167" s="868" t="s">
        <v>48</v>
      </c>
      <c r="C167" s="869"/>
      <c r="D167" s="869"/>
      <c r="E167" s="869"/>
      <c r="F167" s="869"/>
      <c r="G167" s="869"/>
      <c r="H167" s="869"/>
      <c r="I167" s="870">
        <f>L159*84.01+L160*84.01+L161*77.98+L162*109.25</f>
        <v>4116.49</v>
      </c>
      <c r="J167" s="870"/>
      <c r="K167" s="870"/>
      <c r="L167" s="870"/>
      <c r="M167" s="89"/>
      <c r="N167" s="81"/>
      <c r="O167" s="90"/>
    </row>
    <row r="168" spans="2:15" ht="24.95" hidden="1" customHeight="1" thickTop="1">
      <c r="B168" s="871" t="s">
        <v>144</v>
      </c>
      <c r="C168" s="871"/>
      <c r="D168" s="871"/>
      <c r="E168" s="871"/>
      <c r="F168" s="871"/>
      <c r="G168" s="871"/>
      <c r="H168" s="871"/>
      <c r="I168" s="871"/>
      <c r="J168" s="871"/>
      <c r="K168" s="871"/>
      <c r="L168" s="871"/>
      <c r="M168" s="871"/>
      <c r="N168" s="871"/>
    </row>
    <row r="169" spans="2:15" ht="24.95" hidden="1" customHeight="1">
      <c r="B169" s="890" t="s">
        <v>16</v>
      </c>
      <c r="C169" s="890"/>
      <c r="D169" s="890"/>
      <c r="E169" s="890"/>
      <c r="F169" s="890"/>
      <c r="G169" s="890"/>
      <c r="H169" s="890"/>
      <c r="I169" s="890"/>
      <c r="J169" s="890"/>
      <c r="K169" s="890"/>
      <c r="L169" s="890"/>
      <c r="M169" s="890"/>
      <c r="N169" s="890"/>
    </row>
    <row r="170" spans="2:15" ht="15.75" hidden="1" thickBot="1"/>
    <row r="171" spans="2:15" s="6" customFormat="1" ht="39.950000000000003" hidden="1" customHeight="1" thickTop="1">
      <c r="B171" s="33" t="s">
        <v>2</v>
      </c>
      <c r="C171" s="34" t="s">
        <v>3</v>
      </c>
      <c r="D171" s="35" t="s">
        <v>4</v>
      </c>
      <c r="E171" s="34" t="s">
        <v>5</v>
      </c>
      <c r="F171" s="34" t="s">
        <v>6</v>
      </c>
      <c r="G171" s="34" t="s">
        <v>7</v>
      </c>
      <c r="H171" s="35" t="s">
        <v>8</v>
      </c>
      <c r="I171" s="34" t="s">
        <v>9</v>
      </c>
      <c r="J171" s="34" t="s">
        <v>10</v>
      </c>
      <c r="K171" s="34" t="s">
        <v>11</v>
      </c>
      <c r="L171" s="34" t="s">
        <v>12</v>
      </c>
      <c r="M171" s="34" t="s">
        <v>13</v>
      </c>
      <c r="N171" s="36" t="s">
        <v>14</v>
      </c>
    </row>
    <row r="172" spans="2:15" ht="24.95" hidden="1" customHeight="1">
      <c r="B172" s="872">
        <v>1</v>
      </c>
      <c r="C172" s="873" t="s">
        <v>50</v>
      </c>
      <c r="D172" s="873" t="s">
        <v>140</v>
      </c>
      <c r="E172" s="873" t="s">
        <v>141</v>
      </c>
      <c r="F172" s="874">
        <v>40128</v>
      </c>
      <c r="G172" s="874">
        <v>40129</v>
      </c>
      <c r="H172" s="17" t="s">
        <v>162</v>
      </c>
      <c r="I172" s="82" t="s">
        <v>163</v>
      </c>
      <c r="J172" s="16">
        <v>2</v>
      </c>
      <c r="K172" s="17" t="s">
        <v>32</v>
      </c>
      <c r="L172" s="16">
        <v>19</v>
      </c>
      <c r="M172" s="18" t="s">
        <v>56</v>
      </c>
      <c r="N172" s="80"/>
    </row>
    <row r="173" spans="2:15" ht="24.95" hidden="1" customHeight="1">
      <c r="B173" s="872"/>
      <c r="C173" s="873"/>
      <c r="D173" s="873"/>
      <c r="E173" s="873"/>
      <c r="F173" s="874"/>
      <c r="G173" s="874"/>
      <c r="H173" s="17" t="s">
        <v>164</v>
      </c>
      <c r="I173" s="82" t="s">
        <v>83</v>
      </c>
      <c r="J173" s="16">
        <v>2</v>
      </c>
      <c r="K173" s="17" t="s">
        <v>33</v>
      </c>
      <c r="L173" s="16">
        <v>32</v>
      </c>
      <c r="M173" s="18" t="s">
        <v>57</v>
      </c>
      <c r="N173" s="80"/>
    </row>
    <row r="174" spans="2:15" ht="24.95" hidden="1" customHeight="1">
      <c r="B174" s="872"/>
      <c r="C174" s="873"/>
      <c r="D174" s="873"/>
      <c r="E174" s="873"/>
      <c r="F174" s="874"/>
      <c r="G174" s="874"/>
      <c r="H174" s="14" t="s">
        <v>110</v>
      </c>
      <c r="I174" s="15" t="s">
        <v>111</v>
      </c>
      <c r="J174" s="16">
        <v>2</v>
      </c>
      <c r="K174" s="17"/>
      <c r="L174" s="16"/>
      <c r="M174" s="18"/>
      <c r="N174" s="80"/>
    </row>
    <row r="175" spans="2:15" ht="24.95" hidden="1" customHeight="1">
      <c r="B175" s="86"/>
      <c r="C175" s="87"/>
      <c r="D175" s="87"/>
      <c r="E175" s="87"/>
      <c r="F175" s="88"/>
      <c r="G175" s="88"/>
      <c r="H175" s="14"/>
      <c r="I175" s="15"/>
      <c r="J175" s="16"/>
      <c r="K175" s="17"/>
      <c r="L175" s="16"/>
      <c r="M175" s="18"/>
      <c r="N175" s="19"/>
    </row>
    <row r="176" spans="2:15" ht="24.95" hidden="1" customHeight="1">
      <c r="B176" s="86"/>
      <c r="C176" s="87"/>
      <c r="D176" s="87"/>
      <c r="E176" s="87"/>
      <c r="F176" s="88"/>
      <c r="G176" s="88"/>
      <c r="H176" s="14"/>
      <c r="I176" s="15"/>
      <c r="J176" s="16"/>
      <c r="K176" s="17"/>
      <c r="L176" s="16"/>
      <c r="M176" s="18"/>
      <c r="N176" s="19"/>
    </row>
    <row r="177" spans="2:15" ht="24.95" hidden="1" customHeight="1">
      <c r="B177" s="86"/>
      <c r="C177" s="87"/>
      <c r="D177" s="87"/>
      <c r="E177" s="87"/>
      <c r="F177" s="88"/>
      <c r="G177" s="88"/>
      <c r="H177" s="14"/>
      <c r="I177" s="15"/>
      <c r="J177" s="16"/>
      <c r="K177" s="17"/>
      <c r="L177" s="16"/>
      <c r="M177" s="18"/>
      <c r="N177" s="19"/>
    </row>
    <row r="178" spans="2:15" ht="24.95" hidden="1" customHeight="1">
      <c r="B178" s="86"/>
      <c r="C178" s="87"/>
      <c r="D178" s="87"/>
      <c r="E178" s="87"/>
      <c r="F178" s="88"/>
      <c r="G178" s="88"/>
      <c r="H178" s="14"/>
      <c r="I178" s="15"/>
      <c r="J178" s="16"/>
      <c r="K178" s="17"/>
      <c r="L178" s="16"/>
      <c r="M178" s="18"/>
      <c r="N178" s="19"/>
    </row>
    <row r="179" spans="2:15" ht="24.95" hidden="1" customHeight="1">
      <c r="B179" s="86"/>
      <c r="C179" s="12"/>
      <c r="D179" s="12"/>
      <c r="E179" s="18"/>
      <c r="F179" s="13"/>
      <c r="G179" s="13"/>
      <c r="H179" s="17"/>
      <c r="I179" s="17"/>
      <c r="J179" s="16"/>
      <c r="K179" s="17"/>
      <c r="L179" s="17"/>
      <c r="M179" s="20"/>
      <c r="N179" s="19"/>
    </row>
    <row r="180" spans="2:15" ht="38.1" hidden="1" customHeight="1" thickBot="1">
      <c r="B180" s="868" t="s">
        <v>48</v>
      </c>
      <c r="C180" s="869"/>
      <c r="D180" s="869"/>
      <c r="E180" s="869"/>
      <c r="F180" s="869"/>
      <c r="G180" s="869"/>
      <c r="H180" s="869"/>
      <c r="I180" s="870">
        <f>L172*84.01+L173*84.01+L174*77.98+L175*109.25+12833.04+12046.42+1520</f>
        <v>30683.97</v>
      </c>
      <c r="J180" s="870"/>
      <c r="K180" s="870"/>
      <c r="L180" s="870"/>
      <c r="M180" s="89"/>
      <c r="N180" s="81"/>
      <c r="O180" s="90"/>
    </row>
    <row r="181" spans="2:15" ht="24.95" hidden="1" customHeight="1" thickTop="1">
      <c r="B181" s="889" t="s">
        <v>128</v>
      </c>
      <c r="C181" s="889"/>
      <c r="D181" s="889"/>
      <c r="E181" s="889"/>
      <c r="F181" s="889"/>
      <c r="G181" s="889"/>
      <c r="H181" s="889"/>
      <c r="I181" s="889"/>
      <c r="J181" s="889"/>
      <c r="K181" s="889"/>
      <c r="L181" s="889"/>
      <c r="M181" s="889"/>
      <c r="N181" s="889"/>
    </row>
    <row r="182" spans="2:15" ht="24.95" hidden="1" customHeight="1">
      <c r="B182" s="890" t="s">
        <v>16</v>
      </c>
      <c r="C182" s="890"/>
      <c r="D182" s="890"/>
      <c r="E182" s="890"/>
      <c r="F182" s="890"/>
      <c r="G182" s="890"/>
      <c r="H182" s="890"/>
      <c r="I182" s="890"/>
      <c r="J182" s="890"/>
      <c r="K182" s="890"/>
      <c r="L182" s="890"/>
      <c r="M182" s="890"/>
      <c r="N182" s="890"/>
    </row>
    <row r="183" spans="2:15" ht="15.75" thickBot="1"/>
    <row r="184" spans="2:15" s="6" customFormat="1" ht="39.950000000000003" customHeight="1" thickTop="1">
      <c r="B184" s="33" t="s">
        <v>2</v>
      </c>
      <c r="C184" s="34" t="s">
        <v>3</v>
      </c>
      <c r="D184" s="35" t="s">
        <v>4</v>
      </c>
      <c r="E184" s="34" t="s">
        <v>5</v>
      </c>
      <c r="F184" s="34" t="s">
        <v>6</v>
      </c>
      <c r="G184" s="34" t="s">
        <v>7</v>
      </c>
      <c r="H184" s="35" t="s">
        <v>8</v>
      </c>
      <c r="I184" s="34" t="s">
        <v>9</v>
      </c>
      <c r="J184" s="34" t="s">
        <v>10</v>
      </c>
      <c r="K184" s="34" t="s">
        <v>11</v>
      </c>
      <c r="L184" s="34" t="s">
        <v>12</v>
      </c>
      <c r="M184" s="34" t="s">
        <v>13</v>
      </c>
      <c r="N184" s="36" t="s">
        <v>14</v>
      </c>
    </row>
    <row r="185" spans="2:15" ht="24.95" customHeight="1">
      <c r="B185" s="872">
        <v>1</v>
      </c>
      <c r="C185" s="873" t="s">
        <v>50</v>
      </c>
      <c r="D185" s="873" t="s">
        <v>95</v>
      </c>
      <c r="E185" s="873" t="s">
        <v>438</v>
      </c>
      <c r="F185" s="874">
        <v>40464</v>
      </c>
      <c r="G185" s="874">
        <v>40464</v>
      </c>
      <c r="H185" s="17"/>
      <c r="I185" s="82"/>
      <c r="J185" s="16"/>
      <c r="K185" s="17"/>
      <c r="L185" s="16"/>
      <c r="M185" s="18"/>
      <c r="N185" s="80"/>
    </row>
    <row r="186" spans="2:15" ht="24.95" customHeight="1">
      <c r="B186" s="872"/>
      <c r="C186" s="873"/>
      <c r="D186" s="873"/>
      <c r="E186" s="873"/>
      <c r="F186" s="874"/>
      <c r="G186" s="874"/>
      <c r="H186" s="14"/>
      <c r="I186" s="15"/>
      <c r="J186" s="16"/>
      <c r="K186" s="17"/>
      <c r="L186" s="16"/>
      <c r="M186" s="18"/>
      <c r="N186" s="80"/>
    </row>
    <row r="187" spans="2:15" ht="24.95" customHeight="1">
      <c r="B187" s="86">
        <v>2</v>
      </c>
      <c r="C187" s="195" t="s">
        <v>450</v>
      </c>
      <c r="D187" s="195" t="s">
        <v>451</v>
      </c>
      <c r="E187" s="195">
        <v>82580</v>
      </c>
      <c r="F187" s="88">
        <v>40462</v>
      </c>
      <c r="G187" s="88"/>
      <c r="H187" s="14"/>
      <c r="I187" s="15"/>
      <c r="J187" s="16"/>
      <c r="K187" s="17" t="s">
        <v>452</v>
      </c>
      <c r="L187" s="16">
        <v>17</v>
      </c>
      <c r="M187" s="18"/>
      <c r="N187" s="80" t="s">
        <v>453</v>
      </c>
    </row>
    <row r="188" spans="2:15" ht="24.95" customHeight="1">
      <c r="B188" s="86"/>
      <c r="C188" s="87"/>
      <c r="D188" s="87"/>
      <c r="E188" s="87"/>
      <c r="F188" s="88"/>
      <c r="G188" s="88"/>
      <c r="H188" s="14"/>
      <c r="I188" s="15"/>
      <c r="J188" s="16"/>
      <c r="K188" s="17" t="s">
        <v>437</v>
      </c>
      <c r="L188" s="16">
        <v>40</v>
      </c>
      <c r="M188" s="18"/>
      <c r="N188" s="19"/>
    </row>
    <row r="189" spans="2:15" ht="24.95" customHeight="1">
      <c r="B189" s="86"/>
      <c r="C189" s="87"/>
      <c r="D189" s="87"/>
      <c r="E189" s="87"/>
      <c r="F189" s="88"/>
      <c r="G189" s="88"/>
      <c r="H189" s="14"/>
      <c r="I189" s="15"/>
      <c r="J189" s="16"/>
      <c r="K189" s="17"/>
      <c r="L189" s="16"/>
      <c r="M189" s="18"/>
      <c r="N189" s="19"/>
    </row>
    <row r="190" spans="2:15" ht="24.95" customHeight="1">
      <c r="B190" s="86"/>
      <c r="C190" s="87"/>
      <c r="D190" s="87"/>
      <c r="E190" s="87"/>
      <c r="F190" s="88"/>
      <c r="G190" s="88"/>
      <c r="H190" s="14"/>
      <c r="I190" s="15"/>
      <c r="J190" s="16"/>
      <c r="K190" s="17"/>
      <c r="L190" s="16"/>
      <c r="M190" s="18"/>
      <c r="N190" s="19"/>
    </row>
    <row r="191" spans="2:15" ht="24.95" customHeight="1">
      <c r="B191" s="86"/>
      <c r="C191" s="87"/>
      <c r="D191" s="87"/>
      <c r="E191" s="87"/>
      <c r="F191" s="88"/>
      <c r="G191" s="88"/>
      <c r="H191" s="14"/>
      <c r="I191" s="15"/>
      <c r="J191" s="16"/>
      <c r="K191" s="17"/>
      <c r="L191" s="16"/>
      <c r="M191" s="18"/>
      <c r="N191" s="19"/>
    </row>
    <row r="192" spans="2:15" ht="24.95" customHeight="1">
      <c r="B192" s="86"/>
      <c r="C192" s="12"/>
      <c r="D192" s="12"/>
      <c r="E192" s="18"/>
      <c r="F192" s="13"/>
      <c r="G192" s="13"/>
      <c r="H192" s="17"/>
      <c r="I192" s="17"/>
      <c r="J192" s="16"/>
      <c r="K192" s="17"/>
      <c r="L192" s="17"/>
      <c r="M192" s="20"/>
      <c r="N192" s="19"/>
    </row>
    <row r="193" spans="2:15" ht="38.1" customHeight="1" thickBot="1">
      <c r="B193" s="868" t="s">
        <v>48</v>
      </c>
      <c r="C193" s="869"/>
      <c r="D193" s="869"/>
      <c r="E193" s="869"/>
      <c r="F193" s="869"/>
      <c r="G193" s="869"/>
      <c r="H193" s="869"/>
      <c r="I193" s="892">
        <v>0</v>
      </c>
      <c r="J193" s="892"/>
      <c r="K193" s="892"/>
      <c r="L193" s="892"/>
      <c r="M193" s="89"/>
      <c r="N193" s="81"/>
      <c r="O193" s="90"/>
    </row>
    <row r="194" spans="2:15" ht="24.95" customHeight="1" thickTop="1">
      <c r="B194" s="889" t="s">
        <v>439</v>
      </c>
      <c r="C194" s="889"/>
      <c r="D194" s="889"/>
      <c r="E194" s="889"/>
      <c r="F194" s="889"/>
      <c r="G194" s="889"/>
      <c r="H194" s="889"/>
      <c r="I194" s="889"/>
      <c r="J194" s="889"/>
      <c r="K194" s="889"/>
      <c r="L194" s="889"/>
      <c r="M194" s="889"/>
      <c r="N194" s="889"/>
    </row>
    <row r="195" spans="2:15" ht="24.95" customHeight="1">
      <c r="B195" s="890" t="s">
        <v>440</v>
      </c>
      <c r="C195" s="890"/>
      <c r="D195" s="890"/>
      <c r="E195" s="890"/>
      <c r="F195" s="890"/>
      <c r="G195" s="890"/>
      <c r="H195" s="890"/>
      <c r="I195" s="890"/>
      <c r="J195" s="890"/>
      <c r="K195" s="890"/>
      <c r="L195" s="890"/>
      <c r="M195" s="890"/>
      <c r="N195" s="890"/>
    </row>
    <row r="196" spans="2:15" ht="20.100000000000001" customHeight="1">
      <c r="B196" s="29" t="s">
        <v>192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</row>
    <row r="197" spans="2:15" ht="20.100000000000001" customHeight="1">
      <c r="B197" s="29" t="s">
        <v>18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</row>
  </sheetData>
  <mergeCells count="152">
    <mergeCell ref="B193:H193"/>
    <mergeCell ref="I193:L193"/>
    <mergeCell ref="B194:N194"/>
    <mergeCell ref="B195:N195"/>
    <mergeCell ref="B180:H180"/>
    <mergeCell ref="I180:L180"/>
    <mergeCell ref="B181:N181"/>
    <mergeCell ref="B182:N182"/>
    <mergeCell ref="B185:B186"/>
    <mergeCell ref="C185:C186"/>
    <mergeCell ref="D185:D186"/>
    <mergeCell ref="E185:E186"/>
    <mergeCell ref="F185:F186"/>
    <mergeCell ref="G185:G186"/>
    <mergeCell ref="B167:H167"/>
    <mergeCell ref="I167:L167"/>
    <mergeCell ref="B168:N168"/>
    <mergeCell ref="B169:N169"/>
    <mergeCell ref="B172:B174"/>
    <mergeCell ref="C172:C174"/>
    <mergeCell ref="D172:D174"/>
    <mergeCell ref="E172:E174"/>
    <mergeCell ref="F172:F174"/>
    <mergeCell ref="G172:G174"/>
    <mergeCell ref="B155:H155"/>
    <mergeCell ref="I155:L155"/>
    <mergeCell ref="B156:N156"/>
    <mergeCell ref="B159:B160"/>
    <mergeCell ref="C159:C160"/>
    <mergeCell ref="D159:D160"/>
    <mergeCell ref="E159:E160"/>
    <mergeCell ref="F159:F160"/>
    <mergeCell ref="G159:G160"/>
    <mergeCell ref="B138:H138"/>
    <mergeCell ref="I138:L138"/>
    <mergeCell ref="B139:N139"/>
    <mergeCell ref="B140:N140"/>
    <mergeCell ref="B143:B154"/>
    <mergeCell ref="C143:C154"/>
    <mergeCell ref="D143:D154"/>
    <mergeCell ref="E143:E154"/>
    <mergeCell ref="F143:F154"/>
    <mergeCell ref="G143:G154"/>
    <mergeCell ref="B127:H127"/>
    <mergeCell ref="I127:L127"/>
    <mergeCell ref="B128:N128"/>
    <mergeCell ref="B131:B136"/>
    <mergeCell ref="C131:C136"/>
    <mergeCell ref="D131:D136"/>
    <mergeCell ref="E131:E136"/>
    <mergeCell ref="F131:F136"/>
    <mergeCell ref="G131:G136"/>
    <mergeCell ref="B114:H114"/>
    <mergeCell ref="I114:L114"/>
    <mergeCell ref="B115:N115"/>
    <mergeCell ref="B116:N116"/>
    <mergeCell ref="B119:B125"/>
    <mergeCell ref="C119:C125"/>
    <mergeCell ref="D119:D125"/>
    <mergeCell ref="E119:E125"/>
    <mergeCell ref="F119:F125"/>
    <mergeCell ref="G119:G125"/>
    <mergeCell ref="B109:B112"/>
    <mergeCell ref="C109:C112"/>
    <mergeCell ref="D109:D112"/>
    <mergeCell ref="E109:E112"/>
    <mergeCell ref="F109:F112"/>
    <mergeCell ref="G109:G112"/>
    <mergeCell ref="B105:H105"/>
    <mergeCell ref="B86:H86"/>
    <mergeCell ref="B71:H71"/>
    <mergeCell ref="I105:L105"/>
    <mergeCell ref="B106:N106"/>
    <mergeCell ref="B102:B103"/>
    <mergeCell ref="C102:C103"/>
    <mergeCell ref="D102:D103"/>
    <mergeCell ref="E102:E103"/>
    <mergeCell ref="F102:F103"/>
    <mergeCell ref="G102:G103"/>
    <mergeCell ref="C90:C96"/>
    <mergeCell ref="D90:D96"/>
    <mergeCell ref="E90:E96"/>
    <mergeCell ref="F90:F96"/>
    <mergeCell ref="G90:G96"/>
    <mergeCell ref="B99:N99"/>
    <mergeCell ref="B98:H98"/>
    <mergeCell ref="I98:L98"/>
    <mergeCell ref="B90:B96"/>
    <mergeCell ref="I86:L86"/>
    <mergeCell ref="B87:N87"/>
    <mergeCell ref="B79:H79"/>
    <mergeCell ref="I79:L79"/>
    <mergeCell ref="B80:N80"/>
    <mergeCell ref="B83:B84"/>
    <mergeCell ref="C83:C84"/>
    <mergeCell ref="D83:D84"/>
    <mergeCell ref="E83:E84"/>
    <mergeCell ref="F83:F84"/>
    <mergeCell ref="G83:G84"/>
    <mergeCell ref="I71:L71"/>
    <mergeCell ref="B72:N72"/>
    <mergeCell ref="B75:B77"/>
    <mergeCell ref="C75:C77"/>
    <mergeCell ref="D75:D77"/>
    <mergeCell ref="E75:E77"/>
    <mergeCell ref="F75:F77"/>
    <mergeCell ref="G75:G77"/>
    <mergeCell ref="G64:G66"/>
    <mergeCell ref="B64:B66"/>
    <mergeCell ref="C64:C66"/>
    <mergeCell ref="D64:D66"/>
    <mergeCell ref="E64:E66"/>
    <mergeCell ref="F64:F66"/>
    <mergeCell ref="B61:N61"/>
    <mergeCell ref="G39:G40"/>
    <mergeCell ref="G24:G33"/>
    <mergeCell ref="B1:N1"/>
    <mergeCell ref="B2:N2"/>
    <mergeCell ref="B3:L3"/>
    <mergeCell ref="B24:B33"/>
    <mergeCell ref="C24:C33"/>
    <mergeCell ref="D24:D33"/>
    <mergeCell ref="E24:E33"/>
    <mergeCell ref="F24:F33"/>
    <mergeCell ref="G5:G7"/>
    <mergeCell ref="B21:N21"/>
    <mergeCell ref="B10:H10"/>
    <mergeCell ref="I10:L10"/>
    <mergeCell ref="B11:M11"/>
    <mergeCell ref="B14:B17"/>
    <mergeCell ref="C14:C17"/>
    <mergeCell ref="I19:L19"/>
    <mergeCell ref="B5:B7"/>
    <mergeCell ref="B39:B40"/>
    <mergeCell ref="C39:C40"/>
    <mergeCell ref="D39:D40"/>
    <mergeCell ref="E39:E40"/>
    <mergeCell ref="C5:C7"/>
    <mergeCell ref="D5:D7"/>
    <mergeCell ref="E5:E7"/>
    <mergeCell ref="F5:F7"/>
    <mergeCell ref="D14:D17"/>
    <mergeCell ref="E14:E17"/>
    <mergeCell ref="I35:L35"/>
    <mergeCell ref="B36:N36"/>
    <mergeCell ref="B60:H60"/>
    <mergeCell ref="I60:L60"/>
    <mergeCell ref="F39:F40"/>
    <mergeCell ref="F14:F17"/>
    <mergeCell ref="G14:G17"/>
    <mergeCell ref="B19:H19"/>
    <mergeCell ref="B35:H35"/>
  </mergeCells>
  <pageMargins left="0.19" right="0.15" top="0.21" bottom="0.28000000000000003" header="0.3" footer="0.3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B1:O103"/>
  <sheetViews>
    <sheetView view="pageBreakPreview" zoomScale="60" workbookViewId="0">
      <pane xSplit="3" ySplit="3" topLeftCell="D91" activePane="bottomRight" state="frozen"/>
      <selection activeCell="B18" sqref="B18"/>
      <selection pane="topRight" activeCell="B18" sqref="B18"/>
      <selection pane="bottomLeft" activeCell="B18" sqref="B18"/>
      <selection pane="bottomRight" activeCell="B13" sqref="B13:B20"/>
    </sheetView>
  </sheetViews>
  <sheetFormatPr defaultRowHeight="15"/>
  <cols>
    <col min="1" max="1" width="2.85546875" customWidth="1"/>
    <col min="2" max="2" width="8.7109375" customWidth="1"/>
    <col min="3" max="3" width="13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5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3.85546875" customWidth="1"/>
    <col min="14" max="14" width="42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7" customHeight="1">
      <c r="B2" s="861" t="s">
        <v>118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5" ht="9" customHeight="1" thickBo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</row>
    <row r="4" spans="2:15" s="6" customFormat="1" ht="39.950000000000003" customHeight="1" thickTop="1">
      <c r="B4" s="71" t="s">
        <v>2</v>
      </c>
      <c r="C4" s="72" t="s">
        <v>3</v>
      </c>
      <c r="D4" s="73" t="s">
        <v>4</v>
      </c>
      <c r="E4" s="72" t="s">
        <v>5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63">
        <v>1</v>
      </c>
      <c r="C5" s="864" t="s">
        <v>166</v>
      </c>
      <c r="D5" s="864" t="s">
        <v>167</v>
      </c>
      <c r="E5" s="864">
        <v>201815</v>
      </c>
      <c r="F5" s="865">
        <v>40129</v>
      </c>
      <c r="G5" s="865">
        <v>40132</v>
      </c>
      <c r="H5" s="17" t="s">
        <v>203</v>
      </c>
      <c r="I5" s="15" t="s">
        <v>204</v>
      </c>
      <c r="J5" s="16">
        <v>1</v>
      </c>
      <c r="K5" s="17" t="s">
        <v>32</v>
      </c>
      <c r="L5" s="16">
        <v>15</v>
      </c>
      <c r="M5" s="18" t="s">
        <v>56</v>
      </c>
      <c r="N5" s="14" t="s">
        <v>210</v>
      </c>
    </row>
    <row r="6" spans="2:15" ht="24.95" customHeight="1">
      <c r="B6" s="852"/>
      <c r="C6" s="855"/>
      <c r="D6" s="855"/>
      <c r="E6" s="855"/>
      <c r="F6" s="839"/>
      <c r="G6" s="839"/>
      <c r="H6" s="14" t="s">
        <v>205</v>
      </c>
      <c r="I6" s="15" t="s">
        <v>206</v>
      </c>
      <c r="J6" s="16">
        <v>2</v>
      </c>
      <c r="K6" s="17" t="s">
        <v>33</v>
      </c>
      <c r="L6" s="16">
        <v>40</v>
      </c>
      <c r="M6" s="18" t="s">
        <v>57</v>
      </c>
      <c r="N6" s="14"/>
    </row>
    <row r="7" spans="2:15" ht="24.95" customHeight="1">
      <c r="B7" s="852"/>
      <c r="C7" s="855"/>
      <c r="D7" s="855"/>
      <c r="E7" s="855"/>
      <c r="F7" s="839"/>
      <c r="G7" s="839"/>
      <c r="H7" s="14" t="s">
        <v>207</v>
      </c>
      <c r="I7" s="15" t="s">
        <v>208</v>
      </c>
      <c r="J7" s="16">
        <v>3</v>
      </c>
      <c r="K7" s="17" t="s">
        <v>34</v>
      </c>
      <c r="L7" s="16">
        <v>8</v>
      </c>
      <c r="M7" s="18"/>
      <c r="N7" s="14"/>
    </row>
    <row r="8" spans="2:15" ht="24.95" customHeight="1">
      <c r="B8" s="858"/>
      <c r="C8" s="859"/>
      <c r="D8" s="859"/>
      <c r="E8" s="859"/>
      <c r="F8" s="840"/>
      <c r="G8" s="840"/>
      <c r="H8" s="14" t="s">
        <v>209</v>
      </c>
      <c r="I8" s="15"/>
      <c r="J8" s="16">
        <v>2</v>
      </c>
      <c r="K8" s="17"/>
      <c r="L8" s="16"/>
      <c r="M8" s="18"/>
      <c r="N8" s="19"/>
    </row>
    <row r="9" spans="2:15" ht="24.95" customHeight="1">
      <c r="B9" s="105"/>
      <c r="C9" s="12"/>
      <c r="D9" s="12"/>
      <c r="E9" s="18"/>
      <c r="F9" s="13"/>
      <c r="G9" s="13"/>
      <c r="H9" s="17"/>
      <c r="I9" s="62"/>
      <c r="J9" s="64"/>
      <c r="K9" s="62"/>
      <c r="L9" s="62"/>
      <c r="M9" s="95"/>
      <c r="N9" s="53"/>
    </row>
    <row r="10" spans="2:15" ht="38.1" customHeight="1" thickBot="1">
      <c r="B10" s="843" t="s">
        <v>48</v>
      </c>
      <c r="C10" s="844"/>
      <c r="D10" s="844"/>
      <c r="E10" s="844"/>
      <c r="F10" s="844"/>
      <c r="G10" s="844"/>
      <c r="H10" s="844"/>
      <c r="I10" s="870">
        <f>L5*84.01+L6*84.01+L7*109.25</f>
        <v>5494.55</v>
      </c>
      <c r="J10" s="870"/>
      <c r="K10" s="870"/>
      <c r="L10" s="870"/>
      <c r="M10" s="89"/>
      <c r="N10" s="81"/>
      <c r="O10" s="45"/>
    </row>
    <row r="11" spans="2:15" ht="11.25" customHeight="1" thickTop="1" thickBot="1">
      <c r="B11" s="109"/>
      <c r="C11" s="109"/>
      <c r="D11" s="109"/>
      <c r="E11" s="109"/>
      <c r="F11" s="109"/>
      <c r="G11" s="109"/>
      <c r="H11" s="109"/>
      <c r="I11" s="102"/>
      <c r="J11" s="102"/>
      <c r="K11" s="102"/>
      <c r="L11" s="102"/>
      <c r="M11" s="110"/>
      <c r="N11" s="111"/>
      <c r="O11" s="90"/>
    </row>
    <row r="12" spans="2:15" s="6" customFormat="1" ht="39.950000000000003" customHeight="1" thickTop="1">
      <c r="B12" s="71" t="s">
        <v>2</v>
      </c>
      <c r="C12" s="72" t="s">
        <v>3</v>
      </c>
      <c r="D12" s="73" t="s">
        <v>4</v>
      </c>
      <c r="E12" s="72" t="s">
        <v>5</v>
      </c>
      <c r="F12" s="72" t="s">
        <v>6</v>
      </c>
      <c r="G12" s="72" t="s">
        <v>7</v>
      </c>
      <c r="H12" s="73" t="s">
        <v>8</v>
      </c>
      <c r="I12" s="72" t="s">
        <v>9</v>
      </c>
      <c r="J12" s="72" t="s">
        <v>10</v>
      </c>
      <c r="K12" s="72" t="s">
        <v>11</v>
      </c>
      <c r="L12" s="72" t="s">
        <v>12</v>
      </c>
      <c r="M12" s="72" t="s">
        <v>13</v>
      </c>
      <c r="N12" s="74" t="s">
        <v>14</v>
      </c>
    </row>
    <row r="13" spans="2:15" ht="35.25" customHeight="1">
      <c r="B13" s="863">
        <v>1</v>
      </c>
      <c r="C13" s="864" t="s">
        <v>19</v>
      </c>
      <c r="D13" s="864" t="s">
        <v>182</v>
      </c>
      <c r="E13" s="864">
        <v>135993</v>
      </c>
      <c r="F13" s="865">
        <v>40128</v>
      </c>
      <c r="G13" s="865">
        <v>40133</v>
      </c>
      <c r="H13" s="17" t="s">
        <v>130</v>
      </c>
      <c r="I13" s="84" t="s">
        <v>211</v>
      </c>
      <c r="J13" s="16">
        <v>8</v>
      </c>
      <c r="K13" s="17" t="s">
        <v>32</v>
      </c>
      <c r="L13" s="16">
        <v>22</v>
      </c>
      <c r="M13" s="18" t="s">
        <v>56</v>
      </c>
      <c r="N13" s="80" t="s">
        <v>213</v>
      </c>
    </row>
    <row r="14" spans="2:15" ht="24.95" customHeight="1">
      <c r="B14" s="852"/>
      <c r="C14" s="855"/>
      <c r="D14" s="855"/>
      <c r="E14" s="855"/>
      <c r="F14" s="839"/>
      <c r="G14" s="839"/>
      <c r="H14" s="17" t="s">
        <v>129</v>
      </c>
      <c r="I14" s="82">
        <v>3454205200</v>
      </c>
      <c r="J14" s="16">
        <v>16</v>
      </c>
      <c r="K14" s="17" t="s">
        <v>33</v>
      </c>
      <c r="L14" s="16">
        <v>41</v>
      </c>
      <c r="M14" s="18" t="s">
        <v>57</v>
      </c>
      <c r="N14" s="80" t="s">
        <v>40</v>
      </c>
    </row>
    <row r="15" spans="2:15" ht="24.95" customHeight="1">
      <c r="B15" s="852"/>
      <c r="C15" s="855"/>
      <c r="D15" s="855"/>
      <c r="E15" s="855"/>
      <c r="F15" s="839"/>
      <c r="G15" s="839"/>
      <c r="H15" s="14" t="s">
        <v>40</v>
      </c>
      <c r="I15" s="15">
        <v>1034330</v>
      </c>
      <c r="J15" s="16">
        <v>1</v>
      </c>
      <c r="K15" s="17" t="s">
        <v>38</v>
      </c>
      <c r="L15" s="16">
        <v>90</v>
      </c>
      <c r="M15" s="18"/>
      <c r="N15" s="80"/>
    </row>
    <row r="16" spans="2:15" ht="24.95" customHeight="1">
      <c r="B16" s="852"/>
      <c r="C16" s="855"/>
      <c r="D16" s="855"/>
      <c r="E16" s="855"/>
      <c r="F16" s="839"/>
      <c r="G16" s="839"/>
      <c r="H16" s="14" t="s">
        <v>187</v>
      </c>
      <c r="I16" s="15">
        <v>3423012030</v>
      </c>
      <c r="J16" s="16">
        <v>1</v>
      </c>
      <c r="K16" s="17" t="s">
        <v>34</v>
      </c>
      <c r="L16" s="16">
        <v>8</v>
      </c>
      <c r="M16" s="18"/>
      <c r="N16" s="19"/>
    </row>
    <row r="17" spans="2:15" ht="24.95" customHeight="1">
      <c r="B17" s="852"/>
      <c r="C17" s="855"/>
      <c r="D17" s="855"/>
      <c r="E17" s="855"/>
      <c r="F17" s="839"/>
      <c r="G17" s="839"/>
      <c r="H17" s="14" t="s">
        <v>188</v>
      </c>
      <c r="I17" s="15">
        <v>3423012040</v>
      </c>
      <c r="J17" s="16">
        <v>1</v>
      </c>
      <c r="K17" s="17"/>
      <c r="L17" s="16"/>
      <c r="M17" s="18"/>
      <c r="N17" s="19"/>
    </row>
    <row r="18" spans="2:15" ht="24.95" customHeight="1">
      <c r="B18" s="852"/>
      <c r="C18" s="855"/>
      <c r="D18" s="855"/>
      <c r="E18" s="855"/>
      <c r="F18" s="839"/>
      <c r="G18" s="839"/>
      <c r="H18" s="14" t="s">
        <v>212</v>
      </c>
      <c r="I18" s="15">
        <v>3424001750</v>
      </c>
      <c r="J18" s="16">
        <v>2</v>
      </c>
      <c r="K18" s="17"/>
      <c r="L18" s="16"/>
      <c r="M18" s="18"/>
      <c r="N18" s="19"/>
    </row>
    <row r="19" spans="2:15" ht="24.95" customHeight="1">
      <c r="B19" s="852"/>
      <c r="C19" s="855"/>
      <c r="D19" s="855"/>
      <c r="E19" s="855"/>
      <c r="F19" s="839"/>
      <c r="G19" s="839"/>
      <c r="H19" s="14" t="s">
        <v>191</v>
      </c>
      <c r="I19" s="15"/>
      <c r="J19" s="16">
        <v>1</v>
      </c>
      <c r="K19" s="17"/>
      <c r="L19" s="16"/>
      <c r="M19" s="18"/>
      <c r="N19" s="19"/>
    </row>
    <row r="20" spans="2:15" ht="24.95" customHeight="1">
      <c r="B20" s="858"/>
      <c r="C20" s="859"/>
      <c r="D20" s="859"/>
      <c r="E20" s="859"/>
      <c r="F20" s="840"/>
      <c r="G20" s="840"/>
      <c r="H20" s="17" t="s">
        <v>175</v>
      </c>
      <c r="I20" s="15">
        <v>3423004920</v>
      </c>
      <c r="J20" s="16">
        <v>1</v>
      </c>
      <c r="K20" s="17"/>
      <c r="L20" s="17"/>
      <c r="M20" s="20"/>
      <c r="N20" s="19"/>
    </row>
    <row r="21" spans="2:15" ht="38.1" customHeight="1" thickBot="1">
      <c r="B21" s="843" t="s">
        <v>48</v>
      </c>
      <c r="C21" s="844"/>
      <c r="D21" s="844"/>
      <c r="E21" s="844"/>
      <c r="F21" s="844"/>
      <c r="G21" s="844"/>
      <c r="H21" s="844"/>
      <c r="I21" s="845">
        <f>L13*84.01+L14*84.01+L15*77.98+L16*109.25+3086.24+3540+29391.12+731.25+1079.06+1079.06+8000+100+703.49</f>
        <v>60895.049999999996</v>
      </c>
      <c r="J21" s="846"/>
      <c r="K21" s="846"/>
      <c r="L21" s="893"/>
      <c r="M21" s="96"/>
      <c r="N21" s="83"/>
      <c r="O21" s="45"/>
    </row>
    <row r="22" spans="2:15" ht="9.75" customHeight="1" thickTop="1" thickBot="1">
      <c r="B22" s="112"/>
      <c r="C22" s="112"/>
      <c r="D22" s="112"/>
      <c r="E22" s="112"/>
      <c r="F22" s="112"/>
      <c r="G22" s="112"/>
      <c r="H22" s="112"/>
      <c r="I22" s="108"/>
      <c r="J22" s="108"/>
      <c r="K22" s="108"/>
      <c r="L22" s="108"/>
      <c r="M22" s="113"/>
      <c r="N22" s="114"/>
      <c r="O22" s="90"/>
    </row>
    <row r="23" spans="2:15" s="6" customFormat="1" ht="39.950000000000003" customHeight="1" thickTop="1">
      <c r="B23" s="71" t="s">
        <v>2</v>
      </c>
      <c r="C23" s="72" t="s">
        <v>3</v>
      </c>
      <c r="D23" s="73" t="s">
        <v>4</v>
      </c>
      <c r="E23" s="72" t="s">
        <v>5</v>
      </c>
      <c r="F23" s="72" t="s">
        <v>6</v>
      </c>
      <c r="G23" s="72" t="s">
        <v>7</v>
      </c>
      <c r="H23" s="73" t="s">
        <v>8</v>
      </c>
      <c r="I23" s="72" t="s">
        <v>9</v>
      </c>
      <c r="J23" s="72" t="s">
        <v>10</v>
      </c>
      <c r="K23" s="72" t="s">
        <v>11</v>
      </c>
      <c r="L23" s="72" t="s">
        <v>12</v>
      </c>
      <c r="M23" s="72" t="s">
        <v>13</v>
      </c>
      <c r="N23" s="74" t="s">
        <v>14</v>
      </c>
    </row>
    <row r="24" spans="2:15" ht="24.95" customHeight="1">
      <c r="B24" s="863">
        <v>1</v>
      </c>
      <c r="C24" s="864" t="s">
        <v>19</v>
      </c>
      <c r="D24" s="864" t="s">
        <v>169</v>
      </c>
      <c r="E24" s="864">
        <v>127406</v>
      </c>
      <c r="F24" s="865">
        <v>40130</v>
      </c>
      <c r="G24" s="865">
        <v>40131</v>
      </c>
      <c r="H24" s="17" t="s">
        <v>194</v>
      </c>
      <c r="I24" s="15">
        <v>3840000030</v>
      </c>
      <c r="J24" s="16">
        <v>1</v>
      </c>
      <c r="K24" s="17" t="s">
        <v>32</v>
      </c>
      <c r="L24" s="16">
        <v>22</v>
      </c>
      <c r="M24" s="18"/>
      <c r="N24" s="14" t="s">
        <v>47</v>
      </c>
    </row>
    <row r="25" spans="2:15" ht="24.95" customHeight="1">
      <c r="B25" s="852"/>
      <c r="C25" s="855"/>
      <c r="D25" s="855"/>
      <c r="E25" s="855"/>
      <c r="F25" s="839"/>
      <c r="G25" s="839"/>
      <c r="H25" s="14" t="s">
        <v>195</v>
      </c>
      <c r="I25" s="15">
        <v>3424001750</v>
      </c>
      <c r="J25" s="16">
        <v>1</v>
      </c>
      <c r="K25" s="17" t="s">
        <v>33</v>
      </c>
      <c r="L25" s="16">
        <v>41</v>
      </c>
      <c r="M25" s="18"/>
      <c r="N25" s="14"/>
    </row>
    <row r="26" spans="2:15" ht="24.95" customHeight="1">
      <c r="B26" s="852"/>
      <c r="C26" s="855"/>
      <c r="D26" s="855"/>
      <c r="E26" s="855"/>
      <c r="F26" s="839"/>
      <c r="G26" s="839"/>
      <c r="H26" s="14"/>
      <c r="I26" s="15"/>
      <c r="J26" s="16"/>
      <c r="K26" s="17" t="s">
        <v>38</v>
      </c>
      <c r="L26" s="16">
        <v>85</v>
      </c>
      <c r="M26" s="18"/>
      <c r="N26" s="14"/>
    </row>
    <row r="27" spans="2:15" ht="24.95" customHeight="1">
      <c r="B27" s="858"/>
      <c r="C27" s="859"/>
      <c r="D27" s="859"/>
      <c r="E27" s="859"/>
      <c r="F27" s="840"/>
      <c r="G27" s="840"/>
      <c r="H27" s="14"/>
      <c r="I27" s="15"/>
      <c r="J27" s="16"/>
      <c r="K27" s="17" t="s">
        <v>34</v>
      </c>
      <c r="L27" s="16">
        <v>8</v>
      </c>
      <c r="M27" s="18"/>
      <c r="N27" s="19"/>
    </row>
    <row r="28" spans="2:15" ht="24.95" hidden="1" customHeight="1">
      <c r="B28" s="103"/>
      <c r="C28" s="104"/>
      <c r="D28" s="104"/>
      <c r="E28" s="104"/>
      <c r="F28" s="101"/>
      <c r="G28" s="101"/>
      <c r="H28" s="14"/>
      <c r="I28" s="15"/>
      <c r="J28" s="16"/>
      <c r="K28" s="17"/>
      <c r="L28" s="16"/>
      <c r="M28" s="18"/>
      <c r="N28" s="19"/>
    </row>
    <row r="29" spans="2:15" ht="24.95" hidden="1" customHeight="1">
      <c r="B29" s="103"/>
      <c r="C29" s="104"/>
      <c r="D29" s="104"/>
      <c r="E29" s="104"/>
      <c r="F29" s="101"/>
      <c r="G29" s="101"/>
      <c r="H29" s="14"/>
      <c r="I29" s="15"/>
      <c r="J29" s="16"/>
      <c r="K29" s="17"/>
      <c r="L29" s="16"/>
      <c r="M29" s="18"/>
      <c r="N29" s="19"/>
    </row>
    <row r="30" spans="2:15" ht="24.95" hidden="1" customHeight="1">
      <c r="B30" s="103"/>
      <c r="C30" s="104"/>
      <c r="D30" s="104"/>
      <c r="E30" s="104"/>
      <c r="F30" s="101"/>
      <c r="G30" s="101"/>
      <c r="H30" s="14"/>
      <c r="I30" s="15"/>
      <c r="J30" s="16"/>
      <c r="K30" s="17"/>
      <c r="L30" s="16"/>
      <c r="M30" s="18"/>
      <c r="N30" s="19"/>
    </row>
    <row r="31" spans="2:15" ht="24.95" customHeight="1">
      <c r="B31" s="105"/>
      <c r="C31" s="12"/>
      <c r="D31" s="12"/>
      <c r="E31" s="18"/>
      <c r="F31" s="13"/>
      <c r="G31" s="13"/>
      <c r="H31" s="17"/>
      <c r="I31" s="17"/>
      <c r="J31" s="16"/>
      <c r="K31" s="17"/>
      <c r="L31" s="17"/>
      <c r="M31" s="20"/>
      <c r="N31" s="19"/>
    </row>
    <row r="32" spans="2:15" ht="38.1" customHeight="1" thickBot="1">
      <c r="B32" s="843" t="s">
        <v>48</v>
      </c>
      <c r="C32" s="844"/>
      <c r="D32" s="844"/>
      <c r="E32" s="844"/>
      <c r="F32" s="844"/>
      <c r="G32" s="844"/>
      <c r="H32" s="844"/>
      <c r="I32" s="845">
        <f>L24*84.01+L25*84.01+L26*77.98+L27*109.25+462.59+4000</f>
        <v>17257.52</v>
      </c>
      <c r="J32" s="846"/>
      <c r="K32" s="846"/>
      <c r="L32" s="893"/>
      <c r="M32" s="89"/>
      <c r="N32" s="75"/>
      <c r="O32" s="45"/>
    </row>
    <row r="33" spans="2:15" ht="20.100000000000001" customHeight="1" thickTop="1">
      <c r="B33" s="29" t="s">
        <v>192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2:15" ht="20.100000000000001" customHeight="1">
      <c r="B34" s="29" t="s">
        <v>18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2:15" ht="15.75" thickBot="1"/>
    <row r="36" spans="2:15" s="6" customFormat="1" ht="39.950000000000003" customHeight="1" thickTop="1">
      <c r="B36" s="71" t="s">
        <v>2</v>
      </c>
      <c r="C36" s="72" t="s">
        <v>3</v>
      </c>
      <c r="D36" s="73" t="s">
        <v>4</v>
      </c>
      <c r="E36" s="72" t="s">
        <v>5</v>
      </c>
      <c r="F36" s="72" t="s">
        <v>6</v>
      </c>
      <c r="G36" s="72" t="s">
        <v>7</v>
      </c>
      <c r="H36" s="73" t="s">
        <v>8</v>
      </c>
      <c r="I36" s="72" t="s">
        <v>9</v>
      </c>
      <c r="J36" s="72" t="s">
        <v>10</v>
      </c>
      <c r="K36" s="72" t="s">
        <v>11</v>
      </c>
      <c r="L36" s="72" t="s">
        <v>12</v>
      </c>
      <c r="M36" s="72" t="s">
        <v>13</v>
      </c>
      <c r="N36" s="74" t="s">
        <v>14</v>
      </c>
    </row>
    <row r="37" spans="2:15" ht="24.95" customHeight="1">
      <c r="B37" s="863">
        <v>1</v>
      </c>
      <c r="C37" s="864" t="s">
        <v>50</v>
      </c>
      <c r="D37" s="864" t="s">
        <v>170</v>
      </c>
      <c r="E37" s="864" t="s">
        <v>171</v>
      </c>
      <c r="F37" s="865">
        <v>40130</v>
      </c>
      <c r="G37" s="865">
        <v>40131</v>
      </c>
      <c r="H37" s="17" t="s">
        <v>175</v>
      </c>
      <c r="I37" s="15" t="s">
        <v>111</v>
      </c>
      <c r="J37" s="16">
        <v>2</v>
      </c>
      <c r="K37" s="17" t="s">
        <v>32</v>
      </c>
      <c r="L37" s="16">
        <v>20</v>
      </c>
      <c r="M37" s="18" t="s">
        <v>43</v>
      </c>
      <c r="N37" s="14"/>
    </row>
    <row r="38" spans="2:15" ht="24.95" customHeight="1">
      <c r="B38" s="852"/>
      <c r="C38" s="855"/>
      <c r="D38" s="855"/>
      <c r="E38" s="855"/>
      <c r="F38" s="839"/>
      <c r="G38" s="839"/>
      <c r="H38" s="14"/>
      <c r="I38" s="15"/>
      <c r="J38" s="16"/>
      <c r="K38" s="17" t="s">
        <v>33</v>
      </c>
      <c r="L38" s="16">
        <v>32</v>
      </c>
      <c r="M38" s="18" t="s">
        <v>193</v>
      </c>
      <c r="N38" s="14"/>
    </row>
    <row r="39" spans="2:15" ht="24.95" customHeight="1">
      <c r="B39" s="858"/>
      <c r="C39" s="859"/>
      <c r="D39" s="859"/>
      <c r="E39" s="859"/>
      <c r="F39" s="840"/>
      <c r="G39" s="840"/>
      <c r="H39" s="14"/>
      <c r="I39" s="15"/>
      <c r="J39" s="16"/>
      <c r="K39" s="17"/>
      <c r="L39" s="16"/>
      <c r="M39" s="18" t="s">
        <v>121</v>
      </c>
      <c r="N39" s="14"/>
    </row>
    <row r="40" spans="2:15" ht="24.95" hidden="1" customHeight="1">
      <c r="B40" s="103"/>
      <c r="C40" s="104"/>
      <c r="D40" s="104"/>
      <c r="E40" s="104"/>
      <c r="F40" s="101"/>
      <c r="G40" s="101"/>
      <c r="H40" s="14"/>
      <c r="I40" s="15"/>
      <c r="J40" s="16"/>
      <c r="K40" s="17"/>
      <c r="L40" s="16"/>
      <c r="M40" s="18"/>
      <c r="N40" s="19"/>
    </row>
    <row r="41" spans="2:15" ht="24.95" hidden="1" customHeight="1">
      <c r="B41" s="103"/>
      <c r="C41" s="104"/>
      <c r="D41" s="104"/>
      <c r="E41" s="104"/>
      <c r="F41" s="101"/>
      <c r="G41" s="101"/>
      <c r="H41" s="14"/>
      <c r="I41" s="15"/>
      <c r="J41" s="16"/>
      <c r="K41" s="17"/>
      <c r="L41" s="16"/>
      <c r="M41" s="18"/>
      <c r="N41" s="19"/>
    </row>
    <row r="42" spans="2:15" ht="24.95" hidden="1" customHeight="1">
      <c r="B42" s="103"/>
      <c r="C42" s="104"/>
      <c r="D42" s="104"/>
      <c r="E42" s="104"/>
      <c r="F42" s="101"/>
      <c r="G42" s="101"/>
      <c r="H42" s="14"/>
      <c r="I42" s="15"/>
      <c r="J42" s="16"/>
      <c r="K42" s="17"/>
      <c r="L42" s="16"/>
      <c r="M42" s="18"/>
      <c r="N42" s="19"/>
    </row>
    <row r="43" spans="2:15" ht="24.95" hidden="1" customHeight="1">
      <c r="B43" s="103"/>
      <c r="C43" s="104"/>
      <c r="D43" s="104"/>
      <c r="E43" s="104"/>
      <c r="F43" s="101"/>
      <c r="G43" s="101"/>
      <c r="H43" s="14"/>
      <c r="I43" s="15"/>
      <c r="J43" s="16"/>
      <c r="K43" s="17"/>
      <c r="L43" s="16"/>
      <c r="M43" s="18"/>
      <c r="N43" s="19"/>
    </row>
    <row r="44" spans="2:15" ht="24.95" customHeight="1">
      <c r="B44" s="105"/>
      <c r="C44" s="12"/>
      <c r="D44" s="12"/>
      <c r="E44" s="18"/>
      <c r="F44" s="13"/>
      <c r="G44" s="13"/>
      <c r="H44" s="17"/>
      <c r="I44" s="17"/>
      <c r="J44" s="16"/>
      <c r="K44" s="17"/>
      <c r="L44" s="17"/>
      <c r="M44" s="20"/>
      <c r="N44" s="19"/>
    </row>
    <row r="45" spans="2:15" ht="38.1" customHeight="1" thickBot="1">
      <c r="B45" s="843" t="s">
        <v>48</v>
      </c>
      <c r="C45" s="844"/>
      <c r="D45" s="844"/>
      <c r="E45" s="844"/>
      <c r="F45" s="844"/>
      <c r="G45" s="844"/>
      <c r="H45" s="844"/>
      <c r="I45" s="845">
        <f>L37*84.01+L38*84.01+L39*77.98+L40*109.25+1520</f>
        <v>5888.52</v>
      </c>
      <c r="J45" s="846"/>
      <c r="K45" s="846"/>
      <c r="L45" s="893"/>
      <c r="M45" s="89"/>
      <c r="N45" s="75"/>
      <c r="O45" s="45"/>
    </row>
    <row r="46" spans="2:15" ht="14.25" customHeight="1" thickTop="1" thickBot="1">
      <c r="B46" s="115"/>
      <c r="C46" s="115"/>
      <c r="D46" s="115"/>
      <c r="E46" s="115"/>
      <c r="F46" s="115"/>
      <c r="G46" s="115"/>
      <c r="H46" s="115"/>
      <c r="I46" s="116"/>
      <c r="J46" s="116"/>
      <c r="K46" s="116"/>
      <c r="L46" s="116"/>
      <c r="N46" s="117"/>
      <c r="O46" s="90"/>
    </row>
    <row r="47" spans="2:15" s="6" customFormat="1" ht="39.950000000000003" customHeight="1" thickTop="1">
      <c r="B47" s="71" t="s">
        <v>2</v>
      </c>
      <c r="C47" s="72" t="s">
        <v>3</v>
      </c>
      <c r="D47" s="73" t="s">
        <v>4</v>
      </c>
      <c r="E47" s="72" t="s">
        <v>5</v>
      </c>
      <c r="F47" s="72" t="s">
        <v>6</v>
      </c>
      <c r="G47" s="72" t="s">
        <v>7</v>
      </c>
      <c r="H47" s="73" t="s">
        <v>8</v>
      </c>
      <c r="I47" s="72" t="s">
        <v>9</v>
      </c>
      <c r="J47" s="72" t="s">
        <v>10</v>
      </c>
      <c r="K47" s="72" t="s">
        <v>11</v>
      </c>
      <c r="L47" s="72" t="s">
        <v>12</v>
      </c>
      <c r="M47" s="72" t="s">
        <v>13</v>
      </c>
      <c r="N47" s="74" t="s">
        <v>14</v>
      </c>
    </row>
    <row r="48" spans="2:15" ht="24.95" customHeight="1">
      <c r="B48" s="863">
        <v>1</v>
      </c>
      <c r="C48" s="864" t="s">
        <v>19</v>
      </c>
      <c r="D48" s="864" t="s">
        <v>197</v>
      </c>
      <c r="E48" s="864">
        <v>153033</v>
      </c>
      <c r="F48" s="865">
        <v>40132</v>
      </c>
      <c r="G48" s="865">
        <v>40134</v>
      </c>
      <c r="H48" s="17" t="s">
        <v>216</v>
      </c>
      <c r="I48" s="15">
        <v>3387100500</v>
      </c>
      <c r="J48" s="16">
        <v>1</v>
      </c>
      <c r="K48" s="17" t="s">
        <v>32</v>
      </c>
      <c r="L48" s="16">
        <v>22</v>
      </c>
      <c r="M48" s="18" t="s">
        <v>43</v>
      </c>
      <c r="N48" s="19" t="s">
        <v>220</v>
      </c>
    </row>
    <row r="49" spans="2:15" ht="24.95" customHeight="1">
      <c r="B49" s="852"/>
      <c r="C49" s="855"/>
      <c r="D49" s="855"/>
      <c r="E49" s="855"/>
      <c r="F49" s="839"/>
      <c r="G49" s="839"/>
      <c r="H49" s="14" t="s">
        <v>217</v>
      </c>
      <c r="I49" s="15">
        <v>3389800650</v>
      </c>
      <c r="J49" s="16">
        <v>1</v>
      </c>
      <c r="K49" s="17" t="s">
        <v>33</v>
      </c>
      <c r="L49" s="16">
        <v>41</v>
      </c>
      <c r="M49" s="18" t="s">
        <v>58</v>
      </c>
      <c r="N49" s="80" t="s">
        <v>221</v>
      </c>
    </row>
    <row r="50" spans="2:15" ht="36" customHeight="1">
      <c r="B50" s="852"/>
      <c r="C50" s="855"/>
      <c r="D50" s="855"/>
      <c r="E50" s="855"/>
      <c r="F50" s="839"/>
      <c r="G50" s="839"/>
      <c r="H50" s="14" t="s">
        <v>218</v>
      </c>
      <c r="I50" s="15">
        <v>1026681</v>
      </c>
      <c r="J50" s="16">
        <v>1</v>
      </c>
      <c r="K50" s="17" t="s">
        <v>38</v>
      </c>
      <c r="L50" s="16">
        <v>85</v>
      </c>
      <c r="M50" s="18"/>
      <c r="N50" s="80" t="s">
        <v>222</v>
      </c>
    </row>
    <row r="51" spans="2:15" ht="24.95" customHeight="1">
      <c r="B51" s="852"/>
      <c r="C51" s="855"/>
      <c r="D51" s="855"/>
      <c r="E51" s="855"/>
      <c r="F51" s="839"/>
      <c r="G51" s="839"/>
      <c r="H51" s="14" t="s">
        <v>187</v>
      </c>
      <c r="I51" s="15">
        <v>3423012030</v>
      </c>
      <c r="J51" s="16">
        <v>1</v>
      </c>
      <c r="K51" s="17" t="s">
        <v>34</v>
      </c>
      <c r="L51" s="16">
        <v>8</v>
      </c>
      <c r="M51" s="18"/>
      <c r="N51" s="19" t="s">
        <v>223</v>
      </c>
    </row>
    <row r="52" spans="2:15" ht="31.5" customHeight="1">
      <c r="B52" s="852"/>
      <c r="C52" s="855"/>
      <c r="D52" s="855"/>
      <c r="E52" s="855"/>
      <c r="F52" s="839"/>
      <c r="G52" s="839"/>
      <c r="H52" s="14" t="s">
        <v>188</v>
      </c>
      <c r="I52" s="15">
        <v>3423012040</v>
      </c>
      <c r="J52" s="16">
        <v>2</v>
      </c>
      <c r="K52" s="17"/>
      <c r="L52" s="16"/>
      <c r="M52" s="18"/>
      <c r="N52" s="19" t="s">
        <v>224</v>
      </c>
    </row>
    <row r="53" spans="2:15" ht="24.95" customHeight="1">
      <c r="B53" s="852"/>
      <c r="C53" s="855"/>
      <c r="D53" s="855"/>
      <c r="E53" s="855"/>
      <c r="F53" s="839"/>
      <c r="G53" s="839"/>
      <c r="H53" s="14" t="s">
        <v>212</v>
      </c>
      <c r="I53" s="15">
        <v>3424001750</v>
      </c>
      <c r="J53" s="16">
        <v>2</v>
      </c>
      <c r="K53" s="17"/>
      <c r="L53" s="16"/>
      <c r="M53" s="18"/>
      <c r="N53" s="19"/>
    </row>
    <row r="54" spans="2:15" ht="24.95" customHeight="1">
      <c r="B54" s="858"/>
      <c r="C54" s="859"/>
      <c r="D54" s="859"/>
      <c r="E54" s="859"/>
      <c r="F54" s="840"/>
      <c r="G54" s="840"/>
      <c r="H54" s="14" t="s">
        <v>219</v>
      </c>
      <c r="I54" s="15">
        <v>3840000030</v>
      </c>
      <c r="J54" s="16">
        <v>1</v>
      </c>
      <c r="K54" s="17"/>
      <c r="L54" s="16"/>
      <c r="M54" s="18"/>
      <c r="N54" s="19"/>
    </row>
    <row r="55" spans="2:15" ht="38.1" customHeight="1" thickBot="1">
      <c r="B55" s="843" t="s">
        <v>48</v>
      </c>
      <c r="C55" s="844"/>
      <c r="D55" s="844"/>
      <c r="E55" s="844"/>
      <c r="F55" s="844"/>
      <c r="G55" s="844"/>
      <c r="H55" s="844"/>
      <c r="I55" s="845">
        <f>L48*84.01+L49*84.01+L50*77.98+L51*109.25+153.23+1400+2800+80+1254.94+462.59+8000</f>
        <v>26945.69</v>
      </c>
      <c r="J55" s="846"/>
      <c r="K55" s="846"/>
      <c r="L55" s="893"/>
      <c r="M55" s="89"/>
      <c r="N55" s="83"/>
      <c r="O55" s="90"/>
    </row>
    <row r="56" spans="2:15" ht="10.5" customHeight="1" thickTop="1" thickBot="1">
      <c r="B56" s="115"/>
      <c r="C56" s="115"/>
      <c r="D56" s="115"/>
      <c r="E56" s="115"/>
      <c r="F56" s="115"/>
      <c r="G56" s="115"/>
      <c r="H56" s="115"/>
      <c r="I56" s="116"/>
      <c r="J56" s="116"/>
      <c r="K56" s="116"/>
      <c r="L56" s="116"/>
      <c r="N56" s="117"/>
      <c r="O56" s="90"/>
    </row>
    <row r="57" spans="2:15" s="6" customFormat="1" ht="39.950000000000003" customHeight="1" thickTop="1">
      <c r="B57" s="71" t="s">
        <v>2</v>
      </c>
      <c r="C57" s="72" t="s">
        <v>3</v>
      </c>
      <c r="D57" s="73" t="s">
        <v>4</v>
      </c>
      <c r="E57" s="72" t="s">
        <v>5</v>
      </c>
      <c r="F57" s="72" t="s">
        <v>6</v>
      </c>
      <c r="G57" s="72" t="s">
        <v>7</v>
      </c>
      <c r="H57" s="73" t="s">
        <v>8</v>
      </c>
      <c r="I57" s="72" t="s">
        <v>9</v>
      </c>
      <c r="J57" s="72" t="s">
        <v>10</v>
      </c>
      <c r="K57" s="72" t="s">
        <v>11</v>
      </c>
      <c r="L57" s="72" t="s">
        <v>12</v>
      </c>
      <c r="M57" s="72" t="s">
        <v>13</v>
      </c>
      <c r="N57" s="74" t="s">
        <v>14</v>
      </c>
    </row>
    <row r="58" spans="2:15" ht="24.95" customHeight="1">
      <c r="B58" s="863">
        <v>1</v>
      </c>
      <c r="C58" s="864" t="s">
        <v>19</v>
      </c>
      <c r="D58" s="864" t="s">
        <v>196</v>
      </c>
      <c r="E58" s="864">
        <v>141724</v>
      </c>
      <c r="F58" s="865">
        <v>40132</v>
      </c>
      <c r="G58" s="865">
        <v>40136</v>
      </c>
      <c r="H58" s="17" t="s">
        <v>233</v>
      </c>
      <c r="I58" s="15">
        <v>3454205200</v>
      </c>
      <c r="J58" s="16">
        <v>16</v>
      </c>
      <c r="K58" s="17" t="s">
        <v>32</v>
      </c>
      <c r="L58" s="16">
        <v>22</v>
      </c>
      <c r="M58" s="18" t="s">
        <v>120</v>
      </c>
      <c r="N58" s="80" t="s">
        <v>45</v>
      </c>
    </row>
    <row r="59" spans="2:15" ht="24.95" customHeight="1">
      <c r="B59" s="852"/>
      <c r="C59" s="855"/>
      <c r="D59" s="855"/>
      <c r="E59" s="855"/>
      <c r="F59" s="839"/>
      <c r="G59" s="839"/>
      <c r="H59" s="14" t="s">
        <v>175</v>
      </c>
      <c r="I59" s="15">
        <v>3423001290</v>
      </c>
      <c r="J59" s="16">
        <v>4</v>
      </c>
      <c r="K59" s="17" t="s">
        <v>33</v>
      </c>
      <c r="L59" s="16">
        <v>41</v>
      </c>
      <c r="M59" s="18" t="s">
        <v>57</v>
      </c>
      <c r="N59" s="80"/>
    </row>
    <row r="60" spans="2:15" ht="24.95" customHeight="1">
      <c r="B60" s="852"/>
      <c r="C60" s="855"/>
      <c r="D60" s="855"/>
      <c r="E60" s="855"/>
      <c r="F60" s="839"/>
      <c r="G60" s="839"/>
      <c r="H60" s="14" t="s">
        <v>234</v>
      </c>
      <c r="I60" s="15"/>
      <c r="J60" s="16">
        <v>1</v>
      </c>
      <c r="K60" s="17" t="s">
        <v>38</v>
      </c>
      <c r="L60" s="16">
        <v>85</v>
      </c>
      <c r="M60" s="18"/>
      <c r="N60" s="80"/>
    </row>
    <row r="61" spans="2:15" ht="24.95" customHeight="1">
      <c r="B61" s="852"/>
      <c r="C61" s="855"/>
      <c r="D61" s="855"/>
      <c r="E61" s="855"/>
      <c r="F61" s="839"/>
      <c r="G61" s="839"/>
      <c r="H61" s="14" t="s">
        <v>235</v>
      </c>
      <c r="I61" s="15">
        <v>3846100300</v>
      </c>
      <c r="J61" s="16">
        <v>1</v>
      </c>
      <c r="K61" s="17" t="s">
        <v>34</v>
      </c>
      <c r="L61" s="16">
        <v>8</v>
      </c>
      <c r="M61" s="18"/>
      <c r="N61" s="19"/>
    </row>
    <row r="62" spans="2:15" ht="24.95" customHeight="1">
      <c r="B62" s="858"/>
      <c r="C62" s="859"/>
      <c r="D62" s="859"/>
      <c r="E62" s="859"/>
      <c r="F62" s="840"/>
      <c r="G62" s="840"/>
      <c r="H62" s="14" t="s">
        <v>236</v>
      </c>
      <c r="I62" s="15">
        <v>3443100640</v>
      </c>
      <c r="J62" s="16">
        <v>4</v>
      </c>
      <c r="K62" s="17"/>
      <c r="L62" s="16"/>
      <c r="M62" s="18"/>
      <c r="N62" s="19"/>
    </row>
    <row r="63" spans="2:15" ht="24.95" hidden="1" customHeight="1">
      <c r="B63" s="103"/>
      <c r="C63" s="104"/>
      <c r="D63" s="104"/>
      <c r="E63" s="104"/>
      <c r="F63" s="101"/>
      <c r="G63" s="101"/>
      <c r="H63" s="14"/>
      <c r="I63" s="15"/>
      <c r="J63" s="16"/>
      <c r="K63" s="17"/>
      <c r="L63" s="16"/>
      <c r="M63" s="18"/>
      <c r="N63" s="19"/>
    </row>
    <row r="64" spans="2:15" ht="24.95" hidden="1" customHeight="1">
      <c r="B64" s="103"/>
      <c r="C64" s="104"/>
      <c r="D64" s="104"/>
      <c r="E64" s="104"/>
      <c r="F64" s="101"/>
      <c r="G64" s="101"/>
      <c r="H64" s="14"/>
      <c r="I64" s="15"/>
      <c r="J64" s="16"/>
      <c r="K64" s="17"/>
      <c r="L64" s="16"/>
      <c r="M64" s="18"/>
      <c r="N64" s="19"/>
    </row>
    <row r="65" spans="2:15" ht="24.95" customHeight="1">
      <c r="B65" s="105"/>
      <c r="C65" s="12"/>
      <c r="D65" s="12"/>
      <c r="E65" s="18"/>
      <c r="F65" s="13"/>
      <c r="G65" s="13"/>
      <c r="H65" s="17"/>
      <c r="I65" s="17"/>
      <c r="J65" s="16"/>
      <c r="K65" s="17"/>
      <c r="L65" s="17"/>
      <c r="M65" s="20"/>
      <c r="N65" s="19"/>
    </row>
    <row r="66" spans="2:15" ht="38.1" customHeight="1" thickBot="1">
      <c r="B66" s="843" t="s">
        <v>48</v>
      </c>
      <c r="C66" s="844"/>
      <c r="D66" s="844"/>
      <c r="E66" s="844"/>
      <c r="F66" s="844"/>
      <c r="G66" s="844"/>
      <c r="H66" s="844"/>
      <c r="I66" s="845">
        <f>L58*84.01+L59*84.01+L60*77.98+L61*109.25+29391.2+70+3200+99.9+2660</f>
        <v>48216.030000000006</v>
      </c>
      <c r="J66" s="846"/>
      <c r="K66" s="846"/>
      <c r="L66" s="893"/>
      <c r="M66" s="89"/>
      <c r="N66" s="83"/>
      <c r="O66" s="90"/>
    </row>
    <row r="67" spans="2:15" ht="11.25" customHeight="1" thickTop="1">
      <c r="B67" s="115"/>
      <c r="C67" s="115"/>
      <c r="D67" s="115"/>
      <c r="E67" s="115"/>
      <c r="F67" s="115"/>
      <c r="G67" s="115"/>
      <c r="H67" s="115"/>
      <c r="I67" s="116"/>
      <c r="J67" s="116"/>
      <c r="K67" s="116"/>
      <c r="L67" s="116"/>
      <c r="N67" s="117"/>
      <c r="O67" s="90"/>
    </row>
    <row r="68" spans="2:15" ht="20.100000000000001" customHeight="1">
      <c r="B68" s="29" t="s">
        <v>23</v>
      </c>
      <c r="C68" s="29"/>
      <c r="D68" s="29"/>
      <c r="E68" s="29"/>
      <c r="F68" s="29" t="s">
        <v>17</v>
      </c>
      <c r="G68" s="29"/>
      <c r="H68" s="29"/>
      <c r="I68" s="29"/>
      <c r="J68" s="29"/>
      <c r="K68" s="29"/>
      <c r="L68" s="29"/>
    </row>
    <row r="69" spans="2:15" ht="20.100000000000001" customHeight="1">
      <c r="B69" s="29" t="s">
        <v>18</v>
      </c>
      <c r="C69" s="29"/>
      <c r="D69" s="29"/>
      <c r="E69" s="29"/>
      <c r="F69" s="29" t="s">
        <v>18</v>
      </c>
      <c r="G69" s="29"/>
      <c r="H69" s="29"/>
      <c r="I69" s="29"/>
      <c r="J69" s="29"/>
      <c r="K69" s="29"/>
      <c r="L69" s="29"/>
    </row>
    <row r="70" spans="2:15" ht="11.25" customHeight="1" thickBot="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2:15" s="6" customFormat="1" ht="48.75" customHeight="1" thickTop="1">
      <c r="B71" s="71" t="s">
        <v>2</v>
      </c>
      <c r="C71" s="72" t="s">
        <v>3</v>
      </c>
      <c r="D71" s="73" t="s">
        <v>4</v>
      </c>
      <c r="E71" s="72" t="s">
        <v>199</v>
      </c>
      <c r="F71" s="72" t="s">
        <v>6</v>
      </c>
      <c r="G71" s="72" t="s">
        <v>7</v>
      </c>
      <c r="H71" s="73" t="s">
        <v>8</v>
      </c>
      <c r="I71" s="72" t="s">
        <v>9</v>
      </c>
      <c r="J71" s="72" t="s">
        <v>10</v>
      </c>
      <c r="K71" s="72" t="s">
        <v>11</v>
      </c>
      <c r="L71" s="72" t="s">
        <v>12</v>
      </c>
      <c r="M71" s="72" t="s">
        <v>13</v>
      </c>
      <c r="N71" s="74" t="s">
        <v>14</v>
      </c>
    </row>
    <row r="72" spans="2:15" ht="24.95" customHeight="1">
      <c r="B72" s="872">
        <v>1</v>
      </c>
      <c r="C72" s="873" t="s">
        <v>50</v>
      </c>
      <c r="D72" s="873" t="s">
        <v>198</v>
      </c>
      <c r="E72" s="873" t="s">
        <v>200</v>
      </c>
      <c r="F72" s="874">
        <v>40132</v>
      </c>
      <c r="G72" s="874">
        <v>40134</v>
      </c>
      <c r="H72" s="17" t="s">
        <v>164</v>
      </c>
      <c r="I72" s="82" t="s">
        <v>83</v>
      </c>
      <c r="J72" s="16">
        <v>2</v>
      </c>
      <c r="K72" s="17" t="s">
        <v>32</v>
      </c>
      <c r="L72" s="16">
        <v>20</v>
      </c>
      <c r="M72" s="18" t="s">
        <v>87</v>
      </c>
      <c r="N72" s="80"/>
    </row>
    <row r="73" spans="2:15" ht="24.95" customHeight="1">
      <c r="B73" s="872"/>
      <c r="C73" s="873"/>
      <c r="D73" s="873"/>
      <c r="E73" s="873"/>
      <c r="F73" s="874"/>
      <c r="G73" s="874"/>
      <c r="H73" s="17" t="s">
        <v>175</v>
      </c>
      <c r="I73" s="15" t="s">
        <v>111</v>
      </c>
      <c r="J73" s="16">
        <v>2</v>
      </c>
      <c r="K73" s="17" t="s">
        <v>33</v>
      </c>
      <c r="L73" s="16">
        <v>32</v>
      </c>
      <c r="M73" s="18" t="s">
        <v>49</v>
      </c>
      <c r="N73" s="80"/>
    </row>
    <row r="74" spans="2:15" ht="24.95" hidden="1" customHeight="1">
      <c r="B74" s="872"/>
      <c r="C74" s="873"/>
      <c r="D74" s="873"/>
      <c r="E74" s="873"/>
      <c r="F74" s="874"/>
      <c r="G74" s="874"/>
      <c r="H74" s="14"/>
      <c r="I74" s="15"/>
      <c r="J74" s="16"/>
      <c r="K74" s="17"/>
      <c r="L74" s="16"/>
      <c r="M74" s="18"/>
      <c r="N74" s="80"/>
    </row>
    <row r="75" spans="2:15" ht="24.95" customHeight="1">
      <c r="B75" s="105"/>
      <c r="C75" s="106"/>
      <c r="D75" s="106"/>
      <c r="E75" s="106"/>
      <c r="F75" s="107"/>
      <c r="G75" s="107"/>
      <c r="H75" s="14"/>
      <c r="I75" s="15"/>
      <c r="J75" s="16"/>
      <c r="K75" s="17"/>
      <c r="L75" s="16"/>
      <c r="M75" s="18"/>
      <c r="N75" s="19"/>
    </row>
    <row r="76" spans="2:15" ht="38.1" customHeight="1" thickBot="1">
      <c r="B76" s="843" t="s">
        <v>48</v>
      </c>
      <c r="C76" s="844"/>
      <c r="D76" s="844"/>
      <c r="E76" s="844"/>
      <c r="F76" s="844"/>
      <c r="G76" s="844"/>
      <c r="H76" s="844"/>
      <c r="I76" s="894">
        <f>L72*84.01+L73*84.01+L74*77.98+L75*109.25+1330+12833.09</f>
        <v>18531.61</v>
      </c>
      <c r="J76" s="895"/>
      <c r="K76" s="895"/>
      <c r="L76" s="896"/>
      <c r="M76" s="89"/>
      <c r="N76" s="83"/>
      <c r="O76" s="90"/>
    </row>
    <row r="77" spans="2:15" ht="12.75" customHeight="1" thickTop="1" thickBot="1">
      <c r="B77" s="115"/>
      <c r="C77" s="115"/>
      <c r="D77" s="115"/>
      <c r="E77" s="115"/>
      <c r="F77" s="115"/>
      <c r="G77" s="115"/>
      <c r="H77" s="115"/>
      <c r="I77" s="116"/>
      <c r="J77" s="116"/>
      <c r="K77" s="116"/>
      <c r="L77" s="116"/>
      <c r="N77" s="117"/>
      <c r="O77" s="90"/>
    </row>
    <row r="78" spans="2:15" s="6" customFormat="1" ht="48.75" customHeight="1" thickTop="1">
      <c r="B78" s="71" t="s">
        <v>2</v>
      </c>
      <c r="C78" s="72" t="s">
        <v>3</v>
      </c>
      <c r="D78" s="73" t="s">
        <v>4</v>
      </c>
      <c r="E78" s="72" t="s">
        <v>199</v>
      </c>
      <c r="F78" s="72" t="s">
        <v>6</v>
      </c>
      <c r="G78" s="72" t="s">
        <v>7</v>
      </c>
      <c r="H78" s="73" t="s">
        <v>8</v>
      </c>
      <c r="I78" s="72" t="s">
        <v>9</v>
      </c>
      <c r="J78" s="72" t="s">
        <v>10</v>
      </c>
      <c r="K78" s="72" t="s">
        <v>11</v>
      </c>
      <c r="L78" s="72" t="s">
        <v>12</v>
      </c>
      <c r="M78" s="72" t="s">
        <v>13</v>
      </c>
      <c r="N78" s="74" t="s">
        <v>14</v>
      </c>
    </row>
    <row r="79" spans="2:15" ht="24.95" customHeight="1">
      <c r="B79" s="863">
        <v>1</v>
      </c>
      <c r="C79" s="864" t="s">
        <v>19</v>
      </c>
      <c r="D79" s="864" t="s">
        <v>215</v>
      </c>
      <c r="E79" s="864">
        <v>120087</v>
      </c>
      <c r="F79" s="865">
        <v>40134</v>
      </c>
      <c r="G79" s="865">
        <v>40136</v>
      </c>
      <c r="H79" s="17" t="s">
        <v>227</v>
      </c>
      <c r="I79" s="15">
        <v>1034330</v>
      </c>
      <c r="J79" s="16">
        <v>1</v>
      </c>
      <c r="K79" s="17" t="s">
        <v>32</v>
      </c>
      <c r="L79" s="16">
        <v>22</v>
      </c>
      <c r="M79" s="18"/>
      <c r="N79" s="80" t="s">
        <v>47</v>
      </c>
    </row>
    <row r="80" spans="2:15" ht="36.75" customHeight="1">
      <c r="B80" s="852"/>
      <c r="C80" s="855"/>
      <c r="D80" s="855"/>
      <c r="E80" s="855"/>
      <c r="F80" s="839"/>
      <c r="G80" s="839"/>
      <c r="H80" s="14" t="s">
        <v>228</v>
      </c>
      <c r="I80" s="15">
        <v>3443100640</v>
      </c>
      <c r="J80" s="16">
        <v>2</v>
      </c>
      <c r="K80" s="17" t="s">
        <v>33</v>
      </c>
      <c r="L80" s="16">
        <v>41</v>
      </c>
      <c r="M80" s="18" t="s">
        <v>231</v>
      </c>
      <c r="N80" s="80" t="s">
        <v>232</v>
      </c>
    </row>
    <row r="81" spans="2:15" ht="24.95" customHeight="1">
      <c r="B81" s="852"/>
      <c r="C81" s="855"/>
      <c r="D81" s="855"/>
      <c r="E81" s="855"/>
      <c r="F81" s="839"/>
      <c r="G81" s="839"/>
      <c r="H81" s="14" t="s">
        <v>229</v>
      </c>
      <c r="I81" s="15">
        <v>3443100580</v>
      </c>
      <c r="J81" s="16">
        <v>1</v>
      </c>
      <c r="K81" s="17" t="s">
        <v>38</v>
      </c>
      <c r="L81" s="16">
        <v>90</v>
      </c>
      <c r="M81" s="18" t="s">
        <v>49</v>
      </c>
      <c r="N81" s="80"/>
    </row>
    <row r="82" spans="2:15" ht="24.95" customHeight="1">
      <c r="B82" s="852"/>
      <c r="C82" s="855"/>
      <c r="D82" s="855"/>
      <c r="E82" s="855"/>
      <c r="F82" s="839"/>
      <c r="G82" s="839"/>
      <c r="H82" s="14" t="s">
        <v>190</v>
      </c>
      <c r="I82" s="15">
        <v>3781400100</v>
      </c>
      <c r="J82" s="16">
        <v>2</v>
      </c>
      <c r="K82" s="17" t="s">
        <v>34</v>
      </c>
      <c r="L82" s="16">
        <v>8</v>
      </c>
      <c r="M82" s="18"/>
      <c r="N82" s="19"/>
    </row>
    <row r="83" spans="2:15" ht="24.95" customHeight="1">
      <c r="B83" s="852"/>
      <c r="C83" s="855"/>
      <c r="D83" s="855"/>
      <c r="E83" s="855"/>
      <c r="F83" s="839"/>
      <c r="G83" s="839"/>
      <c r="H83" s="14" t="s">
        <v>219</v>
      </c>
      <c r="I83" s="15">
        <v>3840000030</v>
      </c>
      <c r="J83" s="16">
        <v>1</v>
      </c>
      <c r="K83" s="17"/>
      <c r="L83" s="16"/>
      <c r="M83" s="18"/>
      <c r="N83" s="19"/>
    </row>
    <row r="84" spans="2:15" ht="24.95" customHeight="1">
      <c r="B84" s="858"/>
      <c r="C84" s="859"/>
      <c r="D84" s="859"/>
      <c r="E84" s="859"/>
      <c r="F84" s="840"/>
      <c r="G84" s="840"/>
      <c r="H84" s="14" t="s">
        <v>230</v>
      </c>
      <c r="I84" s="15">
        <v>3414200890</v>
      </c>
      <c r="J84" s="16">
        <v>1</v>
      </c>
      <c r="K84" s="17"/>
      <c r="L84" s="16"/>
      <c r="M84" s="18"/>
      <c r="N84" s="19"/>
    </row>
    <row r="85" spans="2:15" ht="24.95" customHeight="1">
      <c r="B85" s="105"/>
      <c r="C85" s="12"/>
      <c r="D85" s="12"/>
      <c r="E85" s="18"/>
      <c r="F85" s="13"/>
      <c r="G85" s="13"/>
      <c r="H85" s="17"/>
      <c r="I85" s="62"/>
      <c r="J85" s="64"/>
      <c r="K85" s="62"/>
      <c r="L85" s="62"/>
      <c r="M85" s="20"/>
      <c r="N85" s="19"/>
    </row>
    <row r="86" spans="2:15" ht="38.1" customHeight="1" thickBot="1">
      <c r="B86" s="843" t="s">
        <v>48</v>
      </c>
      <c r="C86" s="844"/>
      <c r="D86" s="844"/>
      <c r="E86" s="844"/>
      <c r="F86" s="844"/>
      <c r="G86" s="844"/>
      <c r="H86" s="844"/>
      <c r="I86" s="894">
        <f>L79*84.01+L80*84.01+L81*77.98+L82*109.25+462.6+731.25+199.8+91.68+161.88+123.19</f>
        <v>14955.230000000001</v>
      </c>
      <c r="J86" s="895"/>
      <c r="K86" s="895"/>
      <c r="L86" s="896"/>
      <c r="M86" s="89"/>
      <c r="N86" s="83"/>
      <c r="O86" s="90"/>
    </row>
    <row r="87" spans="2:15" ht="10.5" customHeight="1" thickTop="1">
      <c r="B87" s="115"/>
      <c r="C87" s="115"/>
      <c r="D87" s="115"/>
      <c r="E87" s="115"/>
      <c r="F87" s="115"/>
      <c r="G87" s="115"/>
      <c r="H87" s="115"/>
      <c r="I87" s="116"/>
      <c r="J87" s="116"/>
      <c r="K87" s="116"/>
      <c r="L87" s="116"/>
      <c r="N87" s="117"/>
      <c r="O87" s="90"/>
    </row>
    <row r="88" spans="2:15" ht="20.100000000000001" customHeight="1">
      <c r="B88" s="29" t="s">
        <v>23</v>
      </c>
      <c r="C88" s="29"/>
      <c r="D88" s="29"/>
      <c r="E88" s="29"/>
      <c r="F88" s="29" t="s">
        <v>17</v>
      </c>
      <c r="G88" s="29"/>
      <c r="H88" s="29"/>
      <c r="I88" s="29"/>
      <c r="J88" s="29"/>
      <c r="K88" s="29"/>
      <c r="L88" s="29"/>
    </row>
    <row r="89" spans="2:15" ht="20.100000000000001" customHeight="1">
      <c r="B89" s="29" t="s">
        <v>18</v>
      </c>
      <c r="C89" s="29"/>
      <c r="D89" s="29"/>
      <c r="E89" s="29"/>
      <c r="F89" s="29" t="s">
        <v>18</v>
      </c>
      <c r="G89" s="29"/>
      <c r="H89" s="29"/>
      <c r="I89" s="29"/>
      <c r="J89" s="29"/>
      <c r="K89" s="29"/>
      <c r="L89" s="29"/>
    </row>
    <row r="90" spans="2:15" ht="15.75" thickBot="1"/>
    <row r="91" spans="2:15" s="6" customFormat="1" ht="48.75" customHeight="1" thickTop="1">
      <c r="B91" s="71" t="s">
        <v>2</v>
      </c>
      <c r="C91" s="72" t="s">
        <v>3</v>
      </c>
      <c r="D91" s="73" t="s">
        <v>4</v>
      </c>
      <c r="E91" s="72" t="s">
        <v>199</v>
      </c>
      <c r="F91" s="72" t="s">
        <v>6</v>
      </c>
      <c r="G91" s="72" t="s">
        <v>7</v>
      </c>
      <c r="H91" s="73" t="s">
        <v>8</v>
      </c>
      <c r="I91" s="72" t="s">
        <v>9</v>
      </c>
      <c r="J91" s="72" t="s">
        <v>10</v>
      </c>
      <c r="K91" s="72" t="s">
        <v>11</v>
      </c>
      <c r="L91" s="72" t="s">
        <v>12</v>
      </c>
      <c r="M91" s="72" t="s">
        <v>13</v>
      </c>
      <c r="N91" s="74" t="s">
        <v>14</v>
      </c>
    </row>
    <row r="92" spans="2:15" ht="34.5" customHeight="1">
      <c r="B92" s="863">
        <v>1</v>
      </c>
      <c r="C92" s="864" t="s">
        <v>19</v>
      </c>
      <c r="D92" s="864" t="s">
        <v>214</v>
      </c>
      <c r="E92" s="864">
        <v>135882</v>
      </c>
      <c r="F92" s="865">
        <v>40134</v>
      </c>
      <c r="G92" s="865">
        <v>40137</v>
      </c>
      <c r="H92" s="14" t="s">
        <v>241</v>
      </c>
      <c r="I92" s="15">
        <v>3454205200</v>
      </c>
      <c r="J92" s="16">
        <v>4</v>
      </c>
      <c r="K92" s="17" t="s">
        <v>32</v>
      </c>
      <c r="L92" s="16">
        <v>22</v>
      </c>
      <c r="M92" s="18" t="s">
        <v>245</v>
      </c>
      <c r="N92" s="80" t="s">
        <v>246</v>
      </c>
    </row>
    <row r="93" spans="2:15" ht="34.5" customHeight="1">
      <c r="B93" s="852"/>
      <c r="C93" s="855"/>
      <c r="D93" s="855"/>
      <c r="E93" s="855"/>
      <c r="F93" s="839"/>
      <c r="G93" s="839"/>
      <c r="H93" s="14" t="s">
        <v>130</v>
      </c>
      <c r="I93" s="84" t="s">
        <v>244</v>
      </c>
      <c r="J93" s="16">
        <v>8</v>
      </c>
      <c r="K93" s="17" t="s">
        <v>33</v>
      </c>
      <c r="L93" s="16">
        <v>41</v>
      </c>
      <c r="M93" s="18" t="s">
        <v>58</v>
      </c>
      <c r="N93" s="80" t="s">
        <v>247</v>
      </c>
    </row>
    <row r="94" spans="2:15" ht="24.95" customHeight="1">
      <c r="B94" s="852"/>
      <c r="C94" s="855"/>
      <c r="D94" s="855"/>
      <c r="E94" s="855"/>
      <c r="F94" s="839"/>
      <c r="G94" s="839"/>
      <c r="H94" s="14" t="s">
        <v>242</v>
      </c>
      <c r="I94" s="15">
        <v>3423001290</v>
      </c>
      <c r="J94" s="16">
        <v>4</v>
      </c>
      <c r="K94" s="17" t="s">
        <v>38</v>
      </c>
      <c r="L94" s="16">
        <v>90</v>
      </c>
      <c r="M94" s="18" t="s">
        <v>193</v>
      </c>
      <c r="N94" s="80" t="s">
        <v>248</v>
      </c>
    </row>
    <row r="95" spans="2:15" ht="24.95" customHeight="1">
      <c r="B95" s="858"/>
      <c r="C95" s="859"/>
      <c r="D95" s="859"/>
      <c r="E95" s="859"/>
      <c r="F95" s="840"/>
      <c r="G95" s="840"/>
      <c r="H95" s="14" t="s">
        <v>243</v>
      </c>
      <c r="I95" s="15">
        <v>3414200890</v>
      </c>
      <c r="J95" s="16">
        <v>1</v>
      </c>
      <c r="K95" s="17" t="s">
        <v>34</v>
      </c>
      <c r="L95" s="16">
        <v>8</v>
      </c>
      <c r="M95" s="18" t="s">
        <v>121</v>
      </c>
      <c r="N95" s="19"/>
    </row>
    <row r="96" spans="2:15" ht="24.95" hidden="1" customHeight="1">
      <c r="B96" s="120"/>
      <c r="C96" s="121"/>
      <c r="D96" s="121"/>
      <c r="E96" s="121"/>
      <c r="F96" s="119"/>
      <c r="G96" s="119"/>
      <c r="H96" s="14"/>
      <c r="I96" s="15"/>
      <c r="J96" s="16"/>
      <c r="K96" s="17"/>
      <c r="L96" s="16"/>
      <c r="M96" s="18"/>
      <c r="N96" s="19"/>
    </row>
    <row r="97" spans="2:15" ht="24.95" hidden="1" customHeight="1">
      <c r="B97" s="120"/>
      <c r="C97" s="121"/>
      <c r="D97" s="121"/>
      <c r="E97" s="121"/>
      <c r="F97" s="119"/>
      <c r="G97" s="119"/>
      <c r="H97" s="14"/>
      <c r="I97" s="15"/>
      <c r="J97" s="16"/>
      <c r="K97" s="17"/>
      <c r="L97" s="16"/>
      <c r="M97" s="18"/>
      <c r="N97" s="19"/>
    </row>
    <row r="98" spans="2:15" ht="24.95" hidden="1" customHeight="1">
      <c r="B98" s="120"/>
      <c r="C98" s="121"/>
      <c r="D98" s="121"/>
      <c r="E98" s="121"/>
      <c r="F98" s="119"/>
      <c r="G98" s="119"/>
      <c r="H98" s="14"/>
      <c r="I98" s="15"/>
      <c r="J98" s="16"/>
      <c r="K98" s="17"/>
      <c r="L98" s="16"/>
      <c r="M98" s="18"/>
      <c r="N98" s="19"/>
    </row>
    <row r="99" spans="2:15" ht="24.95" customHeight="1">
      <c r="B99" s="118"/>
      <c r="C99" s="12"/>
      <c r="D99" s="12"/>
      <c r="E99" s="18"/>
      <c r="F99" s="13"/>
      <c r="G99" s="13"/>
      <c r="H99" s="17"/>
      <c r="I99" s="62"/>
      <c r="J99" s="64"/>
      <c r="K99" s="62"/>
      <c r="L99" s="62"/>
      <c r="M99" s="20"/>
      <c r="N99" s="19"/>
    </row>
    <row r="100" spans="2:15" ht="38.1" customHeight="1" thickBot="1">
      <c r="B100" s="843" t="s">
        <v>48</v>
      </c>
      <c r="C100" s="844"/>
      <c r="D100" s="844"/>
      <c r="E100" s="844"/>
      <c r="F100" s="844"/>
      <c r="G100" s="844"/>
      <c r="H100" s="844"/>
      <c r="I100" s="894">
        <f>L92*84.01+L93*84.01+L94*77.98+L95*109.25+7347.8+123.19+3540+3086.29+2534.24+107.86</f>
        <v>29924.21</v>
      </c>
      <c r="J100" s="895"/>
      <c r="K100" s="895"/>
      <c r="L100" s="896"/>
      <c r="N100" s="83"/>
      <c r="O100" s="90"/>
    </row>
    <row r="101" spans="2:15" ht="15.75" thickTop="1"/>
    <row r="102" spans="2:15" ht="20.100000000000001" customHeight="1">
      <c r="B102" s="29" t="s">
        <v>23</v>
      </c>
      <c r="C102" s="29"/>
      <c r="D102" s="29"/>
      <c r="E102" s="29"/>
      <c r="F102" s="29" t="s">
        <v>17</v>
      </c>
      <c r="G102" s="29"/>
      <c r="H102" s="29"/>
      <c r="I102" s="29"/>
      <c r="J102" s="29"/>
      <c r="K102" s="29"/>
      <c r="L102" s="29"/>
    </row>
    <row r="103" spans="2:15" ht="20.100000000000001" customHeight="1">
      <c r="B103" s="29" t="s">
        <v>18</v>
      </c>
      <c r="C103" s="29"/>
      <c r="D103" s="29"/>
      <c r="E103" s="29"/>
      <c r="F103" s="29" t="s">
        <v>18</v>
      </c>
      <c r="G103" s="29"/>
      <c r="H103" s="29"/>
      <c r="I103" s="29"/>
      <c r="J103" s="29"/>
      <c r="K103" s="29"/>
      <c r="L103" s="29"/>
    </row>
  </sheetData>
  <mergeCells count="75">
    <mergeCell ref="G92:G95"/>
    <mergeCell ref="B100:H100"/>
    <mergeCell ref="I100:L100"/>
    <mergeCell ref="B92:B95"/>
    <mergeCell ref="C92:C95"/>
    <mergeCell ref="D92:D95"/>
    <mergeCell ref="E92:E95"/>
    <mergeCell ref="F92:F95"/>
    <mergeCell ref="I10:L10"/>
    <mergeCell ref="B1:N1"/>
    <mergeCell ref="B2:N2"/>
    <mergeCell ref="B3:L3"/>
    <mergeCell ref="B86:H86"/>
    <mergeCell ref="I86:L86"/>
    <mergeCell ref="B76:H76"/>
    <mergeCell ref="B66:H66"/>
    <mergeCell ref="B32:H32"/>
    <mergeCell ref="G13:G20"/>
    <mergeCell ref="B5:B8"/>
    <mergeCell ref="C5:C8"/>
    <mergeCell ref="D5:D8"/>
    <mergeCell ref="E5:E8"/>
    <mergeCell ref="F5:F8"/>
    <mergeCell ref="G5:G8"/>
    <mergeCell ref="B10:H10"/>
    <mergeCell ref="B13:B20"/>
    <mergeCell ref="C13:C20"/>
    <mergeCell ref="D13:D20"/>
    <mergeCell ref="E13:E20"/>
    <mergeCell ref="F13:F20"/>
    <mergeCell ref="B21:H21"/>
    <mergeCell ref="I21:L21"/>
    <mergeCell ref="B24:B27"/>
    <mergeCell ref="C24:C27"/>
    <mergeCell ref="D24:D27"/>
    <mergeCell ref="E24:E27"/>
    <mergeCell ref="F24:F27"/>
    <mergeCell ref="G24:G27"/>
    <mergeCell ref="I32:L32"/>
    <mergeCell ref="B37:B39"/>
    <mergeCell ref="C37:C39"/>
    <mergeCell ref="D37:D39"/>
    <mergeCell ref="E37:E39"/>
    <mergeCell ref="F37:F39"/>
    <mergeCell ref="G37:G39"/>
    <mergeCell ref="B55:H55"/>
    <mergeCell ref="I55:L55"/>
    <mergeCell ref="B58:B62"/>
    <mergeCell ref="C58:C62"/>
    <mergeCell ref="B45:H45"/>
    <mergeCell ref="I45:L45"/>
    <mergeCell ref="B48:B54"/>
    <mergeCell ref="C48:C54"/>
    <mergeCell ref="D48:D54"/>
    <mergeCell ref="E48:E54"/>
    <mergeCell ref="F48:F54"/>
    <mergeCell ref="G48:G54"/>
    <mergeCell ref="D58:D62"/>
    <mergeCell ref="E58:E62"/>
    <mergeCell ref="F58:F62"/>
    <mergeCell ref="G58:G62"/>
    <mergeCell ref="G79:G84"/>
    <mergeCell ref="I66:L66"/>
    <mergeCell ref="B72:B74"/>
    <mergeCell ref="C72:C74"/>
    <mergeCell ref="D72:D74"/>
    <mergeCell ref="E72:E74"/>
    <mergeCell ref="F72:F74"/>
    <mergeCell ref="G72:G74"/>
    <mergeCell ref="B79:B84"/>
    <mergeCell ref="C79:C84"/>
    <mergeCell ref="D79:D84"/>
    <mergeCell ref="E79:E84"/>
    <mergeCell ref="F79:F84"/>
    <mergeCell ref="I76:L76"/>
  </mergeCells>
  <pageMargins left="0.19" right="0.15" top="0.21" bottom="0.28000000000000003" header="0.3" footer="0.3"/>
  <pageSetup scale="70" orientation="landscape" r:id="rId1"/>
  <rowBreaks count="1" manualBreakCount="1">
    <brk id="70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B1:O99"/>
  <sheetViews>
    <sheetView view="pageBreakPreview" zoomScale="60" workbookViewId="0">
      <pane xSplit="3" ySplit="3" topLeftCell="D85" activePane="bottomRight" state="frozen"/>
      <selection activeCell="B18" sqref="B18"/>
      <selection pane="topRight" activeCell="B18" sqref="B18"/>
      <selection pane="bottomLeft" activeCell="B18" sqref="B18"/>
      <selection pane="bottomRight" activeCell="B17" sqref="B17:B19"/>
    </sheetView>
  </sheetViews>
  <sheetFormatPr defaultRowHeight="15"/>
  <cols>
    <col min="1" max="1" width="2.85546875" customWidth="1"/>
    <col min="2" max="2" width="8.7109375" customWidth="1"/>
    <col min="3" max="3" width="13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5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3.85546875" customWidth="1"/>
    <col min="14" max="14" width="42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7" customHeight="1">
      <c r="B2" s="861" t="s">
        <v>296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5" ht="9" customHeigh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</row>
    <row r="4" spans="2:15" ht="15.75" thickBot="1"/>
    <row r="5" spans="2:15" s="6" customFormat="1" ht="48.75" customHeight="1" thickTop="1">
      <c r="B5" s="33" t="s">
        <v>2</v>
      </c>
      <c r="C5" s="34" t="s">
        <v>3</v>
      </c>
      <c r="D5" s="35" t="s">
        <v>4</v>
      </c>
      <c r="E5" s="34" t="s">
        <v>199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6" t="s">
        <v>14</v>
      </c>
    </row>
    <row r="6" spans="2:15" ht="32.1" customHeight="1">
      <c r="B6" s="872">
        <v>1</v>
      </c>
      <c r="C6" s="873" t="s">
        <v>201</v>
      </c>
      <c r="D6" s="873" t="s">
        <v>202</v>
      </c>
      <c r="E6" s="873">
        <v>84714</v>
      </c>
      <c r="F6" s="874">
        <v>40132</v>
      </c>
      <c r="G6" s="874">
        <v>40137</v>
      </c>
      <c r="H6" s="17" t="s">
        <v>47</v>
      </c>
      <c r="I6" s="15"/>
      <c r="J6" s="16">
        <v>8</v>
      </c>
      <c r="K6" s="17" t="s">
        <v>32</v>
      </c>
      <c r="L6" s="16">
        <v>6</v>
      </c>
      <c r="M6" s="18" t="s">
        <v>143</v>
      </c>
      <c r="N6" s="80" t="s">
        <v>254</v>
      </c>
    </row>
    <row r="7" spans="2:15" ht="32.1" customHeight="1">
      <c r="B7" s="872"/>
      <c r="C7" s="873"/>
      <c r="D7" s="873"/>
      <c r="E7" s="873"/>
      <c r="F7" s="874"/>
      <c r="G7" s="874"/>
      <c r="H7" s="14" t="s">
        <v>249</v>
      </c>
      <c r="I7" s="15"/>
      <c r="J7" s="16">
        <v>1</v>
      </c>
      <c r="K7" s="17" t="s">
        <v>33</v>
      </c>
      <c r="L7" s="16">
        <v>3.5</v>
      </c>
      <c r="M7" s="18" t="s">
        <v>121</v>
      </c>
      <c r="N7" s="80"/>
    </row>
    <row r="8" spans="2:15" ht="32.1" customHeight="1">
      <c r="B8" s="872"/>
      <c r="C8" s="873"/>
      <c r="D8" s="873"/>
      <c r="E8" s="873"/>
      <c r="F8" s="874"/>
      <c r="G8" s="874"/>
      <c r="H8" s="14" t="s">
        <v>250</v>
      </c>
      <c r="I8" s="15"/>
      <c r="J8" s="16">
        <v>1</v>
      </c>
      <c r="K8" s="17"/>
      <c r="L8" s="16"/>
      <c r="M8" s="18"/>
      <c r="N8" s="80"/>
    </row>
    <row r="9" spans="2:15" ht="24.95" hidden="1" customHeight="1">
      <c r="B9" s="130"/>
      <c r="C9" s="131"/>
      <c r="D9" s="131"/>
      <c r="E9" s="131"/>
      <c r="F9" s="132"/>
      <c r="G9" s="132"/>
      <c r="H9" s="14"/>
      <c r="I9" s="15"/>
      <c r="J9" s="16"/>
      <c r="K9" s="17"/>
      <c r="L9" s="16"/>
      <c r="M9" s="18"/>
      <c r="N9" s="19"/>
    </row>
    <row r="10" spans="2:15" ht="24.95" hidden="1" customHeight="1">
      <c r="B10" s="130"/>
      <c r="C10" s="131"/>
      <c r="D10" s="131"/>
      <c r="E10" s="131"/>
      <c r="F10" s="132"/>
      <c r="G10" s="132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130"/>
      <c r="C11" s="131"/>
      <c r="D11" s="131"/>
      <c r="E11" s="131"/>
      <c r="F11" s="132"/>
      <c r="G11" s="132"/>
      <c r="H11" s="14"/>
      <c r="I11" s="15"/>
      <c r="J11" s="16"/>
      <c r="K11" s="17"/>
      <c r="L11" s="16"/>
      <c r="M11" s="18"/>
      <c r="N11" s="19"/>
    </row>
    <row r="12" spans="2:15" ht="24.95" hidden="1" customHeight="1">
      <c r="B12" s="130"/>
      <c r="C12" s="131"/>
      <c r="D12" s="131"/>
      <c r="E12" s="131"/>
      <c r="F12" s="132"/>
      <c r="G12" s="132"/>
      <c r="H12" s="14"/>
      <c r="I12" s="15"/>
      <c r="J12" s="16"/>
      <c r="K12" s="17"/>
      <c r="L12" s="16"/>
      <c r="M12" s="18"/>
      <c r="N12" s="19"/>
    </row>
    <row r="13" spans="2:15" ht="24.95" customHeight="1">
      <c r="B13" s="130"/>
      <c r="C13" s="12"/>
      <c r="D13" s="12"/>
      <c r="E13" s="18"/>
      <c r="F13" s="13"/>
      <c r="G13" s="13"/>
      <c r="H13" s="17"/>
      <c r="I13" s="17"/>
      <c r="J13" s="16"/>
      <c r="K13" s="17"/>
      <c r="L13" s="17"/>
      <c r="M13" s="20"/>
      <c r="N13" s="19"/>
    </row>
    <row r="14" spans="2:15" ht="38.1" customHeight="1" thickBot="1">
      <c r="B14" s="868" t="s">
        <v>48</v>
      </c>
      <c r="C14" s="869"/>
      <c r="D14" s="869"/>
      <c r="E14" s="869"/>
      <c r="F14" s="869"/>
      <c r="G14" s="869"/>
      <c r="H14" s="869"/>
      <c r="I14" s="870">
        <f>L6*84.01+L7*84.01+L8*77.98+L9*109.25+2300</f>
        <v>3098.0950000000003</v>
      </c>
      <c r="J14" s="870"/>
      <c r="K14" s="870"/>
      <c r="L14" s="870"/>
      <c r="M14" s="89"/>
      <c r="N14" s="81"/>
      <c r="O14" s="90"/>
    </row>
    <row r="15" spans="2:15" ht="15" customHeight="1" thickTop="1" thickBot="1">
      <c r="B15" s="109"/>
      <c r="C15" s="109"/>
      <c r="D15" s="109"/>
      <c r="E15" s="109"/>
      <c r="F15" s="109"/>
      <c r="G15" s="109"/>
      <c r="H15" s="109"/>
      <c r="I15" s="127"/>
      <c r="J15" s="127"/>
      <c r="K15" s="127"/>
      <c r="L15" s="127"/>
      <c r="M15" s="110"/>
      <c r="N15" s="111"/>
      <c r="O15" s="90"/>
    </row>
    <row r="16" spans="2:15" s="6" customFormat="1" ht="48.75" customHeight="1" thickTop="1">
      <c r="B16" s="71" t="s">
        <v>2</v>
      </c>
      <c r="C16" s="72" t="s">
        <v>3</v>
      </c>
      <c r="D16" s="73" t="s">
        <v>4</v>
      </c>
      <c r="E16" s="72" t="s">
        <v>199</v>
      </c>
      <c r="F16" s="72" t="s">
        <v>6</v>
      </c>
      <c r="G16" s="72" t="s">
        <v>7</v>
      </c>
      <c r="H16" s="73" t="s">
        <v>8</v>
      </c>
      <c r="I16" s="72" t="s">
        <v>9</v>
      </c>
      <c r="J16" s="72" t="s">
        <v>10</v>
      </c>
      <c r="K16" s="72" t="s">
        <v>11</v>
      </c>
      <c r="L16" s="72" t="s">
        <v>12</v>
      </c>
      <c r="M16" s="72" t="s">
        <v>13</v>
      </c>
      <c r="N16" s="74" t="s">
        <v>14</v>
      </c>
    </row>
    <row r="17" spans="2:15" ht="32.1" customHeight="1">
      <c r="B17" s="863">
        <v>2</v>
      </c>
      <c r="C17" s="897" t="s">
        <v>226</v>
      </c>
      <c r="D17" s="864" t="s">
        <v>225</v>
      </c>
      <c r="E17" s="864">
        <v>140514</v>
      </c>
      <c r="F17" s="865">
        <v>40136</v>
      </c>
      <c r="G17" s="865">
        <v>40138</v>
      </c>
      <c r="H17" s="17" t="s">
        <v>162</v>
      </c>
      <c r="I17" s="15" t="s">
        <v>251</v>
      </c>
      <c r="J17" s="16">
        <v>1</v>
      </c>
      <c r="K17" s="17" t="s">
        <v>32</v>
      </c>
      <c r="L17" s="16">
        <v>6.5</v>
      </c>
      <c r="M17" s="18" t="s">
        <v>143</v>
      </c>
      <c r="N17" s="80"/>
    </row>
    <row r="18" spans="2:15" ht="32.1" customHeight="1">
      <c r="B18" s="852"/>
      <c r="C18" s="898"/>
      <c r="D18" s="855"/>
      <c r="E18" s="855"/>
      <c r="F18" s="839"/>
      <c r="G18" s="839"/>
      <c r="H18" s="14" t="s">
        <v>252</v>
      </c>
      <c r="I18" s="15" t="s">
        <v>253</v>
      </c>
      <c r="J18" s="16">
        <v>2</v>
      </c>
      <c r="K18" s="17" t="s">
        <v>32</v>
      </c>
      <c r="L18" s="16">
        <v>5.5</v>
      </c>
      <c r="M18" s="18" t="s">
        <v>121</v>
      </c>
      <c r="N18" s="80"/>
    </row>
    <row r="19" spans="2:15" ht="32.1" customHeight="1">
      <c r="B19" s="858"/>
      <c r="C19" s="899"/>
      <c r="D19" s="859"/>
      <c r="E19" s="859"/>
      <c r="F19" s="840"/>
      <c r="G19" s="840"/>
      <c r="H19" s="14" t="s">
        <v>146</v>
      </c>
      <c r="I19" s="15" t="s">
        <v>147</v>
      </c>
      <c r="J19" s="16">
        <v>2</v>
      </c>
      <c r="K19" s="17"/>
      <c r="L19" s="16"/>
      <c r="M19" s="18"/>
      <c r="N19" s="80"/>
    </row>
    <row r="20" spans="2:15" ht="32.1" hidden="1" customHeight="1">
      <c r="B20" s="128"/>
      <c r="C20" s="129"/>
      <c r="D20" s="129"/>
      <c r="E20" s="129"/>
      <c r="F20" s="126"/>
      <c r="G20" s="126"/>
      <c r="H20" s="14"/>
      <c r="I20" s="15"/>
      <c r="J20" s="16"/>
      <c r="K20" s="17"/>
      <c r="L20" s="16"/>
      <c r="M20" s="18"/>
      <c r="N20" s="19"/>
    </row>
    <row r="21" spans="2:15" ht="32.1" hidden="1" customHeight="1">
      <c r="B21" s="128"/>
      <c r="C21" s="129"/>
      <c r="D21" s="129"/>
      <c r="E21" s="129"/>
      <c r="F21" s="126"/>
      <c r="G21" s="126"/>
      <c r="H21" s="14"/>
      <c r="I21" s="15"/>
      <c r="J21" s="16"/>
      <c r="K21" s="17"/>
      <c r="L21" s="16"/>
      <c r="M21" s="18"/>
      <c r="N21" s="19"/>
    </row>
    <row r="22" spans="2:15" ht="32.1" hidden="1" customHeight="1">
      <c r="B22" s="128"/>
      <c r="C22" s="129"/>
      <c r="D22" s="129"/>
      <c r="E22" s="129"/>
      <c r="F22" s="126"/>
      <c r="G22" s="126"/>
      <c r="H22" s="14"/>
      <c r="I22" s="15"/>
      <c r="J22" s="16"/>
      <c r="K22" s="17"/>
      <c r="L22" s="16"/>
      <c r="M22" s="18"/>
      <c r="N22" s="19"/>
    </row>
    <row r="23" spans="2:15" ht="32.1" hidden="1" customHeight="1">
      <c r="B23" s="128"/>
      <c r="C23" s="129"/>
      <c r="D23" s="129"/>
      <c r="E23" s="129"/>
      <c r="F23" s="126"/>
      <c r="G23" s="126"/>
      <c r="H23" s="14"/>
      <c r="I23" s="15"/>
      <c r="J23" s="16"/>
      <c r="K23" s="17"/>
      <c r="L23" s="16"/>
      <c r="M23" s="18"/>
      <c r="N23" s="19"/>
    </row>
    <row r="24" spans="2:15" ht="32.1" customHeight="1">
      <c r="B24" s="130"/>
      <c r="C24" s="12"/>
      <c r="D24" s="12"/>
      <c r="E24" s="18"/>
      <c r="F24" s="13"/>
      <c r="G24" s="13"/>
      <c r="H24" s="17"/>
      <c r="I24" s="62"/>
      <c r="J24" s="64"/>
      <c r="K24" s="62"/>
      <c r="L24" s="62"/>
      <c r="M24" s="20"/>
      <c r="N24" s="19"/>
    </row>
    <row r="25" spans="2:15" ht="38.1" customHeight="1" thickBot="1">
      <c r="B25" s="843" t="s">
        <v>48</v>
      </c>
      <c r="C25" s="844"/>
      <c r="D25" s="844"/>
      <c r="E25" s="844"/>
      <c r="F25" s="844"/>
      <c r="G25" s="844"/>
      <c r="H25" s="844"/>
      <c r="I25" s="894">
        <f>L17*84.01+L18*84.01+L19*77.98+L20*109.25+96.89+2593.82+138.34</f>
        <v>3837.1700000000005</v>
      </c>
      <c r="J25" s="895"/>
      <c r="K25" s="895"/>
      <c r="L25" s="896"/>
      <c r="M25" s="89"/>
      <c r="N25" s="81"/>
      <c r="O25" s="90"/>
    </row>
    <row r="26" spans="2:15" ht="12.75" customHeight="1" thickTop="1">
      <c r="B26" s="115"/>
      <c r="C26" s="115"/>
      <c r="D26" s="115"/>
      <c r="E26" s="115"/>
      <c r="F26" s="115"/>
      <c r="G26" s="115"/>
      <c r="H26" s="115"/>
      <c r="I26" s="116"/>
      <c r="J26" s="116"/>
      <c r="K26" s="116"/>
      <c r="L26" s="116"/>
      <c r="N26" s="117"/>
      <c r="O26" s="90"/>
    </row>
    <row r="27" spans="2:15" ht="20.100000000000001" customHeight="1">
      <c r="B27" s="29" t="s">
        <v>192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2:15" ht="20.100000000000001" customHeight="1">
      <c r="B28" s="29" t="s">
        <v>18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2:15" ht="20.100000000000001" customHeight="1" thickBot="1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2:15" s="6" customFormat="1" ht="48.75" customHeight="1" thickTop="1">
      <c r="B30" s="71" t="s">
        <v>2</v>
      </c>
      <c r="C30" s="72" t="s">
        <v>3</v>
      </c>
      <c r="D30" s="73" t="s">
        <v>4</v>
      </c>
      <c r="E30" s="72" t="s">
        <v>199</v>
      </c>
      <c r="F30" s="72" t="s">
        <v>6</v>
      </c>
      <c r="G30" s="72" t="s">
        <v>7</v>
      </c>
      <c r="H30" s="73" t="s">
        <v>8</v>
      </c>
      <c r="I30" s="72" t="s">
        <v>9</v>
      </c>
      <c r="J30" s="72" t="s">
        <v>10</v>
      </c>
      <c r="K30" s="72" t="s">
        <v>11</v>
      </c>
      <c r="L30" s="72" t="s">
        <v>12</v>
      </c>
      <c r="M30" s="72" t="s">
        <v>13</v>
      </c>
      <c r="N30" s="74" t="s">
        <v>14</v>
      </c>
    </row>
    <row r="31" spans="2:15" ht="31.5" customHeight="1">
      <c r="B31" s="863">
        <v>3</v>
      </c>
      <c r="C31" s="864" t="s">
        <v>19</v>
      </c>
      <c r="D31" s="864" t="s">
        <v>238</v>
      </c>
      <c r="E31" s="864">
        <v>152796</v>
      </c>
      <c r="F31" s="865">
        <v>40136</v>
      </c>
      <c r="G31" s="865">
        <v>40139</v>
      </c>
      <c r="H31" s="17" t="s">
        <v>45</v>
      </c>
      <c r="I31" s="84" t="s">
        <v>244</v>
      </c>
      <c r="J31" s="16">
        <v>8</v>
      </c>
      <c r="K31" s="17" t="s">
        <v>32</v>
      </c>
      <c r="L31" s="16">
        <v>22</v>
      </c>
      <c r="M31" s="18" t="s">
        <v>120</v>
      </c>
      <c r="N31" s="80" t="s">
        <v>233</v>
      </c>
    </row>
    <row r="32" spans="2:15" ht="33.75" customHeight="1">
      <c r="B32" s="852"/>
      <c r="C32" s="855"/>
      <c r="D32" s="855"/>
      <c r="E32" s="855"/>
      <c r="F32" s="839"/>
      <c r="G32" s="839"/>
      <c r="H32" s="14" t="s">
        <v>255</v>
      </c>
      <c r="I32" s="15">
        <v>3374500140</v>
      </c>
      <c r="J32" s="16">
        <v>1</v>
      </c>
      <c r="K32" s="17" t="s">
        <v>33</v>
      </c>
      <c r="L32" s="16">
        <v>41</v>
      </c>
      <c r="M32" s="18" t="s">
        <v>57</v>
      </c>
      <c r="N32" s="80" t="s">
        <v>65</v>
      </c>
    </row>
    <row r="33" spans="2:15" ht="30.75" customHeight="1">
      <c r="B33" s="852"/>
      <c r="C33" s="855"/>
      <c r="D33" s="855"/>
      <c r="E33" s="855"/>
      <c r="F33" s="839"/>
      <c r="G33" s="839"/>
      <c r="H33" s="14" t="s">
        <v>256</v>
      </c>
      <c r="I33" s="15">
        <v>3374500150</v>
      </c>
      <c r="J33" s="16">
        <v>1</v>
      </c>
      <c r="K33" s="17" t="s">
        <v>38</v>
      </c>
      <c r="L33" s="16">
        <v>90</v>
      </c>
      <c r="M33" s="18"/>
      <c r="N33" s="80" t="s">
        <v>263</v>
      </c>
    </row>
    <row r="34" spans="2:15" ht="36" customHeight="1">
      <c r="B34" s="852"/>
      <c r="C34" s="855"/>
      <c r="D34" s="855"/>
      <c r="E34" s="855"/>
      <c r="F34" s="839"/>
      <c r="G34" s="839"/>
      <c r="H34" s="14" t="s">
        <v>257</v>
      </c>
      <c r="I34" s="84" t="s">
        <v>186</v>
      </c>
      <c r="J34" s="16">
        <v>2</v>
      </c>
      <c r="K34" s="17" t="s">
        <v>34</v>
      </c>
      <c r="L34" s="16">
        <v>8</v>
      </c>
      <c r="M34" s="18"/>
      <c r="N34" s="19"/>
    </row>
    <row r="35" spans="2:15" ht="31.5" customHeight="1">
      <c r="B35" s="852"/>
      <c r="C35" s="855"/>
      <c r="D35" s="855"/>
      <c r="E35" s="855"/>
      <c r="F35" s="839"/>
      <c r="G35" s="839"/>
      <c r="H35" s="14" t="s">
        <v>258</v>
      </c>
      <c r="I35" s="84" t="s">
        <v>259</v>
      </c>
      <c r="J35" s="16">
        <v>2</v>
      </c>
      <c r="K35" s="17"/>
      <c r="L35" s="16"/>
      <c r="M35" s="18"/>
      <c r="N35" s="19"/>
    </row>
    <row r="36" spans="2:15" ht="24.95" customHeight="1">
      <c r="B36" s="852"/>
      <c r="C36" s="855"/>
      <c r="D36" s="855"/>
      <c r="E36" s="855"/>
      <c r="F36" s="839"/>
      <c r="G36" s="839"/>
      <c r="H36" s="14" t="s">
        <v>260</v>
      </c>
      <c r="I36" s="15">
        <v>3389800650</v>
      </c>
      <c r="J36" s="16">
        <v>1</v>
      </c>
      <c r="K36" s="17"/>
      <c r="L36" s="16"/>
      <c r="M36" s="18"/>
      <c r="N36" s="19"/>
    </row>
    <row r="37" spans="2:15" ht="24.95" customHeight="1">
      <c r="B37" s="852"/>
      <c r="C37" s="855"/>
      <c r="D37" s="855"/>
      <c r="E37" s="855"/>
      <c r="F37" s="839"/>
      <c r="G37" s="839"/>
      <c r="H37" s="14" t="s">
        <v>175</v>
      </c>
      <c r="I37" s="63">
        <v>3423004920</v>
      </c>
      <c r="J37" s="64">
        <v>8</v>
      </c>
      <c r="K37" s="62"/>
      <c r="L37" s="64"/>
      <c r="M37" s="18"/>
      <c r="N37" s="19"/>
    </row>
    <row r="38" spans="2:15" ht="24.95" customHeight="1">
      <c r="B38" s="852"/>
      <c r="C38" s="855"/>
      <c r="D38" s="855"/>
      <c r="E38" s="855"/>
      <c r="F38" s="839"/>
      <c r="G38" s="839"/>
      <c r="H38" s="14" t="s">
        <v>261</v>
      </c>
      <c r="I38" s="63">
        <v>3443100640</v>
      </c>
      <c r="J38" s="64">
        <v>6</v>
      </c>
      <c r="K38" s="62"/>
      <c r="L38" s="64"/>
      <c r="M38" s="18"/>
      <c r="N38" s="19"/>
    </row>
    <row r="39" spans="2:15" ht="24.95" customHeight="1">
      <c r="B39" s="858"/>
      <c r="C39" s="859"/>
      <c r="D39" s="859"/>
      <c r="E39" s="859"/>
      <c r="F39" s="840"/>
      <c r="G39" s="840"/>
      <c r="H39" s="14" t="s">
        <v>262</v>
      </c>
      <c r="I39" s="63">
        <v>3443100580</v>
      </c>
      <c r="J39" s="64">
        <v>8</v>
      </c>
      <c r="K39" s="62"/>
      <c r="L39" s="64"/>
      <c r="M39" s="18"/>
      <c r="N39" s="19"/>
    </row>
    <row r="40" spans="2:15" ht="24.95" customHeight="1">
      <c r="B40" s="130"/>
      <c r="C40" s="12"/>
      <c r="D40" s="12"/>
      <c r="E40" s="18"/>
      <c r="F40" s="13"/>
      <c r="G40" s="13"/>
      <c r="H40" s="17"/>
      <c r="I40" s="62"/>
      <c r="J40" s="64"/>
      <c r="K40" s="62"/>
      <c r="L40" s="62"/>
      <c r="M40" s="20"/>
      <c r="N40" s="19"/>
    </row>
    <row r="41" spans="2:15" ht="38.1" customHeight="1" thickBot="1">
      <c r="B41" s="843" t="s">
        <v>48</v>
      </c>
      <c r="C41" s="844"/>
      <c r="D41" s="844"/>
      <c r="E41" s="844"/>
      <c r="F41" s="844"/>
      <c r="G41" s="844"/>
      <c r="H41" s="844"/>
      <c r="I41" s="894">
        <f>L31*84.01+L32*84.01+L33*77.98+L34*109.25+799.2+733.44+2274.03+756.32+532.68+799.57+4029.36+1254.97+3540+3086.24+80.21+5627.84</f>
        <v>36698.69</v>
      </c>
      <c r="J41" s="895"/>
      <c r="K41" s="895"/>
      <c r="L41" s="896"/>
      <c r="M41" s="96"/>
      <c r="N41" s="83"/>
      <c r="O41" s="90"/>
    </row>
    <row r="42" spans="2:15" ht="16.5" customHeight="1" thickTop="1" thickBot="1">
      <c r="B42" s="115"/>
      <c r="C42" s="115"/>
      <c r="D42" s="115"/>
      <c r="E42" s="115"/>
      <c r="F42" s="115"/>
      <c r="G42" s="115"/>
      <c r="H42" s="115"/>
      <c r="I42" s="116"/>
      <c r="J42" s="116"/>
      <c r="K42" s="116"/>
      <c r="L42" s="116"/>
      <c r="M42" s="39"/>
      <c r="N42" s="117"/>
      <c r="O42" s="90"/>
    </row>
    <row r="43" spans="2:15" s="6" customFormat="1" ht="48.75" customHeight="1" thickTop="1">
      <c r="B43" s="71" t="s">
        <v>2</v>
      </c>
      <c r="C43" s="72" t="s">
        <v>3</v>
      </c>
      <c r="D43" s="73" t="s">
        <v>4</v>
      </c>
      <c r="E43" s="72" t="s">
        <v>199</v>
      </c>
      <c r="F43" s="72" t="s">
        <v>6</v>
      </c>
      <c r="G43" s="72" t="s">
        <v>7</v>
      </c>
      <c r="H43" s="73" t="s">
        <v>8</v>
      </c>
      <c r="I43" s="72" t="s">
        <v>9</v>
      </c>
      <c r="J43" s="72" t="s">
        <v>10</v>
      </c>
      <c r="K43" s="72" t="s">
        <v>11</v>
      </c>
      <c r="L43" s="72" t="s">
        <v>12</v>
      </c>
      <c r="M43" s="72" t="s">
        <v>13</v>
      </c>
      <c r="N43" s="74" t="s">
        <v>14</v>
      </c>
    </row>
    <row r="44" spans="2:15" ht="24.95" customHeight="1">
      <c r="B44" s="872">
        <v>4</v>
      </c>
      <c r="C44" s="873" t="s">
        <v>27</v>
      </c>
      <c r="D44" s="873" t="s">
        <v>240</v>
      </c>
      <c r="E44" s="873"/>
      <c r="F44" s="874">
        <v>40137</v>
      </c>
      <c r="G44" s="874">
        <v>40141</v>
      </c>
      <c r="H44" s="17" t="s">
        <v>233</v>
      </c>
      <c r="I44" s="15"/>
      <c r="J44" s="16">
        <v>4</v>
      </c>
      <c r="K44" s="17" t="s">
        <v>32</v>
      </c>
      <c r="L44" s="16">
        <v>18</v>
      </c>
      <c r="M44" s="18" t="s">
        <v>43</v>
      </c>
      <c r="N44" s="80" t="s">
        <v>210</v>
      </c>
    </row>
    <row r="45" spans="2:15" ht="24.95" customHeight="1">
      <c r="B45" s="872"/>
      <c r="C45" s="873"/>
      <c r="D45" s="873"/>
      <c r="E45" s="873"/>
      <c r="F45" s="874"/>
      <c r="G45" s="874"/>
      <c r="H45" s="14" t="s">
        <v>278</v>
      </c>
      <c r="I45" s="15">
        <v>3443100580</v>
      </c>
      <c r="J45" s="16">
        <v>1</v>
      </c>
      <c r="K45" s="17" t="s">
        <v>32</v>
      </c>
      <c r="L45" s="16">
        <v>2</v>
      </c>
      <c r="M45" s="18" t="s">
        <v>58</v>
      </c>
      <c r="N45" s="80" t="s">
        <v>268</v>
      </c>
    </row>
    <row r="46" spans="2:15" ht="24.95" customHeight="1">
      <c r="B46" s="872"/>
      <c r="C46" s="873"/>
      <c r="D46" s="873"/>
      <c r="E46" s="873"/>
      <c r="F46" s="874"/>
      <c r="G46" s="874"/>
      <c r="H46" s="14"/>
      <c r="I46" s="15"/>
      <c r="J46" s="16"/>
      <c r="K46" s="17" t="s">
        <v>33</v>
      </c>
      <c r="L46" s="16">
        <v>19</v>
      </c>
      <c r="M46" s="18"/>
      <c r="N46" s="80" t="s">
        <v>269</v>
      </c>
    </row>
    <row r="47" spans="2:15" ht="24.95" customHeight="1">
      <c r="B47" s="872"/>
      <c r="C47" s="873"/>
      <c r="D47" s="873"/>
      <c r="E47" s="873"/>
      <c r="F47" s="874"/>
      <c r="G47" s="874"/>
      <c r="H47" s="14"/>
      <c r="I47" s="15"/>
      <c r="J47" s="16"/>
      <c r="K47" s="17" t="s">
        <v>34</v>
      </c>
      <c r="L47" s="16">
        <v>3</v>
      </c>
      <c r="M47" s="18"/>
      <c r="N47" s="19" t="s">
        <v>45</v>
      </c>
    </row>
    <row r="48" spans="2:15" ht="24.95" customHeight="1">
      <c r="B48" s="872"/>
      <c r="C48" s="873"/>
      <c r="D48" s="873"/>
      <c r="E48" s="873"/>
      <c r="F48" s="874"/>
      <c r="G48" s="874"/>
      <c r="H48" s="14"/>
      <c r="I48" s="15"/>
      <c r="J48" s="16"/>
      <c r="K48" s="17"/>
      <c r="L48" s="16"/>
      <c r="M48" s="18"/>
      <c r="N48" s="19" t="s">
        <v>270</v>
      </c>
    </row>
    <row r="49" spans="2:15" ht="24.95" hidden="1" customHeight="1">
      <c r="B49" s="872"/>
      <c r="C49" s="873"/>
      <c r="D49" s="873"/>
      <c r="E49" s="873"/>
      <c r="F49" s="874"/>
      <c r="G49" s="874"/>
      <c r="H49" s="14"/>
      <c r="I49" s="15"/>
      <c r="J49" s="16"/>
      <c r="K49" s="17"/>
      <c r="L49" s="16"/>
      <c r="M49" s="18"/>
      <c r="N49" s="19"/>
    </row>
    <row r="50" spans="2:15" ht="24.95" hidden="1" customHeight="1">
      <c r="B50" s="130"/>
      <c r="C50" s="12"/>
      <c r="D50" s="12"/>
      <c r="E50" s="18"/>
      <c r="F50" s="13"/>
      <c r="G50" s="13"/>
      <c r="H50" s="17"/>
      <c r="I50" s="62"/>
      <c r="J50" s="64"/>
      <c r="K50" s="62"/>
      <c r="L50" s="62"/>
      <c r="M50" s="20"/>
      <c r="N50" s="19"/>
    </row>
    <row r="51" spans="2:15" ht="38.1" customHeight="1" thickBot="1">
      <c r="B51" s="868" t="s">
        <v>48</v>
      </c>
      <c r="C51" s="869"/>
      <c r="D51" s="869"/>
      <c r="E51" s="869"/>
      <c r="F51" s="869"/>
      <c r="G51" s="869"/>
      <c r="H51" s="869"/>
      <c r="I51" s="894">
        <f>L44*84.01+L45*84.01+L46*77.98+L47*109.25+91.68</f>
        <v>3581.25</v>
      </c>
      <c r="J51" s="895"/>
      <c r="K51" s="895"/>
      <c r="L51" s="896"/>
      <c r="M51" s="138"/>
      <c r="N51" s="81"/>
      <c r="O51" s="90"/>
    </row>
    <row r="52" spans="2:15" ht="13.5" customHeight="1" thickTop="1" thickBot="1">
      <c r="B52" s="115"/>
      <c r="C52" s="115"/>
      <c r="D52" s="115"/>
      <c r="E52" s="115"/>
      <c r="F52" s="115"/>
      <c r="G52" s="115"/>
      <c r="H52" s="115"/>
      <c r="I52" s="116"/>
      <c r="J52" s="116"/>
      <c r="K52" s="116"/>
      <c r="L52" s="116"/>
      <c r="M52" s="39"/>
      <c r="N52" s="117"/>
      <c r="O52" s="90"/>
    </row>
    <row r="53" spans="2:15" s="6" customFormat="1" ht="48.75" customHeight="1" thickTop="1">
      <c r="B53" s="71" t="s">
        <v>2</v>
      </c>
      <c r="C53" s="72" t="s">
        <v>3</v>
      </c>
      <c r="D53" s="73" t="s">
        <v>4</v>
      </c>
      <c r="E53" s="72" t="s">
        <v>199</v>
      </c>
      <c r="F53" s="72" t="s">
        <v>6</v>
      </c>
      <c r="G53" s="72" t="s">
        <v>7</v>
      </c>
      <c r="H53" s="73" t="s">
        <v>8</v>
      </c>
      <c r="I53" s="72" t="s">
        <v>9</v>
      </c>
      <c r="J53" s="72" t="s">
        <v>10</v>
      </c>
      <c r="K53" s="72" t="s">
        <v>11</v>
      </c>
      <c r="L53" s="72" t="s">
        <v>12</v>
      </c>
      <c r="M53" s="72" t="s">
        <v>13</v>
      </c>
      <c r="N53" s="74" t="s">
        <v>14</v>
      </c>
    </row>
    <row r="54" spans="2:15" ht="24.95" customHeight="1">
      <c r="B54" s="863">
        <v>5</v>
      </c>
      <c r="C54" s="864" t="s">
        <v>237</v>
      </c>
      <c r="D54" s="864" t="s">
        <v>239</v>
      </c>
      <c r="E54" s="864">
        <v>211693</v>
      </c>
      <c r="F54" s="865">
        <v>40137</v>
      </c>
      <c r="G54" s="865">
        <v>40141</v>
      </c>
      <c r="H54" s="17" t="s">
        <v>45</v>
      </c>
      <c r="I54" s="15"/>
      <c r="J54" s="16">
        <v>4</v>
      </c>
      <c r="K54" s="17" t="s">
        <v>32</v>
      </c>
      <c r="L54" s="16">
        <v>15</v>
      </c>
      <c r="M54" s="18" t="s">
        <v>120</v>
      </c>
      <c r="N54" s="80" t="s">
        <v>233</v>
      </c>
    </row>
    <row r="55" spans="2:15" ht="24.95" customHeight="1">
      <c r="B55" s="852"/>
      <c r="C55" s="855"/>
      <c r="D55" s="855"/>
      <c r="E55" s="855"/>
      <c r="F55" s="839"/>
      <c r="G55" s="839"/>
      <c r="H55" s="14" t="s">
        <v>203</v>
      </c>
      <c r="I55" s="15" t="s">
        <v>266</v>
      </c>
      <c r="J55" s="16">
        <v>5</v>
      </c>
      <c r="K55" s="17" t="s">
        <v>33</v>
      </c>
      <c r="L55" s="16">
        <v>40</v>
      </c>
      <c r="M55" s="18" t="s">
        <v>57</v>
      </c>
      <c r="N55" s="80"/>
    </row>
    <row r="56" spans="2:15" ht="24.95" customHeight="1">
      <c r="B56" s="852"/>
      <c r="C56" s="855"/>
      <c r="D56" s="855"/>
      <c r="E56" s="855"/>
      <c r="F56" s="839"/>
      <c r="G56" s="839"/>
      <c r="H56" s="14" t="s">
        <v>207</v>
      </c>
      <c r="I56" s="15" t="s">
        <v>267</v>
      </c>
      <c r="J56" s="16">
        <v>2</v>
      </c>
      <c r="K56" s="17" t="s">
        <v>34</v>
      </c>
      <c r="L56" s="16">
        <v>8</v>
      </c>
      <c r="M56" s="18"/>
      <c r="N56" s="80"/>
    </row>
    <row r="57" spans="2:15" ht="24.95" hidden="1" customHeight="1">
      <c r="B57" s="852"/>
      <c r="C57" s="855"/>
      <c r="D57" s="855"/>
      <c r="E57" s="855"/>
      <c r="F57" s="839"/>
      <c r="G57" s="839"/>
      <c r="H57" s="14"/>
      <c r="I57" s="15"/>
      <c r="J57" s="16"/>
      <c r="K57" s="17"/>
      <c r="L57" s="16"/>
      <c r="M57" s="18"/>
      <c r="N57" s="19"/>
    </row>
    <row r="58" spans="2:15" ht="24.95" hidden="1" customHeight="1">
      <c r="B58" s="852"/>
      <c r="C58" s="855"/>
      <c r="D58" s="855"/>
      <c r="E58" s="855"/>
      <c r="F58" s="839"/>
      <c r="G58" s="839"/>
      <c r="H58" s="14"/>
      <c r="I58" s="15"/>
      <c r="J58" s="16"/>
      <c r="K58" s="17"/>
      <c r="L58" s="16"/>
      <c r="M58" s="18"/>
      <c r="N58" s="19"/>
    </row>
    <row r="59" spans="2:15" ht="24.95" hidden="1" customHeight="1">
      <c r="B59" s="858"/>
      <c r="C59" s="859"/>
      <c r="D59" s="859"/>
      <c r="E59" s="859"/>
      <c r="F59" s="840"/>
      <c r="G59" s="840"/>
      <c r="H59" s="14"/>
      <c r="I59" s="15"/>
      <c r="J59" s="16"/>
      <c r="K59" s="17"/>
      <c r="L59" s="16"/>
      <c r="M59" s="18"/>
      <c r="N59" s="19"/>
    </row>
    <row r="60" spans="2:15" ht="24.95" hidden="1" customHeight="1">
      <c r="B60" s="130"/>
      <c r="C60" s="12"/>
      <c r="D60" s="12"/>
      <c r="E60" s="18"/>
      <c r="F60" s="13"/>
      <c r="G60" s="13"/>
      <c r="H60" s="17"/>
      <c r="I60" s="62"/>
      <c r="J60" s="64"/>
      <c r="K60" s="62"/>
      <c r="L60" s="62"/>
      <c r="M60" s="20"/>
      <c r="N60" s="19"/>
    </row>
    <row r="61" spans="2:15" ht="38.1" customHeight="1" thickBot="1">
      <c r="B61" s="868" t="s">
        <v>48</v>
      </c>
      <c r="C61" s="869"/>
      <c r="D61" s="869"/>
      <c r="E61" s="869"/>
      <c r="F61" s="869"/>
      <c r="G61" s="869"/>
      <c r="H61" s="869"/>
      <c r="I61" s="894">
        <f>L54*84.01+L55*84.01+L56+109.25+1739.15+814.53</f>
        <v>7291.4800000000005</v>
      </c>
      <c r="J61" s="895"/>
      <c r="K61" s="895"/>
      <c r="L61" s="896"/>
      <c r="M61" s="138"/>
      <c r="N61" s="81"/>
      <c r="O61" s="90"/>
    </row>
    <row r="62" spans="2:15" ht="9.75" customHeight="1" thickTop="1">
      <c r="B62" s="115"/>
      <c r="C62" s="115"/>
      <c r="D62" s="115"/>
      <c r="E62" s="115"/>
      <c r="F62" s="115"/>
      <c r="G62" s="115"/>
      <c r="H62" s="115"/>
      <c r="I62" s="116"/>
      <c r="J62" s="116"/>
      <c r="K62" s="116"/>
      <c r="L62" s="116"/>
      <c r="M62" s="39"/>
      <c r="N62" s="117"/>
      <c r="O62" s="90"/>
    </row>
    <row r="63" spans="2:15" ht="20.100000000000001" customHeight="1">
      <c r="B63" s="29" t="s">
        <v>192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spans="2:15" ht="20.100000000000001" customHeight="1">
      <c r="B64" s="29" t="s">
        <v>18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2:15" ht="8.25" customHeight="1" thickBot="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2:15" s="6" customFormat="1" ht="48.75" customHeight="1" thickTop="1">
      <c r="B66" s="71" t="s">
        <v>2</v>
      </c>
      <c r="C66" s="72" t="s">
        <v>3</v>
      </c>
      <c r="D66" s="73" t="s">
        <v>4</v>
      </c>
      <c r="E66" s="72" t="s">
        <v>199</v>
      </c>
      <c r="F66" s="72" t="s">
        <v>6</v>
      </c>
      <c r="G66" s="72" t="s">
        <v>7</v>
      </c>
      <c r="H66" s="73" t="s">
        <v>8</v>
      </c>
      <c r="I66" s="72" t="s">
        <v>9</v>
      </c>
      <c r="J66" s="72" t="s">
        <v>10</v>
      </c>
      <c r="K66" s="72" t="s">
        <v>11</v>
      </c>
      <c r="L66" s="72" t="s">
        <v>12</v>
      </c>
      <c r="M66" s="72" t="s">
        <v>13</v>
      </c>
      <c r="N66" s="74" t="s">
        <v>14</v>
      </c>
    </row>
    <row r="67" spans="2:15" ht="30.75" customHeight="1">
      <c r="B67" s="863">
        <v>6</v>
      </c>
      <c r="C67" s="864" t="s">
        <v>19</v>
      </c>
      <c r="D67" s="864" t="s">
        <v>264</v>
      </c>
      <c r="E67" s="864">
        <v>131978</v>
      </c>
      <c r="F67" s="865">
        <v>40141</v>
      </c>
      <c r="G67" s="865">
        <v>40143</v>
      </c>
      <c r="H67" s="17" t="s">
        <v>285</v>
      </c>
      <c r="I67" s="84" t="s">
        <v>244</v>
      </c>
      <c r="J67" s="16">
        <v>8</v>
      </c>
      <c r="K67" s="17" t="s">
        <v>32</v>
      </c>
      <c r="L67" s="16">
        <v>22</v>
      </c>
      <c r="M67" s="18" t="s">
        <v>292</v>
      </c>
      <c r="N67" s="80" t="s">
        <v>133</v>
      </c>
    </row>
    <row r="68" spans="2:15" ht="24.95" customHeight="1">
      <c r="B68" s="852"/>
      <c r="C68" s="855"/>
      <c r="D68" s="855"/>
      <c r="E68" s="855"/>
      <c r="F68" s="839"/>
      <c r="G68" s="839"/>
      <c r="H68" s="14" t="s">
        <v>286</v>
      </c>
      <c r="I68" s="133" t="s">
        <v>287</v>
      </c>
      <c r="J68" s="16">
        <v>16</v>
      </c>
      <c r="K68" s="17" t="s">
        <v>33</v>
      </c>
      <c r="L68" s="16">
        <v>41</v>
      </c>
      <c r="M68" s="18" t="s">
        <v>293</v>
      </c>
      <c r="N68" s="80"/>
    </row>
    <row r="69" spans="2:15" ht="24.95" customHeight="1">
      <c r="B69" s="852"/>
      <c r="C69" s="855"/>
      <c r="D69" s="855"/>
      <c r="E69" s="855"/>
      <c r="F69" s="839"/>
      <c r="G69" s="839"/>
      <c r="H69" s="14" t="s">
        <v>288</v>
      </c>
      <c r="I69" s="15">
        <v>3453201160</v>
      </c>
      <c r="J69" s="16">
        <v>1</v>
      </c>
      <c r="K69" s="17" t="s">
        <v>38</v>
      </c>
      <c r="L69" s="16">
        <v>90</v>
      </c>
      <c r="M69" s="18"/>
      <c r="N69" s="80"/>
    </row>
    <row r="70" spans="2:15" ht="33.75" customHeight="1">
      <c r="B70" s="852"/>
      <c r="C70" s="855"/>
      <c r="D70" s="855"/>
      <c r="E70" s="855"/>
      <c r="F70" s="839"/>
      <c r="G70" s="839"/>
      <c r="H70" s="14" t="s">
        <v>289</v>
      </c>
      <c r="I70" s="15">
        <v>3389800650</v>
      </c>
      <c r="J70" s="16">
        <v>2</v>
      </c>
      <c r="K70" s="17" t="s">
        <v>34</v>
      </c>
      <c r="L70" s="16">
        <v>8</v>
      </c>
      <c r="M70" s="18"/>
      <c r="N70" s="19"/>
    </row>
    <row r="71" spans="2:15" ht="24.95" customHeight="1">
      <c r="B71" s="852"/>
      <c r="C71" s="855"/>
      <c r="D71" s="855"/>
      <c r="E71" s="855"/>
      <c r="F71" s="839"/>
      <c r="G71" s="839"/>
      <c r="H71" s="14" t="s">
        <v>175</v>
      </c>
      <c r="I71" s="15">
        <v>3423004920</v>
      </c>
      <c r="J71" s="16">
        <v>4</v>
      </c>
      <c r="K71" s="17"/>
      <c r="L71" s="16"/>
      <c r="M71" s="18"/>
      <c r="N71" s="19"/>
    </row>
    <row r="72" spans="2:15" ht="24.95" customHeight="1">
      <c r="B72" s="852"/>
      <c r="C72" s="855"/>
      <c r="D72" s="855"/>
      <c r="E72" s="855"/>
      <c r="F72" s="839"/>
      <c r="G72" s="839"/>
      <c r="H72" s="14" t="s">
        <v>290</v>
      </c>
      <c r="I72" s="15">
        <v>3840000030</v>
      </c>
      <c r="J72" s="16">
        <v>1</v>
      </c>
      <c r="K72" s="17"/>
      <c r="L72" s="16"/>
      <c r="M72" s="18"/>
      <c r="N72" s="19"/>
    </row>
    <row r="73" spans="2:15" ht="24.95" customHeight="1">
      <c r="B73" s="852"/>
      <c r="C73" s="855"/>
      <c r="D73" s="855"/>
      <c r="E73" s="855"/>
      <c r="F73" s="839"/>
      <c r="G73" s="839"/>
      <c r="H73" s="14" t="s">
        <v>243</v>
      </c>
      <c r="I73" s="63">
        <v>3414200890</v>
      </c>
      <c r="J73" s="64">
        <v>2</v>
      </c>
      <c r="K73" s="62"/>
      <c r="L73" s="64"/>
      <c r="M73" s="18"/>
      <c r="N73" s="19"/>
    </row>
    <row r="74" spans="2:15" ht="24.95" customHeight="1">
      <c r="B74" s="858"/>
      <c r="C74" s="859"/>
      <c r="D74" s="859"/>
      <c r="E74" s="859"/>
      <c r="F74" s="840"/>
      <c r="G74" s="840"/>
      <c r="H74" s="17" t="s">
        <v>291</v>
      </c>
      <c r="I74" s="63">
        <v>3715110054</v>
      </c>
      <c r="J74" s="64">
        <v>2</v>
      </c>
      <c r="K74" s="62"/>
      <c r="L74" s="62"/>
      <c r="M74" s="20"/>
      <c r="N74" s="19"/>
    </row>
    <row r="75" spans="2:15" ht="38.1" customHeight="1" thickBot="1">
      <c r="B75" s="843" t="s">
        <v>48</v>
      </c>
      <c r="C75" s="844"/>
      <c r="D75" s="844"/>
      <c r="E75" s="844"/>
      <c r="F75" s="844"/>
      <c r="G75" s="844"/>
      <c r="H75" s="844"/>
      <c r="I75" s="894">
        <f>L67*84.01+L68*84.01+L69*77.98+L70*109.25+7667.47+3540+3086.24+160.42+462.59+246.38+168.76+2813.92</f>
        <v>31330.61</v>
      </c>
      <c r="J75" s="895"/>
      <c r="K75" s="895"/>
      <c r="L75" s="896"/>
      <c r="M75" s="96"/>
      <c r="N75" s="83"/>
      <c r="O75" s="90"/>
    </row>
    <row r="76" spans="2:15" ht="16.5" customHeight="1" thickTop="1" thickBot="1">
      <c r="B76" s="115"/>
      <c r="C76" s="115"/>
      <c r="D76" s="115"/>
      <c r="E76" s="115"/>
      <c r="F76" s="115"/>
      <c r="G76" s="115"/>
      <c r="H76" s="115"/>
      <c r="I76" s="116"/>
      <c r="J76" s="116"/>
      <c r="K76" s="116"/>
      <c r="L76" s="116"/>
      <c r="M76" s="39"/>
      <c r="N76" s="117"/>
      <c r="O76" s="90"/>
    </row>
    <row r="77" spans="2:15" s="6" customFormat="1" ht="48.75" customHeight="1" thickTop="1">
      <c r="B77" s="71" t="s">
        <v>2</v>
      </c>
      <c r="C77" s="72" t="s">
        <v>3</v>
      </c>
      <c r="D77" s="73" t="s">
        <v>4</v>
      </c>
      <c r="E77" s="72" t="s">
        <v>199</v>
      </c>
      <c r="F77" s="72" t="s">
        <v>6</v>
      </c>
      <c r="G77" s="72" t="s">
        <v>7</v>
      </c>
      <c r="H77" s="73" t="s">
        <v>8</v>
      </c>
      <c r="I77" s="72" t="s">
        <v>9</v>
      </c>
      <c r="J77" s="72" t="s">
        <v>10</v>
      </c>
      <c r="K77" s="72" t="s">
        <v>11</v>
      </c>
      <c r="L77" s="72" t="s">
        <v>12</v>
      </c>
      <c r="M77" s="72" t="s">
        <v>13</v>
      </c>
      <c r="N77" s="74" t="s">
        <v>14</v>
      </c>
    </row>
    <row r="78" spans="2:15" ht="24.95" customHeight="1">
      <c r="B78" s="863">
        <v>7</v>
      </c>
      <c r="C78" s="897" t="s">
        <v>271</v>
      </c>
      <c r="D78" s="864" t="s">
        <v>272</v>
      </c>
      <c r="E78" s="864">
        <v>124168</v>
      </c>
      <c r="F78" s="865">
        <v>40141</v>
      </c>
      <c r="G78" s="865">
        <v>40141</v>
      </c>
      <c r="H78" s="17"/>
      <c r="I78" s="15"/>
      <c r="J78" s="16"/>
      <c r="K78" s="17" t="s">
        <v>32</v>
      </c>
      <c r="L78" s="16">
        <v>6</v>
      </c>
      <c r="M78" s="18" t="s">
        <v>120</v>
      </c>
      <c r="N78" s="80"/>
    </row>
    <row r="79" spans="2:15" ht="24.95" customHeight="1">
      <c r="B79" s="852"/>
      <c r="C79" s="898"/>
      <c r="D79" s="855"/>
      <c r="E79" s="855"/>
      <c r="F79" s="839"/>
      <c r="G79" s="839"/>
      <c r="H79" s="14"/>
      <c r="I79" s="15"/>
      <c r="J79" s="16"/>
      <c r="K79" s="17" t="s">
        <v>32</v>
      </c>
      <c r="L79" s="16">
        <v>4</v>
      </c>
      <c r="M79" s="18" t="s">
        <v>37</v>
      </c>
      <c r="N79" s="80"/>
    </row>
    <row r="80" spans="2:15" ht="24.95" hidden="1" customHeight="1">
      <c r="B80" s="858"/>
      <c r="C80" s="899"/>
      <c r="D80" s="859"/>
      <c r="E80" s="859"/>
      <c r="F80" s="840"/>
      <c r="G80" s="840"/>
      <c r="H80" s="14"/>
      <c r="I80" s="15"/>
      <c r="J80" s="16"/>
      <c r="K80" s="17"/>
      <c r="L80" s="16"/>
      <c r="M80" s="18"/>
      <c r="N80" s="80"/>
    </row>
    <row r="81" spans="2:15" ht="24.95" hidden="1" customHeight="1">
      <c r="B81" s="128"/>
      <c r="C81" s="129"/>
      <c r="D81" s="129"/>
      <c r="E81" s="129"/>
      <c r="F81" s="126"/>
      <c r="G81" s="126"/>
      <c r="H81" s="14"/>
      <c r="I81" s="15"/>
      <c r="J81" s="16"/>
      <c r="K81" s="17"/>
      <c r="L81" s="16"/>
      <c r="M81" s="18"/>
      <c r="N81" s="19"/>
    </row>
    <row r="82" spans="2:15" ht="24.95" hidden="1" customHeight="1">
      <c r="B82" s="128"/>
      <c r="C82" s="129"/>
      <c r="D82" s="129"/>
      <c r="E82" s="129"/>
      <c r="F82" s="126"/>
      <c r="G82" s="126"/>
      <c r="H82" s="14"/>
      <c r="I82" s="15"/>
      <c r="J82" s="16"/>
      <c r="K82" s="17"/>
      <c r="L82" s="16"/>
      <c r="M82" s="18"/>
      <c r="N82" s="19"/>
    </row>
    <row r="83" spans="2:15" ht="24.95" hidden="1" customHeight="1">
      <c r="B83" s="128"/>
      <c r="C83" s="129"/>
      <c r="D83" s="129"/>
      <c r="E83" s="129"/>
      <c r="F83" s="126"/>
      <c r="G83" s="126"/>
      <c r="H83" s="14"/>
      <c r="I83" s="15"/>
      <c r="J83" s="16"/>
      <c r="K83" s="17"/>
      <c r="L83" s="16"/>
      <c r="M83" s="18"/>
      <c r="N83" s="19"/>
    </row>
    <row r="84" spans="2:15" ht="24.95" hidden="1" customHeight="1">
      <c r="B84" s="128"/>
      <c r="C84" s="129"/>
      <c r="D84" s="129"/>
      <c r="E84" s="129"/>
      <c r="F84" s="126"/>
      <c r="G84" s="126"/>
      <c r="H84" s="14"/>
      <c r="I84" s="15"/>
      <c r="J84" s="16"/>
      <c r="K84" s="17"/>
      <c r="L84" s="16"/>
      <c r="M84" s="18"/>
      <c r="N84" s="19"/>
    </row>
    <row r="85" spans="2:15" ht="24.95" customHeight="1">
      <c r="B85" s="130"/>
      <c r="C85" s="12"/>
      <c r="D85" s="12"/>
      <c r="E85" s="18"/>
      <c r="F85" s="13"/>
      <c r="G85" s="13"/>
      <c r="H85" s="17"/>
      <c r="I85" s="62"/>
      <c r="J85" s="64"/>
      <c r="K85" s="62"/>
      <c r="L85" s="62"/>
      <c r="M85" s="20"/>
      <c r="N85" s="19"/>
    </row>
    <row r="86" spans="2:15" ht="38.1" customHeight="1" thickBot="1">
      <c r="B86" s="843" t="s">
        <v>48</v>
      </c>
      <c r="C86" s="844"/>
      <c r="D86" s="844"/>
      <c r="E86" s="844"/>
      <c r="F86" s="844"/>
      <c r="G86" s="844"/>
      <c r="H86" s="844"/>
      <c r="I86" s="894">
        <f>L78*84.01+L79*84.01+L80*77.98+L81*109.25</f>
        <v>840.10000000000014</v>
      </c>
      <c r="J86" s="895"/>
      <c r="K86" s="895"/>
      <c r="L86" s="896"/>
      <c r="M86" s="96"/>
      <c r="N86" s="81"/>
      <c r="O86" s="90"/>
    </row>
    <row r="87" spans="2:15" ht="18.75" customHeight="1" thickTop="1" thickBot="1">
      <c r="B87" s="115"/>
      <c r="C87" s="115"/>
      <c r="D87" s="115"/>
      <c r="E87" s="115"/>
      <c r="F87" s="115"/>
      <c r="G87" s="115"/>
      <c r="H87" s="115"/>
      <c r="I87" s="116"/>
      <c r="J87" s="116"/>
      <c r="K87" s="116"/>
      <c r="L87" s="116"/>
      <c r="M87" s="39"/>
      <c r="N87" s="117"/>
      <c r="O87" s="90"/>
    </row>
    <row r="88" spans="2:15" s="6" customFormat="1" ht="48.75" customHeight="1" thickTop="1">
      <c r="B88" s="71" t="s">
        <v>2</v>
      </c>
      <c r="C88" s="72" t="s">
        <v>3</v>
      </c>
      <c r="D88" s="73" t="s">
        <v>4</v>
      </c>
      <c r="E88" s="72" t="s">
        <v>199</v>
      </c>
      <c r="F88" s="72" t="s">
        <v>6</v>
      </c>
      <c r="G88" s="72" t="s">
        <v>7</v>
      </c>
      <c r="H88" s="73" t="s">
        <v>8</v>
      </c>
      <c r="I88" s="72" t="s">
        <v>9</v>
      </c>
      <c r="J88" s="72" t="s">
        <v>10</v>
      </c>
      <c r="K88" s="72" t="s">
        <v>11</v>
      </c>
      <c r="L88" s="72" t="s">
        <v>12</v>
      </c>
      <c r="M88" s="72" t="s">
        <v>13</v>
      </c>
      <c r="N88" s="74" t="s">
        <v>14</v>
      </c>
    </row>
    <row r="89" spans="2:15" ht="24.95" customHeight="1">
      <c r="B89" s="863">
        <v>8</v>
      </c>
      <c r="C89" s="897" t="s">
        <v>226</v>
      </c>
      <c r="D89" s="864" t="s">
        <v>273</v>
      </c>
      <c r="E89" s="864">
        <v>315688</v>
      </c>
      <c r="F89" s="865">
        <v>40142</v>
      </c>
      <c r="G89" s="865">
        <v>40143</v>
      </c>
      <c r="H89" s="17" t="s">
        <v>281</v>
      </c>
      <c r="I89" s="15" t="s">
        <v>284</v>
      </c>
      <c r="J89" s="16">
        <v>1</v>
      </c>
      <c r="K89" s="17" t="s">
        <v>32</v>
      </c>
      <c r="L89" s="16">
        <v>5</v>
      </c>
      <c r="M89" s="18" t="s">
        <v>143</v>
      </c>
      <c r="N89" s="80"/>
    </row>
    <row r="90" spans="2:15" ht="24.95" customHeight="1">
      <c r="B90" s="852"/>
      <c r="C90" s="898"/>
      <c r="D90" s="855"/>
      <c r="E90" s="855"/>
      <c r="F90" s="839"/>
      <c r="G90" s="839"/>
      <c r="H90" s="14"/>
      <c r="I90" s="15"/>
      <c r="J90" s="16"/>
      <c r="K90" s="17" t="s">
        <v>32</v>
      </c>
      <c r="L90" s="16">
        <v>7</v>
      </c>
      <c r="M90" s="18"/>
      <c r="N90" s="80"/>
    </row>
    <row r="91" spans="2:15" ht="24.95" customHeight="1">
      <c r="B91" s="858"/>
      <c r="C91" s="899"/>
      <c r="D91" s="859"/>
      <c r="E91" s="859"/>
      <c r="F91" s="840"/>
      <c r="G91" s="840"/>
      <c r="H91" s="14"/>
      <c r="I91" s="15"/>
      <c r="J91" s="16"/>
      <c r="K91" s="17"/>
      <c r="L91" s="16"/>
      <c r="M91" s="18"/>
      <c r="N91" s="80"/>
    </row>
    <row r="92" spans="2:15" ht="24.95" hidden="1" customHeight="1">
      <c r="B92" s="128"/>
      <c r="C92" s="129"/>
      <c r="D92" s="129"/>
      <c r="E92" s="129"/>
      <c r="F92" s="126"/>
      <c r="G92" s="126"/>
      <c r="H92" s="14"/>
      <c r="I92" s="15"/>
      <c r="J92" s="16"/>
      <c r="K92" s="17"/>
      <c r="L92" s="16"/>
      <c r="M92" s="18"/>
      <c r="N92" s="19"/>
    </row>
    <row r="93" spans="2:15" ht="24.95" hidden="1" customHeight="1">
      <c r="B93" s="128"/>
      <c r="C93" s="129"/>
      <c r="D93" s="129"/>
      <c r="E93" s="129"/>
      <c r="F93" s="126"/>
      <c r="G93" s="126"/>
      <c r="H93" s="14"/>
      <c r="I93" s="15"/>
      <c r="J93" s="16"/>
      <c r="K93" s="17"/>
      <c r="L93" s="16"/>
      <c r="M93" s="18"/>
      <c r="N93" s="19"/>
    </row>
    <row r="94" spans="2:15" ht="24.95" hidden="1" customHeight="1">
      <c r="B94" s="128"/>
      <c r="C94" s="129"/>
      <c r="D94" s="129"/>
      <c r="E94" s="129"/>
      <c r="F94" s="126"/>
      <c r="G94" s="126"/>
      <c r="H94" s="14"/>
      <c r="I94" s="15"/>
      <c r="J94" s="16"/>
      <c r="K94" s="17"/>
      <c r="L94" s="16"/>
      <c r="M94" s="18"/>
      <c r="N94" s="19"/>
    </row>
    <row r="95" spans="2:15" ht="24.95" hidden="1" customHeight="1">
      <c r="B95" s="128"/>
      <c r="C95" s="129"/>
      <c r="D95" s="129"/>
      <c r="E95" s="129"/>
      <c r="F95" s="126"/>
      <c r="G95" s="126"/>
      <c r="H95" s="14"/>
      <c r="I95" s="15"/>
      <c r="J95" s="16"/>
      <c r="K95" s="17"/>
      <c r="L95" s="16"/>
      <c r="M95" s="18"/>
      <c r="N95" s="19"/>
    </row>
    <row r="96" spans="2:15" ht="24.95" customHeight="1">
      <c r="B96" s="130"/>
      <c r="C96" s="12"/>
      <c r="D96" s="12"/>
      <c r="E96" s="18"/>
      <c r="F96" s="13"/>
      <c r="G96" s="13"/>
      <c r="H96" s="17"/>
      <c r="I96" s="62"/>
      <c r="J96" s="64"/>
      <c r="K96" s="62"/>
      <c r="L96" s="62"/>
      <c r="M96" s="20"/>
      <c r="N96" s="19"/>
    </row>
    <row r="97" spans="2:15" ht="38.1" customHeight="1" thickBot="1">
      <c r="B97" s="843" t="s">
        <v>48</v>
      </c>
      <c r="C97" s="844"/>
      <c r="D97" s="844"/>
      <c r="E97" s="844"/>
      <c r="F97" s="844"/>
      <c r="G97" s="844"/>
      <c r="H97" s="844"/>
      <c r="I97" s="894">
        <f>L89*84.01+L90*84.01+L91*77.98+L92*109.25+4695.62</f>
        <v>5703.74</v>
      </c>
      <c r="J97" s="895"/>
      <c r="K97" s="895"/>
      <c r="L97" s="896"/>
      <c r="M97" s="96"/>
      <c r="N97" s="81"/>
      <c r="O97" s="90"/>
    </row>
    <row r="98" spans="2:15" ht="20.100000000000001" customHeight="1" thickTop="1">
      <c r="B98" s="29" t="s">
        <v>192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</row>
    <row r="99" spans="2:15" ht="20.100000000000001" customHeight="1">
      <c r="B99" s="29" t="s">
        <v>18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</row>
  </sheetData>
  <mergeCells count="67">
    <mergeCell ref="B1:N1"/>
    <mergeCell ref="B2:N2"/>
    <mergeCell ref="B3:L3"/>
    <mergeCell ref="B97:H97"/>
    <mergeCell ref="I97:L97"/>
    <mergeCell ref="B86:H86"/>
    <mergeCell ref="I86:L86"/>
    <mergeCell ref="B78:B80"/>
    <mergeCell ref="C78:C80"/>
    <mergeCell ref="D78:D80"/>
    <mergeCell ref="E78:E80"/>
    <mergeCell ref="F78:F80"/>
    <mergeCell ref="G78:G80"/>
    <mergeCell ref="I25:L25"/>
    <mergeCell ref="B6:B8"/>
    <mergeCell ref="C6:C8"/>
    <mergeCell ref="D6:D8"/>
    <mergeCell ref="E6:E8"/>
    <mergeCell ref="F6:F8"/>
    <mergeCell ref="G6:G8"/>
    <mergeCell ref="B14:H14"/>
    <mergeCell ref="I14:L14"/>
    <mergeCell ref="B17:B19"/>
    <mergeCell ref="C17:C19"/>
    <mergeCell ref="D17:D19"/>
    <mergeCell ref="E17:E19"/>
    <mergeCell ref="F17:F19"/>
    <mergeCell ref="G17:G19"/>
    <mergeCell ref="B25:H25"/>
    <mergeCell ref="I51:L51"/>
    <mergeCell ref="D31:D39"/>
    <mergeCell ref="E31:E39"/>
    <mergeCell ref="F31:F39"/>
    <mergeCell ref="G31:G39"/>
    <mergeCell ref="B41:H41"/>
    <mergeCell ref="I41:L41"/>
    <mergeCell ref="B44:B49"/>
    <mergeCell ref="C44:C49"/>
    <mergeCell ref="B31:B39"/>
    <mergeCell ref="C31:C39"/>
    <mergeCell ref="D44:D49"/>
    <mergeCell ref="E44:E49"/>
    <mergeCell ref="F44:F49"/>
    <mergeCell ref="G44:G49"/>
    <mergeCell ref="B51:H51"/>
    <mergeCell ref="I75:L75"/>
    <mergeCell ref="D54:D59"/>
    <mergeCell ref="E54:E59"/>
    <mergeCell ref="F54:F59"/>
    <mergeCell ref="G54:G59"/>
    <mergeCell ref="B61:H61"/>
    <mergeCell ref="I61:L61"/>
    <mergeCell ref="B67:B74"/>
    <mergeCell ref="C67:C74"/>
    <mergeCell ref="B54:B59"/>
    <mergeCell ref="C54:C59"/>
    <mergeCell ref="G89:G91"/>
    <mergeCell ref="D67:D74"/>
    <mergeCell ref="E67:E74"/>
    <mergeCell ref="F67:F74"/>
    <mergeCell ref="G67:G74"/>
    <mergeCell ref="B75:H75"/>
    <mergeCell ref="B89:B91"/>
    <mergeCell ref="C89:C91"/>
    <mergeCell ref="D89:D91"/>
    <mergeCell ref="E89:E91"/>
    <mergeCell ref="F89:F91"/>
  </mergeCells>
  <pageMargins left="0.19" right="0.15" top="0.21" bottom="0.28000000000000003" header="0.15" footer="0.3"/>
  <pageSetup scale="70" orientation="landscape" r:id="rId1"/>
  <rowBreaks count="2" manualBreakCount="2">
    <brk id="29" max="13" man="1"/>
    <brk id="65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B1:O102"/>
  <sheetViews>
    <sheetView view="pageBreakPreview" zoomScale="60" workbookViewId="0">
      <pane xSplit="3" ySplit="3" topLeftCell="D91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2.85546875" customWidth="1"/>
    <col min="2" max="2" width="8.7109375" customWidth="1"/>
    <col min="3" max="3" width="13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5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3.85546875" customWidth="1"/>
    <col min="14" max="14" width="42.140625" customWidth="1"/>
  </cols>
  <sheetData>
    <row r="1" spans="2:14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4" ht="27" customHeight="1">
      <c r="B2" s="861" t="s">
        <v>340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4" ht="9" customHeight="1" thickBo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  <c r="M3" s="39"/>
      <c r="N3" s="39"/>
    </row>
    <row r="4" spans="2:14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6" t="s">
        <v>14</v>
      </c>
    </row>
    <row r="5" spans="2:14" ht="24.95" customHeight="1">
      <c r="B5" s="872">
        <v>1</v>
      </c>
      <c r="C5" s="900" t="s">
        <v>226</v>
      </c>
      <c r="D5" s="900" t="s">
        <v>265</v>
      </c>
      <c r="E5" s="900">
        <v>350203</v>
      </c>
      <c r="F5" s="901">
        <v>40141</v>
      </c>
      <c r="G5" s="901">
        <v>40149</v>
      </c>
      <c r="H5" s="17" t="s">
        <v>319</v>
      </c>
      <c r="I5" s="15" t="s">
        <v>320</v>
      </c>
      <c r="J5" s="16">
        <v>2</v>
      </c>
      <c r="K5" s="17" t="s">
        <v>32</v>
      </c>
      <c r="L5" s="16">
        <v>6.5</v>
      </c>
      <c r="M5" s="18" t="s">
        <v>143</v>
      </c>
      <c r="N5" s="80"/>
    </row>
    <row r="6" spans="2:14" ht="24.95" customHeight="1">
      <c r="B6" s="872"/>
      <c r="C6" s="900"/>
      <c r="D6" s="900"/>
      <c r="E6" s="900"/>
      <c r="F6" s="901"/>
      <c r="G6" s="901"/>
      <c r="H6" s="14" t="s">
        <v>319</v>
      </c>
      <c r="I6" s="15" t="s">
        <v>321</v>
      </c>
      <c r="J6" s="16">
        <v>2</v>
      </c>
      <c r="K6" s="17" t="s">
        <v>32</v>
      </c>
      <c r="L6" s="16">
        <v>5.5</v>
      </c>
      <c r="M6" s="18" t="s">
        <v>292</v>
      </c>
      <c r="N6" s="80"/>
    </row>
    <row r="7" spans="2:14" ht="24.95" customHeight="1">
      <c r="B7" s="872"/>
      <c r="C7" s="900"/>
      <c r="D7" s="900"/>
      <c r="E7" s="900"/>
      <c r="F7" s="901"/>
      <c r="G7" s="901"/>
      <c r="H7" s="14" t="s">
        <v>319</v>
      </c>
      <c r="I7" s="15" t="s">
        <v>322</v>
      </c>
      <c r="J7" s="16">
        <v>4</v>
      </c>
      <c r="K7" s="17"/>
      <c r="L7" s="16"/>
      <c r="M7" s="18"/>
      <c r="N7" s="80"/>
    </row>
    <row r="8" spans="2:14" ht="24.95" customHeight="1">
      <c r="B8" s="872"/>
      <c r="C8" s="900"/>
      <c r="D8" s="900"/>
      <c r="E8" s="900"/>
      <c r="F8" s="901"/>
      <c r="G8" s="901"/>
      <c r="H8" s="14" t="s">
        <v>100</v>
      </c>
      <c r="I8" s="15" t="s">
        <v>323</v>
      </c>
      <c r="J8" s="16">
        <v>2</v>
      </c>
      <c r="K8" s="17"/>
      <c r="L8" s="16"/>
      <c r="M8" s="18"/>
      <c r="N8" s="80"/>
    </row>
    <row r="9" spans="2:14" ht="24.95" customHeight="1">
      <c r="B9" s="872"/>
      <c r="C9" s="900"/>
      <c r="D9" s="900"/>
      <c r="E9" s="900"/>
      <c r="F9" s="901"/>
      <c r="G9" s="901"/>
      <c r="H9" s="14" t="s">
        <v>100</v>
      </c>
      <c r="I9" s="15" t="s">
        <v>324</v>
      </c>
      <c r="J9" s="16">
        <v>2</v>
      </c>
      <c r="K9" s="17"/>
      <c r="L9" s="16"/>
      <c r="M9" s="18"/>
      <c r="N9" s="80"/>
    </row>
    <row r="10" spans="2:14" ht="24.95" customHeight="1">
      <c r="B10" s="872"/>
      <c r="C10" s="900"/>
      <c r="D10" s="900"/>
      <c r="E10" s="900"/>
      <c r="F10" s="901"/>
      <c r="G10" s="901"/>
      <c r="H10" s="14" t="s">
        <v>325</v>
      </c>
      <c r="I10" s="15" t="s">
        <v>326</v>
      </c>
      <c r="J10" s="16">
        <v>2</v>
      </c>
      <c r="K10" s="17"/>
      <c r="L10" s="16"/>
      <c r="M10" s="18"/>
      <c r="N10" s="80"/>
    </row>
    <row r="11" spans="2:14" ht="24.95" customHeight="1">
      <c r="B11" s="872"/>
      <c r="C11" s="900"/>
      <c r="D11" s="900"/>
      <c r="E11" s="900"/>
      <c r="F11" s="901"/>
      <c r="G11" s="901"/>
      <c r="H11" s="14" t="s">
        <v>327</v>
      </c>
      <c r="I11" s="15" t="s">
        <v>158</v>
      </c>
      <c r="J11" s="16">
        <v>2</v>
      </c>
      <c r="K11" s="17"/>
      <c r="L11" s="16"/>
      <c r="M11" s="18"/>
      <c r="N11" s="80"/>
    </row>
    <row r="12" spans="2:14" ht="24.95" customHeight="1">
      <c r="B12" s="872"/>
      <c r="C12" s="900"/>
      <c r="D12" s="900"/>
      <c r="E12" s="900"/>
      <c r="F12" s="901"/>
      <c r="G12" s="901"/>
      <c r="H12" s="14" t="s">
        <v>328</v>
      </c>
      <c r="I12" s="15" t="s">
        <v>329</v>
      </c>
      <c r="J12" s="16">
        <v>2</v>
      </c>
      <c r="K12" s="17"/>
      <c r="L12" s="16"/>
      <c r="M12" s="18"/>
      <c r="N12" s="80"/>
    </row>
    <row r="13" spans="2:14" ht="24.95" customHeight="1">
      <c r="B13" s="872"/>
      <c r="C13" s="900"/>
      <c r="D13" s="900"/>
      <c r="E13" s="900"/>
      <c r="F13" s="901"/>
      <c r="G13" s="901"/>
      <c r="H13" s="14" t="s">
        <v>150</v>
      </c>
      <c r="I13" s="15" t="s">
        <v>156</v>
      </c>
      <c r="J13" s="16">
        <v>2</v>
      </c>
      <c r="K13" s="17"/>
      <c r="L13" s="16"/>
      <c r="M13" s="18"/>
      <c r="N13" s="80"/>
    </row>
    <row r="14" spans="2:14" ht="24.95" customHeight="1">
      <c r="B14" s="872"/>
      <c r="C14" s="900"/>
      <c r="D14" s="900"/>
      <c r="E14" s="900"/>
      <c r="F14" s="901"/>
      <c r="G14" s="901"/>
      <c r="H14" s="14" t="s">
        <v>330</v>
      </c>
      <c r="I14" s="15" t="s">
        <v>331</v>
      </c>
      <c r="J14" s="16">
        <v>1</v>
      </c>
      <c r="K14" s="17"/>
      <c r="L14" s="16"/>
      <c r="M14" s="18"/>
      <c r="N14" s="19"/>
    </row>
    <row r="15" spans="2:14" ht="24.95" customHeight="1">
      <c r="B15" s="872"/>
      <c r="C15" s="900"/>
      <c r="D15" s="900"/>
      <c r="E15" s="900"/>
      <c r="F15" s="901"/>
      <c r="G15" s="901"/>
      <c r="H15" s="14" t="s">
        <v>332</v>
      </c>
      <c r="I15" s="15" t="s">
        <v>333</v>
      </c>
      <c r="J15" s="16">
        <v>6</v>
      </c>
      <c r="K15" s="17"/>
      <c r="L15" s="16"/>
      <c r="M15" s="18"/>
      <c r="N15" s="19"/>
    </row>
    <row r="16" spans="2:14" ht="24.95" customHeight="1">
      <c r="B16" s="872"/>
      <c r="C16" s="900"/>
      <c r="D16" s="900"/>
      <c r="E16" s="900"/>
      <c r="F16" s="901"/>
      <c r="G16" s="901"/>
      <c r="H16" s="14" t="s">
        <v>334</v>
      </c>
      <c r="I16" s="82" t="s">
        <v>335</v>
      </c>
      <c r="J16" s="16">
        <v>1</v>
      </c>
      <c r="K16" s="17"/>
      <c r="L16" s="16"/>
      <c r="M16" s="18"/>
      <c r="N16" s="19"/>
    </row>
    <row r="17" spans="2:15" ht="24.95" customHeight="1">
      <c r="B17" s="872"/>
      <c r="C17" s="900"/>
      <c r="D17" s="900"/>
      <c r="E17" s="900"/>
      <c r="F17" s="901"/>
      <c r="G17" s="901"/>
      <c r="H17" s="14" t="s">
        <v>336</v>
      </c>
      <c r="I17" s="15" t="s">
        <v>337</v>
      </c>
      <c r="J17" s="16">
        <v>1</v>
      </c>
      <c r="K17" s="17"/>
      <c r="L17" s="16"/>
      <c r="M17" s="18"/>
      <c r="N17" s="19"/>
    </row>
    <row r="18" spans="2:15" ht="24.95" customHeight="1">
      <c r="B18" s="143"/>
      <c r="C18" s="12"/>
      <c r="D18" s="12"/>
      <c r="E18" s="18"/>
      <c r="F18" s="13"/>
      <c r="G18" s="13"/>
      <c r="H18" s="17"/>
      <c r="I18" s="17"/>
      <c r="J18" s="16"/>
      <c r="K18" s="17"/>
      <c r="L18" s="17"/>
      <c r="M18" s="20"/>
      <c r="N18" s="19"/>
    </row>
    <row r="19" spans="2:15" ht="38.1" customHeight="1" thickBot="1">
      <c r="B19" s="868" t="s">
        <v>48</v>
      </c>
      <c r="C19" s="869"/>
      <c r="D19" s="869"/>
      <c r="E19" s="869"/>
      <c r="F19" s="869"/>
      <c r="G19" s="869"/>
      <c r="H19" s="869"/>
      <c r="I19" s="870">
        <f>L5*84.01+L6*84.01+L7*77.98+L14*109.25+96.89+2593.82+138.34+2636.68+892.18+2165.44+1306.88+2565.76+2628.4+609.96+56.8+352+959.3+274.16+5864.37+248.48</f>
        <v>24397.579999999998</v>
      </c>
      <c r="J19" s="870"/>
      <c r="K19" s="870"/>
      <c r="L19" s="870"/>
      <c r="M19" s="89"/>
      <c r="N19" s="81"/>
      <c r="O19" s="90"/>
    </row>
    <row r="20" spans="2:15" ht="16.5" thickTop="1" thickBot="1"/>
    <row r="21" spans="2:15" s="6" customFormat="1" ht="48.75" customHeight="1" thickTop="1">
      <c r="B21" s="33" t="s">
        <v>2</v>
      </c>
      <c r="C21" s="34" t="s">
        <v>3</v>
      </c>
      <c r="D21" s="35" t="s">
        <v>4</v>
      </c>
      <c r="E21" s="34" t="s">
        <v>199</v>
      </c>
      <c r="F21" s="34" t="s">
        <v>6</v>
      </c>
      <c r="G21" s="34" t="s">
        <v>7</v>
      </c>
      <c r="H21" s="35" t="s">
        <v>8</v>
      </c>
      <c r="I21" s="34" t="s">
        <v>9</v>
      </c>
      <c r="J21" s="34" t="s">
        <v>10</v>
      </c>
      <c r="K21" s="34" t="s">
        <v>11</v>
      </c>
      <c r="L21" s="34" t="s">
        <v>12</v>
      </c>
      <c r="M21" s="34" t="s">
        <v>13</v>
      </c>
      <c r="N21" s="36" t="s">
        <v>14</v>
      </c>
    </row>
    <row r="22" spans="2:15" ht="24.95" customHeight="1">
      <c r="B22" s="872">
        <v>1</v>
      </c>
      <c r="C22" s="900" t="s">
        <v>274</v>
      </c>
      <c r="D22" s="873" t="s">
        <v>275</v>
      </c>
      <c r="E22" s="873">
        <v>56719</v>
      </c>
      <c r="F22" s="874">
        <v>40147</v>
      </c>
      <c r="G22" s="874">
        <v>40149</v>
      </c>
      <c r="H22" s="17"/>
      <c r="I22" s="15"/>
      <c r="J22" s="16"/>
      <c r="K22" s="17" t="s">
        <v>32</v>
      </c>
      <c r="L22" s="16">
        <v>20</v>
      </c>
      <c r="M22" s="18" t="s">
        <v>56</v>
      </c>
      <c r="N22" s="80" t="s">
        <v>47</v>
      </c>
    </row>
    <row r="23" spans="2:15" ht="24.95" hidden="1" customHeight="1">
      <c r="B23" s="872"/>
      <c r="C23" s="900"/>
      <c r="D23" s="873"/>
      <c r="E23" s="873"/>
      <c r="F23" s="874"/>
      <c r="G23" s="874"/>
      <c r="H23" s="14"/>
      <c r="I23" s="15"/>
      <c r="J23" s="16"/>
      <c r="K23" s="17" t="s">
        <v>32</v>
      </c>
      <c r="L23" s="16">
        <v>0</v>
      </c>
      <c r="M23" s="18"/>
      <c r="N23" s="80"/>
    </row>
    <row r="24" spans="2:15" ht="24.95" customHeight="1">
      <c r="B24" s="872"/>
      <c r="C24" s="900"/>
      <c r="D24" s="873"/>
      <c r="E24" s="873"/>
      <c r="F24" s="874"/>
      <c r="G24" s="874"/>
      <c r="H24" s="14"/>
      <c r="I24" s="15"/>
      <c r="J24" s="16"/>
      <c r="K24" s="17" t="s">
        <v>33</v>
      </c>
      <c r="L24" s="16">
        <v>65</v>
      </c>
      <c r="M24" s="18" t="s">
        <v>293</v>
      </c>
      <c r="N24" s="80" t="s">
        <v>317</v>
      </c>
    </row>
    <row r="25" spans="2:15" ht="24.95" customHeight="1">
      <c r="B25" s="872"/>
      <c r="C25" s="900"/>
      <c r="D25" s="873"/>
      <c r="E25" s="873"/>
      <c r="F25" s="874"/>
      <c r="G25" s="874"/>
      <c r="H25" s="14"/>
      <c r="I25" s="15"/>
      <c r="J25" s="16"/>
      <c r="K25" s="17" t="s">
        <v>34</v>
      </c>
      <c r="L25" s="16">
        <v>3</v>
      </c>
      <c r="M25" s="18"/>
      <c r="N25" s="80" t="s">
        <v>318</v>
      </c>
    </row>
    <row r="26" spans="2:15" ht="24.95" hidden="1" customHeight="1">
      <c r="B26" s="143"/>
      <c r="C26" s="144"/>
      <c r="D26" s="144"/>
      <c r="E26" s="144"/>
      <c r="F26" s="145"/>
      <c r="G26" s="145"/>
      <c r="H26" s="14"/>
      <c r="I26" s="15"/>
      <c r="J26" s="16"/>
      <c r="K26" s="17"/>
      <c r="L26" s="16"/>
      <c r="M26" s="18"/>
      <c r="N26" s="19"/>
    </row>
    <row r="27" spans="2:15" ht="24.95" hidden="1" customHeight="1">
      <c r="B27" s="143"/>
      <c r="C27" s="144"/>
      <c r="D27" s="144"/>
      <c r="E27" s="144"/>
      <c r="F27" s="145"/>
      <c r="G27" s="145"/>
      <c r="H27" s="14"/>
      <c r="I27" s="15"/>
      <c r="J27" s="16"/>
      <c r="K27" s="17"/>
      <c r="L27" s="16"/>
      <c r="M27" s="18"/>
      <c r="N27" s="19"/>
    </row>
    <row r="28" spans="2:15" ht="24.95" hidden="1" customHeight="1">
      <c r="B28" s="143"/>
      <c r="C28" s="144"/>
      <c r="D28" s="144"/>
      <c r="E28" s="144"/>
      <c r="F28" s="145"/>
      <c r="G28" s="145"/>
      <c r="H28" s="14"/>
      <c r="I28" s="15"/>
      <c r="J28" s="16"/>
      <c r="K28" s="17"/>
      <c r="L28" s="16"/>
      <c r="M28" s="18"/>
      <c r="N28" s="19"/>
    </row>
    <row r="29" spans="2:15" ht="24.95" customHeight="1">
      <c r="B29" s="143"/>
      <c r="C29" s="12"/>
      <c r="D29" s="12"/>
      <c r="E29" s="18"/>
      <c r="F29" s="13"/>
      <c r="G29" s="13"/>
      <c r="H29" s="17"/>
      <c r="I29" s="17"/>
      <c r="J29" s="16"/>
      <c r="K29" s="17"/>
      <c r="L29" s="17"/>
      <c r="M29" s="20"/>
      <c r="N29" s="19"/>
    </row>
    <row r="30" spans="2:15" ht="38.1" customHeight="1" thickBot="1">
      <c r="B30" s="868" t="s">
        <v>48</v>
      </c>
      <c r="C30" s="869"/>
      <c r="D30" s="869"/>
      <c r="E30" s="869"/>
      <c r="F30" s="869"/>
      <c r="G30" s="869"/>
      <c r="H30" s="869"/>
      <c r="I30" s="870">
        <f>L22*84.01+L23*84.01+L24*77.98+L25*109.25</f>
        <v>7076.65</v>
      </c>
      <c r="J30" s="870"/>
      <c r="K30" s="870"/>
      <c r="L30" s="870"/>
      <c r="M30" s="89"/>
      <c r="N30" s="81"/>
      <c r="O30" s="90"/>
    </row>
    <row r="31" spans="2:15" ht="13.5" customHeight="1" thickTop="1">
      <c r="B31" s="115"/>
      <c r="C31" s="115"/>
      <c r="D31" s="115"/>
      <c r="E31" s="115"/>
      <c r="F31" s="115"/>
      <c r="G31" s="115"/>
      <c r="H31" s="115"/>
      <c r="I31" s="116"/>
      <c r="J31" s="116"/>
      <c r="K31" s="116"/>
      <c r="L31" s="116"/>
      <c r="M31" s="39"/>
      <c r="N31" s="117"/>
      <c r="O31" s="90"/>
    </row>
    <row r="32" spans="2:15" ht="19.5" customHeight="1">
      <c r="B32" s="29" t="s">
        <v>192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2:15" ht="20.100000000000001" customHeight="1" thickBot="1">
      <c r="B33" s="29" t="s">
        <v>18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2:15" s="6" customFormat="1" ht="48.75" customHeight="1" thickTop="1">
      <c r="B34" s="33" t="s">
        <v>2</v>
      </c>
      <c r="C34" s="34" t="s">
        <v>3</v>
      </c>
      <c r="D34" s="35" t="s">
        <v>4</v>
      </c>
      <c r="E34" s="34" t="s">
        <v>199</v>
      </c>
      <c r="F34" s="34" t="s">
        <v>6</v>
      </c>
      <c r="G34" s="34" t="s">
        <v>7</v>
      </c>
      <c r="H34" s="35" t="s">
        <v>8</v>
      </c>
      <c r="I34" s="34" t="s">
        <v>9</v>
      </c>
      <c r="J34" s="34" t="s">
        <v>10</v>
      </c>
      <c r="K34" s="34" t="s">
        <v>11</v>
      </c>
      <c r="L34" s="34" t="s">
        <v>12</v>
      </c>
      <c r="M34" s="34" t="s">
        <v>13</v>
      </c>
      <c r="N34" s="36" t="s">
        <v>14</v>
      </c>
    </row>
    <row r="35" spans="2:15" ht="24.95" customHeight="1">
      <c r="B35" s="872">
        <v>1</v>
      </c>
      <c r="C35" s="900" t="s">
        <v>276</v>
      </c>
      <c r="D35" s="900" t="s">
        <v>311</v>
      </c>
      <c r="E35" s="900">
        <v>75448</v>
      </c>
      <c r="F35" s="901">
        <v>40142</v>
      </c>
      <c r="G35" s="901">
        <v>40146</v>
      </c>
      <c r="H35" s="17" t="s">
        <v>233</v>
      </c>
      <c r="I35" s="82" t="s">
        <v>305</v>
      </c>
      <c r="J35" s="16">
        <v>2</v>
      </c>
      <c r="K35" s="17"/>
      <c r="L35" s="16"/>
      <c r="M35" s="18" t="s">
        <v>56</v>
      </c>
      <c r="N35" s="80" t="s">
        <v>301</v>
      </c>
    </row>
    <row r="36" spans="2:15" ht="32.25" customHeight="1">
      <c r="B36" s="872"/>
      <c r="C36" s="900"/>
      <c r="D36" s="900"/>
      <c r="E36" s="900"/>
      <c r="F36" s="901"/>
      <c r="G36" s="901"/>
      <c r="H36" s="14" t="s">
        <v>302</v>
      </c>
      <c r="I36" s="82" t="s">
        <v>306</v>
      </c>
      <c r="J36" s="16">
        <v>1</v>
      </c>
      <c r="K36" s="17"/>
      <c r="L36" s="16"/>
      <c r="M36" s="18" t="s">
        <v>36</v>
      </c>
      <c r="N36" s="80" t="s">
        <v>312</v>
      </c>
    </row>
    <row r="37" spans="2:15" ht="24.95" customHeight="1">
      <c r="B37" s="872"/>
      <c r="C37" s="900"/>
      <c r="D37" s="900"/>
      <c r="E37" s="900"/>
      <c r="F37" s="901"/>
      <c r="G37" s="901"/>
      <c r="H37" s="14" t="s">
        <v>303</v>
      </c>
      <c r="I37" s="15">
        <v>5801363430</v>
      </c>
      <c r="J37" s="16">
        <v>1</v>
      </c>
      <c r="K37" s="17"/>
      <c r="L37" s="16"/>
      <c r="M37" s="18"/>
      <c r="N37" s="80"/>
    </row>
    <row r="38" spans="2:15" ht="24.95" customHeight="1">
      <c r="B38" s="872"/>
      <c r="C38" s="900"/>
      <c r="D38" s="900"/>
      <c r="E38" s="900"/>
      <c r="F38" s="901"/>
      <c r="G38" s="901"/>
      <c r="H38" s="14" t="s">
        <v>304</v>
      </c>
      <c r="I38" s="82" t="s">
        <v>307</v>
      </c>
      <c r="J38" s="16">
        <v>1</v>
      </c>
      <c r="K38" s="17"/>
      <c r="L38" s="16"/>
      <c r="M38" s="18"/>
      <c r="N38" s="19"/>
    </row>
    <row r="39" spans="2:15" ht="24.95" hidden="1" customHeight="1">
      <c r="B39" s="143"/>
      <c r="C39" s="144"/>
      <c r="D39" s="144"/>
      <c r="E39" s="144"/>
      <c r="F39" s="145"/>
      <c r="G39" s="145"/>
      <c r="H39" s="14"/>
      <c r="I39" s="15"/>
      <c r="J39" s="16"/>
      <c r="K39" s="17"/>
      <c r="L39" s="16"/>
      <c r="M39" s="18"/>
      <c r="N39" s="19"/>
    </row>
    <row r="40" spans="2:15" ht="24.95" hidden="1" customHeight="1">
      <c r="B40" s="143"/>
      <c r="C40" s="144"/>
      <c r="D40" s="144"/>
      <c r="E40" s="144"/>
      <c r="F40" s="145"/>
      <c r="G40" s="145"/>
      <c r="H40" s="14"/>
      <c r="I40" s="15"/>
      <c r="J40" s="16"/>
      <c r="K40" s="17"/>
      <c r="L40" s="16"/>
      <c r="M40" s="18"/>
      <c r="N40" s="19"/>
    </row>
    <row r="41" spans="2:15" ht="24.95" hidden="1" customHeight="1">
      <c r="B41" s="143"/>
      <c r="C41" s="144"/>
      <c r="D41" s="144"/>
      <c r="E41" s="144"/>
      <c r="F41" s="145"/>
      <c r="G41" s="145"/>
      <c r="H41" s="14"/>
      <c r="I41" s="15"/>
      <c r="J41" s="16"/>
      <c r="K41" s="17"/>
      <c r="L41" s="16"/>
      <c r="M41" s="18"/>
      <c r="N41" s="19"/>
    </row>
    <row r="42" spans="2:15" ht="24.95" customHeight="1">
      <c r="B42" s="143"/>
      <c r="C42" s="12"/>
      <c r="D42" s="12"/>
      <c r="E42" s="18"/>
      <c r="F42" s="13"/>
      <c r="G42" s="13"/>
      <c r="H42" s="17"/>
      <c r="I42" s="17"/>
      <c r="J42" s="16"/>
      <c r="K42" s="17"/>
      <c r="L42" s="17"/>
      <c r="M42" s="20"/>
      <c r="N42" s="19"/>
    </row>
    <row r="43" spans="2:15" ht="38.1" customHeight="1" thickBot="1">
      <c r="B43" s="868" t="s">
        <v>48</v>
      </c>
      <c r="C43" s="869"/>
      <c r="D43" s="869"/>
      <c r="E43" s="869"/>
      <c r="F43" s="869"/>
      <c r="G43" s="869"/>
      <c r="H43" s="869"/>
      <c r="I43" s="870">
        <f>L35*84.01+L36*84.01+L37*77.98+L38*109.25+1291.84+16586.96+1154.041+3000.06</f>
        <v>22032.901000000002</v>
      </c>
      <c r="J43" s="870"/>
      <c r="K43" s="870"/>
      <c r="L43" s="870"/>
      <c r="M43" s="89"/>
      <c r="N43" s="81"/>
      <c r="O43" s="90"/>
    </row>
    <row r="44" spans="2:15" ht="16.5" customHeight="1" thickTop="1" thickBot="1">
      <c r="B44" s="115"/>
      <c r="C44" s="115"/>
      <c r="D44" s="115"/>
      <c r="E44" s="115"/>
      <c r="F44" s="115"/>
      <c r="G44" s="115"/>
      <c r="H44" s="115"/>
      <c r="I44" s="116"/>
      <c r="J44" s="116"/>
      <c r="K44" s="116"/>
      <c r="L44" s="116"/>
      <c r="N44" s="117"/>
      <c r="O44" s="90"/>
    </row>
    <row r="45" spans="2:15" s="6" customFormat="1" ht="48.75" customHeight="1" thickTop="1">
      <c r="B45" s="33" t="s">
        <v>2</v>
      </c>
      <c r="C45" s="34" t="s">
        <v>3</v>
      </c>
      <c r="D45" s="35" t="s">
        <v>4</v>
      </c>
      <c r="E45" s="34" t="s">
        <v>199</v>
      </c>
      <c r="F45" s="34" t="s">
        <v>6</v>
      </c>
      <c r="G45" s="34" t="s">
        <v>7</v>
      </c>
      <c r="H45" s="35" t="s">
        <v>8</v>
      </c>
      <c r="I45" s="34" t="s">
        <v>9</v>
      </c>
      <c r="J45" s="34" t="s">
        <v>10</v>
      </c>
      <c r="K45" s="34" t="s">
        <v>11</v>
      </c>
      <c r="L45" s="34" t="s">
        <v>12</v>
      </c>
      <c r="M45" s="34" t="s">
        <v>13</v>
      </c>
      <c r="N45" s="36" t="s">
        <v>14</v>
      </c>
    </row>
    <row r="46" spans="2:15" ht="24.95" customHeight="1">
      <c r="B46" s="872">
        <v>1</v>
      </c>
      <c r="C46" s="900" t="s">
        <v>271</v>
      </c>
      <c r="D46" s="873" t="s">
        <v>277</v>
      </c>
      <c r="E46" s="873">
        <v>104980</v>
      </c>
      <c r="F46" s="874">
        <v>40142</v>
      </c>
      <c r="G46" s="874">
        <v>40146</v>
      </c>
      <c r="H46" s="17" t="s">
        <v>308</v>
      </c>
      <c r="I46" s="15"/>
      <c r="J46" s="16">
        <v>8</v>
      </c>
      <c r="K46" s="17" t="s">
        <v>32</v>
      </c>
      <c r="L46" s="16">
        <v>6</v>
      </c>
      <c r="M46" s="18" t="s">
        <v>119</v>
      </c>
      <c r="N46" s="80"/>
    </row>
    <row r="47" spans="2:15" ht="24.95" customHeight="1">
      <c r="B47" s="872"/>
      <c r="C47" s="900"/>
      <c r="D47" s="873"/>
      <c r="E47" s="873"/>
      <c r="F47" s="874"/>
      <c r="G47" s="874"/>
      <c r="H47" s="14"/>
      <c r="I47" s="15"/>
      <c r="J47" s="16"/>
      <c r="K47" s="17" t="s">
        <v>33</v>
      </c>
      <c r="L47" s="16">
        <v>6</v>
      </c>
      <c r="M47" s="18"/>
      <c r="N47" s="80"/>
    </row>
    <row r="48" spans="2:15" ht="24.95" customHeight="1">
      <c r="B48" s="872"/>
      <c r="C48" s="900"/>
      <c r="D48" s="873"/>
      <c r="E48" s="873"/>
      <c r="F48" s="874"/>
      <c r="G48" s="874"/>
      <c r="H48" s="14"/>
      <c r="I48" s="15"/>
      <c r="J48" s="16"/>
      <c r="K48" s="17"/>
      <c r="L48" s="16"/>
      <c r="M48" s="18"/>
      <c r="N48" s="80"/>
    </row>
    <row r="49" spans="2:15" ht="24.95" hidden="1" customHeight="1">
      <c r="B49" s="143"/>
      <c r="C49" s="144"/>
      <c r="D49" s="144"/>
      <c r="E49" s="144"/>
      <c r="F49" s="145"/>
      <c r="G49" s="145"/>
      <c r="H49" s="14"/>
      <c r="I49" s="15"/>
      <c r="J49" s="16"/>
      <c r="K49" s="17"/>
      <c r="L49" s="16"/>
      <c r="M49" s="18"/>
      <c r="N49" s="19"/>
    </row>
    <row r="50" spans="2:15" ht="24.95" hidden="1" customHeight="1">
      <c r="B50" s="143"/>
      <c r="C50" s="144"/>
      <c r="D50" s="144"/>
      <c r="E50" s="144"/>
      <c r="F50" s="145"/>
      <c r="G50" s="145"/>
      <c r="H50" s="14"/>
      <c r="I50" s="15"/>
      <c r="J50" s="16"/>
      <c r="K50" s="17"/>
      <c r="L50" s="16"/>
      <c r="M50" s="18"/>
      <c r="N50" s="19"/>
    </row>
    <row r="51" spans="2:15" ht="24.95" hidden="1" customHeight="1">
      <c r="B51" s="143"/>
      <c r="C51" s="144"/>
      <c r="D51" s="144"/>
      <c r="E51" s="144"/>
      <c r="F51" s="145"/>
      <c r="G51" s="145"/>
      <c r="H51" s="14"/>
      <c r="I51" s="15"/>
      <c r="J51" s="16"/>
      <c r="K51" s="17"/>
      <c r="L51" s="16"/>
      <c r="M51" s="18"/>
      <c r="N51" s="19"/>
    </row>
    <row r="52" spans="2:15" ht="24.95" hidden="1" customHeight="1">
      <c r="B52" s="143"/>
      <c r="C52" s="144"/>
      <c r="D52" s="144"/>
      <c r="E52" s="144"/>
      <c r="F52" s="145"/>
      <c r="G52" s="145"/>
      <c r="H52" s="14"/>
      <c r="I52" s="15"/>
      <c r="J52" s="16"/>
      <c r="K52" s="17"/>
      <c r="L52" s="16"/>
      <c r="M52" s="18"/>
      <c r="N52" s="19"/>
    </row>
    <row r="53" spans="2:15" ht="24.95" customHeight="1">
      <c r="B53" s="143"/>
      <c r="C53" s="12"/>
      <c r="D53" s="12"/>
      <c r="E53" s="18"/>
      <c r="F53" s="13"/>
      <c r="G53" s="13"/>
      <c r="H53" s="17"/>
      <c r="I53" s="17"/>
      <c r="J53" s="16"/>
      <c r="K53" s="17"/>
      <c r="L53" s="17"/>
      <c r="M53" s="20"/>
      <c r="N53" s="19"/>
    </row>
    <row r="54" spans="2:15" ht="38.1" customHeight="1" thickBot="1">
      <c r="B54" s="868" t="s">
        <v>48</v>
      </c>
      <c r="C54" s="869"/>
      <c r="D54" s="869"/>
      <c r="E54" s="869"/>
      <c r="F54" s="869"/>
      <c r="G54" s="869"/>
      <c r="H54" s="869"/>
      <c r="I54" s="870">
        <f>L46*84.01+L47*84.01+L48*77.98+L49*109.25</f>
        <v>1008.1200000000001</v>
      </c>
      <c r="J54" s="870"/>
      <c r="K54" s="870"/>
      <c r="L54" s="870"/>
      <c r="M54" s="89"/>
      <c r="N54" s="81"/>
      <c r="O54" s="90"/>
    </row>
    <row r="55" spans="2:15" ht="17.25" customHeight="1" thickTop="1" thickBot="1">
      <c r="B55" s="115"/>
      <c r="C55" s="115"/>
      <c r="D55" s="115"/>
      <c r="E55" s="115"/>
      <c r="F55" s="115"/>
      <c r="G55" s="115"/>
      <c r="H55" s="115"/>
      <c r="I55" s="116"/>
      <c r="J55" s="116"/>
      <c r="K55" s="116"/>
      <c r="L55" s="116"/>
      <c r="N55" s="117"/>
      <c r="O55" s="90"/>
    </row>
    <row r="56" spans="2:15" s="6" customFormat="1" ht="48.75" customHeight="1" thickTop="1">
      <c r="B56" s="33" t="s">
        <v>2</v>
      </c>
      <c r="C56" s="34" t="s">
        <v>3</v>
      </c>
      <c r="D56" s="35" t="s">
        <v>4</v>
      </c>
      <c r="E56" s="34" t="s">
        <v>199</v>
      </c>
      <c r="F56" s="34" t="s">
        <v>6</v>
      </c>
      <c r="G56" s="34" t="s">
        <v>7</v>
      </c>
      <c r="H56" s="35" t="s">
        <v>8</v>
      </c>
      <c r="I56" s="34" t="s">
        <v>9</v>
      </c>
      <c r="J56" s="34" t="s">
        <v>10</v>
      </c>
      <c r="K56" s="34" t="s">
        <v>11</v>
      </c>
      <c r="L56" s="34" t="s">
        <v>12</v>
      </c>
      <c r="M56" s="34" t="s">
        <v>13</v>
      </c>
      <c r="N56" s="36" t="s">
        <v>14</v>
      </c>
    </row>
    <row r="57" spans="2:15" ht="24.95" customHeight="1">
      <c r="B57" s="872">
        <v>1</v>
      </c>
      <c r="C57" s="900" t="s">
        <v>280</v>
      </c>
      <c r="D57" s="873" t="s">
        <v>279</v>
      </c>
      <c r="E57" s="873">
        <v>108490</v>
      </c>
      <c r="F57" s="874">
        <v>40143</v>
      </c>
      <c r="G57" s="874">
        <v>40145</v>
      </c>
      <c r="H57" s="17" t="s">
        <v>300</v>
      </c>
      <c r="I57" s="15"/>
      <c r="J57" s="16">
        <v>1</v>
      </c>
      <c r="K57" s="17" t="s">
        <v>32</v>
      </c>
      <c r="L57" s="16">
        <v>6</v>
      </c>
      <c r="M57" s="18" t="s">
        <v>299</v>
      </c>
      <c r="N57" s="80"/>
    </row>
    <row r="58" spans="2:15" ht="24.95" customHeight="1">
      <c r="B58" s="872"/>
      <c r="C58" s="900"/>
      <c r="D58" s="873"/>
      <c r="E58" s="873"/>
      <c r="F58" s="874"/>
      <c r="G58" s="874"/>
      <c r="H58" s="14" t="s">
        <v>234</v>
      </c>
      <c r="I58" s="15"/>
      <c r="J58" s="16">
        <v>1</v>
      </c>
      <c r="K58" s="17" t="s">
        <v>33</v>
      </c>
      <c r="L58" s="16">
        <v>6</v>
      </c>
      <c r="M58" s="18"/>
      <c r="N58" s="80"/>
    </row>
    <row r="59" spans="2:15" ht="24.95" customHeight="1">
      <c r="B59" s="872"/>
      <c r="C59" s="900"/>
      <c r="D59" s="873"/>
      <c r="E59" s="873"/>
      <c r="F59" s="874"/>
      <c r="G59" s="874"/>
      <c r="H59" s="14"/>
      <c r="I59" s="15"/>
      <c r="J59" s="16"/>
      <c r="K59" s="17"/>
      <c r="L59" s="16"/>
      <c r="M59" s="18"/>
      <c r="N59" s="80"/>
    </row>
    <row r="60" spans="2:15" ht="24.95" hidden="1" customHeight="1">
      <c r="B60" s="143"/>
      <c r="C60" s="144"/>
      <c r="D60" s="144"/>
      <c r="E60" s="144"/>
      <c r="F60" s="145"/>
      <c r="G60" s="145"/>
      <c r="H60" s="14"/>
      <c r="I60" s="15"/>
      <c r="J60" s="16"/>
      <c r="K60" s="17"/>
      <c r="L60" s="16"/>
      <c r="M60" s="18"/>
      <c r="N60" s="19"/>
    </row>
    <row r="61" spans="2:15" ht="24.95" hidden="1" customHeight="1">
      <c r="B61" s="143"/>
      <c r="C61" s="144"/>
      <c r="D61" s="144"/>
      <c r="E61" s="144"/>
      <c r="F61" s="145"/>
      <c r="G61" s="145"/>
      <c r="H61" s="14"/>
      <c r="I61" s="15"/>
      <c r="J61" s="16"/>
      <c r="K61" s="17"/>
      <c r="L61" s="16"/>
      <c r="M61" s="18"/>
      <c r="N61" s="19"/>
    </row>
    <row r="62" spans="2:15" ht="24.95" hidden="1" customHeight="1">
      <c r="B62" s="143"/>
      <c r="C62" s="144"/>
      <c r="D62" s="144"/>
      <c r="E62" s="144"/>
      <c r="F62" s="145"/>
      <c r="G62" s="145"/>
      <c r="H62" s="14"/>
      <c r="I62" s="15"/>
      <c r="J62" s="16"/>
      <c r="K62" s="17"/>
      <c r="L62" s="16"/>
      <c r="M62" s="18"/>
      <c r="N62" s="19"/>
    </row>
    <row r="63" spans="2:15" ht="24.95" hidden="1" customHeight="1">
      <c r="B63" s="143"/>
      <c r="C63" s="144"/>
      <c r="D63" s="144"/>
      <c r="E63" s="144"/>
      <c r="F63" s="145"/>
      <c r="G63" s="145"/>
      <c r="H63" s="14"/>
      <c r="I63" s="15"/>
      <c r="J63" s="16"/>
      <c r="K63" s="17"/>
      <c r="L63" s="16"/>
      <c r="M63" s="18"/>
      <c r="N63" s="19"/>
    </row>
    <row r="64" spans="2:15" ht="24.95" hidden="1" customHeight="1">
      <c r="B64" s="143"/>
      <c r="C64" s="12"/>
      <c r="D64" s="12"/>
      <c r="E64" s="18"/>
      <c r="F64" s="13"/>
      <c r="G64" s="13"/>
      <c r="H64" s="17"/>
      <c r="I64" s="17"/>
      <c r="J64" s="16"/>
      <c r="K64" s="17"/>
      <c r="L64" s="17"/>
      <c r="M64" s="20"/>
      <c r="N64" s="19"/>
    </row>
    <row r="65" spans="2:15" ht="38.1" customHeight="1" thickBot="1">
      <c r="B65" s="868" t="s">
        <v>48</v>
      </c>
      <c r="C65" s="869"/>
      <c r="D65" s="869"/>
      <c r="E65" s="869"/>
      <c r="F65" s="869"/>
      <c r="G65" s="869"/>
      <c r="H65" s="869"/>
      <c r="I65" s="870">
        <f>L57*84.01+L58*84.01+L59*77.98+L60*109.25+391</f>
        <v>1399.1200000000001</v>
      </c>
      <c r="J65" s="870"/>
      <c r="K65" s="870"/>
      <c r="L65" s="870"/>
      <c r="M65" s="89"/>
      <c r="N65" s="81"/>
      <c r="O65" s="90"/>
    </row>
    <row r="66" spans="2:15" ht="18.75" customHeight="1" thickTop="1" thickBot="1">
      <c r="B66" s="109"/>
      <c r="C66" s="109"/>
      <c r="D66" s="109"/>
      <c r="E66" s="109"/>
      <c r="F66" s="109"/>
      <c r="G66" s="109"/>
      <c r="H66" s="109"/>
      <c r="I66" s="140"/>
      <c r="J66" s="140"/>
      <c r="K66" s="140"/>
      <c r="L66" s="140"/>
      <c r="M66" s="110"/>
      <c r="N66" s="111"/>
      <c r="O66" s="90"/>
    </row>
    <row r="67" spans="2:15" s="6" customFormat="1" ht="48.75" customHeight="1" thickTop="1">
      <c r="B67" s="33" t="s">
        <v>2</v>
      </c>
      <c r="C67" s="34" t="s">
        <v>3</v>
      </c>
      <c r="D67" s="35" t="s">
        <v>4</v>
      </c>
      <c r="E67" s="34" t="s">
        <v>199</v>
      </c>
      <c r="F67" s="34" t="s">
        <v>6</v>
      </c>
      <c r="G67" s="34" t="s">
        <v>7</v>
      </c>
      <c r="H67" s="35" t="s">
        <v>8</v>
      </c>
      <c r="I67" s="34" t="s">
        <v>9</v>
      </c>
      <c r="J67" s="34" t="s">
        <v>10</v>
      </c>
      <c r="K67" s="34" t="s">
        <v>11</v>
      </c>
      <c r="L67" s="34" t="s">
        <v>12</v>
      </c>
      <c r="M67" s="34" t="s">
        <v>13</v>
      </c>
      <c r="N67" s="36" t="s">
        <v>14</v>
      </c>
    </row>
    <row r="68" spans="2:15" ht="24.95" customHeight="1">
      <c r="B68" s="872">
        <v>1</v>
      </c>
      <c r="C68" s="900" t="s">
        <v>282</v>
      </c>
      <c r="D68" s="873" t="s">
        <v>283</v>
      </c>
      <c r="E68" s="873">
        <v>2150</v>
      </c>
      <c r="F68" s="874">
        <v>40144</v>
      </c>
      <c r="G68" s="874">
        <v>40145</v>
      </c>
      <c r="H68" s="17"/>
      <c r="I68" s="15"/>
      <c r="J68" s="16"/>
      <c r="K68" s="17"/>
      <c r="L68" s="16"/>
      <c r="M68" s="18" t="s">
        <v>231</v>
      </c>
      <c r="N68" s="80" t="s">
        <v>297</v>
      </c>
    </row>
    <row r="69" spans="2:15" ht="24.95" customHeight="1">
      <c r="B69" s="872"/>
      <c r="C69" s="900"/>
      <c r="D69" s="873"/>
      <c r="E69" s="873"/>
      <c r="F69" s="874"/>
      <c r="G69" s="874"/>
      <c r="H69" s="14"/>
      <c r="I69" s="15"/>
      <c r="J69" s="16"/>
      <c r="K69" s="17"/>
      <c r="L69" s="16"/>
      <c r="M69" s="18" t="s">
        <v>293</v>
      </c>
      <c r="N69" s="80" t="s">
        <v>298</v>
      </c>
    </row>
    <row r="70" spans="2:15" ht="24.95" customHeight="1">
      <c r="B70" s="872"/>
      <c r="C70" s="900"/>
      <c r="D70" s="873"/>
      <c r="E70" s="873"/>
      <c r="F70" s="874"/>
      <c r="G70" s="874"/>
      <c r="H70" s="14"/>
      <c r="I70" s="15"/>
      <c r="J70" s="16"/>
      <c r="K70" s="17"/>
      <c r="L70" s="16"/>
      <c r="M70" s="18"/>
      <c r="N70" s="80"/>
    </row>
    <row r="71" spans="2:15" ht="24.95" hidden="1" customHeight="1">
      <c r="B71" s="143"/>
      <c r="C71" s="144"/>
      <c r="D71" s="144"/>
      <c r="E71" s="144"/>
      <c r="F71" s="145"/>
      <c r="G71" s="145"/>
      <c r="H71" s="14"/>
      <c r="I71" s="15"/>
      <c r="J71" s="16"/>
      <c r="K71" s="17"/>
      <c r="L71" s="16"/>
      <c r="M71" s="18"/>
      <c r="N71" s="19"/>
    </row>
    <row r="72" spans="2:15" ht="24.95" hidden="1" customHeight="1">
      <c r="B72" s="143"/>
      <c r="C72" s="144"/>
      <c r="D72" s="144"/>
      <c r="E72" s="144"/>
      <c r="F72" s="145"/>
      <c r="G72" s="145"/>
      <c r="H72" s="14"/>
      <c r="I72" s="15"/>
      <c r="J72" s="16"/>
      <c r="K72" s="17"/>
      <c r="L72" s="16"/>
      <c r="M72" s="18"/>
      <c r="N72" s="19"/>
    </row>
    <row r="73" spans="2:15" ht="24.95" hidden="1" customHeight="1">
      <c r="B73" s="143"/>
      <c r="C73" s="144"/>
      <c r="D73" s="144"/>
      <c r="E73" s="144"/>
      <c r="F73" s="145"/>
      <c r="G73" s="145"/>
      <c r="H73" s="14"/>
      <c r="I73" s="15"/>
      <c r="J73" s="16"/>
      <c r="K73" s="17"/>
      <c r="L73" s="16"/>
      <c r="M73" s="18"/>
      <c r="N73" s="19"/>
    </row>
    <row r="74" spans="2:15" ht="24.95" hidden="1" customHeight="1">
      <c r="B74" s="143"/>
      <c r="C74" s="144"/>
      <c r="D74" s="144"/>
      <c r="E74" s="144"/>
      <c r="F74" s="145"/>
      <c r="G74" s="145"/>
      <c r="H74" s="14"/>
      <c r="I74" s="15"/>
      <c r="J74" s="16"/>
      <c r="K74" s="17"/>
      <c r="L74" s="16"/>
      <c r="M74" s="18"/>
      <c r="N74" s="19"/>
    </row>
    <row r="75" spans="2:15" ht="24.95" hidden="1" customHeight="1">
      <c r="B75" s="143"/>
      <c r="C75" s="12"/>
      <c r="D75" s="12"/>
      <c r="E75" s="18"/>
      <c r="F75" s="13"/>
      <c r="G75" s="13"/>
      <c r="H75" s="17"/>
      <c r="I75" s="17"/>
      <c r="J75" s="16"/>
      <c r="K75" s="17"/>
      <c r="L75" s="17"/>
      <c r="M75" s="20"/>
      <c r="N75" s="19"/>
    </row>
    <row r="76" spans="2:15" ht="38.1" customHeight="1" thickBot="1">
      <c r="B76" s="868" t="s">
        <v>48</v>
      </c>
      <c r="C76" s="869"/>
      <c r="D76" s="869"/>
      <c r="E76" s="869"/>
      <c r="F76" s="869"/>
      <c r="G76" s="869"/>
      <c r="H76" s="869"/>
      <c r="I76" s="870">
        <f>L68*84.01+L69*84.01+L70*77.98+L71*109.25</f>
        <v>0</v>
      </c>
      <c r="J76" s="870"/>
      <c r="K76" s="870"/>
      <c r="L76" s="870"/>
      <c r="M76" s="89"/>
      <c r="N76" s="81"/>
      <c r="O76" s="90"/>
    </row>
    <row r="77" spans="2:15" ht="17.25" customHeight="1" thickTop="1">
      <c r="B77" s="115"/>
      <c r="C77" s="115"/>
      <c r="D77" s="115"/>
      <c r="E77" s="115"/>
      <c r="F77" s="115"/>
      <c r="G77" s="115"/>
      <c r="H77" s="115"/>
      <c r="I77" s="116"/>
      <c r="J77" s="116"/>
      <c r="K77" s="116"/>
      <c r="L77" s="116"/>
      <c r="M77" s="39"/>
      <c r="N77" s="117"/>
      <c r="O77" s="90"/>
    </row>
    <row r="78" spans="2:15" ht="19.5" customHeight="1">
      <c r="B78" s="29" t="s">
        <v>192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</row>
    <row r="79" spans="2:15" ht="20.100000000000001" customHeight="1" thickBot="1">
      <c r="B79" s="29" t="s">
        <v>18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2:15" s="6" customFormat="1" ht="48.75" customHeight="1" thickTop="1">
      <c r="B80" s="33" t="s">
        <v>2</v>
      </c>
      <c r="C80" s="34" t="s">
        <v>3</v>
      </c>
      <c r="D80" s="35" t="s">
        <v>4</v>
      </c>
      <c r="E80" s="34" t="s">
        <v>199</v>
      </c>
      <c r="F80" s="34" t="s">
        <v>6</v>
      </c>
      <c r="G80" s="34" t="s">
        <v>7</v>
      </c>
      <c r="H80" s="35" t="s">
        <v>8</v>
      </c>
      <c r="I80" s="34" t="s">
        <v>9</v>
      </c>
      <c r="J80" s="34" t="s">
        <v>10</v>
      </c>
      <c r="K80" s="34" t="s">
        <v>11</v>
      </c>
      <c r="L80" s="34" t="s">
        <v>12</v>
      </c>
      <c r="M80" s="34" t="s">
        <v>13</v>
      </c>
      <c r="N80" s="36" t="s">
        <v>14</v>
      </c>
    </row>
    <row r="81" spans="2:15" ht="24.95" customHeight="1">
      <c r="B81" s="872">
        <v>1</v>
      </c>
      <c r="C81" s="900" t="s">
        <v>294</v>
      </c>
      <c r="D81" s="873" t="s">
        <v>295</v>
      </c>
      <c r="E81" s="873">
        <v>35993</v>
      </c>
      <c r="F81" s="874">
        <v>40145</v>
      </c>
      <c r="G81" s="874">
        <v>40146</v>
      </c>
      <c r="H81" s="17"/>
      <c r="I81" s="15"/>
      <c r="J81" s="16"/>
      <c r="K81" s="17" t="s">
        <v>32</v>
      </c>
      <c r="L81" s="16">
        <v>12</v>
      </c>
      <c r="M81" s="18" t="s">
        <v>292</v>
      </c>
      <c r="N81" s="80"/>
    </row>
    <row r="82" spans="2:15" ht="24.95" customHeight="1">
      <c r="B82" s="872"/>
      <c r="C82" s="900"/>
      <c r="D82" s="873"/>
      <c r="E82" s="873"/>
      <c r="F82" s="874"/>
      <c r="G82" s="874"/>
      <c r="H82" s="14"/>
      <c r="I82" s="15"/>
      <c r="J82" s="16"/>
      <c r="K82" s="17" t="s">
        <v>33</v>
      </c>
      <c r="L82" s="16">
        <v>40</v>
      </c>
      <c r="M82" s="18" t="s">
        <v>293</v>
      </c>
      <c r="N82" s="80"/>
    </row>
    <row r="83" spans="2:15" ht="24.95" hidden="1" customHeight="1">
      <c r="B83" s="872"/>
      <c r="C83" s="900"/>
      <c r="D83" s="873"/>
      <c r="E83" s="873"/>
      <c r="F83" s="874"/>
      <c r="G83" s="874"/>
      <c r="H83" s="14"/>
      <c r="I83" s="15"/>
      <c r="J83" s="16"/>
      <c r="K83" s="17" t="s">
        <v>38</v>
      </c>
      <c r="L83" s="16"/>
      <c r="M83" s="18"/>
      <c r="N83" s="80"/>
    </row>
    <row r="84" spans="2:15" ht="24.95" customHeight="1">
      <c r="B84" s="872"/>
      <c r="C84" s="900"/>
      <c r="D84" s="873"/>
      <c r="E84" s="873"/>
      <c r="F84" s="874"/>
      <c r="G84" s="874"/>
      <c r="H84" s="14"/>
      <c r="I84" s="15"/>
      <c r="J84" s="16"/>
      <c r="K84" s="17" t="s">
        <v>34</v>
      </c>
      <c r="L84" s="16">
        <v>8</v>
      </c>
      <c r="M84" s="18"/>
      <c r="N84" s="19"/>
    </row>
    <row r="85" spans="2:15" ht="24.95" hidden="1" customHeight="1">
      <c r="B85" s="143"/>
      <c r="C85" s="144"/>
      <c r="D85" s="144"/>
      <c r="E85" s="144"/>
      <c r="F85" s="145"/>
      <c r="G85" s="145"/>
      <c r="H85" s="14"/>
      <c r="I85" s="15"/>
      <c r="J85" s="16"/>
      <c r="K85" s="17"/>
      <c r="L85" s="16"/>
      <c r="M85" s="18"/>
      <c r="N85" s="19"/>
    </row>
    <row r="86" spans="2:15" ht="24.95" hidden="1" customHeight="1">
      <c r="B86" s="143"/>
      <c r="C86" s="144"/>
      <c r="D86" s="144"/>
      <c r="E86" s="144"/>
      <c r="F86" s="145"/>
      <c r="G86" s="145"/>
      <c r="H86" s="14"/>
      <c r="I86" s="15"/>
      <c r="J86" s="16"/>
      <c r="K86" s="17"/>
      <c r="L86" s="16"/>
      <c r="M86" s="18"/>
      <c r="N86" s="19"/>
    </row>
    <row r="87" spans="2:15" ht="24.95" hidden="1" customHeight="1">
      <c r="B87" s="143"/>
      <c r="C87" s="144"/>
      <c r="D87" s="144"/>
      <c r="E87" s="144"/>
      <c r="F87" s="145"/>
      <c r="G87" s="145"/>
      <c r="H87" s="14"/>
      <c r="I87" s="15"/>
      <c r="J87" s="16"/>
      <c r="K87" s="17"/>
      <c r="L87" s="16"/>
      <c r="M87" s="18"/>
      <c r="N87" s="19"/>
    </row>
    <row r="88" spans="2:15" ht="24.95" customHeight="1">
      <c r="B88" s="143"/>
      <c r="C88" s="12"/>
      <c r="D88" s="12"/>
      <c r="E88" s="18"/>
      <c r="F88" s="13"/>
      <c r="G88" s="13"/>
      <c r="H88" s="17"/>
      <c r="I88" s="17"/>
      <c r="J88" s="16"/>
      <c r="K88" s="17"/>
      <c r="L88" s="17"/>
      <c r="M88" s="20"/>
      <c r="N88" s="19"/>
    </row>
    <row r="89" spans="2:15" ht="38.1" customHeight="1" thickBot="1">
      <c r="B89" s="868" t="s">
        <v>48</v>
      </c>
      <c r="C89" s="869"/>
      <c r="D89" s="869"/>
      <c r="E89" s="869"/>
      <c r="F89" s="869"/>
      <c r="G89" s="869"/>
      <c r="H89" s="869"/>
      <c r="I89" s="870">
        <f>L81*84.01+L82*84.01+L83*77.98+L84*109.25</f>
        <v>5242.5200000000004</v>
      </c>
      <c r="J89" s="870"/>
      <c r="K89" s="870"/>
      <c r="L89" s="870"/>
      <c r="M89" s="89"/>
      <c r="N89" s="81"/>
      <c r="O89" s="90"/>
    </row>
    <row r="90" spans="2:15" ht="16.5" customHeight="1" thickTop="1" thickBot="1">
      <c r="B90" s="115"/>
      <c r="C90" s="115"/>
      <c r="D90" s="115"/>
      <c r="E90" s="115"/>
      <c r="F90" s="115"/>
      <c r="G90" s="115"/>
      <c r="H90" s="115"/>
      <c r="I90" s="116"/>
      <c r="J90" s="116"/>
      <c r="K90" s="116"/>
      <c r="L90" s="116"/>
      <c r="N90" s="117"/>
      <c r="O90" s="90"/>
    </row>
    <row r="91" spans="2:15" s="6" customFormat="1" ht="48.75" customHeight="1" thickTop="1">
      <c r="B91" s="33" t="s">
        <v>2</v>
      </c>
      <c r="C91" s="34" t="s">
        <v>3</v>
      </c>
      <c r="D91" s="35" t="s">
        <v>4</v>
      </c>
      <c r="E91" s="34" t="s">
        <v>199</v>
      </c>
      <c r="F91" s="34" t="s">
        <v>6</v>
      </c>
      <c r="G91" s="34" t="s">
        <v>7</v>
      </c>
      <c r="H91" s="35" t="s">
        <v>8</v>
      </c>
      <c r="I91" s="34" t="s">
        <v>9</v>
      </c>
      <c r="J91" s="34" t="s">
        <v>10</v>
      </c>
      <c r="K91" s="34" t="s">
        <v>11</v>
      </c>
      <c r="L91" s="34" t="s">
        <v>12</v>
      </c>
      <c r="M91" s="34" t="s">
        <v>13</v>
      </c>
      <c r="N91" s="36" t="s">
        <v>14</v>
      </c>
    </row>
    <row r="92" spans="2:15" ht="24.95" customHeight="1">
      <c r="B92" s="872">
        <v>1</v>
      </c>
      <c r="C92" s="873" t="s">
        <v>237</v>
      </c>
      <c r="D92" s="873" t="s">
        <v>309</v>
      </c>
      <c r="E92" s="873">
        <v>213422</v>
      </c>
      <c r="F92" s="874">
        <v>40147</v>
      </c>
      <c r="G92" s="874">
        <v>40149</v>
      </c>
      <c r="H92" s="17" t="s">
        <v>230</v>
      </c>
      <c r="I92" s="15">
        <v>3414200890</v>
      </c>
      <c r="J92" s="16">
        <v>1</v>
      </c>
      <c r="K92" s="17" t="s">
        <v>32</v>
      </c>
      <c r="L92" s="16">
        <v>15</v>
      </c>
      <c r="M92" s="18" t="s">
        <v>299</v>
      </c>
      <c r="N92" s="80" t="s">
        <v>314</v>
      </c>
    </row>
    <row r="93" spans="2:15" ht="24.95" customHeight="1">
      <c r="B93" s="872"/>
      <c r="C93" s="873"/>
      <c r="D93" s="873"/>
      <c r="E93" s="873"/>
      <c r="F93" s="874"/>
      <c r="G93" s="874"/>
      <c r="H93" s="14"/>
      <c r="I93" s="15"/>
      <c r="J93" s="16"/>
      <c r="K93" s="17" t="s">
        <v>33</v>
      </c>
      <c r="L93" s="16">
        <v>40</v>
      </c>
      <c r="M93" s="18"/>
      <c r="N93" s="80" t="s">
        <v>315</v>
      </c>
    </row>
    <row r="94" spans="2:15" ht="24.95" customHeight="1">
      <c r="B94" s="872"/>
      <c r="C94" s="873"/>
      <c r="D94" s="873"/>
      <c r="E94" s="873"/>
      <c r="F94" s="874"/>
      <c r="G94" s="874"/>
      <c r="H94" s="14"/>
      <c r="I94" s="15"/>
      <c r="J94" s="16"/>
      <c r="K94" s="17" t="s">
        <v>34</v>
      </c>
      <c r="L94" s="16">
        <v>8</v>
      </c>
      <c r="M94" s="18"/>
      <c r="N94" s="80" t="s">
        <v>316</v>
      </c>
    </row>
    <row r="95" spans="2:15" ht="24.95" hidden="1" customHeight="1">
      <c r="B95" s="872"/>
      <c r="C95" s="873"/>
      <c r="D95" s="873"/>
      <c r="E95" s="873"/>
      <c r="F95" s="874"/>
      <c r="G95" s="874"/>
      <c r="H95" s="14"/>
      <c r="I95" s="15"/>
      <c r="J95" s="16"/>
      <c r="K95" s="17"/>
      <c r="L95" s="16"/>
      <c r="M95" s="18"/>
      <c r="N95" s="19"/>
    </row>
    <row r="96" spans="2:15" ht="24.95" hidden="1" customHeight="1">
      <c r="B96" s="872"/>
      <c r="C96" s="873"/>
      <c r="D96" s="873"/>
      <c r="E96" s="873"/>
      <c r="F96" s="874"/>
      <c r="G96" s="874"/>
      <c r="H96" s="14"/>
      <c r="I96" s="15"/>
      <c r="J96" s="16"/>
      <c r="K96" s="17"/>
      <c r="L96" s="16"/>
      <c r="M96" s="18"/>
      <c r="N96" s="19"/>
    </row>
    <row r="97" spans="2:15" ht="24.95" hidden="1" customHeight="1">
      <c r="B97" s="872"/>
      <c r="C97" s="873"/>
      <c r="D97" s="873"/>
      <c r="E97" s="873"/>
      <c r="F97" s="874"/>
      <c r="G97" s="874"/>
      <c r="H97" s="14"/>
      <c r="I97" s="15"/>
      <c r="J97" s="16"/>
      <c r="K97" s="17"/>
      <c r="L97" s="16"/>
      <c r="M97" s="18"/>
      <c r="N97" s="19"/>
    </row>
    <row r="98" spans="2:15" ht="24.95" customHeight="1">
      <c r="B98" s="143"/>
      <c r="C98" s="12"/>
      <c r="D98" s="12"/>
      <c r="E98" s="18"/>
      <c r="F98" s="13"/>
      <c r="G98" s="13"/>
      <c r="H98" s="17"/>
      <c r="I98" s="17"/>
      <c r="J98" s="16"/>
      <c r="K98" s="17"/>
      <c r="L98" s="17"/>
      <c r="M98" s="20"/>
      <c r="N98" s="19"/>
    </row>
    <row r="99" spans="2:15" ht="38.1" customHeight="1" thickBot="1">
      <c r="B99" s="868" t="s">
        <v>48</v>
      </c>
      <c r="C99" s="869"/>
      <c r="D99" s="869"/>
      <c r="E99" s="869"/>
      <c r="F99" s="869"/>
      <c r="G99" s="869"/>
      <c r="H99" s="869"/>
      <c r="I99" s="870">
        <f>L92*84.01+L93*84.01+L94+109.25+1739.15+814.53+123.19</f>
        <v>7414.67</v>
      </c>
      <c r="J99" s="870"/>
      <c r="K99" s="870"/>
      <c r="L99" s="870"/>
      <c r="M99" s="89"/>
      <c r="N99" s="81"/>
      <c r="O99" s="90"/>
    </row>
    <row r="100" spans="2:15" ht="17.25" customHeight="1" thickTop="1">
      <c r="B100" s="115"/>
      <c r="C100" s="115"/>
      <c r="D100" s="115"/>
      <c r="E100" s="115"/>
      <c r="F100" s="115"/>
      <c r="G100" s="115"/>
      <c r="H100" s="115"/>
      <c r="I100" s="116"/>
      <c r="J100" s="116"/>
      <c r="K100" s="116"/>
      <c r="L100" s="116"/>
      <c r="M100" s="39"/>
      <c r="N100" s="117"/>
      <c r="O100" s="90"/>
    </row>
    <row r="101" spans="2:15" ht="19.5" customHeight="1">
      <c r="B101" s="29" t="s">
        <v>192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</row>
    <row r="102" spans="2:15" ht="20.100000000000001" customHeight="1">
      <c r="B102" s="29" t="s">
        <v>18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</row>
  </sheetData>
  <mergeCells count="67">
    <mergeCell ref="B1:N1"/>
    <mergeCell ref="B2:N2"/>
    <mergeCell ref="B3:L3"/>
    <mergeCell ref="I65:L65"/>
    <mergeCell ref="B54:H54"/>
    <mergeCell ref="I54:L54"/>
    <mergeCell ref="B43:H43"/>
    <mergeCell ref="I43:L43"/>
    <mergeCell ref="I30:L30"/>
    <mergeCell ref="B5:B17"/>
    <mergeCell ref="C5:C17"/>
    <mergeCell ref="D5:D17"/>
    <mergeCell ref="E5:E17"/>
    <mergeCell ref="F5:F17"/>
    <mergeCell ref="G5:G17"/>
    <mergeCell ref="B19:H19"/>
    <mergeCell ref="I19:L19"/>
    <mergeCell ref="B22:B25"/>
    <mergeCell ref="C22:C25"/>
    <mergeCell ref="D22:D25"/>
    <mergeCell ref="E22:E25"/>
    <mergeCell ref="F22:F25"/>
    <mergeCell ref="G22:G25"/>
    <mergeCell ref="B30:H30"/>
    <mergeCell ref="G46:G48"/>
    <mergeCell ref="B35:B38"/>
    <mergeCell ref="C35:C38"/>
    <mergeCell ref="D35:D38"/>
    <mergeCell ref="E35:E38"/>
    <mergeCell ref="F35:F38"/>
    <mergeCell ref="G35:G38"/>
    <mergeCell ref="B46:B48"/>
    <mergeCell ref="C46:C48"/>
    <mergeCell ref="D46:D48"/>
    <mergeCell ref="E46:E48"/>
    <mergeCell ref="F46:F48"/>
    <mergeCell ref="G68:G70"/>
    <mergeCell ref="B57:B59"/>
    <mergeCell ref="C57:C59"/>
    <mergeCell ref="D57:D59"/>
    <mergeCell ref="E57:E59"/>
    <mergeCell ref="F57:F59"/>
    <mergeCell ref="G57:G59"/>
    <mergeCell ref="B65:H65"/>
    <mergeCell ref="B68:B70"/>
    <mergeCell ref="C68:C70"/>
    <mergeCell ref="D68:D70"/>
    <mergeCell ref="E68:E70"/>
    <mergeCell ref="F68:F70"/>
    <mergeCell ref="B76:H76"/>
    <mergeCell ref="I76:L76"/>
    <mergeCell ref="B81:B84"/>
    <mergeCell ref="C81:C84"/>
    <mergeCell ref="D81:D84"/>
    <mergeCell ref="E81:E84"/>
    <mergeCell ref="F81:F84"/>
    <mergeCell ref="G81:G84"/>
    <mergeCell ref="B99:H99"/>
    <mergeCell ref="I99:L99"/>
    <mergeCell ref="B89:H89"/>
    <mergeCell ref="I89:L89"/>
    <mergeCell ref="B92:B97"/>
    <mergeCell ref="C92:C97"/>
    <mergeCell ref="D92:D97"/>
    <mergeCell ref="E92:E97"/>
    <mergeCell ref="F92:F97"/>
    <mergeCell ref="G92:G97"/>
  </mergeCells>
  <pageMargins left="0.19" right="0.15" top="0.21" bottom="0.28000000000000003" header="0.15" footer="0.3"/>
  <pageSetup scale="70" orientation="landscape" r:id="rId1"/>
  <rowBreaks count="2" manualBreakCount="2">
    <brk id="33" max="13" man="1"/>
    <brk id="79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B1:O155"/>
  <sheetViews>
    <sheetView view="pageBreakPreview" zoomScale="60" workbookViewId="0">
      <pane xSplit="3" ySplit="3" topLeftCell="D13" activePane="bottomRight" state="frozen"/>
      <selection activeCell="B18" sqref="B18"/>
      <selection pane="topRight" activeCell="B18" sqref="B18"/>
      <selection pane="bottomLeft" activeCell="B18" sqref="B18"/>
      <selection pane="bottomRight" activeCell="B16" sqref="B16:B18"/>
    </sheetView>
  </sheetViews>
  <sheetFormatPr defaultRowHeight="15"/>
  <cols>
    <col min="1" max="1" width="2.85546875" customWidth="1"/>
    <col min="2" max="2" width="8.7109375" customWidth="1"/>
    <col min="3" max="3" width="13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5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3.85546875" customWidth="1"/>
    <col min="14" max="14" width="42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7" customHeight="1">
      <c r="B2" s="861" t="s">
        <v>383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5" ht="9" customHeight="1" thickBo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  <c r="M3" s="39"/>
      <c r="N3" s="39"/>
    </row>
    <row r="4" spans="2:15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6" t="s">
        <v>14</v>
      </c>
    </row>
    <row r="5" spans="2:15" ht="24.95" customHeight="1">
      <c r="B5" s="872">
        <v>1</v>
      </c>
      <c r="C5" s="900" t="s">
        <v>226</v>
      </c>
      <c r="D5" s="873" t="s">
        <v>339</v>
      </c>
      <c r="E5" s="873">
        <v>198191</v>
      </c>
      <c r="F5" s="874">
        <v>40121</v>
      </c>
      <c r="G5" s="874">
        <v>40121</v>
      </c>
      <c r="H5" s="17" t="s">
        <v>345</v>
      </c>
      <c r="I5" s="82" t="s">
        <v>346</v>
      </c>
      <c r="J5" s="16">
        <v>1</v>
      </c>
      <c r="K5" s="17" t="s">
        <v>32</v>
      </c>
      <c r="L5" s="16">
        <v>3.5</v>
      </c>
      <c r="M5" s="18" t="s">
        <v>120</v>
      </c>
      <c r="N5" s="80"/>
    </row>
    <row r="6" spans="2:15" ht="24.95" customHeight="1">
      <c r="B6" s="872"/>
      <c r="C6" s="900"/>
      <c r="D6" s="873"/>
      <c r="E6" s="873"/>
      <c r="F6" s="874"/>
      <c r="G6" s="874"/>
      <c r="H6" s="14" t="s">
        <v>347</v>
      </c>
      <c r="I6" s="15" t="s">
        <v>348</v>
      </c>
      <c r="J6" s="16">
        <v>1</v>
      </c>
      <c r="K6" s="17" t="s">
        <v>32</v>
      </c>
      <c r="L6" s="16">
        <v>6.5</v>
      </c>
      <c r="M6" s="18" t="s">
        <v>36</v>
      </c>
      <c r="N6" s="80"/>
    </row>
    <row r="7" spans="2:15" ht="24.95" customHeight="1">
      <c r="B7" s="872"/>
      <c r="C7" s="900"/>
      <c r="D7" s="873"/>
      <c r="E7" s="873"/>
      <c r="F7" s="874"/>
      <c r="G7" s="874"/>
      <c r="H7" s="14"/>
      <c r="I7" s="15"/>
      <c r="J7" s="16"/>
      <c r="K7" s="17"/>
      <c r="L7" s="16"/>
      <c r="M7" s="18"/>
      <c r="N7" s="80"/>
    </row>
    <row r="8" spans="2:15" ht="24.95" hidden="1" customHeight="1">
      <c r="B8" s="150"/>
      <c r="C8" s="151"/>
      <c r="D8" s="151"/>
      <c r="E8" s="151"/>
      <c r="F8" s="152"/>
      <c r="G8" s="152"/>
      <c r="H8" s="14"/>
      <c r="I8" s="15"/>
      <c r="J8" s="16"/>
      <c r="K8" s="17"/>
      <c r="L8" s="16"/>
      <c r="M8" s="18"/>
      <c r="N8" s="19"/>
    </row>
    <row r="9" spans="2:15" ht="24.95" hidden="1" customHeight="1">
      <c r="B9" s="150"/>
      <c r="C9" s="151"/>
      <c r="D9" s="151"/>
      <c r="E9" s="151"/>
      <c r="F9" s="152"/>
      <c r="G9" s="152"/>
      <c r="H9" s="14"/>
      <c r="I9" s="15"/>
      <c r="J9" s="16"/>
      <c r="K9" s="17"/>
      <c r="L9" s="16"/>
      <c r="M9" s="18"/>
      <c r="N9" s="19"/>
    </row>
    <row r="10" spans="2:15" ht="24.95" hidden="1" customHeight="1">
      <c r="B10" s="150"/>
      <c r="C10" s="151"/>
      <c r="D10" s="151"/>
      <c r="E10" s="151"/>
      <c r="F10" s="152"/>
      <c r="G10" s="152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150"/>
      <c r="C11" s="151"/>
      <c r="D11" s="151"/>
      <c r="E11" s="151"/>
      <c r="F11" s="152"/>
      <c r="G11" s="152"/>
      <c r="H11" s="14"/>
      <c r="I11" s="15"/>
      <c r="J11" s="16"/>
      <c r="K11" s="17"/>
      <c r="L11" s="16"/>
      <c r="M11" s="18"/>
      <c r="N11" s="19"/>
    </row>
    <row r="12" spans="2:15" ht="24.95" hidden="1" customHeight="1">
      <c r="B12" s="150"/>
      <c r="C12" s="12"/>
      <c r="D12" s="12"/>
      <c r="E12" s="18"/>
      <c r="F12" s="13"/>
      <c r="G12" s="13"/>
      <c r="H12" s="17"/>
      <c r="I12" s="17"/>
      <c r="J12" s="16"/>
      <c r="K12" s="17"/>
      <c r="L12" s="17"/>
      <c r="M12" s="20"/>
      <c r="N12" s="19"/>
    </row>
    <row r="13" spans="2:15" ht="38.1" customHeight="1" thickBot="1">
      <c r="B13" s="868" t="s">
        <v>48</v>
      </c>
      <c r="C13" s="869"/>
      <c r="D13" s="869"/>
      <c r="E13" s="869"/>
      <c r="F13" s="869"/>
      <c r="G13" s="869"/>
      <c r="H13" s="869"/>
      <c r="I13" s="870">
        <f>L5*84.01+L6*84.01+L7*77.98+L8*109.25+1913.04+102.36</f>
        <v>2855.5000000000005</v>
      </c>
      <c r="J13" s="870"/>
      <c r="K13" s="870"/>
      <c r="L13" s="870"/>
      <c r="M13" s="89"/>
      <c r="N13" s="81"/>
      <c r="O13" s="90"/>
    </row>
    <row r="14" spans="2:15" ht="13.5" customHeight="1" thickTop="1" thickBot="1">
      <c r="B14" s="115"/>
      <c r="C14" s="115"/>
      <c r="D14" s="115"/>
      <c r="E14" s="115"/>
      <c r="F14" s="115"/>
      <c r="G14" s="115"/>
      <c r="H14" s="115"/>
      <c r="I14" s="116"/>
      <c r="J14" s="116"/>
      <c r="K14" s="116"/>
      <c r="L14" s="116"/>
      <c r="M14" s="39"/>
      <c r="N14" s="117"/>
      <c r="O14" s="90"/>
    </row>
    <row r="15" spans="2:15" s="6" customFormat="1" ht="48.75" customHeight="1" thickTop="1">
      <c r="B15" s="33" t="s">
        <v>2</v>
      </c>
      <c r="C15" s="34" t="s">
        <v>3</v>
      </c>
      <c r="D15" s="35" t="s">
        <v>4</v>
      </c>
      <c r="E15" s="34" t="s">
        <v>199</v>
      </c>
      <c r="F15" s="34" t="s">
        <v>6</v>
      </c>
      <c r="G15" s="34" t="s">
        <v>7</v>
      </c>
      <c r="H15" s="35" t="s">
        <v>8</v>
      </c>
      <c r="I15" s="34" t="s">
        <v>9</v>
      </c>
      <c r="J15" s="34" t="s">
        <v>10</v>
      </c>
      <c r="K15" s="34" t="s">
        <v>11</v>
      </c>
      <c r="L15" s="34" t="s">
        <v>12</v>
      </c>
      <c r="M15" s="34" t="s">
        <v>13</v>
      </c>
      <c r="N15" s="36" t="s">
        <v>14</v>
      </c>
    </row>
    <row r="16" spans="2:15" ht="24.95" customHeight="1">
      <c r="B16" s="872">
        <v>1</v>
      </c>
      <c r="C16" s="900" t="s">
        <v>282</v>
      </c>
      <c r="D16" s="873" t="s">
        <v>310</v>
      </c>
      <c r="E16" s="873">
        <v>3360</v>
      </c>
      <c r="F16" s="874">
        <v>40149</v>
      </c>
      <c r="G16" s="874">
        <v>40155</v>
      </c>
      <c r="H16" s="17" t="s">
        <v>233</v>
      </c>
      <c r="I16" s="15"/>
      <c r="J16" s="16">
        <v>8</v>
      </c>
      <c r="K16" s="17"/>
      <c r="L16" s="16"/>
      <c r="M16" s="18"/>
      <c r="N16" s="80" t="s">
        <v>358</v>
      </c>
    </row>
    <row r="17" spans="2:15" ht="24.95" customHeight="1">
      <c r="B17" s="872"/>
      <c r="C17" s="900"/>
      <c r="D17" s="873"/>
      <c r="E17" s="873"/>
      <c r="F17" s="874"/>
      <c r="G17" s="874"/>
      <c r="H17" s="14"/>
      <c r="I17" s="15"/>
      <c r="J17" s="16"/>
      <c r="K17" s="17"/>
      <c r="L17" s="16"/>
      <c r="M17" s="18"/>
      <c r="N17" s="80"/>
    </row>
    <row r="18" spans="2:15" ht="24.95" customHeight="1">
      <c r="B18" s="872"/>
      <c r="C18" s="900"/>
      <c r="D18" s="873"/>
      <c r="E18" s="873"/>
      <c r="F18" s="874"/>
      <c r="G18" s="874"/>
      <c r="H18" s="14"/>
      <c r="I18" s="15"/>
      <c r="J18" s="16"/>
      <c r="K18" s="17"/>
      <c r="L18" s="16"/>
      <c r="M18" s="18"/>
      <c r="N18" s="80"/>
    </row>
    <row r="19" spans="2:15" ht="24.95" hidden="1" customHeight="1">
      <c r="B19" s="150"/>
      <c r="C19" s="151"/>
      <c r="D19" s="151"/>
      <c r="E19" s="151"/>
      <c r="F19" s="152"/>
      <c r="G19" s="152"/>
      <c r="H19" s="14"/>
      <c r="I19" s="15"/>
      <c r="J19" s="16"/>
      <c r="K19" s="17"/>
      <c r="L19" s="16"/>
      <c r="M19" s="18"/>
      <c r="N19" s="19"/>
    </row>
    <row r="20" spans="2:15" ht="24.95" hidden="1" customHeight="1">
      <c r="B20" s="150"/>
      <c r="C20" s="151"/>
      <c r="D20" s="151"/>
      <c r="E20" s="151"/>
      <c r="F20" s="152"/>
      <c r="G20" s="152"/>
      <c r="H20" s="14"/>
      <c r="I20" s="15"/>
      <c r="J20" s="16"/>
      <c r="K20" s="17"/>
      <c r="L20" s="16"/>
      <c r="M20" s="18"/>
      <c r="N20" s="19"/>
    </row>
    <row r="21" spans="2:15" ht="24.95" hidden="1" customHeight="1">
      <c r="B21" s="150"/>
      <c r="C21" s="151"/>
      <c r="D21" s="151"/>
      <c r="E21" s="151"/>
      <c r="F21" s="152"/>
      <c r="G21" s="152"/>
      <c r="H21" s="14"/>
      <c r="I21" s="15"/>
      <c r="J21" s="16"/>
      <c r="K21" s="17"/>
      <c r="L21" s="16"/>
      <c r="M21" s="18"/>
      <c r="N21" s="19"/>
    </row>
    <row r="22" spans="2:15" ht="24.95" hidden="1" customHeight="1">
      <c r="B22" s="150"/>
      <c r="C22" s="151"/>
      <c r="D22" s="151"/>
      <c r="E22" s="151"/>
      <c r="F22" s="152"/>
      <c r="G22" s="152"/>
      <c r="H22" s="14"/>
      <c r="I22" s="15"/>
      <c r="J22" s="16"/>
      <c r="K22" s="17"/>
      <c r="L22" s="16"/>
      <c r="M22" s="18"/>
      <c r="N22" s="19"/>
    </row>
    <row r="23" spans="2:15" ht="24.95" hidden="1" customHeight="1">
      <c r="B23" s="150"/>
      <c r="C23" s="12"/>
      <c r="D23" s="12"/>
      <c r="E23" s="18"/>
      <c r="F23" s="13"/>
      <c r="G23" s="13"/>
      <c r="H23" s="17"/>
      <c r="I23" s="17"/>
      <c r="J23" s="16"/>
      <c r="K23" s="17"/>
      <c r="L23" s="17"/>
      <c r="M23" s="20"/>
      <c r="N23" s="19"/>
    </row>
    <row r="24" spans="2:15" ht="38.1" customHeight="1" thickBot="1">
      <c r="B24" s="868" t="s">
        <v>48</v>
      </c>
      <c r="C24" s="869"/>
      <c r="D24" s="869"/>
      <c r="E24" s="869"/>
      <c r="F24" s="869"/>
      <c r="G24" s="869"/>
      <c r="H24" s="869"/>
      <c r="I24" s="870">
        <f>L16*84.01+L17*84.01+L18*77.98+L19*109.25+6900</f>
        <v>6900</v>
      </c>
      <c r="J24" s="870"/>
      <c r="K24" s="870"/>
      <c r="L24" s="870"/>
      <c r="M24" s="89"/>
      <c r="N24" s="81"/>
      <c r="O24" s="90"/>
    </row>
    <row r="25" spans="2:15" ht="17.25" customHeight="1" thickTop="1" thickBot="1">
      <c r="B25" s="115"/>
      <c r="C25" s="115"/>
      <c r="D25" s="115"/>
      <c r="E25" s="115"/>
      <c r="F25" s="115"/>
      <c r="G25" s="115"/>
      <c r="H25" s="115"/>
      <c r="I25" s="116"/>
      <c r="J25" s="116"/>
      <c r="K25" s="116"/>
      <c r="L25" s="116"/>
      <c r="M25" s="39"/>
      <c r="N25" s="117"/>
      <c r="O25" s="90"/>
    </row>
    <row r="26" spans="2:15" s="6" customFormat="1" ht="48.75" customHeight="1" thickTop="1">
      <c r="B26" s="33" t="s">
        <v>2</v>
      </c>
      <c r="C26" s="34" t="s">
        <v>3</v>
      </c>
      <c r="D26" s="35" t="s">
        <v>4</v>
      </c>
      <c r="E26" s="34" t="s">
        <v>199</v>
      </c>
      <c r="F26" s="34" t="s">
        <v>6</v>
      </c>
      <c r="G26" s="34" t="s">
        <v>7</v>
      </c>
      <c r="H26" s="35" t="s">
        <v>8</v>
      </c>
      <c r="I26" s="34" t="s">
        <v>9</v>
      </c>
      <c r="J26" s="34" t="s">
        <v>10</v>
      </c>
      <c r="K26" s="34" t="s">
        <v>11</v>
      </c>
      <c r="L26" s="34" t="s">
        <v>12</v>
      </c>
      <c r="M26" s="34" t="s">
        <v>13</v>
      </c>
      <c r="N26" s="36" t="s">
        <v>14</v>
      </c>
    </row>
    <row r="27" spans="2:15" ht="32.25" customHeight="1">
      <c r="B27" s="872">
        <v>1</v>
      </c>
      <c r="C27" s="900" t="s">
        <v>276</v>
      </c>
      <c r="D27" s="873" t="s">
        <v>313</v>
      </c>
      <c r="E27" s="873">
        <v>91313</v>
      </c>
      <c r="F27" s="874">
        <v>40149</v>
      </c>
      <c r="G27" s="874">
        <v>40152</v>
      </c>
      <c r="H27" s="14" t="s">
        <v>349</v>
      </c>
      <c r="I27" s="15"/>
      <c r="J27" s="16">
        <v>12</v>
      </c>
      <c r="K27" s="17" t="s">
        <v>34</v>
      </c>
      <c r="L27" s="16">
        <v>12</v>
      </c>
      <c r="M27" s="18" t="s">
        <v>231</v>
      </c>
      <c r="N27" s="80" t="s">
        <v>350</v>
      </c>
    </row>
    <row r="28" spans="2:15" ht="24.95" customHeight="1">
      <c r="B28" s="872"/>
      <c r="C28" s="900"/>
      <c r="D28" s="873"/>
      <c r="E28" s="873"/>
      <c r="F28" s="874"/>
      <c r="G28" s="874"/>
      <c r="H28" s="14"/>
      <c r="I28" s="15"/>
      <c r="J28" s="16"/>
      <c r="K28" s="17"/>
      <c r="L28" s="16"/>
      <c r="M28" s="18" t="s">
        <v>43</v>
      </c>
      <c r="N28" s="80"/>
    </row>
    <row r="29" spans="2:15" ht="24.95" customHeight="1">
      <c r="B29" s="872"/>
      <c r="C29" s="900"/>
      <c r="D29" s="873"/>
      <c r="E29" s="873"/>
      <c r="F29" s="874"/>
      <c r="G29" s="874"/>
      <c r="H29" s="14"/>
      <c r="I29" s="15"/>
      <c r="J29" s="16"/>
      <c r="K29" s="17"/>
      <c r="L29" s="16"/>
      <c r="M29" s="18" t="s">
        <v>293</v>
      </c>
      <c r="N29" s="80"/>
    </row>
    <row r="30" spans="2:15" ht="24.95" hidden="1" customHeight="1">
      <c r="B30" s="150"/>
      <c r="C30" s="151"/>
      <c r="D30" s="151"/>
      <c r="E30" s="151"/>
      <c r="F30" s="152"/>
      <c r="G30" s="152"/>
      <c r="H30" s="14"/>
      <c r="I30" s="15"/>
      <c r="J30" s="16"/>
      <c r="K30" s="17"/>
      <c r="L30" s="16"/>
      <c r="M30" s="18"/>
      <c r="N30" s="19"/>
    </row>
    <row r="31" spans="2:15" ht="24.95" hidden="1" customHeight="1">
      <c r="B31" s="150"/>
      <c r="C31" s="151"/>
      <c r="D31" s="151"/>
      <c r="E31" s="151"/>
      <c r="F31" s="152"/>
      <c r="G31" s="152"/>
      <c r="H31" s="14"/>
      <c r="I31" s="15"/>
      <c r="J31" s="16"/>
      <c r="K31" s="17"/>
      <c r="L31" s="16"/>
      <c r="M31" s="18"/>
      <c r="N31" s="19"/>
    </row>
    <row r="32" spans="2:15" ht="24.95" hidden="1" customHeight="1">
      <c r="B32" s="150"/>
      <c r="C32" s="151"/>
      <c r="D32" s="151"/>
      <c r="E32" s="151"/>
      <c r="F32" s="152"/>
      <c r="G32" s="152"/>
      <c r="H32" s="14"/>
      <c r="I32" s="15"/>
      <c r="J32" s="16"/>
      <c r="K32" s="17"/>
      <c r="L32" s="16"/>
      <c r="M32" s="18"/>
      <c r="N32" s="19"/>
    </row>
    <row r="33" spans="2:15" ht="24.95" hidden="1" customHeight="1">
      <c r="B33" s="150"/>
      <c r="C33" s="151"/>
      <c r="D33" s="151"/>
      <c r="E33" s="151"/>
      <c r="F33" s="152"/>
      <c r="G33" s="152"/>
      <c r="H33" s="14"/>
      <c r="I33" s="15"/>
      <c r="J33" s="16"/>
      <c r="K33" s="17"/>
      <c r="L33" s="16"/>
      <c r="M33" s="18"/>
      <c r="N33" s="19"/>
    </row>
    <row r="34" spans="2:15" ht="24.95" hidden="1" customHeight="1">
      <c r="B34" s="150"/>
      <c r="C34" s="12"/>
      <c r="D34" s="12"/>
      <c r="E34" s="18"/>
      <c r="F34" s="13"/>
      <c r="G34" s="13"/>
      <c r="H34" s="17"/>
      <c r="I34" s="17"/>
      <c r="J34" s="16"/>
      <c r="K34" s="17"/>
      <c r="L34" s="17"/>
      <c r="M34" s="20"/>
      <c r="N34" s="19"/>
    </row>
    <row r="35" spans="2:15" ht="38.1" customHeight="1" thickBot="1">
      <c r="B35" s="868" t="s">
        <v>48</v>
      </c>
      <c r="C35" s="869"/>
      <c r="D35" s="869"/>
      <c r="E35" s="869"/>
      <c r="F35" s="869"/>
      <c r="G35" s="869"/>
      <c r="H35" s="869"/>
      <c r="I35" s="870">
        <f>L27*109.25+8590.5</f>
        <v>9901.5</v>
      </c>
      <c r="J35" s="870"/>
      <c r="K35" s="870"/>
      <c r="L35" s="870"/>
      <c r="M35" s="89"/>
      <c r="N35" s="81"/>
      <c r="O35" s="90"/>
    </row>
    <row r="36" spans="2:15" ht="15" customHeight="1" thickTop="1" thickBot="1">
      <c r="B36" s="115"/>
      <c r="C36" s="115"/>
      <c r="D36" s="115"/>
      <c r="E36" s="115"/>
      <c r="F36" s="115"/>
      <c r="G36" s="115"/>
      <c r="H36" s="115"/>
      <c r="I36" s="116"/>
      <c r="J36" s="116"/>
      <c r="K36" s="116"/>
      <c r="L36" s="116"/>
      <c r="N36" s="117"/>
      <c r="O36" s="90"/>
    </row>
    <row r="37" spans="2:15" s="6" customFormat="1" ht="48.75" customHeight="1" thickTop="1">
      <c r="B37" s="33" t="s">
        <v>2</v>
      </c>
      <c r="C37" s="34" t="s">
        <v>3</v>
      </c>
      <c r="D37" s="35" t="s">
        <v>4</v>
      </c>
      <c r="E37" s="34" t="s">
        <v>199</v>
      </c>
      <c r="F37" s="34" t="s">
        <v>6</v>
      </c>
      <c r="G37" s="34" t="s">
        <v>7</v>
      </c>
      <c r="H37" s="35" t="s">
        <v>8</v>
      </c>
      <c r="I37" s="34" t="s">
        <v>9</v>
      </c>
      <c r="J37" s="34" t="s">
        <v>10</v>
      </c>
      <c r="K37" s="34" t="s">
        <v>11</v>
      </c>
      <c r="L37" s="34" t="s">
        <v>12</v>
      </c>
      <c r="M37" s="34" t="s">
        <v>13</v>
      </c>
      <c r="N37" s="36" t="s">
        <v>14</v>
      </c>
    </row>
    <row r="38" spans="2:15" ht="24.95" customHeight="1">
      <c r="B38" s="872">
        <v>1</v>
      </c>
      <c r="C38" s="900" t="s">
        <v>271</v>
      </c>
      <c r="D38" s="873" t="s">
        <v>338</v>
      </c>
      <c r="E38" s="873">
        <v>85697</v>
      </c>
      <c r="F38" s="874">
        <v>40150</v>
      </c>
      <c r="G38" s="874">
        <v>40155</v>
      </c>
      <c r="H38" s="17" t="s">
        <v>355</v>
      </c>
      <c r="I38" s="15"/>
      <c r="J38" s="16">
        <v>7</v>
      </c>
      <c r="K38" s="17" t="s">
        <v>32</v>
      </c>
      <c r="L38" s="16">
        <v>6</v>
      </c>
      <c r="M38" s="18" t="s">
        <v>119</v>
      </c>
      <c r="N38" s="80" t="s">
        <v>354</v>
      </c>
    </row>
    <row r="39" spans="2:15" ht="24.95" customHeight="1">
      <c r="B39" s="872"/>
      <c r="C39" s="900"/>
      <c r="D39" s="873"/>
      <c r="E39" s="873"/>
      <c r="F39" s="874"/>
      <c r="G39" s="874"/>
      <c r="H39" s="14" t="s">
        <v>356</v>
      </c>
      <c r="I39" s="15"/>
      <c r="J39" s="16">
        <v>2</v>
      </c>
      <c r="K39" s="17" t="s">
        <v>33</v>
      </c>
      <c r="L39" s="16">
        <v>6</v>
      </c>
      <c r="M39" s="18"/>
      <c r="N39" s="80"/>
    </row>
    <row r="40" spans="2:15" ht="24.95" customHeight="1">
      <c r="B40" s="872"/>
      <c r="C40" s="900"/>
      <c r="D40" s="873"/>
      <c r="E40" s="873"/>
      <c r="F40" s="874"/>
      <c r="G40" s="874"/>
      <c r="H40" s="14" t="s">
        <v>357</v>
      </c>
      <c r="I40" s="15"/>
      <c r="J40" s="16">
        <v>2</v>
      </c>
      <c r="K40" s="17"/>
      <c r="L40" s="16"/>
      <c r="M40" s="18"/>
      <c r="N40" s="80"/>
    </row>
    <row r="41" spans="2:15" ht="24.95" hidden="1" customHeight="1">
      <c r="B41" s="150"/>
      <c r="C41" s="151"/>
      <c r="D41" s="151"/>
      <c r="E41" s="151"/>
      <c r="F41" s="152"/>
      <c r="G41" s="152"/>
      <c r="H41" s="14"/>
      <c r="I41" s="15"/>
      <c r="J41" s="16"/>
      <c r="K41" s="17"/>
      <c r="L41" s="16"/>
      <c r="M41" s="18"/>
      <c r="N41" s="19"/>
    </row>
    <row r="42" spans="2:15" ht="24.95" hidden="1" customHeight="1">
      <c r="B42" s="150"/>
      <c r="C42" s="151"/>
      <c r="D42" s="151"/>
      <c r="E42" s="151"/>
      <c r="F42" s="152"/>
      <c r="G42" s="152"/>
      <c r="H42" s="14"/>
      <c r="I42" s="15"/>
      <c r="J42" s="16"/>
      <c r="K42" s="17"/>
      <c r="L42" s="16"/>
      <c r="M42" s="18"/>
      <c r="N42" s="19"/>
    </row>
    <row r="43" spans="2:15" ht="24.95" hidden="1" customHeight="1">
      <c r="B43" s="150"/>
      <c r="C43" s="151"/>
      <c r="D43" s="151"/>
      <c r="E43" s="151"/>
      <c r="F43" s="152"/>
      <c r="G43" s="152"/>
      <c r="H43" s="14"/>
      <c r="I43" s="15"/>
      <c r="J43" s="16"/>
      <c r="K43" s="17"/>
      <c r="L43" s="16"/>
      <c r="M43" s="18"/>
      <c r="N43" s="19"/>
    </row>
    <row r="44" spans="2:15" ht="24.95" hidden="1" customHeight="1">
      <c r="B44" s="150"/>
      <c r="C44" s="151"/>
      <c r="D44" s="151"/>
      <c r="E44" s="151"/>
      <c r="F44" s="152"/>
      <c r="G44" s="152"/>
      <c r="H44" s="14"/>
      <c r="I44" s="15"/>
      <c r="J44" s="16"/>
      <c r="K44" s="17"/>
      <c r="L44" s="16"/>
      <c r="M44" s="18"/>
      <c r="N44" s="19"/>
    </row>
    <row r="45" spans="2:15" ht="24.95" customHeight="1">
      <c r="B45" s="150"/>
      <c r="C45" s="12"/>
      <c r="D45" s="12"/>
      <c r="E45" s="18"/>
      <c r="F45" s="13"/>
      <c r="G45" s="13"/>
      <c r="H45" s="17"/>
      <c r="I45" s="17"/>
      <c r="J45" s="16"/>
      <c r="K45" s="17"/>
      <c r="L45" s="17"/>
      <c r="M45" s="20"/>
      <c r="N45" s="19"/>
    </row>
    <row r="46" spans="2:15" ht="38.1" customHeight="1" thickBot="1">
      <c r="B46" s="868" t="s">
        <v>48</v>
      </c>
      <c r="C46" s="869"/>
      <c r="D46" s="869"/>
      <c r="E46" s="869"/>
      <c r="F46" s="869"/>
      <c r="G46" s="869"/>
      <c r="H46" s="869"/>
      <c r="I46" s="870">
        <f>L38*84.01+L39*84.01+L40*77.98+L41*109.25+660.86+660.86</f>
        <v>2329.84</v>
      </c>
      <c r="J46" s="870"/>
      <c r="K46" s="870"/>
      <c r="L46" s="870"/>
      <c r="M46" s="89"/>
      <c r="N46" s="81"/>
      <c r="O46" s="90"/>
    </row>
    <row r="47" spans="2:15" ht="15" customHeight="1" thickTop="1">
      <c r="B47" s="115"/>
      <c r="C47" s="115"/>
      <c r="D47" s="115"/>
      <c r="E47" s="115"/>
      <c r="F47" s="115"/>
      <c r="G47" s="115"/>
      <c r="H47" s="115"/>
      <c r="I47" s="116"/>
      <c r="J47" s="116"/>
      <c r="K47" s="116"/>
      <c r="L47" s="116"/>
      <c r="N47" s="117"/>
      <c r="O47" s="90"/>
    </row>
    <row r="48" spans="2:15" ht="19.5" customHeight="1">
      <c r="B48" s="29" t="s">
        <v>192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2:15" ht="20.100000000000001" customHeight="1" thickBot="1">
      <c r="B49" s="29" t="s">
        <v>18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2:15" s="6" customFormat="1" ht="48.75" customHeight="1" thickTop="1">
      <c r="B50" s="33" t="s">
        <v>2</v>
      </c>
      <c r="C50" s="34" t="s">
        <v>3</v>
      </c>
      <c r="D50" s="35" t="s">
        <v>4</v>
      </c>
      <c r="E50" s="34" t="s">
        <v>199</v>
      </c>
      <c r="F50" s="34" t="s">
        <v>6</v>
      </c>
      <c r="G50" s="34" t="s">
        <v>7</v>
      </c>
      <c r="H50" s="35" t="s">
        <v>8</v>
      </c>
      <c r="I50" s="34" t="s">
        <v>9</v>
      </c>
      <c r="J50" s="34" t="s">
        <v>10</v>
      </c>
      <c r="K50" s="34" t="s">
        <v>11</v>
      </c>
      <c r="L50" s="34" t="s">
        <v>12</v>
      </c>
      <c r="M50" s="34" t="s">
        <v>13</v>
      </c>
      <c r="N50" s="36" t="s">
        <v>14</v>
      </c>
    </row>
    <row r="51" spans="2:15" ht="24.95" customHeight="1">
      <c r="B51" s="872">
        <v>1</v>
      </c>
      <c r="C51" s="900" t="s">
        <v>342</v>
      </c>
      <c r="D51" s="873" t="s">
        <v>343</v>
      </c>
      <c r="E51" s="873">
        <v>46586</v>
      </c>
      <c r="F51" s="874">
        <v>40151</v>
      </c>
      <c r="G51" s="874">
        <v>40153</v>
      </c>
      <c r="H51" s="17" t="s">
        <v>351</v>
      </c>
      <c r="I51" s="15">
        <v>109625569</v>
      </c>
      <c r="J51" s="16">
        <v>2</v>
      </c>
      <c r="K51" s="17" t="s">
        <v>33</v>
      </c>
      <c r="L51" s="16">
        <v>10</v>
      </c>
      <c r="M51" s="18" t="s">
        <v>87</v>
      </c>
      <c r="N51" s="80"/>
    </row>
    <row r="52" spans="2:15" ht="24.95" customHeight="1">
      <c r="B52" s="872"/>
      <c r="C52" s="900"/>
      <c r="D52" s="873"/>
      <c r="E52" s="873"/>
      <c r="F52" s="874"/>
      <c r="G52" s="874"/>
      <c r="H52" s="14"/>
      <c r="I52" s="15"/>
      <c r="J52" s="16"/>
      <c r="K52" s="17" t="s">
        <v>34</v>
      </c>
      <c r="L52" s="16">
        <v>3</v>
      </c>
      <c r="M52" s="18" t="s">
        <v>49</v>
      </c>
      <c r="N52" s="80"/>
    </row>
    <row r="53" spans="2:15" ht="24.95" customHeight="1">
      <c r="B53" s="872"/>
      <c r="C53" s="900"/>
      <c r="D53" s="873"/>
      <c r="E53" s="873"/>
      <c r="F53" s="874"/>
      <c r="G53" s="874"/>
      <c r="H53" s="14"/>
      <c r="I53" s="15"/>
      <c r="J53" s="16"/>
      <c r="K53" s="17"/>
      <c r="L53" s="16"/>
      <c r="M53" s="18"/>
      <c r="N53" s="80"/>
    </row>
    <row r="54" spans="2:15" ht="24.95" hidden="1" customHeight="1">
      <c r="B54" s="150"/>
      <c r="C54" s="151"/>
      <c r="D54" s="151"/>
      <c r="E54" s="151"/>
      <c r="F54" s="152"/>
      <c r="G54" s="152"/>
      <c r="H54" s="14"/>
      <c r="I54" s="15"/>
      <c r="J54" s="16"/>
      <c r="K54" s="17"/>
      <c r="L54" s="16"/>
      <c r="M54" s="18"/>
      <c r="N54" s="19"/>
    </row>
    <row r="55" spans="2:15" ht="24.95" hidden="1" customHeight="1">
      <c r="B55" s="150"/>
      <c r="C55" s="151"/>
      <c r="D55" s="151"/>
      <c r="E55" s="151"/>
      <c r="F55" s="152"/>
      <c r="G55" s="152"/>
      <c r="H55" s="14"/>
      <c r="I55" s="15"/>
      <c r="J55" s="16"/>
      <c r="K55" s="17"/>
      <c r="L55" s="16"/>
      <c r="M55" s="18"/>
      <c r="N55" s="19"/>
    </row>
    <row r="56" spans="2:15" ht="24.95" hidden="1" customHeight="1">
      <c r="B56" s="150"/>
      <c r="C56" s="151"/>
      <c r="D56" s="151"/>
      <c r="E56" s="151"/>
      <c r="F56" s="152"/>
      <c r="G56" s="152"/>
      <c r="H56" s="14"/>
      <c r="I56" s="15"/>
      <c r="J56" s="16"/>
      <c r="K56" s="17"/>
      <c r="L56" s="16"/>
      <c r="M56" s="18"/>
      <c r="N56" s="19"/>
    </row>
    <row r="57" spans="2:15" ht="24.95" hidden="1" customHeight="1">
      <c r="B57" s="150"/>
      <c r="C57" s="151"/>
      <c r="D57" s="151"/>
      <c r="E57" s="151"/>
      <c r="F57" s="152"/>
      <c r="G57" s="152"/>
      <c r="H57" s="14"/>
      <c r="I57" s="15"/>
      <c r="J57" s="16"/>
      <c r="K57" s="17"/>
      <c r="L57" s="16"/>
      <c r="M57" s="18"/>
      <c r="N57" s="19"/>
    </row>
    <row r="58" spans="2:15" ht="24.95" hidden="1" customHeight="1">
      <c r="B58" s="150"/>
      <c r="C58" s="12"/>
      <c r="D58" s="12"/>
      <c r="E58" s="18"/>
      <c r="F58" s="13"/>
      <c r="G58" s="13"/>
      <c r="H58" s="17"/>
      <c r="I58" s="17"/>
      <c r="J58" s="16"/>
      <c r="K58" s="17"/>
      <c r="L58" s="17"/>
      <c r="M58" s="20"/>
      <c r="N58" s="19"/>
    </row>
    <row r="59" spans="2:15" ht="38.1" customHeight="1" thickBot="1">
      <c r="B59" s="868" t="s">
        <v>48</v>
      </c>
      <c r="C59" s="869"/>
      <c r="D59" s="869"/>
      <c r="E59" s="869"/>
      <c r="F59" s="869"/>
      <c r="G59" s="869"/>
      <c r="H59" s="869"/>
      <c r="I59" s="870">
        <f>L51*84.01+956.52+L52*109.25</f>
        <v>2124.37</v>
      </c>
      <c r="J59" s="870"/>
      <c r="K59" s="870"/>
      <c r="L59" s="870"/>
      <c r="M59" s="89"/>
      <c r="N59" s="81"/>
      <c r="O59" s="90"/>
    </row>
    <row r="60" spans="2:15" ht="15" customHeight="1" thickTop="1" thickBot="1">
      <c r="B60" s="115"/>
      <c r="C60" s="115"/>
      <c r="D60" s="115"/>
      <c r="E60" s="115"/>
      <c r="F60" s="115"/>
      <c r="G60" s="115"/>
      <c r="H60" s="115"/>
      <c r="I60" s="116"/>
      <c r="J60" s="116"/>
      <c r="K60" s="116"/>
      <c r="L60" s="116"/>
      <c r="N60" s="117"/>
      <c r="O60" s="90"/>
    </row>
    <row r="61" spans="2:15" s="6" customFormat="1" ht="48.75" customHeight="1" thickTop="1">
      <c r="B61" s="33" t="s">
        <v>2</v>
      </c>
      <c r="C61" s="34" t="s">
        <v>3</v>
      </c>
      <c r="D61" s="35" t="s">
        <v>4</v>
      </c>
      <c r="E61" s="34" t="s">
        <v>199</v>
      </c>
      <c r="F61" s="34" t="s">
        <v>6</v>
      </c>
      <c r="G61" s="34" t="s">
        <v>7</v>
      </c>
      <c r="H61" s="35" t="s">
        <v>8</v>
      </c>
      <c r="I61" s="34" t="s">
        <v>9</v>
      </c>
      <c r="J61" s="34" t="s">
        <v>10</v>
      </c>
      <c r="K61" s="34" t="s">
        <v>11</v>
      </c>
      <c r="L61" s="34" t="s">
        <v>12</v>
      </c>
      <c r="M61" s="34" t="s">
        <v>13</v>
      </c>
      <c r="N61" s="36" t="s">
        <v>14</v>
      </c>
    </row>
    <row r="62" spans="2:15" ht="24.95" customHeight="1">
      <c r="B62" s="872">
        <v>1</v>
      </c>
      <c r="C62" s="900" t="s">
        <v>201</v>
      </c>
      <c r="D62" s="873" t="s">
        <v>344</v>
      </c>
      <c r="E62" s="873">
        <v>66285</v>
      </c>
      <c r="F62" s="874">
        <v>40152</v>
      </c>
      <c r="G62" s="874">
        <v>40153</v>
      </c>
      <c r="H62" s="17"/>
      <c r="I62" s="15"/>
      <c r="J62" s="16"/>
      <c r="K62" s="17" t="s">
        <v>32</v>
      </c>
      <c r="L62" s="16">
        <v>6</v>
      </c>
      <c r="M62" s="18" t="s">
        <v>299</v>
      </c>
      <c r="N62" s="80" t="s">
        <v>352</v>
      </c>
    </row>
    <row r="63" spans="2:15" ht="24.95" customHeight="1">
      <c r="B63" s="872"/>
      <c r="C63" s="900"/>
      <c r="D63" s="873"/>
      <c r="E63" s="873"/>
      <c r="F63" s="874"/>
      <c r="G63" s="874"/>
      <c r="H63" s="14"/>
      <c r="I63" s="15"/>
      <c r="J63" s="16"/>
      <c r="K63" s="17" t="s">
        <v>33</v>
      </c>
      <c r="L63" s="16">
        <v>3.5</v>
      </c>
      <c r="M63" s="18"/>
      <c r="N63" s="80"/>
    </row>
    <row r="64" spans="2:15" ht="24.95" customHeight="1">
      <c r="B64" s="872"/>
      <c r="C64" s="900"/>
      <c r="D64" s="873"/>
      <c r="E64" s="873"/>
      <c r="F64" s="874"/>
      <c r="G64" s="874"/>
      <c r="H64" s="14"/>
      <c r="I64" s="15"/>
      <c r="J64" s="16"/>
      <c r="K64" s="17"/>
      <c r="L64" s="16"/>
      <c r="M64" s="18"/>
      <c r="N64" s="80"/>
    </row>
    <row r="65" spans="2:15" ht="24.95" hidden="1" customHeight="1">
      <c r="B65" s="150"/>
      <c r="C65" s="151"/>
      <c r="D65" s="151"/>
      <c r="E65" s="151"/>
      <c r="F65" s="152"/>
      <c r="G65" s="152"/>
      <c r="H65" s="14"/>
      <c r="I65" s="15"/>
      <c r="J65" s="16"/>
      <c r="K65" s="17"/>
      <c r="L65" s="16"/>
      <c r="M65" s="18"/>
      <c r="N65" s="19"/>
    </row>
    <row r="66" spans="2:15" ht="24.95" hidden="1" customHeight="1">
      <c r="B66" s="150"/>
      <c r="C66" s="151"/>
      <c r="D66" s="151"/>
      <c r="E66" s="151"/>
      <c r="F66" s="152"/>
      <c r="G66" s="152"/>
      <c r="H66" s="14"/>
      <c r="I66" s="15"/>
      <c r="J66" s="16"/>
      <c r="K66" s="17"/>
      <c r="L66" s="16"/>
      <c r="M66" s="18"/>
      <c r="N66" s="19"/>
    </row>
    <row r="67" spans="2:15" ht="24.95" hidden="1" customHeight="1">
      <c r="B67" s="150"/>
      <c r="C67" s="151"/>
      <c r="D67" s="151"/>
      <c r="E67" s="151"/>
      <c r="F67" s="152"/>
      <c r="G67" s="152"/>
      <c r="H67" s="14"/>
      <c r="I67" s="15"/>
      <c r="J67" s="16"/>
      <c r="K67" s="17"/>
      <c r="L67" s="16"/>
      <c r="M67" s="18"/>
      <c r="N67" s="19"/>
    </row>
    <row r="68" spans="2:15" ht="24.95" hidden="1" customHeight="1">
      <c r="B68" s="150"/>
      <c r="C68" s="151"/>
      <c r="D68" s="151"/>
      <c r="E68" s="151"/>
      <c r="F68" s="152"/>
      <c r="G68" s="152"/>
      <c r="H68" s="14"/>
      <c r="I68" s="15"/>
      <c r="J68" s="16"/>
      <c r="K68" s="17"/>
      <c r="L68" s="16"/>
      <c r="M68" s="18"/>
      <c r="N68" s="19"/>
    </row>
    <row r="69" spans="2:15" ht="24.95" hidden="1" customHeight="1">
      <c r="B69" s="150"/>
      <c r="C69" s="12"/>
      <c r="D69" s="12"/>
      <c r="E69" s="18"/>
      <c r="F69" s="13"/>
      <c r="G69" s="13"/>
      <c r="H69" s="17"/>
      <c r="I69" s="17"/>
      <c r="J69" s="16"/>
      <c r="K69" s="17"/>
      <c r="L69" s="17"/>
      <c r="M69" s="20"/>
      <c r="N69" s="19"/>
    </row>
    <row r="70" spans="2:15" ht="38.1" customHeight="1" thickBot="1">
      <c r="B70" s="868" t="s">
        <v>48</v>
      </c>
      <c r="C70" s="869"/>
      <c r="D70" s="869"/>
      <c r="E70" s="869"/>
      <c r="F70" s="869"/>
      <c r="G70" s="869"/>
      <c r="H70" s="869"/>
      <c r="I70" s="870">
        <f>L62*84.01+L63*84.01+L64*77.98+L65*109.25</f>
        <v>798.09500000000003</v>
      </c>
      <c r="J70" s="870"/>
      <c r="K70" s="870"/>
      <c r="L70" s="870"/>
      <c r="M70" s="89"/>
      <c r="N70" s="81"/>
      <c r="O70" s="90"/>
    </row>
    <row r="71" spans="2:15" ht="13.5" customHeight="1" thickTop="1" thickBot="1">
      <c r="B71" s="115"/>
      <c r="C71" s="115"/>
      <c r="D71" s="115"/>
      <c r="E71" s="115"/>
      <c r="F71" s="115"/>
      <c r="G71" s="115"/>
      <c r="H71" s="115"/>
      <c r="I71" s="116"/>
      <c r="J71" s="116"/>
      <c r="K71" s="116"/>
      <c r="L71" s="116"/>
      <c r="N71" s="117"/>
      <c r="O71" s="90"/>
    </row>
    <row r="72" spans="2:15" s="6" customFormat="1" ht="48.75" customHeight="1" thickTop="1">
      <c r="B72" s="33" t="s">
        <v>2</v>
      </c>
      <c r="C72" s="34" t="s">
        <v>3</v>
      </c>
      <c r="D72" s="35" t="s">
        <v>4</v>
      </c>
      <c r="E72" s="34" t="s">
        <v>199</v>
      </c>
      <c r="F72" s="34" t="s">
        <v>6</v>
      </c>
      <c r="G72" s="34" t="s">
        <v>7</v>
      </c>
      <c r="H72" s="35" t="s">
        <v>8</v>
      </c>
      <c r="I72" s="34" t="s">
        <v>9</v>
      </c>
      <c r="J72" s="34" t="s">
        <v>10</v>
      </c>
      <c r="K72" s="34" t="s">
        <v>11</v>
      </c>
      <c r="L72" s="34" t="s">
        <v>12</v>
      </c>
      <c r="M72" s="34" t="s">
        <v>13</v>
      </c>
      <c r="N72" s="36" t="s">
        <v>14</v>
      </c>
    </row>
    <row r="73" spans="2:15" ht="24.95" customHeight="1">
      <c r="B73" s="872">
        <v>1</v>
      </c>
      <c r="C73" s="900" t="s">
        <v>226</v>
      </c>
      <c r="D73" s="873" t="s">
        <v>353</v>
      </c>
      <c r="E73" s="873">
        <v>149953</v>
      </c>
      <c r="F73" s="874">
        <v>40153</v>
      </c>
      <c r="G73" s="874">
        <v>40156</v>
      </c>
      <c r="H73" s="17" t="s">
        <v>361</v>
      </c>
      <c r="I73" s="15"/>
      <c r="J73" s="16">
        <v>1</v>
      </c>
      <c r="K73" s="17" t="s">
        <v>32</v>
      </c>
      <c r="L73" s="16">
        <v>5</v>
      </c>
      <c r="M73" s="18" t="s">
        <v>143</v>
      </c>
      <c r="N73" s="80"/>
    </row>
    <row r="74" spans="2:15" ht="24.95" customHeight="1">
      <c r="B74" s="872"/>
      <c r="C74" s="900"/>
      <c r="D74" s="873"/>
      <c r="E74" s="873"/>
      <c r="F74" s="874"/>
      <c r="G74" s="874"/>
      <c r="H74" s="14" t="s">
        <v>362</v>
      </c>
      <c r="I74" s="15"/>
      <c r="J74" s="16">
        <v>5</v>
      </c>
      <c r="K74" s="17" t="s">
        <v>32</v>
      </c>
      <c r="L74" s="16">
        <v>7</v>
      </c>
      <c r="M74" s="18" t="s">
        <v>160</v>
      </c>
      <c r="N74" s="80"/>
    </row>
    <row r="75" spans="2:15" ht="24.95" customHeight="1">
      <c r="B75" s="872"/>
      <c r="C75" s="900"/>
      <c r="D75" s="873"/>
      <c r="E75" s="873"/>
      <c r="F75" s="874"/>
      <c r="G75" s="874"/>
      <c r="H75" s="14" t="s">
        <v>363</v>
      </c>
      <c r="I75" s="15" t="s">
        <v>364</v>
      </c>
      <c r="J75" s="16">
        <v>4</v>
      </c>
      <c r="K75" s="17"/>
      <c r="L75" s="16"/>
      <c r="M75" s="18"/>
      <c r="N75" s="80"/>
    </row>
    <row r="76" spans="2:15" ht="24.95" hidden="1" customHeight="1">
      <c r="B76" s="150"/>
      <c r="C76" s="151"/>
      <c r="D76" s="151"/>
      <c r="E76" s="151"/>
      <c r="F76" s="152"/>
      <c r="G76" s="152"/>
      <c r="H76" s="14"/>
      <c r="I76" s="15"/>
      <c r="J76" s="16"/>
      <c r="K76" s="17"/>
      <c r="L76" s="16"/>
      <c r="M76" s="18"/>
      <c r="N76" s="19"/>
    </row>
    <row r="77" spans="2:15" ht="24.95" hidden="1" customHeight="1">
      <c r="B77" s="150"/>
      <c r="C77" s="151"/>
      <c r="D77" s="151"/>
      <c r="E77" s="151"/>
      <c r="F77" s="152"/>
      <c r="G77" s="152"/>
      <c r="H77" s="14"/>
      <c r="I77" s="15"/>
      <c r="J77" s="16"/>
      <c r="K77" s="17"/>
      <c r="L77" s="16"/>
      <c r="M77" s="18"/>
      <c r="N77" s="19"/>
    </row>
    <row r="78" spans="2:15" ht="24.95" hidden="1" customHeight="1">
      <c r="B78" s="150"/>
      <c r="C78" s="151"/>
      <c r="D78" s="151"/>
      <c r="E78" s="151"/>
      <c r="F78" s="152"/>
      <c r="G78" s="152"/>
      <c r="H78" s="14"/>
      <c r="I78" s="15"/>
      <c r="J78" s="16"/>
      <c r="K78" s="17"/>
      <c r="L78" s="16"/>
      <c r="M78" s="18"/>
      <c r="N78" s="19"/>
    </row>
    <row r="79" spans="2:15" ht="24.95" hidden="1" customHeight="1">
      <c r="B79" s="150"/>
      <c r="C79" s="151"/>
      <c r="D79" s="151"/>
      <c r="E79" s="151"/>
      <c r="F79" s="152"/>
      <c r="G79" s="152"/>
      <c r="H79" s="14"/>
      <c r="I79" s="15"/>
      <c r="J79" s="16"/>
      <c r="K79" s="17"/>
      <c r="L79" s="16"/>
      <c r="M79" s="18"/>
      <c r="N79" s="19"/>
    </row>
    <row r="80" spans="2:15" ht="24.95" customHeight="1">
      <c r="B80" s="150"/>
      <c r="C80" s="12"/>
      <c r="D80" s="12"/>
      <c r="E80" s="18"/>
      <c r="F80" s="13"/>
      <c r="G80" s="13"/>
      <c r="H80" s="17" t="s">
        <v>146</v>
      </c>
      <c r="I80" s="17" t="s">
        <v>147</v>
      </c>
      <c r="J80" s="16">
        <v>1</v>
      </c>
      <c r="K80" s="17"/>
      <c r="L80" s="17"/>
      <c r="M80" s="20"/>
      <c r="N80" s="19"/>
    </row>
    <row r="81" spans="2:15" ht="38.1" customHeight="1" thickBot="1">
      <c r="B81" s="868" t="s">
        <v>48</v>
      </c>
      <c r="C81" s="869"/>
      <c r="D81" s="869"/>
      <c r="E81" s="869"/>
      <c r="F81" s="869"/>
      <c r="G81" s="869"/>
      <c r="H81" s="869"/>
      <c r="I81" s="870">
        <f>L73*84.01+L74*84.01+L75*77.98+L76*109.25+408.35+337.44+71.25</f>
        <v>1825.1600000000003</v>
      </c>
      <c r="J81" s="870"/>
      <c r="K81" s="870"/>
      <c r="L81" s="870"/>
      <c r="M81" s="89"/>
      <c r="N81" s="81"/>
      <c r="O81" s="90"/>
    </row>
    <row r="82" spans="2:15" ht="16.5" customHeight="1" thickTop="1" thickBot="1">
      <c r="B82" s="115"/>
      <c r="C82" s="115"/>
      <c r="D82" s="115"/>
      <c r="E82" s="115"/>
      <c r="F82" s="115"/>
      <c r="G82" s="115"/>
      <c r="H82" s="115"/>
      <c r="I82" s="116"/>
      <c r="J82" s="116"/>
      <c r="K82" s="116"/>
      <c r="L82" s="116"/>
      <c r="M82" s="39"/>
      <c r="N82" s="117"/>
      <c r="O82" s="90"/>
    </row>
    <row r="83" spans="2:15" s="6" customFormat="1" ht="48.75" customHeight="1" thickTop="1">
      <c r="B83" s="33" t="s">
        <v>2</v>
      </c>
      <c r="C83" s="34" t="s">
        <v>3</v>
      </c>
      <c r="D83" s="35" t="s">
        <v>4</v>
      </c>
      <c r="E83" s="34" t="s">
        <v>199</v>
      </c>
      <c r="F83" s="34" t="s">
        <v>6</v>
      </c>
      <c r="G83" s="34" t="s">
        <v>7</v>
      </c>
      <c r="H83" s="35" t="s">
        <v>8</v>
      </c>
      <c r="I83" s="34" t="s">
        <v>9</v>
      </c>
      <c r="J83" s="34" t="s">
        <v>10</v>
      </c>
      <c r="K83" s="34" t="s">
        <v>11</v>
      </c>
      <c r="L83" s="34" t="s">
        <v>12</v>
      </c>
      <c r="M83" s="34" t="s">
        <v>13</v>
      </c>
      <c r="N83" s="36" t="s">
        <v>14</v>
      </c>
    </row>
    <row r="84" spans="2:15" ht="24.95" customHeight="1">
      <c r="B84" s="872">
        <v>1</v>
      </c>
      <c r="C84" s="900" t="s">
        <v>359</v>
      </c>
      <c r="D84" s="873" t="s">
        <v>360</v>
      </c>
      <c r="E84" s="873">
        <v>48505</v>
      </c>
      <c r="F84" s="874">
        <v>40155</v>
      </c>
      <c r="G84" s="874">
        <v>40155</v>
      </c>
      <c r="H84" s="17"/>
      <c r="I84" s="15"/>
      <c r="J84" s="16"/>
      <c r="K84" s="17"/>
      <c r="L84" s="16"/>
      <c r="M84" s="18"/>
      <c r="N84" s="80"/>
    </row>
    <row r="85" spans="2:15" ht="24.95" customHeight="1">
      <c r="B85" s="872"/>
      <c r="C85" s="900"/>
      <c r="D85" s="873"/>
      <c r="E85" s="873"/>
      <c r="F85" s="874"/>
      <c r="G85" s="874"/>
      <c r="H85" s="14"/>
      <c r="I85" s="15"/>
      <c r="J85" s="16"/>
      <c r="K85" s="17"/>
      <c r="L85" s="16"/>
      <c r="M85" s="18"/>
      <c r="N85" s="80"/>
    </row>
    <row r="86" spans="2:15" ht="24.95" customHeight="1">
      <c r="B86" s="872"/>
      <c r="C86" s="900"/>
      <c r="D86" s="873"/>
      <c r="E86" s="873"/>
      <c r="F86" s="874"/>
      <c r="G86" s="874"/>
      <c r="H86" s="14"/>
      <c r="I86" s="15"/>
      <c r="J86" s="16"/>
      <c r="K86" s="17"/>
      <c r="L86" s="16"/>
      <c r="M86" s="18"/>
      <c r="N86" s="80"/>
    </row>
    <row r="87" spans="2:15" ht="24.95" hidden="1" customHeight="1">
      <c r="B87" s="150"/>
      <c r="C87" s="151"/>
      <c r="D87" s="151"/>
      <c r="E87" s="151"/>
      <c r="F87" s="152"/>
      <c r="G87" s="152"/>
      <c r="H87" s="14"/>
      <c r="I87" s="15"/>
      <c r="J87" s="16"/>
      <c r="K87" s="17"/>
      <c r="L87" s="16"/>
      <c r="M87" s="18"/>
      <c r="N87" s="19"/>
    </row>
    <row r="88" spans="2:15" ht="24.95" hidden="1" customHeight="1">
      <c r="B88" s="150"/>
      <c r="C88" s="151"/>
      <c r="D88" s="151"/>
      <c r="E88" s="151"/>
      <c r="F88" s="152"/>
      <c r="G88" s="152"/>
      <c r="H88" s="14"/>
      <c r="I88" s="15"/>
      <c r="J88" s="16"/>
      <c r="K88" s="17"/>
      <c r="L88" s="16"/>
      <c r="M88" s="18"/>
      <c r="N88" s="19"/>
    </row>
    <row r="89" spans="2:15" ht="24.95" hidden="1" customHeight="1">
      <c r="B89" s="150"/>
      <c r="C89" s="151"/>
      <c r="D89" s="151"/>
      <c r="E89" s="151"/>
      <c r="F89" s="152"/>
      <c r="G89" s="152"/>
      <c r="H89" s="14"/>
      <c r="I89" s="15"/>
      <c r="J89" s="16"/>
      <c r="K89" s="17"/>
      <c r="L89" s="16"/>
      <c r="M89" s="18"/>
      <c r="N89" s="19"/>
    </row>
    <row r="90" spans="2:15" ht="24.95" hidden="1" customHeight="1">
      <c r="B90" s="150"/>
      <c r="C90" s="151"/>
      <c r="D90" s="151"/>
      <c r="E90" s="151"/>
      <c r="F90" s="152"/>
      <c r="G90" s="152"/>
      <c r="H90" s="14"/>
      <c r="I90" s="15"/>
      <c r="J90" s="16"/>
      <c r="K90" s="17"/>
      <c r="L90" s="16"/>
      <c r="M90" s="18"/>
      <c r="N90" s="19"/>
    </row>
    <row r="91" spans="2:15" ht="24.95" hidden="1" customHeight="1">
      <c r="B91" s="150"/>
      <c r="C91" s="12"/>
      <c r="D91" s="12"/>
      <c r="E91" s="18"/>
      <c r="F91" s="13"/>
      <c r="G91" s="13"/>
      <c r="H91" s="17"/>
      <c r="I91" s="17"/>
      <c r="J91" s="16"/>
      <c r="K91" s="17"/>
      <c r="L91" s="17"/>
      <c r="M91" s="20"/>
      <c r="N91" s="19"/>
    </row>
    <row r="92" spans="2:15" ht="38.1" customHeight="1" thickBot="1">
      <c r="B92" s="868" t="s">
        <v>48</v>
      </c>
      <c r="C92" s="869"/>
      <c r="D92" s="869"/>
      <c r="E92" s="869"/>
      <c r="F92" s="869"/>
      <c r="G92" s="869"/>
      <c r="H92" s="869"/>
      <c r="I92" s="870">
        <f>L84*84.01+L85*84.01+L86*77.98+L87*109.25</f>
        <v>0</v>
      </c>
      <c r="J92" s="870"/>
      <c r="K92" s="870"/>
      <c r="L92" s="870"/>
      <c r="M92" s="89"/>
      <c r="N92" s="81"/>
      <c r="O92" s="90"/>
    </row>
    <row r="93" spans="2:15" ht="16.5" customHeight="1" thickTop="1">
      <c r="B93" s="115"/>
      <c r="C93" s="115"/>
      <c r="D93" s="115"/>
      <c r="E93" s="115"/>
      <c r="F93" s="115"/>
      <c r="G93" s="115"/>
      <c r="H93" s="115"/>
      <c r="I93" s="116"/>
      <c r="J93" s="116"/>
      <c r="K93" s="116"/>
      <c r="L93" s="116"/>
      <c r="M93" s="39"/>
      <c r="N93" s="117"/>
      <c r="O93" s="90"/>
    </row>
    <row r="94" spans="2:15" ht="19.5" customHeight="1">
      <c r="B94" s="29" t="s">
        <v>192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</row>
    <row r="95" spans="2:15" ht="20.100000000000001" customHeight="1" thickBot="1">
      <c r="B95" s="29" t="s">
        <v>18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</row>
    <row r="96" spans="2:15" s="6" customFormat="1" ht="48.75" customHeight="1" thickTop="1">
      <c r="B96" s="33" t="s">
        <v>2</v>
      </c>
      <c r="C96" s="34" t="s">
        <v>3</v>
      </c>
      <c r="D96" s="35" t="s">
        <v>4</v>
      </c>
      <c r="E96" s="34" t="s">
        <v>199</v>
      </c>
      <c r="F96" s="34" t="s">
        <v>6</v>
      </c>
      <c r="G96" s="34" t="s">
        <v>7</v>
      </c>
      <c r="H96" s="35" t="s">
        <v>8</v>
      </c>
      <c r="I96" s="34" t="s">
        <v>9</v>
      </c>
      <c r="J96" s="34" t="s">
        <v>10</v>
      </c>
      <c r="K96" s="34" t="s">
        <v>11</v>
      </c>
      <c r="L96" s="34" t="s">
        <v>12</v>
      </c>
      <c r="M96" s="34" t="s">
        <v>13</v>
      </c>
      <c r="N96" s="36" t="s">
        <v>14</v>
      </c>
    </row>
    <row r="97" spans="2:15" ht="24.95" customHeight="1">
      <c r="B97" s="872">
        <v>1</v>
      </c>
      <c r="C97" s="900" t="s">
        <v>374</v>
      </c>
      <c r="D97" s="873" t="s">
        <v>375</v>
      </c>
      <c r="E97" s="873">
        <v>233570</v>
      </c>
      <c r="F97" s="874">
        <v>40155</v>
      </c>
      <c r="G97" s="874">
        <v>40158</v>
      </c>
      <c r="H97" s="17" t="s">
        <v>162</v>
      </c>
      <c r="I97" s="15"/>
      <c r="J97" s="16"/>
      <c r="K97" s="17" t="s">
        <v>32</v>
      </c>
      <c r="L97" s="16">
        <v>3.5</v>
      </c>
      <c r="M97" s="18" t="s">
        <v>376</v>
      </c>
      <c r="N97" s="80" t="s">
        <v>302</v>
      </c>
    </row>
    <row r="98" spans="2:15" ht="24.95" customHeight="1">
      <c r="B98" s="872"/>
      <c r="C98" s="900"/>
      <c r="D98" s="873"/>
      <c r="E98" s="873"/>
      <c r="F98" s="874"/>
      <c r="G98" s="874"/>
      <c r="H98" s="14"/>
      <c r="I98" s="15"/>
      <c r="J98" s="16"/>
      <c r="K98" s="17" t="s">
        <v>33</v>
      </c>
      <c r="L98" s="16">
        <v>2.5</v>
      </c>
      <c r="M98" s="18" t="s">
        <v>58</v>
      </c>
      <c r="N98" s="80"/>
    </row>
    <row r="99" spans="2:15" ht="24.95" customHeight="1">
      <c r="B99" s="872"/>
      <c r="C99" s="900"/>
      <c r="D99" s="873"/>
      <c r="E99" s="873"/>
      <c r="F99" s="874"/>
      <c r="G99" s="874"/>
      <c r="H99" s="14"/>
      <c r="I99" s="15"/>
      <c r="J99" s="16"/>
      <c r="K99" s="17"/>
      <c r="L99" s="16"/>
      <c r="M99" s="18"/>
      <c r="N99" s="80"/>
    </row>
    <row r="100" spans="2:15" ht="24.95" hidden="1" customHeight="1">
      <c r="B100" s="150"/>
      <c r="C100" s="151"/>
      <c r="D100" s="151"/>
      <c r="E100" s="151"/>
      <c r="F100" s="152"/>
      <c r="G100" s="152"/>
      <c r="H100" s="14"/>
      <c r="I100" s="15"/>
      <c r="J100" s="16"/>
      <c r="K100" s="17"/>
      <c r="L100" s="16"/>
      <c r="M100" s="18"/>
      <c r="N100" s="19"/>
    </row>
    <row r="101" spans="2:15" ht="24.95" hidden="1" customHeight="1">
      <c r="B101" s="150"/>
      <c r="C101" s="151"/>
      <c r="D101" s="151"/>
      <c r="E101" s="151"/>
      <c r="F101" s="152"/>
      <c r="G101" s="152"/>
      <c r="H101" s="14"/>
      <c r="I101" s="15"/>
      <c r="J101" s="16"/>
      <c r="K101" s="17"/>
      <c r="L101" s="16"/>
      <c r="M101" s="18"/>
      <c r="N101" s="19"/>
    </row>
    <row r="102" spans="2:15" ht="24.95" hidden="1" customHeight="1">
      <c r="B102" s="150"/>
      <c r="C102" s="151"/>
      <c r="D102" s="151"/>
      <c r="E102" s="151"/>
      <c r="F102" s="152"/>
      <c r="G102" s="152"/>
      <c r="H102" s="14"/>
      <c r="I102" s="15"/>
      <c r="J102" s="16"/>
      <c r="K102" s="17"/>
      <c r="L102" s="16"/>
      <c r="M102" s="18"/>
      <c r="N102" s="19"/>
    </row>
    <row r="103" spans="2:15" ht="24.95" hidden="1" customHeight="1">
      <c r="B103" s="150"/>
      <c r="C103" s="151"/>
      <c r="D103" s="151"/>
      <c r="E103" s="151"/>
      <c r="F103" s="152"/>
      <c r="G103" s="152"/>
      <c r="H103" s="14"/>
      <c r="I103" s="15"/>
      <c r="J103" s="16"/>
      <c r="K103" s="17"/>
      <c r="L103" s="16"/>
      <c r="M103" s="18"/>
      <c r="N103" s="19"/>
    </row>
    <row r="104" spans="2:15" ht="24.95" hidden="1" customHeight="1">
      <c r="B104" s="150"/>
      <c r="C104" s="12"/>
      <c r="D104" s="12"/>
      <c r="E104" s="18"/>
      <c r="F104" s="13"/>
      <c r="G104" s="13"/>
      <c r="H104" s="17"/>
      <c r="I104" s="17"/>
      <c r="J104" s="16"/>
      <c r="K104" s="17"/>
      <c r="L104" s="17"/>
      <c r="M104" s="20"/>
      <c r="N104" s="19"/>
    </row>
    <row r="105" spans="2:15" ht="38.1" customHeight="1" thickBot="1">
      <c r="B105" s="868" t="s">
        <v>48</v>
      </c>
      <c r="C105" s="869"/>
      <c r="D105" s="869"/>
      <c r="E105" s="869"/>
      <c r="F105" s="869"/>
      <c r="G105" s="869"/>
      <c r="H105" s="869"/>
      <c r="I105" s="870">
        <f>L97*84.01+L98*84.01+L99*77.98+L100*109.25+'[1]005-11'!$O$25</f>
        <v>1224.06</v>
      </c>
      <c r="J105" s="870"/>
      <c r="K105" s="870"/>
      <c r="L105" s="870"/>
      <c r="M105" s="89"/>
      <c r="N105" s="81"/>
      <c r="O105" s="90"/>
    </row>
    <row r="106" spans="2:15" ht="15" customHeight="1" thickTop="1" thickBot="1">
      <c r="B106" s="115"/>
      <c r="C106" s="115"/>
      <c r="D106" s="115"/>
      <c r="E106" s="115"/>
      <c r="F106" s="115"/>
      <c r="G106" s="115"/>
      <c r="H106" s="115"/>
      <c r="I106" s="116"/>
      <c r="J106" s="116"/>
      <c r="K106" s="116"/>
      <c r="L106" s="116"/>
      <c r="M106" s="39"/>
      <c r="N106" s="117"/>
      <c r="O106" s="90"/>
    </row>
    <row r="107" spans="2:15" s="6" customFormat="1" ht="48.75" customHeight="1" thickTop="1">
      <c r="B107" s="33" t="s">
        <v>2</v>
      </c>
      <c r="C107" s="34" t="s">
        <v>3</v>
      </c>
      <c r="D107" s="35" t="s">
        <v>4</v>
      </c>
      <c r="E107" s="34" t="s">
        <v>199</v>
      </c>
      <c r="F107" s="34" t="s">
        <v>6</v>
      </c>
      <c r="G107" s="34" t="s">
        <v>7</v>
      </c>
      <c r="H107" s="35" t="s">
        <v>8</v>
      </c>
      <c r="I107" s="34" t="s">
        <v>9</v>
      </c>
      <c r="J107" s="34" t="s">
        <v>10</v>
      </c>
      <c r="K107" s="34" t="s">
        <v>11</v>
      </c>
      <c r="L107" s="34" t="s">
        <v>12</v>
      </c>
      <c r="M107" s="34" t="s">
        <v>13</v>
      </c>
      <c r="N107" s="36" t="s">
        <v>14</v>
      </c>
    </row>
    <row r="108" spans="2:15" ht="24.95" customHeight="1">
      <c r="B108" s="872">
        <v>1</v>
      </c>
      <c r="C108" s="900" t="s">
        <v>294</v>
      </c>
      <c r="D108" s="873" t="s">
        <v>369</v>
      </c>
      <c r="E108" s="873">
        <v>36537</v>
      </c>
      <c r="F108" s="874">
        <v>40155</v>
      </c>
      <c r="G108" s="874">
        <v>40157</v>
      </c>
      <c r="H108" s="17"/>
      <c r="I108" s="15"/>
      <c r="J108" s="16"/>
      <c r="K108" s="17" t="s">
        <v>32</v>
      </c>
      <c r="L108" s="16">
        <v>13</v>
      </c>
      <c r="M108" s="18" t="s">
        <v>120</v>
      </c>
      <c r="N108" s="80"/>
    </row>
    <row r="109" spans="2:15" ht="24.95" customHeight="1">
      <c r="B109" s="872"/>
      <c r="C109" s="900"/>
      <c r="D109" s="873"/>
      <c r="E109" s="873"/>
      <c r="F109" s="874"/>
      <c r="G109" s="874"/>
      <c r="H109" s="14"/>
      <c r="I109" s="15"/>
      <c r="J109" s="16"/>
      <c r="K109" s="17" t="s">
        <v>33</v>
      </c>
      <c r="L109" s="16">
        <v>42</v>
      </c>
      <c r="M109" s="18" t="s">
        <v>293</v>
      </c>
      <c r="N109" s="80"/>
    </row>
    <row r="110" spans="2:15" ht="24.95" customHeight="1">
      <c r="B110" s="872"/>
      <c r="C110" s="900"/>
      <c r="D110" s="873"/>
      <c r="E110" s="873"/>
      <c r="F110" s="874"/>
      <c r="G110" s="874"/>
      <c r="H110" s="14"/>
      <c r="I110" s="15"/>
      <c r="J110" s="16"/>
      <c r="K110" s="17"/>
      <c r="L110" s="16"/>
      <c r="M110" s="18"/>
      <c r="N110" s="80"/>
    </row>
    <row r="111" spans="2:15" ht="24.95" hidden="1" customHeight="1">
      <c r="B111" s="150"/>
      <c r="C111" s="151"/>
      <c r="D111" s="151"/>
      <c r="E111" s="151"/>
      <c r="F111" s="152"/>
      <c r="G111" s="152"/>
      <c r="H111" s="14"/>
      <c r="I111" s="15"/>
      <c r="J111" s="16"/>
      <c r="K111" s="17"/>
      <c r="L111" s="16"/>
      <c r="M111" s="18"/>
      <c r="N111" s="19"/>
    </row>
    <row r="112" spans="2:15" ht="24.95" hidden="1" customHeight="1">
      <c r="B112" s="150"/>
      <c r="C112" s="151"/>
      <c r="D112" s="151"/>
      <c r="E112" s="151"/>
      <c r="F112" s="152"/>
      <c r="G112" s="152"/>
      <c r="H112" s="14"/>
      <c r="I112" s="15"/>
      <c r="J112" s="16"/>
      <c r="K112" s="17"/>
      <c r="L112" s="16"/>
      <c r="M112" s="18"/>
      <c r="N112" s="19"/>
    </row>
    <row r="113" spans="2:15" ht="24.95" hidden="1" customHeight="1">
      <c r="B113" s="150"/>
      <c r="C113" s="151"/>
      <c r="D113" s="151"/>
      <c r="E113" s="151"/>
      <c r="F113" s="152"/>
      <c r="G113" s="152"/>
      <c r="H113" s="14"/>
      <c r="I113" s="15"/>
      <c r="J113" s="16"/>
      <c r="K113" s="17"/>
      <c r="L113" s="16"/>
      <c r="M113" s="18"/>
      <c r="N113" s="19"/>
    </row>
    <row r="114" spans="2:15" ht="24.95" hidden="1" customHeight="1">
      <c r="B114" s="150"/>
      <c r="C114" s="151"/>
      <c r="D114" s="151"/>
      <c r="E114" s="151"/>
      <c r="F114" s="152"/>
      <c r="G114" s="152"/>
      <c r="H114" s="14"/>
      <c r="I114" s="15"/>
      <c r="J114" s="16"/>
      <c r="K114" s="17"/>
      <c r="L114" s="16"/>
      <c r="M114" s="18"/>
      <c r="N114" s="19"/>
    </row>
    <row r="115" spans="2:15" ht="24.95" hidden="1" customHeight="1">
      <c r="B115" s="150"/>
      <c r="C115" s="12"/>
      <c r="D115" s="12"/>
      <c r="E115" s="18"/>
      <c r="F115" s="13"/>
      <c r="G115" s="13"/>
      <c r="H115" s="17"/>
      <c r="I115" s="17"/>
      <c r="J115" s="16"/>
      <c r="K115" s="17"/>
      <c r="L115" s="17"/>
      <c r="M115" s="20"/>
      <c r="N115" s="19"/>
    </row>
    <row r="116" spans="2:15" ht="38.1" customHeight="1" thickBot="1">
      <c r="B116" s="868" t="s">
        <v>48</v>
      </c>
      <c r="C116" s="869"/>
      <c r="D116" s="869"/>
      <c r="E116" s="869"/>
      <c r="F116" s="869"/>
      <c r="G116" s="869"/>
      <c r="H116" s="869"/>
      <c r="I116" s="870">
        <f>L108*84.01+L109*84.01+L110*77.98+L111*109.25</f>
        <v>4620.55</v>
      </c>
      <c r="J116" s="870"/>
      <c r="K116" s="870"/>
      <c r="L116" s="870"/>
      <c r="M116" s="89"/>
      <c r="N116" s="81"/>
      <c r="O116" s="90"/>
    </row>
    <row r="117" spans="2:15" ht="15" customHeight="1" thickTop="1" thickBot="1">
      <c r="B117" s="109"/>
      <c r="C117" s="109"/>
      <c r="D117" s="109"/>
      <c r="E117" s="109"/>
      <c r="F117" s="109"/>
      <c r="G117" s="109"/>
      <c r="H117" s="109"/>
      <c r="I117" s="154"/>
      <c r="J117" s="154"/>
      <c r="K117" s="154"/>
      <c r="L117" s="154"/>
      <c r="M117" s="110"/>
      <c r="N117" s="111"/>
      <c r="O117" s="90"/>
    </row>
    <row r="118" spans="2:15" s="6" customFormat="1" ht="48.75" customHeight="1" thickTop="1">
      <c r="B118" s="33" t="s">
        <v>2</v>
      </c>
      <c r="C118" s="34" t="s">
        <v>3</v>
      </c>
      <c r="D118" s="35" t="s">
        <v>4</v>
      </c>
      <c r="E118" s="34" t="s">
        <v>199</v>
      </c>
      <c r="F118" s="34" t="s">
        <v>6</v>
      </c>
      <c r="G118" s="34" t="s">
        <v>7</v>
      </c>
      <c r="H118" s="35" t="s">
        <v>8</v>
      </c>
      <c r="I118" s="34" t="s">
        <v>9</v>
      </c>
      <c r="J118" s="34" t="s">
        <v>10</v>
      </c>
      <c r="K118" s="34" t="s">
        <v>11</v>
      </c>
      <c r="L118" s="34" t="s">
        <v>12</v>
      </c>
      <c r="M118" s="34" t="s">
        <v>13</v>
      </c>
      <c r="N118" s="36" t="s">
        <v>14</v>
      </c>
    </row>
    <row r="119" spans="2:15" ht="24.95" customHeight="1">
      <c r="B119" s="872">
        <v>1</v>
      </c>
      <c r="C119" s="900" t="s">
        <v>226</v>
      </c>
      <c r="D119" s="873" t="s">
        <v>365</v>
      </c>
      <c r="E119" s="873">
        <v>106853</v>
      </c>
      <c r="F119" s="874">
        <v>40157</v>
      </c>
      <c r="G119" s="874">
        <v>40157</v>
      </c>
      <c r="H119" s="17"/>
      <c r="I119" s="82"/>
      <c r="J119" s="16"/>
      <c r="K119" s="17"/>
      <c r="L119" s="16"/>
      <c r="M119" s="18" t="s">
        <v>119</v>
      </c>
      <c r="N119" s="80"/>
    </row>
    <row r="120" spans="2:15" ht="24.95" customHeight="1">
      <c r="B120" s="872"/>
      <c r="C120" s="900"/>
      <c r="D120" s="873"/>
      <c r="E120" s="873"/>
      <c r="F120" s="874"/>
      <c r="G120" s="874"/>
      <c r="H120" s="14"/>
      <c r="I120" s="15"/>
      <c r="J120" s="16"/>
      <c r="K120" s="17"/>
      <c r="L120" s="16"/>
      <c r="M120" s="18"/>
      <c r="N120" s="80"/>
    </row>
    <row r="121" spans="2:15" ht="24.95" customHeight="1">
      <c r="B121" s="872"/>
      <c r="C121" s="900"/>
      <c r="D121" s="873"/>
      <c r="E121" s="873"/>
      <c r="F121" s="874"/>
      <c r="G121" s="874"/>
      <c r="H121" s="14"/>
      <c r="I121" s="15"/>
      <c r="J121" s="16"/>
      <c r="K121" s="17"/>
      <c r="L121" s="16"/>
      <c r="M121" s="18"/>
      <c r="N121" s="80"/>
    </row>
    <row r="122" spans="2:15" ht="24.95" hidden="1" customHeight="1">
      <c r="B122" s="150"/>
      <c r="C122" s="151"/>
      <c r="D122" s="151"/>
      <c r="E122" s="151"/>
      <c r="F122" s="152"/>
      <c r="G122" s="152"/>
      <c r="H122" s="14"/>
      <c r="I122" s="15"/>
      <c r="J122" s="16"/>
      <c r="K122" s="17"/>
      <c r="L122" s="16"/>
      <c r="M122" s="18"/>
      <c r="N122" s="19"/>
    </row>
    <row r="123" spans="2:15" ht="24.95" hidden="1" customHeight="1">
      <c r="B123" s="150"/>
      <c r="C123" s="151"/>
      <c r="D123" s="151"/>
      <c r="E123" s="151"/>
      <c r="F123" s="152"/>
      <c r="G123" s="152"/>
      <c r="H123" s="14"/>
      <c r="I123" s="15"/>
      <c r="J123" s="16"/>
      <c r="K123" s="17"/>
      <c r="L123" s="16"/>
      <c r="M123" s="18"/>
      <c r="N123" s="19"/>
    </row>
    <row r="124" spans="2:15" ht="24.95" hidden="1" customHeight="1">
      <c r="B124" s="150"/>
      <c r="C124" s="151"/>
      <c r="D124" s="151"/>
      <c r="E124" s="151"/>
      <c r="F124" s="152"/>
      <c r="G124" s="152"/>
      <c r="H124" s="14"/>
      <c r="I124" s="15"/>
      <c r="J124" s="16"/>
      <c r="K124" s="17"/>
      <c r="L124" s="16"/>
      <c r="M124" s="18"/>
      <c r="N124" s="19"/>
    </row>
    <row r="125" spans="2:15" ht="24.95" hidden="1" customHeight="1">
      <c r="B125" s="150"/>
      <c r="C125" s="151"/>
      <c r="D125" s="151"/>
      <c r="E125" s="151"/>
      <c r="F125" s="152"/>
      <c r="G125" s="152"/>
      <c r="H125" s="14"/>
      <c r="I125" s="15"/>
      <c r="J125" s="16"/>
      <c r="K125" s="17"/>
      <c r="L125" s="16"/>
      <c r="M125" s="18"/>
      <c r="N125" s="19"/>
    </row>
    <row r="126" spans="2:15" ht="24.95" hidden="1" customHeight="1">
      <c r="B126" s="150"/>
      <c r="C126" s="12"/>
      <c r="D126" s="12"/>
      <c r="E126" s="18"/>
      <c r="F126" s="13"/>
      <c r="G126" s="13"/>
      <c r="H126" s="17"/>
      <c r="I126" s="17"/>
      <c r="J126" s="16"/>
      <c r="K126" s="17"/>
      <c r="L126" s="17"/>
      <c r="M126" s="20"/>
      <c r="N126" s="19"/>
    </row>
    <row r="127" spans="2:15" ht="38.1" customHeight="1" thickBot="1">
      <c r="B127" s="868" t="s">
        <v>48</v>
      </c>
      <c r="C127" s="869"/>
      <c r="D127" s="869"/>
      <c r="E127" s="869"/>
      <c r="F127" s="869"/>
      <c r="G127" s="869"/>
      <c r="H127" s="869"/>
      <c r="I127" s="870">
        <f>L119*84.01+L120*84.01+L121*77.98+L122*109.25</f>
        <v>0</v>
      </c>
      <c r="J127" s="870"/>
      <c r="K127" s="870"/>
      <c r="L127" s="870"/>
      <c r="M127" s="89"/>
      <c r="N127" s="81"/>
      <c r="O127" s="90"/>
    </row>
    <row r="128" spans="2:15" ht="24.95" customHeight="1" thickTop="1">
      <c r="B128" s="889" t="s">
        <v>371</v>
      </c>
      <c r="C128" s="889"/>
      <c r="D128" s="889"/>
      <c r="E128" s="889"/>
      <c r="F128" s="889"/>
      <c r="G128" s="889"/>
      <c r="H128" s="889"/>
      <c r="I128" s="889"/>
      <c r="J128" s="889"/>
      <c r="K128" s="889"/>
      <c r="L128" s="889"/>
      <c r="M128" s="889"/>
      <c r="N128" s="889"/>
    </row>
    <row r="129" spans="2:15" ht="13.5" customHeight="1" thickBot="1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</row>
    <row r="130" spans="2:15" s="6" customFormat="1" ht="48.75" customHeight="1" thickTop="1">
      <c r="B130" s="71" t="s">
        <v>2</v>
      </c>
      <c r="C130" s="72" t="s">
        <v>3</v>
      </c>
      <c r="D130" s="73" t="s">
        <v>4</v>
      </c>
      <c r="E130" s="72" t="s">
        <v>199</v>
      </c>
      <c r="F130" s="72" t="s">
        <v>6</v>
      </c>
      <c r="G130" s="72" t="s">
        <v>7</v>
      </c>
      <c r="H130" s="73" t="s">
        <v>8</v>
      </c>
      <c r="I130" s="72" t="s">
        <v>9</v>
      </c>
      <c r="J130" s="72" t="s">
        <v>10</v>
      </c>
      <c r="K130" s="72" t="s">
        <v>11</v>
      </c>
      <c r="L130" s="72" t="s">
        <v>12</v>
      </c>
      <c r="M130" s="72" t="s">
        <v>13</v>
      </c>
      <c r="N130" s="74" t="s">
        <v>14</v>
      </c>
    </row>
    <row r="131" spans="2:15" ht="24.95" customHeight="1">
      <c r="B131" s="863">
        <v>1</v>
      </c>
      <c r="C131" s="897" t="s">
        <v>226</v>
      </c>
      <c r="D131" s="864" t="s">
        <v>366</v>
      </c>
      <c r="E131" s="864">
        <v>130269</v>
      </c>
      <c r="F131" s="865">
        <v>40157</v>
      </c>
      <c r="G131" s="865">
        <v>40158</v>
      </c>
      <c r="H131" s="17" t="s">
        <v>372</v>
      </c>
      <c r="I131" s="82"/>
      <c r="J131" s="16">
        <v>1</v>
      </c>
      <c r="K131" s="17"/>
      <c r="L131" s="16"/>
      <c r="M131" s="18" t="s">
        <v>120</v>
      </c>
      <c r="N131" s="80"/>
    </row>
    <row r="132" spans="2:15" ht="24.95" customHeight="1">
      <c r="B132" s="852"/>
      <c r="C132" s="898"/>
      <c r="D132" s="855"/>
      <c r="E132" s="855"/>
      <c r="F132" s="839"/>
      <c r="G132" s="839"/>
      <c r="H132" s="14"/>
      <c r="I132" s="15"/>
      <c r="J132" s="16"/>
      <c r="K132" s="17"/>
      <c r="L132" s="16"/>
      <c r="M132" s="18" t="s">
        <v>143</v>
      </c>
      <c r="N132" s="80"/>
    </row>
    <row r="133" spans="2:15" ht="24.95" customHeight="1">
      <c r="B133" s="858"/>
      <c r="C133" s="899"/>
      <c r="D133" s="859"/>
      <c r="E133" s="859"/>
      <c r="F133" s="840"/>
      <c r="G133" s="840"/>
      <c r="H133" s="14"/>
      <c r="I133" s="15"/>
      <c r="J133" s="16"/>
      <c r="K133" s="17"/>
      <c r="L133" s="16"/>
      <c r="M133" s="18"/>
      <c r="N133" s="80"/>
    </row>
    <row r="134" spans="2:15" ht="24.95" hidden="1" customHeight="1">
      <c r="B134" s="155"/>
      <c r="C134" s="156"/>
      <c r="D134" s="156"/>
      <c r="E134" s="156"/>
      <c r="F134" s="153"/>
      <c r="G134" s="153"/>
      <c r="H134" s="14"/>
      <c r="I134" s="15"/>
      <c r="J134" s="16"/>
      <c r="K134" s="17"/>
      <c r="L134" s="16"/>
      <c r="M134" s="18"/>
      <c r="N134" s="19"/>
    </row>
    <row r="135" spans="2:15" ht="24.95" hidden="1" customHeight="1">
      <c r="B135" s="155"/>
      <c r="C135" s="156"/>
      <c r="D135" s="156"/>
      <c r="E135" s="156"/>
      <c r="F135" s="153"/>
      <c r="G135" s="153"/>
      <c r="H135" s="14"/>
      <c r="I135" s="15"/>
      <c r="J135" s="16"/>
      <c r="K135" s="17"/>
      <c r="L135" s="16"/>
      <c r="M135" s="18"/>
      <c r="N135" s="19"/>
    </row>
    <row r="136" spans="2:15" ht="24.95" hidden="1" customHeight="1">
      <c r="B136" s="155"/>
      <c r="C136" s="156"/>
      <c r="D136" s="156"/>
      <c r="E136" s="156"/>
      <c r="F136" s="153"/>
      <c r="G136" s="153"/>
      <c r="H136" s="14"/>
      <c r="I136" s="15"/>
      <c r="J136" s="16"/>
      <c r="K136" s="17"/>
      <c r="L136" s="16"/>
      <c r="M136" s="18"/>
      <c r="N136" s="19"/>
    </row>
    <row r="137" spans="2:15" ht="24.95" hidden="1" customHeight="1">
      <c r="B137" s="155"/>
      <c r="C137" s="156"/>
      <c r="D137" s="156"/>
      <c r="E137" s="156"/>
      <c r="F137" s="153"/>
      <c r="G137" s="153"/>
      <c r="H137" s="14"/>
      <c r="I137" s="15"/>
      <c r="J137" s="16"/>
      <c r="K137" s="17"/>
      <c r="L137" s="16"/>
      <c r="M137" s="18"/>
      <c r="N137" s="19"/>
    </row>
    <row r="138" spans="2:15" ht="24.95" hidden="1" customHeight="1">
      <c r="B138" s="150"/>
      <c r="C138" s="12"/>
      <c r="D138" s="12"/>
      <c r="E138" s="18"/>
      <c r="F138" s="13"/>
      <c r="G138" s="13"/>
      <c r="H138" s="17"/>
      <c r="I138" s="62"/>
      <c r="J138" s="64"/>
      <c r="K138" s="62"/>
      <c r="L138" s="62"/>
      <c r="M138" s="20"/>
      <c r="N138" s="19"/>
    </row>
    <row r="139" spans="2:15" ht="38.1" customHeight="1" thickBot="1">
      <c r="B139" s="843" t="s">
        <v>48</v>
      </c>
      <c r="C139" s="844"/>
      <c r="D139" s="844"/>
      <c r="E139" s="844"/>
      <c r="F139" s="844"/>
      <c r="G139" s="844"/>
      <c r="H139" s="844"/>
      <c r="I139" s="894">
        <f>L131*84.01+L132*84.01+L133*77.98+L134*109.25+4249.31</f>
        <v>4249.3100000000004</v>
      </c>
      <c r="J139" s="895"/>
      <c r="K139" s="895"/>
      <c r="L139" s="896"/>
      <c r="N139" s="81"/>
      <c r="O139" s="90"/>
    </row>
    <row r="140" spans="2:15" ht="24.95" customHeight="1" thickTop="1">
      <c r="B140" s="889" t="s">
        <v>373</v>
      </c>
      <c r="C140" s="889"/>
      <c r="D140" s="889"/>
      <c r="E140" s="889"/>
      <c r="F140" s="889"/>
      <c r="G140" s="889"/>
      <c r="H140" s="889"/>
      <c r="I140" s="889"/>
      <c r="J140" s="889"/>
      <c r="K140" s="889"/>
      <c r="L140" s="889"/>
      <c r="M140" s="889"/>
      <c r="N140" s="889"/>
    </row>
    <row r="141" spans="2:15" ht="15.75" customHeight="1"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</row>
    <row r="142" spans="2:15" ht="19.5" customHeight="1">
      <c r="B142" s="29" t="s">
        <v>192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/>
    </row>
    <row r="143" spans="2:15" ht="20.100000000000001" customHeight="1" thickBot="1">
      <c r="B143" s="29" t="s">
        <v>18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9"/>
    </row>
    <row r="144" spans="2:15" s="6" customFormat="1" ht="48.75" customHeight="1" thickTop="1">
      <c r="B144" s="33" t="s">
        <v>2</v>
      </c>
      <c r="C144" s="34" t="s">
        <v>3</v>
      </c>
      <c r="D144" s="35" t="s">
        <v>4</v>
      </c>
      <c r="E144" s="34" t="s">
        <v>199</v>
      </c>
      <c r="F144" s="34" t="s">
        <v>6</v>
      </c>
      <c r="G144" s="34" t="s">
        <v>7</v>
      </c>
      <c r="H144" s="35" t="s">
        <v>8</v>
      </c>
      <c r="I144" s="34" t="s">
        <v>9</v>
      </c>
      <c r="J144" s="34" t="s">
        <v>10</v>
      </c>
      <c r="K144" s="34" t="s">
        <v>11</v>
      </c>
      <c r="L144" s="34" t="s">
        <v>12</v>
      </c>
      <c r="M144" s="34" t="s">
        <v>13</v>
      </c>
      <c r="N144" s="36" t="s">
        <v>14</v>
      </c>
    </row>
    <row r="145" spans="2:15" ht="24.95" customHeight="1">
      <c r="B145" s="872">
        <v>1</v>
      </c>
      <c r="C145" s="900" t="s">
        <v>368</v>
      </c>
      <c r="D145" s="873" t="s">
        <v>377</v>
      </c>
      <c r="E145" s="873">
        <v>128897</v>
      </c>
      <c r="F145" s="874">
        <v>40157</v>
      </c>
      <c r="G145" s="874">
        <v>40159</v>
      </c>
      <c r="H145" s="17"/>
      <c r="I145" s="82"/>
      <c r="J145" s="16"/>
      <c r="K145" s="17" t="s">
        <v>32</v>
      </c>
      <c r="L145" s="16">
        <v>5</v>
      </c>
      <c r="M145" s="18" t="s">
        <v>143</v>
      </c>
      <c r="N145" s="80" t="s">
        <v>378</v>
      </c>
    </row>
    <row r="146" spans="2:15" ht="24.95" customHeight="1">
      <c r="B146" s="872"/>
      <c r="C146" s="900"/>
      <c r="D146" s="873"/>
      <c r="E146" s="873"/>
      <c r="F146" s="874"/>
      <c r="G146" s="874"/>
      <c r="H146" s="14"/>
      <c r="I146" s="15"/>
      <c r="J146" s="16"/>
      <c r="K146" s="17" t="s">
        <v>32</v>
      </c>
      <c r="L146" s="16">
        <v>7</v>
      </c>
      <c r="M146" s="18"/>
      <c r="N146" s="80" t="s">
        <v>379</v>
      </c>
    </row>
    <row r="147" spans="2:15" ht="24.95" customHeight="1">
      <c r="B147" s="872"/>
      <c r="C147" s="900"/>
      <c r="D147" s="873"/>
      <c r="E147" s="873"/>
      <c r="F147" s="874"/>
      <c r="G147" s="874"/>
      <c r="H147" s="14"/>
      <c r="I147" s="15"/>
      <c r="J147" s="16"/>
      <c r="K147" s="17"/>
      <c r="L147" s="16"/>
      <c r="M147" s="18"/>
      <c r="N147" s="80"/>
    </row>
    <row r="148" spans="2:15" ht="24.95" hidden="1" customHeight="1">
      <c r="B148" s="150"/>
      <c r="C148" s="151"/>
      <c r="D148" s="151"/>
      <c r="E148" s="151"/>
      <c r="F148" s="152"/>
      <c r="G148" s="152"/>
      <c r="H148" s="14"/>
      <c r="I148" s="15"/>
      <c r="J148" s="16"/>
      <c r="K148" s="17"/>
      <c r="L148" s="16"/>
      <c r="M148" s="18"/>
      <c r="N148" s="19"/>
    </row>
    <row r="149" spans="2:15" ht="24.95" hidden="1" customHeight="1">
      <c r="B149" s="150"/>
      <c r="C149" s="151"/>
      <c r="D149" s="151"/>
      <c r="E149" s="151"/>
      <c r="F149" s="152"/>
      <c r="G149" s="152"/>
      <c r="H149" s="14"/>
      <c r="I149" s="15"/>
      <c r="J149" s="16"/>
      <c r="K149" s="17"/>
      <c r="L149" s="16"/>
      <c r="M149" s="18"/>
      <c r="N149" s="19"/>
    </row>
    <row r="150" spans="2:15" ht="24.95" hidden="1" customHeight="1">
      <c r="B150" s="150"/>
      <c r="C150" s="151"/>
      <c r="D150" s="151"/>
      <c r="E150" s="151"/>
      <c r="F150" s="152"/>
      <c r="G150" s="152"/>
      <c r="H150" s="14"/>
      <c r="I150" s="15"/>
      <c r="J150" s="16"/>
      <c r="K150" s="17"/>
      <c r="L150" s="16"/>
      <c r="M150" s="18"/>
      <c r="N150" s="19"/>
    </row>
    <row r="151" spans="2:15" ht="24.95" hidden="1" customHeight="1">
      <c r="B151" s="150"/>
      <c r="C151" s="151"/>
      <c r="D151" s="151"/>
      <c r="E151" s="151"/>
      <c r="F151" s="152"/>
      <c r="G151" s="152"/>
      <c r="H151" s="14"/>
      <c r="I151" s="15"/>
      <c r="J151" s="16"/>
      <c r="K151" s="17"/>
      <c r="L151" s="16"/>
      <c r="M151" s="18"/>
      <c r="N151" s="19"/>
    </row>
    <row r="152" spans="2:15" ht="24.95" hidden="1" customHeight="1">
      <c r="B152" s="150"/>
      <c r="C152" s="12"/>
      <c r="D152" s="12"/>
      <c r="E152" s="18"/>
      <c r="F152" s="13"/>
      <c r="G152" s="13"/>
      <c r="H152" s="17"/>
      <c r="I152" s="17"/>
      <c r="J152" s="16"/>
      <c r="K152" s="17"/>
      <c r="L152" s="17"/>
      <c r="M152" s="20"/>
      <c r="N152" s="19"/>
    </row>
    <row r="153" spans="2:15" ht="38.1" customHeight="1" thickBot="1">
      <c r="B153" s="868" t="s">
        <v>48</v>
      </c>
      <c r="C153" s="869"/>
      <c r="D153" s="869"/>
      <c r="E153" s="869"/>
      <c r="F153" s="869"/>
      <c r="G153" s="869"/>
      <c r="H153" s="869"/>
      <c r="I153" s="870">
        <f>L145*84.01+L146*84.01+L147*77.98+L148*109.25</f>
        <v>1008.1200000000001</v>
      </c>
      <c r="J153" s="870"/>
      <c r="K153" s="870"/>
      <c r="L153" s="870"/>
      <c r="M153" s="89"/>
      <c r="N153" s="81"/>
      <c r="O153" s="90"/>
    </row>
    <row r="154" spans="2:15" ht="19.5" customHeight="1" thickTop="1">
      <c r="B154" s="29" t="s">
        <v>192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</row>
    <row r="155" spans="2:15" ht="20.100000000000001" customHeight="1">
      <c r="B155" s="29" t="s">
        <v>18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</row>
  </sheetData>
  <mergeCells count="109">
    <mergeCell ref="B153:H153"/>
    <mergeCell ref="I153:L153"/>
    <mergeCell ref="B139:H139"/>
    <mergeCell ref="I139:L139"/>
    <mergeCell ref="B140:N140"/>
    <mergeCell ref="B145:B147"/>
    <mergeCell ref="C145:C147"/>
    <mergeCell ref="D145:D147"/>
    <mergeCell ref="E145:E147"/>
    <mergeCell ref="F145:F147"/>
    <mergeCell ref="G145:G147"/>
    <mergeCell ref="B127:H127"/>
    <mergeCell ref="I127:L127"/>
    <mergeCell ref="B128:N128"/>
    <mergeCell ref="B131:B133"/>
    <mergeCell ref="C131:C133"/>
    <mergeCell ref="D131:D133"/>
    <mergeCell ref="E131:E133"/>
    <mergeCell ref="F131:F133"/>
    <mergeCell ref="G131:G133"/>
    <mergeCell ref="B116:H116"/>
    <mergeCell ref="I116:L116"/>
    <mergeCell ref="B119:B121"/>
    <mergeCell ref="C119:C121"/>
    <mergeCell ref="D119:D121"/>
    <mergeCell ref="E119:E121"/>
    <mergeCell ref="F119:F121"/>
    <mergeCell ref="G119:G121"/>
    <mergeCell ref="B105:H105"/>
    <mergeCell ref="I105:L105"/>
    <mergeCell ref="B108:B110"/>
    <mergeCell ref="C108:C110"/>
    <mergeCell ref="D108:D110"/>
    <mergeCell ref="E108:E110"/>
    <mergeCell ref="F108:F110"/>
    <mergeCell ref="G108:G110"/>
    <mergeCell ref="B97:B99"/>
    <mergeCell ref="C97:C99"/>
    <mergeCell ref="D97:D99"/>
    <mergeCell ref="E97:E99"/>
    <mergeCell ref="F97:F99"/>
    <mergeCell ref="G97:G99"/>
    <mergeCell ref="B84:B86"/>
    <mergeCell ref="C84:C86"/>
    <mergeCell ref="D84:D86"/>
    <mergeCell ref="E84:E86"/>
    <mergeCell ref="F84:F86"/>
    <mergeCell ref="G84:G86"/>
    <mergeCell ref="B73:B75"/>
    <mergeCell ref="C73:C75"/>
    <mergeCell ref="D73:D75"/>
    <mergeCell ref="E73:E75"/>
    <mergeCell ref="F73:F75"/>
    <mergeCell ref="G73:G75"/>
    <mergeCell ref="B62:B64"/>
    <mergeCell ref="C62:C64"/>
    <mergeCell ref="D62:D64"/>
    <mergeCell ref="E62:E64"/>
    <mergeCell ref="F62:F64"/>
    <mergeCell ref="G62:G64"/>
    <mergeCell ref="D16:D18"/>
    <mergeCell ref="E16:E18"/>
    <mergeCell ref="F16:F18"/>
    <mergeCell ref="G16:G18"/>
    <mergeCell ref="B51:B53"/>
    <mergeCell ref="C51:C53"/>
    <mergeCell ref="D51:D53"/>
    <mergeCell ref="E51:E53"/>
    <mergeCell ref="F51:F53"/>
    <mergeCell ref="G51:G53"/>
    <mergeCell ref="B38:B40"/>
    <mergeCell ref="C38:C40"/>
    <mergeCell ref="D38:D40"/>
    <mergeCell ref="E38:E40"/>
    <mergeCell ref="F38:F40"/>
    <mergeCell ref="G38:G40"/>
    <mergeCell ref="B13:H13"/>
    <mergeCell ref="I13:L13"/>
    <mergeCell ref="B92:H92"/>
    <mergeCell ref="I92:L92"/>
    <mergeCell ref="B81:H81"/>
    <mergeCell ref="I81:L81"/>
    <mergeCell ref="B70:H70"/>
    <mergeCell ref="I70:L70"/>
    <mergeCell ref="B59:H59"/>
    <mergeCell ref="I59:L59"/>
    <mergeCell ref="B46:H46"/>
    <mergeCell ref="I46:L46"/>
    <mergeCell ref="B35:H35"/>
    <mergeCell ref="I35:L35"/>
    <mergeCell ref="B24:H24"/>
    <mergeCell ref="I24:L24"/>
    <mergeCell ref="B27:B29"/>
    <mergeCell ref="C27:C29"/>
    <mergeCell ref="D27:D29"/>
    <mergeCell ref="E27:E29"/>
    <mergeCell ref="F27:F29"/>
    <mergeCell ref="G27:G29"/>
    <mergeCell ref="B16:B18"/>
    <mergeCell ref="C16:C18"/>
    <mergeCell ref="B1:N1"/>
    <mergeCell ref="B2:N2"/>
    <mergeCell ref="B3:L3"/>
    <mergeCell ref="B5:B7"/>
    <mergeCell ref="C5:C7"/>
    <mergeCell ref="D5:D7"/>
    <mergeCell ref="E5:E7"/>
    <mergeCell ref="F5:F7"/>
    <mergeCell ref="G5:G7"/>
  </mergeCells>
  <pageMargins left="0.19" right="0.15" top="0.21" bottom="0.28000000000000003" header="0.15" footer="0.3"/>
  <pageSetup scale="70" orientation="landscape" r:id="rId1"/>
  <rowBreaks count="2" manualBreakCount="2">
    <brk id="95" max="13" man="1"/>
    <brk id="143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B1:O158"/>
  <sheetViews>
    <sheetView view="pageBreakPreview" zoomScale="60" workbookViewId="0">
      <pane xSplit="3" ySplit="3" topLeftCell="D4" activePane="bottomRight" state="frozen"/>
      <selection activeCell="B18" sqref="B18"/>
      <selection pane="topRight" activeCell="B18" sqref="B18"/>
      <selection pane="bottomLeft" activeCell="B18" sqref="B18"/>
      <selection pane="bottomRight" activeCell="B16" sqref="B16:B18"/>
    </sheetView>
  </sheetViews>
  <sheetFormatPr defaultRowHeight="15"/>
  <cols>
    <col min="1" max="1" width="2.85546875" customWidth="1"/>
    <col min="2" max="2" width="8.7109375" customWidth="1"/>
    <col min="3" max="3" width="13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5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3.85546875" customWidth="1"/>
    <col min="14" max="14" width="42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7" customHeight="1">
      <c r="B2" s="861" t="s">
        <v>413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5" ht="9" customHeight="1" thickBo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  <c r="M3" s="39"/>
      <c r="N3" s="39"/>
    </row>
    <row r="4" spans="2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72">
        <v>1</v>
      </c>
      <c r="C5" s="900" t="s">
        <v>368</v>
      </c>
      <c r="D5" s="873" t="s">
        <v>377</v>
      </c>
      <c r="E5" s="873">
        <v>128897</v>
      </c>
      <c r="F5" s="874">
        <v>40157</v>
      </c>
      <c r="G5" s="874">
        <v>40159</v>
      </c>
      <c r="H5" s="17"/>
      <c r="I5" s="82"/>
      <c r="J5" s="16"/>
      <c r="K5" s="17" t="s">
        <v>32</v>
      </c>
      <c r="L5" s="16">
        <v>5</v>
      </c>
      <c r="M5" s="18" t="s">
        <v>143</v>
      </c>
      <c r="N5" s="80" t="s">
        <v>378</v>
      </c>
    </row>
    <row r="6" spans="2:15" ht="24.95" customHeight="1">
      <c r="B6" s="872"/>
      <c r="C6" s="900"/>
      <c r="D6" s="873"/>
      <c r="E6" s="873"/>
      <c r="F6" s="874"/>
      <c r="G6" s="874"/>
      <c r="H6" s="14"/>
      <c r="I6" s="15"/>
      <c r="J6" s="16"/>
      <c r="K6" s="17" t="s">
        <v>32</v>
      </c>
      <c r="L6" s="16">
        <v>7</v>
      </c>
      <c r="M6" s="18"/>
      <c r="N6" s="80" t="s">
        <v>379</v>
      </c>
    </row>
    <row r="7" spans="2:15" ht="24.95" customHeight="1">
      <c r="B7" s="872"/>
      <c r="C7" s="900"/>
      <c r="D7" s="873"/>
      <c r="E7" s="873"/>
      <c r="F7" s="874"/>
      <c r="G7" s="874"/>
      <c r="H7" s="14"/>
      <c r="I7" s="15"/>
      <c r="J7" s="16"/>
      <c r="K7" s="17"/>
      <c r="L7" s="16"/>
      <c r="M7" s="18"/>
      <c r="N7" s="80"/>
    </row>
    <row r="8" spans="2:15" ht="24.95" hidden="1" customHeight="1">
      <c r="B8" s="173"/>
      <c r="C8" s="174"/>
      <c r="D8" s="174"/>
      <c r="E8" s="174"/>
      <c r="F8" s="175"/>
      <c r="G8" s="175"/>
      <c r="H8" s="14"/>
      <c r="I8" s="15"/>
      <c r="J8" s="16"/>
      <c r="K8" s="17"/>
      <c r="L8" s="16"/>
      <c r="M8" s="18"/>
      <c r="N8" s="19"/>
    </row>
    <row r="9" spans="2:15" ht="24.95" hidden="1" customHeight="1">
      <c r="B9" s="173"/>
      <c r="C9" s="174"/>
      <c r="D9" s="174"/>
      <c r="E9" s="174"/>
      <c r="F9" s="175"/>
      <c r="G9" s="175"/>
      <c r="H9" s="14"/>
      <c r="I9" s="15"/>
      <c r="J9" s="16"/>
      <c r="K9" s="17"/>
      <c r="L9" s="16"/>
      <c r="M9" s="18"/>
      <c r="N9" s="19"/>
    </row>
    <row r="10" spans="2:15" ht="24.95" hidden="1" customHeight="1">
      <c r="B10" s="173"/>
      <c r="C10" s="174"/>
      <c r="D10" s="174"/>
      <c r="E10" s="174"/>
      <c r="F10" s="175"/>
      <c r="G10" s="175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173"/>
      <c r="C11" s="174"/>
      <c r="D11" s="174"/>
      <c r="E11" s="174"/>
      <c r="F11" s="175"/>
      <c r="G11" s="175"/>
      <c r="H11" s="14"/>
      <c r="I11" s="15"/>
      <c r="J11" s="16"/>
      <c r="K11" s="17"/>
      <c r="L11" s="16"/>
      <c r="M11" s="18"/>
      <c r="N11" s="19"/>
    </row>
    <row r="12" spans="2:15" ht="24.95" hidden="1" customHeight="1">
      <c r="B12" s="173"/>
      <c r="C12" s="12"/>
      <c r="D12" s="12"/>
      <c r="E12" s="18"/>
      <c r="F12" s="13"/>
      <c r="G12" s="13"/>
      <c r="H12" s="17"/>
      <c r="I12" s="17"/>
      <c r="J12" s="16"/>
      <c r="K12" s="17"/>
      <c r="L12" s="17"/>
      <c r="M12" s="20"/>
      <c r="N12" s="19"/>
    </row>
    <row r="13" spans="2:15" ht="38.1" customHeight="1" thickBot="1">
      <c r="B13" s="868" t="s">
        <v>48</v>
      </c>
      <c r="C13" s="869"/>
      <c r="D13" s="869"/>
      <c r="E13" s="869"/>
      <c r="F13" s="869"/>
      <c r="G13" s="869"/>
      <c r="H13" s="869"/>
      <c r="I13" s="870">
        <f>L5*84.01+L6*84.01+L7*77.98+L8*109.25</f>
        <v>1008.1200000000001</v>
      </c>
      <c r="J13" s="870"/>
      <c r="K13" s="870"/>
      <c r="L13" s="870"/>
      <c r="M13" s="89"/>
      <c r="N13" s="81"/>
      <c r="O13" s="90"/>
    </row>
    <row r="14" spans="2:15" ht="13.5" customHeight="1" thickTop="1" thickBot="1">
      <c r="B14" s="115"/>
      <c r="C14" s="115"/>
      <c r="D14" s="115"/>
      <c r="E14" s="115"/>
      <c r="F14" s="115"/>
      <c r="G14" s="115"/>
      <c r="H14" s="115"/>
      <c r="I14" s="116"/>
      <c r="J14" s="116"/>
      <c r="K14" s="116"/>
      <c r="L14" s="116"/>
      <c r="N14" s="117"/>
      <c r="O14" s="90"/>
    </row>
    <row r="15" spans="2:15" s="6" customFormat="1" ht="48.75" customHeight="1" thickTop="1">
      <c r="B15" s="71" t="s">
        <v>2</v>
      </c>
      <c r="C15" s="72" t="s">
        <v>3</v>
      </c>
      <c r="D15" s="73" t="s">
        <v>4</v>
      </c>
      <c r="E15" s="72" t="s">
        <v>199</v>
      </c>
      <c r="F15" s="72" t="s">
        <v>6</v>
      </c>
      <c r="G15" s="72" t="s">
        <v>7</v>
      </c>
      <c r="H15" s="73" t="s">
        <v>8</v>
      </c>
      <c r="I15" s="72" t="s">
        <v>9</v>
      </c>
      <c r="J15" s="72" t="s">
        <v>10</v>
      </c>
      <c r="K15" s="72" t="s">
        <v>11</v>
      </c>
      <c r="L15" s="72" t="s">
        <v>12</v>
      </c>
      <c r="M15" s="72" t="s">
        <v>13</v>
      </c>
      <c r="N15" s="74" t="s">
        <v>14</v>
      </c>
    </row>
    <row r="16" spans="2:15" ht="24.95" customHeight="1">
      <c r="B16" s="863">
        <v>1</v>
      </c>
      <c r="C16" s="897" t="s">
        <v>226</v>
      </c>
      <c r="D16" s="864" t="s">
        <v>370</v>
      </c>
      <c r="E16" s="864">
        <v>86267</v>
      </c>
      <c r="F16" s="865">
        <v>40159</v>
      </c>
      <c r="G16" s="865">
        <v>40159</v>
      </c>
      <c r="H16" s="17"/>
      <c r="I16" s="82"/>
      <c r="J16" s="16"/>
      <c r="K16" s="17"/>
      <c r="L16" s="16"/>
      <c r="M16" s="18" t="s">
        <v>56</v>
      </c>
      <c r="N16" s="80"/>
    </row>
    <row r="17" spans="2:15" ht="24.95" customHeight="1">
      <c r="B17" s="852"/>
      <c r="C17" s="898"/>
      <c r="D17" s="855"/>
      <c r="E17" s="855"/>
      <c r="F17" s="839"/>
      <c r="G17" s="839"/>
      <c r="H17" s="14"/>
      <c r="I17" s="15"/>
      <c r="J17" s="16"/>
      <c r="K17" s="17"/>
      <c r="L17" s="16"/>
      <c r="M17" s="18"/>
      <c r="N17" s="80"/>
    </row>
    <row r="18" spans="2:15" ht="24.95" customHeight="1">
      <c r="B18" s="858"/>
      <c r="C18" s="899"/>
      <c r="D18" s="859"/>
      <c r="E18" s="859"/>
      <c r="F18" s="840"/>
      <c r="G18" s="840"/>
      <c r="H18" s="14"/>
      <c r="I18" s="15"/>
      <c r="J18" s="16"/>
      <c r="K18" s="17"/>
      <c r="L18" s="16"/>
      <c r="M18" s="18"/>
      <c r="N18" s="80"/>
    </row>
    <row r="19" spans="2:15" ht="24.95" hidden="1" customHeight="1">
      <c r="B19" s="177"/>
      <c r="C19" s="178"/>
      <c r="D19" s="178"/>
      <c r="E19" s="178"/>
      <c r="F19" s="176"/>
      <c r="G19" s="176"/>
      <c r="H19" s="14"/>
      <c r="I19" s="15"/>
      <c r="J19" s="16"/>
      <c r="K19" s="17"/>
      <c r="L19" s="16"/>
      <c r="M19" s="18"/>
      <c r="N19" s="19"/>
    </row>
    <row r="20" spans="2:15" ht="24.95" hidden="1" customHeight="1">
      <c r="B20" s="177"/>
      <c r="C20" s="178"/>
      <c r="D20" s="178"/>
      <c r="E20" s="178"/>
      <c r="F20" s="176"/>
      <c r="G20" s="176"/>
      <c r="H20" s="14"/>
      <c r="I20" s="15"/>
      <c r="J20" s="16"/>
      <c r="K20" s="17"/>
      <c r="L20" s="16"/>
      <c r="M20" s="18"/>
      <c r="N20" s="19"/>
    </row>
    <row r="21" spans="2:15" ht="24.95" hidden="1" customHeight="1">
      <c r="B21" s="177"/>
      <c r="C21" s="178"/>
      <c r="D21" s="178"/>
      <c r="E21" s="178"/>
      <c r="F21" s="176"/>
      <c r="G21" s="176"/>
      <c r="H21" s="14"/>
      <c r="I21" s="15"/>
      <c r="J21" s="16"/>
      <c r="K21" s="17"/>
      <c r="L21" s="16"/>
      <c r="M21" s="18"/>
      <c r="N21" s="19"/>
    </row>
    <row r="22" spans="2:15" ht="24.95" hidden="1" customHeight="1">
      <c r="B22" s="177"/>
      <c r="C22" s="178"/>
      <c r="D22" s="178"/>
      <c r="E22" s="178"/>
      <c r="F22" s="176"/>
      <c r="G22" s="176"/>
      <c r="H22" s="14"/>
      <c r="I22" s="15"/>
      <c r="J22" s="16"/>
      <c r="K22" s="17"/>
      <c r="L22" s="16"/>
      <c r="M22" s="18"/>
      <c r="N22" s="19"/>
    </row>
    <row r="23" spans="2:15" ht="24.95" hidden="1" customHeight="1">
      <c r="B23" s="173"/>
      <c r="C23" s="12"/>
      <c r="D23" s="12"/>
      <c r="E23" s="18"/>
      <c r="F23" s="13"/>
      <c r="G23" s="13"/>
      <c r="H23" s="17"/>
      <c r="I23" s="62"/>
      <c r="J23" s="64"/>
      <c r="K23" s="62"/>
      <c r="L23" s="62"/>
      <c r="M23" s="20"/>
      <c r="N23" s="19"/>
    </row>
    <row r="24" spans="2:15" ht="38.1" customHeight="1" thickBot="1">
      <c r="B24" s="843" t="s">
        <v>48</v>
      </c>
      <c r="C24" s="844"/>
      <c r="D24" s="844"/>
      <c r="E24" s="844"/>
      <c r="F24" s="844"/>
      <c r="G24" s="844"/>
      <c r="H24" s="844"/>
      <c r="I24" s="894">
        <f>L16*84.01+L17*84.01+L18*77.98+L19*109.25</f>
        <v>0</v>
      </c>
      <c r="J24" s="895"/>
      <c r="K24" s="895"/>
      <c r="L24" s="896"/>
      <c r="N24" s="81"/>
      <c r="O24" s="90"/>
    </row>
    <row r="25" spans="2:15" ht="24.95" customHeight="1" thickTop="1">
      <c r="B25" s="889" t="s">
        <v>382</v>
      </c>
      <c r="C25" s="889"/>
      <c r="D25" s="889"/>
      <c r="E25" s="889"/>
      <c r="F25" s="889"/>
      <c r="G25" s="889"/>
      <c r="H25" s="889"/>
      <c r="I25" s="889"/>
      <c r="J25" s="889"/>
      <c r="K25" s="889"/>
      <c r="L25" s="889"/>
      <c r="M25" s="889"/>
      <c r="N25" s="889"/>
    </row>
    <row r="26" spans="2:15" ht="12" customHeight="1" thickBot="1"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</row>
    <row r="27" spans="2:15" s="6" customFormat="1" ht="48.75" customHeight="1" thickTop="1">
      <c r="B27" s="71" t="s">
        <v>2</v>
      </c>
      <c r="C27" s="72" t="s">
        <v>3</v>
      </c>
      <c r="D27" s="73" t="s">
        <v>4</v>
      </c>
      <c r="E27" s="72" t="s">
        <v>199</v>
      </c>
      <c r="F27" s="72" t="s">
        <v>6</v>
      </c>
      <c r="G27" s="72" t="s">
        <v>7</v>
      </c>
      <c r="H27" s="73" t="s">
        <v>8</v>
      </c>
      <c r="I27" s="72" t="s">
        <v>9</v>
      </c>
      <c r="J27" s="72" t="s">
        <v>10</v>
      </c>
      <c r="K27" s="72" t="s">
        <v>11</v>
      </c>
      <c r="L27" s="72" t="s">
        <v>12</v>
      </c>
      <c r="M27" s="72" t="s">
        <v>13</v>
      </c>
      <c r="N27" s="74" t="s">
        <v>14</v>
      </c>
    </row>
    <row r="28" spans="2:15" ht="24.95" customHeight="1">
      <c r="B28" s="863">
        <v>1</v>
      </c>
      <c r="C28" s="897" t="s">
        <v>226</v>
      </c>
      <c r="D28" s="864" t="s">
        <v>380</v>
      </c>
      <c r="E28" s="864">
        <v>162056</v>
      </c>
      <c r="F28" s="865">
        <v>40159</v>
      </c>
      <c r="G28" s="865">
        <v>40159</v>
      </c>
      <c r="H28" s="17" t="s">
        <v>386</v>
      </c>
      <c r="I28" s="15" t="s">
        <v>99</v>
      </c>
      <c r="J28" s="16">
        <v>2</v>
      </c>
      <c r="K28" s="17"/>
      <c r="L28" s="16"/>
      <c r="M28" s="18" t="s">
        <v>143</v>
      </c>
      <c r="N28" s="80"/>
    </row>
    <row r="29" spans="2:15" ht="24.95" customHeight="1">
      <c r="B29" s="852"/>
      <c r="C29" s="898"/>
      <c r="D29" s="855"/>
      <c r="E29" s="855"/>
      <c r="F29" s="839"/>
      <c r="G29" s="839"/>
      <c r="H29" s="14" t="s">
        <v>100</v>
      </c>
      <c r="I29" s="15" t="s">
        <v>104</v>
      </c>
      <c r="J29" s="16">
        <v>2</v>
      </c>
      <c r="K29" s="17"/>
      <c r="L29" s="16"/>
      <c r="M29" s="18"/>
      <c r="N29" s="80"/>
    </row>
    <row r="30" spans="2:15" ht="24.95" customHeight="1">
      <c r="B30" s="858"/>
      <c r="C30" s="899"/>
      <c r="D30" s="859"/>
      <c r="E30" s="859"/>
      <c r="F30" s="840"/>
      <c r="G30" s="840"/>
      <c r="H30" s="14"/>
      <c r="I30" s="15"/>
      <c r="J30" s="16"/>
      <c r="K30" s="17"/>
      <c r="L30" s="16"/>
      <c r="M30" s="18"/>
      <c r="N30" s="80"/>
    </row>
    <row r="31" spans="2:15" ht="24.95" hidden="1" customHeight="1">
      <c r="B31" s="177"/>
      <c r="C31" s="178"/>
      <c r="D31" s="178"/>
      <c r="E31" s="178"/>
      <c r="F31" s="176"/>
      <c r="G31" s="176"/>
      <c r="H31" s="14"/>
      <c r="I31" s="15"/>
      <c r="J31" s="16"/>
      <c r="K31" s="17"/>
      <c r="L31" s="16"/>
      <c r="M31" s="18"/>
      <c r="N31" s="19"/>
    </row>
    <row r="32" spans="2:15" ht="24.95" hidden="1" customHeight="1">
      <c r="B32" s="177"/>
      <c r="C32" s="178"/>
      <c r="D32" s="178"/>
      <c r="E32" s="178"/>
      <c r="F32" s="176"/>
      <c r="G32" s="176"/>
      <c r="H32" s="14"/>
      <c r="I32" s="15"/>
      <c r="J32" s="16"/>
      <c r="K32" s="17"/>
      <c r="L32" s="16"/>
      <c r="M32" s="18"/>
      <c r="N32" s="19"/>
    </row>
    <row r="33" spans="2:15" ht="24.95" hidden="1" customHeight="1">
      <c r="B33" s="177"/>
      <c r="C33" s="178"/>
      <c r="D33" s="178"/>
      <c r="E33" s="178"/>
      <c r="F33" s="176"/>
      <c r="G33" s="176"/>
      <c r="H33" s="14"/>
      <c r="I33" s="15"/>
      <c r="J33" s="16"/>
      <c r="K33" s="17"/>
      <c r="L33" s="16"/>
      <c r="M33" s="18"/>
      <c r="N33" s="19"/>
    </row>
    <row r="34" spans="2:15" ht="24.95" hidden="1" customHeight="1">
      <c r="B34" s="177"/>
      <c r="C34" s="178"/>
      <c r="D34" s="178"/>
      <c r="E34" s="178"/>
      <c r="F34" s="176"/>
      <c r="G34" s="176"/>
      <c r="H34" s="14"/>
      <c r="I34" s="15"/>
      <c r="J34" s="16"/>
      <c r="K34" s="17"/>
      <c r="L34" s="16"/>
      <c r="M34" s="18"/>
      <c r="N34" s="19"/>
    </row>
    <row r="35" spans="2:15" ht="24.95" hidden="1" customHeight="1">
      <c r="B35" s="173"/>
      <c r="C35" s="12"/>
      <c r="D35" s="12"/>
      <c r="E35" s="18"/>
      <c r="F35" s="13"/>
      <c r="G35" s="13"/>
      <c r="H35" s="17"/>
      <c r="I35" s="62"/>
      <c r="J35" s="64"/>
      <c r="K35" s="62"/>
      <c r="L35" s="62"/>
      <c r="M35" s="20"/>
      <c r="N35" s="19"/>
    </row>
    <row r="36" spans="2:15" ht="38.1" customHeight="1" thickBot="1">
      <c r="B36" s="843" t="s">
        <v>48</v>
      </c>
      <c r="C36" s="844"/>
      <c r="D36" s="844"/>
      <c r="E36" s="844"/>
      <c r="F36" s="844"/>
      <c r="G36" s="844"/>
      <c r="H36" s="844"/>
      <c r="I36" s="894">
        <f>L28*84.01+L29*84.01+L30*77.98+L31*109.25+5401.2+796.38</f>
        <v>6197.58</v>
      </c>
      <c r="J36" s="895"/>
      <c r="K36" s="895"/>
      <c r="L36" s="896"/>
      <c r="N36" s="81"/>
      <c r="O36" s="90"/>
    </row>
    <row r="37" spans="2:15" ht="24.95" customHeight="1" thickTop="1">
      <c r="B37" s="889" t="s">
        <v>385</v>
      </c>
      <c r="C37" s="889"/>
      <c r="D37" s="889"/>
      <c r="E37" s="889"/>
      <c r="F37" s="889"/>
      <c r="G37" s="889"/>
      <c r="H37" s="889"/>
      <c r="I37" s="889"/>
      <c r="J37" s="889"/>
      <c r="K37" s="889"/>
      <c r="L37" s="889"/>
      <c r="M37" s="889"/>
      <c r="N37" s="889"/>
    </row>
    <row r="38" spans="2:15" ht="12" customHeight="1" thickBot="1"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</row>
    <row r="39" spans="2:15" s="6" customFormat="1" ht="48.75" customHeight="1" thickTop="1">
      <c r="B39" s="71" t="s">
        <v>2</v>
      </c>
      <c r="C39" s="72" t="s">
        <v>3</v>
      </c>
      <c r="D39" s="73" t="s">
        <v>4</v>
      </c>
      <c r="E39" s="72" t="s">
        <v>199</v>
      </c>
      <c r="F39" s="72" t="s">
        <v>6</v>
      </c>
      <c r="G39" s="72" t="s">
        <v>7</v>
      </c>
      <c r="H39" s="73" t="s">
        <v>8</v>
      </c>
      <c r="I39" s="72" t="s">
        <v>9</v>
      </c>
      <c r="J39" s="72" t="s">
        <v>10</v>
      </c>
      <c r="K39" s="72" t="s">
        <v>11</v>
      </c>
      <c r="L39" s="72" t="s">
        <v>12</v>
      </c>
      <c r="M39" s="72" t="s">
        <v>13</v>
      </c>
      <c r="N39" s="74" t="s">
        <v>14</v>
      </c>
    </row>
    <row r="40" spans="2:15" ht="24.95" customHeight="1">
      <c r="B40" s="863">
        <v>1</v>
      </c>
      <c r="C40" s="897" t="s">
        <v>226</v>
      </c>
      <c r="D40" s="864" t="s">
        <v>381</v>
      </c>
      <c r="E40" s="864">
        <v>103045</v>
      </c>
      <c r="F40" s="865">
        <v>40160</v>
      </c>
      <c r="G40" s="865">
        <v>40160</v>
      </c>
      <c r="H40" s="17"/>
      <c r="I40" s="82"/>
      <c r="J40" s="16"/>
      <c r="K40" s="17"/>
      <c r="L40" s="16"/>
      <c r="M40" s="18" t="s">
        <v>143</v>
      </c>
      <c r="N40" s="80"/>
    </row>
    <row r="41" spans="2:15" ht="24.95" customHeight="1">
      <c r="B41" s="852"/>
      <c r="C41" s="898"/>
      <c r="D41" s="855"/>
      <c r="E41" s="855"/>
      <c r="F41" s="839"/>
      <c r="G41" s="839"/>
      <c r="H41" s="14"/>
      <c r="I41" s="15"/>
      <c r="J41" s="16"/>
      <c r="K41" s="17"/>
      <c r="L41" s="16"/>
      <c r="M41" s="18"/>
      <c r="N41" s="80"/>
    </row>
    <row r="42" spans="2:15" ht="24.95" customHeight="1">
      <c r="B42" s="858"/>
      <c r="C42" s="899"/>
      <c r="D42" s="859"/>
      <c r="E42" s="859"/>
      <c r="F42" s="840"/>
      <c r="G42" s="840"/>
      <c r="H42" s="14"/>
      <c r="I42" s="15"/>
      <c r="J42" s="16"/>
      <c r="K42" s="17"/>
      <c r="L42" s="16"/>
      <c r="M42" s="18"/>
      <c r="N42" s="80"/>
    </row>
    <row r="43" spans="2:15" ht="24.95" hidden="1" customHeight="1">
      <c r="B43" s="177"/>
      <c r="C43" s="178"/>
      <c r="D43" s="178"/>
      <c r="E43" s="178"/>
      <c r="F43" s="176"/>
      <c r="G43" s="176"/>
      <c r="H43" s="14"/>
      <c r="I43" s="15"/>
      <c r="J43" s="16"/>
      <c r="K43" s="17"/>
      <c r="L43" s="16"/>
      <c r="M43" s="18"/>
      <c r="N43" s="19"/>
    </row>
    <row r="44" spans="2:15" ht="24.95" hidden="1" customHeight="1">
      <c r="B44" s="177"/>
      <c r="C44" s="178"/>
      <c r="D44" s="178"/>
      <c r="E44" s="178"/>
      <c r="F44" s="176"/>
      <c r="G44" s="176"/>
      <c r="H44" s="14"/>
      <c r="I44" s="15"/>
      <c r="J44" s="16"/>
      <c r="K44" s="17"/>
      <c r="L44" s="16"/>
      <c r="M44" s="18"/>
      <c r="N44" s="19"/>
    </row>
    <row r="45" spans="2:15" ht="24.95" hidden="1" customHeight="1">
      <c r="B45" s="177"/>
      <c r="C45" s="178"/>
      <c r="D45" s="178"/>
      <c r="E45" s="178"/>
      <c r="F45" s="176"/>
      <c r="G45" s="176"/>
      <c r="H45" s="14"/>
      <c r="I45" s="15"/>
      <c r="J45" s="16"/>
      <c r="K45" s="17"/>
      <c r="L45" s="16"/>
      <c r="M45" s="18"/>
      <c r="N45" s="19"/>
    </row>
    <row r="46" spans="2:15" ht="24.95" hidden="1" customHeight="1">
      <c r="B46" s="177"/>
      <c r="C46" s="178"/>
      <c r="D46" s="178"/>
      <c r="E46" s="178"/>
      <c r="F46" s="176"/>
      <c r="G46" s="176"/>
      <c r="H46" s="14"/>
      <c r="I46" s="15"/>
      <c r="J46" s="16"/>
      <c r="K46" s="17"/>
      <c r="L46" s="16"/>
      <c r="M46" s="18"/>
      <c r="N46" s="19"/>
    </row>
    <row r="47" spans="2:15" ht="24.95" hidden="1" customHeight="1">
      <c r="B47" s="173"/>
      <c r="C47" s="12"/>
      <c r="D47" s="12"/>
      <c r="E47" s="18"/>
      <c r="F47" s="13"/>
      <c r="G47" s="13"/>
      <c r="H47" s="17"/>
      <c r="I47" s="62"/>
      <c r="J47" s="64"/>
      <c r="K47" s="62"/>
      <c r="L47" s="62"/>
      <c r="M47" s="20"/>
      <c r="N47" s="19"/>
    </row>
    <row r="48" spans="2:15" ht="38.1" customHeight="1" thickBot="1">
      <c r="B48" s="843" t="s">
        <v>48</v>
      </c>
      <c r="C48" s="844"/>
      <c r="D48" s="844"/>
      <c r="E48" s="844"/>
      <c r="F48" s="844"/>
      <c r="G48" s="844"/>
      <c r="H48" s="844"/>
      <c r="I48" s="894">
        <f>L40*84.01+L41*84.01+L42*77.98+L43*109.25</f>
        <v>0</v>
      </c>
      <c r="J48" s="895"/>
      <c r="K48" s="895"/>
      <c r="L48" s="896"/>
      <c r="N48" s="81"/>
      <c r="O48" s="90"/>
    </row>
    <row r="49" spans="2:15" ht="24.95" customHeight="1" thickTop="1">
      <c r="B49" s="889" t="s">
        <v>387</v>
      </c>
      <c r="C49" s="889"/>
      <c r="D49" s="889"/>
      <c r="E49" s="889"/>
      <c r="F49" s="889"/>
      <c r="G49" s="889"/>
      <c r="H49" s="889"/>
      <c r="I49" s="889"/>
      <c r="J49" s="889"/>
      <c r="K49" s="889"/>
      <c r="L49" s="889"/>
      <c r="M49" s="889"/>
      <c r="N49" s="889"/>
    </row>
    <row r="50" spans="2:15" ht="15" customHeight="1" thickBot="1"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</row>
    <row r="51" spans="2:15" s="6" customFormat="1" ht="48.75" customHeight="1" thickTop="1">
      <c r="B51" s="71" t="s">
        <v>2</v>
      </c>
      <c r="C51" s="72" t="s">
        <v>3</v>
      </c>
      <c r="D51" s="73" t="s">
        <v>4</v>
      </c>
      <c r="E51" s="72" t="s">
        <v>199</v>
      </c>
      <c r="F51" s="72" t="s">
        <v>6</v>
      </c>
      <c r="G51" s="72" t="s">
        <v>7</v>
      </c>
      <c r="H51" s="73" t="s">
        <v>8</v>
      </c>
      <c r="I51" s="72" t="s">
        <v>9</v>
      </c>
      <c r="J51" s="72" t="s">
        <v>10</v>
      </c>
      <c r="K51" s="72" t="s">
        <v>11</v>
      </c>
      <c r="L51" s="72" t="s">
        <v>12</v>
      </c>
      <c r="M51" s="72" t="s">
        <v>13</v>
      </c>
      <c r="N51" s="74" t="s">
        <v>14</v>
      </c>
    </row>
    <row r="52" spans="2:15" ht="24.95" customHeight="1">
      <c r="B52" s="863">
        <v>1</v>
      </c>
      <c r="C52" s="897" t="s">
        <v>226</v>
      </c>
      <c r="D52" s="864" t="s">
        <v>384</v>
      </c>
      <c r="E52" s="864">
        <v>255874</v>
      </c>
      <c r="F52" s="865">
        <v>40160</v>
      </c>
      <c r="G52" s="865">
        <v>40160</v>
      </c>
      <c r="H52" s="17"/>
      <c r="I52" s="82"/>
      <c r="J52" s="16"/>
      <c r="K52" s="17" t="s">
        <v>32</v>
      </c>
      <c r="L52" s="16">
        <v>3.5</v>
      </c>
      <c r="M52" s="18" t="s">
        <v>56</v>
      </c>
      <c r="N52" s="80" t="s">
        <v>403</v>
      </c>
    </row>
    <row r="53" spans="2:15" ht="24.95" customHeight="1">
      <c r="B53" s="852"/>
      <c r="C53" s="898"/>
      <c r="D53" s="855"/>
      <c r="E53" s="855"/>
      <c r="F53" s="839"/>
      <c r="G53" s="839"/>
      <c r="H53" s="14"/>
      <c r="I53" s="15"/>
      <c r="J53" s="16"/>
      <c r="K53" s="17" t="s">
        <v>32</v>
      </c>
      <c r="L53" s="16">
        <v>6.5</v>
      </c>
      <c r="M53" s="18"/>
      <c r="N53" s="80"/>
    </row>
    <row r="54" spans="2:15" ht="24.95" customHeight="1">
      <c r="B54" s="858"/>
      <c r="C54" s="899"/>
      <c r="D54" s="859"/>
      <c r="E54" s="859"/>
      <c r="F54" s="840"/>
      <c r="G54" s="840"/>
      <c r="H54" s="14"/>
      <c r="I54" s="15"/>
      <c r="J54" s="16"/>
      <c r="K54" s="17"/>
      <c r="L54" s="16"/>
      <c r="M54" s="18"/>
      <c r="N54" s="80"/>
    </row>
    <row r="55" spans="2:15" ht="24.95" hidden="1" customHeight="1">
      <c r="B55" s="177"/>
      <c r="C55" s="178"/>
      <c r="D55" s="178"/>
      <c r="E55" s="178"/>
      <c r="F55" s="176"/>
      <c r="G55" s="176"/>
      <c r="H55" s="14"/>
      <c r="I55" s="15"/>
      <c r="J55" s="16"/>
      <c r="K55" s="17"/>
      <c r="L55" s="16"/>
      <c r="M55" s="18"/>
      <c r="N55" s="19"/>
    </row>
    <row r="56" spans="2:15" ht="24.95" hidden="1" customHeight="1">
      <c r="B56" s="177"/>
      <c r="C56" s="178"/>
      <c r="D56" s="178"/>
      <c r="E56" s="178"/>
      <c r="F56" s="176"/>
      <c r="G56" s="176"/>
      <c r="H56" s="14"/>
      <c r="I56" s="15"/>
      <c r="J56" s="16"/>
      <c r="K56" s="17"/>
      <c r="L56" s="16"/>
      <c r="M56" s="18"/>
      <c r="N56" s="19"/>
    </row>
    <row r="57" spans="2:15" ht="24.95" hidden="1" customHeight="1">
      <c r="B57" s="177"/>
      <c r="C57" s="178"/>
      <c r="D57" s="178"/>
      <c r="E57" s="178"/>
      <c r="F57" s="176"/>
      <c r="G57" s="176"/>
      <c r="H57" s="14"/>
      <c r="I57" s="15"/>
      <c r="J57" s="16"/>
      <c r="K57" s="17"/>
      <c r="L57" s="16"/>
      <c r="M57" s="18"/>
      <c r="N57" s="19"/>
    </row>
    <row r="58" spans="2:15" ht="24.95" hidden="1" customHeight="1">
      <c r="B58" s="177"/>
      <c r="C58" s="178"/>
      <c r="D58" s="178"/>
      <c r="E58" s="178"/>
      <c r="F58" s="176"/>
      <c r="G58" s="176"/>
      <c r="H58" s="14"/>
      <c r="I58" s="15"/>
      <c r="J58" s="16"/>
      <c r="K58" s="17"/>
      <c r="L58" s="16"/>
      <c r="M58" s="18"/>
      <c r="N58" s="19"/>
    </row>
    <row r="59" spans="2:15" ht="24.95" hidden="1" customHeight="1">
      <c r="B59" s="173"/>
      <c r="C59" s="12"/>
      <c r="D59" s="12"/>
      <c r="E59" s="18"/>
      <c r="F59" s="13"/>
      <c r="G59" s="13"/>
      <c r="H59" s="17"/>
      <c r="I59" s="62"/>
      <c r="J59" s="64"/>
      <c r="K59" s="62"/>
      <c r="L59" s="62"/>
      <c r="M59" s="20"/>
      <c r="N59" s="19"/>
    </row>
    <row r="60" spans="2:15" ht="38.1" customHeight="1" thickBot="1">
      <c r="B60" s="843" t="s">
        <v>48</v>
      </c>
      <c r="C60" s="844"/>
      <c r="D60" s="844"/>
      <c r="E60" s="844"/>
      <c r="F60" s="844"/>
      <c r="G60" s="844"/>
      <c r="H60" s="844"/>
      <c r="I60" s="894">
        <f>L52*84.01+L53*84.01+L54*77.98+L55*109.25</f>
        <v>840.10000000000014</v>
      </c>
      <c r="J60" s="895"/>
      <c r="K60" s="895"/>
      <c r="L60" s="896"/>
      <c r="N60" s="81"/>
      <c r="O60" s="90"/>
    </row>
    <row r="61" spans="2:15" ht="24.95" customHeight="1" thickTop="1">
      <c r="B61" s="889" t="s">
        <v>388</v>
      </c>
      <c r="C61" s="889"/>
      <c r="D61" s="889"/>
      <c r="E61" s="889"/>
      <c r="F61" s="889"/>
      <c r="G61" s="889"/>
      <c r="H61" s="889"/>
      <c r="I61" s="889"/>
      <c r="J61" s="889"/>
      <c r="K61" s="889"/>
      <c r="L61" s="889"/>
      <c r="M61" s="889"/>
      <c r="N61" s="889"/>
    </row>
    <row r="62" spans="2:15" ht="15" customHeight="1" thickBot="1"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</row>
    <row r="63" spans="2:15" s="6" customFormat="1" ht="48.75" customHeight="1" thickTop="1">
      <c r="B63" s="71" t="s">
        <v>2</v>
      </c>
      <c r="C63" s="72" t="s">
        <v>3</v>
      </c>
      <c r="D63" s="73" t="s">
        <v>4</v>
      </c>
      <c r="E63" s="72" t="s">
        <v>199</v>
      </c>
      <c r="F63" s="72" t="s">
        <v>6</v>
      </c>
      <c r="G63" s="72" t="s">
        <v>7</v>
      </c>
      <c r="H63" s="73" t="s">
        <v>8</v>
      </c>
      <c r="I63" s="72" t="s">
        <v>9</v>
      </c>
      <c r="J63" s="72" t="s">
        <v>10</v>
      </c>
      <c r="K63" s="72" t="s">
        <v>11</v>
      </c>
      <c r="L63" s="72" t="s">
        <v>12</v>
      </c>
      <c r="M63" s="72" t="s">
        <v>13</v>
      </c>
      <c r="N63" s="74" t="s">
        <v>14</v>
      </c>
    </row>
    <row r="64" spans="2:15" ht="24.95" customHeight="1">
      <c r="B64" s="863">
        <v>1</v>
      </c>
      <c r="C64" s="897" t="s">
        <v>226</v>
      </c>
      <c r="D64" s="864" t="s">
        <v>389</v>
      </c>
      <c r="E64" s="864">
        <v>109950</v>
      </c>
      <c r="F64" s="865">
        <v>40163</v>
      </c>
      <c r="G64" s="865">
        <v>40163</v>
      </c>
      <c r="H64" s="17"/>
      <c r="I64" s="82"/>
      <c r="J64" s="16"/>
      <c r="K64" s="17"/>
      <c r="L64" s="16"/>
      <c r="M64" s="18" t="s">
        <v>56</v>
      </c>
      <c r="N64" s="80"/>
    </row>
    <row r="65" spans="2:15" ht="24.95" customHeight="1">
      <c r="B65" s="852"/>
      <c r="C65" s="898"/>
      <c r="D65" s="855"/>
      <c r="E65" s="855"/>
      <c r="F65" s="839"/>
      <c r="G65" s="839"/>
      <c r="H65" s="14"/>
      <c r="I65" s="15"/>
      <c r="J65" s="16"/>
      <c r="K65" s="17"/>
      <c r="L65" s="16"/>
      <c r="M65" s="18"/>
      <c r="N65" s="80"/>
    </row>
    <row r="66" spans="2:15" ht="24.95" customHeight="1">
      <c r="B66" s="858"/>
      <c r="C66" s="899"/>
      <c r="D66" s="859"/>
      <c r="E66" s="859"/>
      <c r="F66" s="840"/>
      <c r="G66" s="840"/>
      <c r="H66" s="14"/>
      <c r="I66" s="15"/>
      <c r="J66" s="16"/>
      <c r="K66" s="17"/>
      <c r="L66" s="16"/>
      <c r="M66" s="18"/>
      <c r="N66" s="80"/>
    </row>
    <row r="67" spans="2:15" ht="24.95" hidden="1" customHeight="1">
      <c r="B67" s="177"/>
      <c r="C67" s="178"/>
      <c r="D67" s="178"/>
      <c r="E67" s="178"/>
      <c r="F67" s="176"/>
      <c r="G67" s="176"/>
      <c r="H67" s="14"/>
      <c r="I67" s="15"/>
      <c r="J67" s="16"/>
      <c r="K67" s="17"/>
      <c r="L67" s="16"/>
      <c r="M67" s="18"/>
      <c r="N67" s="19"/>
    </row>
    <row r="68" spans="2:15" ht="24.95" hidden="1" customHeight="1">
      <c r="B68" s="177"/>
      <c r="C68" s="178"/>
      <c r="D68" s="178"/>
      <c r="E68" s="178"/>
      <c r="F68" s="176"/>
      <c r="G68" s="176"/>
      <c r="H68" s="14"/>
      <c r="I68" s="15"/>
      <c r="J68" s="16"/>
      <c r="K68" s="17"/>
      <c r="L68" s="16"/>
      <c r="M68" s="18"/>
      <c r="N68" s="19"/>
    </row>
    <row r="69" spans="2:15" ht="24.95" hidden="1" customHeight="1">
      <c r="B69" s="177"/>
      <c r="C69" s="178"/>
      <c r="D69" s="178"/>
      <c r="E69" s="178"/>
      <c r="F69" s="176"/>
      <c r="G69" s="176"/>
      <c r="H69" s="14"/>
      <c r="I69" s="15"/>
      <c r="J69" s="16"/>
      <c r="K69" s="17"/>
      <c r="L69" s="16"/>
      <c r="M69" s="18"/>
      <c r="N69" s="19"/>
    </row>
    <row r="70" spans="2:15" ht="24.95" hidden="1" customHeight="1">
      <c r="B70" s="177"/>
      <c r="C70" s="178"/>
      <c r="D70" s="178"/>
      <c r="E70" s="178"/>
      <c r="F70" s="176"/>
      <c r="G70" s="176"/>
      <c r="H70" s="14"/>
      <c r="I70" s="15"/>
      <c r="J70" s="16"/>
      <c r="K70" s="17"/>
      <c r="L70" s="16"/>
      <c r="M70" s="18"/>
      <c r="N70" s="19"/>
    </row>
    <row r="71" spans="2:15" ht="24.95" hidden="1" customHeight="1">
      <c r="B71" s="173"/>
      <c r="C71" s="12"/>
      <c r="D71" s="12"/>
      <c r="E71" s="18"/>
      <c r="F71" s="13"/>
      <c r="G71" s="13"/>
      <c r="H71" s="17"/>
      <c r="I71" s="62"/>
      <c r="J71" s="64"/>
      <c r="K71" s="62"/>
      <c r="L71" s="62"/>
      <c r="M71" s="20"/>
      <c r="N71" s="19"/>
    </row>
    <row r="72" spans="2:15" ht="38.1" customHeight="1" thickBot="1">
      <c r="B72" s="843" t="s">
        <v>48</v>
      </c>
      <c r="C72" s="844"/>
      <c r="D72" s="844"/>
      <c r="E72" s="844"/>
      <c r="F72" s="844"/>
      <c r="G72" s="844"/>
      <c r="H72" s="844"/>
      <c r="I72" s="894">
        <f>L64*84.01+L65*84.01+L66*77.98+L67*109.25</f>
        <v>0</v>
      </c>
      <c r="J72" s="895"/>
      <c r="K72" s="895"/>
      <c r="L72" s="896"/>
      <c r="N72" s="81"/>
      <c r="O72" s="90"/>
    </row>
    <row r="73" spans="2:15" ht="24.95" customHeight="1" thickTop="1">
      <c r="B73" s="889" t="s">
        <v>392</v>
      </c>
      <c r="C73" s="889"/>
      <c r="D73" s="889"/>
      <c r="E73" s="889"/>
      <c r="F73" s="889"/>
      <c r="G73" s="889"/>
      <c r="H73" s="889"/>
      <c r="I73" s="889"/>
      <c r="J73" s="889"/>
      <c r="K73" s="889"/>
      <c r="L73" s="889"/>
      <c r="M73" s="889"/>
      <c r="N73" s="889"/>
    </row>
    <row r="74" spans="2:15" ht="15" customHeight="1" thickBot="1"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</row>
    <row r="75" spans="2:15" s="6" customFormat="1" ht="48.75" customHeight="1" thickTop="1">
      <c r="B75" s="33" t="s">
        <v>2</v>
      </c>
      <c r="C75" s="34" t="s">
        <v>3</v>
      </c>
      <c r="D75" s="35" t="s">
        <v>4</v>
      </c>
      <c r="E75" s="34" t="s">
        <v>199</v>
      </c>
      <c r="F75" s="34" t="s">
        <v>6</v>
      </c>
      <c r="G75" s="34" t="s">
        <v>7</v>
      </c>
      <c r="H75" s="35" t="s">
        <v>8</v>
      </c>
      <c r="I75" s="34" t="s">
        <v>9</v>
      </c>
      <c r="J75" s="34" t="s">
        <v>10</v>
      </c>
      <c r="K75" s="34" t="s">
        <v>11</v>
      </c>
      <c r="L75" s="34" t="s">
        <v>12</v>
      </c>
      <c r="M75" s="34" t="s">
        <v>13</v>
      </c>
      <c r="N75" s="36" t="s">
        <v>14</v>
      </c>
    </row>
    <row r="76" spans="2:15" ht="24.95" customHeight="1">
      <c r="B76" s="872">
        <v>1</v>
      </c>
      <c r="C76" s="900" t="s">
        <v>390</v>
      </c>
      <c r="D76" s="873" t="s">
        <v>391</v>
      </c>
      <c r="E76" s="873">
        <v>146964</v>
      </c>
      <c r="F76" s="874">
        <v>40163</v>
      </c>
      <c r="G76" s="874">
        <v>40166</v>
      </c>
      <c r="H76" s="17" t="s">
        <v>172</v>
      </c>
      <c r="I76" s="82">
        <v>1026681</v>
      </c>
      <c r="J76" s="16">
        <v>2</v>
      </c>
      <c r="K76" s="17" t="s">
        <v>32</v>
      </c>
      <c r="L76" s="16">
        <v>22</v>
      </c>
      <c r="M76" s="18" t="s">
        <v>56</v>
      </c>
      <c r="N76" s="80" t="s">
        <v>45</v>
      </c>
    </row>
    <row r="77" spans="2:15" ht="24.95" customHeight="1">
      <c r="B77" s="872"/>
      <c r="C77" s="900"/>
      <c r="D77" s="873"/>
      <c r="E77" s="873"/>
      <c r="F77" s="874"/>
      <c r="G77" s="874"/>
      <c r="H77" s="14" t="s">
        <v>411</v>
      </c>
      <c r="I77" s="15">
        <v>1026679</v>
      </c>
      <c r="J77" s="16">
        <v>2</v>
      </c>
      <c r="K77" s="17" t="s">
        <v>33</v>
      </c>
      <c r="L77" s="16">
        <v>41</v>
      </c>
      <c r="M77" s="18"/>
      <c r="N77" s="80" t="s">
        <v>414</v>
      </c>
    </row>
    <row r="78" spans="2:15" ht="24.95" customHeight="1">
      <c r="B78" s="872"/>
      <c r="C78" s="900"/>
      <c r="D78" s="873"/>
      <c r="E78" s="873"/>
      <c r="F78" s="874"/>
      <c r="G78" s="874"/>
      <c r="H78" s="14" t="s">
        <v>412</v>
      </c>
      <c r="I78" s="15">
        <v>3785100030</v>
      </c>
      <c r="J78" s="16">
        <v>1</v>
      </c>
      <c r="K78" s="17" t="s">
        <v>38</v>
      </c>
      <c r="L78" s="16">
        <v>90</v>
      </c>
      <c r="M78" s="18"/>
      <c r="N78" s="80" t="s">
        <v>415</v>
      </c>
    </row>
    <row r="79" spans="2:15" ht="24.95" customHeight="1">
      <c r="B79" s="872"/>
      <c r="C79" s="900"/>
      <c r="D79" s="873"/>
      <c r="E79" s="873"/>
      <c r="F79" s="874"/>
      <c r="G79" s="874"/>
      <c r="H79" s="14" t="s">
        <v>175</v>
      </c>
      <c r="I79" s="15">
        <v>3423004920</v>
      </c>
      <c r="J79" s="16">
        <v>4</v>
      </c>
      <c r="K79" s="17" t="s">
        <v>34</v>
      </c>
      <c r="L79" s="16">
        <v>8</v>
      </c>
      <c r="M79" s="18"/>
      <c r="N79" s="19"/>
    </row>
    <row r="80" spans="2:15" ht="24.95" hidden="1" customHeight="1">
      <c r="B80" s="173"/>
      <c r="C80" s="174"/>
      <c r="D80" s="174"/>
      <c r="E80" s="174"/>
      <c r="F80" s="175"/>
      <c r="G80" s="175"/>
      <c r="H80" s="14"/>
      <c r="I80" s="15"/>
      <c r="J80" s="16"/>
      <c r="K80" s="17"/>
      <c r="L80" s="16"/>
      <c r="M80" s="18"/>
      <c r="N80" s="19"/>
    </row>
    <row r="81" spans="2:15" ht="24.95" hidden="1" customHeight="1">
      <c r="B81" s="173"/>
      <c r="C81" s="174"/>
      <c r="D81" s="174"/>
      <c r="E81" s="174"/>
      <c r="F81" s="175"/>
      <c r="G81" s="175"/>
      <c r="H81" s="14"/>
      <c r="I81" s="15"/>
      <c r="J81" s="16"/>
      <c r="K81" s="17"/>
      <c r="L81" s="16"/>
      <c r="M81" s="18"/>
      <c r="N81" s="19"/>
    </row>
    <row r="82" spans="2:15" ht="24.95" hidden="1" customHeight="1">
      <c r="B82" s="173"/>
      <c r="C82" s="174"/>
      <c r="D82" s="174"/>
      <c r="E82" s="174"/>
      <c r="F82" s="175"/>
      <c r="G82" s="175"/>
      <c r="H82" s="14"/>
      <c r="I82" s="15"/>
      <c r="J82" s="16"/>
      <c r="K82" s="17"/>
      <c r="L82" s="16"/>
      <c r="M82" s="18"/>
      <c r="N82" s="19"/>
    </row>
    <row r="83" spans="2:15" ht="24.95" hidden="1" customHeight="1">
      <c r="B83" s="173"/>
      <c r="C83" s="12"/>
      <c r="D83" s="12"/>
      <c r="E83" s="18"/>
      <c r="F83" s="13"/>
      <c r="G83" s="13"/>
      <c r="H83" s="17"/>
      <c r="I83" s="17"/>
      <c r="J83" s="16"/>
      <c r="K83" s="17"/>
      <c r="L83" s="17"/>
      <c r="M83" s="20"/>
      <c r="N83" s="19"/>
    </row>
    <row r="84" spans="2:15" ht="38.1" customHeight="1" thickBot="1">
      <c r="B84" s="868" t="s">
        <v>48</v>
      </c>
      <c r="C84" s="869"/>
      <c r="D84" s="869"/>
      <c r="E84" s="869"/>
      <c r="F84" s="869"/>
      <c r="G84" s="869"/>
      <c r="H84" s="869"/>
      <c r="I84" s="870">
        <f>L76*84.01+L77*84.01+L78*77.98+L79*109.25+153.23+391.92+190.45+2813.96</f>
        <v>16734.390000000003</v>
      </c>
      <c r="J84" s="870"/>
      <c r="K84" s="870"/>
      <c r="L84" s="870"/>
      <c r="M84" s="89"/>
      <c r="N84" s="81"/>
      <c r="O84" s="90"/>
    </row>
    <row r="85" spans="2:15" ht="16.5" customHeight="1" thickTop="1" thickBot="1">
      <c r="B85" s="115"/>
      <c r="C85" s="115"/>
      <c r="D85" s="115"/>
      <c r="E85" s="115"/>
      <c r="F85" s="115"/>
      <c r="G85" s="115"/>
      <c r="H85" s="115"/>
      <c r="I85" s="116"/>
      <c r="J85" s="116"/>
      <c r="K85" s="116"/>
      <c r="L85" s="116"/>
      <c r="M85" s="39"/>
      <c r="N85" s="117"/>
      <c r="O85" s="90"/>
    </row>
    <row r="86" spans="2:15" s="6" customFormat="1" ht="48.75" customHeight="1" thickTop="1">
      <c r="B86" s="71" t="s">
        <v>2</v>
      </c>
      <c r="C86" s="72" t="s">
        <v>3</v>
      </c>
      <c r="D86" s="73" t="s">
        <v>4</v>
      </c>
      <c r="E86" s="72" t="s">
        <v>199</v>
      </c>
      <c r="F86" s="72" t="s">
        <v>6</v>
      </c>
      <c r="G86" s="72" t="s">
        <v>7</v>
      </c>
      <c r="H86" s="73" t="s">
        <v>8</v>
      </c>
      <c r="I86" s="72" t="s">
        <v>9</v>
      </c>
      <c r="J86" s="72" t="s">
        <v>10</v>
      </c>
      <c r="K86" s="72" t="s">
        <v>11</v>
      </c>
      <c r="L86" s="72" t="s">
        <v>12</v>
      </c>
      <c r="M86" s="72" t="s">
        <v>13</v>
      </c>
      <c r="N86" s="74" t="s">
        <v>14</v>
      </c>
    </row>
    <row r="87" spans="2:15" ht="24.95" customHeight="1">
      <c r="B87" s="863">
        <v>1</v>
      </c>
      <c r="C87" s="897" t="s">
        <v>359</v>
      </c>
      <c r="D87" s="864" t="s">
        <v>396</v>
      </c>
      <c r="E87" s="864">
        <v>76332</v>
      </c>
      <c r="F87" s="865">
        <v>40163</v>
      </c>
      <c r="G87" s="865">
        <v>40163</v>
      </c>
      <c r="H87" s="17"/>
      <c r="I87" s="82"/>
      <c r="J87" s="16"/>
      <c r="K87" s="17"/>
      <c r="L87" s="16"/>
      <c r="M87" s="18" t="s">
        <v>231</v>
      </c>
      <c r="N87" s="80" t="s">
        <v>47</v>
      </c>
    </row>
    <row r="88" spans="2:15" ht="24.95" customHeight="1">
      <c r="B88" s="852"/>
      <c r="C88" s="898"/>
      <c r="D88" s="855"/>
      <c r="E88" s="855"/>
      <c r="F88" s="839"/>
      <c r="G88" s="839"/>
      <c r="H88" s="14"/>
      <c r="I88" s="15"/>
      <c r="J88" s="16"/>
      <c r="K88" s="17"/>
      <c r="L88" s="16"/>
      <c r="M88" s="18"/>
      <c r="N88" s="80"/>
    </row>
    <row r="89" spans="2:15" ht="24.95" customHeight="1">
      <c r="B89" s="858"/>
      <c r="C89" s="899"/>
      <c r="D89" s="859"/>
      <c r="E89" s="859"/>
      <c r="F89" s="840"/>
      <c r="G89" s="840"/>
      <c r="H89" s="14"/>
      <c r="I89" s="15"/>
      <c r="J89" s="16"/>
      <c r="K89" s="17"/>
      <c r="L89" s="16"/>
      <c r="M89" s="18"/>
      <c r="N89" s="80"/>
    </row>
    <row r="90" spans="2:15" ht="24.95" hidden="1" customHeight="1">
      <c r="B90" s="177"/>
      <c r="C90" s="178"/>
      <c r="D90" s="178"/>
      <c r="E90" s="178"/>
      <c r="F90" s="176"/>
      <c r="G90" s="176"/>
      <c r="H90" s="14"/>
      <c r="I90" s="15"/>
      <c r="J90" s="16"/>
      <c r="K90" s="17"/>
      <c r="L90" s="16"/>
      <c r="M90" s="18"/>
      <c r="N90" s="19"/>
    </row>
    <row r="91" spans="2:15" ht="24.95" hidden="1" customHeight="1">
      <c r="B91" s="177"/>
      <c r="C91" s="178"/>
      <c r="D91" s="178"/>
      <c r="E91" s="178"/>
      <c r="F91" s="176"/>
      <c r="G91" s="176"/>
      <c r="H91" s="14"/>
      <c r="I91" s="15"/>
      <c r="J91" s="16"/>
      <c r="K91" s="17"/>
      <c r="L91" s="16"/>
      <c r="M91" s="18"/>
      <c r="N91" s="19"/>
    </row>
    <row r="92" spans="2:15" ht="24.95" hidden="1" customHeight="1">
      <c r="B92" s="177"/>
      <c r="C92" s="178"/>
      <c r="D92" s="178"/>
      <c r="E92" s="178"/>
      <c r="F92" s="176"/>
      <c r="G92" s="176"/>
      <c r="H92" s="14"/>
      <c r="I92" s="15"/>
      <c r="J92" s="16"/>
      <c r="K92" s="17"/>
      <c r="L92" s="16"/>
      <c r="M92" s="18"/>
      <c r="N92" s="19"/>
    </row>
    <row r="93" spans="2:15" ht="24.95" hidden="1" customHeight="1">
      <c r="B93" s="177"/>
      <c r="C93" s="178"/>
      <c r="D93" s="178"/>
      <c r="E93" s="178"/>
      <c r="F93" s="176"/>
      <c r="G93" s="176"/>
      <c r="H93" s="14"/>
      <c r="I93" s="15"/>
      <c r="J93" s="16"/>
      <c r="K93" s="17"/>
      <c r="L93" s="16"/>
      <c r="M93" s="18"/>
      <c r="N93" s="19"/>
    </row>
    <row r="94" spans="2:15" ht="24.95" hidden="1" customHeight="1">
      <c r="B94" s="173"/>
      <c r="C94" s="12"/>
      <c r="D94" s="12"/>
      <c r="E94" s="18"/>
      <c r="F94" s="13"/>
      <c r="G94" s="13"/>
      <c r="H94" s="17"/>
      <c r="I94" s="62"/>
      <c r="J94" s="64"/>
      <c r="K94" s="62"/>
      <c r="L94" s="62"/>
      <c r="M94" s="20"/>
      <c r="N94" s="19"/>
    </row>
    <row r="95" spans="2:15" ht="38.1" customHeight="1" thickBot="1">
      <c r="B95" s="843" t="s">
        <v>48</v>
      </c>
      <c r="C95" s="844"/>
      <c r="D95" s="844"/>
      <c r="E95" s="844"/>
      <c r="F95" s="844"/>
      <c r="G95" s="844"/>
      <c r="H95" s="844"/>
      <c r="I95" s="894">
        <f>L87*84.01+L88*84.01+L89*77.98+L90*109.25</f>
        <v>0</v>
      </c>
      <c r="J95" s="895"/>
      <c r="K95" s="895"/>
      <c r="L95" s="896"/>
      <c r="N95" s="81"/>
      <c r="O95" s="90"/>
    </row>
    <row r="96" spans="2:15" ht="24.95" customHeight="1" thickTop="1">
      <c r="B96" s="889" t="s">
        <v>399</v>
      </c>
      <c r="C96" s="889"/>
      <c r="D96" s="889"/>
      <c r="E96" s="889"/>
      <c r="F96" s="889"/>
      <c r="G96" s="889"/>
      <c r="H96" s="889"/>
      <c r="I96" s="889"/>
      <c r="J96" s="889"/>
      <c r="K96" s="889"/>
      <c r="L96" s="889"/>
      <c r="M96" s="889"/>
      <c r="N96" s="889"/>
    </row>
    <row r="97" spans="2:15" ht="13.5" customHeight="1" thickBot="1"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</row>
    <row r="98" spans="2:15" s="6" customFormat="1" ht="48.75" customHeight="1" thickTop="1">
      <c r="B98" s="71" t="s">
        <v>2</v>
      </c>
      <c r="C98" s="72" t="s">
        <v>3</v>
      </c>
      <c r="D98" s="73" t="s">
        <v>4</v>
      </c>
      <c r="E98" s="72" t="s">
        <v>199</v>
      </c>
      <c r="F98" s="72" t="s">
        <v>6</v>
      </c>
      <c r="G98" s="72" t="s">
        <v>7</v>
      </c>
      <c r="H98" s="73" t="s">
        <v>8</v>
      </c>
      <c r="I98" s="72" t="s">
        <v>9</v>
      </c>
      <c r="J98" s="72" t="s">
        <v>10</v>
      </c>
      <c r="K98" s="72" t="s">
        <v>11</v>
      </c>
      <c r="L98" s="72" t="s">
        <v>12</v>
      </c>
      <c r="M98" s="72" t="s">
        <v>13</v>
      </c>
      <c r="N98" s="74" t="s">
        <v>14</v>
      </c>
    </row>
    <row r="99" spans="2:15" ht="24.95" customHeight="1">
      <c r="B99" s="863">
        <v>1</v>
      </c>
      <c r="C99" s="897" t="s">
        <v>226</v>
      </c>
      <c r="D99" s="864" t="s">
        <v>393</v>
      </c>
      <c r="E99" s="864">
        <v>104443</v>
      </c>
      <c r="F99" s="865">
        <v>40164</v>
      </c>
      <c r="G99" s="865">
        <v>40164</v>
      </c>
      <c r="H99" s="17"/>
      <c r="I99" s="82"/>
      <c r="J99" s="16"/>
      <c r="K99" s="17"/>
      <c r="L99" s="16"/>
      <c r="M99" s="18" t="s">
        <v>376</v>
      </c>
      <c r="N99" s="80" t="s">
        <v>162</v>
      </c>
    </row>
    <row r="100" spans="2:15" ht="24.95" customHeight="1">
      <c r="B100" s="852"/>
      <c r="C100" s="898"/>
      <c r="D100" s="855"/>
      <c r="E100" s="855"/>
      <c r="F100" s="839"/>
      <c r="G100" s="839"/>
      <c r="H100" s="14"/>
      <c r="I100" s="15"/>
      <c r="J100" s="16"/>
      <c r="K100" s="17"/>
      <c r="L100" s="16"/>
      <c r="M100" s="18"/>
      <c r="N100" s="80"/>
    </row>
    <row r="101" spans="2:15" ht="24.95" customHeight="1">
      <c r="B101" s="858"/>
      <c r="C101" s="899"/>
      <c r="D101" s="859"/>
      <c r="E101" s="859"/>
      <c r="F101" s="840"/>
      <c r="G101" s="840"/>
      <c r="H101" s="14"/>
      <c r="I101" s="15"/>
      <c r="J101" s="16"/>
      <c r="K101" s="17"/>
      <c r="L101" s="16"/>
      <c r="M101" s="18"/>
      <c r="N101" s="80"/>
    </row>
    <row r="102" spans="2:15" ht="24.95" hidden="1" customHeight="1">
      <c r="B102" s="177"/>
      <c r="C102" s="178"/>
      <c r="D102" s="178"/>
      <c r="E102" s="178"/>
      <c r="F102" s="176"/>
      <c r="G102" s="176"/>
      <c r="H102" s="14"/>
      <c r="I102" s="15"/>
      <c r="J102" s="16"/>
      <c r="K102" s="17"/>
      <c r="L102" s="16"/>
      <c r="M102" s="18"/>
      <c r="N102" s="19"/>
    </row>
    <row r="103" spans="2:15" ht="24.95" hidden="1" customHeight="1">
      <c r="B103" s="177"/>
      <c r="C103" s="178"/>
      <c r="D103" s="178"/>
      <c r="E103" s="178"/>
      <c r="F103" s="176"/>
      <c r="G103" s="176"/>
      <c r="H103" s="14"/>
      <c r="I103" s="15"/>
      <c r="J103" s="16"/>
      <c r="K103" s="17"/>
      <c r="L103" s="16"/>
      <c r="M103" s="18"/>
      <c r="N103" s="19"/>
    </row>
    <row r="104" spans="2:15" ht="24.95" hidden="1" customHeight="1">
      <c r="B104" s="177"/>
      <c r="C104" s="178"/>
      <c r="D104" s="178"/>
      <c r="E104" s="178"/>
      <c r="F104" s="176"/>
      <c r="G104" s="176"/>
      <c r="H104" s="14"/>
      <c r="I104" s="15"/>
      <c r="J104" s="16"/>
      <c r="K104" s="17"/>
      <c r="L104" s="16"/>
      <c r="M104" s="18"/>
      <c r="N104" s="19"/>
    </row>
    <row r="105" spans="2:15" ht="24.95" hidden="1" customHeight="1">
      <c r="B105" s="177"/>
      <c r="C105" s="178"/>
      <c r="D105" s="178"/>
      <c r="E105" s="178"/>
      <c r="F105" s="176"/>
      <c r="G105" s="176"/>
      <c r="H105" s="14"/>
      <c r="I105" s="15"/>
      <c r="J105" s="16"/>
      <c r="K105" s="17"/>
      <c r="L105" s="16"/>
      <c r="M105" s="18"/>
      <c r="N105" s="19"/>
    </row>
    <row r="106" spans="2:15" ht="24.95" hidden="1" customHeight="1">
      <c r="B106" s="173"/>
      <c r="C106" s="12"/>
      <c r="D106" s="12"/>
      <c r="E106" s="18"/>
      <c r="F106" s="13"/>
      <c r="G106" s="13"/>
      <c r="H106" s="17"/>
      <c r="I106" s="62"/>
      <c r="J106" s="64"/>
      <c r="K106" s="62"/>
      <c r="L106" s="62"/>
      <c r="M106" s="20"/>
      <c r="N106" s="19"/>
    </row>
    <row r="107" spans="2:15" ht="38.1" customHeight="1" thickBot="1">
      <c r="B107" s="843" t="s">
        <v>48</v>
      </c>
      <c r="C107" s="844"/>
      <c r="D107" s="844"/>
      <c r="E107" s="844"/>
      <c r="F107" s="844"/>
      <c r="G107" s="844"/>
      <c r="H107" s="844"/>
      <c r="I107" s="894">
        <f>L99*84.01+L100*84.01+L101*77.98+L102*109.25</f>
        <v>0</v>
      </c>
      <c r="J107" s="895"/>
      <c r="K107" s="895"/>
      <c r="L107" s="896"/>
      <c r="N107" s="81"/>
      <c r="O107" s="90"/>
    </row>
    <row r="108" spans="2:15" ht="24.95" customHeight="1" thickTop="1">
      <c r="B108" s="889" t="s">
        <v>399</v>
      </c>
      <c r="C108" s="889"/>
      <c r="D108" s="889"/>
      <c r="E108" s="889"/>
      <c r="F108" s="889"/>
      <c r="G108" s="889"/>
      <c r="H108" s="889"/>
      <c r="I108" s="889"/>
      <c r="J108" s="889"/>
      <c r="K108" s="889"/>
      <c r="L108" s="889"/>
      <c r="M108" s="889"/>
      <c r="N108" s="889"/>
    </row>
    <row r="109" spans="2:15" ht="15" customHeight="1" thickBot="1"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</row>
    <row r="110" spans="2:15" s="6" customFormat="1" ht="48.75" customHeight="1" thickTop="1">
      <c r="B110" s="71" t="s">
        <v>2</v>
      </c>
      <c r="C110" s="72" t="s">
        <v>3</v>
      </c>
      <c r="D110" s="73" t="s">
        <v>4</v>
      </c>
      <c r="E110" s="72" t="s">
        <v>199</v>
      </c>
      <c r="F110" s="72" t="s">
        <v>6</v>
      </c>
      <c r="G110" s="72" t="s">
        <v>7</v>
      </c>
      <c r="H110" s="73" t="s">
        <v>8</v>
      </c>
      <c r="I110" s="72" t="s">
        <v>9</v>
      </c>
      <c r="J110" s="72" t="s">
        <v>10</v>
      </c>
      <c r="K110" s="72" t="s">
        <v>11</v>
      </c>
      <c r="L110" s="72" t="s">
        <v>12</v>
      </c>
      <c r="M110" s="72" t="s">
        <v>13</v>
      </c>
      <c r="N110" s="74" t="s">
        <v>14</v>
      </c>
    </row>
    <row r="111" spans="2:15" ht="24.95" customHeight="1">
      <c r="B111" s="863">
        <v>1</v>
      </c>
      <c r="C111" s="897" t="s">
        <v>226</v>
      </c>
      <c r="D111" s="864" t="s">
        <v>394</v>
      </c>
      <c r="E111" s="864">
        <v>79741</v>
      </c>
      <c r="F111" s="865">
        <v>40164</v>
      </c>
      <c r="G111" s="865">
        <v>40164</v>
      </c>
      <c r="H111" s="17"/>
      <c r="I111" s="82"/>
      <c r="J111" s="16"/>
      <c r="K111" s="17"/>
      <c r="L111" s="16"/>
      <c r="M111" s="18" t="s">
        <v>231</v>
      </c>
      <c r="N111" s="80"/>
    </row>
    <row r="112" spans="2:15" ht="24.95" customHeight="1">
      <c r="B112" s="852"/>
      <c r="C112" s="898"/>
      <c r="D112" s="855"/>
      <c r="E112" s="855"/>
      <c r="F112" s="839"/>
      <c r="G112" s="839"/>
      <c r="H112" s="14"/>
      <c r="I112" s="15"/>
      <c r="J112" s="16"/>
      <c r="K112" s="17"/>
      <c r="L112" s="16"/>
      <c r="M112" s="18"/>
      <c r="N112" s="80"/>
    </row>
    <row r="113" spans="2:15" ht="24.95" customHeight="1">
      <c r="B113" s="858"/>
      <c r="C113" s="899"/>
      <c r="D113" s="859"/>
      <c r="E113" s="859"/>
      <c r="F113" s="840"/>
      <c r="G113" s="840"/>
      <c r="H113" s="14"/>
      <c r="I113" s="15"/>
      <c r="J113" s="16"/>
      <c r="K113" s="17"/>
      <c r="L113" s="16"/>
      <c r="M113" s="18"/>
      <c r="N113" s="80"/>
    </row>
    <row r="114" spans="2:15" ht="24.95" hidden="1" customHeight="1">
      <c r="B114" s="177"/>
      <c r="C114" s="178"/>
      <c r="D114" s="178"/>
      <c r="E114" s="178"/>
      <c r="F114" s="176"/>
      <c r="G114" s="176"/>
      <c r="H114" s="14"/>
      <c r="I114" s="15"/>
      <c r="J114" s="16"/>
      <c r="K114" s="17"/>
      <c r="L114" s="16"/>
      <c r="M114" s="18"/>
      <c r="N114" s="19"/>
    </row>
    <row r="115" spans="2:15" ht="24.95" hidden="1" customHeight="1">
      <c r="B115" s="177"/>
      <c r="C115" s="178"/>
      <c r="D115" s="178"/>
      <c r="E115" s="178"/>
      <c r="F115" s="176"/>
      <c r="G115" s="176"/>
      <c r="H115" s="14"/>
      <c r="I115" s="15"/>
      <c r="J115" s="16"/>
      <c r="K115" s="17"/>
      <c r="L115" s="16"/>
      <c r="M115" s="18"/>
      <c r="N115" s="19"/>
    </row>
    <row r="116" spans="2:15" ht="24.95" hidden="1" customHeight="1">
      <c r="B116" s="177"/>
      <c r="C116" s="178"/>
      <c r="D116" s="178"/>
      <c r="E116" s="178"/>
      <c r="F116" s="176"/>
      <c r="G116" s="176"/>
      <c r="H116" s="14"/>
      <c r="I116" s="15"/>
      <c r="J116" s="16"/>
      <c r="K116" s="17"/>
      <c r="L116" s="16"/>
      <c r="M116" s="18"/>
      <c r="N116" s="19"/>
    </row>
    <row r="117" spans="2:15" ht="24.95" hidden="1" customHeight="1">
      <c r="B117" s="177"/>
      <c r="C117" s="178"/>
      <c r="D117" s="178"/>
      <c r="E117" s="178"/>
      <c r="F117" s="176"/>
      <c r="G117" s="176"/>
      <c r="H117" s="14"/>
      <c r="I117" s="15"/>
      <c r="J117" s="16"/>
      <c r="K117" s="17"/>
      <c r="L117" s="16"/>
      <c r="M117" s="18"/>
      <c r="N117" s="19"/>
    </row>
    <row r="118" spans="2:15" ht="24.95" hidden="1" customHeight="1">
      <c r="B118" s="173"/>
      <c r="C118" s="12"/>
      <c r="D118" s="12"/>
      <c r="E118" s="18"/>
      <c r="F118" s="13"/>
      <c r="G118" s="13"/>
      <c r="H118" s="17"/>
      <c r="I118" s="62"/>
      <c r="J118" s="64"/>
      <c r="K118" s="62"/>
      <c r="L118" s="62"/>
      <c r="M118" s="20"/>
      <c r="N118" s="19"/>
    </row>
    <row r="119" spans="2:15" ht="38.1" customHeight="1" thickBot="1">
      <c r="B119" s="843" t="s">
        <v>48</v>
      </c>
      <c r="C119" s="844"/>
      <c r="D119" s="844"/>
      <c r="E119" s="844"/>
      <c r="F119" s="844"/>
      <c r="G119" s="844"/>
      <c r="H119" s="844"/>
      <c r="I119" s="894">
        <f>L111*84.01+L112*84.01+L113*77.98+L114*109.25</f>
        <v>0</v>
      </c>
      <c r="J119" s="895"/>
      <c r="K119" s="895"/>
      <c r="L119" s="896"/>
      <c r="N119" s="81"/>
      <c r="O119" s="90"/>
    </row>
    <row r="120" spans="2:15" ht="24.95" customHeight="1" thickTop="1">
      <c r="B120" s="889" t="s">
        <v>399</v>
      </c>
      <c r="C120" s="889"/>
      <c r="D120" s="889"/>
      <c r="E120" s="889"/>
      <c r="F120" s="889"/>
      <c r="G120" s="889"/>
      <c r="H120" s="889"/>
      <c r="I120" s="889"/>
      <c r="J120" s="889"/>
      <c r="K120" s="889"/>
      <c r="L120" s="889"/>
      <c r="M120" s="889"/>
      <c r="N120" s="889"/>
    </row>
    <row r="121" spans="2:15" ht="13.5" customHeight="1" thickBot="1"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</row>
    <row r="122" spans="2:15" s="6" customFormat="1" ht="48.75" customHeight="1" thickTop="1">
      <c r="B122" s="71" t="s">
        <v>2</v>
      </c>
      <c r="C122" s="72" t="s">
        <v>3</v>
      </c>
      <c r="D122" s="73" t="s">
        <v>4</v>
      </c>
      <c r="E122" s="72" t="s">
        <v>199</v>
      </c>
      <c r="F122" s="72" t="s">
        <v>6</v>
      </c>
      <c r="G122" s="72" t="s">
        <v>7</v>
      </c>
      <c r="H122" s="73" t="s">
        <v>8</v>
      </c>
      <c r="I122" s="72" t="s">
        <v>9</v>
      </c>
      <c r="J122" s="72" t="s">
        <v>10</v>
      </c>
      <c r="K122" s="72" t="s">
        <v>11</v>
      </c>
      <c r="L122" s="72" t="s">
        <v>12</v>
      </c>
      <c r="M122" s="72" t="s">
        <v>13</v>
      </c>
      <c r="N122" s="74" t="s">
        <v>14</v>
      </c>
    </row>
    <row r="123" spans="2:15" ht="24.95" customHeight="1">
      <c r="B123" s="863">
        <v>1</v>
      </c>
      <c r="C123" s="897" t="s">
        <v>368</v>
      </c>
      <c r="D123" s="864" t="s">
        <v>395</v>
      </c>
      <c r="E123" s="864">
        <v>206330</v>
      </c>
      <c r="F123" s="865">
        <v>40164</v>
      </c>
      <c r="G123" s="865">
        <v>40164</v>
      </c>
      <c r="H123" s="17"/>
      <c r="I123" s="82"/>
      <c r="J123" s="16"/>
      <c r="K123" s="17" t="s">
        <v>32</v>
      </c>
      <c r="L123" s="16">
        <v>5</v>
      </c>
      <c r="M123" s="18" t="s">
        <v>143</v>
      </c>
      <c r="N123" s="80" t="s">
        <v>400</v>
      </c>
    </row>
    <row r="124" spans="2:15" ht="24.95" customHeight="1">
      <c r="B124" s="852"/>
      <c r="C124" s="898"/>
      <c r="D124" s="855"/>
      <c r="E124" s="855"/>
      <c r="F124" s="839"/>
      <c r="G124" s="839"/>
      <c r="H124" s="14"/>
      <c r="I124" s="15"/>
      <c r="J124" s="16"/>
      <c r="K124" s="17" t="s">
        <v>32</v>
      </c>
      <c r="L124" s="16">
        <v>7</v>
      </c>
      <c r="M124" s="18"/>
      <c r="N124" s="80" t="s">
        <v>401</v>
      </c>
    </row>
    <row r="125" spans="2:15" ht="24.95" customHeight="1">
      <c r="B125" s="858"/>
      <c r="C125" s="899"/>
      <c r="D125" s="859"/>
      <c r="E125" s="859"/>
      <c r="F125" s="840"/>
      <c r="G125" s="840"/>
      <c r="H125" s="14"/>
      <c r="I125" s="15"/>
      <c r="J125" s="16"/>
      <c r="K125" s="17"/>
      <c r="L125" s="16"/>
      <c r="M125" s="18"/>
      <c r="N125" s="80" t="s">
        <v>402</v>
      </c>
    </row>
    <row r="126" spans="2:15" ht="24.95" customHeight="1">
      <c r="B126" s="177"/>
      <c r="C126" s="178"/>
      <c r="D126" s="178"/>
      <c r="E126" s="178"/>
      <c r="F126" s="176"/>
      <c r="G126" s="176"/>
      <c r="H126" s="14"/>
      <c r="I126" s="15"/>
      <c r="J126" s="16"/>
      <c r="K126" s="17"/>
      <c r="L126" s="16"/>
      <c r="M126" s="18"/>
      <c r="N126" s="19" t="s">
        <v>405</v>
      </c>
    </row>
    <row r="127" spans="2:15" ht="24.95" hidden="1" customHeight="1">
      <c r="B127" s="177"/>
      <c r="C127" s="178"/>
      <c r="D127" s="178"/>
      <c r="E127" s="178"/>
      <c r="F127" s="176"/>
      <c r="G127" s="176"/>
      <c r="H127" s="14"/>
      <c r="I127" s="15"/>
      <c r="J127" s="16"/>
      <c r="K127" s="17"/>
      <c r="L127" s="16"/>
      <c r="M127" s="18"/>
      <c r="N127" s="19"/>
    </row>
    <row r="128" spans="2:15" ht="24.95" hidden="1" customHeight="1">
      <c r="B128" s="177"/>
      <c r="C128" s="178"/>
      <c r="D128" s="178"/>
      <c r="E128" s="178"/>
      <c r="F128" s="176"/>
      <c r="G128" s="176"/>
      <c r="H128" s="14"/>
      <c r="I128" s="15"/>
      <c r="J128" s="16"/>
      <c r="K128" s="17"/>
      <c r="L128" s="16"/>
      <c r="M128" s="18"/>
      <c r="N128" s="19"/>
    </row>
    <row r="129" spans="2:15" ht="24.95" hidden="1" customHeight="1">
      <c r="B129" s="177"/>
      <c r="C129" s="178"/>
      <c r="D129" s="178"/>
      <c r="E129" s="178"/>
      <c r="F129" s="176"/>
      <c r="G129" s="176"/>
      <c r="H129" s="14"/>
      <c r="I129" s="15"/>
      <c r="J129" s="16"/>
      <c r="K129" s="17"/>
      <c r="L129" s="16"/>
      <c r="M129" s="18"/>
      <c r="N129" s="19"/>
    </row>
    <row r="130" spans="2:15" ht="24.95" hidden="1" customHeight="1">
      <c r="B130" s="173"/>
      <c r="C130" s="12"/>
      <c r="D130" s="12"/>
      <c r="E130" s="18"/>
      <c r="F130" s="13"/>
      <c r="G130" s="13"/>
      <c r="H130" s="17"/>
      <c r="I130" s="62"/>
      <c r="J130" s="64"/>
      <c r="K130" s="62"/>
      <c r="L130" s="62"/>
      <c r="M130" s="20"/>
      <c r="N130" s="19"/>
    </row>
    <row r="131" spans="2:15" ht="38.1" customHeight="1" thickBot="1">
      <c r="B131" s="843" t="s">
        <v>48</v>
      </c>
      <c r="C131" s="844"/>
      <c r="D131" s="844"/>
      <c r="E131" s="844"/>
      <c r="F131" s="844"/>
      <c r="G131" s="844"/>
      <c r="H131" s="844"/>
      <c r="I131" s="894">
        <f>L123*84.01+L124*84.01+L125*77.98+L126*109.25</f>
        <v>1008.1200000000001</v>
      </c>
      <c r="J131" s="895"/>
      <c r="K131" s="895"/>
      <c r="L131" s="896"/>
      <c r="N131" s="81"/>
      <c r="O131" s="90"/>
    </row>
    <row r="132" spans="2:15" ht="24.95" customHeight="1" thickTop="1">
      <c r="B132" s="889" t="s">
        <v>410</v>
      </c>
      <c r="C132" s="889"/>
      <c r="D132" s="889"/>
      <c r="E132" s="889"/>
      <c r="F132" s="889"/>
      <c r="G132" s="889"/>
      <c r="H132" s="889"/>
      <c r="I132" s="889"/>
      <c r="J132" s="889"/>
      <c r="K132" s="889"/>
      <c r="L132" s="889"/>
      <c r="M132" s="889"/>
      <c r="N132" s="889"/>
    </row>
    <row r="133" spans="2:15" ht="12" customHeight="1" thickBot="1"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</row>
    <row r="134" spans="2:15" s="6" customFormat="1" ht="48.75" customHeight="1" thickTop="1">
      <c r="B134" s="71" t="s">
        <v>2</v>
      </c>
      <c r="C134" s="72" t="s">
        <v>3</v>
      </c>
      <c r="D134" s="73" t="s">
        <v>4</v>
      </c>
      <c r="E134" s="72" t="s">
        <v>199</v>
      </c>
      <c r="F134" s="72" t="s">
        <v>6</v>
      </c>
      <c r="G134" s="72" t="s">
        <v>7</v>
      </c>
      <c r="H134" s="73" t="s">
        <v>8</v>
      </c>
      <c r="I134" s="72" t="s">
        <v>9</v>
      </c>
      <c r="J134" s="72" t="s">
        <v>10</v>
      </c>
      <c r="K134" s="72" t="s">
        <v>11</v>
      </c>
      <c r="L134" s="72" t="s">
        <v>12</v>
      </c>
      <c r="M134" s="72" t="s">
        <v>13</v>
      </c>
      <c r="N134" s="74" t="s">
        <v>14</v>
      </c>
    </row>
    <row r="135" spans="2:15" ht="24.95" customHeight="1">
      <c r="B135" s="863">
        <v>1</v>
      </c>
      <c r="C135" s="897" t="s">
        <v>226</v>
      </c>
      <c r="D135" s="864" t="s">
        <v>397</v>
      </c>
      <c r="E135" s="864">
        <v>178825</v>
      </c>
      <c r="F135" s="865">
        <v>40164</v>
      </c>
      <c r="G135" s="865">
        <v>40164</v>
      </c>
      <c r="H135" s="17"/>
      <c r="I135" s="82"/>
      <c r="J135" s="16"/>
      <c r="K135" s="17" t="s">
        <v>32</v>
      </c>
      <c r="L135" s="16">
        <v>5</v>
      </c>
      <c r="M135" s="18" t="s">
        <v>231</v>
      </c>
      <c r="N135" s="80" t="s">
        <v>406</v>
      </c>
    </row>
    <row r="136" spans="2:15" ht="24.95" customHeight="1">
      <c r="B136" s="852"/>
      <c r="C136" s="898"/>
      <c r="D136" s="855"/>
      <c r="E136" s="855"/>
      <c r="F136" s="839"/>
      <c r="G136" s="839"/>
      <c r="H136" s="14"/>
      <c r="I136" s="15"/>
      <c r="J136" s="16"/>
      <c r="K136" s="17" t="s">
        <v>32</v>
      </c>
      <c r="L136" s="16">
        <v>4</v>
      </c>
      <c r="M136" s="18"/>
      <c r="N136" s="80" t="s">
        <v>408</v>
      </c>
    </row>
    <row r="137" spans="2:15" ht="24.95" customHeight="1">
      <c r="B137" s="858"/>
      <c r="C137" s="899"/>
      <c r="D137" s="859"/>
      <c r="E137" s="859"/>
      <c r="F137" s="840"/>
      <c r="G137" s="840"/>
      <c r="H137" s="14"/>
      <c r="I137" s="15"/>
      <c r="J137" s="16"/>
      <c r="K137" s="17"/>
      <c r="L137" s="16"/>
      <c r="M137" s="18"/>
      <c r="N137" s="80"/>
    </row>
    <row r="138" spans="2:15" ht="24.95" hidden="1" customHeight="1">
      <c r="B138" s="177"/>
      <c r="C138" s="178"/>
      <c r="D138" s="178"/>
      <c r="E138" s="178"/>
      <c r="F138" s="176"/>
      <c r="G138" s="176"/>
      <c r="H138" s="14"/>
      <c r="I138" s="15"/>
      <c r="J138" s="16"/>
      <c r="K138" s="17"/>
      <c r="L138" s="16"/>
      <c r="M138" s="18"/>
      <c r="N138" s="19"/>
    </row>
    <row r="139" spans="2:15" ht="24.95" hidden="1" customHeight="1">
      <c r="B139" s="177"/>
      <c r="C139" s="178"/>
      <c r="D139" s="178"/>
      <c r="E139" s="178"/>
      <c r="F139" s="176"/>
      <c r="G139" s="176"/>
      <c r="H139" s="14"/>
      <c r="I139" s="15"/>
      <c r="J139" s="16"/>
      <c r="K139" s="17"/>
      <c r="L139" s="16"/>
      <c r="M139" s="18"/>
      <c r="N139" s="19"/>
    </row>
    <row r="140" spans="2:15" ht="24.95" hidden="1" customHeight="1">
      <c r="B140" s="177"/>
      <c r="C140" s="178"/>
      <c r="D140" s="178"/>
      <c r="E140" s="178"/>
      <c r="F140" s="176"/>
      <c r="G140" s="176"/>
      <c r="H140" s="14"/>
      <c r="I140" s="15"/>
      <c r="J140" s="16"/>
      <c r="K140" s="17"/>
      <c r="L140" s="16"/>
      <c r="M140" s="18"/>
      <c r="N140" s="19"/>
    </row>
    <row r="141" spans="2:15" ht="24.95" hidden="1" customHeight="1">
      <c r="B141" s="177"/>
      <c r="C141" s="178"/>
      <c r="D141" s="178"/>
      <c r="E141" s="178"/>
      <c r="F141" s="176"/>
      <c r="G141" s="176"/>
      <c r="H141" s="14"/>
      <c r="I141" s="15"/>
      <c r="J141" s="16"/>
      <c r="K141" s="17"/>
      <c r="L141" s="16"/>
      <c r="M141" s="18"/>
      <c r="N141" s="19"/>
    </row>
    <row r="142" spans="2:15" ht="24.95" hidden="1" customHeight="1">
      <c r="B142" s="173"/>
      <c r="C142" s="12"/>
      <c r="D142" s="12"/>
      <c r="E142" s="18"/>
      <c r="F142" s="13"/>
      <c r="G142" s="13"/>
      <c r="H142" s="17"/>
      <c r="I142" s="62"/>
      <c r="J142" s="64"/>
      <c r="K142" s="62"/>
      <c r="L142" s="62"/>
      <c r="M142" s="20"/>
      <c r="N142" s="19"/>
    </row>
    <row r="143" spans="2:15" ht="38.1" customHeight="1" thickBot="1">
      <c r="B143" s="843" t="s">
        <v>48</v>
      </c>
      <c r="C143" s="844"/>
      <c r="D143" s="844"/>
      <c r="E143" s="844"/>
      <c r="F143" s="844"/>
      <c r="G143" s="844"/>
      <c r="H143" s="844"/>
      <c r="I143" s="894">
        <f>L135*84.01+L136*84.01+L137*77.98+L138*109.25</f>
        <v>756.09</v>
      </c>
      <c r="J143" s="895"/>
      <c r="K143" s="895"/>
      <c r="L143" s="896"/>
      <c r="N143" s="81"/>
      <c r="O143" s="90"/>
    </row>
    <row r="144" spans="2:15" ht="24.95" customHeight="1" thickTop="1">
      <c r="B144" s="889" t="s">
        <v>407</v>
      </c>
      <c r="C144" s="889"/>
      <c r="D144" s="889"/>
      <c r="E144" s="889"/>
      <c r="F144" s="889"/>
      <c r="G144" s="889"/>
      <c r="H144" s="889"/>
      <c r="I144" s="889"/>
      <c r="J144" s="889"/>
      <c r="K144" s="889"/>
      <c r="L144" s="889"/>
      <c r="M144" s="889"/>
      <c r="N144" s="889"/>
    </row>
    <row r="145" spans="2:15" ht="12" customHeight="1" thickBot="1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</row>
    <row r="146" spans="2:15" s="6" customFormat="1" ht="48.75" customHeight="1" thickTop="1">
      <c r="B146" s="71" t="s">
        <v>2</v>
      </c>
      <c r="C146" s="72" t="s">
        <v>3</v>
      </c>
      <c r="D146" s="73" t="s">
        <v>4</v>
      </c>
      <c r="E146" s="72" t="s">
        <v>199</v>
      </c>
      <c r="F146" s="72" t="s">
        <v>6</v>
      </c>
      <c r="G146" s="72" t="s">
        <v>7</v>
      </c>
      <c r="H146" s="73" t="s">
        <v>8</v>
      </c>
      <c r="I146" s="72" t="s">
        <v>9</v>
      </c>
      <c r="J146" s="72" t="s">
        <v>10</v>
      </c>
      <c r="K146" s="72" t="s">
        <v>11</v>
      </c>
      <c r="L146" s="72" t="s">
        <v>12</v>
      </c>
      <c r="M146" s="72" t="s">
        <v>13</v>
      </c>
      <c r="N146" s="74" t="s">
        <v>14</v>
      </c>
    </row>
    <row r="147" spans="2:15" ht="24.95" customHeight="1">
      <c r="B147" s="872">
        <v>1</v>
      </c>
      <c r="C147" s="900" t="s">
        <v>226</v>
      </c>
      <c r="D147" s="873" t="s">
        <v>404</v>
      </c>
      <c r="E147" s="873">
        <v>109840</v>
      </c>
      <c r="F147" s="874">
        <v>40165</v>
      </c>
      <c r="G147" s="874">
        <v>40165</v>
      </c>
      <c r="H147" s="17"/>
      <c r="I147" s="82"/>
      <c r="J147" s="16"/>
      <c r="K147" s="17" t="s">
        <v>32</v>
      </c>
      <c r="L147" s="16">
        <v>5</v>
      </c>
      <c r="M147" s="18" t="s">
        <v>376</v>
      </c>
      <c r="N147" s="80"/>
    </row>
    <row r="148" spans="2:15" ht="24.95" customHeight="1">
      <c r="B148" s="872"/>
      <c r="C148" s="900"/>
      <c r="D148" s="873"/>
      <c r="E148" s="873"/>
      <c r="F148" s="874"/>
      <c r="G148" s="874"/>
      <c r="H148" s="14"/>
      <c r="I148" s="15"/>
      <c r="J148" s="16"/>
      <c r="K148" s="17" t="s">
        <v>32</v>
      </c>
      <c r="L148" s="16">
        <v>7</v>
      </c>
      <c r="M148" s="18"/>
      <c r="N148" s="80"/>
    </row>
    <row r="149" spans="2:15" ht="24.95" hidden="1" customHeight="1">
      <c r="B149" s="872"/>
      <c r="C149" s="900"/>
      <c r="D149" s="873"/>
      <c r="E149" s="873"/>
      <c r="F149" s="874"/>
      <c r="G149" s="874"/>
      <c r="H149" s="14"/>
      <c r="I149" s="15"/>
      <c r="J149" s="16"/>
      <c r="K149" s="17"/>
      <c r="L149" s="16"/>
      <c r="M149" s="18"/>
      <c r="N149" s="80"/>
    </row>
    <row r="150" spans="2:15" ht="24.95" hidden="1" customHeight="1">
      <c r="B150" s="173"/>
      <c r="C150" s="174"/>
      <c r="D150" s="174"/>
      <c r="E150" s="174"/>
      <c r="F150" s="175"/>
      <c r="G150" s="175"/>
      <c r="H150" s="14"/>
      <c r="I150" s="15"/>
      <c r="J150" s="16"/>
      <c r="K150" s="17"/>
      <c r="L150" s="16"/>
      <c r="M150" s="18"/>
      <c r="N150" s="19"/>
    </row>
    <row r="151" spans="2:15" ht="24.95" hidden="1" customHeight="1">
      <c r="B151" s="173"/>
      <c r="C151" s="174"/>
      <c r="D151" s="174"/>
      <c r="E151" s="174"/>
      <c r="F151" s="175"/>
      <c r="G151" s="175"/>
      <c r="H151" s="14"/>
      <c r="I151" s="15"/>
      <c r="J151" s="16"/>
      <c r="K151" s="17"/>
      <c r="L151" s="16"/>
      <c r="M151" s="18"/>
      <c r="N151" s="19"/>
    </row>
    <row r="152" spans="2:15" ht="24.95" hidden="1" customHeight="1">
      <c r="B152" s="173"/>
      <c r="C152" s="174"/>
      <c r="D152" s="174"/>
      <c r="E152" s="174"/>
      <c r="F152" s="175"/>
      <c r="G152" s="175"/>
      <c r="H152" s="14"/>
      <c r="I152" s="15"/>
      <c r="J152" s="16"/>
      <c r="K152" s="17"/>
      <c r="L152" s="16"/>
      <c r="M152" s="18"/>
      <c r="N152" s="19"/>
    </row>
    <row r="153" spans="2:15" ht="24.95" hidden="1" customHeight="1">
      <c r="B153" s="173"/>
      <c r="C153" s="174"/>
      <c r="D153" s="174"/>
      <c r="E153" s="174"/>
      <c r="F153" s="175"/>
      <c r="G153" s="175"/>
      <c r="H153" s="14"/>
      <c r="I153" s="15"/>
      <c r="J153" s="16"/>
      <c r="K153" s="17"/>
      <c r="L153" s="16"/>
      <c r="M153" s="18"/>
      <c r="N153" s="19"/>
    </row>
    <row r="154" spans="2:15" ht="24.95" hidden="1" customHeight="1">
      <c r="B154" s="173"/>
      <c r="C154" s="12"/>
      <c r="D154" s="12"/>
      <c r="E154" s="18"/>
      <c r="F154" s="13"/>
      <c r="G154" s="13"/>
      <c r="H154" s="17"/>
      <c r="I154" s="17"/>
      <c r="J154" s="16"/>
      <c r="K154" s="17"/>
      <c r="L154" s="17"/>
      <c r="M154" s="20"/>
      <c r="N154" s="19"/>
    </row>
    <row r="155" spans="2:15" ht="38.1" customHeight="1" thickBot="1">
      <c r="B155" s="868" t="s">
        <v>48</v>
      </c>
      <c r="C155" s="869"/>
      <c r="D155" s="869"/>
      <c r="E155" s="869"/>
      <c r="F155" s="869"/>
      <c r="G155" s="869"/>
      <c r="H155" s="869"/>
      <c r="I155" s="870">
        <f>L147*84.01+L148*84.01+L149*77.98+L150*109.25</f>
        <v>1008.1200000000001</v>
      </c>
      <c r="J155" s="870"/>
      <c r="K155" s="870"/>
      <c r="L155" s="870"/>
      <c r="M155" s="89"/>
      <c r="N155" s="81"/>
      <c r="O155" s="90"/>
    </row>
    <row r="156" spans="2:15" ht="24.95" customHeight="1" thickTop="1">
      <c r="B156" s="889" t="s">
        <v>409</v>
      </c>
      <c r="C156" s="889"/>
      <c r="D156" s="889"/>
      <c r="E156" s="889"/>
      <c r="F156" s="889"/>
      <c r="G156" s="889"/>
      <c r="H156" s="889"/>
      <c r="I156" s="889"/>
      <c r="J156" s="889"/>
      <c r="K156" s="889"/>
      <c r="L156" s="889"/>
      <c r="M156" s="889"/>
      <c r="N156" s="889"/>
    </row>
    <row r="157" spans="2:15" ht="19.5" customHeight="1">
      <c r="B157" s="29" t="s">
        <v>192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</row>
    <row r="158" spans="2:15" ht="20.100000000000001" customHeight="1">
      <c r="B158" s="29" t="s">
        <v>18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</row>
  </sheetData>
  <mergeCells count="118">
    <mergeCell ref="B155:H155"/>
    <mergeCell ref="I155:L155"/>
    <mergeCell ref="B156:N156"/>
    <mergeCell ref="B143:H143"/>
    <mergeCell ref="I143:L143"/>
    <mergeCell ref="B144:N144"/>
    <mergeCell ref="B147:B149"/>
    <mergeCell ref="C147:C149"/>
    <mergeCell ref="D147:D149"/>
    <mergeCell ref="E147:E149"/>
    <mergeCell ref="F147:F149"/>
    <mergeCell ref="G147:G149"/>
    <mergeCell ref="B131:H131"/>
    <mergeCell ref="I131:L131"/>
    <mergeCell ref="B132:N132"/>
    <mergeCell ref="B135:B137"/>
    <mergeCell ref="C135:C137"/>
    <mergeCell ref="D135:D137"/>
    <mergeCell ref="E135:E137"/>
    <mergeCell ref="F135:F137"/>
    <mergeCell ref="G135:G137"/>
    <mergeCell ref="B119:H119"/>
    <mergeCell ref="I119:L119"/>
    <mergeCell ref="B120:N120"/>
    <mergeCell ref="B123:B125"/>
    <mergeCell ref="C123:C125"/>
    <mergeCell ref="D123:D125"/>
    <mergeCell ref="E123:E125"/>
    <mergeCell ref="F123:F125"/>
    <mergeCell ref="G123:G125"/>
    <mergeCell ref="B107:H107"/>
    <mergeCell ref="I107:L107"/>
    <mergeCell ref="B108:N108"/>
    <mergeCell ref="B111:B113"/>
    <mergeCell ref="C111:C113"/>
    <mergeCell ref="D111:D113"/>
    <mergeCell ref="E111:E113"/>
    <mergeCell ref="F111:F113"/>
    <mergeCell ref="G111:G113"/>
    <mergeCell ref="B95:H95"/>
    <mergeCell ref="I95:L95"/>
    <mergeCell ref="B96:N96"/>
    <mergeCell ref="B99:B101"/>
    <mergeCell ref="C99:C101"/>
    <mergeCell ref="D99:D101"/>
    <mergeCell ref="E99:E101"/>
    <mergeCell ref="F99:F101"/>
    <mergeCell ref="G99:G101"/>
    <mergeCell ref="B84:H84"/>
    <mergeCell ref="I84:L84"/>
    <mergeCell ref="B87:B89"/>
    <mergeCell ref="C87:C89"/>
    <mergeCell ref="D87:D89"/>
    <mergeCell ref="E87:E89"/>
    <mergeCell ref="F87:F89"/>
    <mergeCell ref="G87:G89"/>
    <mergeCell ref="B72:H72"/>
    <mergeCell ref="I72:L72"/>
    <mergeCell ref="B73:N73"/>
    <mergeCell ref="B76:B79"/>
    <mergeCell ref="C76:C79"/>
    <mergeCell ref="D76:D79"/>
    <mergeCell ref="E76:E79"/>
    <mergeCell ref="F76:F79"/>
    <mergeCell ref="G76:G79"/>
    <mergeCell ref="B60:H60"/>
    <mergeCell ref="I60:L60"/>
    <mergeCell ref="B61:N61"/>
    <mergeCell ref="B64:B66"/>
    <mergeCell ref="C64:C66"/>
    <mergeCell ref="D64:D66"/>
    <mergeCell ref="E64:E66"/>
    <mergeCell ref="F64:F66"/>
    <mergeCell ref="G64:G66"/>
    <mergeCell ref="B48:H48"/>
    <mergeCell ref="I48:L48"/>
    <mergeCell ref="B49:N49"/>
    <mergeCell ref="B52:B54"/>
    <mergeCell ref="C52:C54"/>
    <mergeCell ref="D52:D54"/>
    <mergeCell ref="E52:E54"/>
    <mergeCell ref="F52:F54"/>
    <mergeCell ref="G52:G54"/>
    <mergeCell ref="B36:H36"/>
    <mergeCell ref="I36:L36"/>
    <mergeCell ref="B37:N37"/>
    <mergeCell ref="B40:B42"/>
    <mergeCell ref="C40:C42"/>
    <mergeCell ref="D40:D42"/>
    <mergeCell ref="E40:E42"/>
    <mergeCell ref="F40:F42"/>
    <mergeCell ref="G40:G42"/>
    <mergeCell ref="B24:H24"/>
    <mergeCell ref="I24:L24"/>
    <mergeCell ref="B25:N25"/>
    <mergeCell ref="B28:B30"/>
    <mergeCell ref="C28:C30"/>
    <mergeCell ref="D28:D30"/>
    <mergeCell ref="E28:E30"/>
    <mergeCell ref="F28:F30"/>
    <mergeCell ref="G28:G30"/>
    <mergeCell ref="B13:H13"/>
    <mergeCell ref="I13:L13"/>
    <mergeCell ref="B16:B18"/>
    <mergeCell ref="C16:C18"/>
    <mergeCell ref="D16:D18"/>
    <mergeCell ref="E16:E18"/>
    <mergeCell ref="F16:F18"/>
    <mergeCell ref="G16:G18"/>
    <mergeCell ref="B1:N1"/>
    <mergeCell ref="B2:N2"/>
    <mergeCell ref="B3:L3"/>
    <mergeCell ref="B5:B7"/>
    <mergeCell ref="C5:C7"/>
    <mergeCell ref="D5:D7"/>
    <mergeCell ref="E5:E7"/>
    <mergeCell ref="F5:F7"/>
    <mergeCell ref="G5:G7"/>
  </mergeCells>
  <pageMargins left="0.19" right="0.15" top="0.21" bottom="0.28000000000000003" header="0.15" footer="0.3"/>
  <pageSetup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P18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5" sqref="B15:N15"/>
    </sheetView>
  </sheetViews>
  <sheetFormatPr defaultRowHeight="15"/>
  <cols>
    <col min="1" max="1" width="1.140625" customWidth="1"/>
    <col min="2" max="2" width="6.28515625" customWidth="1"/>
    <col min="3" max="3" width="12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0.8554687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2.28515625" customWidth="1"/>
    <col min="14" max="14" width="27.4257812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39.95000000000000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465</v>
      </c>
      <c r="P4" s="36" t="s">
        <v>495</v>
      </c>
    </row>
    <row r="5" spans="2:16" ht="38.25" customHeight="1">
      <c r="B5" s="908">
        <v>1</v>
      </c>
      <c r="C5" s="909" t="s">
        <v>548</v>
      </c>
      <c r="D5" s="909" t="s">
        <v>744</v>
      </c>
      <c r="E5" s="909">
        <v>23421</v>
      </c>
      <c r="F5" s="910">
        <v>40495</v>
      </c>
      <c r="G5" s="910">
        <v>40501</v>
      </c>
      <c r="H5" s="537" t="s">
        <v>746</v>
      </c>
      <c r="I5" s="537" t="s">
        <v>745</v>
      </c>
      <c r="J5" s="538">
        <v>1</v>
      </c>
      <c r="K5" s="539"/>
      <c r="L5" s="538"/>
      <c r="M5" s="911" t="s">
        <v>563</v>
      </c>
      <c r="N5" s="537"/>
      <c r="O5" s="540"/>
      <c r="P5" s="541"/>
    </row>
    <row r="6" spans="2:16" ht="38.25" customHeight="1">
      <c r="B6" s="908"/>
      <c r="C6" s="909"/>
      <c r="D6" s="909"/>
      <c r="E6" s="909"/>
      <c r="F6" s="910"/>
      <c r="G6" s="910"/>
      <c r="H6" s="537" t="s">
        <v>748</v>
      </c>
      <c r="I6" s="537" t="s">
        <v>747</v>
      </c>
      <c r="J6" s="538">
        <v>1</v>
      </c>
      <c r="K6" s="539"/>
      <c r="L6" s="538"/>
      <c r="M6" s="911"/>
      <c r="N6" s="537"/>
      <c r="O6" s="540"/>
      <c r="P6" s="541"/>
    </row>
    <row r="7" spans="2:16" ht="24.95" customHeight="1">
      <c r="B7" s="908"/>
      <c r="C7" s="909"/>
      <c r="D7" s="909"/>
      <c r="E7" s="909"/>
      <c r="F7" s="910"/>
      <c r="G7" s="910"/>
      <c r="H7" s="537" t="s">
        <v>750</v>
      </c>
      <c r="I7" s="537" t="s">
        <v>749</v>
      </c>
      <c r="J7" s="538">
        <v>1</v>
      </c>
      <c r="K7" s="539"/>
      <c r="L7" s="538"/>
      <c r="M7" s="911"/>
      <c r="N7" s="537"/>
      <c r="O7" s="540"/>
      <c r="P7" s="542"/>
    </row>
    <row r="8" spans="2:16" ht="24.95" hidden="1" customHeight="1">
      <c r="B8" s="908"/>
      <c r="C8" s="909"/>
      <c r="D8" s="909"/>
      <c r="E8" s="909"/>
      <c r="F8" s="910"/>
      <c r="G8" s="910"/>
      <c r="H8" s="543"/>
      <c r="I8" s="544"/>
      <c r="J8" s="538"/>
      <c r="K8" s="539"/>
      <c r="L8" s="538"/>
      <c r="M8" s="911"/>
      <c r="N8" s="537"/>
      <c r="O8" s="540"/>
      <c r="P8" s="542"/>
    </row>
    <row r="9" spans="2:16" ht="24.95" hidden="1" customHeight="1">
      <c r="B9" s="908"/>
      <c r="C9" s="909"/>
      <c r="D9" s="909"/>
      <c r="E9" s="909"/>
      <c r="F9" s="910"/>
      <c r="G9" s="910"/>
      <c r="H9" s="539"/>
      <c r="I9" s="545"/>
      <c r="J9" s="538"/>
      <c r="K9" s="539"/>
      <c r="L9" s="538"/>
      <c r="M9" s="911"/>
      <c r="N9" s="537"/>
      <c r="O9" s="540"/>
      <c r="P9" s="542"/>
    </row>
    <row r="10" spans="2:16" ht="24.95" hidden="1" customHeight="1">
      <c r="B10" s="908"/>
      <c r="C10" s="909"/>
      <c r="D10" s="909"/>
      <c r="E10" s="909"/>
      <c r="F10" s="910"/>
      <c r="G10" s="910"/>
      <c r="H10" s="543"/>
      <c r="I10" s="546"/>
      <c r="J10" s="538"/>
      <c r="K10" s="539"/>
      <c r="L10" s="538"/>
      <c r="M10" s="911"/>
      <c r="N10" s="537"/>
      <c r="O10" s="540"/>
      <c r="P10" s="542"/>
    </row>
    <row r="11" spans="2:16" ht="24.95" hidden="1" customHeight="1">
      <c r="B11" s="908"/>
      <c r="C11" s="909"/>
      <c r="D11" s="909"/>
      <c r="E11" s="909"/>
      <c r="F11" s="910"/>
      <c r="G11" s="910"/>
      <c r="H11" s="543"/>
      <c r="I11" s="545"/>
      <c r="J11" s="538"/>
      <c r="K11" s="539"/>
      <c r="L11" s="538"/>
      <c r="M11" s="911"/>
      <c r="N11" s="537"/>
      <c r="O11" s="540"/>
      <c r="P11" s="542"/>
    </row>
    <row r="12" spans="2:16" ht="24.95" hidden="1" customHeight="1">
      <c r="B12" s="908"/>
      <c r="C12" s="909"/>
      <c r="D12" s="909"/>
      <c r="E12" s="909"/>
      <c r="F12" s="910"/>
      <c r="G12" s="910"/>
      <c r="H12" s="539"/>
      <c r="I12" s="545"/>
      <c r="J12" s="538"/>
      <c r="K12" s="539"/>
      <c r="L12" s="539"/>
      <c r="M12" s="537"/>
      <c r="N12" s="537"/>
      <c r="O12" s="540"/>
      <c r="P12" s="542"/>
    </row>
    <row r="13" spans="2:16" ht="24.95" hidden="1" customHeight="1">
      <c r="B13" s="908"/>
      <c r="C13" s="909"/>
      <c r="D13" s="909"/>
      <c r="E13" s="909"/>
      <c r="F13" s="910"/>
      <c r="G13" s="910"/>
      <c r="H13" s="539"/>
      <c r="I13" s="545"/>
      <c r="J13" s="538"/>
      <c r="K13" s="539"/>
      <c r="L13" s="538"/>
      <c r="M13" s="537"/>
      <c r="N13" s="537"/>
      <c r="O13" s="540"/>
      <c r="P13" s="542"/>
    </row>
    <row r="14" spans="2:16" ht="38.1" customHeight="1" thickBot="1">
      <c r="B14" s="902" t="s">
        <v>48</v>
      </c>
      <c r="C14" s="903"/>
      <c r="D14" s="903"/>
      <c r="E14" s="903"/>
      <c r="F14" s="903"/>
      <c r="G14" s="903"/>
      <c r="H14" s="903"/>
      <c r="I14" s="904">
        <f>7033+1004.76+2325.32+2000</f>
        <v>12363.08</v>
      </c>
      <c r="J14" s="904"/>
      <c r="K14" s="904"/>
      <c r="L14" s="904"/>
      <c r="M14" s="547"/>
      <c r="N14" s="548"/>
      <c r="O14" s="549"/>
      <c r="P14" s="550"/>
    </row>
    <row r="15" spans="2:16" ht="366" customHeight="1" thickTop="1">
      <c r="B15" s="905" t="s">
        <v>743</v>
      </c>
      <c r="C15" s="906"/>
      <c r="D15" s="906"/>
      <c r="E15" s="906"/>
      <c r="F15" s="906"/>
      <c r="G15" s="906"/>
      <c r="H15" s="906"/>
      <c r="I15" s="906"/>
      <c r="J15" s="906"/>
      <c r="K15" s="906"/>
      <c r="L15" s="906"/>
      <c r="M15" s="906"/>
      <c r="N15" s="906"/>
    </row>
    <row r="16" spans="2:16" ht="27.75" customHeight="1">
      <c r="B16" s="907" t="s">
        <v>477</v>
      </c>
      <c r="C16" s="890"/>
      <c r="D16" s="890"/>
      <c r="E16" s="890"/>
      <c r="F16" s="890"/>
      <c r="G16" s="890"/>
      <c r="H16" s="890"/>
      <c r="I16" s="890"/>
      <c r="J16" s="890"/>
      <c r="K16" s="890"/>
      <c r="L16" s="890"/>
      <c r="M16" s="890"/>
      <c r="N16" s="890"/>
    </row>
    <row r="17" spans="2:12" ht="20.100000000000001" customHeight="1">
      <c r="B17" s="29" t="s">
        <v>23</v>
      </c>
      <c r="C17" s="29"/>
      <c r="D17" s="29"/>
      <c r="E17" s="29"/>
      <c r="F17" s="29" t="s">
        <v>17</v>
      </c>
      <c r="G17" s="29"/>
      <c r="H17" s="29"/>
      <c r="I17" s="29"/>
      <c r="J17" s="29"/>
      <c r="K17" s="29"/>
      <c r="L17" s="29"/>
    </row>
    <row r="18" spans="2:12" ht="20.100000000000001" customHeight="1">
      <c r="B18" s="29" t="s">
        <v>18</v>
      </c>
      <c r="C18" s="29"/>
      <c r="D18" s="29"/>
      <c r="E18" s="29"/>
      <c r="F18" s="29" t="s">
        <v>18</v>
      </c>
      <c r="G18" s="29"/>
      <c r="H18" s="29"/>
      <c r="I18" s="29"/>
      <c r="J18" s="29"/>
      <c r="K18" s="29"/>
      <c r="L18" s="29"/>
    </row>
  </sheetData>
  <mergeCells count="14">
    <mergeCell ref="B14:H14"/>
    <mergeCell ref="I14:L14"/>
    <mergeCell ref="B15:N15"/>
    <mergeCell ref="B16:N16"/>
    <mergeCell ref="B1:N1"/>
    <mergeCell ref="B2:N2"/>
    <mergeCell ref="B3:N3"/>
    <mergeCell ref="B5:B13"/>
    <mergeCell ref="C5:C13"/>
    <mergeCell ref="D5:D13"/>
    <mergeCell ref="E5:E13"/>
    <mergeCell ref="F5:F13"/>
    <mergeCell ref="G5:G13"/>
    <mergeCell ref="M5:M11"/>
  </mergeCells>
  <pageMargins left="0.19" right="0.15" top="0.21" bottom="0.28000000000000003" header="0.3" footer="0.3"/>
  <pageSetup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P18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O5" sqref="O5"/>
    </sheetView>
  </sheetViews>
  <sheetFormatPr defaultRowHeight="15"/>
  <cols>
    <col min="1" max="1" width="1.140625" customWidth="1"/>
    <col min="2" max="2" width="6.28515625" customWidth="1"/>
    <col min="3" max="3" width="12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1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2.28515625" customWidth="1"/>
    <col min="14" max="14" width="27" customWidth="1"/>
    <col min="15" max="15" width="12.14062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39.95000000000000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465</v>
      </c>
      <c r="P4" s="36" t="s">
        <v>495</v>
      </c>
    </row>
    <row r="5" spans="2:16" ht="38.25" customHeight="1">
      <c r="B5" s="908">
        <v>1</v>
      </c>
      <c r="C5" s="912" t="s">
        <v>548</v>
      </c>
      <c r="D5" s="912" t="s">
        <v>765</v>
      </c>
      <c r="E5" s="912">
        <v>22911</v>
      </c>
      <c r="F5" s="913">
        <v>40504</v>
      </c>
      <c r="G5" s="913">
        <v>40506</v>
      </c>
      <c r="H5" s="574" t="s">
        <v>551</v>
      </c>
      <c r="I5" s="583">
        <v>4253694</v>
      </c>
      <c r="J5" s="584">
        <v>1</v>
      </c>
      <c r="K5" s="574" t="s">
        <v>523</v>
      </c>
      <c r="L5" s="584">
        <v>15</v>
      </c>
      <c r="M5" s="914" t="s">
        <v>563</v>
      </c>
      <c r="N5" s="578" t="s">
        <v>780</v>
      </c>
      <c r="O5" s="667">
        <v>42549147</v>
      </c>
      <c r="P5" s="541">
        <v>1</v>
      </c>
    </row>
    <row r="6" spans="2:16" ht="24.95" customHeight="1">
      <c r="B6" s="908"/>
      <c r="C6" s="912"/>
      <c r="D6" s="912"/>
      <c r="E6" s="912"/>
      <c r="F6" s="913"/>
      <c r="G6" s="913"/>
      <c r="H6" s="574" t="s">
        <v>777</v>
      </c>
      <c r="I6" s="583">
        <v>42537758</v>
      </c>
      <c r="J6" s="584">
        <v>3</v>
      </c>
      <c r="K6" s="574" t="s">
        <v>437</v>
      </c>
      <c r="L6" s="584">
        <v>27</v>
      </c>
      <c r="M6" s="914"/>
      <c r="N6" s="578"/>
      <c r="O6" s="571"/>
      <c r="P6" s="541"/>
    </row>
    <row r="7" spans="2:16" ht="24.95" hidden="1" customHeight="1">
      <c r="B7" s="908"/>
      <c r="C7" s="912"/>
      <c r="D7" s="912"/>
      <c r="E7" s="912"/>
      <c r="F7" s="913"/>
      <c r="G7" s="913"/>
      <c r="H7" s="576"/>
      <c r="I7" s="583"/>
      <c r="J7" s="584"/>
      <c r="K7" s="574"/>
      <c r="L7" s="584"/>
      <c r="M7" s="914"/>
      <c r="N7" s="578"/>
      <c r="O7" s="571"/>
      <c r="P7" s="542"/>
    </row>
    <row r="8" spans="2:16" ht="24.95" hidden="1" customHeight="1">
      <c r="B8" s="908"/>
      <c r="C8" s="912"/>
      <c r="D8" s="912"/>
      <c r="E8" s="912"/>
      <c r="F8" s="913"/>
      <c r="G8" s="913"/>
      <c r="H8" s="576"/>
      <c r="I8" s="583"/>
      <c r="J8" s="584"/>
      <c r="K8" s="574"/>
      <c r="L8" s="584"/>
      <c r="M8" s="914"/>
      <c r="N8" s="578"/>
      <c r="O8" s="571"/>
      <c r="P8" s="542"/>
    </row>
    <row r="9" spans="2:16" ht="24.95" hidden="1" customHeight="1">
      <c r="B9" s="908"/>
      <c r="C9" s="912"/>
      <c r="D9" s="912"/>
      <c r="E9" s="912"/>
      <c r="F9" s="913"/>
      <c r="G9" s="913"/>
      <c r="H9" s="574"/>
      <c r="I9" s="583"/>
      <c r="J9" s="584"/>
      <c r="K9" s="574"/>
      <c r="L9" s="584"/>
      <c r="M9" s="914"/>
      <c r="N9" s="578"/>
      <c r="O9" s="571"/>
      <c r="P9" s="542"/>
    </row>
    <row r="10" spans="2:16" ht="24.95" hidden="1" customHeight="1">
      <c r="B10" s="908"/>
      <c r="C10" s="912"/>
      <c r="D10" s="912"/>
      <c r="E10" s="912"/>
      <c r="F10" s="913"/>
      <c r="G10" s="913"/>
      <c r="H10" s="576"/>
      <c r="I10" s="585"/>
      <c r="J10" s="584"/>
      <c r="K10" s="574"/>
      <c r="L10" s="584"/>
      <c r="M10" s="914"/>
      <c r="N10" s="578"/>
      <c r="O10" s="571"/>
      <c r="P10" s="542"/>
    </row>
    <row r="11" spans="2:16" ht="24.95" hidden="1" customHeight="1">
      <c r="B11" s="908"/>
      <c r="C11" s="912"/>
      <c r="D11" s="912"/>
      <c r="E11" s="912"/>
      <c r="F11" s="913"/>
      <c r="G11" s="913"/>
      <c r="H11" s="576"/>
      <c r="I11" s="583"/>
      <c r="J11" s="584"/>
      <c r="K11" s="574"/>
      <c r="L11" s="584"/>
      <c r="M11" s="914"/>
      <c r="N11" s="578"/>
      <c r="O11" s="571"/>
      <c r="P11" s="542"/>
    </row>
    <row r="12" spans="2:16" ht="24.95" hidden="1" customHeight="1">
      <c r="B12" s="908"/>
      <c r="C12" s="912"/>
      <c r="D12" s="912"/>
      <c r="E12" s="912"/>
      <c r="F12" s="913"/>
      <c r="G12" s="913"/>
      <c r="H12" s="574"/>
      <c r="I12" s="583"/>
      <c r="J12" s="584"/>
      <c r="K12" s="574"/>
      <c r="L12" s="574"/>
      <c r="M12" s="578"/>
      <c r="N12" s="578"/>
      <c r="O12" s="571"/>
      <c r="P12" s="542"/>
    </row>
    <row r="13" spans="2:16" ht="24.95" hidden="1" customHeight="1">
      <c r="B13" s="908"/>
      <c r="C13" s="912"/>
      <c r="D13" s="912"/>
      <c r="E13" s="912"/>
      <c r="F13" s="913"/>
      <c r="G13" s="913"/>
      <c r="H13" s="574"/>
      <c r="I13" s="583"/>
      <c r="J13" s="584"/>
      <c r="K13" s="574"/>
      <c r="L13" s="584"/>
      <c r="M13" s="578"/>
      <c r="N13" s="578"/>
      <c r="O13" s="571"/>
      <c r="P13" s="542"/>
    </row>
    <row r="14" spans="2:16" ht="38.1" customHeight="1" thickBot="1">
      <c r="B14" s="902" t="s">
        <v>48</v>
      </c>
      <c r="C14" s="903"/>
      <c r="D14" s="903"/>
      <c r="E14" s="903"/>
      <c r="F14" s="903"/>
      <c r="G14" s="903"/>
      <c r="H14" s="903"/>
      <c r="I14" s="904">
        <f>4000+L5*83.26+L6*84.01</f>
        <v>7517.17</v>
      </c>
      <c r="J14" s="904"/>
      <c r="K14" s="904"/>
      <c r="L14" s="904"/>
      <c r="M14" s="547"/>
      <c r="N14" s="548"/>
      <c r="O14" s="549"/>
      <c r="P14" s="550"/>
    </row>
    <row r="15" spans="2:16" ht="261" customHeight="1" thickTop="1">
      <c r="B15" s="905" t="s">
        <v>766</v>
      </c>
      <c r="C15" s="906"/>
      <c r="D15" s="906"/>
      <c r="E15" s="906"/>
      <c r="F15" s="906"/>
      <c r="G15" s="906"/>
      <c r="H15" s="906"/>
      <c r="I15" s="906"/>
      <c r="J15" s="906"/>
      <c r="K15" s="906"/>
      <c r="L15" s="906"/>
      <c r="M15" s="906"/>
      <c r="N15" s="906"/>
    </row>
    <row r="16" spans="2:16" ht="27.75" customHeight="1">
      <c r="B16" s="907" t="s">
        <v>477</v>
      </c>
      <c r="C16" s="890"/>
      <c r="D16" s="890"/>
      <c r="E16" s="890"/>
      <c r="F16" s="890"/>
      <c r="G16" s="890"/>
      <c r="H16" s="890"/>
      <c r="I16" s="890"/>
      <c r="J16" s="890"/>
      <c r="K16" s="890"/>
      <c r="L16" s="890"/>
      <c r="M16" s="890"/>
      <c r="N16" s="890"/>
    </row>
    <row r="17" spans="2:12" ht="20.100000000000001" customHeight="1">
      <c r="B17" s="29" t="s">
        <v>23</v>
      </c>
      <c r="C17" s="29"/>
      <c r="D17" s="29"/>
      <c r="E17" s="29"/>
      <c r="F17" s="29" t="s">
        <v>17</v>
      </c>
      <c r="G17" s="29"/>
      <c r="H17" s="29"/>
      <c r="I17" s="29"/>
      <c r="J17" s="29"/>
      <c r="K17" s="29"/>
      <c r="L17" s="29"/>
    </row>
    <row r="18" spans="2:12" ht="20.100000000000001" customHeight="1">
      <c r="B18" s="29" t="s">
        <v>18</v>
      </c>
      <c r="C18" s="29"/>
      <c r="D18" s="29"/>
      <c r="E18" s="29"/>
      <c r="F18" s="29" t="s">
        <v>18</v>
      </c>
      <c r="G18" s="29"/>
      <c r="H18" s="29"/>
      <c r="I18" s="29"/>
      <c r="J18" s="29"/>
      <c r="K18" s="29"/>
      <c r="L18" s="29"/>
    </row>
  </sheetData>
  <mergeCells count="14">
    <mergeCell ref="B14:H14"/>
    <mergeCell ref="I14:L14"/>
    <mergeCell ref="B15:N15"/>
    <mergeCell ref="B16:N16"/>
    <mergeCell ref="B1:N1"/>
    <mergeCell ref="B2:N2"/>
    <mergeCell ref="B3:N3"/>
    <mergeCell ref="B5:B13"/>
    <mergeCell ref="C5:C13"/>
    <mergeCell ref="D5:D13"/>
    <mergeCell ref="E5:E13"/>
    <mergeCell ref="F5:F13"/>
    <mergeCell ref="G5:G13"/>
    <mergeCell ref="M5:M11"/>
  </mergeCells>
  <pageMargins left="0.19" right="0.15" top="0.21" bottom="0.28000000000000003" header="0.3" footer="0.3"/>
  <pageSetup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P18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H8" sqref="H8"/>
    </sheetView>
  </sheetViews>
  <sheetFormatPr defaultRowHeight="15"/>
  <cols>
    <col min="1" max="1" width="1.140625" customWidth="1"/>
    <col min="2" max="2" width="6.28515625" customWidth="1"/>
    <col min="3" max="3" width="12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2.5703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2.28515625" customWidth="1"/>
    <col min="14" max="14" width="27.4257812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39.95000000000000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465</v>
      </c>
      <c r="P4" s="36" t="s">
        <v>495</v>
      </c>
    </row>
    <row r="5" spans="2:16" ht="38.25" customHeight="1">
      <c r="B5" s="917">
        <v>1</v>
      </c>
      <c r="C5" s="919" t="s">
        <v>548</v>
      </c>
      <c r="D5" s="919" t="s">
        <v>673</v>
      </c>
      <c r="E5" s="919">
        <v>29596</v>
      </c>
      <c r="F5" s="921">
        <v>40485</v>
      </c>
      <c r="G5" s="921">
        <v>40494</v>
      </c>
      <c r="H5" s="420" t="s">
        <v>665</v>
      </c>
      <c r="I5" s="421">
        <v>2996501</v>
      </c>
      <c r="J5" s="422">
        <v>4</v>
      </c>
      <c r="K5" s="420" t="s">
        <v>452</v>
      </c>
      <c r="L5" s="422">
        <v>15</v>
      </c>
      <c r="M5" s="916" t="s">
        <v>563</v>
      </c>
      <c r="N5" s="423" t="s">
        <v>680</v>
      </c>
      <c r="O5" s="424"/>
      <c r="P5" s="425">
        <v>8</v>
      </c>
    </row>
    <row r="6" spans="2:16" ht="24.95" customHeight="1">
      <c r="B6" s="917"/>
      <c r="C6" s="919"/>
      <c r="D6" s="919"/>
      <c r="E6" s="919"/>
      <c r="F6" s="921"/>
      <c r="G6" s="921"/>
      <c r="H6" s="420" t="s">
        <v>666</v>
      </c>
      <c r="I6" s="421">
        <v>107163</v>
      </c>
      <c r="J6" s="422">
        <v>1</v>
      </c>
      <c r="K6" s="420" t="s">
        <v>437</v>
      </c>
      <c r="L6" s="422">
        <v>30</v>
      </c>
      <c r="M6" s="916"/>
      <c r="N6" s="423" t="s">
        <v>669</v>
      </c>
      <c r="O6" s="424"/>
      <c r="P6" s="425">
        <v>1</v>
      </c>
    </row>
    <row r="7" spans="2:16" ht="24.95" customHeight="1">
      <c r="B7" s="917"/>
      <c r="C7" s="919"/>
      <c r="D7" s="919"/>
      <c r="E7" s="919"/>
      <c r="F7" s="921"/>
      <c r="G7" s="921"/>
      <c r="H7" s="426" t="s">
        <v>667</v>
      </c>
      <c r="I7" s="421"/>
      <c r="J7" s="422">
        <v>4</v>
      </c>
      <c r="K7" s="420"/>
      <c r="L7" s="422"/>
      <c r="M7" s="916"/>
      <c r="N7" s="423"/>
      <c r="O7" s="424"/>
      <c r="P7" s="427"/>
    </row>
    <row r="8" spans="2:16" ht="24.95" customHeight="1">
      <c r="B8" s="917"/>
      <c r="C8" s="919"/>
      <c r="D8" s="919"/>
      <c r="E8" s="919"/>
      <c r="F8" s="921"/>
      <c r="G8" s="921"/>
      <c r="H8" s="426" t="s">
        <v>551</v>
      </c>
      <c r="I8" s="421">
        <v>42537366</v>
      </c>
      <c r="J8" s="422">
        <v>1</v>
      </c>
      <c r="K8" s="420"/>
      <c r="L8" s="422"/>
      <c r="M8" s="916"/>
      <c r="N8" s="423"/>
      <c r="O8" s="424"/>
      <c r="P8" s="427"/>
    </row>
    <row r="9" spans="2:16" ht="24.95" customHeight="1">
      <c r="B9" s="917"/>
      <c r="C9" s="919"/>
      <c r="D9" s="919"/>
      <c r="E9" s="919"/>
      <c r="F9" s="921"/>
      <c r="G9" s="921"/>
      <c r="H9" s="420" t="s">
        <v>551</v>
      </c>
      <c r="I9" s="421">
        <v>42537365</v>
      </c>
      <c r="J9" s="422">
        <v>1</v>
      </c>
      <c r="K9" s="420"/>
      <c r="L9" s="422"/>
      <c r="M9" s="916"/>
      <c r="N9" s="423"/>
      <c r="O9" s="424"/>
      <c r="P9" s="427"/>
    </row>
    <row r="10" spans="2:16" ht="24.95" customHeight="1">
      <c r="B10" s="917"/>
      <c r="C10" s="919"/>
      <c r="D10" s="919"/>
      <c r="E10" s="919"/>
      <c r="F10" s="921"/>
      <c r="G10" s="921"/>
      <c r="H10" s="426" t="s">
        <v>668</v>
      </c>
      <c r="I10" s="428">
        <v>42558431</v>
      </c>
      <c r="J10" s="422">
        <v>4</v>
      </c>
      <c r="K10" s="420"/>
      <c r="L10" s="422"/>
      <c r="M10" s="916"/>
      <c r="N10" s="423"/>
      <c r="O10" s="424"/>
      <c r="P10" s="427"/>
    </row>
    <row r="11" spans="2:16" ht="24.95" customHeight="1">
      <c r="B11" s="917"/>
      <c r="C11" s="919"/>
      <c r="D11" s="919"/>
      <c r="E11" s="919"/>
      <c r="F11" s="921"/>
      <c r="G11" s="921"/>
      <c r="H11" s="426" t="s">
        <v>551</v>
      </c>
      <c r="I11" s="421">
        <v>42536194</v>
      </c>
      <c r="J11" s="422">
        <v>1</v>
      </c>
      <c r="K11" s="420"/>
      <c r="L11" s="422"/>
      <c r="M11" s="916"/>
      <c r="N11" s="423"/>
      <c r="O11" s="424"/>
      <c r="P11" s="427"/>
    </row>
    <row r="12" spans="2:16" ht="24.95" hidden="1" customHeight="1">
      <c r="B12" s="917"/>
      <c r="C12" s="919"/>
      <c r="D12" s="919"/>
      <c r="E12" s="919"/>
      <c r="F12" s="921"/>
      <c r="G12" s="921"/>
      <c r="H12" s="420"/>
      <c r="I12" s="421"/>
      <c r="J12" s="422"/>
      <c r="K12" s="420"/>
      <c r="L12" s="420"/>
      <c r="M12" s="423"/>
      <c r="N12" s="423"/>
      <c r="O12" s="424"/>
      <c r="P12" s="427"/>
    </row>
    <row r="13" spans="2:16" ht="24.95" hidden="1" customHeight="1">
      <c r="B13" s="918"/>
      <c r="C13" s="920"/>
      <c r="D13" s="920"/>
      <c r="E13" s="920"/>
      <c r="F13" s="922"/>
      <c r="G13" s="922"/>
      <c r="H13" s="429"/>
      <c r="I13" s="430"/>
      <c r="J13" s="431"/>
      <c r="K13" s="429"/>
      <c r="L13" s="431"/>
      <c r="M13" s="432"/>
      <c r="N13" s="432"/>
      <c r="O13" s="433"/>
      <c r="P13" s="434"/>
    </row>
    <row r="14" spans="2:16" ht="38.1" customHeight="1" thickBot="1">
      <c r="B14" s="843" t="s">
        <v>48</v>
      </c>
      <c r="C14" s="844"/>
      <c r="D14" s="844"/>
      <c r="E14" s="844"/>
      <c r="F14" s="844"/>
      <c r="G14" s="844"/>
      <c r="H14" s="844"/>
      <c r="I14" s="915">
        <f>4000+2325.32+2325.32+8612.31+4215.72+464.49+L5*84.01+L6*89.08</f>
        <v>25875.710000000003</v>
      </c>
      <c r="J14" s="915"/>
      <c r="K14" s="915"/>
      <c r="L14" s="915"/>
      <c r="M14" s="50"/>
      <c r="N14" s="417"/>
      <c r="O14" s="418"/>
      <c r="P14" s="419"/>
    </row>
    <row r="15" spans="2:16" ht="366" customHeight="1" thickTop="1">
      <c r="B15" s="905" t="s">
        <v>664</v>
      </c>
      <c r="C15" s="906"/>
      <c r="D15" s="906"/>
      <c r="E15" s="906"/>
      <c r="F15" s="906"/>
      <c r="G15" s="906"/>
      <c r="H15" s="906"/>
      <c r="I15" s="906"/>
      <c r="J15" s="906"/>
      <c r="K15" s="906"/>
      <c r="L15" s="906"/>
      <c r="M15" s="906"/>
      <c r="N15" s="906"/>
    </row>
    <row r="16" spans="2:16" ht="27.75" customHeight="1">
      <c r="B16" s="907" t="s">
        <v>477</v>
      </c>
      <c r="C16" s="890"/>
      <c r="D16" s="890"/>
      <c r="E16" s="890"/>
      <c r="F16" s="890"/>
      <c r="G16" s="890"/>
      <c r="H16" s="890"/>
      <c r="I16" s="890"/>
      <c r="J16" s="890"/>
      <c r="K16" s="890"/>
      <c r="L16" s="890"/>
      <c r="M16" s="890"/>
      <c r="N16" s="890"/>
    </row>
    <row r="17" spans="2:12" ht="20.100000000000001" customHeight="1">
      <c r="B17" s="29" t="s">
        <v>23</v>
      </c>
      <c r="C17" s="29"/>
      <c r="D17" s="29"/>
      <c r="E17" s="29"/>
      <c r="F17" s="29" t="s">
        <v>17</v>
      </c>
      <c r="G17" s="29"/>
      <c r="H17" s="29"/>
      <c r="I17" s="29"/>
      <c r="J17" s="29"/>
      <c r="K17" s="29"/>
      <c r="L17" s="29"/>
    </row>
    <row r="18" spans="2:12" ht="20.100000000000001" customHeight="1">
      <c r="B18" s="29" t="s">
        <v>18</v>
      </c>
      <c r="C18" s="29"/>
      <c r="D18" s="29"/>
      <c r="E18" s="29"/>
      <c r="F18" s="29" t="s">
        <v>18</v>
      </c>
      <c r="G18" s="29"/>
      <c r="H18" s="29"/>
      <c r="I18" s="29"/>
      <c r="J18" s="29"/>
      <c r="K18" s="29"/>
      <c r="L18" s="29"/>
    </row>
  </sheetData>
  <mergeCells count="14">
    <mergeCell ref="B1:N1"/>
    <mergeCell ref="B2:N2"/>
    <mergeCell ref="B3:N3"/>
    <mergeCell ref="B5:B13"/>
    <mergeCell ref="C5:C13"/>
    <mergeCell ref="D5:D13"/>
    <mergeCell ref="E5:E13"/>
    <mergeCell ref="F5:F13"/>
    <mergeCell ref="G5:G13"/>
    <mergeCell ref="B14:H14"/>
    <mergeCell ref="I14:L14"/>
    <mergeCell ref="B15:N15"/>
    <mergeCell ref="B16:N16"/>
    <mergeCell ref="M5:M11"/>
  </mergeCells>
  <pageMargins left="0.19" right="0.15" top="0.21" bottom="0.28000000000000003" header="0.3" footer="0.3"/>
  <pageSetup scale="7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1:P18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5" sqref="B15:N15"/>
    </sheetView>
  </sheetViews>
  <sheetFormatPr defaultRowHeight="15"/>
  <cols>
    <col min="1" max="1" width="1.140625" customWidth="1"/>
    <col min="2" max="2" width="6.28515625" customWidth="1"/>
    <col min="3" max="3" width="12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2.5703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2.28515625" customWidth="1"/>
    <col min="14" max="14" width="27.4257812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39.95000000000000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465</v>
      </c>
      <c r="P4" s="36" t="s">
        <v>495</v>
      </c>
    </row>
    <row r="5" spans="2:16" ht="24.95" customHeight="1">
      <c r="B5" s="923">
        <v>1</v>
      </c>
      <c r="C5" s="924" t="s">
        <v>548</v>
      </c>
      <c r="D5" s="924" t="s">
        <v>549</v>
      </c>
      <c r="E5" s="924">
        <v>26273</v>
      </c>
      <c r="F5" s="925">
        <v>40474</v>
      </c>
      <c r="G5" s="925">
        <v>40476</v>
      </c>
      <c r="H5" s="292" t="s">
        <v>551</v>
      </c>
      <c r="I5" s="293">
        <v>42536194</v>
      </c>
      <c r="J5" s="294">
        <v>1</v>
      </c>
      <c r="K5" s="292" t="s">
        <v>452</v>
      </c>
      <c r="L5" s="294">
        <v>15</v>
      </c>
      <c r="M5" s="880" t="s">
        <v>563</v>
      </c>
      <c r="N5" s="18"/>
      <c r="O5" s="20"/>
      <c r="P5" s="55"/>
    </row>
    <row r="6" spans="2:16" ht="24.95" customHeight="1">
      <c r="B6" s="923"/>
      <c r="C6" s="924"/>
      <c r="D6" s="924"/>
      <c r="E6" s="924"/>
      <c r="F6" s="925"/>
      <c r="G6" s="925"/>
      <c r="H6" s="292"/>
      <c r="I6" s="293"/>
      <c r="J6" s="294"/>
      <c r="K6" s="292" t="s">
        <v>437</v>
      </c>
      <c r="L6" s="294">
        <v>30</v>
      </c>
      <c r="M6" s="882"/>
      <c r="N6" s="18"/>
      <c r="O6" s="20"/>
      <c r="P6" s="55"/>
    </row>
    <row r="7" spans="2:16" ht="24.95" hidden="1" customHeight="1">
      <c r="B7" s="923"/>
      <c r="C7" s="924"/>
      <c r="D7" s="924"/>
      <c r="E7" s="924"/>
      <c r="F7" s="925"/>
      <c r="G7" s="925"/>
      <c r="H7" s="295"/>
      <c r="I7" s="293"/>
      <c r="J7" s="294"/>
      <c r="K7" s="292"/>
      <c r="L7" s="294"/>
      <c r="M7" s="18"/>
      <c r="N7" s="18"/>
      <c r="O7" s="20"/>
      <c r="P7" s="55"/>
    </row>
    <row r="8" spans="2:16" ht="35.25" hidden="1" customHeight="1">
      <c r="B8" s="923"/>
      <c r="C8" s="924"/>
      <c r="D8" s="924"/>
      <c r="E8" s="924"/>
      <c r="F8" s="925"/>
      <c r="G8" s="925"/>
      <c r="H8" s="295"/>
      <c r="I8" s="293"/>
      <c r="J8" s="294"/>
      <c r="K8" s="292"/>
      <c r="L8" s="294"/>
      <c r="M8" s="18"/>
      <c r="N8" s="18"/>
      <c r="O8" s="20"/>
      <c r="P8" s="55"/>
    </row>
    <row r="9" spans="2:16" ht="24.95" hidden="1" customHeight="1">
      <c r="B9" s="923"/>
      <c r="C9" s="924"/>
      <c r="D9" s="924"/>
      <c r="E9" s="924"/>
      <c r="F9" s="925"/>
      <c r="G9" s="925"/>
      <c r="H9" s="292"/>
      <c r="I9" s="293"/>
      <c r="J9" s="294"/>
      <c r="K9" s="292"/>
      <c r="L9" s="294"/>
      <c r="M9" s="18"/>
      <c r="N9" s="18"/>
      <c r="O9" s="20"/>
      <c r="P9" s="55"/>
    </row>
    <row r="10" spans="2:16" ht="30" hidden="1" customHeight="1">
      <c r="B10" s="923"/>
      <c r="C10" s="924"/>
      <c r="D10" s="924"/>
      <c r="E10" s="924"/>
      <c r="F10" s="925"/>
      <c r="G10" s="925"/>
      <c r="H10" s="295"/>
      <c r="I10" s="293"/>
      <c r="J10" s="294"/>
      <c r="K10" s="292"/>
      <c r="L10" s="294"/>
      <c r="M10" s="18"/>
      <c r="N10" s="18"/>
      <c r="O10" s="20"/>
      <c r="P10" s="55"/>
    </row>
    <row r="11" spans="2:16" ht="31.5" hidden="1" customHeight="1">
      <c r="B11" s="923"/>
      <c r="C11" s="924"/>
      <c r="D11" s="924"/>
      <c r="E11" s="924"/>
      <c r="F11" s="925"/>
      <c r="G11" s="925"/>
      <c r="H11" s="295"/>
      <c r="I11" s="293"/>
      <c r="J11" s="294"/>
      <c r="K11" s="292"/>
      <c r="L11" s="294"/>
      <c r="M11" s="18"/>
      <c r="N11" s="18"/>
      <c r="O11" s="20"/>
      <c r="P11" s="55"/>
    </row>
    <row r="12" spans="2:16" ht="24.95" hidden="1" customHeight="1">
      <c r="B12" s="923"/>
      <c r="C12" s="924"/>
      <c r="D12" s="924"/>
      <c r="E12" s="924"/>
      <c r="F12" s="925"/>
      <c r="G12" s="925"/>
      <c r="H12" s="292"/>
      <c r="I12" s="293"/>
      <c r="J12" s="294"/>
      <c r="K12" s="292"/>
      <c r="L12" s="292"/>
      <c r="M12" s="18"/>
      <c r="N12" s="18"/>
      <c r="O12" s="20"/>
      <c r="P12" s="55"/>
    </row>
    <row r="13" spans="2:16" ht="24.95" hidden="1" customHeight="1" thickBot="1">
      <c r="B13" s="923"/>
      <c r="C13" s="924"/>
      <c r="D13" s="924"/>
      <c r="E13" s="924"/>
      <c r="F13" s="925"/>
      <c r="G13" s="925"/>
      <c r="H13" s="292"/>
      <c r="I13" s="293"/>
      <c r="J13" s="294"/>
      <c r="K13" s="292"/>
      <c r="L13" s="294"/>
      <c r="M13" s="18"/>
      <c r="N13" s="18"/>
      <c r="O13" s="20"/>
      <c r="P13" s="55"/>
    </row>
    <row r="14" spans="2:16" ht="38.1" customHeight="1" thickBot="1">
      <c r="B14" s="868" t="s">
        <v>48</v>
      </c>
      <c r="C14" s="869"/>
      <c r="D14" s="869"/>
      <c r="E14" s="869"/>
      <c r="F14" s="869"/>
      <c r="G14" s="869"/>
      <c r="H14" s="869"/>
      <c r="I14" s="870">
        <f>2554.94+L5*84.01+L6*84.01</f>
        <v>6335.39</v>
      </c>
      <c r="J14" s="870"/>
      <c r="K14" s="870"/>
      <c r="L14" s="870"/>
      <c r="M14" s="56"/>
      <c r="N14" s="268"/>
      <c r="O14" s="89"/>
      <c r="P14" s="59"/>
    </row>
    <row r="15" spans="2:16" ht="366" customHeight="1" thickTop="1">
      <c r="B15" s="905" t="s">
        <v>550</v>
      </c>
      <c r="C15" s="906"/>
      <c r="D15" s="906"/>
      <c r="E15" s="906"/>
      <c r="F15" s="906"/>
      <c r="G15" s="906"/>
      <c r="H15" s="906"/>
      <c r="I15" s="906"/>
      <c r="J15" s="906"/>
      <c r="K15" s="906"/>
      <c r="L15" s="906"/>
      <c r="M15" s="906"/>
      <c r="N15" s="906"/>
    </row>
    <row r="16" spans="2:16" ht="27.75" customHeight="1">
      <c r="B16" s="907" t="s">
        <v>477</v>
      </c>
      <c r="C16" s="890"/>
      <c r="D16" s="890"/>
      <c r="E16" s="890"/>
      <c r="F16" s="890"/>
      <c r="G16" s="890"/>
      <c r="H16" s="890"/>
      <c r="I16" s="890"/>
      <c r="J16" s="890"/>
      <c r="K16" s="890"/>
      <c r="L16" s="890"/>
      <c r="M16" s="890"/>
      <c r="N16" s="890"/>
    </row>
    <row r="17" spans="2:12" ht="20.100000000000001" customHeight="1">
      <c r="B17" s="29" t="s">
        <v>23</v>
      </c>
      <c r="C17" s="29"/>
      <c r="D17" s="29"/>
      <c r="E17" s="29"/>
      <c r="F17" s="29" t="s">
        <v>17</v>
      </c>
      <c r="G17" s="29"/>
      <c r="H17" s="29"/>
      <c r="I17" s="29"/>
      <c r="J17" s="29"/>
      <c r="K17" s="29"/>
      <c r="L17" s="29"/>
    </row>
    <row r="18" spans="2:12" ht="20.100000000000001" customHeight="1">
      <c r="B18" s="29" t="s">
        <v>18</v>
      </c>
      <c r="C18" s="29"/>
      <c r="D18" s="29"/>
      <c r="E18" s="29"/>
      <c r="F18" s="29" t="s">
        <v>18</v>
      </c>
      <c r="G18" s="29"/>
      <c r="H18" s="29"/>
      <c r="I18" s="29"/>
      <c r="J18" s="29"/>
      <c r="K18" s="29"/>
      <c r="L18" s="29"/>
    </row>
  </sheetData>
  <mergeCells count="14">
    <mergeCell ref="B14:H14"/>
    <mergeCell ref="I14:L14"/>
    <mergeCell ref="B16:N16"/>
    <mergeCell ref="B15:N15"/>
    <mergeCell ref="M5:M6"/>
    <mergeCell ref="B1:N1"/>
    <mergeCell ref="B2:N2"/>
    <mergeCell ref="B5:B13"/>
    <mergeCell ref="C5:C13"/>
    <mergeCell ref="D5:D13"/>
    <mergeCell ref="E5:E13"/>
    <mergeCell ref="F5:F13"/>
    <mergeCell ref="G5:G13"/>
    <mergeCell ref="B3:N3"/>
  </mergeCells>
  <pageMargins left="0.19" right="0.15" top="0.21" bottom="0.28000000000000003" header="0.3" footer="0.3"/>
  <pageSetup scale="7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P22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H14" sqref="H14:J14"/>
    </sheetView>
  </sheetViews>
  <sheetFormatPr defaultRowHeight="15"/>
  <cols>
    <col min="1" max="1" width="1.140625" customWidth="1"/>
    <col min="2" max="2" width="6.28515625" customWidth="1"/>
    <col min="3" max="3" width="13.85546875" customWidth="1"/>
    <col min="4" max="4" width="11.85546875" customWidth="1"/>
    <col min="5" max="5" width="14.28515625" customWidth="1"/>
    <col min="6" max="6" width="14.85546875" customWidth="1"/>
    <col min="7" max="7" width="12.28515625" customWidth="1"/>
    <col min="8" max="8" width="26.7109375" customWidth="1"/>
    <col min="9" max="9" width="17" customWidth="1"/>
    <col min="10" max="10" width="7.28515625" customWidth="1"/>
    <col min="11" max="11" width="11.7109375" customWidth="1"/>
    <col min="12" max="12" width="6.42578125" customWidth="1"/>
    <col min="13" max="13" width="12" customWidth="1"/>
    <col min="14" max="14" width="30.85546875" customWidth="1"/>
    <col min="15" max="15" width="13.14062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7" customHeight="1">
      <c r="B2" s="861" t="s">
        <v>1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6" ht="9" customHeight="1" thickBo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</row>
    <row r="4" spans="2:16" s="6" customFormat="1" ht="39.95000000000000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2:16" ht="24.95" customHeight="1">
      <c r="B5" s="929">
        <v>1</v>
      </c>
      <c r="C5" s="930" t="s">
        <v>19</v>
      </c>
      <c r="D5" s="931" t="s">
        <v>20</v>
      </c>
      <c r="E5" s="931">
        <v>150820</v>
      </c>
      <c r="F5" s="932">
        <v>40491</v>
      </c>
      <c r="G5" s="932">
        <v>40494</v>
      </c>
      <c r="H5" s="389" t="s">
        <v>655</v>
      </c>
      <c r="I5" s="390">
        <v>3374500140</v>
      </c>
      <c r="J5" s="391">
        <v>1</v>
      </c>
      <c r="K5" s="389"/>
      <c r="L5" s="391"/>
      <c r="M5" s="933" t="s">
        <v>582</v>
      </c>
      <c r="N5" s="392" t="s">
        <v>670</v>
      </c>
      <c r="O5" s="390">
        <v>3454205200</v>
      </c>
      <c r="P5" s="393">
        <v>16</v>
      </c>
    </row>
    <row r="6" spans="2:16" ht="24.95" customHeight="1">
      <c r="B6" s="929"/>
      <c r="C6" s="930"/>
      <c r="D6" s="931"/>
      <c r="E6" s="931"/>
      <c r="F6" s="932"/>
      <c r="G6" s="932"/>
      <c r="H6" s="389" t="s">
        <v>656</v>
      </c>
      <c r="I6" s="390">
        <v>3374500130</v>
      </c>
      <c r="J6" s="391">
        <v>1</v>
      </c>
      <c r="K6" s="389"/>
      <c r="L6" s="391"/>
      <c r="M6" s="934"/>
      <c r="N6" s="394"/>
      <c r="O6" s="395"/>
      <c r="P6" s="396"/>
    </row>
    <row r="7" spans="2:16" ht="24.95" customHeight="1">
      <c r="B7" s="929"/>
      <c r="C7" s="930"/>
      <c r="D7" s="931"/>
      <c r="E7" s="931"/>
      <c r="F7" s="932"/>
      <c r="G7" s="932"/>
      <c r="H7" s="397" t="s">
        <v>657</v>
      </c>
      <c r="I7" s="390">
        <v>3433400131</v>
      </c>
      <c r="J7" s="391">
        <v>1</v>
      </c>
      <c r="K7" s="389"/>
      <c r="L7" s="391"/>
      <c r="M7" s="934"/>
      <c r="N7" s="394"/>
      <c r="O7" s="395"/>
      <c r="P7" s="396"/>
    </row>
    <row r="8" spans="2:16" ht="24.95" customHeight="1">
      <c r="B8" s="929"/>
      <c r="C8" s="930"/>
      <c r="D8" s="931"/>
      <c r="E8" s="931"/>
      <c r="F8" s="932"/>
      <c r="G8" s="932"/>
      <c r="H8" s="397" t="s">
        <v>662</v>
      </c>
      <c r="I8" s="390" t="s">
        <v>646</v>
      </c>
      <c r="J8" s="391">
        <v>1</v>
      </c>
      <c r="K8" s="389"/>
      <c r="L8" s="391"/>
      <c r="M8" s="934"/>
      <c r="N8" s="394"/>
      <c r="O8" s="395"/>
      <c r="P8" s="396"/>
    </row>
    <row r="9" spans="2:16" ht="22.5" customHeight="1">
      <c r="B9" s="929"/>
      <c r="C9" s="930"/>
      <c r="D9" s="931"/>
      <c r="E9" s="931"/>
      <c r="F9" s="932"/>
      <c r="G9" s="932"/>
      <c r="H9" s="397" t="s">
        <v>658</v>
      </c>
      <c r="I9" s="390">
        <v>3414200890</v>
      </c>
      <c r="J9" s="391">
        <v>1</v>
      </c>
      <c r="K9" s="389"/>
      <c r="L9" s="391"/>
      <c r="M9" s="934"/>
      <c r="N9" s="394"/>
      <c r="O9" s="395"/>
      <c r="P9" s="396"/>
    </row>
    <row r="10" spans="2:16" ht="24.95" customHeight="1">
      <c r="B10" s="929"/>
      <c r="C10" s="930"/>
      <c r="D10" s="931"/>
      <c r="E10" s="931"/>
      <c r="F10" s="932"/>
      <c r="G10" s="932"/>
      <c r="H10" s="389" t="s">
        <v>660</v>
      </c>
      <c r="I10" s="390">
        <v>342312030</v>
      </c>
      <c r="J10" s="391">
        <v>1</v>
      </c>
      <c r="K10" s="389"/>
      <c r="L10" s="391"/>
      <c r="M10" s="934"/>
      <c r="N10" s="394"/>
      <c r="O10" s="395"/>
      <c r="P10" s="396"/>
    </row>
    <row r="11" spans="2:16" ht="30" customHeight="1">
      <c r="B11" s="929"/>
      <c r="C11" s="930"/>
      <c r="D11" s="931"/>
      <c r="E11" s="931"/>
      <c r="F11" s="932"/>
      <c r="G11" s="932"/>
      <c r="H11" s="397" t="s">
        <v>659</v>
      </c>
      <c r="I11" s="390">
        <v>3423012040</v>
      </c>
      <c r="J11" s="391">
        <v>1</v>
      </c>
      <c r="K11" s="389" t="s">
        <v>620</v>
      </c>
      <c r="L11" s="391">
        <v>3</v>
      </c>
      <c r="M11" s="934"/>
      <c r="N11" s="394"/>
      <c r="O11" s="395"/>
      <c r="P11" s="396"/>
    </row>
    <row r="12" spans="2:16" ht="31.5" customHeight="1">
      <c r="B12" s="929"/>
      <c r="C12" s="930"/>
      <c r="D12" s="931"/>
      <c r="E12" s="931"/>
      <c r="F12" s="932"/>
      <c r="G12" s="932"/>
      <c r="H12" s="397" t="s">
        <v>661</v>
      </c>
      <c r="I12" s="390">
        <v>3215300730</v>
      </c>
      <c r="J12" s="391">
        <v>1</v>
      </c>
      <c r="K12" s="389"/>
      <c r="L12" s="391"/>
      <c r="M12" s="934"/>
      <c r="N12" s="394"/>
      <c r="O12" s="395"/>
      <c r="P12" s="396"/>
    </row>
    <row r="13" spans="2:16" ht="24.95" customHeight="1">
      <c r="B13" s="929"/>
      <c r="C13" s="930"/>
      <c r="D13" s="931"/>
      <c r="E13" s="931"/>
      <c r="F13" s="932"/>
      <c r="G13" s="932"/>
      <c r="H13" s="397" t="s">
        <v>661</v>
      </c>
      <c r="I13" s="390">
        <v>3215300730</v>
      </c>
      <c r="J13" s="391">
        <v>1</v>
      </c>
      <c r="K13" s="389"/>
      <c r="L13" s="389"/>
      <c r="M13" s="934"/>
      <c r="N13" s="394"/>
      <c r="O13" s="395"/>
      <c r="P13" s="396"/>
    </row>
    <row r="14" spans="2:16" ht="28.5" customHeight="1">
      <c r="B14" s="929"/>
      <c r="C14" s="930"/>
      <c r="D14" s="931"/>
      <c r="E14" s="931"/>
      <c r="F14" s="932"/>
      <c r="G14" s="932"/>
      <c r="H14" s="397" t="s">
        <v>663</v>
      </c>
      <c r="I14" s="398" t="s">
        <v>639</v>
      </c>
      <c r="J14" s="399">
        <v>8</v>
      </c>
      <c r="K14" s="389"/>
      <c r="L14" s="391"/>
      <c r="M14" s="934"/>
      <c r="N14" s="389"/>
      <c r="O14" s="390"/>
      <c r="P14" s="393"/>
    </row>
    <row r="15" spans="2:16" ht="36.75" customHeight="1">
      <c r="B15" s="400"/>
      <c r="C15" s="401"/>
      <c r="D15" s="402"/>
      <c r="E15" s="402"/>
      <c r="F15" s="403"/>
      <c r="G15" s="403"/>
      <c r="H15" s="397" t="s">
        <v>674</v>
      </c>
      <c r="I15" s="390"/>
      <c r="J15" s="391"/>
      <c r="K15" s="389"/>
      <c r="L15" s="391"/>
      <c r="M15" s="934"/>
      <c r="N15" s="394"/>
      <c r="O15" s="395"/>
      <c r="P15" s="396"/>
    </row>
    <row r="16" spans="2:16" ht="36.75" customHeight="1">
      <c r="B16" s="415"/>
      <c r="C16" s="410"/>
      <c r="D16" s="411"/>
      <c r="E16" s="411"/>
      <c r="F16" s="412"/>
      <c r="G16" s="412"/>
      <c r="H16" s="397" t="s">
        <v>675</v>
      </c>
      <c r="I16" s="390" t="s">
        <v>677</v>
      </c>
      <c r="J16" s="382">
        <v>1</v>
      </c>
      <c r="K16" s="381"/>
      <c r="L16" s="382"/>
      <c r="M16" s="934"/>
      <c r="N16" s="384"/>
      <c r="O16" s="383"/>
      <c r="P16" s="385"/>
    </row>
    <row r="17" spans="2:16" ht="36.75" customHeight="1">
      <c r="B17" s="415"/>
      <c r="C17" s="410"/>
      <c r="D17" s="411"/>
      <c r="E17" s="411"/>
      <c r="F17" s="412"/>
      <c r="G17" s="412"/>
      <c r="H17" s="397" t="s">
        <v>676</v>
      </c>
      <c r="I17" s="390" t="s">
        <v>678</v>
      </c>
      <c r="J17" s="382">
        <v>1</v>
      </c>
      <c r="K17" s="381"/>
      <c r="L17" s="382"/>
      <c r="M17" s="935"/>
      <c r="N17" s="384"/>
      <c r="O17" s="383"/>
      <c r="P17" s="385"/>
    </row>
    <row r="18" spans="2:16" ht="36.75" hidden="1" customHeight="1">
      <c r="B18" s="388"/>
      <c r="C18" s="410"/>
      <c r="D18" s="411"/>
      <c r="E18" s="411"/>
      <c r="F18" s="412"/>
      <c r="G18" s="412"/>
      <c r="H18" s="413"/>
      <c r="I18" s="414"/>
      <c r="J18" s="382"/>
      <c r="K18" s="381"/>
      <c r="L18" s="382"/>
      <c r="M18" s="384"/>
      <c r="N18" s="384"/>
      <c r="O18" s="383"/>
      <c r="P18" s="385"/>
    </row>
    <row r="19" spans="2:16" ht="38.1" customHeight="1" thickBot="1">
      <c r="B19" s="926" t="s">
        <v>48</v>
      </c>
      <c r="C19" s="927"/>
      <c r="D19" s="927"/>
      <c r="E19" s="927"/>
      <c r="F19" s="927"/>
      <c r="G19" s="927"/>
      <c r="H19" s="927"/>
      <c r="I19" s="928">
        <f>2097.81+1028.78+160.09+1532.93+123.19+786.12+724.1+2363.1+2058.7+1502.49+6900+3*109.25+449.46*2</f>
        <v>20503.979999999996</v>
      </c>
      <c r="J19" s="928"/>
      <c r="K19" s="928"/>
      <c r="L19" s="928"/>
      <c r="M19" s="404"/>
      <c r="N19" s="405"/>
      <c r="O19" s="406"/>
      <c r="P19" s="407"/>
    </row>
    <row r="20" spans="2:16" ht="357" customHeight="1" thickTop="1">
      <c r="B20" s="905" t="s">
        <v>679</v>
      </c>
      <c r="C20" s="906"/>
      <c r="D20" s="906"/>
      <c r="E20" s="906"/>
      <c r="F20" s="906"/>
      <c r="G20" s="906"/>
      <c r="H20" s="906"/>
      <c r="I20" s="906"/>
      <c r="J20" s="906"/>
      <c r="K20" s="906"/>
      <c r="L20" s="906"/>
      <c r="M20" s="906"/>
      <c r="N20" s="906"/>
    </row>
    <row r="21" spans="2:16" ht="20.100000000000001" customHeight="1">
      <c r="B21" s="29" t="s">
        <v>23</v>
      </c>
      <c r="C21" s="29"/>
      <c r="D21" s="29"/>
      <c r="E21" s="29"/>
      <c r="F21" s="29" t="s">
        <v>17</v>
      </c>
      <c r="G21" s="29"/>
      <c r="H21" s="29"/>
      <c r="I21" s="29"/>
      <c r="J21" s="29"/>
      <c r="K21" s="29"/>
      <c r="L21" s="29"/>
    </row>
    <row r="22" spans="2:16" ht="20.100000000000001" customHeight="1">
      <c r="B22" s="29" t="s">
        <v>18</v>
      </c>
      <c r="C22" s="29"/>
      <c r="D22" s="29"/>
      <c r="E22" s="29"/>
      <c r="F22" s="29" t="s">
        <v>18</v>
      </c>
      <c r="G22" s="29"/>
      <c r="H22" s="29"/>
      <c r="I22" s="29"/>
      <c r="J22" s="29"/>
      <c r="K22" s="29"/>
      <c r="L22" s="29"/>
    </row>
  </sheetData>
  <mergeCells count="13">
    <mergeCell ref="B19:H19"/>
    <mergeCell ref="I19:L19"/>
    <mergeCell ref="B20:N20"/>
    <mergeCell ref="B1:N1"/>
    <mergeCell ref="B2:N2"/>
    <mergeCell ref="B3:L3"/>
    <mergeCell ref="B5:B14"/>
    <mergeCell ref="C5:C14"/>
    <mergeCell ref="D5:D14"/>
    <mergeCell ref="E5:E14"/>
    <mergeCell ref="F5:F14"/>
    <mergeCell ref="G5:G14"/>
    <mergeCell ref="M5:M17"/>
  </mergeCells>
  <pageMargins left="0.19" right="0.15" top="0.21" bottom="0.28000000000000003" header="0.3" footer="0.3"/>
  <pageSetup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FF00"/>
  </sheetPr>
  <dimension ref="B1:O15"/>
  <sheetViews>
    <sheetView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28515625" customWidth="1"/>
    <col min="3" max="3" width="13" customWidth="1"/>
    <col min="4" max="4" width="10.85546875" customWidth="1"/>
    <col min="5" max="5" width="13.42578125" customWidth="1"/>
    <col min="6" max="6" width="12.140625" customWidth="1"/>
    <col min="7" max="7" width="12.28515625" customWidth="1"/>
    <col min="8" max="8" width="25.42578125" customWidth="1"/>
    <col min="9" max="9" width="13.7109375" customWidth="1"/>
    <col min="10" max="10" width="6.28515625" customWidth="1"/>
    <col min="11" max="11" width="11.7109375" customWidth="1"/>
    <col min="12" max="12" width="6.42578125" customWidth="1"/>
    <col min="13" max="13" width="13.85546875" customWidth="1"/>
    <col min="14" max="14" width="42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</row>
    <row r="5" spans="2:15" s="6" customFormat="1" ht="39.950000000000003" customHeight="1" thickTop="1" thickBot="1">
      <c r="B5" s="1" t="s">
        <v>2</v>
      </c>
      <c r="C5" s="2" t="s">
        <v>3</v>
      </c>
      <c r="D5" s="3" t="s">
        <v>4</v>
      </c>
      <c r="E5" s="2" t="s">
        <v>5</v>
      </c>
      <c r="F5" s="2" t="s">
        <v>6</v>
      </c>
      <c r="G5" s="2" t="s">
        <v>7</v>
      </c>
      <c r="H5" s="3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4" t="s">
        <v>13</v>
      </c>
      <c r="N5" s="5" t="s">
        <v>14</v>
      </c>
    </row>
    <row r="6" spans="2:15" ht="24.95" customHeight="1">
      <c r="B6" s="851">
        <v>1</v>
      </c>
      <c r="C6" s="854" t="s">
        <v>19</v>
      </c>
      <c r="D6" s="854" t="s">
        <v>21</v>
      </c>
      <c r="E6" s="854">
        <v>135627</v>
      </c>
      <c r="F6" s="838">
        <v>40118</v>
      </c>
      <c r="G6" s="838">
        <v>40120</v>
      </c>
      <c r="H6" s="7" t="s">
        <v>41</v>
      </c>
      <c r="I6" s="8">
        <v>3454205200</v>
      </c>
      <c r="J6" s="9">
        <v>16</v>
      </c>
      <c r="K6" s="17" t="s">
        <v>32</v>
      </c>
      <c r="L6" s="16">
        <v>22</v>
      </c>
      <c r="M6" s="10" t="s">
        <v>43</v>
      </c>
      <c r="N6" s="41" t="s">
        <v>29</v>
      </c>
    </row>
    <row r="7" spans="2:15" ht="24.95" customHeight="1">
      <c r="B7" s="852"/>
      <c r="C7" s="855"/>
      <c r="D7" s="855"/>
      <c r="E7" s="855"/>
      <c r="F7" s="839"/>
      <c r="G7" s="839"/>
      <c r="H7" s="14" t="s">
        <v>42</v>
      </c>
      <c r="I7" s="15">
        <v>3454105010</v>
      </c>
      <c r="J7" s="16">
        <v>8</v>
      </c>
      <c r="K7" s="17" t="s">
        <v>33</v>
      </c>
      <c r="L7" s="16">
        <v>41</v>
      </c>
      <c r="M7" s="18" t="s">
        <v>58</v>
      </c>
      <c r="N7" s="42" t="s">
        <v>30</v>
      </c>
    </row>
    <row r="8" spans="2:15" ht="24.95" customHeight="1">
      <c r="B8" s="852"/>
      <c r="C8" s="855"/>
      <c r="D8" s="855"/>
      <c r="E8" s="855"/>
      <c r="F8" s="839"/>
      <c r="G8" s="839"/>
      <c r="H8" s="14" t="s">
        <v>40</v>
      </c>
      <c r="I8" s="15">
        <v>1034330</v>
      </c>
      <c r="J8" s="16">
        <v>2</v>
      </c>
      <c r="K8" s="17" t="s">
        <v>38</v>
      </c>
      <c r="L8" s="16">
        <v>85</v>
      </c>
      <c r="M8" s="18" t="s">
        <v>36</v>
      </c>
      <c r="N8" s="19"/>
    </row>
    <row r="9" spans="2:15" ht="24.95" customHeight="1">
      <c r="B9" s="858"/>
      <c r="C9" s="859"/>
      <c r="D9" s="859"/>
      <c r="E9" s="859"/>
      <c r="F9" s="840"/>
      <c r="G9" s="840"/>
      <c r="H9" s="14"/>
      <c r="I9" s="15"/>
      <c r="J9" s="16"/>
      <c r="K9" s="17" t="s">
        <v>34</v>
      </c>
      <c r="L9" s="16">
        <v>8</v>
      </c>
      <c r="M9" s="18"/>
      <c r="N9" s="19"/>
    </row>
    <row r="10" spans="2:15" ht="24.95" customHeight="1" thickBot="1">
      <c r="B10" s="22"/>
      <c r="C10" s="23"/>
      <c r="D10" s="23"/>
      <c r="E10" s="24"/>
      <c r="F10" s="25"/>
      <c r="G10" s="25"/>
      <c r="H10" s="26"/>
      <c r="I10" s="26"/>
      <c r="J10" s="27"/>
      <c r="K10" s="26"/>
      <c r="L10" s="26"/>
      <c r="M10" s="24"/>
      <c r="N10" s="28"/>
    </row>
    <row r="11" spans="2:15" ht="38.1" customHeight="1" thickTop="1" thickBot="1">
      <c r="B11" s="843" t="s">
        <v>48</v>
      </c>
      <c r="C11" s="844"/>
      <c r="D11" s="844"/>
      <c r="E11" s="844"/>
      <c r="F11" s="844"/>
      <c r="G11" s="844"/>
      <c r="H11" s="844"/>
      <c r="I11" s="849">
        <f>29391.2+7080+1462+L6*84.01+L7*84.01+L8*77.98+L9*109.25</f>
        <v>50728.130000000005</v>
      </c>
      <c r="J11" s="847"/>
      <c r="K11" s="847"/>
      <c r="L11" s="848"/>
      <c r="M11" s="43"/>
      <c r="N11" s="46"/>
    </row>
    <row r="12" spans="2:15" ht="24.95" customHeight="1" thickTop="1">
      <c r="B12" s="891" t="s">
        <v>15</v>
      </c>
      <c r="C12" s="891"/>
      <c r="D12" s="891"/>
      <c r="E12" s="891"/>
      <c r="F12" s="891"/>
      <c r="G12" s="891"/>
      <c r="H12" s="891"/>
      <c r="I12" s="891"/>
      <c r="J12" s="891"/>
      <c r="K12" s="891"/>
      <c r="L12" s="891"/>
      <c r="M12" s="891"/>
      <c r="N12" s="891"/>
    </row>
    <row r="13" spans="2:15" ht="24.95" customHeight="1">
      <c r="B13" s="890" t="s">
        <v>16</v>
      </c>
      <c r="C13" s="890"/>
      <c r="D13" s="890"/>
      <c r="E13" s="890"/>
      <c r="F13" s="890"/>
      <c r="G13" s="890"/>
      <c r="H13" s="890"/>
      <c r="I13" s="890"/>
      <c r="J13" s="890"/>
      <c r="K13" s="890"/>
      <c r="L13" s="890"/>
      <c r="M13" s="890"/>
      <c r="N13" s="890"/>
    </row>
    <row r="14" spans="2:15" ht="20.100000000000001" customHeight="1">
      <c r="B14" s="38" t="s">
        <v>23</v>
      </c>
      <c r="C14" s="38"/>
      <c r="D14" s="38"/>
      <c r="E14" s="38"/>
      <c r="F14" s="38" t="s">
        <v>17</v>
      </c>
      <c r="G14" s="38"/>
      <c r="H14" s="38"/>
      <c r="I14" s="38"/>
      <c r="J14" s="38"/>
      <c r="K14" s="38"/>
      <c r="L14" s="38"/>
      <c r="M14" s="39"/>
      <c r="N14" s="39"/>
    </row>
    <row r="15" spans="2:15" ht="20.100000000000001" customHeight="1">
      <c r="B15" s="38" t="s">
        <v>18</v>
      </c>
      <c r="C15" s="38"/>
      <c r="D15" s="38"/>
      <c r="E15" s="38"/>
      <c r="F15" s="38" t="s">
        <v>18</v>
      </c>
      <c r="G15" s="38"/>
      <c r="H15" s="38"/>
      <c r="I15" s="38"/>
      <c r="J15" s="38"/>
      <c r="K15" s="38"/>
      <c r="L15" s="38"/>
      <c r="M15" s="39"/>
      <c r="N15" s="39"/>
    </row>
  </sheetData>
  <mergeCells count="14">
    <mergeCell ref="B13:N13"/>
    <mergeCell ref="B6:B9"/>
    <mergeCell ref="C6:C9"/>
    <mergeCell ref="D6:D9"/>
    <mergeCell ref="E6:E9"/>
    <mergeCell ref="F6:F9"/>
    <mergeCell ref="G6:G9"/>
    <mergeCell ref="B11:H11"/>
    <mergeCell ref="I11:L11"/>
    <mergeCell ref="B1:N1"/>
    <mergeCell ref="B2:N2"/>
    <mergeCell ref="B3:N3"/>
    <mergeCell ref="B4:L4"/>
    <mergeCell ref="B12:N12"/>
  </mergeCells>
  <pageMargins left="0.19" right="0.15" top="0.21" bottom="0.28000000000000003" header="0.3" footer="0.3"/>
  <pageSetup scale="7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5"/>
  <sheetViews>
    <sheetView workbookViewId="0">
      <pane xSplit="3" ySplit="5" topLeftCell="D9" activePane="bottomRight" state="frozen"/>
      <selection activeCell="B18" sqref="B18"/>
      <selection pane="topRight" activeCell="B18" sqref="B18"/>
      <selection pane="bottomLeft" activeCell="B18" sqref="B18"/>
      <selection pane="bottomRight" activeCell="G5" sqref="G5"/>
    </sheetView>
  </sheetViews>
  <sheetFormatPr defaultRowHeight="15"/>
  <cols>
    <col min="1" max="1" width="9.28515625" hidden="1" customWidth="1"/>
    <col min="2" max="2" width="5.42578125" customWidth="1"/>
    <col min="3" max="3" width="12.85546875" customWidth="1"/>
    <col min="4" max="4" width="10.85546875" customWidth="1"/>
    <col min="5" max="5" width="13.42578125" customWidth="1"/>
    <col min="6" max="6" width="10.140625" customWidth="1"/>
    <col min="7" max="7" width="11.42578125" customWidth="1"/>
    <col min="8" max="8" width="26.85546875" customWidth="1"/>
    <col min="9" max="9" width="14.85546875" customWidth="1"/>
    <col min="10" max="10" width="6.28515625" customWidth="1"/>
    <col min="11" max="11" width="10.85546875" customWidth="1"/>
    <col min="12" max="12" width="6.42578125" customWidth="1"/>
    <col min="13" max="13" width="13.140625" customWidth="1"/>
    <col min="14" max="14" width="21.85546875" customWidth="1"/>
    <col min="15" max="15" width="13.425781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211"/>
    </row>
    <row r="3" spans="1:16" ht="27" customHeigh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O3" s="861"/>
    </row>
    <row r="4" spans="1:16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359"/>
    </row>
    <row r="5" spans="1:16" s="6" customFormat="1" ht="76.5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4" t="s">
        <v>9</v>
      </c>
      <c r="P5" s="36" t="s">
        <v>10</v>
      </c>
    </row>
    <row r="6" spans="1:16" ht="24.95" customHeight="1">
      <c r="B6" s="941">
        <v>1</v>
      </c>
      <c r="C6" s="942" t="s">
        <v>19</v>
      </c>
      <c r="D6" s="942" t="s">
        <v>22</v>
      </c>
      <c r="E6" s="942">
        <v>148927</v>
      </c>
      <c r="F6" s="943">
        <v>40494</v>
      </c>
      <c r="G6" s="943">
        <v>40496</v>
      </c>
      <c r="H6" s="445" t="s">
        <v>647</v>
      </c>
      <c r="I6" s="443">
        <v>3433400131</v>
      </c>
      <c r="J6" s="444">
        <v>1</v>
      </c>
      <c r="K6" s="442" t="s">
        <v>568</v>
      </c>
      <c r="L6" s="444">
        <v>3</v>
      </c>
      <c r="M6" s="944" t="s">
        <v>582</v>
      </c>
      <c r="N6" s="423" t="s">
        <v>708</v>
      </c>
      <c r="O6" s="424"/>
      <c r="P6" s="458">
        <v>1</v>
      </c>
    </row>
    <row r="7" spans="1:16" ht="24.95" customHeight="1">
      <c r="B7" s="941"/>
      <c r="C7" s="942"/>
      <c r="D7" s="942"/>
      <c r="E7" s="942"/>
      <c r="F7" s="943"/>
      <c r="G7" s="943"/>
      <c r="H7" s="445" t="s">
        <v>705</v>
      </c>
      <c r="I7" s="443" t="s">
        <v>646</v>
      </c>
      <c r="J7" s="444">
        <v>1</v>
      </c>
      <c r="K7" s="442"/>
      <c r="L7" s="444"/>
      <c r="M7" s="944"/>
      <c r="N7" s="426" t="s">
        <v>670</v>
      </c>
      <c r="O7" s="443">
        <v>3454205200</v>
      </c>
      <c r="P7" s="458">
        <v>16</v>
      </c>
    </row>
    <row r="8" spans="1:16" ht="24.95" customHeight="1">
      <c r="B8" s="941"/>
      <c r="C8" s="942"/>
      <c r="D8" s="942"/>
      <c r="E8" s="942"/>
      <c r="F8" s="943"/>
      <c r="G8" s="943"/>
      <c r="H8" s="445" t="s">
        <v>175</v>
      </c>
      <c r="I8" s="443">
        <v>3423004920</v>
      </c>
      <c r="J8" s="444">
        <v>2</v>
      </c>
      <c r="K8" s="442"/>
      <c r="L8" s="444"/>
      <c r="M8" s="944"/>
      <c r="N8" s="442"/>
      <c r="O8" s="424"/>
      <c r="P8" s="436"/>
    </row>
    <row r="9" spans="1:16" ht="35.25" customHeight="1">
      <c r="B9" s="941"/>
      <c r="C9" s="942"/>
      <c r="D9" s="942"/>
      <c r="E9" s="942"/>
      <c r="F9" s="943"/>
      <c r="G9" s="943"/>
      <c r="H9" s="445" t="s">
        <v>706</v>
      </c>
      <c r="I9" s="443">
        <v>3443100640</v>
      </c>
      <c r="J9" s="444">
        <v>1</v>
      </c>
      <c r="K9" s="442"/>
      <c r="L9" s="444"/>
      <c r="M9" s="944"/>
      <c r="N9" s="423"/>
      <c r="O9" s="424"/>
      <c r="P9" s="436"/>
    </row>
    <row r="10" spans="1:16" ht="24.95" customHeight="1">
      <c r="B10" s="437"/>
      <c r="C10" s="450"/>
      <c r="D10" s="450"/>
      <c r="E10" s="423"/>
      <c r="F10" s="451"/>
      <c r="G10" s="451"/>
      <c r="H10" s="442" t="s">
        <v>219</v>
      </c>
      <c r="I10" s="455">
        <v>3840000030</v>
      </c>
      <c r="J10" s="444">
        <v>1</v>
      </c>
      <c r="K10" s="442"/>
      <c r="L10" s="442"/>
      <c r="M10" s="944"/>
      <c r="N10" s="456"/>
      <c r="O10" s="424"/>
      <c r="P10" s="436"/>
    </row>
    <row r="11" spans="1:16" ht="24.95" customHeight="1">
      <c r="B11" s="437"/>
      <c r="C11" s="450"/>
      <c r="D11" s="450"/>
      <c r="E11" s="423"/>
      <c r="F11" s="451"/>
      <c r="G11" s="451"/>
      <c r="H11" s="442" t="s">
        <v>707</v>
      </c>
      <c r="I11" s="455">
        <v>3863500320</v>
      </c>
      <c r="J11" s="444">
        <v>1</v>
      </c>
      <c r="K11" s="442"/>
      <c r="L11" s="442"/>
      <c r="M11" s="944"/>
      <c r="N11" s="456"/>
      <c r="O11" s="424"/>
      <c r="P11" s="436"/>
    </row>
    <row r="12" spans="1:16" ht="38.1" customHeight="1" thickBot="1">
      <c r="B12" s="938" t="s">
        <v>48</v>
      </c>
      <c r="C12" s="939"/>
      <c r="D12" s="939"/>
      <c r="E12" s="939"/>
      <c r="F12" s="939"/>
      <c r="G12" s="939"/>
      <c r="H12" s="939"/>
      <c r="I12" s="940">
        <f>L6*122.28+160.1+1532.94+1406.98+59.8+462.6+1013.75</f>
        <v>5003.01</v>
      </c>
      <c r="J12" s="940"/>
      <c r="K12" s="940"/>
      <c r="L12" s="940"/>
      <c r="M12" s="457"/>
      <c r="N12" s="439"/>
      <c r="O12" s="440"/>
      <c r="P12" s="441"/>
    </row>
    <row r="13" spans="1:16" ht="409.6" customHeight="1" thickTop="1">
      <c r="A13" s="936" t="s">
        <v>709</v>
      </c>
      <c r="B13" s="937"/>
      <c r="C13" s="937"/>
      <c r="D13" s="937"/>
      <c r="E13" s="937"/>
      <c r="F13" s="937"/>
      <c r="G13" s="937"/>
      <c r="H13" s="937"/>
      <c r="I13" s="937"/>
      <c r="J13" s="937"/>
      <c r="K13" s="937"/>
      <c r="L13" s="937"/>
      <c r="M13" s="937"/>
      <c r="N13" s="937"/>
    </row>
    <row r="14" spans="1:16" ht="25.5" customHeight="1">
      <c r="B14" s="29" t="s">
        <v>23</v>
      </c>
      <c r="C14" s="29"/>
      <c r="D14" s="29"/>
      <c r="E14" s="29"/>
      <c r="F14" s="29" t="s">
        <v>17</v>
      </c>
      <c r="G14" s="29"/>
      <c r="H14" s="29"/>
      <c r="I14" s="29"/>
      <c r="J14" s="29"/>
      <c r="K14" s="29"/>
      <c r="M14" s="29"/>
    </row>
    <row r="15" spans="1:16" ht="34.5" customHeight="1">
      <c r="B15" s="29" t="s">
        <v>18</v>
      </c>
      <c r="C15" s="29"/>
      <c r="D15" s="29"/>
      <c r="E15" s="29"/>
      <c r="F15" s="29" t="s">
        <v>18</v>
      </c>
      <c r="G15" s="29"/>
      <c r="H15" s="29"/>
      <c r="I15" s="29"/>
      <c r="J15" s="29"/>
      <c r="K15" s="29"/>
      <c r="M15" s="29"/>
    </row>
  </sheetData>
  <mergeCells count="14">
    <mergeCell ref="B1:O1"/>
    <mergeCell ref="B2:O2"/>
    <mergeCell ref="B3:O3"/>
    <mergeCell ref="B4:L4"/>
    <mergeCell ref="A13:N13"/>
    <mergeCell ref="B12:H12"/>
    <mergeCell ref="I12:L12"/>
    <mergeCell ref="B6:B9"/>
    <mergeCell ref="C6:C9"/>
    <mergeCell ref="D6:D9"/>
    <mergeCell ref="E6:E9"/>
    <mergeCell ref="F6:F9"/>
    <mergeCell ref="G6:G9"/>
    <mergeCell ref="M6:M11"/>
  </mergeCells>
  <pageMargins left="0.19" right="0.15" top="0.15" bottom="0.19" header="0.16" footer="0.14000000000000001"/>
  <pageSetup scale="7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5"/>
  <sheetViews>
    <sheetView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M6" sqref="M6:M11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0.42578125" customWidth="1"/>
    <col min="7" max="7" width="12.42578125" customWidth="1"/>
    <col min="8" max="8" width="27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4.28515625" customWidth="1"/>
    <col min="14" max="14" width="25.140625" customWidth="1"/>
    <col min="15" max="15" width="16.140625" bestFit="1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211"/>
    </row>
    <row r="3" spans="1:16" ht="27" customHeigh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O3" s="861"/>
    </row>
    <row r="4" spans="1:16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569"/>
    </row>
    <row r="5" spans="1:16" s="6" customFormat="1" ht="60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726</v>
      </c>
      <c r="N5" s="34" t="s">
        <v>14</v>
      </c>
      <c r="O5" s="34" t="s">
        <v>9</v>
      </c>
      <c r="P5" s="36" t="s">
        <v>10</v>
      </c>
    </row>
    <row r="6" spans="1:16" ht="24.95" customHeight="1">
      <c r="B6" s="863">
        <v>1</v>
      </c>
      <c r="C6" s="948" t="s">
        <v>19</v>
      </c>
      <c r="D6" s="948" t="s">
        <v>767</v>
      </c>
      <c r="E6" s="948">
        <v>192878</v>
      </c>
      <c r="F6" s="954">
        <v>40501</v>
      </c>
      <c r="G6" s="954">
        <v>40506</v>
      </c>
      <c r="H6" s="566" t="s">
        <v>769</v>
      </c>
      <c r="I6" s="567" t="s">
        <v>646</v>
      </c>
      <c r="J6" s="567">
        <v>1</v>
      </c>
      <c r="K6" s="579" t="s">
        <v>437</v>
      </c>
      <c r="L6" s="580">
        <v>40</v>
      </c>
      <c r="M6" s="951" t="s">
        <v>727</v>
      </c>
      <c r="N6" s="566" t="s">
        <v>776</v>
      </c>
      <c r="O6" s="567" t="s">
        <v>775</v>
      </c>
      <c r="P6" s="582">
        <v>1</v>
      </c>
    </row>
    <row r="7" spans="1:16" ht="24.95" customHeight="1">
      <c r="B7" s="852"/>
      <c r="C7" s="949"/>
      <c r="D7" s="949"/>
      <c r="E7" s="949"/>
      <c r="F7" s="955"/>
      <c r="G7" s="955"/>
      <c r="H7" s="566" t="s">
        <v>770</v>
      </c>
      <c r="I7" s="567">
        <v>3761001250</v>
      </c>
      <c r="J7" s="567">
        <v>1</v>
      </c>
      <c r="K7" s="579" t="s">
        <v>523</v>
      </c>
      <c r="L7" s="580">
        <v>20</v>
      </c>
      <c r="M7" s="952"/>
      <c r="N7" s="498"/>
      <c r="O7" s="514"/>
      <c r="P7" s="568"/>
    </row>
    <row r="8" spans="1:16" ht="33.75" customHeight="1">
      <c r="B8" s="852"/>
      <c r="C8" s="949"/>
      <c r="D8" s="949"/>
      <c r="E8" s="949"/>
      <c r="F8" s="955"/>
      <c r="G8" s="955"/>
      <c r="H8" s="566" t="s">
        <v>773</v>
      </c>
      <c r="I8" s="566" t="s">
        <v>774</v>
      </c>
      <c r="J8" s="567">
        <v>1</v>
      </c>
      <c r="K8" s="505"/>
      <c r="L8" s="504"/>
      <c r="M8" s="952"/>
      <c r="N8" s="506"/>
      <c r="O8" s="509"/>
      <c r="P8" s="510"/>
    </row>
    <row r="9" spans="1:16" ht="33.75" customHeight="1">
      <c r="B9" s="852"/>
      <c r="C9" s="949"/>
      <c r="D9" s="949"/>
      <c r="E9" s="949"/>
      <c r="F9" s="955"/>
      <c r="G9" s="955"/>
      <c r="H9" s="577" t="s">
        <v>771</v>
      </c>
      <c r="I9" s="575">
        <v>3454105010</v>
      </c>
      <c r="J9" s="575">
        <v>4</v>
      </c>
      <c r="K9" s="572"/>
      <c r="L9" s="573"/>
      <c r="M9" s="952"/>
      <c r="N9" s="578"/>
      <c r="O9" s="571"/>
      <c r="P9" s="542"/>
    </row>
    <row r="10" spans="1:16" ht="35.25" customHeight="1">
      <c r="B10" s="852"/>
      <c r="C10" s="949"/>
      <c r="D10" s="949"/>
      <c r="E10" s="949"/>
      <c r="F10" s="955"/>
      <c r="G10" s="955"/>
      <c r="H10" s="495" t="s">
        <v>771</v>
      </c>
      <c r="I10" s="575">
        <v>3454105020</v>
      </c>
      <c r="J10" s="575">
        <v>4</v>
      </c>
      <c r="K10" s="505"/>
      <c r="L10" s="504"/>
      <c r="M10" s="952"/>
      <c r="N10" s="506"/>
      <c r="O10" s="509"/>
      <c r="P10" s="510"/>
    </row>
    <row r="11" spans="1:16" ht="24.95" customHeight="1">
      <c r="B11" s="858"/>
      <c r="C11" s="950"/>
      <c r="D11" s="950"/>
      <c r="E11" s="950"/>
      <c r="F11" s="956"/>
      <c r="G11" s="956"/>
      <c r="H11" s="392" t="s">
        <v>772</v>
      </c>
      <c r="I11" s="575">
        <v>3642410080</v>
      </c>
      <c r="J11" s="581">
        <v>1</v>
      </c>
      <c r="K11" s="505"/>
      <c r="L11" s="505"/>
      <c r="M11" s="953"/>
      <c r="N11" s="506"/>
      <c r="O11" s="509"/>
      <c r="P11" s="510"/>
    </row>
    <row r="12" spans="1:16" ht="38.1" customHeight="1" thickBot="1">
      <c r="B12" s="945" t="s">
        <v>48</v>
      </c>
      <c r="C12" s="946"/>
      <c r="D12" s="946"/>
      <c r="E12" s="946"/>
      <c r="F12" s="946"/>
      <c r="G12" s="946"/>
      <c r="H12" s="946"/>
      <c r="I12" s="947">
        <f>L6*84.01+L7*83.23+1532.94+3540+3086.24+400+568.99</f>
        <v>14153.17</v>
      </c>
      <c r="J12" s="947"/>
      <c r="K12" s="947"/>
      <c r="L12" s="947"/>
      <c r="M12" s="570"/>
      <c r="N12" s="511"/>
      <c r="O12" s="512"/>
      <c r="P12" s="513"/>
    </row>
    <row r="13" spans="1:16" ht="381.75" customHeight="1" thickTop="1">
      <c r="A13" s="905" t="s">
        <v>768</v>
      </c>
      <c r="B13" s="906"/>
      <c r="C13" s="906"/>
      <c r="D13" s="906"/>
      <c r="E13" s="906"/>
      <c r="F13" s="906"/>
      <c r="G13" s="906"/>
      <c r="H13" s="906"/>
      <c r="I13" s="906"/>
      <c r="J13" s="906"/>
      <c r="K13" s="906"/>
      <c r="L13" s="906"/>
      <c r="M13" s="906"/>
      <c r="N13" s="906"/>
      <c r="O13" s="906"/>
    </row>
    <row r="14" spans="1:16" ht="28.5" customHeight="1">
      <c r="B14" s="29" t="s">
        <v>23</v>
      </c>
      <c r="C14" s="29"/>
      <c r="D14" s="29"/>
      <c r="E14" s="29"/>
      <c r="F14" s="29" t="s">
        <v>17</v>
      </c>
      <c r="G14" s="29"/>
      <c r="H14" s="29"/>
      <c r="I14" s="29"/>
      <c r="J14" s="29"/>
      <c r="K14" s="29"/>
      <c r="N14" s="29"/>
    </row>
    <row r="15" spans="1:16" ht="34.5" customHeight="1">
      <c r="B15" s="29" t="s">
        <v>18</v>
      </c>
      <c r="C15" s="29"/>
      <c r="D15" s="29"/>
      <c r="E15" s="29"/>
      <c r="F15" s="29" t="s">
        <v>18</v>
      </c>
      <c r="G15" s="29"/>
      <c r="H15" s="29"/>
      <c r="I15" s="29"/>
      <c r="J15" s="29"/>
      <c r="K15" s="29"/>
      <c r="N15" s="29"/>
    </row>
  </sheetData>
  <mergeCells count="14">
    <mergeCell ref="B6:B11"/>
    <mergeCell ref="B12:H12"/>
    <mergeCell ref="I12:L12"/>
    <mergeCell ref="A13:O13"/>
    <mergeCell ref="B1:O1"/>
    <mergeCell ref="B2:O2"/>
    <mergeCell ref="B3:O3"/>
    <mergeCell ref="B4:L4"/>
    <mergeCell ref="C6:C11"/>
    <mergeCell ref="M6:M11"/>
    <mergeCell ref="D6:D11"/>
    <mergeCell ref="E6:E11"/>
    <mergeCell ref="F6:F11"/>
    <mergeCell ref="G6:G11"/>
  </mergeCells>
  <pageMargins left="0.19" right="0.15" top="0.21" bottom="0.28000000000000003" header="0.3" footer="0.3"/>
  <pageSetup scale="6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4"/>
  <sheetViews>
    <sheetView view="pageBreakPreview" zoomScale="60"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E6" sqref="E6:E9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0.42578125" customWidth="1"/>
    <col min="7" max="7" width="12.42578125" customWidth="1"/>
    <col min="8" max="8" width="27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4.28515625" customWidth="1"/>
    <col min="14" max="14" width="25.140625" customWidth="1"/>
    <col min="15" max="15" width="16.140625" bestFit="1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211"/>
    </row>
    <row r="3" spans="1:16" ht="27" customHeigh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O3" s="861"/>
    </row>
    <row r="4" spans="1:16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490"/>
    </row>
    <row r="5" spans="1:16" s="6" customFormat="1" ht="60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726</v>
      </c>
      <c r="N5" s="34" t="s">
        <v>14</v>
      </c>
      <c r="O5" s="34" t="s">
        <v>9</v>
      </c>
      <c r="P5" s="36" t="s">
        <v>10</v>
      </c>
    </row>
    <row r="6" spans="1:16" ht="24.95" customHeight="1">
      <c r="B6" s="959">
        <v>1</v>
      </c>
      <c r="C6" s="960" t="s">
        <v>19</v>
      </c>
      <c r="D6" s="960" t="s">
        <v>24</v>
      </c>
      <c r="E6" s="960">
        <v>149590</v>
      </c>
      <c r="F6" s="961">
        <v>40494</v>
      </c>
      <c r="G6" s="961">
        <v>40501</v>
      </c>
      <c r="H6" s="566" t="s">
        <v>645</v>
      </c>
      <c r="I6" s="567" t="s">
        <v>646</v>
      </c>
      <c r="J6" s="567">
        <v>1</v>
      </c>
      <c r="K6" s="505"/>
      <c r="L6" s="504"/>
      <c r="M6" s="951" t="s">
        <v>727</v>
      </c>
      <c r="N6" s="426" t="s">
        <v>670</v>
      </c>
      <c r="O6" s="421">
        <v>3454205200</v>
      </c>
      <c r="P6" s="458">
        <v>16</v>
      </c>
    </row>
    <row r="7" spans="1:16" ht="24.95" customHeight="1">
      <c r="B7" s="959"/>
      <c r="C7" s="960"/>
      <c r="D7" s="960"/>
      <c r="E7" s="960"/>
      <c r="F7" s="961"/>
      <c r="G7" s="961"/>
      <c r="H7" s="566" t="s">
        <v>724</v>
      </c>
      <c r="I7" s="567">
        <v>3433400131</v>
      </c>
      <c r="J7" s="567">
        <v>1</v>
      </c>
      <c r="K7" s="505"/>
      <c r="L7" s="504"/>
      <c r="M7" s="957"/>
      <c r="N7" s="498"/>
      <c r="O7" s="514"/>
      <c r="P7" s="568"/>
    </row>
    <row r="8" spans="1:16" ht="33.75" customHeight="1">
      <c r="B8" s="959"/>
      <c r="C8" s="960"/>
      <c r="D8" s="960"/>
      <c r="E8" s="960"/>
      <c r="F8" s="961"/>
      <c r="G8" s="961"/>
      <c r="H8" s="566" t="s">
        <v>725</v>
      </c>
      <c r="I8" s="567">
        <v>1034330</v>
      </c>
      <c r="J8" s="567">
        <v>1</v>
      </c>
      <c r="K8" s="505"/>
      <c r="L8" s="504"/>
      <c r="M8" s="958"/>
      <c r="N8" s="506"/>
      <c r="O8" s="509"/>
      <c r="P8" s="510"/>
    </row>
    <row r="9" spans="1:16" ht="35.25" hidden="1" customHeight="1">
      <c r="B9" s="959"/>
      <c r="C9" s="960"/>
      <c r="D9" s="960"/>
      <c r="E9" s="960"/>
      <c r="F9" s="961"/>
      <c r="G9" s="961"/>
      <c r="H9" s="495"/>
      <c r="I9" s="495"/>
      <c r="J9" s="495"/>
      <c r="K9" s="505"/>
      <c r="L9" s="504"/>
      <c r="M9" s="504"/>
      <c r="N9" s="506"/>
      <c r="O9" s="509"/>
      <c r="P9" s="510"/>
    </row>
    <row r="10" spans="1:16" ht="24.95" hidden="1" customHeight="1" thickBot="1">
      <c r="B10" s="499"/>
      <c r="C10" s="507"/>
      <c r="D10" s="507"/>
      <c r="E10" s="506"/>
      <c r="F10" s="508"/>
      <c r="G10" s="508"/>
      <c r="H10" s="505"/>
      <c r="I10" s="505"/>
      <c r="J10" s="504"/>
      <c r="K10" s="505"/>
      <c r="L10" s="505"/>
      <c r="M10" s="505"/>
      <c r="N10" s="506"/>
      <c r="O10" s="509"/>
      <c r="P10" s="510"/>
    </row>
    <row r="11" spans="1:16" ht="38.1" customHeight="1" thickBot="1">
      <c r="B11" s="945" t="s">
        <v>48</v>
      </c>
      <c r="C11" s="946"/>
      <c r="D11" s="946"/>
      <c r="E11" s="946"/>
      <c r="F11" s="946"/>
      <c r="G11" s="946"/>
      <c r="H11" s="946"/>
      <c r="I11" s="947">
        <f>1081.05+1532.94+160.16</f>
        <v>2774.1499999999996</v>
      </c>
      <c r="J11" s="947"/>
      <c r="K11" s="947"/>
      <c r="L11" s="947"/>
      <c r="M11" s="515"/>
      <c r="N11" s="511"/>
      <c r="O11" s="512"/>
      <c r="P11" s="513"/>
    </row>
    <row r="12" spans="1:16" ht="297.75" customHeight="1" thickTop="1">
      <c r="A12" s="905" t="s">
        <v>723</v>
      </c>
      <c r="B12" s="906"/>
      <c r="C12" s="906"/>
      <c r="D12" s="906"/>
      <c r="E12" s="906"/>
      <c r="F12" s="906"/>
      <c r="G12" s="906"/>
      <c r="H12" s="906"/>
      <c r="I12" s="906"/>
      <c r="J12" s="906"/>
      <c r="K12" s="906"/>
      <c r="L12" s="906"/>
      <c r="M12" s="906"/>
      <c r="N12" s="906"/>
      <c r="O12" s="906"/>
    </row>
    <row r="13" spans="1:16" ht="28.5" customHeight="1">
      <c r="B13" s="29" t="s">
        <v>23</v>
      </c>
      <c r="C13" s="29"/>
      <c r="D13" s="29"/>
      <c r="E13" s="29"/>
      <c r="F13" s="29" t="s">
        <v>17</v>
      </c>
      <c r="G13" s="29"/>
      <c r="H13" s="29"/>
      <c r="I13" s="29"/>
      <c r="J13" s="29"/>
      <c r="K13" s="29"/>
      <c r="N13" s="29"/>
    </row>
    <row r="14" spans="1:16" ht="34.5" customHeight="1">
      <c r="B14" s="29" t="s">
        <v>18</v>
      </c>
      <c r="C14" s="29"/>
      <c r="D14" s="29"/>
      <c r="E14" s="29"/>
      <c r="F14" s="29" t="s">
        <v>18</v>
      </c>
      <c r="G14" s="29"/>
      <c r="H14" s="29"/>
      <c r="I14" s="29"/>
      <c r="J14" s="29"/>
      <c r="K14" s="29"/>
      <c r="N14" s="29"/>
    </row>
  </sheetData>
  <mergeCells count="14">
    <mergeCell ref="I11:L11"/>
    <mergeCell ref="M6:M8"/>
    <mergeCell ref="A12:O12"/>
    <mergeCell ref="B1:O1"/>
    <mergeCell ref="B2:O2"/>
    <mergeCell ref="B3:O3"/>
    <mergeCell ref="B4:L4"/>
    <mergeCell ref="B11:H11"/>
    <mergeCell ref="B6:B9"/>
    <mergeCell ref="C6:C9"/>
    <mergeCell ref="D6:D9"/>
    <mergeCell ref="E6:E9"/>
    <mergeCell ref="F6:F9"/>
    <mergeCell ref="G6:G9"/>
  </mergeCells>
  <pageMargins left="0.19" right="0.15" top="0.21" bottom="0.28000000000000003" header="0.3" footer="0.3"/>
  <pageSetup scale="6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I6" sqref="I6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5.570312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2" customWidth="1"/>
    <col min="14" max="14" width="35.1406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79"/>
    </row>
    <row r="5" spans="1:16" s="6" customFormat="1" ht="39.950000000000003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4" t="s">
        <v>9</v>
      </c>
      <c r="P5" s="36" t="s">
        <v>10</v>
      </c>
    </row>
    <row r="6" spans="1:16" ht="24.95" customHeight="1">
      <c r="B6" s="965">
        <v>1</v>
      </c>
      <c r="C6" s="966" t="s">
        <v>25</v>
      </c>
      <c r="D6" s="966" t="s">
        <v>26</v>
      </c>
      <c r="E6" s="967">
        <v>350000</v>
      </c>
      <c r="F6" s="968">
        <v>40517</v>
      </c>
      <c r="G6" s="968">
        <v>40517</v>
      </c>
      <c r="H6" s="703" t="s">
        <v>930</v>
      </c>
      <c r="I6" s="704"/>
      <c r="J6" s="705"/>
      <c r="K6" s="703" t="s">
        <v>713</v>
      </c>
      <c r="L6" s="705">
        <v>4</v>
      </c>
      <c r="M6" s="897" t="s">
        <v>922</v>
      </c>
      <c r="N6" s="706"/>
      <c r="O6" s="702"/>
      <c r="P6" s="717"/>
    </row>
    <row r="7" spans="1:16" ht="24.95" customHeight="1">
      <c r="B7" s="965"/>
      <c r="C7" s="966"/>
      <c r="D7" s="966"/>
      <c r="E7" s="966"/>
      <c r="F7" s="968"/>
      <c r="G7" s="968"/>
      <c r="H7" s="708"/>
      <c r="I7" s="704"/>
      <c r="J7" s="705"/>
      <c r="K7" s="703" t="s">
        <v>713</v>
      </c>
      <c r="L7" s="705">
        <v>3.5</v>
      </c>
      <c r="M7" s="855"/>
      <c r="N7" s="706"/>
      <c r="O7" s="702"/>
      <c r="P7" s="717"/>
    </row>
    <row r="8" spans="1:16" ht="24.95" customHeight="1">
      <c r="B8" s="965"/>
      <c r="C8" s="966"/>
      <c r="D8" s="966"/>
      <c r="E8" s="966"/>
      <c r="F8" s="968"/>
      <c r="G8" s="968"/>
      <c r="H8" s="708"/>
      <c r="I8" s="704"/>
      <c r="J8" s="705"/>
      <c r="M8" s="855"/>
      <c r="N8" s="706"/>
      <c r="O8" s="702"/>
      <c r="P8" s="717"/>
    </row>
    <row r="9" spans="1:16" ht="24.95" hidden="1" customHeight="1">
      <c r="B9" s="965"/>
      <c r="C9" s="966"/>
      <c r="D9" s="966"/>
      <c r="E9" s="966"/>
      <c r="F9" s="968"/>
      <c r="G9" s="968"/>
      <c r="H9" s="708"/>
      <c r="I9" s="704"/>
      <c r="J9" s="705"/>
      <c r="K9" s="703"/>
      <c r="L9" s="705"/>
      <c r="M9" s="855"/>
      <c r="N9" s="706"/>
      <c r="O9" s="702"/>
      <c r="P9" s="717"/>
    </row>
    <row r="10" spans="1:16" ht="23.25" hidden="1" customHeight="1">
      <c r="B10" s="965"/>
      <c r="C10" s="966"/>
      <c r="D10" s="966"/>
      <c r="E10" s="966"/>
      <c r="F10" s="968"/>
      <c r="G10" s="968"/>
      <c r="H10" s="708"/>
      <c r="I10" s="704"/>
      <c r="J10" s="705"/>
      <c r="K10" s="703"/>
      <c r="L10" s="705"/>
      <c r="M10" s="855"/>
      <c r="N10" s="706"/>
      <c r="O10" s="702"/>
      <c r="P10" s="717"/>
    </row>
    <row r="11" spans="1:16" ht="24.75" hidden="1" customHeight="1">
      <c r="B11" s="965"/>
      <c r="C11" s="966"/>
      <c r="D11" s="966"/>
      <c r="E11" s="966"/>
      <c r="F11" s="968"/>
      <c r="G11" s="968"/>
      <c r="H11" s="708"/>
      <c r="I11" s="704"/>
      <c r="J11" s="705"/>
      <c r="K11" s="703"/>
      <c r="L11" s="705"/>
      <c r="M11" s="855"/>
      <c r="N11" s="706"/>
      <c r="O11" s="702"/>
      <c r="P11" s="717"/>
    </row>
    <row r="12" spans="1:16" ht="31.5" hidden="1" customHeight="1">
      <c r="B12" s="965"/>
      <c r="C12" s="966"/>
      <c r="D12" s="966"/>
      <c r="E12" s="966"/>
      <c r="F12" s="968"/>
      <c r="G12" s="968"/>
      <c r="H12" s="708"/>
      <c r="I12" s="704"/>
      <c r="J12" s="705"/>
      <c r="K12" s="702"/>
      <c r="L12" s="703"/>
      <c r="M12" s="855"/>
      <c r="N12" s="706"/>
      <c r="O12" s="702"/>
      <c r="P12" s="717"/>
    </row>
    <row r="13" spans="1:16" ht="24.95" hidden="1" customHeight="1" thickBot="1">
      <c r="B13" s="709"/>
      <c r="C13" s="713"/>
      <c r="D13" s="713"/>
      <c r="E13" s="706"/>
      <c r="F13" s="714"/>
      <c r="G13" s="714"/>
      <c r="H13" s="703"/>
      <c r="I13" s="703"/>
      <c r="J13" s="705"/>
      <c r="K13" s="703"/>
      <c r="L13" s="703"/>
      <c r="M13" s="855"/>
      <c r="N13" s="706"/>
      <c r="O13" s="702"/>
      <c r="P13" s="717"/>
    </row>
    <row r="14" spans="1:16" ht="38.1" customHeight="1" thickBot="1">
      <c r="B14" s="962" t="s">
        <v>48</v>
      </c>
      <c r="C14" s="963"/>
      <c r="D14" s="963"/>
      <c r="E14" s="963"/>
      <c r="F14" s="963"/>
      <c r="G14" s="963"/>
      <c r="H14" s="963"/>
      <c r="I14" s="964">
        <f>L6*84.01+L7*84.01</f>
        <v>630.07500000000005</v>
      </c>
      <c r="J14" s="964"/>
      <c r="K14" s="964"/>
      <c r="L14" s="964"/>
      <c r="M14" s="856"/>
      <c r="N14" s="718"/>
      <c r="O14" s="719"/>
      <c r="P14" s="720"/>
    </row>
    <row r="15" spans="1:16" ht="157.5" customHeight="1" thickTop="1">
      <c r="A15" s="936" t="s">
        <v>897</v>
      </c>
      <c r="B15" s="937"/>
      <c r="C15" s="937"/>
      <c r="D15" s="937"/>
      <c r="E15" s="937"/>
      <c r="F15" s="937"/>
      <c r="G15" s="937"/>
      <c r="H15" s="937"/>
      <c r="I15" s="937"/>
      <c r="J15" s="937"/>
      <c r="K15" s="937"/>
      <c r="L15" s="937"/>
      <c r="M15" s="937"/>
      <c r="N15" s="937"/>
      <c r="O15" s="937"/>
    </row>
    <row r="16" spans="1:16" ht="28.5" customHeight="1">
      <c r="B16" s="248" t="s">
        <v>898</v>
      </c>
      <c r="C16" s="248"/>
      <c r="D16" s="248"/>
      <c r="E16" s="248"/>
      <c r="F16" s="248"/>
      <c r="G16" s="248"/>
      <c r="H16" s="248"/>
      <c r="I16" s="248" t="s">
        <v>899</v>
      </c>
      <c r="J16" s="248"/>
      <c r="K16" s="248"/>
      <c r="L16" s="249"/>
      <c r="M16" s="699" t="s">
        <v>919</v>
      </c>
      <c r="O16" s="249"/>
    </row>
    <row r="17" spans="2:15" ht="34.5" customHeight="1">
      <c r="B17" s="248" t="s">
        <v>467</v>
      </c>
      <c r="C17" s="248"/>
      <c r="D17" s="248"/>
      <c r="E17" s="248"/>
      <c r="F17" s="248"/>
      <c r="G17" s="248"/>
      <c r="H17" s="248"/>
      <c r="I17" s="248" t="s">
        <v>920</v>
      </c>
      <c r="J17" s="248"/>
      <c r="K17" s="248"/>
      <c r="L17" s="249"/>
      <c r="M17" s="206" t="s">
        <v>921</v>
      </c>
      <c r="O17" s="249"/>
    </row>
  </sheetData>
  <mergeCells count="14">
    <mergeCell ref="A15:O15"/>
    <mergeCell ref="B1:N1"/>
    <mergeCell ref="B2:N2"/>
    <mergeCell ref="B3:N3"/>
    <mergeCell ref="B4:L4"/>
    <mergeCell ref="B14:H14"/>
    <mergeCell ref="I14:L14"/>
    <mergeCell ref="B6:B12"/>
    <mergeCell ref="C6:C12"/>
    <mergeCell ref="D6:D12"/>
    <mergeCell ref="E6:E12"/>
    <mergeCell ref="F6:F12"/>
    <mergeCell ref="G6:G12"/>
    <mergeCell ref="M6:M14"/>
  </mergeCells>
  <pageMargins left="0.19" right="0.15" top="0.21" bottom="0.28000000000000003" header="0.3" footer="0.3"/>
  <pageSetup scale="66" orientation="landscape" r:id="rId1"/>
  <colBreaks count="1" manualBreakCount="1">
    <brk id="16" max="1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dimension ref="B1:Q34"/>
  <sheetViews>
    <sheetView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M5" sqref="M5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6.7109375" customWidth="1"/>
    <col min="9" max="9" width="18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7.28515625" customWidth="1"/>
    <col min="15" max="15" width="15.5703125" customWidth="1"/>
  </cols>
  <sheetData>
    <row r="1" spans="2:17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  <c r="P1" s="860"/>
    </row>
    <row r="2" spans="2:17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860"/>
      <c r="Q2" s="211"/>
    </row>
    <row r="3" spans="2:17" ht="27" customHeigh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O3" s="861"/>
      <c r="P3" s="861"/>
    </row>
    <row r="4" spans="2:17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197"/>
    </row>
    <row r="5" spans="2:17" s="6" customFormat="1" ht="39.950000000000003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6" t="s">
        <v>462</v>
      </c>
    </row>
    <row r="6" spans="2:17" ht="24.95" customHeight="1">
      <c r="B6" s="972">
        <v>1</v>
      </c>
      <c r="C6" s="973" t="s">
        <v>27</v>
      </c>
      <c r="D6" s="973" t="s">
        <v>451</v>
      </c>
      <c r="E6" s="973">
        <v>85580</v>
      </c>
      <c r="F6" s="974">
        <v>40462</v>
      </c>
      <c r="G6" s="974">
        <v>40462</v>
      </c>
      <c r="H6" s="225" t="s">
        <v>478</v>
      </c>
      <c r="I6" s="226" t="s">
        <v>479</v>
      </c>
      <c r="J6" s="227">
        <v>2</v>
      </c>
      <c r="K6" s="225" t="s">
        <v>452</v>
      </c>
      <c r="L6" s="227">
        <v>17</v>
      </c>
      <c r="M6" s="971" t="s">
        <v>448</v>
      </c>
      <c r="N6" s="18"/>
      <c r="O6" s="55"/>
    </row>
    <row r="7" spans="2:17" ht="24.95" customHeight="1">
      <c r="B7" s="972"/>
      <c r="C7" s="973"/>
      <c r="D7" s="973"/>
      <c r="E7" s="973"/>
      <c r="F7" s="974"/>
      <c r="G7" s="974"/>
      <c r="H7" s="228"/>
      <c r="I7" s="229"/>
      <c r="J7" s="227"/>
      <c r="K7" s="225" t="s">
        <v>437</v>
      </c>
      <c r="L7" s="227">
        <v>40</v>
      </c>
      <c r="M7" s="971"/>
      <c r="N7" s="18"/>
      <c r="O7" s="55"/>
    </row>
    <row r="8" spans="2:17" ht="24.95" hidden="1" customHeight="1">
      <c r="B8" s="972"/>
      <c r="C8" s="973"/>
      <c r="D8" s="973"/>
      <c r="E8" s="973"/>
      <c r="F8" s="974"/>
      <c r="G8" s="974"/>
      <c r="H8" s="228"/>
      <c r="I8" s="229"/>
      <c r="J8" s="227"/>
      <c r="K8" s="225"/>
      <c r="L8" s="227"/>
      <c r="M8" s="971"/>
      <c r="N8" s="18"/>
      <c r="O8" s="55"/>
    </row>
    <row r="9" spans="2:17" ht="35.25" hidden="1" customHeight="1">
      <c r="B9" s="230"/>
      <c r="C9" s="231"/>
      <c r="D9" s="231"/>
      <c r="E9" s="232"/>
      <c r="F9" s="233"/>
      <c r="G9" s="233"/>
      <c r="H9" s="228"/>
      <c r="I9" s="229"/>
      <c r="J9" s="227"/>
      <c r="K9" s="225"/>
      <c r="L9" s="227"/>
      <c r="M9" s="971"/>
      <c r="N9" s="18"/>
      <c r="O9" s="55"/>
    </row>
    <row r="10" spans="2:17" ht="24.95" hidden="1" customHeight="1">
      <c r="B10" s="230"/>
      <c r="C10" s="231"/>
      <c r="D10" s="231"/>
      <c r="E10" s="232"/>
      <c r="F10" s="233"/>
      <c r="G10" s="233"/>
      <c r="H10" s="225"/>
      <c r="I10" s="229"/>
      <c r="J10" s="227"/>
      <c r="K10" s="225"/>
      <c r="L10" s="225"/>
      <c r="M10" s="971"/>
      <c r="N10" s="18"/>
      <c r="O10" s="55"/>
    </row>
    <row r="11" spans="2:17" ht="30" hidden="1" customHeight="1">
      <c r="B11" s="230"/>
      <c r="C11" s="231"/>
      <c r="D11" s="231"/>
      <c r="E11" s="232"/>
      <c r="F11" s="233"/>
      <c r="G11" s="233"/>
      <c r="H11" s="228"/>
      <c r="I11" s="229"/>
      <c r="J11" s="227"/>
      <c r="K11" s="225"/>
      <c r="L11" s="225"/>
      <c r="M11" s="971"/>
      <c r="N11" s="18"/>
      <c r="O11" s="215"/>
    </row>
    <row r="12" spans="2:17" ht="31.5" hidden="1" customHeight="1">
      <c r="B12" s="230"/>
      <c r="C12" s="231"/>
      <c r="D12" s="231"/>
      <c r="E12" s="232"/>
      <c r="F12" s="233"/>
      <c r="G12" s="233"/>
      <c r="H12" s="228"/>
      <c r="I12" s="229"/>
      <c r="J12" s="227"/>
      <c r="K12" s="234"/>
      <c r="L12" s="225"/>
      <c r="M12" s="971"/>
      <c r="N12" s="18"/>
      <c r="O12" s="55"/>
    </row>
    <row r="13" spans="2:17" ht="24.95" hidden="1" customHeight="1">
      <c r="B13" s="230"/>
      <c r="C13" s="231"/>
      <c r="D13" s="231"/>
      <c r="E13" s="232"/>
      <c r="F13" s="233"/>
      <c r="G13" s="233"/>
      <c r="H13" s="225"/>
      <c r="I13" s="229"/>
      <c r="J13" s="227"/>
      <c r="K13" s="225"/>
      <c r="L13" s="225"/>
      <c r="M13" s="971"/>
      <c r="N13" s="18"/>
      <c r="O13" s="55"/>
    </row>
    <row r="14" spans="2:17" ht="24.95" hidden="1" customHeight="1">
      <c r="B14" s="230"/>
      <c r="C14" s="231"/>
      <c r="D14" s="231"/>
      <c r="E14" s="235"/>
      <c r="F14" s="233"/>
      <c r="G14" s="233"/>
      <c r="H14" s="225"/>
      <c r="I14" s="229"/>
      <c r="J14" s="227"/>
      <c r="K14" s="225"/>
      <c r="L14" s="227"/>
      <c r="M14" s="971"/>
      <c r="N14" s="18"/>
      <c r="O14" s="55"/>
    </row>
    <row r="15" spans="2:17" ht="24.95" hidden="1" customHeight="1">
      <c r="B15" s="230"/>
      <c r="C15" s="231"/>
      <c r="D15" s="231"/>
      <c r="E15" s="235"/>
      <c r="F15" s="233"/>
      <c r="G15" s="233"/>
      <c r="H15" s="225"/>
      <c r="I15" s="229"/>
      <c r="J15" s="227"/>
      <c r="K15" s="225"/>
      <c r="L15" s="227"/>
      <c r="M15" s="971"/>
      <c r="N15" s="18"/>
      <c r="O15" s="55"/>
    </row>
    <row r="16" spans="2:17" ht="24.95" hidden="1" customHeight="1">
      <c r="B16" s="230"/>
      <c r="C16" s="231"/>
      <c r="D16" s="231"/>
      <c r="E16" s="235"/>
      <c r="F16" s="233"/>
      <c r="G16" s="233"/>
      <c r="H16" s="225"/>
      <c r="I16" s="229"/>
      <c r="J16" s="227"/>
      <c r="K16" s="225"/>
      <c r="L16" s="227"/>
      <c r="M16" s="971"/>
      <c r="N16" s="18"/>
      <c r="O16" s="55"/>
    </row>
    <row r="17" spans="2:16" ht="24.95" hidden="1" customHeight="1">
      <c r="B17" s="230"/>
      <c r="C17" s="231"/>
      <c r="D17" s="231"/>
      <c r="E17" s="235"/>
      <c r="F17" s="233"/>
      <c r="G17" s="233"/>
      <c r="H17" s="228"/>
      <c r="I17" s="229"/>
      <c r="J17" s="227"/>
      <c r="K17" s="225"/>
      <c r="L17" s="225"/>
      <c r="M17" s="971"/>
      <c r="N17" s="18"/>
      <c r="O17" s="55"/>
    </row>
    <row r="18" spans="2:16" ht="24.95" hidden="1" customHeight="1">
      <c r="B18" s="230"/>
      <c r="C18" s="231"/>
      <c r="D18" s="231"/>
      <c r="E18" s="235"/>
      <c r="F18" s="233"/>
      <c r="G18" s="233"/>
      <c r="H18" s="225"/>
      <c r="I18" s="229"/>
      <c r="J18" s="227"/>
      <c r="K18" s="225"/>
      <c r="L18" s="225"/>
      <c r="M18" s="971"/>
      <c r="N18" s="18"/>
      <c r="O18" s="55"/>
    </row>
    <row r="19" spans="2:16" ht="24.95" hidden="1" customHeight="1">
      <c r="B19" s="230"/>
      <c r="C19" s="231"/>
      <c r="D19" s="231"/>
      <c r="E19" s="236"/>
      <c r="F19" s="233"/>
      <c r="G19" s="233"/>
      <c r="H19" s="225"/>
      <c r="I19" s="225"/>
      <c r="J19" s="227"/>
      <c r="K19" s="225"/>
      <c r="L19" s="225"/>
      <c r="M19" s="971"/>
      <c r="N19" s="18"/>
      <c r="O19" s="55"/>
    </row>
    <row r="20" spans="2:16" ht="24.95" hidden="1" customHeight="1">
      <c r="B20" s="230"/>
      <c r="C20" s="231"/>
      <c r="D20" s="231"/>
      <c r="E20" s="236"/>
      <c r="F20" s="233"/>
      <c r="G20" s="233"/>
      <c r="H20" s="225"/>
      <c r="I20" s="225"/>
      <c r="J20" s="227"/>
      <c r="K20" s="225"/>
      <c r="L20" s="225"/>
      <c r="M20" s="971"/>
      <c r="N20" s="18"/>
      <c r="O20" s="55"/>
    </row>
    <row r="21" spans="2:16" ht="24.95" hidden="1" customHeight="1">
      <c r="B21" s="230"/>
      <c r="C21" s="231"/>
      <c r="D21" s="231"/>
      <c r="E21" s="236"/>
      <c r="F21" s="233"/>
      <c r="G21" s="233"/>
      <c r="H21" s="225"/>
      <c r="I21" s="225"/>
      <c r="J21" s="227"/>
      <c r="K21" s="225"/>
      <c r="L21" s="225"/>
      <c r="M21" s="971"/>
      <c r="N21" s="18"/>
      <c r="O21" s="55"/>
    </row>
    <row r="22" spans="2:16" ht="24.95" hidden="1" customHeight="1">
      <c r="B22" s="230"/>
      <c r="C22" s="231"/>
      <c r="D22" s="231"/>
      <c r="E22" s="236"/>
      <c r="F22" s="233"/>
      <c r="G22" s="233"/>
      <c r="H22" s="225"/>
      <c r="I22" s="225"/>
      <c r="J22" s="227"/>
      <c r="K22" s="225"/>
      <c r="L22" s="225"/>
      <c r="M22" s="971"/>
      <c r="N22" s="18"/>
      <c r="O22" s="55"/>
    </row>
    <row r="23" spans="2:16" ht="24.95" hidden="1" customHeight="1">
      <c r="B23" s="230"/>
      <c r="C23" s="231"/>
      <c r="D23" s="231"/>
      <c r="E23" s="236"/>
      <c r="F23" s="233"/>
      <c r="G23" s="233"/>
      <c r="H23" s="225"/>
      <c r="I23" s="225"/>
      <c r="J23" s="227"/>
      <c r="K23" s="225"/>
      <c r="L23" s="225"/>
      <c r="M23" s="971"/>
      <c r="N23" s="18"/>
      <c r="O23" s="55"/>
    </row>
    <row r="24" spans="2:16" ht="24.95" hidden="1" customHeight="1">
      <c r="B24" s="230"/>
      <c r="C24" s="231"/>
      <c r="D24" s="231"/>
      <c r="E24" s="236"/>
      <c r="F24" s="233"/>
      <c r="G24" s="233"/>
      <c r="H24" s="225"/>
      <c r="I24" s="225"/>
      <c r="J24" s="227"/>
      <c r="K24" s="225"/>
      <c r="L24" s="225"/>
      <c r="M24" s="971"/>
      <c r="N24" s="18"/>
      <c r="O24" s="55"/>
    </row>
    <row r="25" spans="2:16" ht="24.95" hidden="1" customHeight="1">
      <c r="B25" s="230"/>
      <c r="C25" s="231"/>
      <c r="D25" s="231"/>
      <c r="E25" s="236"/>
      <c r="F25" s="233"/>
      <c r="G25" s="233"/>
      <c r="H25" s="225"/>
      <c r="I25" s="225"/>
      <c r="J25" s="227"/>
      <c r="K25" s="225"/>
      <c r="L25" s="225"/>
      <c r="M25" s="971"/>
      <c r="N25" s="18"/>
      <c r="O25" s="55"/>
    </row>
    <row r="26" spans="2:16" ht="24.95" hidden="1" customHeight="1">
      <c r="B26" s="230"/>
      <c r="C26" s="231"/>
      <c r="D26" s="231"/>
      <c r="E26" s="236"/>
      <c r="F26" s="233"/>
      <c r="G26" s="233"/>
      <c r="H26" s="225"/>
      <c r="I26" s="225"/>
      <c r="J26" s="227"/>
      <c r="K26" s="225"/>
      <c r="L26" s="225"/>
      <c r="M26" s="971"/>
      <c r="N26" s="18"/>
      <c r="O26" s="55"/>
    </row>
    <row r="27" spans="2:16" ht="24.95" hidden="1" customHeight="1">
      <c r="B27" s="230"/>
      <c r="C27" s="231"/>
      <c r="D27" s="231"/>
      <c r="E27" s="236"/>
      <c r="F27" s="233"/>
      <c r="G27" s="233"/>
      <c r="H27" s="225"/>
      <c r="I27" s="225"/>
      <c r="J27" s="227"/>
      <c r="K27" s="225"/>
      <c r="L27" s="225"/>
      <c r="M27" s="971"/>
      <c r="N27" s="18"/>
      <c r="O27" s="55"/>
    </row>
    <row r="28" spans="2:16" ht="24.95" hidden="1" customHeight="1">
      <c r="B28" s="230"/>
      <c r="C28" s="231"/>
      <c r="D28" s="231"/>
      <c r="E28" s="236"/>
      <c r="F28" s="233"/>
      <c r="G28" s="233"/>
      <c r="H28" s="225"/>
      <c r="I28" s="225"/>
      <c r="J28" s="227"/>
      <c r="K28" s="225"/>
      <c r="L28" s="225"/>
      <c r="M28" s="971"/>
      <c r="N28" s="18"/>
      <c r="O28" s="55"/>
    </row>
    <row r="29" spans="2:16" ht="24.95" hidden="1" customHeight="1">
      <c r="B29" s="230"/>
      <c r="C29" s="231"/>
      <c r="D29" s="231"/>
      <c r="E29" s="236"/>
      <c r="F29" s="233"/>
      <c r="G29" s="233"/>
      <c r="H29" s="225"/>
      <c r="I29" s="225"/>
      <c r="J29" s="227"/>
      <c r="K29" s="225"/>
      <c r="L29" s="225"/>
      <c r="M29" s="971"/>
      <c r="N29" s="18"/>
      <c r="O29" s="55"/>
    </row>
    <row r="30" spans="2:16" ht="38.1" customHeight="1" thickBot="1">
      <c r="B30" s="868" t="s">
        <v>48</v>
      </c>
      <c r="C30" s="869"/>
      <c r="D30" s="869"/>
      <c r="E30" s="869"/>
      <c r="F30" s="869"/>
      <c r="G30" s="869"/>
      <c r="H30" s="869"/>
      <c r="I30" s="870">
        <f>L6*84.01+L7*84.01+313.04</f>
        <v>5101.6099999999997</v>
      </c>
      <c r="J30" s="870"/>
      <c r="K30" s="870"/>
      <c r="L30" s="870"/>
      <c r="M30" s="89"/>
      <c r="N30" s="56"/>
      <c r="O30" s="59"/>
      <c r="P30" s="90"/>
    </row>
    <row r="31" spans="2:16" ht="366" customHeight="1" thickTop="1">
      <c r="B31" s="969" t="s">
        <v>508</v>
      </c>
      <c r="C31" s="970"/>
      <c r="D31" s="970"/>
      <c r="E31" s="970"/>
      <c r="F31" s="970"/>
      <c r="G31" s="970"/>
      <c r="H31" s="970"/>
      <c r="I31" s="970"/>
      <c r="J31" s="970"/>
      <c r="K31" s="970"/>
      <c r="L31" s="970"/>
      <c r="M31" s="970"/>
      <c r="N31" s="970"/>
    </row>
    <row r="32" spans="2:16" ht="27.75" customHeight="1">
      <c r="B32" s="907" t="s">
        <v>477</v>
      </c>
      <c r="C32" s="890"/>
      <c r="D32" s="890"/>
      <c r="E32" s="890"/>
      <c r="F32" s="890"/>
      <c r="G32" s="890"/>
      <c r="H32" s="890"/>
      <c r="I32" s="890"/>
      <c r="J32" s="890"/>
      <c r="K32" s="890"/>
      <c r="L32" s="890"/>
      <c r="M32" s="890"/>
      <c r="N32" s="890"/>
    </row>
    <row r="33" spans="2:12" ht="20.100000000000001" customHeight="1">
      <c r="B33" s="29" t="s">
        <v>23</v>
      </c>
      <c r="C33" s="29"/>
      <c r="D33" s="29"/>
      <c r="E33" s="29"/>
      <c r="F33" s="29" t="s">
        <v>17</v>
      </c>
      <c r="G33" s="29"/>
      <c r="H33" s="29"/>
      <c r="I33" s="29"/>
      <c r="J33" s="29"/>
      <c r="K33" s="29"/>
      <c r="L33" s="29"/>
    </row>
    <row r="34" spans="2:12" ht="20.100000000000001" customHeight="1">
      <c r="B34" s="29" t="s">
        <v>18</v>
      </c>
      <c r="C34" s="29"/>
      <c r="D34" s="29"/>
      <c r="E34" s="29"/>
      <c r="F34" s="29" t="s">
        <v>18</v>
      </c>
      <c r="G34" s="29"/>
      <c r="H34" s="29"/>
      <c r="I34" s="29"/>
      <c r="J34" s="29"/>
      <c r="K34" s="29"/>
      <c r="L34" s="29"/>
    </row>
  </sheetData>
  <mergeCells count="15">
    <mergeCell ref="B1:P1"/>
    <mergeCell ref="B2:P2"/>
    <mergeCell ref="B3:P3"/>
    <mergeCell ref="B4:L4"/>
    <mergeCell ref="B6:B8"/>
    <mergeCell ref="C6:C8"/>
    <mergeCell ref="D6:D8"/>
    <mergeCell ref="E6:E8"/>
    <mergeCell ref="F6:F8"/>
    <mergeCell ref="G6:G8"/>
    <mergeCell ref="B30:H30"/>
    <mergeCell ref="I30:L30"/>
    <mergeCell ref="B31:N31"/>
    <mergeCell ref="B32:N32"/>
    <mergeCell ref="M6:M29"/>
  </mergeCells>
  <pageMargins left="0.19" right="0.15" top="0.21" bottom="0.28000000000000003" header="0.3" footer="0.3"/>
  <pageSetup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B1:O34"/>
  <sheetViews>
    <sheetView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K6" sqref="K6:M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41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</row>
    <row r="5" spans="2:15" s="6" customFormat="1" ht="39.950000000000003" customHeight="1" thickTop="1" thickBot="1">
      <c r="B5" s="1" t="s">
        <v>2</v>
      </c>
      <c r="C5" s="2" t="s">
        <v>3</v>
      </c>
      <c r="D5" s="3" t="s">
        <v>4</v>
      </c>
      <c r="E5" s="2" t="s">
        <v>5</v>
      </c>
      <c r="F5" s="2" t="s">
        <v>6</v>
      </c>
      <c r="G5" s="2" t="s">
        <v>7</v>
      </c>
      <c r="H5" s="3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5" t="s">
        <v>14</v>
      </c>
    </row>
    <row r="6" spans="2:15" ht="24.95" customHeight="1">
      <c r="B6" s="851">
        <v>1</v>
      </c>
      <c r="C6" s="854" t="s">
        <v>27</v>
      </c>
      <c r="D6" s="854" t="s">
        <v>28</v>
      </c>
      <c r="E6" s="854">
        <v>43674</v>
      </c>
      <c r="F6" s="838">
        <v>40121</v>
      </c>
      <c r="G6" s="838">
        <v>40123</v>
      </c>
      <c r="H6" s="7"/>
      <c r="I6" s="8"/>
      <c r="J6" s="9"/>
      <c r="K6" s="17" t="s">
        <v>32</v>
      </c>
      <c r="L6" s="16">
        <v>17.5</v>
      </c>
      <c r="M6" s="11" t="s">
        <v>47</v>
      </c>
    </row>
    <row r="7" spans="2:15" ht="24.95" customHeight="1">
      <c r="B7" s="852"/>
      <c r="C7" s="855"/>
      <c r="D7" s="855"/>
      <c r="E7" s="855"/>
      <c r="F7" s="839"/>
      <c r="G7" s="839"/>
      <c r="H7" s="14"/>
      <c r="I7" s="15"/>
      <c r="J7" s="16"/>
      <c r="K7" s="17" t="s">
        <v>33</v>
      </c>
      <c r="L7" s="16">
        <v>31</v>
      </c>
      <c r="M7" s="19"/>
    </row>
    <row r="8" spans="2:15" ht="24.95" customHeight="1">
      <c r="B8" s="858"/>
      <c r="C8" s="859"/>
      <c r="D8" s="859"/>
      <c r="E8" s="859"/>
      <c r="F8" s="840"/>
      <c r="G8" s="840"/>
      <c r="H8" s="14"/>
      <c r="I8" s="15"/>
      <c r="J8" s="16"/>
      <c r="K8" s="17" t="s">
        <v>34</v>
      </c>
      <c r="L8" s="16">
        <v>3</v>
      </c>
      <c r="M8" s="19"/>
    </row>
    <row r="9" spans="2:15" ht="35.25" hidden="1" customHeight="1">
      <c r="B9" s="21"/>
      <c r="C9" s="12"/>
      <c r="D9" s="12"/>
      <c r="E9" s="30"/>
      <c r="F9" s="13"/>
      <c r="G9" s="13"/>
      <c r="H9" s="14"/>
      <c r="I9" s="15"/>
      <c r="J9" s="16"/>
      <c r="K9" s="17"/>
      <c r="L9" s="16"/>
      <c r="M9" s="19"/>
    </row>
    <row r="10" spans="2:15" ht="24.95" hidden="1" customHeight="1">
      <c r="B10" s="21"/>
      <c r="C10" s="12"/>
      <c r="D10" s="12"/>
      <c r="E10" s="30"/>
      <c r="F10" s="13"/>
      <c r="G10" s="13"/>
      <c r="H10" s="17"/>
      <c r="I10" s="15"/>
      <c r="J10" s="16"/>
      <c r="K10" s="17"/>
      <c r="L10" s="17"/>
      <c r="M10" s="19"/>
    </row>
    <row r="11" spans="2:15" ht="30" hidden="1" customHeight="1">
      <c r="B11" s="21"/>
      <c r="C11" s="12"/>
      <c r="D11" s="12"/>
      <c r="E11" s="30"/>
      <c r="F11" s="13"/>
      <c r="G11" s="13"/>
      <c r="H11" s="14"/>
      <c r="I11" s="15"/>
      <c r="J11" s="16"/>
      <c r="K11" s="17"/>
      <c r="L11" s="17"/>
      <c r="M11" s="19"/>
    </row>
    <row r="12" spans="2:15" ht="31.5" hidden="1" customHeight="1">
      <c r="B12" s="21"/>
      <c r="C12" s="12"/>
      <c r="D12" s="12"/>
      <c r="E12" s="30"/>
      <c r="F12" s="13"/>
      <c r="G12" s="13"/>
      <c r="H12" s="14"/>
      <c r="I12" s="15"/>
      <c r="J12" s="16"/>
      <c r="K12" s="20"/>
      <c r="L12" s="17"/>
      <c r="M12" s="19"/>
    </row>
    <row r="13" spans="2:15" ht="24.95" hidden="1" customHeight="1">
      <c r="B13" s="21"/>
      <c r="C13" s="12"/>
      <c r="D13" s="12"/>
      <c r="E13" s="30"/>
      <c r="F13" s="13"/>
      <c r="G13" s="13"/>
      <c r="H13" s="17"/>
      <c r="I13" s="15"/>
      <c r="J13" s="16"/>
      <c r="K13" s="17"/>
      <c r="L13" s="17"/>
      <c r="M13" s="19"/>
    </row>
    <row r="14" spans="2:15" ht="24.95" hidden="1" customHeight="1">
      <c r="B14" s="21"/>
      <c r="C14" s="12"/>
      <c r="D14" s="12"/>
      <c r="E14" s="31"/>
      <c r="F14" s="13"/>
      <c r="G14" s="13"/>
      <c r="H14" s="17"/>
      <c r="I14" s="15"/>
      <c r="J14" s="16"/>
      <c r="K14" s="17"/>
      <c r="L14" s="16"/>
      <c r="M14" s="19"/>
    </row>
    <row r="15" spans="2:15" ht="24.95" hidden="1" customHeight="1">
      <c r="B15" s="21"/>
      <c r="C15" s="12"/>
      <c r="D15" s="12"/>
      <c r="E15" s="31"/>
      <c r="F15" s="13"/>
      <c r="G15" s="13"/>
      <c r="H15" s="17"/>
      <c r="I15" s="15"/>
      <c r="J15" s="16"/>
      <c r="K15" s="17"/>
      <c r="L15" s="16"/>
      <c r="M15" s="19"/>
    </row>
    <row r="16" spans="2:15" ht="24.95" hidden="1" customHeight="1">
      <c r="B16" s="21"/>
      <c r="C16" s="12"/>
      <c r="D16" s="12"/>
      <c r="E16" s="31"/>
      <c r="F16" s="13"/>
      <c r="G16" s="13"/>
      <c r="H16" s="17"/>
      <c r="I16" s="15"/>
      <c r="J16" s="16"/>
      <c r="K16" s="17"/>
      <c r="L16" s="16"/>
      <c r="M16" s="19"/>
    </row>
    <row r="17" spans="2:14" ht="24.95" hidden="1" customHeight="1">
      <c r="B17" s="21"/>
      <c r="C17" s="12"/>
      <c r="D17" s="12"/>
      <c r="E17" s="31"/>
      <c r="F17" s="13"/>
      <c r="G17" s="13"/>
      <c r="H17" s="14"/>
      <c r="I17" s="15"/>
      <c r="J17" s="16"/>
      <c r="K17" s="17"/>
      <c r="L17" s="17"/>
      <c r="M17" s="19"/>
    </row>
    <row r="18" spans="2:14" ht="24.95" hidden="1" customHeight="1">
      <c r="B18" s="21"/>
      <c r="C18" s="12"/>
      <c r="D18" s="12"/>
      <c r="E18" s="31"/>
      <c r="F18" s="13"/>
      <c r="G18" s="13"/>
      <c r="H18" s="17"/>
      <c r="I18" s="15"/>
      <c r="J18" s="16"/>
      <c r="K18" s="17"/>
      <c r="L18" s="17"/>
      <c r="M18" s="19"/>
    </row>
    <row r="19" spans="2:14" ht="24.95" hidden="1" customHeight="1">
      <c r="B19" s="21"/>
      <c r="C19" s="12"/>
      <c r="D19" s="12"/>
      <c r="E19" s="18"/>
      <c r="F19" s="13"/>
      <c r="G19" s="13"/>
      <c r="H19" s="17"/>
      <c r="I19" s="17"/>
      <c r="J19" s="16"/>
      <c r="K19" s="17"/>
      <c r="L19" s="17"/>
      <c r="M19" s="19"/>
    </row>
    <row r="20" spans="2:14" ht="24.95" hidden="1" customHeight="1">
      <c r="B20" s="21"/>
      <c r="C20" s="12"/>
      <c r="D20" s="12"/>
      <c r="E20" s="18"/>
      <c r="F20" s="13"/>
      <c r="G20" s="13"/>
      <c r="H20" s="17"/>
      <c r="I20" s="17"/>
      <c r="J20" s="16"/>
      <c r="K20" s="17"/>
      <c r="L20" s="17"/>
      <c r="M20" s="19"/>
    </row>
    <row r="21" spans="2:14" ht="24.95" hidden="1" customHeight="1">
      <c r="B21" s="21"/>
      <c r="C21" s="12"/>
      <c r="D21" s="12"/>
      <c r="E21" s="18"/>
      <c r="F21" s="13"/>
      <c r="G21" s="13"/>
      <c r="H21" s="17"/>
      <c r="I21" s="17"/>
      <c r="J21" s="16"/>
      <c r="K21" s="17"/>
      <c r="L21" s="17"/>
      <c r="M21" s="19"/>
    </row>
    <row r="22" spans="2:14" ht="24.95" hidden="1" customHeight="1">
      <c r="B22" s="21"/>
      <c r="C22" s="12"/>
      <c r="D22" s="12"/>
      <c r="E22" s="18"/>
      <c r="F22" s="13"/>
      <c r="G22" s="13"/>
      <c r="H22" s="17"/>
      <c r="I22" s="17"/>
      <c r="J22" s="16"/>
      <c r="K22" s="17"/>
      <c r="L22" s="17"/>
      <c r="M22" s="19"/>
    </row>
    <row r="23" spans="2:14" ht="24.95" hidden="1" customHeight="1">
      <c r="B23" s="21"/>
      <c r="C23" s="12"/>
      <c r="D23" s="12"/>
      <c r="E23" s="18"/>
      <c r="F23" s="13"/>
      <c r="G23" s="13"/>
      <c r="H23" s="17"/>
      <c r="I23" s="17"/>
      <c r="J23" s="16"/>
      <c r="K23" s="17"/>
      <c r="L23" s="17"/>
      <c r="M23" s="19"/>
    </row>
    <row r="24" spans="2:14" ht="24.95" hidden="1" customHeight="1">
      <c r="B24" s="21"/>
      <c r="C24" s="12"/>
      <c r="D24" s="12"/>
      <c r="E24" s="18"/>
      <c r="F24" s="13"/>
      <c r="G24" s="13"/>
      <c r="H24" s="17"/>
      <c r="I24" s="17"/>
      <c r="J24" s="16"/>
      <c r="K24" s="17"/>
      <c r="L24" s="17"/>
      <c r="M24" s="19"/>
    </row>
    <row r="25" spans="2:14" ht="24.95" hidden="1" customHeight="1">
      <c r="B25" s="21"/>
      <c r="C25" s="12"/>
      <c r="D25" s="12"/>
      <c r="E25" s="18"/>
      <c r="F25" s="13"/>
      <c r="G25" s="13"/>
      <c r="H25" s="17"/>
      <c r="I25" s="17"/>
      <c r="J25" s="16"/>
      <c r="K25" s="17"/>
      <c r="L25" s="17"/>
      <c r="M25" s="19"/>
    </row>
    <row r="26" spans="2:14" ht="24.95" hidden="1" customHeight="1">
      <c r="B26" s="21"/>
      <c r="C26" s="12"/>
      <c r="D26" s="12"/>
      <c r="E26" s="18"/>
      <c r="F26" s="13"/>
      <c r="G26" s="13"/>
      <c r="H26" s="17"/>
      <c r="I26" s="17"/>
      <c r="J26" s="16"/>
      <c r="K26" s="17"/>
      <c r="L26" s="17"/>
      <c r="M26" s="19"/>
    </row>
    <row r="27" spans="2:14" ht="24.95" hidden="1" customHeight="1">
      <c r="B27" s="21"/>
      <c r="C27" s="12"/>
      <c r="D27" s="12"/>
      <c r="E27" s="18"/>
      <c r="F27" s="13"/>
      <c r="G27" s="13"/>
      <c r="H27" s="17"/>
      <c r="I27" s="17"/>
      <c r="J27" s="16"/>
      <c r="K27" s="17"/>
      <c r="L27" s="17"/>
      <c r="M27" s="19"/>
    </row>
    <row r="28" spans="2:14" ht="24.95" hidden="1" customHeight="1">
      <c r="B28" s="21"/>
      <c r="C28" s="12"/>
      <c r="D28" s="12"/>
      <c r="E28" s="18"/>
      <c r="F28" s="13"/>
      <c r="G28" s="13"/>
      <c r="H28" s="17"/>
      <c r="I28" s="17"/>
      <c r="J28" s="16"/>
      <c r="K28" s="17"/>
      <c r="L28" s="17"/>
      <c r="M28" s="19"/>
    </row>
    <row r="29" spans="2:14" ht="24.95" customHeight="1" thickBot="1">
      <c r="B29" s="22"/>
      <c r="C29" s="23"/>
      <c r="D29" s="23"/>
      <c r="E29" s="24"/>
      <c r="F29" s="25"/>
      <c r="G29" s="25"/>
      <c r="H29" s="26"/>
      <c r="I29" s="26"/>
      <c r="J29" s="27"/>
      <c r="K29" s="26"/>
      <c r="L29" s="26"/>
      <c r="M29" s="28"/>
    </row>
    <row r="30" spans="2:14" ht="38.1" customHeight="1" thickTop="1" thickBot="1">
      <c r="B30" s="843" t="s">
        <v>48</v>
      </c>
      <c r="C30" s="844"/>
      <c r="D30" s="844"/>
      <c r="E30" s="844"/>
      <c r="F30" s="844"/>
      <c r="G30" s="844"/>
      <c r="H30" s="844"/>
      <c r="I30" s="849">
        <f>0+L6*84.01+L7*84.01+L27*77.98+L8*109.25</f>
        <v>4402.2350000000006</v>
      </c>
      <c r="J30" s="847"/>
      <c r="K30" s="847"/>
      <c r="L30" s="848"/>
      <c r="M30" s="54"/>
      <c r="N30" s="45"/>
    </row>
    <row r="31" spans="2:14" ht="24.95" customHeight="1" thickTop="1">
      <c r="B31" s="871" t="s">
        <v>55</v>
      </c>
      <c r="C31" s="871"/>
      <c r="D31" s="871"/>
      <c r="E31" s="871"/>
      <c r="F31" s="871"/>
      <c r="G31" s="871"/>
      <c r="H31" s="871"/>
      <c r="I31" s="871"/>
      <c r="J31" s="871"/>
      <c r="K31" s="871"/>
      <c r="L31" s="871"/>
      <c r="M31" s="871"/>
    </row>
    <row r="32" spans="2:14" ht="24.95" customHeight="1">
      <c r="B32" s="890" t="s">
        <v>16</v>
      </c>
      <c r="C32" s="890"/>
      <c r="D32" s="890"/>
      <c r="E32" s="890"/>
      <c r="F32" s="890"/>
      <c r="G32" s="890"/>
      <c r="H32" s="890"/>
      <c r="I32" s="890"/>
      <c r="J32" s="890"/>
      <c r="K32" s="890"/>
      <c r="L32" s="890"/>
      <c r="M32" s="890"/>
    </row>
    <row r="33" spans="2:12" ht="20.100000000000001" customHeight="1">
      <c r="B33" s="29" t="s">
        <v>23</v>
      </c>
      <c r="C33" s="29"/>
      <c r="D33" s="29"/>
      <c r="E33" s="29"/>
      <c r="F33" s="29" t="s">
        <v>17</v>
      </c>
      <c r="G33" s="29"/>
      <c r="H33" s="29"/>
      <c r="I33" s="29"/>
      <c r="J33" s="29"/>
      <c r="K33" s="29"/>
      <c r="L33" s="29"/>
    </row>
    <row r="34" spans="2:12" ht="20.100000000000001" customHeight="1">
      <c r="B34" s="29" t="s">
        <v>18</v>
      </c>
      <c r="C34" s="29"/>
      <c r="D34" s="29"/>
      <c r="E34" s="29"/>
      <c r="F34" s="29" t="s">
        <v>18</v>
      </c>
      <c r="G34" s="29"/>
      <c r="H34" s="29"/>
      <c r="I34" s="29"/>
      <c r="J34" s="29"/>
      <c r="K34" s="29"/>
      <c r="L34" s="29"/>
    </row>
  </sheetData>
  <mergeCells count="14">
    <mergeCell ref="B32:M32"/>
    <mergeCell ref="B30:H30"/>
    <mergeCell ref="I30:L30"/>
    <mergeCell ref="B6:B8"/>
    <mergeCell ref="C6:C8"/>
    <mergeCell ref="D6:D8"/>
    <mergeCell ref="E6:E8"/>
    <mergeCell ref="F6:F8"/>
    <mergeCell ref="G6:G8"/>
    <mergeCell ref="B1:N1"/>
    <mergeCell ref="B2:N2"/>
    <mergeCell ref="B3:N3"/>
    <mergeCell ref="B4:L4"/>
    <mergeCell ref="B31:M31"/>
  </mergeCells>
  <pageMargins left="0.19" right="0.15" top="0.21" bottom="0.28000000000000003" header="0.3" footer="0.3"/>
  <pageSetup scale="7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B1:O15"/>
  <sheetViews>
    <sheetView workbookViewId="0">
      <pane xSplit="3" ySplit="5" topLeftCell="E6" activePane="bottomRight" state="frozen"/>
      <selection activeCell="B18" sqref="B18"/>
      <selection pane="topRight" activeCell="B18" sqref="B18"/>
      <selection pane="bottomLeft" activeCell="B18" sqref="B18"/>
      <selection pane="bottomRight" activeCell="A12" sqref="A12:XFD19"/>
    </sheetView>
  </sheetViews>
  <sheetFormatPr defaultRowHeight="15"/>
  <cols>
    <col min="1" max="1" width="1.140625" customWidth="1"/>
    <col min="2" max="2" width="6.140625" customWidth="1"/>
    <col min="3" max="3" width="15.28515625" customWidth="1"/>
    <col min="4" max="4" width="12.28515625" customWidth="1"/>
    <col min="5" max="5" width="17.42578125" customWidth="1"/>
    <col min="6" max="6" width="11.42578125" customWidth="1"/>
    <col min="7" max="7" width="12.28515625" customWidth="1"/>
    <col min="8" max="8" width="23" customWidth="1"/>
    <col min="9" max="9" width="19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0.5703125" customWidth="1"/>
    <col min="15" max="15" width="16.710937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>
      <c r="B3" s="861" t="s">
        <v>487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862"/>
    </row>
    <row r="5" spans="2:15" s="6" customFormat="1" ht="71.25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6" t="s">
        <v>462</v>
      </c>
    </row>
    <row r="6" spans="2:15" ht="59.25" customHeight="1">
      <c r="B6" s="243">
        <v>1</v>
      </c>
      <c r="C6" s="202" t="s">
        <v>425</v>
      </c>
      <c r="D6" s="220" t="s">
        <v>51</v>
      </c>
      <c r="E6" s="257" t="s">
        <v>422</v>
      </c>
      <c r="F6" s="242">
        <v>40456</v>
      </c>
      <c r="G6" s="244">
        <v>40457</v>
      </c>
      <c r="H6" s="202" t="s">
        <v>420</v>
      </c>
      <c r="I6" s="203" t="s">
        <v>421</v>
      </c>
      <c r="J6" s="220">
        <v>2</v>
      </c>
      <c r="K6" s="202" t="s">
        <v>437</v>
      </c>
      <c r="L6" s="220">
        <v>18</v>
      </c>
      <c r="M6" s="205" t="s">
        <v>431</v>
      </c>
      <c r="N6" s="18"/>
      <c r="O6" s="55"/>
    </row>
    <row r="7" spans="2:15" ht="24.95" hidden="1" customHeight="1">
      <c r="B7" s="198"/>
      <c r="C7" s="12"/>
      <c r="D7" s="12"/>
      <c r="E7" s="199"/>
      <c r="F7" s="13"/>
      <c r="G7" s="13"/>
      <c r="H7" s="14"/>
      <c r="I7" s="15"/>
      <c r="J7" s="16"/>
      <c r="K7" s="17"/>
      <c r="L7" s="16"/>
      <c r="M7" s="18" t="s">
        <v>36</v>
      </c>
      <c r="N7" s="18"/>
      <c r="O7" s="55"/>
    </row>
    <row r="8" spans="2:15" ht="24.95" hidden="1" customHeight="1">
      <c r="B8" s="198"/>
      <c r="C8" s="12"/>
      <c r="D8" s="12"/>
      <c r="E8" s="18"/>
      <c r="F8" s="13"/>
      <c r="G8" s="13"/>
      <c r="H8" s="17"/>
      <c r="I8" s="17"/>
      <c r="J8" s="16"/>
      <c r="K8" s="17"/>
      <c r="L8" s="17"/>
      <c r="M8" s="18"/>
      <c r="N8" s="18"/>
      <c r="O8" s="55"/>
    </row>
    <row r="9" spans="2:15" ht="24.95" hidden="1" customHeight="1">
      <c r="B9" s="198"/>
      <c r="C9" s="12"/>
      <c r="D9" s="12"/>
      <c r="E9" s="18"/>
      <c r="F9" s="13"/>
      <c r="G9" s="13"/>
      <c r="H9" s="17"/>
      <c r="I9" s="17"/>
      <c r="J9" s="16"/>
      <c r="K9" s="17"/>
      <c r="L9" s="17"/>
      <c r="M9" s="18"/>
      <c r="N9" s="18"/>
      <c r="O9" s="55"/>
    </row>
    <row r="10" spans="2:15" ht="24.95" hidden="1" customHeight="1" thickBot="1">
      <c r="B10" s="198"/>
      <c r="C10" s="12"/>
      <c r="D10" s="12"/>
      <c r="E10" s="18"/>
      <c r="F10" s="13"/>
      <c r="G10" s="13"/>
      <c r="H10" s="17"/>
      <c r="I10" s="17"/>
      <c r="J10" s="16"/>
      <c r="K10" s="17"/>
      <c r="L10" s="17"/>
      <c r="M10" s="18"/>
      <c r="N10" s="18"/>
      <c r="O10" s="55"/>
    </row>
    <row r="11" spans="2:15" ht="38.1" customHeight="1" thickBot="1">
      <c r="B11" s="868" t="s">
        <v>48</v>
      </c>
      <c r="C11" s="869"/>
      <c r="D11" s="869"/>
      <c r="E11" s="869"/>
      <c r="F11" s="869"/>
      <c r="G11" s="869"/>
      <c r="H11" s="869"/>
      <c r="I11" s="870">
        <f>L6*84.01+12833.04</f>
        <v>14345.220000000001</v>
      </c>
      <c r="J11" s="870"/>
      <c r="K11" s="870"/>
      <c r="L11" s="870"/>
      <c r="M11" s="870"/>
      <c r="N11" s="56"/>
      <c r="O11" s="57"/>
    </row>
    <row r="12" spans="2:15" ht="264" customHeight="1" thickTop="1">
      <c r="B12" s="975" t="s">
        <v>507</v>
      </c>
      <c r="C12" s="937"/>
      <c r="D12" s="937"/>
      <c r="E12" s="937"/>
      <c r="F12" s="937"/>
      <c r="G12" s="937"/>
      <c r="H12" s="937"/>
      <c r="I12" s="937"/>
      <c r="J12" s="937"/>
      <c r="K12" s="937"/>
      <c r="L12" s="937"/>
      <c r="M12" s="937"/>
      <c r="N12" s="937"/>
    </row>
    <row r="13" spans="2:15" ht="24.95" hidden="1" customHeight="1">
      <c r="B13" s="890" t="s">
        <v>16</v>
      </c>
      <c r="C13" s="890"/>
      <c r="D13" s="890"/>
      <c r="E13" s="890"/>
      <c r="F13" s="890"/>
      <c r="G13" s="890"/>
      <c r="H13" s="890"/>
      <c r="I13" s="890"/>
      <c r="J13" s="890"/>
      <c r="K13" s="890"/>
      <c r="L13" s="890"/>
      <c r="M13" s="890"/>
      <c r="N13" s="890"/>
    </row>
    <row r="14" spans="2:15" ht="28.5" customHeight="1">
      <c r="B14" s="29" t="s">
        <v>23</v>
      </c>
      <c r="C14" s="29"/>
      <c r="D14" s="29"/>
      <c r="E14" s="29"/>
      <c r="F14" s="29" t="s">
        <v>17</v>
      </c>
      <c r="G14" s="29"/>
      <c r="H14" s="29"/>
      <c r="I14" s="29"/>
      <c r="J14" s="29"/>
      <c r="K14" s="29"/>
      <c r="M14" s="29"/>
    </row>
    <row r="15" spans="2:15" ht="34.5" customHeight="1">
      <c r="B15" s="29" t="s">
        <v>18</v>
      </c>
      <c r="C15" s="29"/>
      <c r="D15" s="29"/>
      <c r="E15" s="29"/>
      <c r="F15" s="29" t="s">
        <v>18</v>
      </c>
      <c r="G15" s="29"/>
      <c r="H15" s="29"/>
      <c r="I15" s="29"/>
      <c r="J15" s="29"/>
      <c r="K15" s="29"/>
      <c r="M15" s="29"/>
    </row>
  </sheetData>
  <mergeCells count="8">
    <mergeCell ref="B13:N13"/>
    <mergeCell ref="B1:N1"/>
    <mergeCell ref="B3:N3"/>
    <mergeCell ref="B4:M4"/>
    <mergeCell ref="B11:H11"/>
    <mergeCell ref="I11:M11"/>
    <mergeCell ref="B12:N12"/>
    <mergeCell ref="B2:N2"/>
  </mergeCells>
  <pageMargins left="0.19" right="0.15" top="0.21" bottom="0.28000000000000003" header="0.3" footer="0.3"/>
  <pageSetup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B1:P22"/>
  <sheetViews>
    <sheetView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L11" sqref="L11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9.85546875" customWidth="1"/>
    <col min="5" max="5" width="12" customWidth="1"/>
    <col min="6" max="7" width="9.7109375" customWidth="1"/>
    <col min="8" max="8" width="22.855468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42578125" customWidth="1"/>
    <col min="14" max="14" width="28.42578125" customWidth="1"/>
    <col min="15" max="15" width="13.140625" customWidth="1"/>
    <col min="16" max="16" width="7.4257812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ht="9" hidden="1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79"/>
    </row>
    <row r="5" spans="2:16" s="6" customFormat="1" ht="39.950000000000003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726</v>
      </c>
      <c r="N5" s="34" t="s">
        <v>14</v>
      </c>
      <c r="O5" s="34" t="s">
        <v>9</v>
      </c>
      <c r="P5" s="36" t="s">
        <v>10</v>
      </c>
    </row>
    <row r="6" spans="2:16" ht="24.95" customHeight="1">
      <c r="B6" s="977">
        <v>1</v>
      </c>
      <c r="C6" s="976" t="s">
        <v>19</v>
      </c>
      <c r="D6" s="976" t="s">
        <v>53</v>
      </c>
      <c r="E6" s="976">
        <v>148912</v>
      </c>
      <c r="F6" s="981">
        <v>40498</v>
      </c>
      <c r="G6" s="981">
        <v>40500</v>
      </c>
      <c r="H6" s="516" t="s">
        <v>729</v>
      </c>
      <c r="I6" s="517">
        <v>3374500140</v>
      </c>
      <c r="J6" s="518">
        <v>1</v>
      </c>
      <c r="K6" s="516" t="s">
        <v>732</v>
      </c>
      <c r="L6" s="518">
        <v>3</v>
      </c>
      <c r="M6" s="982" t="s">
        <v>738</v>
      </c>
      <c r="N6" s="519" t="s">
        <v>866</v>
      </c>
      <c r="O6" s="520">
        <v>3454205200</v>
      </c>
      <c r="P6" s="521">
        <v>1</v>
      </c>
    </row>
    <row r="7" spans="2:16" ht="24.95" customHeight="1">
      <c r="B7" s="852"/>
      <c r="C7" s="855"/>
      <c r="D7" s="855"/>
      <c r="E7" s="855"/>
      <c r="F7" s="839"/>
      <c r="G7" s="839"/>
      <c r="H7" s="522" t="s">
        <v>656</v>
      </c>
      <c r="I7" s="517">
        <v>3374500130</v>
      </c>
      <c r="J7" s="518">
        <v>1</v>
      </c>
      <c r="K7" s="516"/>
      <c r="L7" s="518"/>
      <c r="M7" s="983"/>
      <c r="N7" s="519" t="s">
        <v>734</v>
      </c>
      <c r="O7" s="520">
        <v>3423001290</v>
      </c>
      <c r="P7" s="521">
        <v>2</v>
      </c>
    </row>
    <row r="8" spans="2:16" ht="36.75" customHeight="1">
      <c r="B8" s="852"/>
      <c r="C8" s="855"/>
      <c r="D8" s="855"/>
      <c r="E8" s="855"/>
      <c r="F8" s="839"/>
      <c r="G8" s="839"/>
      <c r="H8" s="522" t="s">
        <v>730</v>
      </c>
      <c r="I8" s="517">
        <v>3423012040</v>
      </c>
      <c r="J8" s="518">
        <v>1</v>
      </c>
      <c r="K8" s="516"/>
      <c r="L8" s="518"/>
      <c r="M8" s="983"/>
      <c r="N8" s="519" t="s">
        <v>867</v>
      </c>
      <c r="O8" s="520"/>
      <c r="P8" s="521">
        <v>1</v>
      </c>
    </row>
    <row r="9" spans="2:16" ht="24.95" customHeight="1">
      <c r="B9" s="852"/>
      <c r="C9" s="855"/>
      <c r="D9" s="855"/>
      <c r="E9" s="855"/>
      <c r="F9" s="839"/>
      <c r="G9" s="839"/>
      <c r="H9" s="522" t="s">
        <v>690</v>
      </c>
      <c r="I9" s="517">
        <v>3433400131</v>
      </c>
      <c r="J9" s="518">
        <v>1</v>
      </c>
      <c r="K9" s="516"/>
      <c r="L9" s="518"/>
      <c r="M9" s="983"/>
      <c r="N9" s="519" t="s">
        <v>736</v>
      </c>
      <c r="O9" s="519" t="s">
        <v>735</v>
      </c>
      <c r="P9" s="521">
        <v>2</v>
      </c>
    </row>
    <row r="10" spans="2:16" ht="24.95" customHeight="1">
      <c r="B10" s="852"/>
      <c r="C10" s="855"/>
      <c r="D10" s="855"/>
      <c r="E10" s="855"/>
      <c r="F10" s="839"/>
      <c r="G10" s="839"/>
      <c r="H10" s="516" t="s">
        <v>649</v>
      </c>
      <c r="I10" s="516" t="s">
        <v>646</v>
      </c>
      <c r="J10" s="518">
        <v>1</v>
      </c>
      <c r="K10" s="516"/>
      <c r="L10" s="516"/>
      <c r="M10" s="983"/>
      <c r="N10" s="519"/>
      <c r="O10" s="520"/>
      <c r="P10" s="523"/>
    </row>
    <row r="11" spans="2:16" ht="24.95" customHeight="1">
      <c r="B11" s="858"/>
      <c r="C11" s="859"/>
      <c r="D11" s="859"/>
      <c r="E11" s="859"/>
      <c r="F11" s="840"/>
      <c r="G11" s="840"/>
      <c r="H11" s="516" t="s">
        <v>731</v>
      </c>
      <c r="I11" s="517">
        <v>3423004920</v>
      </c>
      <c r="J11" s="518">
        <v>4</v>
      </c>
      <c r="K11" s="516"/>
      <c r="L11" s="516"/>
      <c r="M11" s="984"/>
      <c r="N11" s="519"/>
      <c r="O11" s="520"/>
      <c r="P11" s="523"/>
    </row>
    <row r="12" spans="2:16" ht="38.1" customHeight="1" thickBot="1">
      <c r="B12" s="978" t="s">
        <v>48</v>
      </c>
      <c r="C12" s="979"/>
      <c r="D12" s="979"/>
      <c r="E12" s="979"/>
      <c r="F12" s="979"/>
      <c r="G12" s="979"/>
      <c r="H12" s="979"/>
      <c r="I12" s="980">
        <f>2097.81+1028.78+724.1+160.16+1532.94+1406.98+3*122.28</f>
        <v>7317.6100000000006</v>
      </c>
      <c r="J12" s="980"/>
      <c r="K12" s="980"/>
      <c r="L12" s="980"/>
      <c r="M12" s="524"/>
      <c r="N12" s="525"/>
      <c r="O12" s="526"/>
      <c r="P12" s="527"/>
    </row>
    <row r="13" spans="2:16" ht="409.5" customHeight="1" thickTop="1">
      <c r="B13" s="975" t="s">
        <v>728</v>
      </c>
      <c r="C13" s="937"/>
      <c r="D13" s="937"/>
      <c r="E13" s="937"/>
      <c r="F13" s="937"/>
      <c r="G13" s="937"/>
      <c r="H13" s="937"/>
      <c r="I13" s="937"/>
      <c r="J13" s="937"/>
      <c r="K13" s="937"/>
      <c r="L13" s="937"/>
      <c r="M13" s="937"/>
      <c r="N13" s="937"/>
    </row>
    <row r="14" spans="2:16" ht="28.5" customHeight="1">
      <c r="B14" s="29" t="s">
        <v>23</v>
      </c>
      <c r="C14" s="29"/>
      <c r="D14" s="29"/>
      <c r="E14" s="29"/>
      <c r="F14" s="29" t="s">
        <v>17</v>
      </c>
      <c r="G14" s="29"/>
      <c r="H14" s="29"/>
      <c r="I14" s="29"/>
      <c r="J14" s="29"/>
      <c r="K14" s="29"/>
      <c r="M14" s="29"/>
    </row>
    <row r="15" spans="2:16" ht="34.5" customHeight="1">
      <c r="B15" s="29" t="s">
        <v>18</v>
      </c>
      <c r="C15" s="29"/>
      <c r="D15" s="29"/>
      <c r="E15" s="29"/>
      <c r="F15" s="29" t="s">
        <v>18</v>
      </c>
      <c r="G15" s="29"/>
      <c r="H15" s="29"/>
      <c r="I15" s="29"/>
      <c r="J15" s="29"/>
      <c r="K15" s="29"/>
      <c r="M15" s="29"/>
    </row>
    <row r="22" spans="8:11">
      <c r="H22" s="435"/>
      <c r="I22" s="435"/>
      <c r="J22" s="435"/>
      <c r="K22" s="435"/>
    </row>
  </sheetData>
  <mergeCells count="14">
    <mergeCell ref="B13:N13"/>
    <mergeCell ref="C6:C11"/>
    <mergeCell ref="B6:B11"/>
    <mergeCell ref="B1:N1"/>
    <mergeCell ref="B2:N2"/>
    <mergeCell ref="B3:N3"/>
    <mergeCell ref="B4:L4"/>
    <mergeCell ref="B12:H12"/>
    <mergeCell ref="I12:L12"/>
    <mergeCell ref="D6:D11"/>
    <mergeCell ref="E6:E11"/>
    <mergeCell ref="F6:F11"/>
    <mergeCell ref="G6:G11"/>
    <mergeCell ref="M6:M11"/>
  </mergeCells>
  <pageMargins left="0.19" right="0.15" top="0.21" bottom="0.28000000000000003" header="0.3" footer="0.3"/>
  <pageSetup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47"/>
  <sheetViews>
    <sheetView workbookViewId="0">
      <pane xSplit="2" ySplit="5" topLeftCell="C6" activePane="bottomRight" state="frozen"/>
      <selection activeCell="B18" sqref="B18"/>
      <selection pane="topRight" activeCell="B18" sqref="B18"/>
      <selection pane="bottomLeft" activeCell="B18" sqref="B18"/>
      <selection pane="bottomRight" activeCell="D6" sqref="D6:D27"/>
    </sheetView>
  </sheetViews>
  <sheetFormatPr defaultRowHeight="15"/>
  <cols>
    <col min="1" max="1" width="6.140625" customWidth="1"/>
    <col min="2" max="2" width="13" customWidth="1"/>
    <col min="3" max="3" width="10.85546875" customWidth="1"/>
    <col min="4" max="4" width="13.42578125" customWidth="1"/>
    <col min="5" max="5" width="10.28515625" customWidth="1"/>
    <col min="6" max="6" width="12.28515625" customWidth="1"/>
    <col min="7" max="7" width="26.7109375" customWidth="1"/>
    <col min="8" max="8" width="9.42578125" customWidth="1"/>
    <col min="9" max="9" width="6.28515625" customWidth="1"/>
    <col min="10" max="10" width="11.7109375" customWidth="1"/>
    <col min="11" max="11" width="6.42578125" customWidth="1"/>
    <col min="12" max="12" width="12" customWidth="1"/>
    <col min="13" max="13" width="27.85546875" customWidth="1"/>
    <col min="14" max="14" width="14.5703125" customWidth="1"/>
    <col min="15" max="15" width="7.42578125" customWidth="1"/>
  </cols>
  <sheetData>
    <row r="1" spans="1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5" ht="27" customHeigh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5" ht="9" customHeight="1" thickBot="1">
      <c r="A4" s="862"/>
      <c r="B4" s="862"/>
      <c r="C4" s="862"/>
      <c r="D4" s="862"/>
      <c r="E4" s="862"/>
      <c r="F4" s="862"/>
      <c r="G4" s="862"/>
      <c r="H4" s="862"/>
      <c r="I4" s="862"/>
      <c r="J4" s="862"/>
      <c r="K4" s="862"/>
    </row>
    <row r="5" spans="1:15" s="6" customFormat="1" ht="39.950000000000003" customHeight="1" thickTop="1">
      <c r="A5" s="33" t="s">
        <v>2</v>
      </c>
      <c r="B5" s="34" t="s">
        <v>3</v>
      </c>
      <c r="C5" s="35" t="s">
        <v>4</v>
      </c>
      <c r="D5" s="34" t="s">
        <v>5</v>
      </c>
      <c r="E5" s="34" t="s">
        <v>6</v>
      </c>
      <c r="F5" s="34" t="s">
        <v>7</v>
      </c>
      <c r="G5" s="35" t="s">
        <v>8</v>
      </c>
      <c r="H5" s="34" t="s">
        <v>9</v>
      </c>
      <c r="I5" s="34" t="s">
        <v>10</v>
      </c>
      <c r="J5" s="34" t="s">
        <v>11</v>
      </c>
      <c r="K5" s="34" t="s">
        <v>12</v>
      </c>
      <c r="L5" s="34" t="s">
        <v>13</v>
      </c>
      <c r="M5" s="34" t="s">
        <v>14</v>
      </c>
      <c r="N5" s="34" t="s">
        <v>462</v>
      </c>
      <c r="O5" s="36" t="s">
        <v>495</v>
      </c>
    </row>
    <row r="6" spans="1:15" ht="47.25" customHeight="1">
      <c r="A6" s="872">
        <v>1</v>
      </c>
      <c r="B6" s="986" t="s">
        <v>50</v>
      </c>
      <c r="C6" s="986" t="s">
        <v>81</v>
      </c>
      <c r="D6" s="873" t="s">
        <v>434</v>
      </c>
      <c r="E6" s="925">
        <v>40457</v>
      </c>
      <c r="F6" s="925">
        <v>40458</v>
      </c>
      <c r="G6" s="924" t="s">
        <v>436</v>
      </c>
      <c r="H6" s="987"/>
      <c r="I6" s="987"/>
      <c r="J6" s="12" t="s">
        <v>32</v>
      </c>
      <c r="K6" s="251">
        <v>19</v>
      </c>
      <c r="L6" s="900" t="s">
        <v>431</v>
      </c>
      <c r="M6" s="18" t="s">
        <v>474</v>
      </c>
      <c r="N6" s="266" t="s">
        <v>163</v>
      </c>
      <c r="O6" s="223" t="s">
        <v>496</v>
      </c>
    </row>
    <row r="7" spans="1:15" ht="24.95" hidden="1" customHeight="1">
      <c r="A7" s="872"/>
      <c r="B7" s="986"/>
      <c r="C7" s="986"/>
      <c r="D7" s="873"/>
      <c r="E7" s="925"/>
      <c r="F7" s="925"/>
      <c r="G7" s="924"/>
      <c r="H7" s="987"/>
      <c r="I7" s="987"/>
      <c r="J7" s="17" t="s">
        <v>33</v>
      </c>
      <c r="K7" s="255">
        <v>32</v>
      </c>
      <c r="L7" s="900"/>
      <c r="M7" s="18"/>
      <c r="N7" s="267"/>
      <c r="O7" s="214"/>
    </row>
    <row r="8" spans="1:15" ht="24.95" hidden="1" customHeight="1">
      <c r="A8" s="872"/>
      <c r="B8" s="986"/>
      <c r="C8" s="986"/>
      <c r="D8" s="873"/>
      <c r="E8" s="925"/>
      <c r="F8" s="925"/>
      <c r="G8" s="924"/>
      <c r="H8" s="987"/>
      <c r="I8" s="987"/>
      <c r="J8" s="17"/>
      <c r="K8" s="255"/>
      <c r="L8" s="900"/>
      <c r="M8" s="18"/>
      <c r="N8" s="267"/>
      <c r="O8" s="214"/>
    </row>
    <row r="9" spans="1:15" ht="35.25" hidden="1" customHeight="1">
      <c r="A9" s="872"/>
      <c r="B9" s="986"/>
      <c r="C9" s="986"/>
      <c r="D9" s="873"/>
      <c r="E9" s="925"/>
      <c r="F9" s="925"/>
      <c r="G9" s="924"/>
      <c r="H9" s="987"/>
      <c r="I9" s="987"/>
      <c r="J9" s="32"/>
      <c r="K9" s="17"/>
      <c r="L9" s="900"/>
      <c r="M9" s="18"/>
      <c r="N9" s="267"/>
      <c r="O9" s="214"/>
    </row>
    <row r="10" spans="1:15" ht="24.95" hidden="1" customHeight="1">
      <c r="A10" s="872"/>
      <c r="B10" s="986"/>
      <c r="C10" s="986"/>
      <c r="D10" s="873"/>
      <c r="E10" s="925"/>
      <c r="F10" s="925"/>
      <c r="G10" s="924"/>
      <c r="H10" s="987"/>
      <c r="I10" s="987"/>
      <c r="J10" s="17"/>
      <c r="K10" s="17"/>
      <c r="L10" s="900"/>
      <c r="M10" s="18"/>
      <c r="N10" s="267"/>
      <c r="O10" s="214"/>
    </row>
    <row r="11" spans="1:15" ht="24.95" hidden="1" customHeight="1">
      <c r="A11" s="872"/>
      <c r="B11" s="986"/>
      <c r="C11" s="986"/>
      <c r="D11" s="873"/>
      <c r="E11" s="925"/>
      <c r="F11" s="925"/>
      <c r="G11" s="924"/>
      <c r="H11" s="987"/>
      <c r="I11" s="987"/>
      <c r="J11" s="17"/>
      <c r="K11" s="255"/>
      <c r="L11" s="900"/>
      <c r="M11" s="18"/>
      <c r="N11" s="267"/>
      <c r="O11" s="214"/>
    </row>
    <row r="12" spans="1:15" ht="24.95" hidden="1" customHeight="1">
      <c r="A12" s="872"/>
      <c r="B12" s="986"/>
      <c r="C12" s="986"/>
      <c r="D12" s="873"/>
      <c r="E12" s="925"/>
      <c r="F12" s="925"/>
      <c r="G12" s="924"/>
      <c r="H12" s="987"/>
      <c r="I12" s="987"/>
      <c r="J12" s="17"/>
      <c r="K12" s="255"/>
      <c r="L12" s="900"/>
      <c r="M12" s="18"/>
      <c r="N12" s="267"/>
      <c r="O12" s="214"/>
    </row>
    <row r="13" spans="1:15" ht="24.95" hidden="1" customHeight="1">
      <c r="A13" s="872"/>
      <c r="B13" s="986"/>
      <c r="C13" s="986"/>
      <c r="D13" s="873"/>
      <c r="E13" s="925"/>
      <c r="F13" s="925"/>
      <c r="G13" s="924"/>
      <c r="H13" s="987"/>
      <c r="I13" s="987"/>
      <c r="J13" s="17"/>
      <c r="K13" s="255"/>
      <c r="L13" s="900"/>
      <c r="M13" s="18"/>
      <c r="N13" s="267"/>
      <c r="O13" s="214"/>
    </row>
    <row r="14" spans="1:15" ht="24.95" hidden="1" customHeight="1">
      <c r="A14" s="872"/>
      <c r="B14" s="986"/>
      <c r="C14" s="986"/>
      <c r="D14" s="873"/>
      <c r="E14" s="925"/>
      <c r="F14" s="925"/>
      <c r="G14" s="924"/>
      <c r="H14" s="987"/>
      <c r="I14" s="987"/>
      <c r="J14" s="17"/>
      <c r="K14" s="17"/>
      <c r="L14" s="900"/>
      <c r="M14" s="18"/>
      <c r="N14" s="267"/>
      <c r="O14" s="214"/>
    </row>
    <row r="15" spans="1:15" ht="24.95" hidden="1" customHeight="1">
      <c r="A15" s="872"/>
      <c r="B15" s="986"/>
      <c r="C15" s="986"/>
      <c r="D15" s="873"/>
      <c r="E15" s="925"/>
      <c r="F15" s="925"/>
      <c r="G15" s="924"/>
      <c r="H15" s="987"/>
      <c r="I15" s="987"/>
      <c r="J15" s="17"/>
      <c r="K15" s="17"/>
      <c r="L15" s="900"/>
      <c r="M15" s="18"/>
      <c r="N15" s="267"/>
      <c r="O15" s="214"/>
    </row>
    <row r="16" spans="1:15" ht="24.95" hidden="1" customHeight="1">
      <c r="A16" s="872"/>
      <c r="B16" s="986"/>
      <c r="C16" s="986"/>
      <c r="D16" s="873"/>
      <c r="E16" s="925"/>
      <c r="F16" s="925"/>
      <c r="G16" s="924"/>
      <c r="H16" s="987"/>
      <c r="I16" s="987"/>
      <c r="J16" s="17"/>
      <c r="K16" s="17"/>
      <c r="L16" s="900"/>
      <c r="M16" s="18"/>
      <c r="N16" s="267"/>
      <c r="O16" s="214"/>
    </row>
    <row r="17" spans="1:15" ht="24.95" hidden="1" customHeight="1">
      <c r="A17" s="872"/>
      <c r="B17" s="986"/>
      <c r="C17" s="986"/>
      <c r="D17" s="873"/>
      <c r="E17" s="925"/>
      <c r="F17" s="925"/>
      <c r="G17" s="924"/>
      <c r="H17" s="987"/>
      <c r="I17" s="987"/>
      <c r="J17" s="17"/>
      <c r="K17" s="17"/>
      <c r="L17" s="900"/>
      <c r="M17" s="18"/>
      <c r="N17" s="267"/>
      <c r="O17" s="214"/>
    </row>
    <row r="18" spans="1:15" ht="24.95" hidden="1" customHeight="1">
      <c r="A18" s="872"/>
      <c r="B18" s="986"/>
      <c r="C18" s="986"/>
      <c r="D18" s="873"/>
      <c r="E18" s="925"/>
      <c r="F18" s="925"/>
      <c r="G18" s="924"/>
      <c r="H18" s="987"/>
      <c r="I18" s="987"/>
      <c r="J18" s="17"/>
      <c r="K18" s="17"/>
      <c r="L18" s="900"/>
      <c r="M18" s="18"/>
      <c r="N18" s="267"/>
      <c r="O18" s="214"/>
    </row>
    <row r="19" spans="1:15" ht="24.95" hidden="1" customHeight="1">
      <c r="A19" s="872"/>
      <c r="B19" s="986"/>
      <c r="C19" s="986"/>
      <c r="D19" s="873"/>
      <c r="E19" s="925"/>
      <c r="F19" s="925"/>
      <c r="G19" s="924"/>
      <c r="H19" s="987"/>
      <c r="I19" s="987"/>
      <c r="J19" s="17"/>
      <c r="K19" s="17"/>
      <c r="L19" s="900"/>
      <c r="M19" s="18"/>
      <c r="N19" s="267"/>
      <c r="O19" s="214"/>
    </row>
    <row r="20" spans="1:15" ht="24.95" hidden="1" customHeight="1">
      <c r="A20" s="872"/>
      <c r="B20" s="986"/>
      <c r="C20" s="986"/>
      <c r="D20" s="873"/>
      <c r="E20" s="925"/>
      <c r="F20" s="925"/>
      <c r="G20" s="924"/>
      <c r="H20" s="987"/>
      <c r="I20" s="987"/>
      <c r="J20" s="17"/>
      <c r="K20" s="17"/>
      <c r="L20" s="900"/>
      <c r="M20" s="18"/>
      <c r="N20" s="267"/>
      <c r="O20" s="214"/>
    </row>
    <row r="21" spans="1:15" ht="24.95" hidden="1" customHeight="1">
      <c r="A21" s="872"/>
      <c r="B21" s="986"/>
      <c r="C21" s="986"/>
      <c r="D21" s="873"/>
      <c r="E21" s="925"/>
      <c r="F21" s="925"/>
      <c r="G21" s="924"/>
      <c r="H21" s="987"/>
      <c r="I21" s="987"/>
      <c r="J21" s="17"/>
      <c r="K21" s="17"/>
      <c r="L21" s="900"/>
      <c r="M21" s="18"/>
      <c r="N21" s="267"/>
      <c r="O21" s="214"/>
    </row>
    <row r="22" spans="1:15" ht="24.95" hidden="1" customHeight="1">
      <c r="A22" s="872"/>
      <c r="B22" s="986"/>
      <c r="C22" s="986"/>
      <c r="D22" s="873"/>
      <c r="E22" s="925"/>
      <c r="F22" s="925"/>
      <c r="G22" s="924"/>
      <c r="H22" s="987"/>
      <c r="I22" s="987"/>
      <c r="J22" s="17"/>
      <c r="K22" s="17"/>
      <c r="L22" s="900"/>
      <c r="M22" s="18"/>
      <c r="N22" s="267"/>
      <c r="O22" s="214"/>
    </row>
    <row r="23" spans="1:15" ht="24.95" hidden="1" customHeight="1">
      <c r="A23" s="872"/>
      <c r="B23" s="986"/>
      <c r="C23" s="986"/>
      <c r="D23" s="873"/>
      <c r="E23" s="925"/>
      <c r="F23" s="925"/>
      <c r="G23" s="924"/>
      <c r="H23" s="987"/>
      <c r="I23" s="987"/>
      <c r="J23" s="17"/>
      <c r="K23" s="17"/>
      <c r="L23" s="900"/>
      <c r="M23" s="18"/>
      <c r="N23" s="267"/>
      <c r="O23" s="214"/>
    </row>
    <row r="24" spans="1:15" ht="24.95" hidden="1" customHeight="1">
      <c r="A24" s="872"/>
      <c r="B24" s="986"/>
      <c r="C24" s="986"/>
      <c r="D24" s="873"/>
      <c r="E24" s="925"/>
      <c r="F24" s="925"/>
      <c r="G24" s="924"/>
      <c r="H24" s="987"/>
      <c r="I24" s="987"/>
      <c r="J24" s="17"/>
      <c r="K24" s="17"/>
      <c r="L24" s="900"/>
      <c r="M24" s="18"/>
      <c r="N24" s="267"/>
      <c r="O24" s="214"/>
    </row>
    <row r="25" spans="1:15" ht="24.95" hidden="1" customHeight="1">
      <c r="A25" s="872"/>
      <c r="B25" s="986"/>
      <c r="C25" s="986"/>
      <c r="D25" s="873"/>
      <c r="E25" s="925"/>
      <c r="F25" s="925"/>
      <c r="G25" s="924"/>
      <c r="H25" s="987"/>
      <c r="I25" s="987"/>
      <c r="J25" s="17"/>
      <c r="K25" s="17"/>
      <c r="L25" s="900"/>
      <c r="M25" s="18"/>
      <c r="N25" s="267"/>
      <c r="O25" s="214"/>
    </row>
    <row r="26" spans="1:15" ht="24.95" hidden="1" customHeight="1">
      <c r="A26" s="872"/>
      <c r="B26" s="986"/>
      <c r="C26" s="986"/>
      <c r="D26" s="873"/>
      <c r="E26" s="925"/>
      <c r="F26" s="925"/>
      <c r="G26" s="924"/>
      <c r="H26" s="987"/>
      <c r="I26" s="987"/>
      <c r="J26" s="17"/>
      <c r="K26" s="17"/>
      <c r="L26" s="900"/>
      <c r="M26" s="18"/>
      <c r="N26" s="267"/>
      <c r="O26" s="214"/>
    </row>
    <row r="27" spans="1:15" ht="24.95" customHeight="1">
      <c r="A27" s="872"/>
      <c r="B27" s="986"/>
      <c r="C27" s="986"/>
      <c r="D27" s="873"/>
      <c r="E27" s="925"/>
      <c r="F27" s="925"/>
      <c r="G27" s="924"/>
      <c r="H27" s="987"/>
      <c r="I27" s="987"/>
      <c r="J27" s="17" t="s">
        <v>38</v>
      </c>
      <c r="K27" s="17">
        <v>15</v>
      </c>
      <c r="L27" s="900"/>
      <c r="M27" s="18" t="s">
        <v>473</v>
      </c>
      <c r="N27" s="266" t="s">
        <v>83</v>
      </c>
      <c r="O27" s="223" t="s">
        <v>496</v>
      </c>
    </row>
    <row r="28" spans="1:15" ht="38.1" customHeight="1" thickBot="1">
      <c r="A28" s="868" t="s">
        <v>48</v>
      </c>
      <c r="B28" s="869"/>
      <c r="C28" s="869"/>
      <c r="D28" s="869"/>
      <c r="E28" s="869"/>
      <c r="F28" s="869"/>
      <c r="G28" s="869"/>
      <c r="H28" s="870">
        <f>K6*84.01+K27*77.98</f>
        <v>2765.8900000000003</v>
      </c>
      <c r="I28" s="870"/>
      <c r="J28" s="870"/>
      <c r="K28" s="870"/>
      <c r="L28" s="89"/>
      <c r="M28" s="56"/>
      <c r="N28" s="268"/>
      <c r="O28" s="59"/>
    </row>
    <row r="29" spans="1:15" ht="255" customHeight="1" thickTop="1">
      <c r="A29" s="905" t="s">
        <v>504</v>
      </c>
      <c r="B29" s="906"/>
      <c r="C29" s="906"/>
      <c r="D29" s="906"/>
      <c r="E29" s="906"/>
      <c r="F29" s="906"/>
      <c r="G29" s="906"/>
      <c r="H29" s="906"/>
      <c r="I29" s="906"/>
      <c r="J29" s="906"/>
      <c r="K29" s="906"/>
      <c r="L29" s="906"/>
      <c r="M29" s="906"/>
    </row>
    <row r="30" spans="1:15" ht="35.25" customHeight="1">
      <c r="A30" s="29" t="s">
        <v>23</v>
      </c>
      <c r="B30" s="29"/>
      <c r="C30" s="29"/>
      <c r="D30" s="29"/>
      <c r="E30" s="29" t="s">
        <v>17</v>
      </c>
      <c r="F30" s="29"/>
      <c r="G30" s="29"/>
      <c r="H30" s="29"/>
      <c r="I30" s="29"/>
      <c r="J30" s="29"/>
      <c r="K30" s="29"/>
    </row>
    <row r="31" spans="1:15" ht="36" customHeight="1">
      <c r="A31" s="29" t="s">
        <v>18</v>
      </c>
      <c r="B31" s="29"/>
      <c r="C31" s="29"/>
      <c r="D31" s="29"/>
      <c r="E31" s="29" t="s">
        <v>18</v>
      </c>
      <c r="F31" s="29"/>
      <c r="G31" s="29"/>
      <c r="H31" s="29"/>
      <c r="I31" s="29"/>
      <c r="J31" s="29"/>
      <c r="K31" s="29"/>
    </row>
    <row r="40" spans="7:13">
      <c r="G40">
        <v>34403</v>
      </c>
    </row>
    <row r="41" spans="7:13">
      <c r="G41">
        <v>23561</v>
      </c>
    </row>
    <row r="42" spans="7:13">
      <c r="G42">
        <f>G40-G41</f>
        <v>10842</v>
      </c>
    </row>
    <row r="44" spans="7:13">
      <c r="G44">
        <v>10842</v>
      </c>
    </row>
    <row r="47" spans="7:13" ht="34.5">
      <c r="L47" s="985"/>
      <c r="M47" s="985"/>
    </row>
  </sheetData>
  <mergeCells count="18">
    <mergeCell ref="B1:N1"/>
    <mergeCell ref="B2:N2"/>
    <mergeCell ref="B3:N3"/>
    <mergeCell ref="L6:L27"/>
    <mergeCell ref="B6:B27"/>
    <mergeCell ref="C6:C27"/>
    <mergeCell ref="D6:D27"/>
    <mergeCell ref="E6:E27"/>
    <mergeCell ref="F6:F27"/>
    <mergeCell ref="G6:G27"/>
    <mergeCell ref="H6:H27"/>
    <mergeCell ref="I6:I27"/>
    <mergeCell ref="A4:K4"/>
    <mergeCell ref="A28:G28"/>
    <mergeCell ref="H28:K28"/>
    <mergeCell ref="A6:A27"/>
    <mergeCell ref="L47:M47"/>
    <mergeCell ref="A29:M29"/>
  </mergeCells>
  <pageMargins left="0.19" right="0.15" top="0.21" bottom="0.28000000000000003" header="0.3" footer="0.3"/>
  <pageSetup scale="7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1.85546875" customWidth="1"/>
    <col min="8" max="8" width="23.7109375" customWidth="1"/>
    <col min="9" max="9" width="16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7.285156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</row>
    <row r="5" spans="1:21" s="6" customFormat="1" ht="39.950000000000003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4" t="s">
        <v>461</v>
      </c>
      <c r="P5" s="36" t="s">
        <v>495</v>
      </c>
    </row>
    <row r="6" spans="1:21" ht="24.95" customHeight="1">
      <c r="B6" s="872">
        <v>1</v>
      </c>
      <c r="C6" s="988" t="s">
        <v>555</v>
      </c>
      <c r="D6" s="924" t="s">
        <v>527</v>
      </c>
      <c r="E6" s="924">
        <v>71883</v>
      </c>
      <c r="F6" s="925">
        <v>40476</v>
      </c>
      <c r="G6" s="925">
        <v>40480</v>
      </c>
      <c r="H6" s="292" t="s">
        <v>552</v>
      </c>
      <c r="I6" s="293"/>
      <c r="J6" s="294">
        <v>8</v>
      </c>
      <c r="K6" s="292"/>
      <c r="L6" s="294"/>
      <c r="M6" s="988" t="s">
        <v>554</v>
      </c>
      <c r="N6" s="212"/>
      <c r="O6" s="20"/>
      <c r="P6" s="55"/>
    </row>
    <row r="7" spans="1:21" ht="24.75" hidden="1" customHeight="1">
      <c r="B7" s="872"/>
      <c r="C7" s="973"/>
      <c r="D7" s="924"/>
      <c r="E7" s="924"/>
      <c r="F7" s="925"/>
      <c r="G7" s="925"/>
      <c r="H7" s="292" t="s">
        <v>539</v>
      </c>
      <c r="I7" s="293"/>
      <c r="J7" s="294"/>
      <c r="K7" s="292"/>
      <c r="L7" s="294"/>
      <c r="M7" s="988"/>
      <c r="N7" s="212"/>
      <c r="O7" s="20"/>
      <c r="P7" s="55"/>
    </row>
    <row r="8" spans="1:21" ht="24.95" hidden="1" customHeight="1">
      <c r="B8" s="872"/>
      <c r="C8" s="973"/>
      <c r="D8" s="924"/>
      <c r="E8" s="924"/>
      <c r="F8" s="925"/>
      <c r="G8" s="925"/>
      <c r="H8" s="292" t="s">
        <v>542</v>
      </c>
      <c r="I8" s="293"/>
      <c r="J8" s="294"/>
      <c r="K8" s="292"/>
      <c r="L8" s="294"/>
      <c r="M8" s="988"/>
      <c r="N8" s="212"/>
      <c r="O8" s="20"/>
      <c r="P8" s="55"/>
    </row>
    <row r="9" spans="1:21" ht="24.95" customHeight="1">
      <c r="B9" s="872"/>
      <c r="C9" s="973"/>
      <c r="D9" s="924"/>
      <c r="E9" s="924"/>
      <c r="F9" s="925"/>
      <c r="G9" s="925"/>
      <c r="H9" s="295" t="s">
        <v>540</v>
      </c>
      <c r="I9" s="293"/>
      <c r="J9" s="294"/>
      <c r="K9" s="292" t="s">
        <v>452</v>
      </c>
      <c r="L9" s="294">
        <v>15</v>
      </c>
      <c r="M9" s="988"/>
      <c r="N9" s="212"/>
      <c r="O9" s="20"/>
      <c r="P9" s="55"/>
    </row>
    <row r="10" spans="1:21" ht="24.95" customHeight="1">
      <c r="B10" s="872"/>
      <c r="C10" s="973"/>
      <c r="D10" s="924"/>
      <c r="E10" s="924"/>
      <c r="F10" s="925"/>
      <c r="G10" s="925"/>
      <c r="H10" s="295" t="s">
        <v>553</v>
      </c>
      <c r="I10" s="293"/>
      <c r="J10" s="294"/>
      <c r="K10" s="292" t="s">
        <v>437</v>
      </c>
      <c r="L10" s="294">
        <v>40</v>
      </c>
      <c r="M10" s="988"/>
      <c r="N10" s="212"/>
      <c r="O10" s="20"/>
      <c r="P10" s="55"/>
    </row>
    <row r="11" spans="1:21" ht="24.95" hidden="1" customHeight="1">
      <c r="B11" s="872"/>
      <c r="C11" s="973"/>
      <c r="D11" s="924"/>
      <c r="E11" s="924"/>
      <c r="F11" s="925"/>
      <c r="G11" s="925"/>
      <c r="H11" s="295" t="s">
        <v>556</v>
      </c>
      <c r="I11" s="293"/>
      <c r="J11" s="294"/>
      <c r="K11" s="292"/>
      <c r="L11" s="294"/>
      <c r="M11" s="988"/>
      <c r="N11" s="212"/>
      <c r="O11" s="20"/>
      <c r="P11" s="55"/>
    </row>
    <row r="12" spans="1:21" ht="24.95" customHeight="1">
      <c r="B12" s="297"/>
      <c r="C12" s="12"/>
      <c r="D12" s="288"/>
      <c r="E12" s="212"/>
      <c r="F12" s="242"/>
      <c r="G12" s="242"/>
      <c r="H12" s="295" t="s">
        <v>541</v>
      </c>
      <c r="I12" s="292"/>
      <c r="J12" s="294"/>
      <c r="K12" s="292" t="s">
        <v>452</v>
      </c>
      <c r="L12" s="294">
        <v>2</v>
      </c>
      <c r="M12" s="988"/>
      <c r="N12" s="212"/>
      <c r="O12" s="20"/>
      <c r="P12" s="55"/>
    </row>
    <row r="13" spans="1:21" ht="38.1" customHeight="1" thickBot="1">
      <c r="B13" s="868" t="s">
        <v>48</v>
      </c>
      <c r="C13" s="869"/>
      <c r="D13" s="869"/>
      <c r="E13" s="869"/>
      <c r="F13" s="869"/>
      <c r="G13" s="869"/>
      <c r="H13" s="869"/>
      <c r="I13" s="870">
        <f>6000+L9*84.01+L10*84.01+L12*84.01</f>
        <v>10788.57</v>
      </c>
      <c r="J13" s="870"/>
      <c r="K13" s="870"/>
      <c r="L13" s="870"/>
      <c r="M13" s="870"/>
      <c r="N13" s="870"/>
      <c r="O13" s="870"/>
      <c r="P13" s="992"/>
    </row>
    <row r="14" spans="1:21" ht="389.25" customHeight="1" thickTop="1">
      <c r="A14" s="989" t="s">
        <v>562</v>
      </c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</row>
    <row r="15" spans="1:21" ht="54.75" hidden="1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 t="s">
        <v>526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 t="s">
        <v>519</v>
      </c>
      <c r="K17" s="991"/>
      <c r="L17" s="991"/>
      <c r="M17" s="991"/>
      <c r="N17" s="991"/>
      <c r="O17" s="991"/>
      <c r="P17" s="991"/>
      <c r="Q17" s="991"/>
      <c r="R17" s="991"/>
      <c r="S17" s="991"/>
      <c r="T17" s="991"/>
      <c r="U17" s="991"/>
    </row>
    <row r="18" spans="2:21" ht="18">
      <c r="B18" s="283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283" t="s">
        <v>517</v>
      </c>
      <c r="K18" s="284"/>
      <c r="L18" s="284"/>
      <c r="M18" s="284"/>
      <c r="N18" s="283"/>
      <c r="O18" s="284"/>
      <c r="P18" s="284"/>
      <c r="Q18" s="284"/>
      <c r="R18" s="283"/>
      <c r="S18" s="284"/>
      <c r="T18" s="284"/>
      <c r="U18" s="284"/>
    </row>
  </sheetData>
  <mergeCells count="23">
    <mergeCell ref="R16:U16"/>
    <mergeCell ref="B17:E17"/>
    <mergeCell ref="J17:M17"/>
    <mergeCell ref="N17:Q17"/>
    <mergeCell ref="R17:U17"/>
    <mergeCell ref="B13:H13"/>
    <mergeCell ref="A14:M14"/>
    <mergeCell ref="B15:N15"/>
    <mergeCell ref="B16:E16"/>
    <mergeCell ref="J16:M16"/>
    <mergeCell ref="N16:Q16"/>
    <mergeCell ref="I13:P13"/>
    <mergeCell ref="B1:N1"/>
    <mergeCell ref="B2:N2"/>
    <mergeCell ref="B3:N3"/>
    <mergeCell ref="B4:L4"/>
    <mergeCell ref="B6:B11"/>
    <mergeCell ref="C6:C11"/>
    <mergeCell ref="D6:D11"/>
    <mergeCell ref="E6:E11"/>
    <mergeCell ref="F6:F11"/>
    <mergeCell ref="G6:G11"/>
    <mergeCell ref="M6:M12"/>
  </mergeCells>
  <pageMargins left="0.19" right="0.15" top="0.21" bottom="0.28000000000000003" header="0.3" footer="0.3"/>
  <pageSetup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2.85546875" customWidth="1"/>
    <col min="4" max="4" width="10.85546875" customWidth="1"/>
    <col min="5" max="5" width="13.42578125" customWidth="1"/>
    <col min="6" max="6" width="11.42578125" customWidth="1"/>
    <col min="7" max="7" width="11.140625" customWidth="1"/>
    <col min="8" max="8" width="25.140625" customWidth="1"/>
    <col min="9" max="9" width="15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6.1406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</row>
    <row r="5" spans="1:21" s="6" customFormat="1" ht="52.5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4" t="s">
        <v>461</v>
      </c>
      <c r="P5" s="36" t="s">
        <v>495</v>
      </c>
    </row>
    <row r="6" spans="1:21" ht="24.95" customHeight="1">
      <c r="B6" s="872">
        <v>1</v>
      </c>
      <c r="C6" s="873" t="s">
        <v>88</v>
      </c>
      <c r="D6" s="873" t="s">
        <v>581</v>
      </c>
      <c r="E6" s="873">
        <v>68242</v>
      </c>
      <c r="F6" s="874">
        <v>40476</v>
      </c>
      <c r="G6" s="874"/>
      <c r="H6" s="17" t="s">
        <v>539</v>
      </c>
      <c r="I6" s="15"/>
      <c r="J6" s="301">
        <v>8</v>
      </c>
      <c r="K6" s="17"/>
      <c r="L6" s="301"/>
      <c r="M6" s="993" t="s">
        <v>582</v>
      </c>
      <c r="N6" s="18"/>
      <c r="O6" s="20"/>
      <c r="P6" s="55"/>
    </row>
    <row r="7" spans="1:21" ht="24.95" customHeight="1">
      <c r="B7" s="872"/>
      <c r="C7" s="873"/>
      <c r="D7" s="873"/>
      <c r="E7" s="873"/>
      <c r="F7" s="874"/>
      <c r="G7" s="874"/>
      <c r="H7" s="17" t="s">
        <v>542</v>
      </c>
      <c r="I7" s="15"/>
      <c r="J7" s="301"/>
      <c r="K7" s="17" t="s">
        <v>437</v>
      </c>
      <c r="L7" s="301">
        <v>8</v>
      </c>
      <c r="M7" s="934"/>
      <c r="N7" s="18"/>
      <c r="O7" s="20"/>
      <c r="P7" s="55"/>
    </row>
    <row r="8" spans="1:21" ht="24.75" customHeight="1">
      <c r="B8" s="872"/>
      <c r="C8" s="873"/>
      <c r="D8" s="873"/>
      <c r="E8" s="873"/>
      <c r="F8" s="874"/>
      <c r="G8" s="874"/>
      <c r="H8" s="14" t="s">
        <v>540</v>
      </c>
      <c r="I8" s="15"/>
      <c r="J8" s="301"/>
      <c r="K8" s="17" t="s">
        <v>452</v>
      </c>
      <c r="L8" s="301">
        <v>15</v>
      </c>
      <c r="M8" s="934"/>
      <c r="N8" s="18"/>
      <c r="O8" s="20"/>
      <c r="P8" s="55"/>
    </row>
    <row r="9" spans="1:21" ht="24.95" customHeight="1">
      <c r="B9" s="872"/>
      <c r="C9" s="873"/>
      <c r="D9" s="873"/>
      <c r="E9" s="873"/>
      <c r="F9" s="874"/>
      <c r="G9" s="874"/>
      <c r="H9" s="14" t="s">
        <v>543</v>
      </c>
      <c r="I9" s="15"/>
      <c r="J9" s="301"/>
      <c r="K9" s="17" t="s">
        <v>437</v>
      </c>
      <c r="L9" s="301">
        <v>20</v>
      </c>
      <c r="M9" s="934"/>
      <c r="N9" s="18"/>
      <c r="O9" s="20"/>
      <c r="P9" s="55"/>
    </row>
    <row r="10" spans="1:21" ht="24.95" customHeight="1">
      <c r="B10" s="872"/>
      <c r="C10" s="873"/>
      <c r="D10" s="873"/>
      <c r="E10" s="873"/>
      <c r="F10" s="874"/>
      <c r="G10" s="874"/>
      <c r="H10" s="14" t="s">
        <v>544</v>
      </c>
      <c r="I10" s="15"/>
      <c r="J10" s="301"/>
      <c r="K10" s="17" t="s">
        <v>437</v>
      </c>
      <c r="L10" s="301">
        <v>20</v>
      </c>
      <c r="M10" s="934"/>
      <c r="N10" s="18"/>
      <c r="O10" s="20"/>
      <c r="P10" s="55"/>
    </row>
    <row r="11" spans="1:21" ht="24.95" customHeight="1">
      <c r="B11" s="872"/>
      <c r="C11" s="873"/>
      <c r="D11" s="873"/>
      <c r="E11" s="873"/>
      <c r="F11" s="874"/>
      <c r="G11" s="874"/>
      <c r="H11" s="14" t="s">
        <v>541</v>
      </c>
      <c r="I11" s="15"/>
      <c r="J11" s="301"/>
      <c r="K11" s="17" t="s">
        <v>452</v>
      </c>
      <c r="L11" s="301">
        <v>2</v>
      </c>
      <c r="M11" s="935"/>
      <c r="N11" s="18"/>
      <c r="O11" s="20"/>
      <c r="P11" s="55"/>
    </row>
    <row r="12" spans="1:21" ht="24.95" hidden="1" customHeight="1">
      <c r="B12" s="297"/>
      <c r="C12" s="12"/>
      <c r="D12" s="12"/>
      <c r="E12" s="18"/>
      <c r="F12" s="13"/>
      <c r="G12" s="13"/>
      <c r="H12" s="17"/>
      <c r="I12" s="17"/>
      <c r="J12" s="301"/>
      <c r="K12" s="17"/>
      <c r="L12" s="17"/>
      <c r="M12" s="20"/>
      <c r="N12" s="18"/>
      <c r="O12" s="20"/>
      <c r="P12" s="55"/>
    </row>
    <row r="13" spans="1:21" ht="38.1" customHeight="1" thickBot="1">
      <c r="B13" s="868" t="s">
        <v>48</v>
      </c>
      <c r="C13" s="869"/>
      <c r="D13" s="869"/>
      <c r="E13" s="869"/>
      <c r="F13" s="869"/>
      <c r="G13" s="869"/>
      <c r="H13" s="869"/>
      <c r="I13" s="870">
        <f>6000+L8*84.01+L9*84.01+L10*84.01+L11*84.01+L7*84.01</f>
        <v>11460.650000000001</v>
      </c>
      <c r="J13" s="870"/>
      <c r="K13" s="870"/>
      <c r="L13" s="870"/>
      <c r="M13" s="89"/>
      <c r="N13" s="56"/>
      <c r="O13" s="268"/>
      <c r="P13" s="59"/>
    </row>
    <row r="14" spans="1:21" ht="312" customHeight="1" thickTop="1">
      <c r="A14" s="989" t="s">
        <v>538</v>
      </c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</row>
    <row r="15" spans="1:21" ht="29.2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 t="s">
        <v>526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 t="s">
        <v>519</v>
      </c>
      <c r="K17" s="991"/>
      <c r="L17" s="991"/>
      <c r="M17" s="991"/>
      <c r="N17" s="991"/>
      <c r="O17" s="991"/>
      <c r="P17" s="991"/>
      <c r="Q17" s="991"/>
      <c r="R17" s="991"/>
      <c r="S17" s="991"/>
      <c r="T17" s="991"/>
      <c r="U17" s="991"/>
    </row>
    <row r="18" spans="2:21" ht="18">
      <c r="B18" s="283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283" t="s">
        <v>517</v>
      </c>
      <c r="K18" s="284"/>
      <c r="L18" s="284"/>
      <c r="M18" s="284"/>
      <c r="N18" s="283"/>
      <c r="O18" s="284"/>
      <c r="P18" s="284"/>
      <c r="Q18" s="284"/>
      <c r="R18" s="283"/>
      <c r="S18" s="284"/>
      <c r="T18" s="284"/>
      <c r="U18" s="284"/>
    </row>
  </sheetData>
  <mergeCells count="23">
    <mergeCell ref="R16:U16"/>
    <mergeCell ref="B17:E17"/>
    <mergeCell ref="J17:M17"/>
    <mergeCell ref="N17:Q17"/>
    <mergeCell ref="R17:U17"/>
    <mergeCell ref="B13:H13"/>
    <mergeCell ref="I13:L13"/>
    <mergeCell ref="A14:M14"/>
    <mergeCell ref="B15:N15"/>
    <mergeCell ref="B16:E16"/>
    <mergeCell ref="J16:M16"/>
    <mergeCell ref="N16:Q16"/>
    <mergeCell ref="B1:N1"/>
    <mergeCell ref="B2:N2"/>
    <mergeCell ref="B3:N3"/>
    <mergeCell ref="B4:L4"/>
    <mergeCell ref="B6:B11"/>
    <mergeCell ref="C6:C11"/>
    <mergeCell ref="D6:D11"/>
    <mergeCell ref="E6:E11"/>
    <mergeCell ref="F6:F11"/>
    <mergeCell ref="G6:G11"/>
    <mergeCell ref="M6:M11"/>
  </mergeCells>
  <pageMargins left="0.19" right="0.15" top="0.21" bottom="0.28000000000000003" header="0.3" footer="0.3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1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</row>
    <row r="5" spans="1:21" s="6" customFormat="1" ht="39.950000000000003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6" t="s">
        <v>14</v>
      </c>
      <c r="O5" s="34" t="s">
        <v>461</v>
      </c>
      <c r="P5" s="36" t="s">
        <v>495</v>
      </c>
    </row>
    <row r="6" spans="1:21" ht="62.25" customHeight="1">
      <c r="B6" s="872">
        <v>1</v>
      </c>
      <c r="C6" s="994" t="s">
        <v>529</v>
      </c>
      <c r="D6" s="973" t="s">
        <v>528</v>
      </c>
      <c r="E6" s="986">
        <v>93251</v>
      </c>
      <c r="F6" s="925">
        <v>40472</v>
      </c>
      <c r="G6" s="996">
        <v>40474</v>
      </c>
      <c r="H6" s="288" t="s">
        <v>535</v>
      </c>
      <c r="I6" s="300">
        <v>32310</v>
      </c>
      <c r="J6" s="300">
        <v>1</v>
      </c>
      <c r="K6" s="288" t="s">
        <v>452</v>
      </c>
      <c r="L6" s="300">
        <v>1.5</v>
      </c>
      <c r="M6" s="212" t="s">
        <v>481</v>
      </c>
      <c r="N6" s="310"/>
      <c r="O6" s="20"/>
      <c r="P6" s="55"/>
    </row>
    <row r="7" spans="1:21" ht="24.75" hidden="1" customHeight="1">
      <c r="B7" s="872"/>
      <c r="C7" s="995"/>
      <c r="D7" s="973"/>
      <c r="E7" s="986"/>
      <c r="F7" s="925"/>
      <c r="G7" s="996"/>
      <c r="H7" s="14"/>
      <c r="I7" s="15"/>
      <c r="J7" s="273"/>
      <c r="K7" s="17"/>
      <c r="L7" s="273"/>
      <c r="M7" s="18"/>
      <c r="N7" s="19"/>
      <c r="O7" s="20"/>
      <c r="P7" s="55"/>
    </row>
    <row r="8" spans="1:21" ht="24.95" hidden="1" customHeight="1">
      <c r="B8" s="872"/>
      <c r="C8" s="995"/>
      <c r="D8" s="973"/>
      <c r="E8" s="986"/>
      <c r="F8" s="925"/>
      <c r="G8" s="996"/>
      <c r="H8" s="14"/>
      <c r="I8" s="15"/>
      <c r="J8" s="273"/>
      <c r="K8" s="17"/>
      <c r="L8" s="273"/>
      <c r="M8" s="18"/>
      <c r="N8" s="19"/>
      <c r="O8" s="20"/>
      <c r="P8" s="55"/>
    </row>
    <row r="9" spans="1:21" ht="24.95" hidden="1" customHeight="1">
      <c r="B9" s="872"/>
      <c r="C9" s="995"/>
      <c r="D9" s="973"/>
      <c r="E9" s="986"/>
      <c r="F9" s="925"/>
      <c r="G9" s="996"/>
      <c r="H9" s="14"/>
      <c r="I9" s="15"/>
      <c r="J9" s="273"/>
      <c r="K9" s="17"/>
      <c r="L9" s="273"/>
      <c r="M9" s="18"/>
      <c r="N9" s="19"/>
      <c r="O9" s="20"/>
      <c r="P9" s="55"/>
    </row>
    <row r="10" spans="1:21" ht="24.95" hidden="1" customHeight="1">
      <c r="B10" s="269"/>
      <c r="C10" s="12"/>
      <c r="D10" s="12"/>
      <c r="E10" s="18"/>
      <c r="F10" s="13"/>
      <c r="G10" s="13"/>
      <c r="H10" s="17"/>
      <c r="I10" s="17"/>
      <c r="J10" s="273"/>
      <c r="K10" s="17"/>
      <c r="L10" s="17"/>
      <c r="M10" s="20"/>
      <c r="N10" s="19"/>
      <c r="O10" s="20"/>
      <c r="P10" s="55"/>
    </row>
    <row r="11" spans="1:21" ht="38.1" customHeight="1" thickBot="1">
      <c r="B11" s="868" t="s">
        <v>48</v>
      </c>
      <c r="C11" s="869"/>
      <c r="D11" s="869"/>
      <c r="E11" s="869"/>
      <c r="F11" s="869"/>
      <c r="G11" s="869"/>
      <c r="H11" s="869"/>
      <c r="I11" s="870">
        <f>565.12+L6*84.01</f>
        <v>691.13499999999999</v>
      </c>
      <c r="J11" s="870"/>
      <c r="K11" s="870"/>
      <c r="L11" s="870"/>
      <c r="M11" s="89"/>
      <c r="N11" s="81"/>
      <c r="O11" s="268"/>
      <c r="P11" s="59"/>
    </row>
    <row r="12" spans="1:21" ht="312" customHeight="1" thickTop="1">
      <c r="A12" s="989" t="s">
        <v>565</v>
      </c>
      <c r="B12" s="990"/>
      <c r="C12" s="990"/>
      <c r="D12" s="990"/>
      <c r="E12" s="990"/>
      <c r="F12" s="990"/>
      <c r="G12" s="990"/>
      <c r="H12" s="990"/>
      <c r="I12" s="990"/>
      <c r="J12" s="990"/>
      <c r="K12" s="990"/>
      <c r="L12" s="990"/>
      <c r="M12" s="990"/>
    </row>
    <row r="13" spans="1:21" ht="20.100000000000001" customHeight="1">
      <c r="B13" s="991" t="s">
        <v>518</v>
      </c>
      <c r="C13" s="991"/>
      <c r="D13" s="991"/>
      <c r="E13" s="991"/>
      <c r="F13" s="285" t="s">
        <v>525</v>
      </c>
      <c r="G13" s="285"/>
      <c r="H13" s="285"/>
      <c r="I13" s="248"/>
      <c r="J13" s="991" t="s">
        <v>526</v>
      </c>
      <c r="K13" s="991"/>
      <c r="L13" s="991"/>
      <c r="M13" s="991"/>
      <c r="N13" s="991"/>
      <c r="O13" s="991"/>
      <c r="P13" s="991"/>
      <c r="Q13" s="991"/>
      <c r="R13" s="991"/>
      <c r="S13" s="991"/>
      <c r="T13" s="991"/>
      <c r="U13" s="991"/>
    </row>
    <row r="14" spans="1:21" ht="20.100000000000001" customHeight="1">
      <c r="B14" s="991" t="s">
        <v>519</v>
      </c>
      <c r="C14" s="991"/>
      <c r="D14" s="991"/>
      <c r="E14" s="991"/>
      <c r="F14" s="285" t="s">
        <v>519</v>
      </c>
      <c r="G14" s="285"/>
      <c r="H14" s="285"/>
      <c r="I14" s="248"/>
      <c r="J14" s="991" t="s">
        <v>519</v>
      </c>
      <c r="K14" s="991"/>
      <c r="L14" s="991"/>
      <c r="M14" s="991"/>
      <c r="N14" s="991"/>
      <c r="O14" s="991"/>
      <c r="P14" s="991"/>
      <c r="Q14" s="991"/>
      <c r="R14" s="991"/>
      <c r="S14" s="991"/>
      <c r="T14" s="991"/>
      <c r="U14" s="991"/>
    </row>
    <row r="15" spans="1:21" ht="18">
      <c r="B15" s="283" t="s">
        <v>517</v>
      </c>
      <c r="C15" s="284"/>
      <c r="D15" s="284"/>
      <c r="E15" s="284"/>
      <c r="F15" s="285" t="s">
        <v>520</v>
      </c>
      <c r="G15" s="286"/>
      <c r="H15" s="286"/>
      <c r="I15" s="284"/>
      <c r="J15" s="283" t="s">
        <v>517</v>
      </c>
      <c r="K15" s="284"/>
      <c r="L15" s="284"/>
      <c r="M15" s="284"/>
      <c r="N15" s="283"/>
      <c r="O15" s="284"/>
      <c r="P15" s="284"/>
      <c r="Q15" s="284"/>
      <c r="R15" s="283"/>
      <c r="S15" s="284"/>
      <c r="T15" s="284"/>
      <c r="U15" s="284"/>
    </row>
  </sheetData>
  <mergeCells count="21">
    <mergeCell ref="R13:U13"/>
    <mergeCell ref="B14:E14"/>
    <mergeCell ref="J14:M14"/>
    <mergeCell ref="N14:Q14"/>
    <mergeCell ref="R14:U14"/>
    <mergeCell ref="N13:Q13"/>
    <mergeCell ref="B11:H11"/>
    <mergeCell ref="I11:L11"/>
    <mergeCell ref="A12:M12"/>
    <mergeCell ref="B13:E13"/>
    <mergeCell ref="J13:M13"/>
    <mergeCell ref="B1:N1"/>
    <mergeCell ref="B2:N2"/>
    <mergeCell ref="B3:N3"/>
    <mergeCell ref="B4:L4"/>
    <mergeCell ref="B6:B9"/>
    <mergeCell ref="C6:C9"/>
    <mergeCell ref="D6:D9"/>
    <mergeCell ref="E6:E9"/>
    <mergeCell ref="F6:F9"/>
    <mergeCell ref="G6:G9"/>
  </mergeCells>
  <pageMargins left="0.19" right="0.15" top="0.21" bottom="0.28000000000000003" header="0.3" footer="0.3"/>
  <pageSetup scale="7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6"/>
  <sheetViews>
    <sheetView view="pageBreakPreview" zoomScale="60"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2" customWidth="1"/>
    <col min="5" max="5" width="13.42578125" customWidth="1"/>
    <col min="6" max="6" width="12.28515625" customWidth="1"/>
    <col min="7" max="7" width="13.28515625" customWidth="1"/>
    <col min="8" max="8" width="15.5703125" customWidth="1"/>
    <col min="9" max="9" width="12.5703125" customWidth="1"/>
    <col min="10" max="10" width="6.28515625" customWidth="1"/>
    <col min="11" max="11" width="13.42578125" customWidth="1"/>
    <col min="12" max="12" width="11" customWidth="1"/>
    <col min="13" max="13" width="13.5703125" customWidth="1"/>
    <col min="14" max="14" width="27.85546875" customWidth="1"/>
    <col min="15" max="15" width="10.85546875" customWidth="1"/>
    <col min="16" max="16" width="11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</row>
    <row r="5" spans="1:21" s="6" customFormat="1" ht="60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4" t="s">
        <v>499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4" t="s">
        <v>461</v>
      </c>
      <c r="P5" s="36" t="s">
        <v>495</v>
      </c>
    </row>
    <row r="6" spans="1:21" ht="39" customHeight="1">
      <c r="B6" s="923">
        <v>1</v>
      </c>
      <c r="C6" s="995" t="s">
        <v>88</v>
      </c>
      <c r="D6" s="973" t="s">
        <v>89</v>
      </c>
      <c r="E6" s="973">
        <v>56513</v>
      </c>
      <c r="F6" s="925">
        <v>40476</v>
      </c>
      <c r="G6" s="925">
        <v>40477</v>
      </c>
      <c r="H6" s="17"/>
      <c r="I6" s="15"/>
      <c r="J6" s="277"/>
      <c r="K6" s="17" t="s">
        <v>452</v>
      </c>
      <c r="L6" s="277">
        <v>1.5</v>
      </c>
      <c r="M6" s="897" t="s">
        <v>481</v>
      </c>
      <c r="N6" s="18"/>
      <c r="O6" s="20"/>
      <c r="P6" s="55"/>
    </row>
    <row r="7" spans="1:21" ht="24.75" customHeight="1">
      <c r="B7" s="923"/>
      <c r="C7" s="995"/>
      <c r="D7" s="973"/>
      <c r="E7" s="973"/>
      <c r="F7" s="925"/>
      <c r="G7" s="925"/>
      <c r="H7" s="14"/>
      <c r="I7" s="15"/>
      <c r="J7" s="277"/>
      <c r="K7" s="17" t="s">
        <v>437</v>
      </c>
      <c r="L7" s="277">
        <v>2</v>
      </c>
      <c r="M7" s="899"/>
      <c r="N7" s="18"/>
      <c r="O7" s="20"/>
      <c r="P7" s="55"/>
    </row>
    <row r="8" spans="1:21" ht="24.95" hidden="1" customHeight="1">
      <c r="B8" s="923"/>
      <c r="C8" s="995"/>
      <c r="D8" s="973"/>
      <c r="E8" s="973"/>
      <c r="F8" s="925"/>
      <c r="G8" s="925"/>
      <c r="H8" s="14"/>
      <c r="I8" s="15"/>
      <c r="J8" s="277"/>
      <c r="K8" s="17"/>
      <c r="L8" s="277"/>
      <c r="M8" s="18"/>
      <c r="N8" s="18"/>
      <c r="O8" s="20"/>
      <c r="P8" s="55"/>
    </row>
    <row r="9" spans="1:21" ht="24.95" hidden="1" customHeight="1">
      <c r="B9" s="923"/>
      <c r="C9" s="995"/>
      <c r="D9" s="973"/>
      <c r="E9" s="973"/>
      <c r="F9" s="925"/>
      <c r="G9" s="925"/>
      <c r="H9" s="14"/>
      <c r="I9" s="15"/>
      <c r="J9" s="277"/>
      <c r="K9" s="17"/>
      <c r="L9" s="277"/>
      <c r="M9" s="18"/>
      <c r="N9" s="18"/>
      <c r="O9" s="20"/>
      <c r="P9" s="55"/>
    </row>
    <row r="10" spans="1:21" ht="24.95" hidden="1" customHeight="1">
      <c r="B10" s="276"/>
      <c r="C10" s="12"/>
      <c r="D10" s="12"/>
      <c r="E10" s="18"/>
      <c r="F10" s="13"/>
      <c r="G10" s="13"/>
      <c r="H10" s="17"/>
      <c r="I10" s="17"/>
      <c r="J10" s="277"/>
      <c r="K10" s="17"/>
      <c r="L10" s="17"/>
      <c r="M10" s="20"/>
      <c r="N10" s="18"/>
      <c r="O10" s="20"/>
      <c r="P10" s="55"/>
    </row>
    <row r="11" spans="1:21" ht="38.1" customHeight="1" thickBot="1">
      <c r="B11" s="997" t="s">
        <v>48</v>
      </c>
      <c r="C11" s="998"/>
      <c r="D11" s="998"/>
      <c r="E11" s="998"/>
      <c r="F11" s="998"/>
      <c r="G11" s="998"/>
      <c r="H11" s="998"/>
      <c r="I11" s="870">
        <f>84.01*L6+84.01*L7</f>
        <v>294.03500000000003</v>
      </c>
      <c r="J11" s="870"/>
      <c r="K11" s="870"/>
      <c r="L11" s="870"/>
      <c r="M11" s="89"/>
      <c r="N11" s="56"/>
      <c r="O11" s="268"/>
      <c r="P11" s="59"/>
    </row>
    <row r="12" spans="1:21" ht="329.25" customHeight="1" thickTop="1">
      <c r="A12" s="989" t="s">
        <v>545</v>
      </c>
      <c r="B12" s="990"/>
      <c r="C12" s="990"/>
      <c r="D12" s="990"/>
      <c r="E12" s="990"/>
      <c r="F12" s="990"/>
      <c r="G12" s="990"/>
      <c r="H12" s="990"/>
      <c r="I12" s="990"/>
      <c r="J12" s="990"/>
      <c r="K12" s="990"/>
      <c r="L12" s="990"/>
      <c r="M12" s="990"/>
    </row>
    <row r="13" spans="1:21" ht="24.95" customHeight="1">
      <c r="B13" s="890" t="s">
        <v>466</v>
      </c>
      <c r="C13" s="890"/>
      <c r="D13" s="890"/>
      <c r="E13" s="890"/>
      <c r="F13" s="890"/>
      <c r="G13" s="890"/>
      <c r="H13" s="890"/>
      <c r="I13" s="890"/>
      <c r="J13" s="890"/>
      <c r="K13" s="890"/>
      <c r="L13" s="890"/>
      <c r="M13" s="890"/>
      <c r="N13" s="890"/>
    </row>
    <row r="14" spans="1:21" ht="20.100000000000001" customHeight="1">
      <c r="B14" s="991" t="s">
        <v>518</v>
      </c>
      <c r="C14" s="991"/>
      <c r="D14" s="991"/>
      <c r="E14" s="991"/>
      <c r="F14" s="285" t="s">
        <v>525</v>
      </c>
      <c r="G14" s="285"/>
      <c r="H14" s="285"/>
      <c r="I14" s="248"/>
      <c r="J14" s="991"/>
      <c r="K14" s="991"/>
      <c r="L14" s="991"/>
      <c r="M14" s="991"/>
      <c r="N14" s="991" t="s">
        <v>526</v>
      </c>
      <c r="O14" s="991"/>
      <c r="P14" s="991"/>
      <c r="Q14" s="991"/>
      <c r="R14" s="991"/>
      <c r="S14" s="991"/>
      <c r="T14" s="991"/>
      <c r="U14" s="991"/>
    </row>
    <row r="15" spans="1:21" ht="20.100000000000001" customHeight="1">
      <c r="B15" s="991" t="s">
        <v>519</v>
      </c>
      <c r="C15" s="991"/>
      <c r="D15" s="991"/>
      <c r="E15" s="991"/>
      <c r="F15" s="285" t="s">
        <v>519</v>
      </c>
      <c r="G15" s="285"/>
      <c r="H15" s="285"/>
      <c r="I15" s="248"/>
      <c r="J15" s="991"/>
      <c r="K15" s="991"/>
      <c r="L15" s="991"/>
      <c r="M15" s="991"/>
      <c r="N15" s="991" t="s">
        <v>519</v>
      </c>
      <c r="O15" s="991"/>
      <c r="P15" s="991"/>
      <c r="Q15" s="991"/>
      <c r="R15" s="991"/>
      <c r="S15" s="991"/>
      <c r="T15" s="991"/>
      <c r="U15" s="991"/>
    </row>
    <row r="16" spans="1:21" ht="18">
      <c r="B16" s="283" t="s">
        <v>517</v>
      </c>
      <c r="C16" s="284"/>
      <c r="D16" s="284"/>
      <c r="E16" s="284"/>
      <c r="F16" s="285" t="s">
        <v>520</v>
      </c>
      <c r="G16" s="286"/>
      <c r="H16" s="286"/>
      <c r="I16" s="284"/>
      <c r="J16" s="283"/>
      <c r="K16" s="284"/>
      <c r="L16" s="284"/>
      <c r="M16" s="284"/>
      <c r="N16" s="283" t="s">
        <v>517</v>
      </c>
      <c r="O16" s="284"/>
      <c r="P16" s="284"/>
      <c r="Q16" s="284"/>
      <c r="R16" s="283"/>
      <c r="S16" s="284"/>
      <c r="T16" s="284"/>
      <c r="U16" s="284"/>
    </row>
  </sheetData>
  <mergeCells count="23">
    <mergeCell ref="B14:E14"/>
    <mergeCell ref="J14:M14"/>
    <mergeCell ref="N14:Q14"/>
    <mergeCell ref="R14:U14"/>
    <mergeCell ref="B15:E15"/>
    <mergeCell ref="J15:M15"/>
    <mergeCell ref="N15:Q15"/>
    <mergeCell ref="R15:U15"/>
    <mergeCell ref="B1:N1"/>
    <mergeCell ref="B2:N2"/>
    <mergeCell ref="B3:N3"/>
    <mergeCell ref="B13:N13"/>
    <mergeCell ref="B4:L4"/>
    <mergeCell ref="B11:H11"/>
    <mergeCell ref="I11:L11"/>
    <mergeCell ref="B6:B9"/>
    <mergeCell ref="C6:C9"/>
    <mergeCell ref="D6:D9"/>
    <mergeCell ref="E6:E9"/>
    <mergeCell ref="F6:F9"/>
    <mergeCell ref="G6:G9"/>
    <mergeCell ref="A12:M12"/>
    <mergeCell ref="M6:M7"/>
  </mergeCells>
  <pageMargins left="0.19" right="0.15" top="0.21" bottom="0.28000000000000003" header="0.3" footer="0.3"/>
  <pageSetup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H9" sqref="H9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1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3.285156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</row>
    <row r="5" spans="1:16" s="6" customFormat="1" ht="66.75" customHeight="1" thickTop="1">
      <c r="B5" s="71" t="s">
        <v>2</v>
      </c>
      <c r="C5" s="72" t="s">
        <v>3</v>
      </c>
      <c r="D5" s="73" t="s">
        <v>4</v>
      </c>
      <c r="E5" s="72" t="s">
        <v>5</v>
      </c>
      <c r="F5" s="72" t="s">
        <v>6</v>
      </c>
      <c r="G5" s="72" t="s">
        <v>7</v>
      </c>
      <c r="H5" s="73" t="s">
        <v>8</v>
      </c>
      <c r="I5" s="72" t="s">
        <v>9</v>
      </c>
      <c r="J5" s="72" t="s">
        <v>10</v>
      </c>
      <c r="K5" s="72" t="s">
        <v>11</v>
      </c>
      <c r="L5" s="72" t="s">
        <v>12</v>
      </c>
      <c r="M5" s="72" t="s">
        <v>13</v>
      </c>
      <c r="N5" s="770" t="s">
        <v>14</v>
      </c>
      <c r="O5" s="796"/>
      <c r="P5" s="796"/>
    </row>
    <row r="6" spans="1:16" ht="24.95" customHeight="1">
      <c r="B6" s="863">
        <v>1</v>
      </c>
      <c r="C6" s="864" t="s">
        <v>25</v>
      </c>
      <c r="D6" s="864" t="s">
        <v>90</v>
      </c>
      <c r="E6" s="864">
        <v>179239</v>
      </c>
      <c r="F6" s="865">
        <v>40526</v>
      </c>
      <c r="G6" s="865">
        <v>40528</v>
      </c>
      <c r="H6" s="17"/>
      <c r="I6" s="15"/>
      <c r="J6" s="16"/>
      <c r="K6" s="17"/>
      <c r="L6" s="16"/>
      <c r="M6" s="18"/>
      <c r="N6" s="209"/>
      <c r="O6" s="797"/>
      <c r="P6" s="797"/>
    </row>
    <row r="7" spans="1:16" ht="24.75" customHeight="1">
      <c r="B7" s="852"/>
      <c r="C7" s="855"/>
      <c r="D7" s="855"/>
      <c r="E7" s="855"/>
      <c r="F7" s="839"/>
      <c r="G7" s="839"/>
      <c r="H7" s="14"/>
      <c r="I7" s="15"/>
      <c r="J7" s="16"/>
      <c r="K7" s="17"/>
      <c r="L7" s="16"/>
      <c r="M7" s="18"/>
      <c r="N7" s="209"/>
      <c r="O7" s="797"/>
      <c r="P7" s="797"/>
    </row>
    <row r="8" spans="1:16" ht="24.95" customHeight="1">
      <c r="B8" s="852"/>
      <c r="C8" s="855"/>
      <c r="D8" s="855"/>
      <c r="E8" s="855"/>
      <c r="F8" s="839"/>
      <c r="G8" s="839"/>
      <c r="H8" s="14"/>
      <c r="I8" s="15"/>
      <c r="J8" s="16"/>
      <c r="K8" s="17"/>
      <c r="L8" s="16"/>
      <c r="M8" s="18"/>
      <c r="N8" s="209"/>
      <c r="O8" s="797"/>
      <c r="P8" s="797"/>
    </row>
    <row r="9" spans="1:16" ht="24.95" customHeight="1">
      <c r="B9" s="852"/>
      <c r="C9" s="855"/>
      <c r="D9" s="855"/>
      <c r="E9" s="855"/>
      <c r="F9" s="839"/>
      <c r="G9" s="839"/>
      <c r="H9" s="14"/>
      <c r="I9" s="15"/>
      <c r="J9" s="16"/>
      <c r="K9" s="17"/>
      <c r="L9" s="16"/>
      <c r="M9" s="18"/>
      <c r="N9" s="209"/>
      <c r="O9" s="797"/>
      <c r="P9" s="797"/>
    </row>
    <row r="10" spans="1:16" ht="24.95" customHeight="1">
      <c r="B10" s="852"/>
      <c r="C10" s="855"/>
      <c r="D10" s="855"/>
      <c r="E10" s="855"/>
      <c r="F10" s="839"/>
      <c r="G10" s="839"/>
      <c r="H10" s="17"/>
      <c r="I10" s="15"/>
      <c r="J10" s="16"/>
      <c r="K10" s="17"/>
      <c r="L10" s="17"/>
      <c r="M10" s="18"/>
      <c r="N10" s="209"/>
      <c r="O10" s="797"/>
      <c r="P10" s="797"/>
    </row>
    <row r="11" spans="1:16" ht="24.95" customHeight="1">
      <c r="B11" s="852"/>
      <c r="C11" s="855"/>
      <c r="D11" s="855"/>
      <c r="E11" s="855"/>
      <c r="F11" s="839"/>
      <c r="G11" s="839"/>
      <c r="H11" s="17"/>
      <c r="I11" s="15"/>
      <c r="J11" s="16"/>
      <c r="K11" s="17"/>
      <c r="L11" s="16"/>
      <c r="M11" s="18"/>
      <c r="N11" s="209"/>
      <c r="O11" s="797"/>
      <c r="P11" s="797"/>
    </row>
    <row r="12" spans="1:16" ht="24.95" customHeight="1">
      <c r="B12" s="858"/>
      <c r="C12" s="859"/>
      <c r="D12" s="859"/>
      <c r="E12" s="859"/>
      <c r="F12" s="840"/>
      <c r="G12" s="840"/>
      <c r="H12" s="17"/>
      <c r="I12" s="15"/>
      <c r="J12" s="16"/>
      <c r="K12" s="17"/>
      <c r="L12" s="16"/>
      <c r="M12" s="76"/>
      <c r="N12" s="209"/>
      <c r="O12" s="797"/>
      <c r="P12" s="797"/>
    </row>
    <row r="13" spans="1:16" ht="24.95" customHeight="1">
      <c r="B13" s="66"/>
      <c r="C13" s="12"/>
      <c r="D13" s="12"/>
      <c r="E13" s="18"/>
      <c r="F13" s="13"/>
      <c r="G13" s="13"/>
      <c r="H13" s="17"/>
      <c r="I13" s="17"/>
      <c r="J13" s="16"/>
      <c r="K13" s="17"/>
      <c r="L13" s="17"/>
      <c r="M13" s="20"/>
      <c r="N13" s="209"/>
      <c r="O13" s="797"/>
      <c r="P13" s="797"/>
    </row>
    <row r="14" spans="1:16" ht="38.1" customHeight="1" thickBot="1">
      <c r="B14" s="843" t="s">
        <v>48</v>
      </c>
      <c r="C14" s="844"/>
      <c r="D14" s="844"/>
      <c r="E14" s="844"/>
      <c r="F14" s="844"/>
      <c r="G14" s="844"/>
      <c r="H14" s="844"/>
      <c r="I14" s="845">
        <f>L6*84.01+L7*84.01+142.5+104+593.16+56.8+136.16+1306.88+4562.01</f>
        <v>6901.51</v>
      </c>
      <c r="J14" s="846"/>
      <c r="K14" s="846"/>
      <c r="L14" s="893"/>
      <c r="N14" s="75"/>
      <c r="O14" s="798"/>
      <c r="P14" s="797"/>
    </row>
    <row r="15" spans="1:16" ht="278.25" customHeight="1" thickTop="1">
      <c r="A15" s="999" t="s">
        <v>968</v>
      </c>
      <c r="B15" s="1000"/>
      <c r="C15" s="1000"/>
      <c r="D15" s="1000"/>
      <c r="E15" s="1000"/>
      <c r="F15" s="1000"/>
      <c r="G15" s="1000"/>
      <c r="H15" s="1000"/>
      <c r="I15" s="1000"/>
      <c r="J15" s="1000"/>
      <c r="K15" s="1000"/>
      <c r="L15" s="1000"/>
      <c r="M15" s="1000"/>
      <c r="N15" s="201"/>
      <c r="O15" s="793"/>
    </row>
    <row r="16" spans="1:16" s="206" customFormat="1" ht="25.5" customHeight="1">
      <c r="A16" s="29" t="s">
        <v>458</v>
      </c>
      <c r="B16" s="29"/>
      <c r="C16" s="29"/>
      <c r="D16" s="29"/>
      <c r="E16" s="29"/>
      <c r="F16" s="29"/>
      <c r="G16" s="29" t="s">
        <v>456</v>
      </c>
      <c r="H16" s="29"/>
      <c r="I16" s="29"/>
      <c r="J16" s="29"/>
      <c r="K16" s="29" t="s">
        <v>457</v>
      </c>
      <c r="L16" s="29"/>
      <c r="M16" s="29"/>
      <c r="N16" s="38"/>
      <c r="O16" s="265"/>
    </row>
    <row r="17" spans="1:15" ht="38.25" customHeight="1">
      <c r="A17" s="29" t="s">
        <v>18</v>
      </c>
      <c r="B17" s="29"/>
      <c r="C17" s="29"/>
      <c r="D17" s="29"/>
      <c r="E17" s="29"/>
      <c r="F17" s="29"/>
      <c r="G17" s="29" t="s">
        <v>455</v>
      </c>
      <c r="H17" s="29"/>
      <c r="I17" s="29"/>
      <c r="J17" s="29"/>
      <c r="K17" s="29" t="s">
        <v>455</v>
      </c>
      <c r="L17" s="29"/>
      <c r="M17" s="29"/>
      <c r="N17" s="38"/>
      <c r="O17" s="793"/>
    </row>
  </sheetData>
  <mergeCells count="13">
    <mergeCell ref="A15:M15"/>
    <mergeCell ref="B1:N1"/>
    <mergeCell ref="B2:N2"/>
    <mergeCell ref="B3:N3"/>
    <mergeCell ref="B4:L4"/>
    <mergeCell ref="B14:H14"/>
    <mergeCell ref="I14:L14"/>
    <mergeCell ref="B6:B12"/>
    <mergeCell ref="C6:C12"/>
    <mergeCell ref="D6:D12"/>
    <mergeCell ref="E6:E12"/>
    <mergeCell ref="F6:F12"/>
    <mergeCell ref="G6:G12"/>
  </mergeCells>
  <pageMargins left="0.19" right="0.15" top="0.21" bottom="0.28000000000000003" header="0.3" footer="0.3"/>
  <pageSetup scale="7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pane xSplit="2" ySplit="5" topLeftCell="C15" activePane="bottomRight" state="frozen"/>
      <selection activeCell="B18" sqref="B18"/>
      <selection pane="topRight" activeCell="B18" sqref="B18"/>
      <selection pane="bottomLeft" activeCell="B18" sqref="B18"/>
      <selection pane="bottomRight" activeCell="A14" sqref="A14:XFD20"/>
    </sheetView>
  </sheetViews>
  <sheetFormatPr defaultRowHeight="15"/>
  <cols>
    <col min="1" max="1" width="5.140625" customWidth="1"/>
    <col min="2" max="2" width="12.5703125" customWidth="1"/>
    <col min="3" max="3" width="10.85546875" customWidth="1"/>
    <col min="4" max="4" width="19.140625" customWidth="1"/>
    <col min="5" max="5" width="11.42578125" customWidth="1"/>
    <col min="6" max="6" width="12.28515625" customWidth="1"/>
    <col min="7" max="7" width="15" customWidth="1"/>
    <col min="8" max="8" width="10" customWidth="1"/>
    <col min="9" max="9" width="7.5703125" customWidth="1"/>
    <col min="10" max="10" width="11.7109375" customWidth="1"/>
    <col min="11" max="11" width="6.42578125" customWidth="1"/>
    <col min="12" max="12" width="13.140625" customWidth="1"/>
    <col min="13" max="13" width="27.140625" customWidth="1"/>
    <col min="14" max="14" width="21" customWidth="1"/>
  </cols>
  <sheetData>
    <row r="1" spans="1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39"/>
    </row>
    <row r="2" spans="1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63"/>
    </row>
    <row r="3" spans="1:15" ht="27" customHeigh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O3" s="39"/>
    </row>
    <row r="4" spans="1:15" ht="9" customHeight="1" thickBot="1">
      <c r="A4" s="862"/>
      <c r="B4" s="862"/>
      <c r="C4" s="862"/>
      <c r="D4" s="862"/>
      <c r="E4" s="862"/>
      <c r="F4" s="862"/>
      <c r="G4" s="862"/>
      <c r="H4" s="862"/>
      <c r="I4" s="862"/>
      <c r="J4" s="862"/>
      <c r="K4" s="862"/>
      <c r="O4" s="39"/>
    </row>
    <row r="5" spans="1:15" s="6" customFormat="1" ht="63" customHeight="1" thickTop="1">
      <c r="A5" s="33" t="s">
        <v>2</v>
      </c>
      <c r="B5" s="34" t="s">
        <v>3</v>
      </c>
      <c r="C5" s="35" t="s">
        <v>4</v>
      </c>
      <c r="D5" s="34" t="s">
        <v>5</v>
      </c>
      <c r="E5" s="34" t="s">
        <v>6</v>
      </c>
      <c r="F5" s="34" t="s">
        <v>7</v>
      </c>
      <c r="G5" s="34" t="s">
        <v>499</v>
      </c>
      <c r="H5" s="34" t="s">
        <v>9</v>
      </c>
      <c r="I5" s="34" t="s">
        <v>10</v>
      </c>
      <c r="J5" s="34" t="s">
        <v>11</v>
      </c>
      <c r="K5" s="34" t="s">
        <v>12</v>
      </c>
      <c r="L5" s="34" t="s">
        <v>13</v>
      </c>
      <c r="M5" s="34" t="s">
        <v>14</v>
      </c>
      <c r="N5" s="34" t="s">
        <v>454</v>
      </c>
      <c r="O5" s="36" t="s">
        <v>495</v>
      </c>
    </row>
    <row r="6" spans="1:15" ht="61.5" customHeight="1">
      <c r="A6" s="923">
        <v>1</v>
      </c>
      <c r="B6" s="986" t="s">
        <v>50</v>
      </c>
      <c r="C6" s="986" t="s">
        <v>91</v>
      </c>
      <c r="D6" s="986" t="s">
        <v>430</v>
      </c>
      <c r="E6" s="925">
        <v>40457</v>
      </c>
      <c r="F6" s="996">
        <v>40458</v>
      </c>
      <c r="G6" s="202"/>
      <c r="H6" s="203"/>
      <c r="I6" s="254"/>
      <c r="J6" s="202"/>
      <c r="K6" s="204"/>
      <c r="L6" s="1001" t="s">
        <v>431</v>
      </c>
      <c r="M6" s="205" t="s">
        <v>432</v>
      </c>
      <c r="N6" s="205" t="s">
        <v>83</v>
      </c>
      <c r="O6" s="264">
        <v>2</v>
      </c>
    </row>
    <row r="7" spans="1:15" ht="24.95" customHeight="1">
      <c r="A7" s="923"/>
      <c r="B7" s="986"/>
      <c r="C7" s="986"/>
      <c r="D7" s="986"/>
      <c r="E7" s="925"/>
      <c r="F7" s="996"/>
      <c r="G7" s="205"/>
      <c r="H7" s="203"/>
      <c r="I7" s="254"/>
      <c r="J7" s="202"/>
      <c r="K7" s="204"/>
      <c r="L7" s="1001"/>
      <c r="M7" s="205"/>
      <c r="N7" s="18"/>
      <c r="O7" s="55"/>
    </row>
    <row r="8" spans="1:15" ht="24.95" customHeight="1">
      <c r="A8" s="923"/>
      <c r="B8" s="986"/>
      <c r="C8" s="986"/>
      <c r="D8" s="986"/>
      <c r="E8" s="925"/>
      <c r="F8" s="996"/>
      <c r="G8" s="205"/>
      <c r="H8" s="203"/>
      <c r="I8" s="254"/>
      <c r="J8" s="202"/>
      <c r="K8" s="204"/>
      <c r="L8" s="1001"/>
      <c r="M8" s="205"/>
      <c r="N8" s="18"/>
      <c r="O8" s="55"/>
    </row>
    <row r="9" spans="1:15" ht="24.95" hidden="1" customHeight="1">
      <c r="A9" s="250"/>
      <c r="B9" s="12"/>
      <c r="C9" s="12"/>
      <c r="D9" s="18"/>
      <c r="E9" s="13"/>
      <c r="F9" s="13"/>
      <c r="G9" s="17"/>
      <c r="H9" s="17"/>
      <c r="I9" s="255"/>
      <c r="J9" s="17"/>
      <c r="K9" s="17"/>
      <c r="L9" s="20"/>
      <c r="M9" s="18"/>
      <c r="N9" s="18"/>
      <c r="O9" s="55"/>
    </row>
    <row r="10" spans="1:15" ht="24.95" hidden="1" customHeight="1">
      <c r="A10" s="250"/>
      <c r="B10" s="12"/>
      <c r="C10" s="12"/>
      <c r="D10" s="18"/>
      <c r="E10" s="13"/>
      <c r="F10" s="13"/>
      <c r="G10" s="17"/>
      <c r="H10" s="17"/>
      <c r="I10" s="255"/>
      <c r="J10" s="17"/>
      <c r="K10" s="17"/>
      <c r="L10" s="20"/>
      <c r="M10" s="18"/>
      <c r="N10" s="18"/>
      <c r="O10" s="55"/>
    </row>
    <row r="11" spans="1:15" ht="24.95" hidden="1" customHeight="1">
      <c r="A11" s="250"/>
      <c r="B11" s="12"/>
      <c r="C11" s="12"/>
      <c r="D11" s="18"/>
      <c r="E11" s="13"/>
      <c r="F11" s="13"/>
      <c r="G11" s="17"/>
      <c r="H11" s="17"/>
      <c r="I11" s="255"/>
      <c r="J11" s="17"/>
      <c r="K11" s="17"/>
      <c r="L11" s="20"/>
      <c r="M11" s="18"/>
      <c r="N11" s="18"/>
      <c r="O11" s="55"/>
    </row>
    <row r="12" spans="1:15" ht="24.95" hidden="1" customHeight="1">
      <c r="A12" s="250"/>
      <c r="B12" s="12"/>
      <c r="C12" s="12"/>
      <c r="D12" s="18"/>
      <c r="E12" s="13"/>
      <c r="F12" s="13"/>
      <c r="G12" s="17"/>
      <c r="H12" s="17"/>
      <c r="I12" s="255"/>
      <c r="J12" s="17"/>
      <c r="K12" s="17"/>
      <c r="L12" s="20"/>
      <c r="M12" s="18"/>
      <c r="N12" s="18"/>
      <c r="O12" s="55"/>
    </row>
    <row r="13" spans="1:15" ht="34.5" customHeight="1" thickBot="1">
      <c r="A13" s="997" t="s">
        <v>48</v>
      </c>
      <c r="B13" s="998"/>
      <c r="C13" s="998"/>
      <c r="D13" s="998"/>
      <c r="E13" s="998"/>
      <c r="F13" s="998"/>
      <c r="G13" s="998"/>
      <c r="H13" s="870"/>
      <c r="I13" s="870"/>
      <c r="J13" s="870"/>
      <c r="K13" s="870"/>
      <c r="L13" s="89"/>
      <c r="M13" s="56"/>
      <c r="N13" s="56"/>
      <c r="O13" s="57"/>
    </row>
    <row r="14" spans="1:15" ht="278.25" customHeight="1" thickTop="1">
      <c r="A14" s="999" t="s">
        <v>500</v>
      </c>
      <c r="B14" s="1000"/>
      <c r="C14" s="1000"/>
      <c r="D14" s="1000"/>
      <c r="E14" s="1000"/>
      <c r="F14" s="1000"/>
      <c r="G14" s="1000"/>
      <c r="H14" s="1000"/>
      <c r="I14" s="1000"/>
      <c r="J14" s="1000"/>
      <c r="K14" s="1000"/>
      <c r="L14" s="1000"/>
      <c r="M14" s="1000"/>
      <c r="N14" s="201"/>
      <c r="O14" s="39"/>
    </row>
    <row r="15" spans="1:15" s="206" customFormat="1" ht="25.5" customHeight="1">
      <c r="A15" s="29" t="s">
        <v>458</v>
      </c>
      <c r="B15" s="29"/>
      <c r="C15" s="29"/>
      <c r="D15" s="29"/>
      <c r="E15" s="29"/>
      <c r="F15" s="29"/>
      <c r="G15" s="29" t="s">
        <v>456</v>
      </c>
      <c r="H15" s="29"/>
      <c r="I15" s="29"/>
      <c r="J15" s="29"/>
      <c r="K15" s="29" t="s">
        <v>457</v>
      </c>
      <c r="L15" s="29"/>
      <c r="M15" s="29"/>
      <c r="N15" s="38"/>
      <c r="O15" s="265"/>
    </row>
    <row r="16" spans="1:15" ht="38.25" customHeight="1">
      <c r="A16" s="29" t="s">
        <v>18</v>
      </c>
      <c r="B16" s="29"/>
      <c r="C16" s="29"/>
      <c r="D16" s="29"/>
      <c r="E16" s="29"/>
      <c r="F16" s="29"/>
      <c r="G16" s="29" t="s">
        <v>455</v>
      </c>
      <c r="H16" s="29"/>
      <c r="I16" s="29"/>
      <c r="J16" s="29"/>
      <c r="K16" s="29" t="s">
        <v>455</v>
      </c>
      <c r="L16" s="29"/>
      <c r="M16" s="29"/>
      <c r="N16" s="38"/>
      <c r="O16" s="39"/>
    </row>
  </sheetData>
  <mergeCells count="14">
    <mergeCell ref="B1:N1"/>
    <mergeCell ref="B2:N2"/>
    <mergeCell ref="B3:N3"/>
    <mergeCell ref="A14:M14"/>
    <mergeCell ref="A4:K4"/>
    <mergeCell ref="A13:G13"/>
    <mergeCell ref="H13:K13"/>
    <mergeCell ref="L6:L8"/>
    <mergeCell ref="A6:A8"/>
    <mergeCell ref="B6:B8"/>
    <mergeCell ref="C6:C8"/>
    <mergeCell ref="D6:D8"/>
    <mergeCell ref="E6:E8"/>
    <mergeCell ref="F6:F8"/>
  </mergeCells>
  <pageMargins left="0.19" right="0.15" top="0.21" bottom="0.28000000000000003" header="0.3" footer="0.3"/>
  <pageSetup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pane xSplit="2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9" sqref="A9:M9"/>
    </sheetView>
  </sheetViews>
  <sheetFormatPr defaultRowHeight="15"/>
  <cols>
    <col min="1" max="1" width="6.140625" customWidth="1"/>
    <col min="2" max="2" width="13" customWidth="1"/>
    <col min="3" max="3" width="10.85546875" customWidth="1"/>
    <col min="4" max="4" width="16.7109375" customWidth="1"/>
    <col min="5" max="5" width="11.42578125" customWidth="1"/>
    <col min="6" max="6" width="12.28515625" customWidth="1"/>
    <col min="7" max="7" width="20.5703125" customWidth="1"/>
    <col min="8" max="8" width="9.7109375" customWidth="1"/>
    <col min="9" max="9" width="6.28515625" customWidth="1"/>
    <col min="10" max="10" width="11.7109375" customWidth="1"/>
    <col min="11" max="11" width="6.42578125" customWidth="1"/>
    <col min="12" max="12" width="12.140625" customWidth="1"/>
    <col min="13" max="13" width="29.28515625" customWidth="1"/>
    <col min="14" max="14" width="17.85546875" customWidth="1"/>
  </cols>
  <sheetData>
    <row r="1" spans="1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5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5" s="6" customFormat="1" ht="64.5" customHeight="1" thickTop="1">
      <c r="A4" s="33" t="s">
        <v>2</v>
      </c>
      <c r="B4" s="34" t="s">
        <v>3</v>
      </c>
      <c r="C4" s="35" t="s">
        <v>4</v>
      </c>
      <c r="D4" s="34" t="s">
        <v>5</v>
      </c>
      <c r="E4" s="34" t="s">
        <v>6</v>
      </c>
      <c r="F4" s="34" t="s">
        <v>7</v>
      </c>
      <c r="G4" s="35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4" t="s">
        <v>459</v>
      </c>
      <c r="O4" s="36" t="s">
        <v>495</v>
      </c>
    </row>
    <row r="5" spans="1:15" ht="56.25" customHeight="1">
      <c r="A5" s="872">
        <v>1</v>
      </c>
      <c r="B5" s="924" t="s">
        <v>424</v>
      </c>
      <c r="C5" s="948" t="s">
        <v>93</v>
      </c>
      <c r="D5" s="924" t="s">
        <v>423</v>
      </c>
      <c r="E5" s="925">
        <v>40455</v>
      </c>
      <c r="F5" s="925">
        <v>40456</v>
      </c>
      <c r="G5" s="17"/>
      <c r="H5" s="15"/>
      <c r="I5" s="255"/>
      <c r="J5" s="17"/>
      <c r="K5" s="255"/>
      <c r="L5" s="900" t="s">
        <v>446</v>
      </c>
      <c r="M5" s="205" t="s">
        <v>474</v>
      </c>
      <c r="N5" s="205" t="s">
        <v>163</v>
      </c>
      <c r="O5" s="224" t="s">
        <v>496</v>
      </c>
    </row>
    <row r="6" spans="1:15" ht="37.5" hidden="1" customHeight="1">
      <c r="A6" s="872"/>
      <c r="B6" s="924"/>
      <c r="C6" s="949"/>
      <c r="D6" s="924"/>
      <c r="E6" s="925"/>
      <c r="F6" s="925"/>
      <c r="G6" s="14"/>
      <c r="H6" s="15"/>
      <c r="I6" s="255"/>
      <c r="J6" s="17"/>
      <c r="K6" s="255"/>
      <c r="L6" s="900"/>
      <c r="M6" s="205"/>
      <c r="N6" s="260"/>
      <c r="O6" s="247"/>
    </row>
    <row r="7" spans="1:15" ht="37.5" customHeight="1">
      <c r="A7" s="872"/>
      <c r="B7" s="924"/>
      <c r="C7" s="1002"/>
      <c r="D7" s="924"/>
      <c r="E7" s="925"/>
      <c r="F7" s="925"/>
      <c r="G7" s="14"/>
      <c r="H7" s="15"/>
      <c r="I7" s="255"/>
      <c r="J7" s="17"/>
      <c r="K7" s="255"/>
      <c r="L7" s="900"/>
      <c r="M7" s="205" t="s">
        <v>473</v>
      </c>
      <c r="N7" s="205">
        <v>64205320</v>
      </c>
      <c r="O7" s="224" t="s">
        <v>498</v>
      </c>
    </row>
    <row r="8" spans="1:15" ht="38.1" customHeight="1" thickBot="1">
      <c r="A8" s="868" t="s">
        <v>48</v>
      </c>
      <c r="B8" s="869"/>
      <c r="C8" s="869"/>
      <c r="D8" s="869"/>
      <c r="E8" s="869"/>
      <c r="F8" s="869"/>
      <c r="G8" s="869"/>
      <c r="H8" s="870"/>
      <c r="I8" s="870"/>
      <c r="J8" s="870"/>
      <c r="K8" s="870"/>
      <c r="L8" s="89"/>
      <c r="M8" s="56"/>
      <c r="N8" s="261" t="s">
        <v>476</v>
      </c>
      <c r="O8" s="59"/>
    </row>
    <row r="9" spans="1:15" ht="216.75" customHeight="1" thickTop="1">
      <c r="A9" s="905" t="s">
        <v>501</v>
      </c>
      <c r="B9" s="906"/>
      <c r="C9" s="906"/>
      <c r="D9" s="906"/>
      <c r="E9" s="906"/>
      <c r="F9" s="906"/>
      <c r="G9" s="906"/>
      <c r="H9" s="906"/>
      <c r="I9" s="906"/>
      <c r="J9" s="906"/>
      <c r="K9" s="906"/>
      <c r="L9" s="906"/>
      <c r="M9" s="906"/>
    </row>
    <row r="10" spans="1:15" ht="29.25" customHeight="1">
      <c r="A10" s="29" t="s">
        <v>460</v>
      </c>
      <c r="B10" s="29"/>
      <c r="C10" s="29"/>
      <c r="D10" s="29"/>
      <c r="E10" s="29" t="s">
        <v>17</v>
      </c>
      <c r="F10" s="29"/>
      <c r="G10" s="29"/>
      <c r="H10" s="29"/>
      <c r="I10" s="29"/>
      <c r="J10" s="29"/>
      <c r="K10" s="29"/>
      <c r="M10" s="207"/>
    </row>
    <row r="11" spans="1:15" ht="38.25" customHeight="1">
      <c r="A11" s="29" t="s">
        <v>18</v>
      </c>
      <c r="B11" s="29"/>
      <c r="C11" s="29"/>
      <c r="D11" s="29"/>
      <c r="E11" s="29" t="s">
        <v>18</v>
      </c>
      <c r="F11" s="29"/>
      <c r="G11" s="29"/>
      <c r="H11" s="29"/>
      <c r="I11" s="29"/>
      <c r="J11" s="29"/>
      <c r="K11" s="29"/>
    </row>
    <row r="16" spans="1:15">
      <c r="D16">
        <v>24140</v>
      </c>
      <c r="E16">
        <v>35079</v>
      </c>
      <c r="F16">
        <f>E16-D16</f>
        <v>10939</v>
      </c>
    </row>
  </sheetData>
  <mergeCells count="13">
    <mergeCell ref="A9:M9"/>
    <mergeCell ref="A8:G8"/>
    <mergeCell ref="H8:K8"/>
    <mergeCell ref="B1:N1"/>
    <mergeCell ref="B2:N2"/>
    <mergeCell ref="B3:N3"/>
    <mergeCell ref="L5:L7"/>
    <mergeCell ref="E5:E7"/>
    <mergeCell ref="F5:F7"/>
    <mergeCell ref="D5:D7"/>
    <mergeCell ref="B5:B7"/>
    <mergeCell ref="A5:A7"/>
    <mergeCell ref="C5:C7"/>
  </mergeCells>
  <pageMargins left="0.19" right="0.15" top="0.21" bottom="0.28000000000000003" header="0.3" footer="0.3"/>
  <pageSetup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B1:O17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0" sqref="A10:XFD17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7" width="11.42578125" customWidth="1"/>
    <col min="8" max="8" width="21.28515625" customWidth="1"/>
    <col min="9" max="9" width="15.855468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4.7109375" customWidth="1"/>
    <col min="15" max="15" width="18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6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6" t="s">
        <v>465</v>
      </c>
    </row>
    <row r="5" spans="2:15" ht="39" customHeight="1">
      <c r="B5" s="872">
        <v>1</v>
      </c>
      <c r="C5" s="986" t="s">
        <v>50</v>
      </c>
      <c r="D5" s="986" t="s">
        <v>95</v>
      </c>
      <c r="E5" s="924" t="s">
        <v>438</v>
      </c>
      <c r="F5" s="925">
        <v>40464</v>
      </c>
      <c r="G5" s="925">
        <v>40464</v>
      </c>
      <c r="H5" s="17"/>
      <c r="I5" s="15"/>
      <c r="J5" s="16"/>
      <c r="K5" s="12" t="s">
        <v>437</v>
      </c>
      <c r="L5" s="221">
        <v>5</v>
      </c>
      <c r="M5" s="212" t="s">
        <v>444</v>
      </c>
      <c r="N5" s="18"/>
      <c r="O5" s="55"/>
    </row>
    <row r="6" spans="2:15" ht="24.95" hidden="1" customHeight="1">
      <c r="B6" s="872"/>
      <c r="C6" s="986"/>
      <c r="D6" s="986"/>
      <c r="E6" s="924"/>
      <c r="F6" s="925"/>
      <c r="G6" s="925"/>
      <c r="H6" s="14"/>
      <c r="I6" s="15"/>
      <c r="J6" s="16"/>
      <c r="K6" s="17"/>
      <c r="L6" s="16"/>
      <c r="M6" s="18"/>
      <c r="N6" s="18"/>
      <c r="O6" s="55"/>
    </row>
    <row r="7" spans="2:15" ht="24.95" hidden="1" customHeight="1">
      <c r="B7" s="872"/>
      <c r="C7" s="986"/>
      <c r="D7" s="986"/>
      <c r="E7" s="924"/>
      <c r="F7" s="925"/>
      <c r="G7" s="925"/>
      <c r="H7" s="14"/>
      <c r="I7" s="15"/>
      <c r="J7" s="16"/>
      <c r="K7" s="17"/>
      <c r="L7" s="16"/>
      <c r="M7" s="18"/>
      <c r="N7" s="18"/>
      <c r="O7" s="55"/>
    </row>
    <row r="8" spans="2:15" ht="24.95" hidden="1" customHeight="1">
      <c r="B8" s="218"/>
      <c r="C8" s="12"/>
      <c r="D8" s="12"/>
      <c r="E8" s="18"/>
      <c r="F8" s="13"/>
      <c r="G8" s="13"/>
      <c r="H8" s="17"/>
      <c r="I8" s="17"/>
      <c r="J8" s="16"/>
      <c r="K8" s="17"/>
      <c r="L8" s="17"/>
      <c r="M8" s="20"/>
      <c r="N8" s="18"/>
      <c r="O8" s="55"/>
    </row>
    <row r="9" spans="2:15" ht="38.1" customHeight="1" thickBot="1">
      <c r="B9" s="997" t="s">
        <v>48</v>
      </c>
      <c r="C9" s="998"/>
      <c r="D9" s="998"/>
      <c r="E9" s="998"/>
      <c r="F9" s="998"/>
      <c r="G9" s="998"/>
      <c r="H9" s="998"/>
      <c r="I9" s="870">
        <f>L5*84.01+L6*84.01</f>
        <v>420.05</v>
      </c>
      <c r="J9" s="870"/>
      <c r="K9" s="870"/>
      <c r="L9" s="870"/>
      <c r="M9" s="89"/>
      <c r="N9" s="56"/>
      <c r="O9" s="57"/>
    </row>
    <row r="10" spans="2:15" ht="279" customHeight="1" thickTop="1">
      <c r="B10" s="969" t="s">
        <v>502</v>
      </c>
      <c r="C10" s="970"/>
      <c r="D10" s="970"/>
      <c r="E10" s="970"/>
      <c r="F10" s="970"/>
      <c r="G10" s="970"/>
      <c r="H10" s="970"/>
      <c r="I10" s="970"/>
      <c r="J10" s="970"/>
      <c r="K10" s="970"/>
      <c r="L10" s="970"/>
      <c r="M10" s="970"/>
      <c r="N10" s="970"/>
    </row>
    <row r="11" spans="2:15" ht="24.95" customHeight="1">
      <c r="B11" s="890" t="s">
        <v>466</v>
      </c>
      <c r="C11" s="890"/>
      <c r="D11" s="890"/>
      <c r="E11" s="890"/>
      <c r="F11" s="890"/>
      <c r="G11" s="890"/>
      <c r="H11" s="890"/>
      <c r="I11" s="890"/>
      <c r="J11" s="890"/>
      <c r="K11" s="890"/>
      <c r="L11" s="890"/>
      <c r="M11" s="890"/>
      <c r="N11" s="890"/>
    </row>
    <row r="12" spans="2:15" ht="20.100000000000001" customHeight="1">
      <c r="B12" s="213" t="s">
        <v>489</v>
      </c>
      <c r="C12" s="29"/>
      <c r="D12" s="29"/>
      <c r="E12" s="29"/>
      <c r="F12" s="29" t="s">
        <v>490</v>
      </c>
      <c r="G12" s="29"/>
      <c r="H12" s="29"/>
      <c r="I12" s="29"/>
      <c r="J12" s="29"/>
      <c r="K12" s="29"/>
      <c r="L12" s="29"/>
    </row>
    <row r="13" spans="2:15" ht="38.25" customHeight="1">
      <c r="B13" s="213" t="s">
        <v>467</v>
      </c>
      <c r="C13" s="29"/>
      <c r="D13" s="29"/>
      <c r="E13" s="29"/>
      <c r="F13" s="29" t="s">
        <v>491</v>
      </c>
      <c r="G13" s="29"/>
      <c r="H13" s="29"/>
      <c r="I13" s="29"/>
      <c r="J13" s="29"/>
      <c r="K13" s="29"/>
      <c r="L13" s="29"/>
    </row>
    <row r="17" spans="13:13">
      <c r="M17" t="s">
        <v>485</v>
      </c>
    </row>
  </sheetData>
  <mergeCells count="13">
    <mergeCell ref="B11:N11"/>
    <mergeCell ref="B10:N10"/>
    <mergeCell ref="B1:N1"/>
    <mergeCell ref="B2:N2"/>
    <mergeCell ref="B9:H9"/>
    <mergeCell ref="I9:L9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B1:P20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P5" sqref="P5:P9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2.28515625" customWidth="1"/>
    <col min="6" max="6" width="11.42578125" customWidth="1"/>
    <col min="7" max="7" width="12.28515625" customWidth="1"/>
    <col min="8" max="8" width="22" customWidth="1"/>
    <col min="9" max="9" width="16.5703125" customWidth="1"/>
    <col min="10" max="10" width="6.28515625" customWidth="1"/>
    <col min="11" max="11" width="11.7109375" customWidth="1"/>
    <col min="12" max="12" width="6.42578125" customWidth="1"/>
    <col min="13" max="13" width="14.5703125" customWidth="1"/>
    <col min="14" max="14" width="30.85546875" customWidth="1"/>
    <col min="15" max="15" width="17" customWidth="1"/>
    <col min="16" max="16" width="7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60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2:16" ht="45.75" customHeight="1">
      <c r="B5" s="1007">
        <v>1</v>
      </c>
      <c r="C5" s="1008" t="s">
        <v>19</v>
      </c>
      <c r="D5" s="1008" t="s">
        <v>97</v>
      </c>
      <c r="E5" s="1008">
        <v>159743</v>
      </c>
      <c r="F5" s="1009">
        <v>40501</v>
      </c>
      <c r="G5" s="1009">
        <v>40506</v>
      </c>
      <c r="H5" s="593" t="s">
        <v>781</v>
      </c>
      <c r="I5" s="594">
        <v>1026679</v>
      </c>
      <c r="J5" s="595">
        <v>1</v>
      </c>
      <c r="K5" s="593" t="s">
        <v>523</v>
      </c>
      <c r="L5" s="595">
        <v>18</v>
      </c>
      <c r="M5" s="1006" t="s">
        <v>515</v>
      </c>
      <c r="N5" s="596" t="s">
        <v>788</v>
      </c>
      <c r="O5" s="664" t="s">
        <v>870</v>
      </c>
      <c r="P5" s="666">
        <v>8</v>
      </c>
    </row>
    <row r="6" spans="2:16" ht="30" customHeight="1">
      <c r="B6" s="1007"/>
      <c r="C6" s="1008"/>
      <c r="D6" s="1008"/>
      <c r="E6" s="1008"/>
      <c r="F6" s="1009"/>
      <c r="G6" s="1009"/>
      <c r="H6" s="598" t="s">
        <v>782</v>
      </c>
      <c r="I6" s="594">
        <v>3387100250</v>
      </c>
      <c r="J6" s="595">
        <v>1</v>
      </c>
      <c r="K6" s="593"/>
      <c r="L6" s="595"/>
      <c r="M6" s="1006"/>
      <c r="N6" s="596" t="s">
        <v>791</v>
      </c>
      <c r="O6" s="665">
        <v>3387100490</v>
      </c>
      <c r="P6" s="605">
        <v>1</v>
      </c>
    </row>
    <row r="7" spans="2:16" ht="24.95" customHeight="1">
      <c r="B7" s="1007"/>
      <c r="C7" s="1008"/>
      <c r="D7" s="1008"/>
      <c r="E7" s="1008"/>
      <c r="F7" s="1009"/>
      <c r="G7" s="1009"/>
      <c r="H7" s="598" t="s">
        <v>783</v>
      </c>
      <c r="I7" s="594">
        <v>3387100240</v>
      </c>
      <c r="J7" s="595">
        <v>1</v>
      </c>
      <c r="K7" s="593"/>
      <c r="L7" s="595"/>
      <c r="M7" s="1006"/>
      <c r="N7" s="596" t="s">
        <v>868</v>
      </c>
      <c r="O7" s="665">
        <v>343100640</v>
      </c>
      <c r="P7" s="605">
        <v>3</v>
      </c>
    </row>
    <row r="8" spans="2:16" ht="35.25" customHeight="1">
      <c r="B8" s="1007"/>
      <c r="C8" s="1008"/>
      <c r="D8" s="1008"/>
      <c r="E8" s="1008"/>
      <c r="F8" s="1009"/>
      <c r="G8" s="1009"/>
      <c r="H8" s="598" t="s">
        <v>658</v>
      </c>
      <c r="I8" s="594">
        <v>3414200890</v>
      </c>
      <c r="J8" s="595">
        <v>2</v>
      </c>
      <c r="K8" s="593"/>
      <c r="L8" s="595"/>
      <c r="M8" s="1006"/>
      <c r="N8" s="596" t="s">
        <v>869</v>
      </c>
      <c r="O8" s="665">
        <v>1026681</v>
      </c>
      <c r="P8" s="605">
        <v>1</v>
      </c>
    </row>
    <row r="9" spans="2:16" ht="30.75" customHeight="1">
      <c r="B9" s="1007"/>
      <c r="C9" s="1008"/>
      <c r="D9" s="1008"/>
      <c r="E9" s="1008"/>
      <c r="F9" s="1009"/>
      <c r="G9" s="1009"/>
      <c r="H9" s="593" t="s">
        <v>731</v>
      </c>
      <c r="I9" s="594">
        <v>2423004920</v>
      </c>
      <c r="J9" s="595">
        <v>2</v>
      </c>
      <c r="K9" s="593"/>
      <c r="L9" s="593"/>
      <c r="M9" s="1006"/>
      <c r="N9" s="596" t="s">
        <v>790</v>
      </c>
      <c r="O9" s="665">
        <v>3423001290</v>
      </c>
      <c r="P9" s="605">
        <v>2</v>
      </c>
    </row>
    <row r="10" spans="2:16" ht="24.95" customHeight="1">
      <c r="B10" s="1007"/>
      <c r="C10" s="1008"/>
      <c r="D10" s="1008"/>
      <c r="E10" s="1008"/>
      <c r="F10" s="1009"/>
      <c r="G10" s="1009"/>
      <c r="H10" s="593" t="s">
        <v>784</v>
      </c>
      <c r="I10" s="594">
        <v>3423012040</v>
      </c>
      <c r="J10" s="595">
        <v>1</v>
      </c>
      <c r="K10" s="593"/>
      <c r="L10" s="595"/>
      <c r="M10" s="1006"/>
      <c r="N10" s="597"/>
      <c r="O10" s="597"/>
      <c r="P10" s="588"/>
    </row>
    <row r="11" spans="2:16" ht="24.95" customHeight="1">
      <c r="B11" s="1007"/>
      <c r="C11" s="1008"/>
      <c r="D11" s="1008"/>
      <c r="E11" s="1008"/>
      <c r="F11" s="1009"/>
      <c r="G11" s="1009"/>
      <c r="H11" s="593" t="s">
        <v>649</v>
      </c>
      <c r="I11" s="594" t="s">
        <v>785</v>
      </c>
      <c r="J11" s="595">
        <v>1</v>
      </c>
      <c r="K11" s="593"/>
      <c r="L11" s="593"/>
      <c r="M11" s="1006"/>
      <c r="N11" s="596"/>
      <c r="O11" s="597"/>
      <c r="P11" s="588"/>
    </row>
    <row r="12" spans="2:16" ht="24.95" customHeight="1">
      <c r="B12" s="1007"/>
      <c r="C12" s="1008"/>
      <c r="D12" s="1008"/>
      <c r="E12" s="1008"/>
      <c r="F12" s="1009"/>
      <c r="G12" s="1009"/>
      <c r="H12" s="593" t="s">
        <v>786</v>
      </c>
      <c r="I12" s="594" t="s">
        <v>787</v>
      </c>
      <c r="J12" s="595">
        <v>1</v>
      </c>
      <c r="K12" s="593"/>
      <c r="L12" s="593"/>
      <c r="M12" s="1006"/>
      <c r="N12" s="596"/>
      <c r="O12" s="597"/>
      <c r="P12" s="588"/>
    </row>
    <row r="13" spans="2:16" ht="25.5" customHeight="1" thickBot="1">
      <c r="B13" s="1003" t="s">
        <v>48</v>
      </c>
      <c r="C13" s="1004"/>
      <c r="D13" s="1004"/>
      <c r="E13" s="1004"/>
      <c r="F13" s="1004"/>
      <c r="G13" s="1004"/>
      <c r="H13" s="1004"/>
      <c r="I13" s="1005">
        <f>195.96+638.37+355.4+246.38+703.49+724.1+1532.93+475.84+L5*83.26</f>
        <v>6371.1500000000005</v>
      </c>
      <c r="J13" s="1005"/>
      <c r="K13" s="1005"/>
      <c r="L13" s="1005"/>
      <c r="M13" s="589"/>
      <c r="N13" s="590"/>
      <c r="O13" s="591"/>
      <c r="P13" s="592"/>
    </row>
    <row r="14" spans="2:16" ht="409.6" customHeight="1" thickTop="1">
      <c r="B14" s="936" t="s">
        <v>810</v>
      </c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  <c r="N14" s="937"/>
    </row>
    <row r="15" spans="2:16" ht="20.100000000000001" customHeight="1">
      <c r="B15" s="213" t="s">
        <v>489</v>
      </c>
      <c r="C15" s="29"/>
      <c r="D15" s="29"/>
      <c r="E15" s="29"/>
      <c r="F15" s="29" t="s">
        <v>490</v>
      </c>
      <c r="G15" s="29"/>
      <c r="H15" s="29"/>
      <c r="I15" s="29"/>
      <c r="J15" s="29"/>
      <c r="K15" s="29"/>
      <c r="L15" s="29"/>
    </row>
    <row r="16" spans="2:16" ht="38.25" customHeight="1">
      <c r="B16" s="213" t="s">
        <v>467</v>
      </c>
      <c r="C16" s="29"/>
      <c r="D16" s="29"/>
      <c r="E16" s="29"/>
      <c r="F16" s="29" t="s">
        <v>491</v>
      </c>
      <c r="G16" s="29"/>
      <c r="H16" s="29"/>
      <c r="I16" s="29"/>
      <c r="J16" s="29"/>
      <c r="K16" s="29"/>
      <c r="L16" s="29"/>
    </row>
    <row r="20" spans="13:13">
      <c r="M20" t="s">
        <v>485</v>
      </c>
    </row>
  </sheetData>
  <mergeCells count="13">
    <mergeCell ref="B1:N1"/>
    <mergeCell ref="B2:N2"/>
    <mergeCell ref="B13:H13"/>
    <mergeCell ref="I13:L13"/>
    <mergeCell ref="B14:N14"/>
    <mergeCell ref="B3:N3"/>
    <mergeCell ref="M5:M12"/>
    <mergeCell ref="B5:B12"/>
    <mergeCell ref="C5:C12"/>
    <mergeCell ref="D5:D12"/>
    <mergeCell ref="E5:E12"/>
    <mergeCell ref="F5:F12"/>
    <mergeCell ref="G5:G12"/>
  </mergeCells>
  <pageMargins left="0.19" right="0.15" top="0.21" bottom="0.14000000000000001" header="0.3" footer="0.14000000000000001"/>
  <pageSetup scale="68" orientation="landscape" r:id="rId1"/>
  <rowBreaks count="1" manualBreakCount="1">
    <brk id="16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>
  <dimension ref="A1:U28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L6" sqref="L6"/>
    </sheetView>
  </sheetViews>
  <sheetFormatPr defaultRowHeight="15"/>
  <cols>
    <col min="1" max="1" width="1.140625" customWidth="1"/>
    <col min="2" max="2" width="6.140625" customWidth="1"/>
    <col min="3" max="3" width="15.140625" customWidth="1"/>
    <col min="4" max="4" width="10.85546875" customWidth="1"/>
    <col min="5" max="5" width="14.85546875" customWidth="1"/>
    <col min="6" max="6" width="11.42578125" customWidth="1"/>
    <col min="7" max="7" width="12.28515625" customWidth="1"/>
    <col min="8" max="8" width="25.2851562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2.7109375" customWidth="1"/>
    <col min="14" max="14" width="30.28515625" customWidth="1"/>
    <col min="15" max="15" width="14.1406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487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60.75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461</v>
      </c>
      <c r="P4" s="36" t="s">
        <v>495</v>
      </c>
    </row>
    <row r="5" spans="1:21" ht="47.25" customHeight="1">
      <c r="B5" s="872">
        <v>1</v>
      </c>
      <c r="C5" s="988" t="s">
        <v>511</v>
      </c>
      <c r="D5" s="1010" t="s">
        <v>113</v>
      </c>
      <c r="E5" s="973" t="s">
        <v>513</v>
      </c>
      <c r="F5" s="1011">
        <v>40472</v>
      </c>
      <c r="G5" s="1011">
        <v>40473</v>
      </c>
      <c r="H5" s="231" t="s">
        <v>514</v>
      </c>
      <c r="I5" s="278" t="s">
        <v>83</v>
      </c>
      <c r="J5" s="232">
        <v>4</v>
      </c>
      <c r="K5" s="231" t="s">
        <v>778</v>
      </c>
      <c r="L5" s="232">
        <v>20</v>
      </c>
      <c r="M5" s="236" t="s">
        <v>445</v>
      </c>
      <c r="N5" s="236"/>
      <c r="O5" s="278"/>
      <c r="P5" s="279"/>
    </row>
    <row r="6" spans="1:21" ht="24.95" customHeight="1">
      <c r="B6" s="872"/>
      <c r="C6" s="973"/>
      <c r="D6" s="1010"/>
      <c r="E6" s="973"/>
      <c r="F6" s="1011"/>
      <c r="G6" s="1011"/>
      <c r="H6" s="14"/>
      <c r="I6" s="15"/>
      <c r="J6" s="258"/>
      <c r="K6" s="17"/>
      <c r="L6" s="258"/>
      <c r="M6" s="18"/>
      <c r="N6" s="18"/>
      <c r="O6" s="20"/>
      <c r="P6" s="55"/>
    </row>
    <row r="7" spans="1:21" ht="24.95" hidden="1" customHeight="1">
      <c r="B7" s="256"/>
      <c r="C7" s="12"/>
      <c r="D7" s="12"/>
      <c r="E7" s="18"/>
      <c r="F7" s="13"/>
      <c r="G7" s="13"/>
      <c r="H7" s="17"/>
      <c r="I7" s="17"/>
      <c r="J7" s="258"/>
      <c r="K7" s="17"/>
      <c r="L7" s="17"/>
      <c r="M7" s="20"/>
      <c r="N7" s="18"/>
      <c r="O7" s="20"/>
      <c r="P7" s="55"/>
    </row>
    <row r="8" spans="1:21" ht="38.1" customHeight="1" thickBot="1">
      <c r="B8" s="868" t="s">
        <v>48</v>
      </c>
      <c r="C8" s="869"/>
      <c r="D8" s="869"/>
      <c r="E8" s="869"/>
      <c r="F8" s="869"/>
      <c r="G8" s="869"/>
      <c r="H8" s="869"/>
      <c r="I8" s="870">
        <f>L5*84.01+6416.52</f>
        <v>8096.72</v>
      </c>
      <c r="J8" s="870"/>
      <c r="K8" s="870"/>
      <c r="L8" s="870"/>
      <c r="M8" s="89"/>
      <c r="N8" s="56"/>
      <c r="O8" s="268"/>
      <c r="P8" s="59"/>
    </row>
    <row r="9" spans="1:21" ht="312" customHeight="1" thickTop="1">
      <c r="A9" s="989" t="s">
        <v>524</v>
      </c>
      <c r="B9" s="990"/>
      <c r="C9" s="990"/>
      <c r="D9" s="990"/>
      <c r="E9" s="990"/>
      <c r="F9" s="990"/>
      <c r="G9" s="990"/>
      <c r="H9" s="990"/>
      <c r="I9" s="990"/>
      <c r="J9" s="990"/>
      <c r="K9" s="990"/>
      <c r="L9" s="990"/>
      <c r="M9" s="990"/>
    </row>
    <row r="10" spans="1:21" ht="24.95" customHeight="1">
      <c r="B10" s="890" t="s">
        <v>466</v>
      </c>
      <c r="C10" s="890"/>
      <c r="D10" s="890"/>
      <c r="E10" s="890"/>
      <c r="F10" s="890"/>
      <c r="G10" s="890"/>
      <c r="H10" s="890"/>
      <c r="I10" s="890"/>
      <c r="J10" s="890"/>
      <c r="K10" s="890"/>
      <c r="L10" s="890"/>
      <c r="M10" s="890"/>
      <c r="N10" s="890"/>
    </row>
    <row r="11" spans="1:21" ht="20.100000000000001" customHeight="1">
      <c r="B11" s="991" t="s">
        <v>518</v>
      </c>
      <c r="C11" s="991"/>
      <c r="D11" s="991"/>
      <c r="E11" s="991"/>
      <c r="F11" s="285" t="s">
        <v>525</v>
      </c>
      <c r="G11" s="285"/>
      <c r="H11" s="285"/>
      <c r="I11" s="248"/>
      <c r="J11" s="991" t="s">
        <v>526</v>
      </c>
      <c r="K11" s="991"/>
      <c r="L11" s="991"/>
      <c r="M11" s="991"/>
      <c r="N11" s="991"/>
      <c r="O11" s="991"/>
      <c r="P11" s="991"/>
      <c r="Q11" s="991"/>
      <c r="R11" s="991"/>
      <c r="S11" s="991"/>
      <c r="T11" s="991"/>
      <c r="U11" s="991"/>
    </row>
    <row r="12" spans="1:21" ht="20.100000000000001" customHeight="1">
      <c r="B12" s="991" t="s">
        <v>519</v>
      </c>
      <c r="C12" s="991"/>
      <c r="D12" s="991"/>
      <c r="E12" s="991"/>
      <c r="F12" s="285" t="s">
        <v>519</v>
      </c>
      <c r="G12" s="285"/>
      <c r="H12" s="285"/>
      <c r="I12" s="248"/>
      <c r="J12" s="991" t="s">
        <v>519</v>
      </c>
      <c r="K12" s="991"/>
      <c r="L12" s="991"/>
      <c r="M12" s="991"/>
      <c r="N12" s="991"/>
      <c r="O12" s="991"/>
      <c r="P12" s="991"/>
      <c r="Q12" s="991"/>
      <c r="R12" s="991"/>
      <c r="S12" s="991"/>
      <c r="T12" s="991"/>
      <c r="U12" s="991"/>
    </row>
    <row r="13" spans="1:21" ht="18">
      <c r="B13" s="283" t="s">
        <v>517</v>
      </c>
      <c r="C13" s="284"/>
      <c r="D13" s="284"/>
      <c r="E13" s="284"/>
      <c r="F13" s="285" t="s">
        <v>520</v>
      </c>
      <c r="G13" s="286"/>
      <c r="H13" s="286"/>
      <c r="I13" s="284"/>
      <c r="J13" s="283" t="s">
        <v>517</v>
      </c>
      <c r="K13" s="284"/>
      <c r="L13" s="284"/>
      <c r="M13" s="284"/>
      <c r="N13" s="283"/>
      <c r="O13" s="284"/>
      <c r="P13" s="284"/>
      <c r="Q13" s="284"/>
      <c r="R13" s="283"/>
      <c r="S13" s="284"/>
      <c r="T13" s="284"/>
      <c r="U13" s="284"/>
    </row>
    <row r="28" spans="9:9">
      <c r="I28">
        <f>6818-5560</f>
        <v>1258</v>
      </c>
    </row>
  </sheetData>
  <mergeCells count="21">
    <mergeCell ref="B12:E12"/>
    <mergeCell ref="J12:M12"/>
    <mergeCell ref="N12:Q12"/>
    <mergeCell ref="R12:U12"/>
    <mergeCell ref="B11:E11"/>
    <mergeCell ref="J11:M11"/>
    <mergeCell ref="N11:Q11"/>
    <mergeCell ref="R11:U11"/>
    <mergeCell ref="B10:N10"/>
    <mergeCell ref="B5:B6"/>
    <mergeCell ref="C5:C6"/>
    <mergeCell ref="D5:D6"/>
    <mergeCell ref="E5:E6"/>
    <mergeCell ref="F5:F6"/>
    <mergeCell ref="G5:G6"/>
    <mergeCell ref="A9:M9"/>
    <mergeCell ref="B1:N1"/>
    <mergeCell ref="B2:N2"/>
    <mergeCell ref="B8:H8"/>
    <mergeCell ref="I8:L8"/>
    <mergeCell ref="B3:N3"/>
  </mergeCells>
  <pageMargins left="0.19" right="0.15" top="0.21" bottom="0.28000000000000003" header="0.3" footer="0.3"/>
  <pageSetup scale="6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9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N11" sqref="N11"/>
    </sheetView>
  </sheetViews>
  <sheetFormatPr defaultRowHeight="15"/>
  <cols>
    <col min="1" max="1" width="1.140625" hidden="1" customWidth="1"/>
    <col min="2" max="2" width="6.140625" customWidth="1"/>
    <col min="3" max="3" width="12.28515625" customWidth="1"/>
    <col min="4" max="4" width="10.85546875" customWidth="1"/>
    <col min="5" max="5" width="11.28515625" customWidth="1"/>
    <col min="6" max="6" width="10.42578125" customWidth="1"/>
    <col min="7" max="7" width="12.28515625" customWidth="1"/>
    <col min="8" max="8" width="21.85546875" customWidth="1"/>
    <col min="9" max="9" width="14.5703125" customWidth="1"/>
    <col min="10" max="10" width="6.28515625" customWidth="1"/>
    <col min="11" max="11" width="11.7109375" customWidth="1"/>
    <col min="12" max="12" width="6.42578125" customWidth="1"/>
    <col min="13" max="13" width="11.42578125" customWidth="1"/>
    <col min="14" max="14" width="29.7109375" customWidth="1"/>
    <col min="15" max="15" width="13.42578125" bestFit="1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39.950000000000003" customHeight="1" thickTop="1">
      <c r="A4" s="531"/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32.25" customHeight="1">
      <c r="A5" s="532"/>
      <c r="B5" s="1012">
        <v>1</v>
      </c>
      <c r="C5" s="1013" t="s">
        <v>19</v>
      </c>
      <c r="D5" s="1014" t="s">
        <v>127</v>
      </c>
      <c r="E5" s="1014">
        <v>161365</v>
      </c>
      <c r="F5" s="1015">
        <v>40496</v>
      </c>
      <c r="G5" s="1015">
        <v>40498</v>
      </c>
      <c r="H5" s="502" t="s">
        <v>647</v>
      </c>
      <c r="I5" s="528">
        <v>3433400131</v>
      </c>
      <c r="J5" s="504">
        <v>1</v>
      </c>
      <c r="K5" s="505" t="s">
        <v>568</v>
      </c>
      <c r="L5" s="504">
        <v>3</v>
      </c>
      <c r="M5" s="1016" t="s">
        <v>582</v>
      </c>
      <c r="N5" s="533" t="s">
        <v>670</v>
      </c>
      <c r="O5" s="503">
        <v>3454205200</v>
      </c>
      <c r="P5" s="534">
        <v>16</v>
      </c>
    </row>
    <row r="6" spans="1:21" ht="32.25" customHeight="1">
      <c r="A6" s="532"/>
      <c r="B6" s="1012"/>
      <c r="C6" s="1013"/>
      <c r="D6" s="1014"/>
      <c r="E6" s="1014"/>
      <c r="F6" s="1015"/>
      <c r="G6" s="1015"/>
      <c r="H6" s="502" t="s">
        <v>705</v>
      </c>
      <c r="I6" s="528" t="s">
        <v>646</v>
      </c>
      <c r="J6" s="504">
        <v>1</v>
      </c>
      <c r="K6" s="505"/>
      <c r="L6" s="504"/>
      <c r="M6" s="1016"/>
      <c r="N6" s="1017" t="s">
        <v>638</v>
      </c>
      <c r="O6" s="1016" t="s">
        <v>695</v>
      </c>
      <c r="P6" s="1018">
        <v>8</v>
      </c>
    </row>
    <row r="7" spans="1:21" ht="32.25" customHeight="1">
      <c r="A7" s="532"/>
      <c r="B7" s="1012"/>
      <c r="C7" s="1013"/>
      <c r="D7" s="1014"/>
      <c r="E7" s="1014"/>
      <c r="F7" s="1015"/>
      <c r="G7" s="1015"/>
      <c r="H7" s="502" t="s">
        <v>740</v>
      </c>
      <c r="I7" s="528">
        <v>1034330</v>
      </c>
      <c r="J7" s="504">
        <v>1</v>
      </c>
      <c r="K7" s="505"/>
      <c r="L7" s="504"/>
      <c r="M7" s="1016"/>
      <c r="N7" s="1017"/>
      <c r="O7" s="1016"/>
      <c r="P7" s="1018"/>
    </row>
    <row r="8" spans="1:21" ht="32.25" customHeight="1">
      <c r="A8" s="532"/>
      <c r="B8" s="1012"/>
      <c r="C8" s="1013"/>
      <c r="D8" s="1014"/>
      <c r="E8" s="1014"/>
      <c r="F8" s="1015"/>
      <c r="G8" s="1015"/>
      <c r="H8" s="530" t="s">
        <v>721</v>
      </c>
      <c r="I8" s="528">
        <v>3485300040</v>
      </c>
      <c r="J8" s="504">
        <v>1</v>
      </c>
      <c r="K8" s="505"/>
      <c r="L8" s="504"/>
      <c r="M8" s="1016"/>
      <c r="N8" s="533" t="s">
        <v>736</v>
      </c>
      <c r="O8" s="503" t="s">
        <v>735</v>
      </c>
      <c r="P8" s="535">
        <v>1</v>
      </c>
    </row>
    <row r="9" spans="1:21" ht="45.75" customHeight="1">
      <c r="A9" s="532"/>
      <c r="B9" s="1012"/>
      <c r="C9" s="1013"/>
      <c r="D9" s="1014"/>
      <c r="E9" s="1014"/>
      <c r="F9" s="1015"/>
      <c r="G9" s="1015"/>
      <c r="H9" s="502" t="s">
        <v>741</v>
      </c>
      <c r="I9" s="528">
        <v>3424002390</v>
      </c>
      <c r="J9" s="504">
        <v>1</v>
      </c>
      <c r="K9" s="505"/>
      <c r="L9" s="504"/>
      <c r="M9" s="1016"/>
      <c r="N9" s="506"/>
      <c r="O9" s="509"/>
      <c r="P9" s="510"/>
    </row>
    <row r="10" spans="1:21" ht="38.1" customHeight="1" thickBot="1">
      <c r="A10" s="532"/>
      <c r="B10" s="945" t="s">
        <v>48</v>
      </c>
      <c r="C10" s="946"/>
      <c r="D10" s="946"/>
      <c r="E10" s="946"/>
      <c r="F10" s="946"/>
      <c r="G10" s="946"/>
      <c r="H10" s="946"/>
      <c r="I10" s="947">
        <f>160.16+1532.94+1081.05+502.56+3*122.28+1762.61</f>
        <v>5406.16</v>
      </c>
      <c r="J10" s="947"/>
      <c r="K10" s="947"/>
      <c r="L10" s="947"/>
      <c r="M10" s="529"/>
      <c r="N10" s="511"/>
      <c r="O10" s="512"/>
      <c r="P10" s="513"/>
    </row>
    <row r="11" spans="1:21" ht="409.5" customHeight="1" thickTop="1">
      <c r="A11" s="1019" t="s">
        <v>739</v>
      </c>
      <c r="B11" s="999"/>
      <c r="C11" s="999"/>
      <c r="D11" s="999"/>
      <c r="E11" s="999"/>
      <c r="F11" s="999"/>
      <c r="G11" s="999"/>
      <c r="H11" s="999"/>
      <c r="I11" s="999"/>
      <c r="J11" s="999"/>
      <c r="K11" s="999"/>
      <c r="L11" s="999"/>
      <c r="M11" s="999"/>
      <c r="N11" s="201"/>
      <c r="O11" s="39"/>
    </row>
    <row r="12" spans="1:21" ht="20.100000000000001" customHeight="1">
      <c r="B12" s="991" t="s">
        <v>518</v>
      </c>
      <c r="C12" s="991"/>
      <c r="D12" s="991"/>
      <c r="E12" s="991"/>
      <c r="F12" s="285" t="s">
        <v>525</v>
      </c>
      <c r="G12" s="285"/>
      <c r="H12" s="285"/>
      <c r="I12" s="285"/>
      <c r="J12" s="991"/>
      <c r="K12" s="991"/>
      <c r="L12" s="991"/>
      <c r="M12" s="991"/>
      <c r="N12" s="991" t="s">
        <v>526</v>
      </c>
      <c r="O12" s="991"/>
      <c r="P12" s="991"/>
      <c r="Q12" s="991"/>
      <c r="R12" s="991"/>
      <c r="S12" s="991"/>
      <c r="T12" s="991"/>
      <c r="U12" s="991"/>
    </row>
    <row r="13" spans="1:21" ht="20.100000000000001" customHeight="1">
      <c r="B13" s="991" t="s">
        <v>519</v>
      </c>
      <c r="C13" s="991"/>
      <c r="D13" s="991"/>
      <c r="E13" s="991"/>
      <c r="F13" s="285" t="s">
        <v>519</v>
      </c>
      <c r="G13" s="285"/>
      <c r="H13" s="285"/>
      <c r="I13" s="285"/>
      <c r="J13" s="991"/>
      <c r="K13" s="991"/>
      <c r="L13" s="991"/>
      <c r="M13" s="991"/>
      <c r="N13" s="991" t="s">
        <v>519</v>
      </c>
      <c r="O13" s="991"/>
      <c r="P13" s="991"/>
      <c r="Q13" s="991"/>
      <c r="R13" s="991"/>
      <c r="S13" s="991"/>
      <c r="T13" s="991"/>
      <c r="U13" s="991"/>
    </row>
    <row r="14" spans="1:21" ht="18">
      <c r="B14" s="491" t="s">
        <v>517</v>
      </c>
      <c r="C14" s="284"/>
      <c r="D14" s="284"/>
      <c r="E14" s="284"/>
      <c r="F14" s="285" t="s">
        <v>520</v>
      </c>
      <c r="G14" s="286"/>
      <c r="H14" s="286"/>
      <c r="I14" s="286"/>
      <c r="J14" s="491"/>
      <c r="K14" s="284"/>
      <c r="L14" s="284"/>
      <c r="M14" s="284"/>
      <c r="N14" s="491" t="s">
        <v>517</v>
      </c>
      <c r="O14" s="284"/>
      <c r="P14" s="284"/>
      <c r="Q14" s="284"/>
      <c r="R14" s="491"/>
      <c r="S14" s="284"/>
      <c r="T14" s="284"/>
      <c r="U14" s="284"/>
    </row>
    <row r="15" spans="1:21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9" ht="48.75" customHeight="1"/>
  </sheetData>
  <mergeCells count="24">
    <mergeCell ref="N12:Q12"/>
    <mergeCell ref="R12:U12"/>
    <mergeCell ref="B13:E13"/>
    <mergeCell ref="J13:M13"/>
    <mergeCell ref="N13:Q13"/>
    <mergeCell ref="R13:U13"/>
    <mergeCell ref="B12:E12"/>
    <mergeCell ref="J12:M12"/>
    <mergeCell ref="O6:O7"/>
    <mergeCell ref="P6:P7"/>
    <mergeCell ref="A11:M11"/>
    <mergeCell ref="B10:H10"/>
    <mergeCell ref="I10:L10"/>
    <mergeCell ref="B1:N1"/>
    <mergeCell ref="B2:N2"/>
    <mergeCell ref="B5:B9"/>
    <mergeCell ref="C5:C9"/>
    <mergeCell ref="D5:D9"/>
    <mergeCell ref="E5:E9"/>
    <mergeCell ref="F5:F9"/>
    <mergeCell ref="G5:G9"/>
    <mergeCell ref="B3:N3"/>
    <mergeCell ref="M5:M9"/>
    <mergeCell ref="N6:N7"/>
  </mergeCells>
  <pageMargins left="0.19" right="0.15" top="0.21" bottom="0.28000000000000003" header="0.3" footer="0.3"/>
  <pageSetup scale="72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17"/>
  <sheetViews>
    <sheetView view="pageBreakPreview" zoomScale="60" workbookViewId="0">
      <pane xSplit="2" ySplit="4" topLeftCell="C5" activePane="bottomRight" state="frozen"/>
      <selection activeCell="B18" sqref="B18"/>
      <selection pane="topRight" activeCell="B18" sqref="B18"/>
      <selection pane="bottomLeft" activeCell="B18" sqref="B18"/>
      <selection pane="bottomRight" activeCell="A16" sqref="A16:XFD17"/>
    </sheetView>
  </sheetViews>
  <sheetFormatPr defaultRowHeight="15"/>
  <cols>
    <col min="1" max="1" width="6.140625" customWidth="1"/>
    <col min="2" max="2" width="11.5703125" customWidth="1"/>
    <col min="3" max="3" width="13.28515625" customWidth="1"/>
    <col min="4" max="4" width="13.7109375" customWidth="1"/>
    <col min="5" max="5" width="11.42578125" customWidth="1"/>
    <col min="6" max="6" width="12.28515625" customWidth="1"/>
    <col min="7" max="7" width="18.85546875" customWidth="1"/>
    <col min="8" max="8" width="14.42578125" customWidth="1"/>
    <col min="9" max="9" width="6.28515625" customWidth="1"/>
    <col min="10" max="10" width="11.7109375" customWidth="1"/>
    <col min="11" max="11" width="6.42578125" customWidth="1"/>
    <col min="12" max="12" width="12.85546875" customWidth="1"/>
    <col min="13" max="13" width="28.140625" customWidth="1"/>
    <col min="14" max="14" width="17.28515625" customWidth="1"/>
    <col min="15" max="15" width="8.140625" customWidth="1"/>
  </cols>
  <sheetData>
    <row r="1" spans="1:15" ht="28.5" customHeight="1">
      <c r="A1" s="860" t="s">
        <v>0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</row>
    <row r="2" spans="1:15" ht="28.5" customHeight="1">
      <c r="A2" s="860" t="s">
        <v>463</v>
      </c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211"/>
      <c r="O2" s="211"/>
    </row>
    <row r="3" spans="1:15" ht="27" customHeight="1" thickBot="1">
      <c r="A3" s="861" t="s">
        <v>488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</row>
    <row r="4" spans="1:15" s="6" customFormat="1" ht="39.950000000000003" customHeight="1" thickTop="1">
      <c r="A4" s="33" t="s">
        <v>2</v>
      </c>
      <c r="B4" s="34" t="s">
        <v>3</v>
      </c>
      <c r="C4" s="35" t="s">
        <v>4</v>
      </c>
      <c r="D4" s="34" t="s">
        <v>5</v>
      </c>
      <c r="E4" s="34" t="s">
        <v>6</v>
      </c>
      <c r="F4" s="34" t="s">
        <v>7</v>
      </c>
      <c r="G4" s="35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4" t="s">
        <v>459</v>
      </c>
      <c r="O4" s="36" t="s">
        <v>495</v>
      </c>
    </row>
    <row r="5" spans="1:15" ht="39.75" customHeight="1">
      <c r="A5" s="872">
        <v>1</v>
      </c>
      <c r="B5" s="873" t="s">
        <v>50</v>
      </c>
      <c r="C5" s="873" t="s">
        <v>138</v>
      </c>
      <c r="D5" s="873" t="s">
        <v>480</v>
      </c>
      <c r="E5" s="874">
        <v>40469</v>
      </c>
      <c r="F5" s="874">
        <v>40196</v>
      </c>
      <c r="G5" s="17"/>
      <c r="H5" s="15"/>
      <c r="I5" s="255"/>
      <c r="J5" s="17"/>
      <c r="K5" s="255"/>
      <c r="L5" s="253" t="s">
        <v>481</v>
      </c>
      <c r="M5" s="18" t="s">
        <v>474</v>
      </c>
      <c r="N5" s="18">
        <v>64205220</v>
      </c>
      <c r="O5" s="19" t="s">
        <v>496</v>
      </c>
    </row>
    <row r="6" spans="1:15" ht="36.75" customHeight="1">
      <c r="A6" s="872"/>
      <c r="B6" s="873"/>
      <c r="C6" s="873"/>
      <c r="D6" s="873"/>
      <c r="E6" s="874"/>
      <c r="F6" s="874"/>
      <c r="G6" s="14"/>
      <c r="H6" s="15"/>
      <c r="I6" s="255"/>
      <c r="J6" s="17"/>
      <c r="K6" s="255"/>
      <c r="L6" s="18"/>
      <c r="M6" s="18" t="s">
        <v>473</v>
      </c>
      <c r="N6" s="18">
        <v>64205320</v>
      </c>
      <c r="O6" s="19" t="s">
        <v>497</v>
      </c>
    </row>
    <row r="7" spans="1:15" ht="24.95" hidden="1" customHeight="1">
      <c r="A7" s="250"/>
      <c r="B7" s="251"/>
      <c r="C7" s="251"/>
      <c r="D7" s="251"/>
      <c r="E7" s="252"/>
      <c r="F7" s="252"/>
      <c r="G7" s="14"/>
      <c r="H7" s="15"/>
      <c r="I7" s="255"/>
      <c r="J7" s="17"/>
      <c r="K7" s="255"/>
      <c r="L7" s="18"/>
      <c r="M7" s="18" t="s">
        <v>473</v>
      </c>
      <c r="N7" s="18" t="s">
        <v>83</v>
      </c>
      <c r="O7" s="19"/>
    </row>
    <row r="8" spans="1:15" ht="24.95" hidden="1" customHeight="1">
      <c r="A8" s="250"/>
      <c r="B8" s="251"/>
      <c r="C8" s="251"/>
      <c r="D8" s="251"/>
      <c r="E8" s="252"/>
      <c r="F8" s="252"/>
      <c r="G8" s="14"/>
      <c r="H8" s="15"/>
      <c r="I8" s="255"/>
      <c r="J8" s="17"/>
      <c r="K8" s="255"/>
      <c r="L8" s="18"/>
      <c r="M8" s="76"/>
      <c r="N8" s="259" t="s">
        <v>476</v>
      </c>
      <c r="O8" s="216"/>
    </row>
    <row r="9" spans="1:15" ht="24.95" hidden="1" customHeight="1">
      <c r="A9" s="250"/>
      <c r="B9" s="251"/>
      <c r="C9" s="251"/>
      <c r="D9" s="251"/>
      <c r="E9" s="252"/>
      <c r="F9" s="252"/>
      <c r="G9" s="14"/>
      <c r="H9" s="15"/>
      <c r="I9" s="255"/>
      <c r="J9" s="17"/>
      <c r="K9" s="255"/>
      <c r="L9" s="18"/>
      <c r="M9" s="18"/>
      <c r="N9" s="20"/>
      <c r="O9" s="55"/>
    </row>
    <row r="10" spans="1:15" ht="24.95" hidden="1" customHeight="1">
      <c r="A10" s="250"/>
      <c r="B10" s="251"/>
      <c r="C10" s="251"/>
      <c r="D10" s="251"/>
      <c r="E10" s="252"/>
      <c r="F10" s="252"/>
      <c r="G10" s="14"/>
      <c r="H10" s="15"/>
      <c r="I10" s="255"/>
      <c r="J10" s="17"/>
      <c r="K10" s="255"/>
      <c r="L10" s="18"/>
      <c r="M10" s="217"/>
      <c r="N10" s="20"/>
      <c r="O10" s="55"/>
    </row>
    <row r="11" spans="1:15" ht="24.95" hidden="1" customHeight="1">
      <c r="A11" s="250"/>
      <c r="B11" s="251"/>
      <c r="C11" s="251"/>
      <c r="D11" s="251"/>
      <c r="E11" s="252"/>
      <c r="F11" s="252"/>
      <c r="G11" s="14"/>
      <c r="H11" s="15"/>
      <c r="I11" s="255"/>
      <c r="J11" s="17"/>
      <c r="K11" s="255"/>
      <c r="L11" s="18"/>
      <c r="M11" s="20"/>
      <c r="N11" s="20"/>
      <c r="O11" s="55"/>
    </row>
    <row r="12" spans="1:15" ht="24.95" hidden="1" customHeight="1">
      <c r="A12" s="250"/>
      <c r="B12" s="12"/>
      <c r="C12" s="12"/>
      <c r="D12" s="18"/>
      <c r="E12" s="13"/>
      <c r="F12" s="13"/>
      <c r="G12" s="17"/>
      <c r="H12" s="17"/>
      <c r="I12" s="255"/>
      <c r="J12" s="17"/>
      <c r="K12" s="17"/>
      <c r="L12" s="20"/>
      <c r="M12" s="20"/>
      <c r="N12" s="20"/>
      <c r="O12" s="55"/>
    </row>
    <row r="13" spans="1:15" ht="38.1" customHeight="1" thickBot="1">
      <c r="A13" s="868" t="s">
        <v>48</v>
      </c>
      <c r="B13" s="869"/>
      <c r="C13" s="869"/>
      <c r="D13" s="869"/>
      <c r="E13" s="869"/>
      <c r="F13" s="869"/>
      <c r="G13" s="869"/>
      <c r="H13" s="870"/>
      <c r="I13" s="870"/>
      <c r="J13" s="870"/>
      <c r="K13" s="870"/>
      <c r="L13" s="89"/>
      <c r="M13" s="89"/>
      <c r="N13" s="89"/>
      <c r="O13" s="59"/>
    </row>
    <row r="14" spans="1:15" ht="270.75" customHeight="1" thickTop="1">
      <c r="A14" s="905" t="s">
        <v>503</v>
      </c>
      <c r="B14" s="906"/>
      <c r="C14" s="906"/>
      <c r="D14" s="906"/>
      <c r="E14" s="906"/>
      <c r="F14" s="906"/>
      <c r="G14" s="906"/>
      <c r="H14" s="906"/>
      <c r="I14" s="906"/>
      <c r="J14" s="906"/>
      <c r="K14" s="906"/>
      <c r="L14" s="906"/>
      <c r="M14" s="906"/>
    </row>
    <row r="15" spans="1:15" ht="24.95" customHeight="1">
      <c r="A15" s="890" t="s">
        <v>466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</row>
    <row r="16" spans="1:15" ht="20.100000000000001" customHeight="1">
      <c r="A16" s="29" t="s">
        <v>482</v>
      </c>
      <c r="B16" s="29"/>
      <c r="C16" s="29"/>
      <c r="D16" s="29"/>
      <c r="E16" s="29" t="s">
        <v>483</v>
      </c>
      <c r="F16" s="29"/>
      <c r="G16" s="29"/>
      <c r="H16" s="29"/>
      <c r="I16" s="29"/>
      <c r="J16" s="29"/>
      <c r="K16" s="29"/>
      <c r="L16" s="206"/>
      <c r="M16" s="206"/>
      <c r="N16" s="206"/>
      <c r="O16" s="206"/>
    </row>
    <row r="17" spans="1:11" ht="20.100000000000001" customHeight="1">
      <c r="A17" s="29" t="s">
        <v>18</v>
      </c>
      <c r="B17" s="29"/>
      <c r="C17" s="29"/>
      <c r="D17" s="29"/>
      <c r="E17" s="29" t="s">
        <v>484</v>
      </c>
      <c r="F17" s="29"/>
      <c r="G17" s="29"/>
      <c r="H17" s="29"/>
      <c r="I17" s="29"/>
      <c r="J17" s="29"/>
      <c r="K17" s="29"/>
    </row>
  </sheetData>
  <mergeCells count="13">
    <mergeCell ref="A15:M15"/>
    <mergeCell ref="A1:M1"/>
    <mergeCell ref="A2:M2"/>
    <mergeCell ref="A13:G13"/>
    <mergeCell ref="H13:K13"/>
    <mergeCell ref="A14:M14"/>
    <mergeCell ref="A5:A6"/>
    <mergeCell ref="B5:B6"/>
    <mergeCell ref="C5:C6"/>
    <mergeCell ref="D5:D6"/>
    <mergeCell ref="E5:E6"/>
    <mergeCell ref="F5:F6"/>
    <mergeCell ref="A3:M3"/>
  </mergeCells>
  <pageMargins left="0.2" right="0.15" top="0.65" bottom="0.28000000000000003" header="0.56000000000000005" footer="0.3"/>
  <pageSetup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B1:O15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K5" sqref="K5:L5"/>
    </sheetView>
  </sheetViews>
  <sheetFormatPr defaultRowHeight="15"/>
  <cols>
    <col min="1" max="1" width="1.140625" customWidth="1"/>
    <col min="2" max="2" width="5.42578125" customWidth="1"/>
    <col min="3" max="3" width="13" customWidth="1"/>
    <col min="4" max="4" width="10.85546875" customWidth="1"/>
    <col min="5" max="5" width="21" customWidth="1"/>
    <col min="6" max="6" width="14.140625" customWidth="1"/>
    <col min="7" max="7" width="12.28515625" customWidth="1"/>
    <col min="8" max="8" width="24.42578125" customWidth="1"/>
    <col min="9" max="9" width="12.140625" customWidth="1"/>
    <col min="10" max="10" width="6.28515625" customWidth="1"/>
    <col min="11" max="11" width="11.7109375" customWidth="1"/>
    <col min="12" max="12" width="6.42578125" customWidth="1"/>
    <col min="13" max="13" width="14.7109375" customWidth="1"/>
    <col min="14" max="14" width="25.5703125" customWidth="1"/>
    <col min="15" max="15" width="14.28515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487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50.25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6" t="s">
        <v>462</v>
      </c>
    </row>
    <row r="5" spans="2:15" ht="42" customHeight="1">
      <c r="B5" s="1020">
        <v>1</v>
      </c>
      <c r="C5" s="986" t="s">
        <v>50</v>
      </c>
      <c r="D5" s="986" t="s">
        <v>140</v>
      </c>
      <c r="E5" s="986" t="s">
        <v>433</v>
      </c>
      <c r="F5" s="996">
        <v>40460</v>
      </c>
      <c r="G5" s="996">
        <v>40460</v>
      </c>
      <c r="H5" s="202" t="s">
        <v>447</v>
      </c>
      <c r="I5" s="245"/>
      <c r="J5" s="204"/>
      <c r="K5" s="202" t="s">
        <v>437</v>
      </c>
      <c r="L5" s="220">
        <v>18</v>
      </c>
      <c r="M5" s="205" t="s">
        <v>448</v>
      </c>
      <c r="N5" s="14"/>
      <c r="O5" s="55"/>
    </row>
    <row r="6" spans="2:15" ht="24.95" hidden="1" customHeight="1">
      <c r="B6" s="1020"/>
      <c r="C6" s="986"/>
      <c r="D6" s="986"/>
      <c r="E6" s="986"/>
      <c r="F6" s="996"/>
      <c r="G6" s="996"/>
      <c r="H6" s="237"/>
      <c r="I6" s="245"/>
      <c r="J6" s="204"/>
      <c r="K6" s="237"/>
      <c r="L6" s="204"/>
      <c r="M6" s="205"/>
      <c r="N6" s="14"/>
      <c r="O6" s="55"/>
    </row>
    <row r="7" spans="2:15" ht="24.95" hidden="1" customHeight="1" thickBot="1">
      <c r="B7" s="1020"/>
      <c r="C7" s="986"/>
      <c r="D7" s="986"/>
      <c r="E7" s="986"/>
      <c r="F7" s="996"/>
      <c r="G7" s="996"/>
      <c r="H7" s="240"/>
      <c r="I7" s="238"/>
      <c r="J7" s="204"/>
      <c r="K7" s="237"/>
      <c r="L7" s="204"/>
      <c r="M7" s="205"/>
      <c r="N7" s="14"/>
      <c r="O7" s="55"/>
    </row>
    <row r="8" spans="2:15" ht="24.95" hidden="1" customHeight="1">
      <c r="B8" s="198"/>
      <c r="C8" s="199"/>
      <c r="D8" s="199"/>
      <c r="E8" s="199"/>
      <c r="F8" s="200"/>
      <c r="G8" s="200"/>
      <c r="H8" s="14"/>
      <c r="I8" s="15"/>
      <c r="J8" s="16"/>
      <c r="K8" s="17"/>
      <c r="L8" s="16"/>
      <c r="M8" s="18"/>
      <c r="N8" s="18"/>
      <c r="O8" s="55"/>
    </row>
    <row r="9" spans="2:15" ht="24.95" hidden="1" customHeight="1">
      <c r="B9" s="198"/>
      <c r="C9" s="199"/>
      <c r="D9" s="199"/>
      <c r="E9" s="199"/>
      <c r="F9" s="200"/>
      <c r="G9" s="200"/>
      <c r="H9" s="14"/>
      <c r="I9" s="15"/>
      <c r="J9" s="16"/>
      <c r="K9" s="17"/>
      <c r="L9" s="16"/>
      <c r="M9" s="18"/>
      <c r="N9" s="18"/>
      <c r="O9" s="55"/>
    </row>
    <row r="10" spans="2:15" ht="24.95" hidden="1" customHeight="1">
      <c r="B10" s="198"/>
      <c r="C10" s="199"/>
      <c r="D10" s="199"/>
      <c r="E10" s="199"/>
      <c r="F10" s="200"/>
      <c r="G10" s="200"/>
      <c r="H10" s="14"/>
      <c r="I10" s="15"/>
      <c r="J10" s="16"/>
      <c r="K10" s="17"/>
      <c r="L10" s="16"/>
      <c r="M10" s="18"/>
      <c r="N10" s="18"/>
      <c r="O10" s="55"/>
    </row>
    <row r="11" spans="2:15" ht="24.95" hidden="1" customHeight="1">
      <c r="B11" s="198"/>
      <c r="C11" s="199"/>
      <c r="D11" s="199"/>
      <c r="E11" s="199"/>
      <c r="F11" s="200"/>
      <c r="G11" s="200"/>
      <c r="H11" s="14"/>
      <c r="I11" s="15"/>
      <c r="J11" s="16"/>
      <c r="K11" s="17"/>
      <c r="L11" s="16"/>
      <c r="M11" s="18"/>
      <c r="N11" s="18"/>
      <c r="O11" s="55"/>
    </row>
    <row r="12" spans="2:15" ht="38.1" customHeight="1" thickBot="1">
      <c r="B12" s="868" t="s">
        <v>48</v>
      </c>
      <c r="C12" s="869"/>
      <c r="D12" s="869"/>
      <c r="E12" s="869"/>
      <c r="F12" s="869"/>
      <c r="G12" s="869"/>
      <c r="H12" s="869"/>
      <c r="I12" s="870">
        <f>L5*84.01</f>
        <v>1512.18</v>
      </c>
      <c r="J12" s="870"/>
      <c r="K12" s="870"/>
      <c r="L12" s="870"/>
      <c r="M12" s="89"/>
      <c r="N12" s="56"/>
      <c r="O12" s="57"/>
    </row>
    <row r="13" spans="2:15" ht="231.75" customHeight="1" thickTop="1">
      <c r="B13" s="999" t="s">
        <v>506</v>
      </c>
      <c r="C13" s="1000"/>
      <c r="D13" s="1000"/>
      <c r="E13" s="1000"/>
      <c r="F13" s="1000"/>
      <c r="G13" s="1000"/>
      <c r="H13" s="1000"/>
      <c r="I13" s="1000"/>
      <c r="J13" s="1000"/>
      <c r="K13" s="1000"/>
      <c r="L13" s="1000"/>
      <c r="M13" s="1000"/>
      <c r="N13" s="1000"/>
    </row>
    <row r="14" spans="2:15" ht="27.75" customHeight="1">
      <c r="B14" s="29" t="s">
        <v>23</v>
      </c>
      <c r="C14" s="29"/>
      <c r="D14" s="29"/>
      <c r="E14" s="29"/>
      <c r="F14" s="29" t="s">
        <v>17</v>
      </c>
      <c r="G14" s="29"/>
      <c r="H14" s="29"/>
      <c r="I14" s="29"/>
      <c r="J14" s="29"/>
      <c r="K14" s="29"/>
      <c r="L14" s="29"/>
    </row>
    <row r="15" spans="2:15" ht="27" customHeight="1">
      <c r="B15" s="29" t="s">
        <v>18</v>
      </c>
      <c r="C15" s="29"/>
      <c r="D15" s="29"/>
      <c r="E15" s="29"/>
      <c r="F15" s="29" t="s">
        <v>18</v>
      </c>
      <c r="G15" s="29"/>
      <c r="H15" s="29"/>
      <c r="I15" s="29"/>
      <c r="J15" s="29"/>
      <c r="K15" s="29"/>
      <c r="L15" s="29"/>
    </row>
  </sheetData>
  <mergeCells count="12">
    <mergeCell ref="B1:N1"/>
    <mergeCell ref="B2:N2"/>
    <mergeCell ref="B12:H12"/>
    <mergeCell ref="I12:L12"/>
    <mergeCell ref="B3:N3"/>
    <mergeCell ref="B13:N13"/>
    <mergeCell ref="B5:B7"/>
    <mergeCell ref="C5:C7"/>
    <mergeCell ref="D5:D7"/>
    <mergeCell ref="E5:E7"/>
    <mergeCell ref="F5:F7"/>
    <mergeCell ref="G5:G7"/>
  </mergeCells>
  <pageMargins left="0" right="0" top="0.21" bottom="0.28000000000000003" header="0.3" footer="0.3"/>
  <pageSetup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B1:O17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H6" sqref="H6:I6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39.950000000000003" customHeight="1" thickTop="1">
      <c r="B4" s="71" t="s">
        <v>2</v>
      </c>
      <c r="C4" s="72" t="s">
        <v>3</v>
      </c>
      <c r="D4" s="73" t="s">
        <v>4</v>
      </c>
      <c r="E4" s="72" t="s">
        <v>5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35.25" customHeight="1">
      <c r="B5" s="863">
        <v>1</v>
      </c>
      <c r="C5" s="864" t="s">
        <v>19</v>
      </c>
      <c r="D5" s="864" t="s">
        <v>182</v>
      </c>
      <c r="E5" s="864">
        <v>135993</v>
      </c>
      <c r="F5" s="865">
        <v>40128</v>
      </c>
      <c r="G5" s="865">
        <v>40133</v>
      </c>
      <c r="H5" s="17" t="s">
        <v>130</v>
      </c>
      <c r="I5" s="84" t="s">
        <v>211</v>
      </c>
      <c r="J5" s="16">
        <v>8</v>
      </c>
      <c r="K5" s="17" t="s">
        <v>32</v>
      </c>
      <c r="L5" s="16">
        <v>22</v>
      </c>
      <c r="M5" s="18" t="s">
        <v>56</v>
      </c>
      <c r="N5" s="80" t="s">
        <v>213</v>
      </c>
    </row>
    <row r="6" spans="2:15" ht="24.95" customHeight="1">
      <c r="B6" s="852"/>
      <c r="C6" s="855"/>
      <c r="D6" s="855"/>
      <c r="E6" s="855"/>
      <c r="F6" s="839"/>
      <c r="G6" s="839"/>
      <c r="H6" s="17" t="s">
        <v>129</v>
      </c>
      <c r="I6" s="82">
        <v>3454205200</v>
      </c>
      <c r="J6" s="16">
        <v>16</v>
      </c>
      <c r="K6" s="17" t="s">
        <v>33</v>
      </c>
      <c r="L6" s="16">
        <v>41</v>
      </c>
      <c r="M6" s="18" t="s">
        <v>57</v>
      </c>
      <c r="N6" s="80" t="s">
        <v>40</v>
      </c>
    </row>
    <row r="7" spans="2:15" ht="24.95" customHeight="1">
      <c r="B7" s="852"/>
      <c r="C7" s="855"/>
      <c r="D7" s="855"/>
      <c r="E7" s="855"/>
      <c r="F7" s="839"/>
      <c r="G7" s="839"/>
      <c r="H7" s="14" t="s">
        <v>40</v>
      </c>
      <c r="I7" s="15">
        <v>1034330</v>
      </c>
      <c r="J7" s="16">
        <v>1</v>
      </c>
      <c r="K7" s="17" t="s">
        <v>38</v>
      </c>
      <c r="L7" s="16">
        <v>90</v>
      </c>
      <c r="M7" s="18"/>
      <c r="N7" s="80"/>
    </row>
    <row r="8" spans="2:15" ht="24.95" customHeight="1">
      <c r="B8" s="852"/>
      <c r="C8" s="855"/>
      <c r="D8" s="855"/>
      <c r="E8" s="855"/>
      <c r="F8" s="839"/>
      <c r="G8" s="839"/>
      <c r="H8" s="14" t="s">
        <v>187</v>
      </c>
      <c r="I8" s="15">
        <v>3423012030</v>
      </c>
      <c r="J8" s="16">
        <v>1</v>
      </c>
      <c r="K8" s="17" t="s">
        <v>34</v>
      </c>
      <c r="L8" s="16">
        <v>8</v>
      </c>
      <c r="M8" s="18"/>
      <c r="N8" s="19"/>
    </row>
    <row r="9" spans="2:15" ht="24.95" customHeight="1">
      <c r="B9" s="852"/>
      <c r="C9" s="855"/>
      <c r="D9" s="855"/>
      <c r="E9" s="855"/>
      <c r="F9" s="839"/>
      <c r="G9" s="839"/>
      <c r="H9" s="14" t="s">
        <v>188</v>
      </c>
      <c r="I9" s="15">
        <v>3423012040</v>
      </c>
      <c r="J9" s="16">
        <v>1</v>
      </c>
      <c r="K9" s="17"/>
      <c r="L9" s="16"/>
      <c r="M9" s="18"/>
      <c r="N9" s="19"/>
    </row>
    <row r="10" spans="2:15" ht="24.95" customHeight="1">
      <c r="B10" s="852"/>
      <c r="C10" s="855"/>
      <c r="D10" s="855"/>
      <c r="E10" s="855"/>
      <c r="F10" s="839"/>
      <c r="G10" s="839"/>
      <c r="H10" s="14" t="s">
        <v>212</v>
      </c>
      <c r="I10" s="15">
        <v>3424001750</v>
      </c>
      <c r="J10" s="16">
        <v>2</v>
      </c>
      <c r="K10" s="17"/>
      <c r="L10" s="16"/>
      <c r="M10" s="18"/>
      <c r="N10" s="19"/>
    </row>
    <row r="11" spans="2:15" ht="24.95" customHeight="1">
      <c r="B11" s="852"/>
      <c r="C11" s="855"/>
      <c r="D11" s="855"/>
      <c r="E11" s="855"/>
      <c r="F11" s="839"/>
      <c r="G11" s="839"/>
      <c r="H11" s="14" t="s">
        <v>191</v>
      </c>
      <c r="I11" s="15"/>
      <c r="J11" s="16">
        <v>1</v>
      </c>
      <c r="K11" s="17"/>
      <c r="L11" s="16"/>
      <c r="M11" s="18"/>
      <c r="N11" s="19"/>
    </row>
    <row r="12" spans="2:15" ht="24.95" customHeight="1" thickBot="1">
      <c r="B12" s="858"/>
      <c r="C12" s="859"/>
      <c r="D12" s="859"/>
      <c r="E12" s="859"/>
      <c r="F12" s="840"/>
      <c r="G12" s="840"/>
      <c r="H12" s="17" t="s">
        <v>175</v>
      </c>
      <c r="I12" s="15">
        <v>3423004920</v>
      </c>
      <c r="J12" s="16">
        <v>1</v>
      </c>
      <c r="K12" s="17"/>
      <c r="L12" s="17"/>
      <c r="M12" s="20"/>
      <c r="N12" s="19"/>
    </row>
    <row r="13" spans="2:15" ht="38.1" customHeight="1" thickTop="1" thickBot="1">
      <c r="B13" s="843" t="s">
        <v>48</v>
      </c>
      <c r="C13" s="844"/>
      <c r="D13" s="844"/>
      <c r="E13" s="844"/>
      <c r="F13" s="844"/>
      <c r="G13" s="844"/>
      <c r="H13" s="844"/>
      <c r="I13" s="849">
        <f>L5*84.01+L6*84.01+L7*77.98+L8*109.25+3086.24+3540+29391.12+731.25+1079.06+1079.06+8000+100+703.49</f>
        <v>60895.049999999996</v>
      </c>
      <c r="J13" s="847"/>
      <c r="K13" s="847"/>
      <c r="L13" s="848"/>
      <c r="M13" s="96"/>
      <c r="N13" s="83"/>
      <c r="O13" s="45"/>
    </row>
    <row r="14" spans="2:15" ht="24.95" customHeight="1" thickTop="1">
      <c r="B14" s="889" t="s">
        <v>128</v>
      </c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</row>
    <row r="15" spans="2:15" ht="24.95" customHeight="1">
      <c r="B15" s="890" t="s">
        <v>16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5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3">
    <mergeCell ref="B14:N14"/>
    <mergeCell ref="B15:N15"/>
    <mergeCell ref="B1:N1"/>
    <mergeCell ref="B2:N2"/>
    <mergeCell ref="B5:B12"/>
    <mergeCell ref="C5:C12"/>
    <mergeCell ref="D5:D12"/>
    <mergeCell ref="E5:E12"/>
    <mergeCell ref="F5:F12"/>
    <mergeCell ref="G5:G12"/>
    <mergeCell ref="B13:H13"/>
    <mergeCell ref="I13:L13"/>
    <mergeCell ref="B3:N3"/>
  </mergeCells>
  <pageMargins left="0.19" right="0.15" top="0.21" bottom="0.28000000000000003" header="0.3" footer="0.3"/>
  <pageSetup scale="7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17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2.5703125" customWidth="1"/>
    <col min="4" max="4" width="12.42578125" customWidth="1"/>
    <col min="5" max="5" width="19.7109375" customWidth="1"/>
    <col min="6" max="6" width="14.28515625" customWidth="1"/>
    <col min="7" max="7" width="12.28515625" customWidth="1"/>
    <col min="8" max="8" width="24" customWidth="1"/>
    <col min="9" max="9" width="18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4.85546875" customWidth="1"/>
  </cols>
  <sheetData>
    <row r="1" spans="1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5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5" s="6" customFormat="1" ht="57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6" t="s">
        <v>470</v>
      </c>
    </row>
    <row r="5" spans="1:15" ht="38.25" customHeight="1">
      <c r="B5" s="1020">
        <v>1</v>
      </c>
      <c r="C5" s="986" t="s">
        <v>50</v>
      </c>
      <c r="D5" s="986" t="s">
        <v>145</v>
      </c>
      <c r="E5" s="986" t="s">
        <v>468</v>
      </c>
      <c r="F5" s="996">
        <v>40466</v>
      </c>
      <c r="G5" s="996">
        <v>40466</v>
      </c>
      <c r="H5" s="202" t="s">
        <v>475</v>
      </c>
      <c r="I5" s="246" t="s">
        <v>163</v>
      </c>
      <c r="J5" s="222">
        <v>2</v>
      </c>
      <c r="K5" s="237"/>
      <c r="L5" s="204"/>
      <c r="M5" s="219" t="s">
        <v>469</v>
      </c>
      <c r="N5" s="14"/>
      <c r="O5" s="55"/>
    </row>
    <row r="6" spans="1:15" ht="36" hidden="1" customHeight="1">
      <c r="B6" s="1020"/>
      <c r="C6" s="986"/>
      <c r="D6" s="986"/>
      <c r="E6" s="986"/>
      <c r="F6" s="996"/>
      <c r="G6" s="996"/>
      <c r="H6" s="240"/>
      <c r="I6" s="238"/>
      <c r="J6" s="204"/>
      <c r="K6" s="237"/>
      <c r="L6" s="204"/>
      <c r="M6" s="205"/>
      <c r="N6" s="14"/>
      <c r="O6" s="55"/>
    </row>
    <row r="7" spans="1:15" ht="24.95" hidden="1" customHeight="1">
      <c r="B7" s="198"/>
      <c r="C7" s="199"/>
      <c r="D7" s="199"/>
      <c r="E7" s="199"/>
      <c r="F7" s="200"/>
      <c r="G7" s="200"/>
      <c r="H7" s="14"/>
      <c r="I7" s="15"/>
      <c r="J7" s="16"/>
      <c r="K7" s="17"/>
      <c r="L7" s="16"/>
      <c r="M7" s="18"/>
      <c r="N7" s="14"/>
      <c r="O7" s="55"/>
    </row>
    <row r="8" spans="1:15" ht="24.95" hidden="1" customHeight="1">
      <c r="B8" s="198"/>
      <c r="C8" s="199"/>
      <c r="D8" s="199"/>
      <c r="E8" s="199"/>
      <c r="F8" s="200"/>
      <c r="G8" s="200"/>
      <c r="H8" s="14"/>
      <c r="I8" s="15"/>
      <c r="J8" s="16"/>
      <c r="K8" s="17"/>
      <c r="L8" s="16"/>
      <c r="M8" s="18"/>
      <c r="N8" s="18"/>
      <c r="O8" s="55"/>
    </row>
    <row r="9" spans="1:15" ht="24.95" hidden="1" customHeight="1">
      <c r="B9" s="198"/>
      <c r="C9" s="199"/>
      <c r="D9" s="199"/>
      <c r="E9" s="199"/>
      <c r="F9" s="200"/>
      <c r="G9" s="200"/>
      <c r="H9" s="14"/>
      <c r="I9" s="15"/>
      <c r="J9" s="16"/>
      <c r="K9" s="17"/>
      <c r="L9" s="16"/>
      <c r="M9" s="18"/>
      <c r="N9" s="18"/>
      <c r="O9" s="55"/>
    </row>
    <row r="10" spans="1:15" ht="24.95" hidden="1" customHeight="1">
      <c r="B10" s="198"/>
      <c r="C10" s="199"/>
      <c r="D10" s="199"/>
      <c r="E10" s="199"/>
      <c r="F10" s="200"/>
      <c r="G10" s="200"/>
      <c r="H10" s="14"/>
      <c r="I10" s="15"/>
      <c r="J10" s="16"/>
      <c r="K10" s="17"/>
      <c r="L10" s="16"/>
      <c r="M10" s="18"/>
      <c r="N10" s="18"/>
      <c r="O10" s="55"/>
    </row>
    <row r="11" spans="1:15" ht="24.95" hidden="1" customHeight="1">
      <c r="B11" s="198"/>
      <c r="C11" s="199"/>
      <c r="D11" s="199"/>
      <c r="E11" s="199"/>
      <c r="F11" s="200"/>
      <c r="G11" s="200"/>
      <c r="H11" s="14"/>
      <c r="I11" s="15"/>
      <c r="J11" s="16"/>
      <c r="K11" s="17"/>
      <c r="L11" s="16"/>
      <c r="M11" s="18"/>
      <c r="N11" s="18"/>
      <c r="O11" s="55"/>
    </row>
    <row r="12" spans="1:15" ht="24.95" hidden="1" customHeight="1">
      <c r="B12" s="198"/>
      <c r="C12" s="12"/>
      <c r="D12" s="12"/>
      <c r="E12" s="18"/>
      <c r="F12" s="13"/>
      <c r="G12" s="13"/>
      <c r="H12" s="17"/>
      <c r="I12" s="17"/>
      <c r="J12" s="16"/>
      <c r="K12" s="17"/>
      <c r="L12" s="17"/>
      <c r="M12" s="20"/>
      <c r="N12" s="18"/>
      <c r="O12" s="55"/>
    </row>
    <row r="13" spans="1:15" ht="47.25" customHeight="1" thickBot="1">
      <c r="B13" s="997" t="s">
        <v>48</v>
      </c>
      <c r="C13" s="998"/>
      <c r="D13" s="998"/>
      <c r="E13" s="998"/>
      <c r="F13" s="998"/>
      <c r="G13" s="998"/>
      <c r="H13" s="998"/>
      <c r="I13" s="1022">
        <f>12833</f>
        <v>12833</v>
      </c>
      <c r="J13" s="1022"/>
      <c r="K13" s="1022"/>
      <c r="L13" s="1022"/>
      <c r="M13" s="89"/>
      <c r="N13" s="56"/>
      <c r="O13" s="57"/>
    </row>
    <row r="14" spans="1:15" ht="264.75" customHeight="1" thickTop="1">
      <c r="B14" s="1023" t="s">
        <v>505</v>
      </c>
      <c r="C14" s="1024"/>
      <c r="D14" s="1024"/>
      <c r="E14" s="1024"/>
      <c r="F14" s="1024"/>
      <c r="G14" s="1024"/>
      <c r="H14" s="1024"/>
      <c r="I14" s="1024"/>
      <c r="J14" s="1024"/>
      <c r="K14" s="1024"/>
      <c r="L14" s="1024"/>
      <c r="M14" s="1024"/>
      <c r="N14" s="1024"/>
    </row>
    <row r="15" spans="1:15" ht="24.9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15" s="249" customFormat="1" ht="39.75" customHeight="1">
      <c r="A16" s="262"/>
      <c r="B16" s="248" t="s">
        <v>493</v>
      </c>
      <c r="C16" s="248"/>
      <c r="D16" s="248"/>
      <c r="E16" s="248"/>
      <c r="F16" s="248" t="s">
        <v>494</v>
      </c>
      <c r="G16" s="248"/>
      <c r="H16" s="248"/>
      <c r="I16" s="248"/>
      <c r="J16" s="248"/>
      <c r="K16" s="248"/>
      <c r="L16" s="248"/>
      <c r="M16" s="1021" t="s">
        <v>471</v>
      </c>
      <c r="N16" s="1021"/>
      <c r="O16" s="1021"/>
    </row>
    <row r="17" spans="2:14" s="249" customFormat="1" ht="42.75" customHeight="1">
      <c r="B17" s="248" t="s">
        <v>467</v>
      </c>
      <c r="C17" s="248"/>
      <c r="D17" s="248"/>
      <c r="E17" s="248"/>
      <c r="F17" s="248" t="s">
        <v>467</v>
      </c>
      <c r="G17" s="248"/>
      <c r="H17" s="248"/>
      <c r="I17" s="248"/>
      <c r="J17" s="248"/>
      <c r="K17" s="248"/>
      <c r="L17" s="248"/>
      <c r="N17" s="248" t="s">
        <v>472</v>
      </c>
    </row>
  </sheetData>
  <mergeCells count="14">
    <mergeCell ref="M16:O16"/>
    <mergeCell ref="B15:N15"/>
    <mergeCell ref="B1:N1"/>
    <mergeCell ref="B2:N2"/>
    <mergeCell ref="B13:H13"/>
    <mergeCell ref="I13:L13"/>
    <mergeCell ref="B14:N14"/>
    <mergeCell ref="B5:B6"/>
    <mergeCell ref="C5:C6"/>
    <mergeCell ref="D5:D6"/>
    <mergeCell ref="E5:E6"/>
    <mergeCell ref="F5:F6"/>
    <mergeCell ref="G5:G6"/>
    <mergeCell ref="B3:N3"/>
  </mergeCells>
  <pageMargins left="0.19" right="0.15" top="0.21" bottom="0.28000000000000003" header="0.3" footer="0.3"/>
  <pageSetup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D5" sqref="D5:G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17.5703125" customWidth="1"/>
    <col min="9" max="9" width="14.85546875" customWidth="1"/>
    <col min="10" max="10" width="6.28515625" customWidth="1"/>
    <col min="11" max="11" width="11.7109375" customWidth="1"/>
    <col min="12" max="12" width="6.42578125" customWidth="1"/>
    <col min="13" max="13" width="15.85546875" customWidth="1"/>
    <col min="14" max="14" width="28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39.95000000000000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929">
        <v>1</v>
      </c>
      <c r="C5" s="1027" t="s">
        <v>166</v>
      </c>
      <c r="D5" s="1027" t="s">
        <v>167</v>
      </c>
      <c r="E5" s="1027">
        <v>203455</v>
      </c>
      <c r="F5" s="1028">
        <v>40491</v>
      </c>
      <c r="G5" s="1028">
        <v>40494</v>
      </c>
      <c r="H5" s="389"/>
      <c r="I5" s="390"/>
      <c r="J5" s="391"/>
      <c r="K5" s="389"/>
      <c r="L5" s="391"/>
      <c r="M5" s="1029" t="s">
        <v>672</v>
      </c>
      <c r="N5" s="397" t="s">
        <v>704</v>
      </c>
      <c r="O5" s="395"/>
      <c r="P5" s="454">
        <v>10</v>
      </c>
    </row>
    <row r="6" spans="1:21" ht="24.95" customHeight="1">
      <c r="B6" s="929"/>
      <c r="C6" s="1027"/>
      <c r="D6" s="1027"/>
      <c r="E6" s="1027"/>
      <c r="F6" s="1028"/>
      <c r="G6" s="1028"/>
      <c r="H6" s="397"/>
      <c r="I6" s="390"/>
      <c r="J6" s="391"/>
      <c r="K6" s="389"/>
      <c r="L6" s="391"/>
      <c r="M6" s="1029"/>
      <c r="N6" s="397"/>
      <c r="O6" s="395"/>
      <c r="P6" s="396"/>
    </row>
    <row r="7" spans="1:21" ht="24.95" hidden="1" customHeight="1">
      <c r="B7" s="929"/>
      <c r="C7" s="1027"/>
      <c r="D7" s="1027"/>
      <c r="E7" s="1027"/>
      <c r="F7" s="1028"/>
      <c r="G7" s="1028"/>
      <c r="H7" s="397"/>
      <c r="I7" s="390"/>
      <c r="J7" s="391"/>
      <c r="K7" s="389"/>
      <c r="L7" s="391"/>
      <c r="M7" s="1029"/>
      <c r="N7" s="397"/>
      <c r="O7" s="395"/>
      <c r="P7" s="396"/>
    </row>
    <row r="8" spans="1:21" ht="24.95" hidden="1" customHeight="1">
      <c r="B8" s="929"/>
      <c r="C8" s="1027"/>
      <c r="D8" s="1027"/>
      <c r="E8" s="1027"/>
      <c r="F8" s="1028"/>
      <c r="G8" s="1028"/>
      <c r="H8" s="397"/>
      <c r="I8" s="390"/>
      <c r="J8" s="391"/>
      <c r="K8" s="389"/>
      <c r="L8" s="391"/>
      <c r="M8" s="394"/>
      <c r="N8" s="394"/>
      <c r="O8" s="395"/>
      <c r="P8" s="396"/>
    </row>
    <row r="9" spans="1:21" ht="24.95" hidden="1" customHeight="1">
      <c r="B9" s="400"/>
      <c r="C9" s="408"/>
      <c r="D9" s="408"/>
      <c r="E9" s="394"/>
      <c r="F9" s="409"/>
      <c r="G9" s="409"/>
      <c r="H9" s="389"/>
      <c r="I9" s="389"/>
      <c r="J9" s="391"/>
      <c r="K9" s="389"/>
      <c r="L9" s="389"/>
      <c r="M9" s="395"/>
      <c r="N9" s="394"/>
      <c r="O9" s="395"/>
      <c r="P9" s="396"/>
    </row>
    <row r="10" spans="1:21" ht="38.1" customHeight="1" thickBot="1">
      <c r="B10" s="1025" t="s">
        <v>48</v>
      </c>
      <c r="C10" s="1026"/>
      <c r="D10" s="1026"/>
      <c r="E10" s="1026"/>
      <c r="F10" s="1026"/>
      <c r="G10" s="1026"/>
      <c r="H10" s="1026"/>
      <c r="I10" s="928"/>
      <c r="J10" s="928"/>
      <c r="K10" s="928"/>
      <c r="L10" s="928"/>
      <c r="M10" s="406"/>
      <c r="N10" s="404"/>
      <c r="O10" s="405"/>
      <c r="P10" s="407"/>
    </row>
    <row r="11" spans="1:21" ht="312" customHeight="1" thickTop="1">
      <c r="A11" s="905" t="s">
        <v>671</v>
      </c>
      <c r="B11" s="906"/>
      <c r="C11" s="906"/>
      <c r="D11" s="906"/>
      <c r="E11" s="906"/>
      <c r="F11" s="906"/>
      <c r="G11" s="906"/>
      <c r="H11" s="906"/>
      <c r="I11" s="906"/>
      <c r="J11" s="906"/>
      <c r="K11" s="906"/>
      <c r="L11" s="906"/>
      <c r="M11" s="906"/>
    </row>
    <row r="12" spans="1:21" ht="24.95" customHeight="1">
      <c r="B12" s="890" t="s">
        <v>466</v>
      </c>
      <c r="C12" s="890"/>
      <c r="D12" s="890"/>
      <c r="E12" s="890"/>
      <c r="F12" s="890"/>
      <c r="G12" s="890"/>
      <c r="H12" s="890"/>
      <c r="I12" s="890"/>
      <c r="J12" s="890"/>
      <c r="K12" s="890"/>
      <c r="L12" s="890"/>
      <c r="M12" s="890"/>
      <c r="N12" s="890"/>
    </row>
    <row r="13" spans="1:21" ht="20.100000000000001" customHeight="1">
      <c r="B13" s="991" t="s">
        <v>518</v>
      </c>
      <c r="C13" s="991"/>
      <c r="D13" s="991"/>
      <c r="E13" s="991"/>
      <c r="F13" s="285" t="s">
        <v>525</v>
      </c>
      <c r="G13" s="285"/>
      <c r="H13" s="285"/>
      <c r="I13" s="285"/>
      <c r="J13" s="991"/>
      <c r="K13" s="991"/>
      <c r="L13" s="991"/>
      <c r="M13" s="991"/>
      <c r="N13" s="991" t="s">
        <v>526</v>
      </c>
      <c r="O13" s="991"/>
      <c r="P13" s="991"/>
      <c r="Q13" s="991"/>
      <c r="R13" s="991"/>
      <c r="S13" s="991"/>
      <c r="T13" s="991"/>
      <c r="U13" s="991"/>
    </row>
    <row r="14" spans="1:21" ht="20.100000000000001" customHeight="1">
      <c r="B14" s="991" t="s">
        <v>519</v>
      </c>
      <c r="C14" s="991"/>
      <c r="D14" s="991"/>
      <c r="E14" s="991"/>
      <c r="F14" s="285" t="s">
        <v>519</v>
      </c>
      <c r="G14" s="285"/>
      <c r="H14" s="285"/>
      <c r="I14" s="285"/>
      <c r="J14" s="991"/>
      <c r="K14" s="991"/>
      <c r="L14" s="991"/>
      <c r="M14" s="991"/>
      <c r="N14" s="991" t="s">
        <v>519</v>
      </c>
      <c r="O14" s="991"/>
      <c r="P14" s="991"/>
      <c r="Q14" s="991"/>
      <c r="R14" s="991"/>
      <c r="S14" s="991"/>
      <c r="T14" s="991"/>
      <c r="U14" s="991"/>
    </row>
    <row r="15" spans="1:21" ht="18">
      <c r="B15" s="387" t="s">
        <v>517</v>
      </c>
      <c r="C15" s="284"/>
      <c r="D15" s="284"/>
      <c r="E15" s="284"/>
      <c r="F15" s="285" t="s">
        <v>520</v>
      </c>
      <c r="G15" s="286"/>
      <c r="H15" s="286"/>
      <c r="I15" s="286"/>
      <c r="J15" s="387"/>
      <c r="K15" s="284"/>
      <c r="L15" s="284"/>
      <c r="M15" s="284"/>
      <c r="N15" s="387" t="s">
        <v>517</v>
      </c>
      <c r="O15" s="284"/>
      <c r="P15" s="284"/>
      <c r="Q15" s="284"/>
      <c r="R15" s="387"/>
      <c r="S15" s="284"/>
      <c r="T15" s="284"/>
      <c r="U15" s="284"/>
    </row>
  </sheetData>
  <mergeCells count="22">
    <mergeCell ref="B12:N12"/>
    <mergeCell ref="B1:N1"/>
    <mergeCell ref="B2:N2"/>
    <mergeCell ref="B10:H10"/>
    <mergeCell ref="I10:L10"/>
    <mergeCell ref="B5:B8"/>
    <mergeCell ref="C5:C8"/>
    <mergeCell ref="D5:D8"/>
    <mergeCell ref="E5:E8"/>
    <mergeCell ref="F5:F8"/>
    <mergeCell ref="G5:G8"/>
    <mergeCell ref="B3:N3"/>
    <mergeCell ref="A11:M11"/>
    <mergeCell ref="M5:M7"/>
    <mergeCell ref="B13:E13"/>
    <mergeCell ref="J13:M13"/>
    <mergeCell ref="N13:Q13"/>
    <mergeCell ref="R13:U13"/>
    <mergeCell ref="B14:E14"/>
    <mergeCell ref="J14:M14"/>
    <mergeCell ref="N14:Q14"/>
    <mergeCell ref="R14:U14"/>
  </mergeCells>
  <pageMargins left="0.19" right="0.15" top="0.21" bottom="0.28000000000000003" header="0.3" footer="0.3"/>
  <pageSetup scale="72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5" sqref="A15:M15"/>
    </sheetView>
  </sheetViews>
  <sheetFormatPr defaultRowHeight="15"/>
  <cols>
    <col min="1" max="1" width="1.140625" customWidth="1"/>
    <col min="2" max="2" width="6.140625" customWidth="1"/>
    <col min="3" max="3" width="12.28515625" customWidth="1"/>
    <col min="4" max="4" width="10.85546875" customWidth="1"/>
    <col min="5" max="5" width="13.42578125" customWidth="1"/>
    <col min="6" max="6" width="9.85546875" customWidth="1"/>
    <col min="7" max="7" width="10.85546875" customWidth="1"/>
    <col min="8" max="8" width="24.140625" customWidth="1"/>
    <col min="9" max="9" width="13.7109375" customWidth="1"/>
    <col min="10" max="10" width="6.28515625" customWidth="1"/>
    <col min="11" max="11" width="11.28515625" customWidth="1"/>
    <col min="12" max="12" width="6.42578125" customWidth="1"/>
    <col min="13" max="13" width="13.140625" customWidth="1"/>
    <col min="14" max="14" width="27.140625" customWidth="1"/>
    <col min="15" max="15" width="12.1406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39.95000000000000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1031">
        <v>1</v>
      </c>
      <c r="C5" s="1032" t="s">
        <v>19</v>
      </c>
      <c r="D5" s="1038" t="s">
        <v>169</v>
      </c>
      <c r="E5" s="1034">
        <v>147995</v>
      </c>
      <c r="F5" s="1033">
        <v>40485</v>
      </c>
      <c r="G5" s="1033">
        <v>40496</v>
      </c>
      <c r="H5" s="442" t="s">
        <v>688</v>
      </c>
      <c r="I5" s="443">
        <v>3374500160</v>
      </c>
      <c r="J5" s="444">
        <v>1</v>
      </c>
      <c r="K5" s="444" t="s">
        <v>568</v>
      </c>
      <c r="L5" s="444">
        <v>3</v>
      </c>
      <c r="M5" s="1035" t="s">
        <v>431</v>
      </c>
      <c r="N5" s="445" t="s">
        <v>693</v>
      </c>
      <c r="O5" s="424"/>
      <c r="P5" s="436"/>
    </row>
    <row r="6" spans="1:16" ht="23.25" customHeight="1">
      <c r="B6" s="1031"/>
      <c r="C6" s="1032"/>
      <c r="D6" s="1038"/>
      <c r="E6" s="1034"/>
      <c r="F6" s="1033"/>
      <c r="G6" s="1033"/>
      <c r="H6" s="445" t="s">
        <v>689</v>
      </c>
      <c r="I6" s="443">
        <v>3374500150</v>
      </c>
      <c r="J6" s="444">
        <v>1</v>
      </c>
      <c r="K6" s="442"/>
      <c r="L6" s="444"/>
      <c r="M6" s="1035"/>
      <c r="N6" s="445" t="s">
        <v>694</v>
      </c>
      <c r="O6" s="424"/>
      <c r="P6" s="436"/>
    </row>
    <row r="7" spans="1:16" ht="23.25" customHeight="1">
      <c r="B7" s="1031"/>
      <c r="C7" s="1032"/>
      <c r="D7" s="1038"/>
      <c r="E7" s="1034"/>
      <c r="F7" s="1033"/>
      <c r="G7" s="1033"/>
      <c r="H7" s="445" t="s">
        <v>658</v>
      </c>
      <c r="I7" s="443">
        <v>3414200890</v>
      </c>
      <c r="J7" s="444">
        <v>2</v>
      </c>
      <c r="K7" s="442"/>
      <c r="L7" s="444"/>
      <c r="M7" s="1035"/>
      <c r="N7" s="1037" t="s">
        <v>638</v>
      </c>
      <c r="O7" s="1036" t="s">
        <v>695</v>
      </c>
      <c r="P7" s="1030">
        <v>8</v>
      </c>
    </row>
    <row r="8" spans="1:16" ht="19.5" customHeight="1">
      <c r="B8" s="1031"/>
      <c r="C8" s="1032"/>
      <c r="D8" s="1038"/>
      <c r="E8" s="1034"/>
      <c r="F8" s="1033"/>
      <c r="G8" s="1033"/>
      <c r="H8" s="445" t="s">
        <v>649</v>
      </c>
      <c r="I8" s="443" t="s">
        <v>646</v>
      </c>
      <c r="J8" s="444">
        <v>1</v>
      </c>
      <c r="K8" s="442"/>
      <c r="L8" s="444"/>
      <c r="M8" s="1035"/>
      <c r="N8" s="1037"/>
      <c r="O8" s="1036"/>
      <c r="P8" s="1030"/>
    </row>
    <row r="9" spans="1:16" ht="24.95" customHeight="1">
      <c r="B9" s="1031"/>
      <c r="C9" s="1032"/>
      <c r="D9" s="1038"/>
      <c r="E9" s="1034"/>
      <c r="F9" s="1033"/>
      <c r="G9" s="1033"/>
      <c r="H9" s="445" t="s">
        <v>690</v>
      </c>
      <c r="I9" s="443">
        <v>3433400131</v>
      </c>
      <c r="J9" s="444">
        <v>1</v>
      </c>
      <c r="K9" s="442"/>
      <c r="L9" s="444"/>
      <c r="M9" s="1035"/>
      <c r="N9" s="459" t="s">
        <v>710</v>
      </c>
      <c r="O9" s="459" t="s">
        <v>696</v>
      </c>
      <c r="P9" s="436"/>
    </row>
    <row r="10" spans="1:16" ht="21.75" customHeight="1">
      <c r="B10" s="1031"/>
      <c r="C10" s="1032"/>
      <c r="D10" s="1038"/>
      <c r="E10" s="1034"/>
      <c r="F10" s="1033"/>
      <c r="G10" s="1033"/>
      <c r="H10" s="445" t="s">
        <v>691</v>
      </c>
      <c r="I10" s="443">
        <v>3387100250</v>
      </c>
      <c r="J10" s="444">
        <v>1</v>
      </c>
      <c r="K10" s="442"/>
      <c r="L10" s="444"/>
      <c r="M10" s="1035"/>
      <c r="N10" s="459"/>
      <c r="O10" s="459"/>
      <c r="P10" s="436"/>
    </row>
    <row r="11" spans="1:16" ht="20.25" customHeight="1">
      <c r="B11" s="1031"/>
      <c r="C11" s="1032"/>
      <c r="D11" s="1038"/>
      <c r="E11" s="1034"/>
      <c r="F11" s="1033"/>
      <c r="G11" s="1033"/>
      <c r="H11" s="445" t="s">
        <v>629</v>
      </c>
      <c r="I11" s="443">
        <v>3387100240</v>
      </c>
      <c r="J11" s="444">
        <v>1</v>
      </c>
      <c r="K11" s="442"/>
      <c r="L11" s="444"/>
      <c r="M11" s="1035"/>
      <c r="N11" s="423"/>
      <c r="O11" s="424"/>
      <c r="P11" s="436"/>
    </row>
    <row r="12" spans="1:16" ht="19.5" customHeight="1">
      <c r="B12" s="1031"/>
      <c r="C12" s="1032"/>
      <c r="D12" s="1038"/>
      <c r="E12" s="1034"/>
      <c r="F12" s="1033"/>
      <c r="G12" s="1033"/>
      <c r="H12" s="442" t="s">
        <v>692</v>
      </c>
      <c r="I12" s="443">
        <v>3851000020</v>
      </c>
      <c r="J12" s="444">
        <v>1</v>
      </c>
      <c r="K12" s="442"/>
      <c r="L12" s="442"/>
      <c r="M12" s="1035"/>
      <c r="N12" s="423"/>
      <c r="O12" s="424"/>
      <c r="P12" s="436"/>
    </row>
    <row r="13" spans="1:16" ht="20.25" customHeight="1">
      <c r="B13" s="1031"/>
      <c r="C13" s="1032"/>
      <c r="D13" s="446"/>
      <c r="E13" s="447"/>
      <c r="F13" s="1033"/>
      <c r="G13" s="1033"/>
      <c r="H13" s="442" t="s">
        <v>702</v>
      </c>
      <c r="I13" s="443"/>
      <c r="J13" s="444" t="s">
        <v>703</v>
      </c>
      <c r="K13" s="442"/>
      <c r="L13" s="442"/>
      <c r="M13" s="448"/>
      <c r="N13" s="423"/>
      <c r="O13" s="424"/>
      <c r="P13" s="436"/>
    </row>
    <row r="14" spans="1:16" ht="25.5" customHeight="1" thickBot="1">
      <c r="B14" s="938" t="s">
        <v>48</v>
      </c>
      <c r="C14" s="939"/>
      <c r="D14" s="939"/>
      <c r="E14" s="939"/>
      <c r="F14" s="939"/>
      <c r="G14" s="939"/>
      <c r="H14" s="939"/>
      <c r="I14" s="940">
        <f>1421.9+772.4+246.38+1532.93+160.09+638.35+355.4+1346.97+L5*122.28</f>
        <v>6841.2600000000011</v>
      </c>
      <c r="J14" s="940"/>
      <c r="K14" s="940"/>
      <c r="L14" s="940"/>
      <c r="M14" s="438"/>
      <c r="N14" s="439"/>
      <c r="O14" s="440"/>
      <c r="P14" s="441"/>
    </row>
    <row r="15" spans="1:16" ht="409.6" customHeight="1" thickTop="1">
      <c r="A15" s="936" t="s">
        <v>711</v>
      </c>
      <c r="B15" s="937"/>
      <c r="C15" s="937"/>
      <c r="D15" s="937"/>
      <c r="E15" s="937"/>
      <c r="F15" s="937"/>
      <c r="G15" s="937"/>
      <c r="H15" s="937"/>
      <c r="I15" s="937"/>
      <c r="J15" s="937"/>
      <c r="K15" s="937"/>
      <c r="L15" s="937"/>
      <c r="M15" s="937"/>
    </row>
    <row r="16" spans="1:16" ht="24.95" customHeight="1">
      <c r="B16" s="890" t="s">
        <v>466</v>
      </c>
      <c r="C16" s="890"/>
      <c r="D16" s="890"/>
      <c r="E16" s="890"/>
      <c r="F16" s="890"/>
      <c r="G16" s="890"/>
      <c r="H16" s="890"/>
      <c r="I16" s="890"/>
      <c r="J16" s="890"/>
      <c r="K16" s="890"/>
      <c r="L16" s="890"/>
      <c r="M16" s="890"/>
      <c r="N16" s="890"/>
    </row>
    <row r="17" spans="2:21" ht="20.100000000000001" customHeight="1">
      <c r="B17" s="991" t="s">
        <v>518</v>
      </c>
      <c r="C17" s="991"/>
      <c r="D17" s="991"/>
      <c r="E17" s="991"/>
      <c r="F17" s="285" t="s">
        <v>525</v>
      </c>
      <c r="G17" s="285"/>
      <c r="H17" s="285"/>
      <c r="I17" s="285"/>
      <c r="J17" s="991"/>
      <c r="K17" s="991"/>
      <c r="L17" s="991"/>
      <c r="M17" s="991"/>
      <c r="N17" s="991" t="s">
        <v>526</v>
      </c>
      <c r="O17" s="991"/>
      <c r="P17" s="991"/>
      <c r="Q17" s="991"/>
      <c r="R17" s="991"/>
      <c r="S17" s="991"/>
      <c r="T17" s="991"/>
      <c r="U17" s="991"/>
    </row>
    <row r="18" spans="2:21" ht="20.100000000000001" customHeight="1">
      <c r="B18" s="991" t="s">
        <v>519</v>
      </c>
      <c r="C18" s="991"/>
      <c r="D18" s="991"/>
      <c r="E18" s="991"/>
      <c r="F18" s="285" t="s">
        <v>519</v>
      </c>
      <c r="G18" s="285"/>
      <c r="H18" s="285"/>
      <c r="I18" s="285"/>
      <c r="J18" s="991"/>
      <c r="K18" s="991"/>
      <c r="L18" s="991"/>
      <c r="M18" s="991"/>
      <c r="N18" s="991" t="s">
        <v>519</v>
      </c>
      <c r="O18" s="991"/>
      <c r="P18" s="991"/>
      <c r="Q18" s="991"/>
      <c r="R18" s="991"/>
      <c r="S18" s="991"/>
      <c r="T18" s="991"/>
      <c r="U18" s="991"/>
    </row>
    <row r="19" spans="2:21" ht="18">
      <c r="B19" s="416" t="s">
        <v>517</v>
      </c>
      <c r="C19" s="284"/>
      <c r="D19" s="284"/>
      <c r="E19" s="284"/>
      <c r="F19" s="285" t="s">
        <v>520</v>
      </c>
      <c r="G19" s="286"/>
      <c r="H19" s="286"/>
      <c r="I19" s="286"/>
      <c r="J19" s="416"/>
      <c r="K19" s="284"/>
      <c r="L19" s="284"/>
      <c r="M19" s="284"/>
      <c r="N19" s="416" t="s">
        <v>517</v>
      </c>
      <c r="O19" s="284"/>
      <c r="P19" s="284"/>
      <c r="Q19" s="284"/>
      <c r="R19" s="416"/>
      <c r="S19" s="284"/>
      <c r="T19" s="284"/>
      <c r="U19" s="284"/>
    </row>
  </sheetData>
  <mergeCells count="25">
    <mergeCell ref="B16:N16"/>
    <mergeCell ref="B1:N1"/>
    <mergeCell ref="B2:N2"/>
    <mergeCell ref="B14:H14"/>
    <mergeCell ref="I14:L14"/>
    <mergeCell ref="B3:N3"/>
    <mergeCell ref="A15:M15"/>
    <mergeCell ref="D5:D12"/>
    <mergeCell ref="B17:E17"/>
    <mergeCell ref="J17:M17"/>
    <mergeCell ref="N17:Q17"/>
    <mergeCell ref="R17:U17"/>
    <mergeCell ref="B18:E18"/>
    <mergeCell ref="J18:M18"/>
    <mergeCell ref="N18:Q18"/>
    <mergeCell ref="R18:U18"/>
    <mergeCell ref="P7:P8"/>
    <mergeCell ref="B5:B13"/>
    <mergeCell ref="C5:C13"/>
    <mergeCell ref="F5:F13"/>
    <mergeCell ref="G5:G13"/>
    <mergeCell ref="E5:E12"/>
    <mergeCell ref="M5:M12"/>
    <mergeCell ref="O7:O8"/>
    <mergeCell ref="N7:N8"/>
  </mergeCells>
  <pageMargins left="0.19" right="0.15" top="0.15" bottom="0.14000000000000001" header="0.16" footer="0.16"/>
  <pageSetup scale="72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8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6" sqref="A16:XFD18"/>
    </sheetView>
  </sheetViews>
  <sheetFormatPr defaultRowHeight="15"/>
  <cols>
    <col min="1" max="1" width="1.140625" customWidth="1"/>
    <col min="2" max="2" width="6.140625" customWidth="1"/>
    <col min="3" max="3" width="11" customWidth="1"/>
    <col min="4" max="4" width="10.85546875" customWidth="1"/>
    <col min="5" max="5" width="18.85546875" customWidth="1"/>
    <col min="6" max="6" width="11.42578125" customWidth="1"/>
    <col min="7" max="7" width="12.28515625" customWidth="1"/>
    <col min="8" max="8" width="27.7109375" customWidth="1"/>
    <col min="9" max="9" width="13.57031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7.140625" customWidth="1"/>
    <col min="15" max="15" width="13.28515625" customWidth="1"/>
    <col min="16" max="16" width="7.71093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39.950000000000003" customHeight="1" thickTop="1">
      <c r="B4" s="33" t="s">
        <v>2</v>
      </c>
      <c r="C4" s="34" t="s">
        <v>3</v>
      </c>
      <c r="D4" s="35" t="s">
        <v>4</v>
      </c>
      <c r="E4" s="34" t="s">
        <v>5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495</v>
      </c>
    </row>
    <row r="5" spans="1:21" ht="50.25" customHeight="1">
      <c r="B5" s="872">
        <v>1</v>
      </c>
      <c r="C5" s="1001" t="s">
        <v>516</v>
      </c>
      <c r="D5" s="986" t="s">
        <v>170</v>
      </c>
      <c r="E5" s="986" t="s">
        <v>512</v>
      </c>
      <c r="F5" s="925">
        <v>40474</v>
      </c>
      <c r="G5" s="996">
        <v>40475</v>
      </c>
      <c r="H5" s="205" t="s">
        <v>521</v>
      </c>
      <c r="I5" s="280" t="s">
        <v>83</v>
      </c>
      <c r="J5" s="287">
        <v>2</v>
      </c>
      <c r="K5" s="288" t="s">
        <v>523</v>
      </c>
      <c r="L5" s="272">
        <v>5</v>
      </c>
      <c r="M5" s="289" t="s">
        <v>515</v>
      </c>
      <c r="N5" s="212" t="s">
        <v>522</v>
      </c>
      <c r="O5" s="281" t="s">
        <v>163</v>
      </c>
      <c r="P5" s="282" t="s">
        <v>498</v>
      </c>
    </row>
    <row r="6" spans="1:21" ht="24.95" customHeight="1">
      <c r="B6" s="872"/>
      <c r="C6" s="986"/>
      <c r="D6" s="986"/>
      <c r="E6" s="986"/>
      <c r="F6" s="925"/>
      <c r="G6" s="996"/>
      <c r="H6" s="240"/>
      <c r="I6" s="15"/>
      <c r="J6" s="273"/>
      <c r="K6" s="17"/>
      <c r="L6" s="273"/>
      <c r="M6" s="18"/>
      <c r="N6" s="14"/>
      <c r="O6" s="20"/>
      <c r="P6" s="55"/>
    </row>
    <row r="7" spans="1:21" ht="24.95" hidden="1" customHeight="1">
      <c r="B7" s="872"/>
      <c r="C7" s="986"/>
      <c r="D7" s="986"/>
      <c r="E7" s="986"/>
      <c r="F7" s="925"/>
      <c r="G7" s="996"/>
      <c r="H7" s="240"/>
      <c r="I7" s="15"/>
      <c r="J7" s="273"/>
      <c r="K7" s="17"/>
      <c r="L7" s="273"/>
      <c r="M7" s="18" t="s">
        <v>121</v>
      </c>
      <c r="N7" s="14"/>
      <c r="O7" s="20"/>
      <c r="P7" s="55"/>
    </row>
    <row r="8" spans="1:21" ht="24.95" hidden="1" customHeight="1">
      <c r="B8" s="269"/>
      <c r="C8" s="270"/>
      <c r="D8" s="270"/>
      <c r="E8" s="270"/>
      <c r="F8" s="271"/>
      <c r="G8" s="271"/>
      <c r="H8" s="14"/>
      <c r="I8" s="15"/>
      <c r="J8" s="273"/>
      <c r="K8" s="17"/>
      <c r="L8" s="273"/>
      <c r="M8" s="18"/>
      <c r="N8" s="18"/>
      <c r="O8" s="20"/>
      <c r="P8" s="55"/>
    </row>
    <row r="9" spans="1:21" ht="24.95" hidden="1" customHeight="1">
      <c r="B9" s="269"/>
      <c r="C9" s="270"/>
      <c r="D9" s="270"/>
      <c r="E9" s="270"/>
      <c r="F9" s="271"/>
      <c r="G9" s="271"/>
      <c r="H9" s="14"/>
      <c r="I9" s="15"/>
      <c r="J9" s="273"/>
      <c r="K9" s="17"/>
      <c r="L9" s="273"/>
      <c r="M9" s="18"/>
      <c r="N9" s="18"/>
      <c r="O9" s="20"/>
      <c r="P9" s="55"/>
    </row>
    <row r="10" spans="1:21" ht="24.95" hidden="1" customHeight="1">
      <c r="B10" s="269"/>
      <c r="C10" s="270"/>
      <c r="D10" s="270"/>
      <c r="E10" s="270"/>
      <c r="F10" s="271"/>
      <c r="G10" s="271"/>
      <c r="H10" s="14"/>
      <c r="I10" s="15"/>
      <c r="J10" s="273"/>
      <c r="K10" s="17"/>
      <c r="L10" s="273"/>
      <c r="M10" s="18"/>
      <c r="N10" s="18"/>
      <c r="O10" s="20"/>
      <c r="P10" s="55"/>
    </row>
    <row r="11" spans="1:21" ht="24.95" hidden="1" customHeight="1">
      <c r="B11" s="269"/>
      <c r="C11" s="270"/>
      <c r="D11" s="270"/>
      <c r="E11" s="270"/>
      <c r="F11" s="271"/>
      <c r="G11" s="271"/>
      <c r="H11" s="14"/>
      <c r="I11" s="15"/>
      <c r="J11" s="273"/>
      <c r="K11" s="17"/>
      <c r="L11" s="273"/>
      <c r="M11" s="18"/>
      <c r="N11" s="18"/>
      <c r="O11" s="20"/>
      <c r="P11" s="55"/>
    </row>
    <row r="12" spans="1:21" ht="24.95" hidden="1" customHeight="1">
      <c r="B12" s="269"/>
      <c r="C12" s="12"/>
      <c r="D12" s="12"/>
      <c r="E12" s="18"/>
      <c r="F12" s="13"/>
      <c r="G12" s="13"/>
      <c r="H12" s="275"/>
      <c r="I12" s="17"/>
      <c r="J12" s="273"/>
      <c r="K12" s="17"/>
      <c r="L12" s="17"/>
      <c r="M12" s="20"/>
      <c r="N12" s="18"/>
      <c r="O12" s="20"/>
      <c r="P12" s="55"/>
    </row>
    <row r="13" spans="1:21" ht="38.1" customHeight="1" thickBot="1">
      <c r="B13" s="997" t="s">
        <v>48</v>
      </c>
      <c r="C13" s="998"/>
      <c r="D13" s="998"/>
      <c r="E13" s="998"/>
      <c r="F13" s="998"/>
      <c r="G13" s="998"/>
      <c r="H13" s="998"/>
      <c r="I13" s="870">
        <f>L5*83.26+12046.44</f>
        <v>12462.74</v>
      </c>
      <c r="J13" s="870"/>
      <c r="K13" s="870"/>
      <c r="L13" s="870"/>
      <c r="M13" s="89"/>
      <c r="N13" s="56"/>
      <c r="O13" s="268"/>
      <c r="P13" s="59"/>
    </row>
    <row r="14" spans="1:21" ht="312" customHeight="1" thickTop="1">
      <c r="A14" s="905" t="s">
        <v>561</v>
      </c>
      <c r="B14" s="906"/>
      <c r="C14" s="906"/>
      <c r="D14" s="906"/>
      <c r="E14" s="906"/>
      <c r="F14" s="906"/>
      <c r="G14" s="906"/>
      <c r="H14" s="906"/>
      <c r="I14" s="906"/>
      <c r="J14" s="906"/>
      <c r="K14" s="906"/>
      <c r="L14" s="906"/>
      <c r="M14" s="906"/>
    </row>
    <row r="15" spans="1:21" ht="24.9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85"/>
      <c r="J16" s="991"/>
      <c r="K16" s="991"/>
      <c r="L16" s="991"/>
      <c r="M16" s="991"/>
      <c r="N16" s="991" t="s">
        <v>526</v>
      </c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85"/>
      <c r="J17" s="991"/>
      <c r="K17" s="991"/>
      <c r="L17" s="991"/>
      <c r="M17" s="991"/>
      <c r="N17" s="991" t="s">
        <v>519</v>
      </c>
      <c r="O17" s="991"/>
      <c r="P17" s="991"/>
      <c r="Q17" s="991"/>
      <c r="R17" s="991"/>
      <c r="S17" s="991"/>
      <c r="T17" s="991"/>
      <c r="U17" s="991"/>
    </row>
    <row r="18" spans="2:21" ht="18">
      <c r="B18" s="283" t="s">
        <v>517</v>
      </c>
      <c r="C18" s="284"/>
      <c r="D18" s="284"/>
      <c r="E18" s="284"/>
      <c r="F18" s="285" t="s">
        <v>520</v>
      </c>
      <c r="G18" s="286"/>
      <c r="H18" s="286"/>
      <c r="I18" s="286"/>
      <c r="J18" s="283"/>
      <c r="K18" s="284"/>
      <c r="L18" s="284"/>
      <c r="M18" s="284"/>
      <c r="N18" s="283" t="s">
        <v>517</v>
      </c>
      <c r="O18" s="284"/>
      <c r="P18" s="284"/>
      <c r="Q18" s="284"/>
      <c r="R18" s="283"/>
      <c r="S18" s="284"/>
      <c r="T18" s="284"/>
      <c r="U18" s="284"/>
    </row>
  </sheetData>
  <mergeCells count="21">
    <mergeCell ref="R16:U16"/>
    <mergeCell ref="N17:Q17"/>
    <mergeCell ref="R17:U17"/>
    <mergeCell ref="B16:E16"/>
    <mergeCell ref="B17:E17"/>
    <mergeCell ref="J16:M16"/>
    <mergeCell ref="J17:M17"/>
    <mergeCell ref="N16:Q16"/>
    <mergeCell ref="B15:N15"/>
    <mergeCell ref="B1:N1"/>
    <mergeCell ref="B2:N2"/>
    <mergeCell ref="B13:H13"/>
    <mergeCell ref="I13:L13"/>
    <mergeCell ref="B5:B7"/>
    <mergeCell ref="C5:C7"/>
    <mergeCell ref="D5:D7"/>
    <mergeCell ref="E5:E7"/>
    <mergeCell ref="F5:F7"/>
    <mergeCell ref="G5:G7"/>
    <mergeCell ref="B3:N3"/>
    <mergeCell ref="A14:M14"/>
  </mergeCells>
  <pageMargins left="0.19" right="0.15" top="0.21" bottom="0.28000000000000003" header="0.3" footer="0.3"/>
  <pageSetup scale="68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B1:O16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39.950000000000003" customHeight="1" thickTop="1">
      <c r="B4" s="71" t="s">
        <v>2</v>
      </c>
      <c r="C4" s="72" t="s">
        <v>3</v>
      </c>
      <c r="D4" s="73" t="s">
        <v>4</v>
      </c>
      <c r="E4" s="72" t="s">
        <v>5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63">
        <v>1</v>
      </c>
      <c r="C5" s="864" t="s">
        <v>19</v>
      </c>
      <c r="D5" s="864" t="s">
        <v>197</v>
      </c>
      <c r="E5" s="864">
        <v>153033</v>
      </c>
      <c r="F5" s="865">
        <v>40132</v>
      </c>
      <c r="G5" s="865">
        <v>40134</v>
      </c>
      <c r="H5" s="17" t="s">
        <v>216</v>
      </c>
      <c r="I5" s="15">
        <v>3387100500</v>
      </c>
      <c r="J5" s="16">
        <v>1</v>
      </c>
      <c r="K5" s="17" t="s">
        <v>32</v>
      </c>
      <c r="L5" s="16">
        <v>22</v>
      </c>
      <c r="M5" s="18" t="s">
        <v>43</v>
      </c>
      <c r="N5" s="19" t="s">
        <v>220</v>
      </c>
    </row>
    <row r="6" spans="2:15" ht="24.95" customHeight="1">
      <c r="B6" s="852"/>
      <c r="C6" s="855"/>
      <c r="D6" s="855"/>
      <c r="E6" s="855"/>
      <c r="F6" s="839"/>
      <c r="G6" s="839"/>
      <c r="H6" s="14" t="s">
        <v>217</v>
      </c>
      <c r="I6" s="15">
        <v>3389800650</v>
      </c>
      <c r="J6" s="16">
        <v>1</v>
      </c>
      <c r="K6" s="17" t="s">
        <v>33</v>
      </c>
      <c r="L6" s="16">
        <v>41</v>
      </c>
      <c r="M6" s="18" t="s">
        <v>58</v>
      </c>
      <c r="N6" s="80" t="s">
        <v>221</v>
      </c>
    </row>
    <row r="7" spans="2:15" ht="36" customHeight="1">
      <c r="B7" s="852"/>
      <c r="C7" s="855"/>
      <c r="D7" s="855"/>
      <c r="E7" s="855"/>
      <c r="F7" s="839"/>
      <c r="G7" s="839"/>
      <c r="H7" s="14" t="s">
        <v>218</v>
      </c>
      <c r="I7" s="15">
        <v>1026681</v>
      </c>
      <c r="J7" s="16">
        <v>1</v>
      </c>
      <c r="K7" s="17" t="s">
        <v>38</v>
      </c>
      <c r="L7" s="16">
        <v>85</v>
      </c>
      <c r="M7" s="18"/>
      <c r="N7" s="80" t="s">
        <v>222</v>
      </c>
    </row>
    <row r="8" spans="2:15" ht="24.95" customHeight="1">
      <c r="B8" s="852"/>
      <c r="C8" s="855"/>
      <c r="D8" s="855"/>
      <c r="E8" s="855"/>
      <c r="F8" s="839"/>
      <c r="G8" s="839"/>
      <c r="H8" s="14" t="s">
        <v>187</v>
      </c>
      <c r="I8" s="15">
        <v>3423012030</v>
      </c>
      <c r="J8" s="16">
        <v>1</v>
      </c>
      <c r="K8" s="17" t="s">
        <v>34</v>
      </c>
      <c r="L8" s="16">
        <v>8</v>
      </c>
      <c r="M8" s="18"/>
      <c r="N8" s="19" t="s">
        <v>223</v>
      </c>
    </row>
    <row r="9" spans="2:15" ht="31.5" customHeight="1">
      <c r="B9" s="852"/>
      <c r="C9" s="855"/>
      <c r="D9" s="855"/>
      <c r="E9" s="855"/>
      <c r="F9" s="839"/>
      <c r="G9" s="839"/>
      <c r="H9" s="14" t="s">
        <v>188</v>
      </c>
      <c r="I9" s="15">
        <v>3423012040</v>
      </c>
      <c r="J9" s="16">
        <v>2</v>
      </c>
      <c r="K9" s="17"/>
      <c r="L9" s="16"/>
      <c r="M9" s="18"/>
      <c r="N9" s="19" t="s">
        <v>224</v>
      </c>
    </row>
    <row r="10" spans="2:15" ht="24.95" customHeight="1">
      <c r="B10" s="852"/>
      <c r="C10" s="855"/>
      <c r="D10" s="855"/>
      <c r="E10" s="855"/>
      <c r="F10" s="839"/>
      <c r="G10" s="839"/>
      <c r="H10" s="14" t="s">
        <v>212</v>
      </c>
      <c r="I10" s="15">
        <v>3424001750</v>
      </c>
      <c r="J10" s="16">
        <v>2</v>
      </c>
      <c r="K10" s="17"/>
      <c r="L10" s="16"/>
      <c r="M10" s="18"/>
      <c r="N10" s="19"/>
    </row>
    <row r="11" spans="2:15" ht="24.95" customHeight="1">
      <c r="B11" s="858"/>
      <c r="C11" s="859"/>
      <c r="D11" s="859"/>
      <c r="E11" s="859"/>
      <c r="F11" s="840"/>
      <c r="G11" s="840"/>
      <c r="H11" s="14" t="s">
        <v>219</v>
      </c>
      <c r="I11" s="15">
        <v>3840000030</v>
      </c>
      <c r="J11" s="16">
        <v>1</v>
      </c>
      <c r="K11" s="17"/>
      <c r="L11" s="16"/>
      <c r="M11" s="18"/>
      <c r="N11" s="19"/>
    </row>
    <row r="12" spans="2:15" ht="38.1" customHeight="1" thickBot="1">
      <c r="B12" s="843" t="s">
        <v>48</v>
      </c>
      <c r="C12" s="844"/>
      <c r="D12" s="844"/>
      <c r="E12" s="844"/>
      <c r="F12" s="844"/>
      <c r="G12" s="844"/>
      <c r="H12" s="844"/>
      <c r="I12" s="845">
        <f>L5*84.01+L6*84.01+L7*77.98+L8*109.25+153.23+1400+2800+80+1254.94+462.59+8000+107.86</f>
        <v>27053.55</v>
      </c>
      <c r="J12" s="846"/>
      <c r="K12" s="846"/>
      <c r="L12" s="893"/>
      <c r="N12" s="83"/>
      <c r="O12" s="90"/>
    </row>
    <row r="13" spans="2:15" ht="24.95" customHeight="1" thickTop="1">
      <c r="B13" s="889" t="s">
        <v>128</v>
      </c>
      <c r="C13" s="889"/>
      <c r="D13" s="889"/>
      <c r="E13" s="889"/>
      <c r="F13" s="889"/>
      <c r="G13" s="889"/>
      <c r="H13" s="889"/>
      <c r="I13" s="889"/>
      <c r="J13" s="889"/>
      <c r="K13" s="889"/>
      <c r="L13" s="889"/>
      <c r="M13" s="889"/>
      <c r="N13" s="889"/>
    </row>
    <row r="14" spans="2:15" ht="24.95" customHeight="1">
      <c r="B14" s="890" t="s">
        <v>16</v>
      </c>
      <c r="C14" s="890"/>
      <c r="D14" s="890"/>
      <c r="E14" s="890"/>
      <c r="F14" s="890"/>
      <c r="G14" s="890"/>
      <c r="H14" s="890"/>
      <c r="I14" s="890"/>
      <c r="J14" s="890"/>
      <c r="K14" s="890"/>
      <c r="L14" s="890"/>
      <c r="M14" s="890"/>
      <c r="N14" s="890"/>
    </row>
    <row r="15" spans="2:15" ht="20.100000000000001" customHeight="1">
      <c r="B15" s="29" t="s">
        <v>23</v>
      </c>
      <c r="C15" s="29"/>
      <c r="D15" s="29"/>
      <c r="E15" s="29"/>
      <c r="F15" s="29" t="s">
        <v>17</v>
      </c>
      <c r="G15" s="29"/>
      <c r="H15" s="29"/>
      <c r="I15" s="29"/>
      <c r="J15" s="29"/>
      <c r="K15" s="29"/>
      <c r="L15" s="29"/>
    </row>
    <row r="16" spans="2:15" ht="20.100000000000001" customHeight="1">
      <c r="B16" s="29" t="s">
        <v>18</v>
      </c>
      <c r="C16" s="29"/>
      <c r="D16" s="29"/>
      <c r="E16" s="29"/>
      <c r="F16" s="29" t="s">
        <v>18</v>
      </c>
      <c r="G16" s="29"/>
      <c r="H16" s="29"/>
      <c r="I16" s="29"/>
      <c r="J16" s="29"/>
      <c r="K16" s="29"/>
      <c r="L16" s="29"/>
    </row>
  </sheetData>
  <mergeCells count="13">
    <mergeCell ref="B13:N13"/>
    <mergeCell ref="B14:N14"/>
    <mergeCell ref="B1:N1"/>
    <mergeCell ref="B2:N2"/>
    <mergeCell ref="B5:B11"/>
    <mergeCell ref="C5:C11"/>
    <mergeCell ref="D5:D11"/>
    <mergeCell ref="E5:E11"/>
    <mergeCell ref="F5:F11"/>
    <mergeCell ref="G5:G11"/>
    <mergeCell ref="B12:H12"/>
    <mergeCell ref="I12:L12"/>
    <mergeCell ref="B3:N3"/>
  </mergeCells>
  <pageMargins left="0.19" right="0.15" top="0.21" bottom="0.28000000000000003" header="0.3" footer="0.3"/>
  <pageSetup scale="72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B1:O17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H5" sqref="H5:J5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39.950000000000003" customHeight="1" thickTop="1">
      <c r="B4" s="71" t="s">
        <v>2</v>
      </c>
      <c r="C4" s="72" t="s">
        <v>3</v>
      </c>
      <c r="D4" s="73" t="s">
        <v>4</v>
      </c>
      <c r="E4" s="72" t="s">
        <v>5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63">
        <v>1</v>
      </c>
      <c r="C5" s="864" t="s">
        <v>19</v>
      </c>
      <c r="D5" s="864" t="s">
        <v>196</v>
      </c>
      <c r="E5" s="864">
        <v>141724</v>
      </c>
      <c r="F5" s="865">
        <v>40132</v>
      </c>
      <c r="G5" s="865">
        <v>40136</v>
      </c>
      <c r="H5" s="17" t="s">
        <v>233</v>
      </c>
      <c r="I5" s="15">
        <v>3454205200</v>
      </c>
      <c r="J5" s="16">
        <v>16</v>
      </c>
      <c r="K5" s="17" t="s">
        <v>32</v>
      </c>
      <c r="L5" s="16">
        <v>22</v>
      </c>
      <c r="M5" s="18" t="s">
        <v>120</v>
      </c>
      <c r="N5" s="80" t="s">
        <v>45</v>
      </c>
    </row>
    <row r="6" spans="2:15" ht="24.95" customHeight="1">
      <c r="B6" s="852"/>
      <c r="C6" s="855"/>
      <c r="D6" s="855"/>
      <c r="E6" s="855"/>
      <c r="F6" s="839"/>
      <c r="G6" s="839"/>
      <c r="H6" s="14" t="s">
        <v>175</v>
      </c>
      <c r="I6" s="15">
        <v>3423001290</v>
      </c>
      <c r="J6" s="16">
        <v>4</v>
      </c>
      <c r="K6" s="17" t="s">
        <v>33</v>
      </c>
      <c r="L6" s="16">
        <v>41</v>
      </c>
      <c r="M6" s="18" t="s">
        <v>57</v>
      </c>
      <c r="N6" s="80"/>
    </row>
    <row r="7" spans="2:15" ht="24.95" customHeight="1">
      <c r="B7" s="852"/>
      <c r="C7" s="855"/>
      <c r="D7" s="855"/>
      <c r="E7" s="855"/>
      <c r="F7" s="839"/>
      <c r="G7" s="839"/>
      <c r="H7" s="14" t="s">
        <v>234</v>
      </c>
      <c r="I7" s="15"/>
      <c r="J7" s="16">
        <v>1</v>
      </c>
      <c r="K7" s="17" t="s">
        <v>38</v>
      </c>
      <c r="L7" s="16">
        <v>85</v>
      </c>
      <c r="M7" s="18"/>
      <c r="N7" s="80"/>
    </row>
    <row r="8" spans="2:15" ht="24.95" customHeight="1">
      <c r="B8" s="858"/>
      <c r="C8" s="859"/>
      <c r="D8" s="859"/>
      <c r="E8" s="859"/>
      <c r="F8" s="840"/>
      <c r="G8" s="840"/>
      <c r="H8" s="14" t="s">
        <v>235</v>
      </c>
      <c r="I8" s="15">
        <v>3846100300</v>
      </c>
      <c r="J8" s="16">
        <v>1</v>
      </c>
      <c r="K8" s="17" t="s">
        <v>34</v>
      </c>
      <c r="L8" s="16">
        <v>8</v>
      </c>
      <c r="M8" s="18"/>
      <c r="N8" s="19"/>
    </row>
    <row r="9" spans="2:15" ht="24.95" customHeight="1">
      <c r="B9" s="93"/>
      <c r="C9" s="94"/>
      <c r="D9" s="94"/>
      <c r="E9" s="94"/>
      <c r="F9" s="92"/>
      <c r="G9" s="92"/>
      <c r="H9" s="14" t="s">
        <v>236</v>
      </c>
      <c r="I9" s="15">
        <v>3443100640</v>
      </c>
      <c r="J9" s="16">
        <v>4</v>
      </c>
      <c r="K9" s="17"/>
      <c r="L9" s="16"/>
      <c r="M9" s="18"/>
      <c r="N9" s="19"/>
    </row>
    <row r="10" spans="2:15" ht="24.95" hidden="1" customHeight="1">
      <c r="B10" s="93"/>
      <c r="C10" s="94"/>
      <c r="D10" s="94"/>
      <c r="E10" s="94"/>
      <c r="F10" s="92"/>
      <c r="G10" s="92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93"/>
      <c r="C11" s="94"/>
      <c r="D11" s="94"/>
      <c r="E11" s="94"/>
      <c r="F11" s="92"/>
      <c r="G11" s="92"/>
      <c r="H11" s="14"/>
      <c r="I11" s="15"/>
      <c r="J11" s="16"/>
      <c r="K11" s="17"/>
      <c r="L11" s="16"/>
      <c r="M11" s="18"/>
      <c r="N11" s="19"/>
    </row>
    <row r="12" spans="2:15" ht="24.95" customHeight="1" thickBot="1">
      <c r="B12" s="91"/>
      <c r="C12" s="12"/>
      <c r="D12" s="12"/>
      <c r="E12" s="18"/>
      <c r="F12" s="13"/>
      <c r="G12" s="13"/>
      <c r="H12" s="17"/>
      <c r="I12" s="17"/>
      <c r="J12" s="16"/>
      <c r="K12" s="17"/>
      <c r="L12" s="17"/>
      <c r="M12" s="20"/>
      <c r="N12" s="19"/>
    </row>
    <row r="13" spans="2:15" ht="38.1" customHeight="1" thickTop="1" thickBot="1">
      <c r="B13" s="843" t="s">
        <v>48</v>
      </c>
      <c r="C13" s="844"/>
      <c r="D13" s="844"/>
      <c r="E13" s="844"/>
      <c r="F13" s="844"/>
      <c r="G13" s="844"/>
      <c r="H13" s="844"/>
      <c r="I13" s="849">
        <f>L5*84.01+L6*84.01+L7*77.98+L8*109.25+29391.2+70+3200+99.9+2660+107.87</f>
        <v>48323.900000000009</v>
      </c>
      <c r="J13" s="847"/>
      <c r="K13" s="847"/>
      <c r="L13" s="848"/>
      <c r="N13" s="83"/>
      <c r="O13" s="90"/>
    </row>
    <row r="14" spans="2:15" ht="24.95" customHeight="1" thickTop="1">
      <c r="B14" s="889" t="s">
        <v>128</v>
      </c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</row>
    <row r="15" spans="2:15" ht="24.95" customHeight="1">
      <c r="B15" s="890" t="s">
        <v>16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5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3">
    <mergeCell ref="B13:H13"/>
    <mergeCell ref="I13:L13"/>
    <mergeCell ref="B14:N14"/>
    <mergeCell ref="B15:N15"/>
    <mergeCell ref="B1:N1"/>
    <mergeCell ref="B2:N2"/>
    <mergeCell ref="B5:B8"/>
    <mergeCell ref="C5:C8"/>
    <mergeCell ref="D5:D8"/>
    <mergeCell ref="E5:E8"/>
    <mergeCell ref="F5:F8"/>
    <mergeCell ref="G5:G8"/>
    <mergeCell ref="B3:N3"/>
  </mergeCells>
  <pageMargins left="0.19" right="0.15" top="0.21" bottom="0.28000000000000003" header="0.3" footer="0.3"/>
  <pageSetup scale="72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4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0" sqref="A10:XFD16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2.85546875" customWidth="1"/>
    <col min="9" max="9" width="1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0.71093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461</v>
      </c>
      <c r="P4" s="36" t="s">
        <v>495</v>
      </c>
    </row>
    <row r="5" spans="1:21" ht="38.25" customHeight="1">
      <c r="B5" s="872">
        <v>1</v>
      </c>
      <c r="C5" s="988" t="s">
        <v>557</v>
      </c>
      <c r="D5" s="924" t="s">
        <v>198</v>
      </c>
      <c r="E5" s="924" t="s">
        <v>558</v>
      </c>
      <c r="F5" s="925">
        <v>40478</v>
      </c>
      <c r="G5" s="925">
        <v>40479</v>
      </c>
      <c r="H5" s="288" t="s">
        <v>560</v>
      </c>
      <c r="I5" s="281">
        <v>8346493</v>
      </c>
      <c r="J5" s="294">
        <v>1</v>
      </c>
      <c r="K5" s="292" t="s">
        <v>437</v>
      </c>
      <c r="L5" s="294">
        <v>20</v>
      </c>
      <c r="M5" s="303" t="s">
        <v>431</v>
      </c>
      <c r="N5" s="14"/>
      <c r="O5" s="20"/>
      <c r="P5" s="55"/>
    </row>
    <row r="6" spans="1:21" ht="24.95" hidden="1" customHeight="1">
      <c r="B6" s="872"/>
      <c r="C6" s="973"/>
      <c r="D6" s="924"/>
      <c r="E6" s="924"/>
      <c r="F6" s="925"/>
      <c r="G6" s="925"/>
      <c r="H6" s="292"/>
      <c r="I6" s="293"/>
      <c r="J6" s="294"/>
      <c r="K6" s="292"/>
      <c r="L6" s="294"/>
      <c r="M6" s="212"/>
      <c r="N6" s="14"/>
      <c r="O6" s="20"/>
      <c r="P6" s="55"/>
    </row>
    <row r="7" spans="1:21" ht="24.95" hidden="1" customHeight="1">
      <c r="B7" s="872"/>
      <c r="C7" s="973"/>
      <c r="D7" s="924"/>
      <c r="E7" s="924"/>
      <c r="F7" s="925"/>
      <c r="G7" s="925"/>
      <c r="H7" s="295"/>
      <c r="I7" s="293"/>
      <c r="J7" s="294"/>
      <c r="K7" s="292"/>
      <c r="L7" s="294"/>
      <c r="M7" s="212"/>
      <c r="N7" s="14"/>
      <c r="O7" s="20"/>
      <c r="P7" s="55"/>
    </row>
    <row r="8" spans="1:21" ht="24.95" hidden="1" customHeight="1">
      <c r="B8" s="297"/>
      <c r="C8" s="298"/>
      <c r="D8" s="298"/>
      <c r="E8" s="298"/>
      <c r="F8" s="299"/>
      <c r="G8" s="299"/>
      <c r="H8" s="14"/>
      <c r="I8" s="15"/>
      <c r="J8" s="301"/>
      <c r="K8" s="17"/>
      <c r="L8" s="301"/>
      <c r="M8" s="18"/>
      <c r="N8" s="18"/>
      <c r="O8" s="20"/>
      <c r="P8" s="55"/>
    </row>
    <row r="9" spans="1:21" ht="38.1" customHeight="1" thickBot="1">
      <c r="B9" s="868" t="s">
        <v>48</v>
      </c>
      <c r="C9" s="869"/>
      <c r="D9" s="869"/>
      <c r="E9" s="869"/>
      <c r="F9" s="869"/>
      <c r="G9" s="869"/>
      <c r="H9" s="869"/>
      <c r="I9" s="870">
        <f>2408.59+L5*84.01</f>
        <v>4088.79</v>
      </c>
      <c r="J9" s="870"/>
      <c r="K9" s="870"/>
      <c r="L9" s="870"/>
      <c r="M9" s="89"/>
      <c r="N9" s="56"/>
      <c r="O9" s="268"/>
      <c r="P9" s="59"/>
    </row>
    <row r="10" spans="1:21" ht="312" customHeight="1" thickTop="1">
      <c r="A10" s="905" t="s">
        <v>559</v>
      </c>
      <c r="B10" s="906"/>
      <c r="C10" s="906"/>
      <c r="D10" s="906"/>
      <c r="E10" s="906"/>
      <c r="F10" s="906"/>
      <c r="G10" s="906"/>
      <c r="H10" s="906"/>
      <c r="I10" s="906"/>
      <c r="J10" s="906"/>
      <c r="K10" s="906"/>
      <c r="L10" s="906"/>
      <c r="M10" s="906"/>
    </row>
    <row r="11" spans="1:21" ht="24.95" customHeight="1">
      <c r="B11" s="890" t="s">
        <v>466</v>
      </c>
      <c r="C11" s="890"/>
      <c r="D11" s="890"/>
      <c r="E11" s="890"/>
      <c r="F11" s="890"/>
      <c r="G11" s="890"/>
      <c r="H11" s="890"/>
      <c r="I11" s="890"/>
      <c r="J11" s="890"/>
      <c r="K11" s="890"/>
      <c r="L11" s="890"/>
      <c r="M11" s="890"/>
      <c r="N11" s="890"/>
    </row>
    <row r="12" spans="1:21" ht="20.100000000000001" customHeight="1">
      <c r="B12" s="991" t="s">
        <v>518</v>
      </c>
      <c r="C12" s="991"/>
      <c r="D12" s="991"/>
      <c r="E12" s="991"/>
      <c r="F12" s="285" t="s">
        <v>525</v>
      </c>
      <c r="G12" s="285"/>
      <c r="H12" s="285"/>
      <c r="I12" s="285"/>
      <c r="J12" s="991"/>
      <c r="K12" s="991"/>
      <c r="L12" s="991"/>
      <c r="M12" s="991"/>
      <c r="N12" s="991" t="s">
        <v>526</v>
      </c>
      <c r="O12" s="991"/>
      <c r="P12" s="991"/>
      <c r="Q12" s="991"/>
      <c r="R12" s="991"/>
      <c r="S12" s="991"/>
      <c r="T12" s="991"/>
      <c r="U12" s="991"/>
    </row>
    <row r="13" spans="1:21" ht="20.100000000000001" customHeight="1">
      <c r="B13" s="991" t="s">
        <v>519</v>
      </c>
      <c r="C13" s="991"/>
      <c r="D13" s="991"/>
      <c r="E13" s="991"/>
      <c r="F13" s="285" t="s">
        <v>519</v>
      </c>
      <c r="G13" s="285"/>
      <c r="H13" s="285"/>
      <c r="I13" s="285"/>
      <c r="J13" s="991"/>
      <c r="K13" s="991"/>
      <c r="L13" s="991"/>
      <c r="M13" s="991"/>
      <c r="N13" s="991" t="s">
        <v>519</v>
      </c>
      <c r="O13" s="991"/>
      <c r="P13" s="991"/>
      <c r="Q13" s="991"/>
      <c r="R13" s="991"/>
      <c r="S13" s="991"/>
      <c r="T13" s="991"/>
      <c r="U13" s="991"/>
    </row>
    <row r="14" spans="1:21" ht="18">
      <c r="B14" s="302" t="s">
        <v>517</v>
      </c>
      <c r="C14" s="284"/>
      <c r="D14" s="284"/>
      <c r="E14" s="284"/>
      <c r="F14" s="285" t="s">
        <v>520</v>
      </c>
      <c r="G14" s="286"/>
      <c r="H14" s="286"/>
      <c r="I14" s="286"/>
      <c r="J14" s="302"/>
      <c r="K14" s="284"/>
      <c r="L14" s="284"/>
      <c r="M14" s="284"/>
      <c r="N14" s="302" t="s">
        <v>517</v>
      </c>
      <c r="O14" s="284"/>
      <c r="P14" s="284"/>
      <c r="Q14" s="284"/>
      <c r="R14" s="302"/>
      <c r="S14" s="284"/>
      <c r="T14" s="284"/>
      <c r="U14" s="284"/>
    </row>
  </sheetData>
  <mergeCells count="21">
    <mergeCell ref="B12:E12"/>
    <mergeCell ref="J12:M12"/>
    <mergeCell ref="N12:Q12"/>
    <mergeCell ref="R12:U12"/>
    <mergeCell ref="B13:E13"/>
    <mergeCell ref="J13:M13"/>
    <mergeCell ref="N13:Q13"/>
    <mergeCell ref="R13:U13"/>
    <mergeCell ref="B9:H9"/>
    <mergeCell ref="I9:L9"/>
    <mergeCell ref="B11:N11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0:M10"/>
  </mergeCells>
  <pageMargins left="0.19" right="0.15" top="0.21" bottom="0.28000000000000003" header="0.3" footer="0.3"/>
  <pageSetup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8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P7" sqref="P7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2.7109375" customWidth="1"/>
    <col min="9" max="9" width="14.855468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5.7109375" customWidth="1"/>
    <col min="15" max="15" width="8.855468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1043">
        <v>1</v>
      </c>
      <c r="C5" s="1040" t="s">
        <v>201</v>
      </c>
      <c r="D5" s="1040" t="s">
        <v>202</v>
      </c>
      <c r="E5" s="1040">
        <v>117223</v>
      </c>
      <c r="F5" s="1041">
        <v>40460</v>
      </c>
      <c r="G5" s="865">
        <v>40499</v>
      </c>
      <c r="H5" s="593"/>
      <c r="I5" s="594" t="s">
        <v>523</v>
      </c>
      <c r="J5" s="595">
        <v>6</v>
      </c>
      <c r="K5" s="593"/>
      <c r="L5" s="595"/>
      <c r="M5" s="1039" t="s">
        <v>515</v>
      </c>
      <c r="N5" s="599" t="s">
        <v>793</v>
      </c>
      <c r="O5" s="599"/>
      <c r="P5" s="606">
        <v>1</v>
      </c>
    </row>
    <row r="6" spans="1:21" ht="24.95" customHeight="1">
      <c r="B6" s="1043"/>
      <c r="C6" s="1040"/>
      <c r="D6" s="1040"/>
      <c r="E6" s="1040"/>
      <c r="F6" s="1041"/>
      <c r="G6" s="839"/>
      <c r="H6" s="598"/>
      <c r="I6" s="594" t="s">
        <v>437</v>
      </c>
      <c r="J6" s="595">
        <v>6</v>
      </c>
      <c r="K6" s="593"/>
      <c r="L6" s="595"/>
      <c r="M6" s="1039"/>
      <c r="N6" s="599" t="s">
        <v>794</v>
      </c>
      <c r="O6" s="599"/>
      <c r="P6" s="606" t="s">
        <v>795</v>
      </c>
    </row>
    <row r="7" spans="1:21" ht="21.75" customHeight="1">
      <c r="B7" s="1043"/>
      <c r="C7" s="1040"/>
      <c r="D7" s="1040"/>
      <c r="E7" s="1040"/>
      <c r="F7" s="1041"/>
      <c r="G7" s="1042"/>
      <c r="H7" s="598"/>
      <c r="I7" s="594" t="s">
        <v>568</v>
      </c>
      <c r="J7" s="595">
        <v>1</v>
      </c>
      <c r="K7" s="593"/>
      <c r="L7" s="595"/>
      <c r="M7" s="1039"/>
      <c r="N7" s="599" t="s">
        <v>809</v>
      </c>
      <c r="O7" s="599"/>
      <c r="P7" s="606">
        <v>1</v>
      </c>
    </row>
    <row r="8" spans="1:21" ht="24.95" customHeight="1">
      <c r="B8" s="1043"/>
      <c r="C8" s="1040"/>
      <c r="D8" s="601"/>
      <c r="E8" s="601"/>
      <c r="F8" s="602"/>
      <c r="G8" s="607"/>
      <c r="H8" s="598"/>
      <c r="I8" s="594"/>
      <c r="J8" s="595"/>
      <c r="K8" s="593"/>
      <c r="L8" s="595"/>
      <c r="M8" s="1039"/>
      <c r="N8" s="596"/>
      <c r="O8" s="599"/>
      <c r="P8" s="588"/>
    </row>
    <row r="9" spans="1:21" ht="24.95" hidden="1" customHeight="1">
      <c r="B9" s="1043"/>
      <c r="C9" s="1040"/>
      <c r="D9" s="601"/>
      <c r="E9" s="601"/>
      <c r="F9" s="602"/>
      <c r="G9" s="607"/>
      <c r="H9" s="598"/>
      <c r="I9" s="594"/>
      <c r="J9" s="595"/>
      <c r="K9" s="593"/>
      <c r="L9" s="595"/>
      <c r="M9" s="596"/>
      <c r="N9" s="596"/>
      <c r="O9" s="597"/>
      <c r="P9" s="588"/>
    </row>
    <row r="10" spans="1:21" ht="24.95" hidden="1" customHeight="1">
      <c r="B10" s="600"/>
      <c r="C10" s="601"/>
      <c r="D10" s="601"/>
      <c r="E10" s="601"/>
      <c r="F10" s="602"/>
      <c r="G10" s="602"/>
      <c r="H10" s="598"/>
      <c r="I10" s="594"/>
      <c r="J10" s="595"/>
      <c r="K10" s="593"/>
      <c r="L10" s="595"/>
      <c r="M10" s="596"/>
      <c r="N10" s="596"/>
      <c r="O10" s="597"/>
      <c r="P10" s="588"/>
    </row>
    <row r="11" spans="1:21" ht="24.95" hidden="1" customHeight="1">
      <c r="B11" s="600"/>
      <c r="C11" s="601"/>
      <c r="D11" s="601"/>
      <c r="E11" s="601"/>
      <c r="F11" s="602"/>
      <c r="G11" s="602"/>
      <c r="H11" s="598"/>
      <c r="I11" s="594"/>
      <c r="J11" s="595"/>
      <c r="K11" s="593"/>
      <c r="L11" s="595"/>
      <c r="M11" s="596"/>
      <c r="N11" s="596"/>
      <c r="O11" s="597"/>
      <c r="P11" s="588"/>
    </row>
    <row r="12" spans="1:21" ht="24.95" hidden="1" customHeight="1">
      <c r="B12" s="600"/>
      <c r="C12" s="603"/>
      <c r="D12" s="603"/>
      <c r="E12" s="596"/>
      <c r="F12" s="604"/>
      <c r="G12" s="604"/>
      <c r="H12" s="593"/>
      <c r="I12" s="593"/>
      <c r="J12" s="595"/>
      <c r="K12" s="593"/>
      <c r="L12" s="593"/>
      <c r="M12" s="597"/>
      <c r="N12" s="596"/>
      <c r="O12" s="597"/>
      <c r="P12" s="588"/>
    </row>
    <row r="13" spans="1:21" ht="38.1" customHeight="1" thickBot="1">
      <c r="B13" s="1003" t="s">
        <v>48</v>
      </c>
      <c r="C13" s="1004"/>
      <c r="D13" s="1004"/>
      <c r="E13" s="1004"/>
      <c r="F13" s="1004"/>
      <c r="G13" s="1004"/>
      <c r="H13" s="1004"/>
      <c r="I13" s="1005">
        <f>J5*84.01+J6*83.26+J7*122.28</f>
        <v>1125.9000000000001</v>
      </c>
      <c r="J13" s="1005"/>
      <c r="K13" s="1005"/>
      <c r="L13" s="1005"/>
      <c r="M13" s="589"/>
      <c r="N13" s="590"/>
      <c r="O13" s="591"/>
      <c r="P13" s="592"/>
    </row>
    <row r="14" spans="1:21" ht="312" customHeight="1" thickTop="1">
      <c r="A14" s="936" t="s">
        <v>796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ht="24.95" hidden="1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85"/>
      <c r="J16" s="991"/>
      <c r="K16" s="991"/>
      <c r="L16" s="991"/>
      <c r="M16" s="991"/>
      <c r="N16" s="991" t="s">
        <v>526</v>
      </c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85"/>
      <c r="J17" s="991"/>
      <c r="K17" s="991"/>
      <c r="L17" s="991"/>
      <c r="M17" s="991"/>
      <c r="N17" s="991" t="s">
        <v>519</v>
      </c>
      <c r="O17" s="991"/>
      <c r="P17" s="991"/>
      <c r="Q17" s="991"/>
      <c r="R17" s="991"/>
      <c r="S17" s="991"/>
      <c r="T17" s="991"/>
      <c r="U17" s="991"/>
    </row>
    <row r="18" spans="2:21" ht="18">
      <c r="B18" s="536" t="s">
        <v>517</v>
      </c>
      <c r="C18" s="284"/>
      <c r="D18" s="284"/>
      <c r="E18" s="284"/>
      <c r="F18" s="285" t="s">
        <v>520</v>
      </c>
      <c r="G18" s="286"/>
      <c r="H18" s="286"/>
      <c r="I18" s="286"/>
      <c r="J18" s="536"/>
      <c r="K18" s="284"/>
      <c r="L18" s="284"/>
      <c r="M18" s="284"/>
      <c r="N18" s="536" t="s">
        <v>517</v>
      </c>
      <c r="O18" s="284"/>
      <c r="P18" s="284"/>
      <c r="Q18" s="284"/>
      <c r="R18" s="536"/>
      <c r="S18" s="284"/>
      <c r="T18" s="284"/>
      <c r="U18" s="284"/>
    </row>
  </sheetData>
  <mergeCells count="22">
    <mergeCell ref="M5:M8"/>
    <mergeCell ref="B13:H13"/>
    <mergeCell ref="I13:L13"/>
    <mergeCell ref="B15:N15"/>
    <mergeCell ref="B1:N1"/>
    <mergeCell ref="B2:N2"/>
    <mergeCell ref="D5:D7"/>
    <mergeCell ref="E5:E7"/>
    <mergeCell ref="F5:F7"/>
    <mergeCell ref="G5:G7"/>
    <mergeCell ref="B3:N3"/>
    <mergeCell ref="A14:M14"/>
    <mergeCell ref="B5:B9"/>
    <mergeCell ref="C5:C9"/>
    <mergeCell ref="B16:E16"/>
    <mergeCell ref="J16:M16"/>
    <mergeCell ref="N16:Q16"/>
    <mergeCell ref="R16:U16"/>
    <mergeCell ref="B17:E17"/>
    <mergeCell ref="J17:M17"/>
    <mergeCell ref="N17:Q17"/>
    <mergeCell ref="R17:U17"/>
  </mergeCells>
  <pageMargins left="0.19" right="0.15" top="0.21" bottom="0.28000000000000003" header="0.3" footer="0.3"/>
  <pageSetup scale="72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7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4" sqref="A14:M14"/>
    </sheetView>
  </sheetViews>
  <sheetFormatPr defaultRowHeight="15"/>
  <cols>
    <col min="1" max="1" width="1.140625" customWidth="1"/>
    <col min="2" max="2" width="6.140625" customWidth="1"/>
    <col min="3" max="3" width="12" customWidth="1"/>
    <col min="4" max="4" width="10.85546875" customWidth="1"/>
    <col min="5" max="5" width="13.42578125" customWidth="1"/>
    <col min="6" max="7" width="11.42578125" customWidth="1"/>
    <col min="8" max="8" width="21.5703125" customWidth="1"/>
    <col min="9" max="9" width="16.7109375" customWidth="1"/>
    <col min="10" max="10" width="6.28515625" customWidth="1"/>
    <col min="11" max="11" width="13.85546875" customWidth="1"/>
    <col min="12" max="12" width="6.42578125" customWidth="1"/>
    <col min="13" max="13" width="13.140625" customWidth="1"/>
    <col min="14" max="14" width="22.7109375" customWidth="1"/>
    <col min="15" max="15" width="15.1406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461</v>
      </c>
      <c r="P4" s="36" t="s">
        <v>495</v>
      </c>
    </row>
    <row r="5" spans="1:21" ht="34.5" customHeight="1">
      <c r="B5" s="872">
        <v>1</v>
      </c>
      <c r="C5" s="873" t="s">
        <v>532</v>
      </c>
      <c r="D5" s="873" t="s">
        <v>533</v>
      </c>
      <c r="E5" s="873">
        <v>24691</v>
      </c>
      <c r="F5" s="874">
        <v>40479</v>
      </c>
      <c r="G5" s="874">
        <v>40480</v>
      </c>
      <c r="H5" s="14"/>
      <c r="I5" s="15"/>
      <c r="J5" s="319"/>
      <c r="K5" s="17" t="s">
        <v>452</v>
      </c>
      <c r="L5" s="319">
        <v>15</v>
      </c>
      <c r="M5" s="994" t="s">
        <v>431</v>
      </c>
      <c r="N5" s="14" t="s">
        <v>569</v>
      </c>
      <c r="O5" s="20">
        <v>425584331</v>
      </c>
      <c r="P5" s="309">
        <v>1</v>
      </c>
    </row>
    <row r="6" spans="1:21" ht="34.5" customHeight="1">
      <c r="B6" s="872"/>
      <c r="C6" s="873"/>
      <c r="D6" s="873"/>
      <c r="E6" s="873"/>
      <c r="F6" s="874"/>
      <c r="G6" s="874"/>
      <c r="H6" s="14"/>
      <c r="I6" s="84"/>
      <c r="J6" s="319"/>
      <c r="K6" s="17" t="s">
        <v>437</v>
      </c>
      <c r="L6" s="319">
        <v>35</v>
      </c>
      <c r="M6" s="994"/>
      <c r="N6" s="14" t="s">
        <v>570</v>
      </c>
      <c r="O6" s="20"/>
      <c r="P6" s="309">
        <v>1</v>
      </c>
    </row>
    <row r="7" spans="1:21" ht="24.95" hidden="1" customHeight="1">
      <c r="B7" s="872"/>
      <c r="C7" s="873"/>
      <c r="D7" s="873"/>
      <c r="E7" s="873"/>
      <c r="F7" s="874"/>
      <c r="G7" s="874"/>
      <c r="H7" s="14"/>
      <c r="I7" s="15"/>
      <c r="J7" s="319"/>
      <c r="K7" s="17"/>
      <c r="L7" s="319"/>
      <c r="M7" s="18"/>
      <c r="N7" s="14"/>
      <c r="O7" s="20"/>
      <c r="P7" s="55"/>
    </row>
    <row r="8" spans="1:21" ht="24.95" hidden="1" customHeight="1">
      <c r="B8" s="872"/>
      <c r="C8" s="873"/>
      <c r="D8" s="873"/>
      <c r="E8" s="873"/>
      <c r="F8" s="874"/>
      <c r="G8" s="874"/>
      <c r="H8" s="14"/>
      <c r="I8" s="15"/>
      <c r="J8" s="319"/>
      <c r="K8" s="17"/>
      <c r="L8" s="319"/>
      <c r="M8" s="18"/>
      <c r="N8" s="18"/>
      <c r="O8" s="20"/>
      <c r="P8" s="55"/>
    </row>
    <row r="9" spans="1:21" ht="24.95" hidden="1" customHeight="1">
      <c r="B9" s="316"/>
      <c r="C9" s="317"/>
      <c r="D9" s="317"/>
      <c r="E9" s="317"/>
      <c r="F9" s="318"/>
      <c r="G9" s="318"/>
      <c r="H9" s="14"/>
      <c r="I9" s="15"/>
      <c r="J9" s="319"/>
      <c r="K9" s="17"/>
      <c r="L9" s="319"/>
      <c r="M9" s="18"/>
      <c r="N9" s="18"/>
      <c r="O9" s="20"/>
      <c r="P9" s="55"/>
    </row>
    <row r="10" spans="1:21" ht="24.95" hidden="1" customHeight="1">
      <c r="B10" s="316"/>
      <c r="C10" s="317"/>
      <c r="D10" s="317"/>
      <c r="E10" s="317"/>
      <c r="F10" s="318"/>
      <c r="G10" s="318"/>
      <c r="H10" s="14"/>
      <c r="I10" s="15"/>
      <c r="J10" s="319"/>
      <c r="K10" s="17"/>
      <c r="L10" s="319"/>
      <c r="M10" s="18"/>
      <c r="N10" s="18"/>
      <c r="O10" s="20"/>
      <c r="P10" s="55"/>
    </row>
    <row r="11" spans="1:21" ht="24.95" hidden="1" customHeight="1">
      <c r="B11" s="316"/>
      <c r="C11" s="317"/>
      <c r="D11" s="317"/>
      <c r="E11" s="317"/>
      <c r="F11" s="318"/>
      <c r="G11" s="318"/>
      <c r="H11" s="14"/>
      <c r="I11" s="15"/>
      <c r="J11" s="319"/>
      <c r="K11" s="17"/>
      <c r="L11" s="319"/>
      <c r="M11" s="18"/>
      <c r="N11" s="18"/>
      <c r="O11" s="20"/>
      <c r="P11" s="55"/>
    </row>
    <row r="12" spans="1:21" ht="24.95" hidden="1" customHeight="1">
      <c r="B12" s="316"/>
      <c r="C12" s="12"/>
      <c r="D12" s="12"/>
      <c r="E12" s="18"/>
      <c r="F12" s="13"/>
      <c r="G12" s="13"/>
      <c r="H12" s="17"/>
      <c r="I12" s="17"/>
      <c r="J12" s="319"/>
      <c r="K12" s="17"/>
      <c r="L12" s="17"/>
      <c r="M12" s="20"/>
      <c r="N12" s="18"/>
      <c r="O12" s="20"/>
      <c r="P12" s="55"/>
    </row>
    <row r="13" spans="1:21" ht="38.1" customHeight="1" thickBot="1">
      <c r="B13" s="868" t="s">
        <v>48</v>
      </c>
      <c r="C13" s="869"/>
      <c r="D13" s="869"/>
      <c r="E13" s="869"/>
      <c r="F13" s="869"/>
      <c r="G13" s="869"/>
      <c r="H13" s="869"/>
      <c r="I13" s="892">
        <f>L5*84.01+L6*84.01</f>
        <v>4200.5</v>
      </c>
      <c r="J13" s="892"/>
      <c r="K13" s="892"/>
      <c r="L13" s="892"/>
      <c r="M13" s="89"/>
      <c r="N13" s="56"/>
      <c r="O13" s="268"/>
      <c r="P13" s="59"/>
    </row>
    <row r="14" spans="1:21" ht="378.75" customHeight="1" thickTop="1">
      <c r="A14" s="905" t="s">
        <v>591</v>
      </c>
      <c r="B14" s="906"/>
      <c r="C14" s="906"/>
      <c r="D14" s="906"/>
      <c r="E14" s="906"/>
      <c r="F14" s="906"/>
      <c r="G14" s="906"/>
      <c r="H14" s="906"/>
      <c r="I14" s="906"/>
      <c r="J14" s="906"/>
      <c r="K14" s="906"/>
      <c r="L14" s="906"/>
      <c r="M14" s="906"/>
    </row>
    <row r="15" spans="1:21" ht="20.100000000000001" customHeight="1">
      <c r="B15" s="1044" t="s">
        <v>518</v>
      </c>
      <c r="C15" s="1044"/>
      <c r="D15" s="1044"/>
      <c r="E15" s="1044"/>
      <c r="F15" s="285" t="s">
        <v>525</v>
      </c>
      <c r="G15" s="322"/>
      <c r="H15" s="285"/>
      <c r="I15" s="285"/>
      <c r="J15" s="991"/>
      <c r="K15" s="991"/>
      <c r="L15" s="991"/>
      <c r="M15" s="991"/>
      <c r="N15" s="1044" t="s">
        <v>526</v>
      </c>
      <c r="O15" s="1044"/>
      <c r="P15" s="1044"/>
      <c r="Q15" s="1044"/>
      <c r="R15" s="991"/>
      <c r="S15" s="991"/>
      <c r="T15" s="991"/>
      <c r="U15" s="991"/>
    </row>
    <row r="16" spans="1:21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991" t="s">
        <v>519</v>
      </c>
      <c r="O16" s="991"/>
      <c r="P16" s="991"/>
      <c r="Q16" s="991"/>
      <c r="R16" s="991"/>
      <c r="S16" s="991"/>
      <c r="T16" s="991"/>
      <c r="U16" s="991"/>
    </row>
    <row r="17" spans="2:21" ht="18">
      <c r="B17" s="283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283"/>
      <c r="K17" s="284"/>
      <c r="L17" s="284"/>
      <c r="M17" s="284"/>
      <c r="N17" s="283" t="s">
        <v>517</v>
      </c>
      <c r="O17" s="284"/>
      <c r="P17" s="284"/>
      <c r="Q17" s="284"/>
      <c r="R17" s="283"/>
      <c r="S17" s="284"/>
      <c r="T17" s="284"/>
      <c r="U17" s="284"/>
    </row>
  </sheetData>
  <mergeCells count="21">
    <mergeCell ref="B1:N1"/>
    <mergeCell ref="B2:N2"/>
    <mergeCell ref="B3:N3"/>
    <mergeCell ref="B5:B8"/>
    <mergeCell ref="C5:C8"/>
    <mergeCell ref="D5:D8"/>
    <mergeCell ref="E5:E8"/>
    <mergeCell ref="F5:F8"/>
    <mergeCell ref="G5:G8"/>
    <mergeCell ref="M5:M6"/>
    <mergeCell ref="B13:H13"/>
    <mergeCell ref="I13:L13"/>
    <mergeCell ref="A14:M14"/>
    <mergeCell ref="B15:E15"/>
    <mergeCell ref="J15:M15"/>
    <mergeCell ref="N15:Q15"/>
    <mergeCell ref="R15:U15"/>
    <mergeCell ref="B16:E16"/>
    <mergeCell ref="J16:M16"/>
    <mergeCell ref="N16:Q16"/>
    <mergeCell ref="R16:U16"/>
  </mergeCells>
  <pageMargins left="0.19" right="0.15" top="0.21" bottom="0.28000000000000003" header="0.3" footer="0.3"/>
  <pageSetup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9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5" sqref="A15:M15"/>
    </sheetView>
  </sheetViews>
  <sheetFormatPr defaultRowHeight="15"/>
  <cols>
    <col min="1" max="1" width="7.5703125" hidden="1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0.5703125" customWidth="1"/>
    <col min="8" max="8" width="23.140625" customWidth="1"/>
    <col min="9" max="9" width="17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9.710937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56.2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470</v>
      </c>
      <c r="P4" s="36" t="s">
        <v>495</v>
      </c>
    </row>
    <row r="5" spans="1:16" ht="34.5" customHeight="1">
      <c r="B5" s="872">
        <v>1</v>
      </c>
      <c r="C5" s="873" t="s">
        <v>19</v>
      </c>
      <c r="D5" s="873" t="s">
        <v>531</v>
      </c>
      <c r="E5" s="873">
        <v>187256</v>
      </c>
      <c r="F5" s="874">
        <v>40479</v>
      </c>
      <c r="G5" s="874">
        <v>40484</v>
      </c>
      <c r="H5" s="14" t="s">
        <v>611</v>
      </c>
      <c r="I5" s="15">
        <v>3454205200</v>
      </c>
      <c r="J5" s="307">
        <v>16</v>
      </c>
      <c r="K5" s="17" t="s">
        <v>568</v>
      </c>
      <c r="L5" s="307">
        <v>4</v>
      </c>
      <c r="M5" s="993" t="s">
        <v>582</v>
      </c>
      <c r="N5" s="14"/>
      <c r="O5" s="20"/>
      <c r="P5" s="55"/>
    </row>
    <row r="6" spans="1:16" ht="34.5" customHeight="1">
      <c r="B6" s="872"/>
      <c r="C6" s="873"/>
      <c r="D6" s="873"/>
      <c r="E6" s="873"/>
      <c r="F6" s="874"/>
      <c r="G6" s="874"/>
      <c r="H6" s="14" t="s">
        <v>612</v>
      </c>
      <c r="I6" s="15"/>
      <c r="J6" s="332">
        <v>1</v>
      </c>
      <c r="K6" s="17"/>
      <c r="L6" s="332"/>
      <c r="M6" s="934"/>
      <c r="N6" s="14"/>
      <c r="O6" s="20"/>
      <c r="P6" s="55"/>
    </row>
    <row r="7" spans="1:16" ht="34.5" customHeight="1">
      <c r="B7" s="872"/>
      <c r="C7" s="873"/>
      <c r="D7" s="873"/>
      <c r="E7" s="873"/>
      <c r="F7" s="874"/>
      <c r="G7" s="874"/>
      <c r="H7" s="14" t="s">
        <v>567</v>
      </c>
      <c r="I7" s="84"/>
      <c r="J7" s="307"/>
      <c r="K7" s="17" t="s">
        <v>437</v>
      </c>
      <c r="L7" s="307">
        <v>35</v>
      </c>
      <c r="M7" s="934"/>
      <c r="N7" s="14"/>
      <c r="O7" s="20"/>
      <c r="P7" s="55"/>
    </row>
    <row r="8" spans="1:16" ht="24.95" customHeight="1">
      <c r="B8" s="872"/>
      <c r="C8" s="873"/>
      <c r="D8" s="873"/>
      <c r="E8" s="873"/>
      <c r="F8" s="874"/>
      <c r="G8" s="874"/>
      <c r="H8" s="14" t="s">
        <v>566</v>
      </c>
      <c r="I8" s="15"/>
      <c r="J8" s="307">
        <v>1</v>
      </c>
      <c r="K8" s="17"/>
      <c r="L8" s="307"/>
      <c r="M8" s="935"/>
      <c r="N8" s="14"/>
      <c r="O8" s="20"/>
      <c r="P8" s="55"/>
    </row>
    <row r="9" spans="1:16" ht="24.95" hidden="1" customHeight="1">
      <c r="B9" s="872"/>
      <c r="C9" s="873"/>
      <c r="D9" s="873"/>
      <c r="E9" s="873"/>
      <c r="F9" s="874"/>
      <c r="G9" s="874"/>
      <c r="H9" s="14"/>
      <c r="I9" s="15"/>
      <c r="J9" s="307"/>
      <c r="K9" s="17"/>
      <c r="L9" s="307"/>
      <c r="M9" s="18"/>
      <c r="N9" s="18"/>
      <c r="O9" s="20"/>
      <c r="P9" s="55"/>
    </row>
    <row r="10" spans="1:16" ht="24.95" hidden="1" customHeight="1">
      <c r="B10" s="304"/>
      <c r="C10" s="305"/>
      <c r="D10" s="305"/>
      <c r="E10" s="305"/>
      <c r="F10" s="306"/>
      <c r="G10" s="306"/>
      <c r="H10" s="14"/>
      <c r="I10" s="15"/>
      <c r="J10" s="307"/>
      <c r="K10" s="17"/>
      <c r="L10" s="307"/>
      <c r="M10" s="18"/>
      <c r="N10" s="18"/>
      <c r="O10" s="20"/>
      <c r="P10" s="55"/>
    </row>
    <row r="11" spans="1:16" ht="24.95" hidden="1" customHeight="1">
      <c r="B11" s="304"/>
      <c r="C11" s="305"/>
      <c r="D11" s="305"/>
      <c r="E11" s="305"/>
      <c r="F11" s="306"/>
      <c r="G11" s="306"/>
      <c r="H11" s="14"/>
      <c r="I11" s="15"/>
      <c r="J11" s="307"/>
      <c r="K11" s="17"/>
      <c r="L11" s="307"/>
      <c r="M11" s="18"/>
      <c r="N11" s="18"/>
      <c r="O11" s="20"/>
      <c r="P11" s="55"/>
    </row>
    <row r="12" spans="1:16" ht="24.95" hidden="1" customHeight="1">
      <c r="B12" s="304"/>
      <c r="C12" s="305"/>
      <c r="D12" s="305"/>
      <c r="E12" s="305"/>
      <c r="F12" s="306"/>
      <c r="G12" s="306"/>
      <c r="H12" s="14"/>
      <c r="I12" s="15"/>
      <c r="J12" s="307"/>
      <c r="K12" s="17"/>
      <c r="L12" s="307"/>
      <c r="M12" s="18"/>
      <c r="N12" s="18"/>
      <c r="O12" s="20"/>
      <c r="P12" s="55"/>
    </row>
    <row r="13" spans="1:16" ht="24.95" hidden="1" customHeight="1">
      <c r="B13" s="304"/>
      <c r="C13" s="12"/>
      <c r="D13" s="12"/>
      <c r="E13" s="18"/>
      <c r="F13" s="13"/>
      <c r="G13" s="13"/>
      <c r="H13" s="17"/>
      <c r="I13" s="17"/>
      <c r="J13" s="307"/>
      <c r="K13" s="17"/>
      <c r="L13" s="17"/>
      <c r="M13" s="20"/>
      <c r="N13" s="18"/>
      <c r="O13" s="20"/>
      <c r="P13" s="55"/>
    </row>
    <row r="14" spans="1:16" ht="36" customHeight="1" thickBot="1">
      <c r="B14" s="868" t="s">
        <v>48</v>
      </c>
      <c r="C14" s="869"/>
      <c r="D14" s="869"/>
      <c r="E14" s="869"/>
      <c r="F14" s="869"/>
      <c r="G14" s="869"/>
      <c r="H14" s="869"/>
      <c r="I14" s="870">
        <f>L5*122.28+L7*84.01+6900</f>
        <v>10329.470000000001</v>
      </c>
      <c r="J14" s="870"/>
      <c r="K14" s="870"/>
      <c r="L14" s="870"/>
      <c r="M14" s="89"/>
      <c r="N14" s="56"/>
      <c r="O14" s="268"/>
      <c r="P14" s="59"/>
    </row>
    <row r="15" spans="1:16" ht="394.5" customHeight="1" thickTop="1">
      <c r="A15" s="905" t="s">
        <v>590</v>
      </c>
      <c r="B15" s="906"/>
      <c r="C15" s="906"/>
      <c r="D15" s="906"/>
      <c r="E15" s="906"/>
      <c r="F15" s="906"/>
      <c r="G15" s="906"/>
      <c r="H15" s="906"/>
      <c r="I15" s="906"/>
      <c r="J15" s="906"/>
      <c r="K15" s="906"/>
      <c r="L15" s="906"/>
      <c r="M15" s="906"/>
    </row>
    <row r="16" spans="1:16" s="291" customFormat="1" ht="41.25" customHeight="1">
      <c r="B16" s="890" t="s">
        <v>466</v>
      </c>
      <c r="C16" s="890"/>
      <c r="D16" s="890"/>
      <c r="E16" s="890"/>
      <c r="F16" s="890"/>
      <c r="G16" s="890"/>
      <c r="H16" s="890"/>
      <c r="I16" s="890"/>
      <c r="J16" s="890"/>
      <c r="K16" s="890"/>
      <c r="L16" s="890"/>
      <c r="M16" s="890"/>
      <c r="N16" s="890"/>
    </row>
    <row r="17" spans="2:21" ht="20.100000000000001" customHeight="1">
      <c r="B17" s="991" t="s">
        <v>518</v>
      </c>
      <c r="C17" s="991"/>
      <c r="D17" s="991"/>
      <c r="E17" s="991"/>
      <c r="F17" s="285" t="s">
        <v>525</v>
      </c>
      <c r="G17" s="285"/>
      <c r="H17" s="285"/>
      <c r="I17" s="285"/>
      <c r="J17" s="991"/>
      <c r="K17" s="991"/>
      <c r="L17" s="991"/>
      <c r="M17" s="991"/>
      <c r="N17" s="991" t="s">
        <v>526</v>
      </c>
      <c r="O17" s="991"/>
      <c r="P17" s="991"/>
      <c r="Q17" s="991"/>
      <c r="R17" s="991"/>
      <c r="S17" s="991"/>
      <c r="T17" s="991"/>
      <c r="U17" s="991"/>
    </row>
    <row r="18" spans="2:21" ht="20.100000000000001" customHeight="1">
      <c r="B18" s="991" t="s">
        <v>519</v>
      </c>
      <c r="C18" s="991"/>
      <c r="D18" s="991"/>
      <c r="E18" s="991"/>
      <c r="F18" s="285" t="s">
        <v>519</v>
      </c>
      <c r="G18" s="285"/>
      <c r="H18" s="285"/>
      <c r="I18" s="285"/>
      <c r="J18" s="991"/>
      <c r="K18" s="991"/>
      <c r="L18" s="991"/>
      <c r="M18" s="991"/>
      <c r="N18" s="991" t="s">
        <v>519</v>
      </c>
      <c r="O18" s="991"/>
      <c r="P18" s="991"/>
      <c r="Q18" s="991"/>
      <c r="R18" s="991"/>
      <c r="S18" s="991"/>
      <c r="T18" s="991"/>
      <c r="U18" s="991"/>
    </row>
    <row r="19" spans="2:21" ht="18">
      <c r="B19" s="283" t="s">
        <v>517</v>
      </c>
      <c r="C19" s="284"/>
      <c r="D19" s="284"/>
      <c r="E19" s="284"/>
      <c r="F19" s="285" t="s">
        <v>520</v>
      </c>
      <c r="G19" s="286"/>
      <c r="H19" s="286"/>
      <c r="I19" s="286"/>
      <c r="J19" s="283"/>
      <c r="K19" s="284"/>
      <c r="L19" s="284"/>
      <c r="M19" s="284"/>
      <c r="N19" s="283" t="s">
        <v>517</v>
      </c>
      <c r="O19" s="284"/>
      <c r="P19" s="284"/>
      <c r="Q19" s="284"/>
      <c r="R19" s="283"/>
      <c r="S19" s="284"/>
      <c r="T19" s="284"/>
      <c r="U19" s="284"/>
    </row>
  </sheetData>
  <mergeCells count="22">
    <mergeCell ref="B1:N1"/>
    <mergeCell ref="B2:N2"/>
    <mergeCell ref="B3:N3"/>
    <mergeCell ref="B5:B9"/>
    <mergeCell ref="C5:C9"/>
    <mergeCell ref="D5:D9"/>
    <mergeCell ref="E5:E9"/>
    <mergeCell ref="F5:F9"/>
    <mergeCell ref="G5:G9"/>
    <mergeCell ref="M5:M8"/>
    <mergeCell ref="B14:H14"/>
    <mergeCell ref="I14:L14"/>
    <mergeCell ref="B16:N16"/>
    <mergeCell ref="A15:M15"/>
    <mergeCell ref="B17:E17"/>
    <mergeCell ref="J17:M17"/>
    <mergeCell ref="N17:Q17"/>
    <mergeCell ref="R17:U17"/>
    <mergeCell ref="B18:E18"/>
    <mergeCell ref="J18:M18"/>
    <mergeCell ref="N18:Q18"/>
    <mergeCell ref="R18:U18"/>
  </mergeCells>
  <pageMargins left="0.19" right="0.15" top="0.21" bottom="0.28000000000000003" header="0.3" footer="0.43"/>
  <pageSetup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3"/>
  <sheetViews>
    <sheetView view="pageBreakPreview" zoomScale="60" workbookViewId="0">
      <pane xSplit="3" ySplit="4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O19" sqref="O19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0.140625" customWidth="1"/>
    <col min="8" max="8" width="23.7109375" customWidth="1"/>
    <col min="9" max="9" width="16.71093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4.140625" customWidth="1"/>
    <col min="15" max="15" width="13.42578125" bestFit="1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571</v>
      </c>
      <c r="P4" s="36" t="s">
        <v>495</v>
      </c>
    </row>
    <row r="5" spans="2:16" ht="34.5" customHeight="1">
      <c r="B5" s="872">
        <v>1</v>
      </c>
      <c r="C5" s="873" t="s">
        <v>19</v>
      </c>
      <c r="D5" s="873" t="s">
        <v>536</v>
      </c>
      <c r="E5" s="873">
        <v>184554</v>
      </c>
      <c r="F5" s="874">
        <v>40479</v>
      </c>
      <c r="G5" s="874">
        <v>40484</v>
      </c>
      <c r="H5" s="14" t="s">
        <v>572</v>
      </c>
      <c r="I5" s="15">
        <v>3374500160</v>
      </c>
      <c r="J5" s="314">
        <v>1</v>
      </c>
      <c r="K5" s="17" t="s">
        <v>437</v>
      </c>
      <c r="L5" s="314">
        <v>16</v>
      </c>
      <c r="M5" s="993" t="s">
        <v>469</v>
      </c>
      <c r="N5" s="14" t="s">
        <v>578</v>
      </c>
      <c r="O5" s="20">
        <v>3454205200</v>
      </c>
      <c r="P5" s="309">
        <v>8</v>
      </c>
    </row>
    <row r="6" spans="2:16" ht="34.5" customHeight="1">
      <c r="B6" s="872"/>
      <c r="C6" s="873"/>
      <c r="D6" s="873"/>
      <c r="E6" s="873"/>
      <c r="F6" s="874"/>
      <c r="G6" s="874"/>
      <c r="H6" s="14" t="s">
        <v>573</v>
      </c>
      <c r="I6" s="84">
        <v>3374500150</v>
      </c>
      <c r="J6" s="314">
        <v>1</v>
      </c>
      <c r="K6" s="17" t="s">
        <v>437</v>
      </c>
      <c r="L6" s="314">
        <v>18</v>
      </c>
      <c r="M6" s="934"/>
      <c r="N6" s="14"/>
      <c r="O6" s="20"/>
      <c r="P6" s="55"/>
    </row>
    <row r="7" spans="2:16" ht="24.95" customHeight="1">
      <c r="B7" s="872"/>
      <c r="C7" s="873"/>
      <c r="D7" s="873"/>
      <c r="E7" s="873"/>
      <c r="F7" s="874"/>
      <c r="G7" s="874"/>
      <c r="H7" s="14" t="s">
        <v>574</v>
      </c>
      <c r="I7" s="15">
        <v>3374500140</v>
      </c>
      <c r="J7" s="314">
        <v>1</v>
      </c>
      <c r="K7" s="17" t="s">
        <v>452</v>
      </c>
      <c r="L7" s="314">
        <v>20</v>
      </c>
      <c r="M7" s="934"/>
      <c r="N7" s="14"/>
      <c r="O7" s="20"/>
      <c r="P7" s="55"/>
    </row>
    <row r="8" spans="2:16" ht="24.95" customHeight="1">
      <c r="B8" s="872"/>
      <c r="C8" s="873"/>
      <c r="D8" s="873"/>
      <c r="E8" s="873"/>
      <c r="F8" s="874"/>
      <c r="G8" s="874"/>
      <c r="H8" s="14" t="s">
        <v>575</v>
      </c>
      <c r="I8" s="15">
        <v>3374500130</v>
      </c>
      <c r="J8" s="314">
        <v>1</v>
      </c>
      <c r="K8" s="17" t="s">
        <v>577</v>
      </c>
      <c r="L8" s="314">
        <v>3.5</v>
      </c>
      <c r="M8" s="934"/>
      <c r="N8" s="18"/>
      <c r="O8" s="20"/>
      <c r="P8" s="55"/>
    </row>
    <row r="9" spans="2:16" ht="24.95" customHeight="1">
      <c r="B9" s="311"/>
      <c r="C9" s="312"/>
      <c r="D9" s="312"/>
      <c r="E9" s="312"/>
      <c r="F9" s="313"/>
      <c r="G9" s="313"/>
      <c r="H9" s="14" t="s">
        <v>576</v>
      </c>
      <c r="I9" s="15">
        <v>91026681</v>
      </c>
      <c r="J9" s="314">
        <v>1</v>
      </c>
      <c r="K9" s="17" t="s">
        <v>577</v>
      </c>
      <c r="L9" s="314">
        <v>7</v>
      </c>
      <c r="M9" s="935"/>
      <c r="N9" s="18"/>
      <c r="O9" s="20"/>
      <c r="P9" s="55"/>
    </row>
    <row r="10" spans="2:16" ht="24.95" hidden="1" customHeight="1">
      <c r="B10" s="311"/>
      <c r="C10" s="312"/>
      <c r="D10" s="312"/>
      <c r="E10" s="312"/>
      <c r="F10" s="313"/>
      <c r="G10" s="313"/>
      <c r="H10" s="14"/>
      <c r="I10" s="15"/>
      <c r="J10" s="314"/>
      <c r="K10" s="17"/>
      <c r="L10" s="314"/>
      <c r="M10" s="18"/>
      <c r="N10" s="18"/>
      <c r="O10" s="20"/>
      <c r="P10" s="55"/>
    </row>
    <row r="11" spans="2:16" ht="24.95" hidden="1" customHeight="1">
      <c r="B11" s="311"/>
      <c r="C11" s="312"/>
      <c r="D11" s="312"/>
      <c r="E11" s="312"/>
      <c r="F11" s="313"/>
      <c r="G11" s="313"/>
      <c r="H11" s="20"/>
      <c r="I11" s="20"/>
      <c r="J11" s="20"/>
      <c r="K11" s="17"/>
      <c r="L11" s="314"/>
      <c r="M11" s="18"/>
      <c r="N11" s="18"/>
      <c r="O11" s="20"/>
      <c r="P11" s="55"/>
    </row>
    <row r="12" spans="2:16" ht="24.95" hidden="1" customHeight="1">
      <c r="B12" s="311"/>
      <c r="C12" s="312"/>
      <c r="D12" s="312"/>
      <c r="E12" s="312"/>
      <c r="F12" s="313"/>
      <c r="G12" s="313"/>
      <c r="H12" s="14"/>
      <c r="I12" s="15"/>
      <c r="J12" s="314"/>
      <c r="K12" s="17"/>
      <c r="L12" s="314"/>
      <c r="M12" s="18"/>
      <c r="N12" s="18"/>
      <c r="O12" s="20"/>
      <c r="P12" s="55"/>
    </row>
    <row r="13" spans="2:16" ht="24.95" hidden="1" customHeight="1">
      <c r="B13" s="311"/>
      <c r="C13" s="312"/>
      <c r="D13" s="312"/>
      <c r="E13" s="312"/>
      <c r="F13" s="313"/>
      <c r="G13" s="313"/>
      <c r="H13" s="14"/>
      <c r="I13" s="15"/>
      <c r="J13" s="314"/>
      <c r="K13" s="17"/>
      <c r="L13" s="314"/>
      <c r="M13" s="18"/>
      <c r="N13" s="18"/>
      <c r="O13" s="20"/>
      <c r="P13" s="55"/>
    </row>
    <row r="14" spans="2:16" ht="24.95" hidden="1" customHeight="1">
      <c r="B14" s="311"/>
      <c r="C14" s="312"/>
      <c r="D14" s="312"/>
      <c r="E14" s="312"/>
      <c r="F14" s="313"/>
      <c r="G14" s="313"/>
      <c r="H14" s="14"/>
      <c r="I14" s="15"/>
      <c r="J14" s="314"/>
      <c r="K14" s="17"/>
      <c r="L14" s="314"/>
      <c r="M14" s="18"/>
      <c r="N14" s="18"/>
      <c r="O14" s="20"/>
      <c r="P14" s="55"/>
    </row>
    <row r="15" spans="2:16" ht="24.95" hidden="1" customHeight="1">
      <c r="B15" s="311"/>
      <c r="C15" s="12"/>
      <c r="D15" s="12"/>
      <c r="E15" s="18"/>
      <c r="F15" s="13"/>
      <c r="G15" s="13"/>
      <c r="H15" s="17"/>
      <c r="I15" s="17"/>
      <c r="J15" s="314"/>
      <c r="K15" s="17"/>
      <c r="L15" s="17"/>
      <c r="M15" s="20"/>
      <c r="N15" s="18"/>
      <c r="O15" s="20"/>
      <c r="P15" s="55"/>
    </row>
    <row r="16" spans="2:16" ht="24.95" hidden="1" customHeight="1">
      <c r="B16" s="311"/>
      <c r="C16" s="12"/>
      <c r="D16" s="12"/>
      <c r="E16" s="18"/>
      <c r="F16" s="13"/>
      <c r="G16" s="13"/>
      <c r="H16" s="17"/>
      <c r="I16" s="17"/>
      <c r="J16" s="314"/>
      <c r="K16" s="17"/>
      <c r="L16" s="17"/>
      <c r="M16" s="20"/>
      <c r="N16" s="18"/>
      <c r="O16" s="20"/>
      <c r="P16" s="55"/>
    </row>
    <row r="17" spans="1:21" ht="24.95" hidden="1" customHeight="1">
      <c r="B17" s="311"/>
      <c r="C17" s="12"/>
      <c r="D17" s="12"/>
      <c r="E17" s="18"/>
      <c r="F17" s="13"/>
      <c r="G17" s="13"/>
      <c r="H17" s="17"/>
      <c r="I17" s="17"/>
      <c r="J17" s="314"/>
      <c r="K17" s="17"/>
      <c r="L17" s="17"/>
      <c r="M17" s="20"/>
      <c r="N17" s="18"/>
      <c r="O17" s="20"/>
      <c r="P17" s="55"/>
    </row>
    <row r="18" spans="1:21" ht="38.1" customHeight="1" thickBot="1">
      <c r="B18" s="868" t="s">
        <v>48</v>
      </c>
      <c r="C18" s="869"/>
      <c r="D18" s="869"/>
      <c r="E18" s="869"/>
      <c r="F18" s="869"/>
      <c r="G18" s="869"/>
      <c r="H18" s="869"/>
      <c r="I18" s="870">
        <f>L5*84.01+L6*84.01+L7*84.01+L8*109.25+L9*109.25+1028.28+1421.91+772.21+2097.81</f>
        <v>11003.874999999998</v>
      </c>
      <c r="J18" s="870"/>
      <c r="K18" s="870"/>
      <c r="L18" s="870"/>
      <c r="M18" s="89"/>
      <c r="N18" s="56"/>
      <c r="O18" s="268"/>
      <c r="P18" s="59"/>
    </row>
    <row r="19" spans="1:21" ht="312" customHeight="1" thickTop="1">
      <c r="A19" s="905" t="s">
        <v>579</v>
      </c>
      <c r="B19" s="906"/>
      <c r="C19" s="906"/>
      <c r="D19" s="906"/>
      <c r="E19" s="906"/>
      <c r="F19" s="906"/>
      <c r="G19" s="906"/>
      <c r="H19" s="906"/>
      <c r="I19" s="906"/>
      <c r="J19" s="906"/>
      <c r="K19" s="906"/>
      <c r="L19" s="906"/>
      <c r="M19" s="906"/>
    </row>
    <row r="20" spans="1:21" s="291" customFormat="1" ht="24.95" customHeight="1">
      <c r="B20" s="890" t="s">
        <v>466</v>
      </c>
      <c r="C20" s="890"/>
      <c r="D20" s="890"/>
      <c r="E20" s="890"/>
      <c r="F20" s="890"/>
      <c r="G20" s="890"/>
      <c r="H20" s="890"/>
      <c r="I20" s="890"/>
      <c r="J20" s="890"/>
      <c r="K20" s="890"/>
      <c r="L20" s="890"/>
      <c r="M20" s="890"/>
      <c r="N20" s="890"/>
    </row>
    <row r="21" spans="1:21" ht="20.100000000000001" customHeight="1">
      <c r="B21" s="991" t="s">
        <v>518</v>
      </c>
      <c r="C21" s="991"/>
      <c r="D21" s="991"/>
      <c r="E21" s="991"/>
      <c r="F21" s="285" t="s">
        <v>525</v>
      </c>
      <c r="G21" s="285"/>
      <c r="H21" s="285"/>
      <c r="I21" s="285"/>
      <c r="J21" s="991"/>
      <c r="K21" s="991"/>
      <c r="L21" s="991"/>
      <c r="M21" s="991"/>
      <c r="N21" s="991" t="s">
        <v>526</v>
      </c>
      <c r="O21" s="991"/>
      <c r="P21" s="991"/>
      <c r="Q21" s="991"/>
      <c r="R21" s="991"/>
      <c r="S21" s="991"/>
      <c r="T21" s="991"/>
      <c r="U21" s="991"/>
    </row>
    <row r="22" spans="1:21" ht="20.100000000000001" customHeight="1">
      <c r="B22" s="991" t="s">
        <v>519</v>
      </c>
      <c r="C22" s="991"/>
      <c r="D22" s="991"/>
      <c r="E22" s="991"/>
      <c r="F22" s="285" t="s">
        <v>519</v>
      </c>
      <c r="G22" s="285"/>
      <c r="H22" s="285"/>
      <c r="I22" s="285"/>
      <c r="J22" s="991"/>
      <c r="K22" s="991"/>
      <c r="L22" s="991"/>
      <c r="M22" s="991"/>
      <c r="N22" s="991" t="s">
        <v>519</v>
      </c>
      <c r="O22" s="991"/>
      <c r="P22" s="991"/>
      <c r="Q22" s="991"/>
      <c r="R22" s="991"/>
      <c r="S22" s="991"/>
      <c r="T22" s="991"/>
      <c r="U22" s="991"/>
    </row>
    <row r="23" spans="1:21" ht="18">
      <c r="B23" s="290" t="s">
        <v>517</v>
      </c>
      <c r="C23" s="284"/>
      <c r="D23" s="284"/>
      <c r="E23" s="284"/>
      <c r="F23" s="285" t="s">
        <v>520</v>
      </c>
      <c r="G23" s="286"/>
      <c r="H23" s="286"/>
      <c r="I23" s="286"/>
      <c r="J23" s="290"/>
      <c r="K23" s="284"/>
      <c r="L23" s="284"/>
      <c r="M23" s="284"/>
      <c r="N23" s="290" t="s">
        <v>517</v>
      </c>
      <c r="O23" s="284"/>
      <c r="P23" s="284"/>
      <c r="Q23" s="284"/>
      <c r="R23" s="290"/>
      <c r="S23" s="284"/>
      <c r="T23" s="284"/>
      <c r="U23" s="284"/>
    </row>
  </sheetData>
  <mergeCells count="22">
    <mergeCell ref="R21:U21"/>
    <mergeCell ref="B22:E22"/>
    <mergeCell ref="J22:M22"/>
    <mergeCell ref="N22:Q22"/>
    <mergeCell ref="R22:U22"/>
    <mergeCell ref="B18:H18"/>
    <mergeCell ref="I18:L18"/>
    <mergeCell ref="A19:M19"/>
    <mergeCell ref="B20:N20"/>
    <mergeCell ref="B21:E21"/>
    <mergeCell ref="J21:M21"/>
    <mergeCell ref="N21:Q21"/>
    <mergeCell ref="B1:N1"/>
    <mergeCell ref="B2:N2"/>
    <mergeCell ref="B3:N3"/>
    <mergeCell ref="B5:B8"/>
    <mergeCell ref="C5:C8"/>
    <mergeCell ref="D5:D8"/>
    <mergeCell ref="E5:E8"/>
    <mergeCell ref="F5:F8"/>
    <mergeCell ref="G5:G8"/>
    <mergeCell ref="M5:M9"/>
  </mergeCells>
  <pageMargins left="0.19" right="0.15" top="0.21" bottom="0.28000000000000003" header="0.3" footer="0.3"/>
  <pageSetup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4" sqref="A4:XFD13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0.42578125" customWidth="1"/>
    <col min="8" max="8" width="23" customWidth="1"/>
    <col min="9" max="9" width="15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6" customWidth="1"/>
    <col min="15" max="15" width="17.5703125" customWidth="1"/>
    <col min="16" max="16" width="7.425781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76" t="s">
        <v>627</v>
      </c>
      <c r="P4" s="36" t="s">
        <v>495</v>
      </c>
    </row>
    <row r="5" spans="1:21" ht="46.5" customHeight="1">
      <c r="B5" s="1045">
        <v>1</v>
      </c>
      <c r="C5" s="1046" t="s">
        <v>19</v>
      </c>
      <c r="D5" s="1047" t="s">
        <v>214</v>
      </c>
      <c r="E5" s="1047">
        <v>148137</v>
      </c>
      <c r="F5" s="1048">
        <v>40485</v>
      </c>
      <c r="G5" s="1048">
        <v>40490</v>
      </c>
      <c r="H5" s="357" t="s">
        <v>626</v>
      </c>
      <c r="I5" s="378">
        <v>3374500150</v>
      </c>
      <c r="J5" s="360">
        <v>1</v>
      </c>
      <c r="K5" s="356"/>
      <c r="L5" s="355"/>
      <c r="M5" s="993" t="s">
        <v>582</v>
      </c>
      <c r="N5" s="373" t="s">
        <v>638</v>
      </c>
      <c r="O5" s="372" t="s">
        <v>639</v>
      </c>
      <c r="P5" s="374">
        <v>8</v>
      </c>
    </row>
    <row r="6" spans="1:21" ht="48" customHeight="1">
      <c r="B6" s="1045"/>
      <c r="C6" s="1046"/>
      <c r="D6" s="1047"/>
      <c r="E6" s="1047"/>
      <c r="F6" s="1048"/>
      <c r="G6" s="1048"/>
      <c r="H6" s="357" t="s">
        <v>172</v>
      </c>
      <c r="I6" s="375">
        <v>1026681</v>
      </c>
      <c r="J6" s="362">
        <v>1</v>
      </c>
      <c r="K6" s="356"/>
      <c r="L6" s="355"/>
      <c r="M6" s="935"/>
      <c r="N6" s="373" t="s">
        <v>640</v>
      </c>
      <c r="O6" s="377">
        <v>3454205200</v>
      </c>
      <c r="P6" s="374">
        <v>16</v>
      </c>
    </row>
    <row r="7" spans="1:21" ht="24.95" customHeight="1">
      <c r="B7" s="1045"/>
      <c r="C7" s="1046"/>
      <c r="D7" s="1047"/>
      <c r="E7" s="1047"/>
      <c r="F7" s="1048"/>
      <c r="G7" s="1048"/>
      <c r="H7" s="353" t="s">
        <v>641</v>
      </c>
      <c r="I7" s="354"/>
      <c r="J7" s="355">
        <v>1</v>
      </c>
      <c r="K7" s="356"/>
      <c r="L7" s="355"/>
      <c r="M7" s="357"/>
      <c r="N7" s="353"/>
      <c r="O7" s="336"/>
      <c r="P7" s="343"/>
    </row>
    <row r="8" spans="1:21" ht="24.95" hidden="1" customHeight="1">
      <c r="B8" s="1045"/>
      <c r="C8" s="1046"/>
      <c r="D8" s="1047"/>
      <c r="E8" s="1047"/>
      <c r="F8" s="1048"/>
      <c r="G8" s="1048"/>
      <c r="H8" s="353"/>
      <c r="I8" s="354"/>
      <c r="J8" s="355"/>
      <c r="K8" s="356"/>
      <c r="L8" s="355"/>
      <c r="M8" s="357"/>
      <c r="N8" s="357"/>
      <c r="O8" s="336"/>
      <c r="P8" s="343"/>
    </row>
    <row r="9" spans="1:21" ht="24.95" hidden="1" customHeight="1">
      <c r="B9" s="344"/>
      <c r="C9" s="345"/>
      <c r="D9" s="345"/>
      <c r="E9" s="345"/>
      <c r="F9" s="346"/>
      <c r="G9" s="346"/>
      <c r="H9" s="337"/>
      <c r="I9" s="341"/>
      <c r="J9" s="342"/>
      <c r="K9" s="340"/>
      <c r="L9" s="342"/>
      <c r="M9" s="338"/>
      <c r="N9" s="338"/>
      <c r="O9" s="336"/>
      <c r="P9" s="343"/>
    </row>
    <row r="10" spans="1:21" ht="24.95" hidden="1" customHeight="1">
      <c r="B10" s="344"/>
      <c r="C10" s="345"/>
      <c r="D10" s="345"/>
      <c r="E10" s="345"/>
      <c r="F10" s="346"/>
      <c r="G10" s="346"/>
      <c r="H10" s="337"/>
      <c r="I10" s="341"/>
      <c r="J10" s="342"/>
      <c r="K10" s="340"/>
      <c r="L10" s="342"/>
      <c r="M10" s="338"/>
      <c r="N10" s="338"/>
      <c r="O10" s="336"/>
      <c r="P10" s="343"/>
    </row>
    <row r="11" spans="1:21" ht="24.95" hidden="1" customHeight="1">
      <c r="B11" s="344"/>
      <c r="C11" s="345"/>
      <c r="D11" s="345"/>
      <c r="E11" s="345"/>
      <c r="F11" s="346"/>
      <c r="G11" s="346"/>
      <c r="H11" s="337"/>
      <c r="I11" s="341"/>
      <c r="J11" s="342"/>
      <c r="K11" s="340"/>
      <c r="L11" s="342"/>
      <c r="M11" s="338"/>
      <c r="N11" s="338"/>
      <c r="O11" s="336"/>
      <c r="P11" s="343"/>
    </row>
    <row r="12" spans="1:21" ht="24.95" hidden="1" customHeight="1">
      <c r="B12" s="344"/>
      <c r="C12" s="347"/>
      <c r="D12" s="347"/>
      <c r="E12" s="338"/>
      <c r="F12" s="348"/>
      <c r="G12" s="348"/>
      <c r="H12" s="340"/>
      <c r="I12" s="340"/>
      <c r="J12" s="342"/>
      <c r="K12" s="340"/>
      <c r="L12" s="340"/>
      <c r="M12" s="336"/>
      <c r="N12" s="338"/>
      <c r="O12" s="336"/>
      <c r="P12" s="343"/>
    </row>
    <row r="13" spans="1:21" ht="38.1" customHeight="1" thickBot="1">
      <c r="B13" s="1049" t="s">
        <v>48</v>
      </c>
      <c r="C13" s="1050"/>
      <c r="D13" s="1050"/>
      <c r="E13" s="1050"/>
      <c r="F13" s="1050"/>
      <c r="G13" s="1050"/>
      <c r="H13" s="1050"/>
      <c r="I13" s="1051">
        <f>772.91+151.43+100</f>
        <v>1024.3399999999999</v>
      </c>
      <c r="J13" s="1051"/>
      <c r="K13" s="1051"/>
      <c r="L13" s="1051"/>
      <c r="M13" s="349"/>
      <c r="N13" s="350"/>
      <c r="O13" s="358"/>
      <c r="P13" s="351"/>
    </row>
    <row r="14" spans="1:21" ht="312" customHeight="1" thickTop="1">
      <c r="A14" s="905" t="s">
        <v>625</v>
      </c>
      <c r="B14" s="906"/>
      <c r="C14" s="906"/>
      <c r="D14" s="906"/>
      <c r="E14" s="906"/>
      <c r="F14" s="906"/>
      <c r="G14" s="906"/>
      <c r="H14" s="906"/>
      <c r="I14" s="906"/>
      <c r="J14" s="906"/>
      <c r="K14" s="906"/>
      <c r="L14" s="906"/>
      <c r="M14" s="906"/>
    </row>
    <row r="15" spans="1:21" s="291" customFormat="1" ht="24.9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85"/>
      <c r="J16" s="991"/>
      <c r="K16" s="991"/>
      <c r="L16" s="991"/>
      <c r="M16" s="991"/>
      <c r="N16" s="991" t="s">
        <v>526</v>
      </c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85"/>
      <c r="J17" s="991"/>
      <c r="K17" s="991"/>
      <c r="L17" s="991"/>
      <c r="M17" s="991"/>
      <c r="N17" s="991" t="s">
        <v>519</v>
      </c>
      <c r="O17" s="991"/>
      <c r="P17" s="991"/>
      <c r="Q17" s="991"/>
      <c r="R17" s="991"/>
      <c r="S17" s="991"/>
      <c r="T17" s="991"/>
      <c r="U17" s="991"/>
    </row>
    <row r="18" spans="2:21" ht="18">
      <c r="B18" s="283" t="s">
        <v>517</v>
      </c>
      <c r="C18" s="284"/>
      <c r="D18" s="284"/>
      <c r="E18" s="284"/>
      <c r="F18" s="285" t="s">
        <v>520</v>
      </c>
      <c r="G18" s="286"/>
      <c r="H18" s="286"/>
      <c r="I18" s="286"/>
      <c r="J18" s="283"/>
      <c r="K18" s="284"/>
      <c r="L18" s="284"/>
      <c r="M18" s="284"/>
      <c r="N18" s="283" t="s">
        <v>517</v>
      </c>
      <c r="O18" s="284"/>
      <c r="P18" s="284"/>
      <c r="Q18" s="284"/>
      <c r="R18" s="283"/>
      <c r="S18" s="284"/>
      <c r="T18" s="284"/>
      <c r="U18" s="284"/>
    </row>
  </sheetData>
  <mergeCells count="22">
    <mergeCell ref="B15:N15"/>
    <mergeCell ref="B1:N1"/>
    <mergeCell ref="B2:N2"/>
    <mergeCell ref="B5:B8"/>
    <mergeCell ref="C5:C8"/>
    <mergeCell ref="D5:D8"/>
    <mergeCell ref="E5:E8"/>
    <mergeCell ref="F5:F8"/>
    <mergeCell ref="G5:G8"/>
    <mergeCell ref="B13:H13"/>
    <mergeCell ref="I13:L13"/>
    <mergeCell ref="B3:N3"/>
    <mergeCell ref="A14:M14"/>
    <mergeCell ref="M5:M6"/>
    <mergeCell ref="B16:E16"/>
    <mergeCell ref="J16:M16"/>
    <mergeCell ref="N16:Q16"/>
    <mergeCell ref="R16:U16"/>
    <mergeCell ref="B17:E17"/>
    <mergeCell ref="J17:M17"/>
    <mergeCell ref="N17:Q17"/>
    <mergeCell ref="R17:U17"/>
  </mergeCells>
  <pageMargins left="0.19" right="0.15" top="0.21" bottom="0.28000000000000003" header="0.3" footer="0.3"/>
  <pageSetup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5" sqref="A5:XFD12"/>
    </sheetView>
  </sheetViews>
  <sheetFormatPr defaultRowHeight="15"/>
  <cols>
    <col min="1" max="1" width="6" hidden="1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1.28515625" customWidth="1"/>
    <col min="8" max="8" width="23.85546875" customWidth="1"/>
    <col min="9" max="9" width="16.57031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9.140625" customWidth="1"/>
    <col min="15" max="15" width="17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461</v>
      </c>
      <c r="P4" s="36" t="s">
        <v>495</v>
      </c>
    </row>
    <row r="5" spans="1:21" ht="24.95" customHeight="1">
      <c r="B5" s="872">
        <v>1</v>
      </c>
      <c r="C5" s="924" t="s">
        <v>19</v>
      </c>
      <c r="D5" s="924" t="s">
        <v>238</v>
      </c>
      <c r="E5" s="924">
        <v>171045</v>
      </c>
      <c r="F5" s="925">
        <v>40484</v>
      </c>
      <c r="G5" s="874">
        <v>40485</v>
      </c>
      <c r="H5" s="17" t="s">
        <v>592</v>
      </c>
      <c r="I5" s="15">
        <v>3387100490</v>
      </c>
      <c r="J5" s="324">
        <v>1</v>
      </c>
      <c r="K5" s="17"/>
      <c r="L5" s="324"/>
      <c r="M5" s="994" t="s">
        <v>593</v>
      </c>
      <c r="N5" s="14" t="s">
        <v>587</v>
      </c>
      <c r="O5" s="20">
        <v>3454205200</v>
      </c>
      <c r="P5" s="309">
        <v>16</v>
      </c>
    </row>
    <row r="6" spans="1:21" ht="36.75" customHeight="1">
      <c r="B6" s="872"/>
      <c r="C6" s="924"/>
      <c r="D6" s="924"/>
      <c r="E6" s="924"/>
      <c r="F6" s="925"/>
      <c r="G6" s="874"/>
      <c r="H6" s="14" t="s">
        <v>606</v>
      </c>
      <c r="I6" s="15" t="s">
        <v>607</v>
      </c>
      <c r="J6" s="324">
        <v>1</v>
      </c>
      <c r="K6" s="17"/>
      <c r="L6" s="324"/>
      <c r="M6" s="994"/>
      <c r="N6" s="14"/>
      <c r="O6" s="20"/>
      <c r="P6" s="55"/>
    </row>
    <row r="7" spans="1:21" ht="24.95" customHeight="1">
      <c r="B7" s="872"/>
      <c r="C7" s="924"/>
      <c r="D7" s="924"/>
      <c r="E7" s="924"/>
      <c r="F7" s="925"/>
      <c r="G7" s="874"/>
      <c r="H7" s="14" t="s">
        <v>606</v>
      </c>
      <c r="I7" s="15" t="s">
        <v>608</v>
      </c>
      <c r="J7" s="324">
        <v>1</v>
      </c>
      <c r="K7" s="17"/>
      <c r="L7" s="324"/>
      <c r="M7" s="18"/>
      <c r="N7" s="14"/>
      <c r="O7" s="20"/>
      <c r="P7" s="55"/>
    </row>
    <row r="8" spans="1:21" ht="24.95" customHeight="1">
      <c r="B8" s="872"/>
      <c r="C8" s="924"/>
      <c r="D8" s="924"/>
      <c r="E8" s="924"/>
      <c r="F8" s="925"/>
      <c r="G8" s="874"/>
      <c r="H8" s="14" t="s">
        <v>609</v>
      </c>
      <c r="I8" s="15" t="s">
        <v>610</v>
      </c>
      <c r="J8" s="324">
        <v>1</v>
      </c>
      <c r="K8" s="17"/>
      <c r="L8" s="324"/>
      <c r="M8" s="18"/>
      <c r="N8" s="18"/>
      <c r="O8" s="20"/>
      <c r="P8" s="55"/>
    </row>
    <row r="9" spans="1:21" ht="24.95" hidden="1" customHeight="1">
      <c r="B9" s="872"/>
      <c r="C9" s="924"/>
      <c r="D9" s="924"/>
      <c r="E9" s="924"/>
      <c r="F9" s="925"/>
      <c r="G9" s="874"/>
      <c r="H9" s="14"/>
      <c r="I9" s="15"/>
      <c r="J9" s="324"/>
      <c r="K9" s="17"/>
      <c r="L9" s="324"/>
      <c r="M9" s="18"/>
      <c r="N9" s="18"/>
      <c r="O9" s="20"/>
      <c r="P9" s="55"/>
    </row>
    <row r="10" spans="1:21" ht="24.95" hidden="1" customHeight="1">
      <c r="B10" s="872"/>
      <c r="C10" s="924"/>
      <c r="D10" s="924"/>
      <c r="E10" s="924"/>
      <c r="F10" s="925"/>
      <c r="G10" s="874"/>
      <c r="H10" s="14"/>
      <c r="I10" s="15"/>
      <c r="J10" s="324"/>
      <c r="K10" s="17"/>
      <c r="L10" s="324"/>
      <c r="M10" s="18"/>
      <c r="N10" s="18"/>
      <c r="O10" s="20"/>
      <c r="P10" s="55"/>
    </row>
    <row r="11" spans="1:21" ht="24.95" hidden="1" customHeight="1">
      <c r="B11" s="323"/>
      <c r="C11" s="12"/>
      <c r="D11" s="12"/>
      <c r="E11" s="18"/>
      <c r="F11" s="13"/>
      <c r="G11" s="13"/>
      <c r="H11" s="17"/>
      <c r="I11" s="17"/>
      <c r="J11" s="324"/>
      <c r="K11" s="17"/>
      <c r="L11" s="17"/>
      <c r="M11" s="20"/>
      <c r="N11" s="18"/>
      <c r="O11" s="20"/>
      <c r="P11" s="55"/>
    </row>
    <row r="12" spans="1:21" ht="39" customHeight="1" thickBot="1">
      <c r="B12" s="868" t="s">
        <v>48</v>
      </c>
      <c r="C12" s="869"/>
      <c r="D12" s="869"/>
      <c r="E12" s="869"/>
      <c r="F12" s="869"/>
      <c r="G12" s="869"/>
      <c r="H12" s="869"/>
      <c r="I12" s="870">
        <v>977.79</v>
      </c>
      <c r="J12" s="870"/>
      <c r="K12" s="870"/>
      <c r="L12" s="870"/>
      <c r="M12" s="89"/>
      <c r="N12" s="56"/>
      <c r="O12" s="268"/>
      <c r="P12" s="59"/>
    </row>
    <row r="13" spans="1:21" ht="409.6" customHeight="1" thickTop="1">
      <c r="A13" s="1052" t="s">
        <v>588</v>
      </c>
      <c r="B13" s="937"/>
      <c r="C13" s="937"/>
      <c r="D13" s="937"/>
      <c r="E13" s="937"/>
      <c r="F13" s="937"/>
      <c r="G13" s="937"/>
      <c r="H13" s="937"/>
      <c r="I13" s="937"/>
      <c r="J13" s="937"/>
      <c r="K13" s="937"/>
      <c r="L13" s="937"/>
      <c r="M13" s="937"/>
    </row>
    <row r="14" spans="1:21" ht="39.75" customHeight="1">
      <c r="B14" s="321" t="s">
        <v>589</v>
      </c>
      <c r="C14" s="320"/>
    </row>
    <row r="15" spans="1:21" ht="20.100000000000001" customHeight="1">
      <c r="B15" s="991" t="s">
        <v>585</v>
      </c>
      <c r="C15" s="991"/>
      <c r="D15" s="991"/>
      <c r="E15" s="991"/>
      <c r="F15" s="285" t="s">
        <v>586</v>
      </c>
      <c r="G15" s="285"/>
      <c r="H15" s="285"/>
      <c r="I15" s="285"/>
      <c r="J15" s="991"/>
      <c r="K15" s="991"/>
      <c r="L15" s="991"/>
      <c r="M15" s="991"/>
      <c r="N15" s="991" t="s">
        <v>526</v>
      </c>
      <c r="O15" s="991"/>
      <c r="P15" s="991"/>
      <c r="Q15" s="991"/>
      <c r="R15" s="991"/>
      <c r="S15" s="991"/>
      <c r="T15" s="991"/>
      <c r="U15" s="991"/>
    </row>
    <row r="16" spans="1:21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991" t="s">
        <v>519</v>
      </c>
      <c r="O16" s="991"/>
      <c r="P16" s="991"/>
      <c r="Q16" s="991"/>
      <c r="R16" s="991"/>
      <c r="S16" s="991"/>
      <c r="T16" s="991"/>
      <c r="U16" s="991"/>
    </row>
    <row r="17" spans="2:21" ht="18">
      <c r="B17" s="308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308"/>
      <c r="K17" s="284"/>
      <c r="L17" s="284"/>
      <c r="M17" s="284"/>
      <c r="N17" s="308" t="s">
        <v>517</v>
      </c>
      <c r="O17" s="284"/>
      <c r="P17" s="284"/>
      <c r="Q17" s="284"/>
      <c r="R17" s="308"/>
      <c r="S17" s="284"/>
      <c r="T17" s="284"/>
      <c r="U17" s="284"/>
    </row>
    <row r="18" spans="2:21" ht="21" customHeight="1"/>
  </sheetData>
  <mergeCells count="21">
    <mergeCell ref="B1:N1"/>
    <mergeCell ref="B2:N2"/>
    <mergeCell ref="B3:N3"/>
    <mergeCell ref="B5:B10"/>
    <mergeCell ref="C5:C10"/>
    <mergeCell ref="D5:D10"/>
    <mergeCell ref="E5:E10"/>
    <mergeCell ref="F5:F10"/>
    <mergeCell ref="G5:G10"/>
    <mergeCell ref="M5:M6"/>
    <mergeCell ref="B12:H12"/>
    <mergeCell ref="I12:L12"/>
    <mergeCell ref="A13:M13"/>
    <mergeCell ref="B15:E15"/>
    <mergeCell ref="J15:M15"/>
    <mergeCell ref="R15:U15"/>
    <mergeCell ref="B16:E16"/>
    <mergeCell ref="J16:M16"/>
    <mergeCell ref="N16:Q16"/>
    <mergeCell ref="R16:U16"/>
    <mergeCell ref="N15:Q15"/>
  </mergeCells>
  <pageMargins left="0.28000000000000003" right="0.15" top="0.21" bottom="0.28000000000000003" header="0.3" footer="0.3"/>
  <pageSetup scale="67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L24" sqref="L2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3.28515625" customWidth="1"/>
    <col min="7" max="7" width="15.140625" customWidth="1"/>
    <col min="8" max="8" width="32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2" customWidth="1"/>
  </cols>
  <sheetData>
    <row r="1" spans="1:24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4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</row>
    <row r="3" spans="1:24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R3" s="1053"/>
      <c r="S3" s="906"/>
      <c r="T3" s="906"/>
      <c r="U3" s="906"/>
      <c r="V3" s="906"/>
      <c r="W3" s="906"/>
      <c r="X3" s="906"/>
    </row>
    <row r="4" spans="1:24" s="6" customFormat="1" ht="56.2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461</v>
      </c>
      <c r="P4" s="36" t="s">
        <v>495</v>
      </c>
    </row>
    <row r="5" spans="1:24" ht="24.95" customHeight="1">
      <c r="B5" s="863">
        <v>1</v>
      </c>
      <c r="C5" s="1055" t="s">
        <v>19</v>
      </c>
      <c r="D5" s="1058" t="s">
        <v>215</v>
      </c>
      <c r="E5" s="1058">
        <v>139533</v>
      </c>
      <c r="F5" s="1059">
        <v>40484</v>
      </c>
      <c r="G5" s="1059">
        <v>40456</v>
      </c>
      <c r="H5" s="340" t="s">
        <v>613</v>
      </c>
      <c r="I5" s="341">
        <v>3423004920</v>
      </c>
      <c r="J5" s="342">
        <v>3</v>
      </c>
      <c r="K5" s="340" t="s">
        <v>568</v>
      </c>
      <c r="L5" s="342">
        <v>3</v>
      </c>
      <c r="M5" s="897" t="s">
        <v>623</v>
      </c>
      <c r="N5" s="466"/>
      <c r="O5" s="336"/>
      <c r="P5" s="343"/>
    </row>
    <row r="6" spans="1:24" ht="29.25" customHeight="1">
      <c r="B6" s="852"/>
      <c r="C6" s="1056"/>
      <c r="D6" s="983"/>
      <c r="E6" s="983"/>
      <c r="F6" s="1060"/>
      <c r="G6" s="1060"/>
      <c r="H6" s="337" t="s">
        <v>614</v>
      </c>
      <c r="I6" s="341"/>
      <c r="J6" s="342">
        <v>1</v>
      </c>
      <c r="K6" s="340" t="s">
        <v>620</v>
      </c>
      <c r="L6" s="342">
        <v>4</v>
      </c>
      <c r="M6" s="898"/>
      <c r="N6" s="466"/>
      <c r="O6" s="336"/>
      <c r="P6" s="343"/>
    </row>
    <row r="7" spans="1:24" ht="22.5" customHeight="1">
      <c r="B7" s="852"/>
      <c r="C7" s="1056"/>
      <c r="D7" s="983"/>
      <c r="E7" s="983"/>
      <c r="F7" s="1060"/>
      <c r="G7" s="1060"/>
      <c r="H7" s="337" t="s">
        <v>615</v>
      </c>
      <c r="I7" s="341">
        <v>1027698</v>
      </c>
      <c r="J7" s="342">
        <v>3</v>
      </c>
      <c r="K7" s="340" t="s">
        <v>620</v>
      </c>
      <c r="L7" s="342">
        <v>4</v>
      </c>
      <c r="M7" s="898"/>
      <c r="N7" s="466"/>
      <c r="O7" s="336"/>
      <c r="P7" s="343"/>
    </row>
    <row r="8" spans="1:24" ht="18.75" customHeight="1">
      <c r="B8" s="852"/>
      <c r="C8" s="1056"/>
      <c r="D8" s="983"/>
      <c r="E8" s="983"/>
      <c r="F8" s="1060"/>
      <c r="G8" s="1060"/>
      <c r="H8" s="337" t="s">
        <v>616</v>
      </c>
      <c r="I8" s="341">
        <v>1006048</v>
      </c>
      <c r="J8" s="342">
        <v>3</v>
      </c>
      <c r="K8" s="340"/>
      <c r="L8" s="342"/>
      <c r="M8" s="898"/>
      <c r="N8" s="466"/>
      <c r="O8" s="336"/>
      <c r="P8" s="343"/>
    </row>
    <row r="9" spans="1:24" ht="21" customHeight="1">
      <c r="B9" s="852"/>
      <c r="C9" s="1056"/>
      <c r="D9" s="983"/>
      <c r="E9" s="983"/>
      <c r="F9" s="1060"/>
      <c r="G9" s="1060"/>
      <c r="H9" s="337" t="s">
        <v>617</v>
      </c>
      <c r="I9" s="341">
        <v>3389800650</v>
      </c>
      <c r="J9" s="342">
        <v>1</v>
      </c>
      <c r="K9" s="340"/>
      <c r="L9" s="342"/>
      <c r="M9" s="898"/>
      <c r="N9" s="466"/>
      <c r="O9" s="336"/>
      <c r="P9" s="343"/>
    </row>
    <row r="10" spans="1:24" ht="21" customHeight="1">
      <c r="B10" s="852"/>
      <c r="C10" s="1056"/>
      <c r="D10" s="983"/>
      <c r="E10" s="983"/>
      <c r="F10" s="1060"/>
      <c r="G10" s="1060"/>
      <c r="H10" s="337" t="s">
        <v>618</v>
      </c>
      <c r="I10" s="341">
        <v>3211300360</v>
      </c>
      <c r="J10" s="342">
        <v>1</v>
      </c>
      <c r="K10" s="340"/>
      <c r="L10" s="342"/>
      <c r="M10" s="898"/>
      <c r="N10" s="466"/>
      <c r="O10" s="336"/>
      <c r="P10" s="343"/>
    </row>
    <row r="11" spans="1:24" ht="24.95" customHeight="1">
      <c r="B11" s="852"/>
      <c r="C11" s="1056"/>
      <c r="D11" s="983"/>
      <c r="E11" s="983"/>
      <c r="F11" s="1060"/>
      <c r="G11" s="1060"/>
      <c r="H11" s="337" t="s">
        <v>619</v>
      </c>
      <c r="I11" s="341"/>
      <c r="J11" s="342">
        <v>1</v>
      </c>
      <c r="K11" s="340"/>
      <c r="L11" s="342"/>
      <c r="M11" s="898"/>
      <c r="N11" s="466"/>
      <c r="O11" s="336"/>
      <c r="P11" s="343"/>
    </row>
    <row r="12" spans="1:24" ht="24.95" customHeight="1">
      <c r="B12" s="852"/>
      <c r="C12" s="1056"/>
      <c r="D12" s="983"/>
      <c r="E12" s="983"/>
      <c r="F12" s="1060"/>
      <c r="G12" s="1060"/>
      <c r="H12" s="337" t="s">
        <v>645</v>
      </c>
      <c r="I12" s="341" t="s">
        <v>646</v>
      </c>
      <c r="J12" s="342">
        <v>1</v>
      </c>
      <c r="K12" s="340"/>
      <c r="L12" s="342"/>
      <c r="M12" s="898"/>
      <c r="N12" s="466"/>
      <c r="O12" s="336"/>
      <c r="P12" s="343"/>
    </row>
    <row r="13" spans="1:24" ht="24.95" customHeight="1">
      <c r="B13" s="858"/>
      <c r="C13" s="1057"/>
      <c r="D13" s="984"/>
      <c r="E13" s="984"/>
      <c r="F13" s="1061"/>
      <c r="G13" s="1061"/>
      <c r="H13" s="341" t="s">
        <v>647</v>
      </c>
      <c r="I13" s="368">
        <v>3433400131</v>
      </c>
      <c r="J13" s="342">
        <v>1</v>
      </c>
      <c r="K13" s="340"/>
      <c r="L13" s="342"/>
      <c r="M13" s="899"/>
      <c r="N13" s="466"/>
      <c r="O13" s="336"/>
      <c r="P13" s="343"/>
    </row>
    <row r="14" spans="1:24" ht="24.95" hidden="1" customHeight="1">
      <c r="B14" s="361"/>
      <c r="C14" s="347"/>
      <c r="D14" s="347"/>
      <c r="E14" s="338"/>
      <c r="F14" s="348"/>
      <c r="G14" s="348"/>
      <c r="H14" s="337"/>
      <c r="I14" s="340"/>
      <c r="J14" s="342"/>
      <c r="K14" s="340"/>
      <c r="L14" s="340"/>
      <c r="M14" s="336"/>
      <c r="N14" s="338"/>
      <c r="O14" s="336"/>
      <c r="P14" s="343"/>
    </row>
    <row r="15" spans="1:24" ht="38.1" customHeight="1" thickBot="1">
      <c r="B15" s="1049" t="s">
        <v>48</v>
      </c>
      <c r="C15" s="1050"/>
      <c r="D15" s="1050"/>
      <c r="E15" s="1050"/>
      <c r="F15" s="1050"/>
      <c r="G15" s="1050"/>
      <c r="H15" s="1050"/>
      <c r="I15" s="1054">
        <f>L5*122.28+L6*109.25+L7*109.25+1043.41+703.49*3+13.91*3+7.82*3+1043.41+80.22+1532.94+160</f>
        <v>7276.48</v>
      </c>
      <c r="J15" s="1054"/>
      <c r="K15" s="1054"/>
      <c r="L15" s="1054"/>
      <c r="M15" s="349"/>
      <c r="N15" s="350"/>
      <c r="O15" s="349"/>
      <c r="P15" s="351"/>
    </row>
    <row r="16" spans="1:24" ht="409.6" customHeight="1" thickTop="1">
      <c r="A16" s="1053" t="s">
        <v>621</v>
      </c>
      <c r="B16" s="906"/>
      <c r="C16" s="906"/>
      <c r="D16" s="906"/>
      <c r="E16" s="906"/>
      <c r="F16" s="906"/>
      <c r="G16" s="906"/>
      <c r="H16" s="906"/>
      <c r="I16" s="906"/>
      <c r="J16" s="906"/>
      <c r="K16" s="906"/>
      <c r="L16" s="906"/>
      <c r="M16" s="906"/>
    </row>
    <row r="17" spans="2:17" ht="39" customHeight="1">
      <c r="B17" s="339" t="s">
        <v>622</v>
      </c>
      <c r="C17" s="339"/>
      <c r="D17" s="339"/>
      <c r="E17" s="339"/>
      <c r="F17" s="339"/>
      <c r="G17" s="339"/>
      <c r="H17" s="339"/>
      <c r="I17" s="335"/>
      <c r="J17" s="335"/>
      <c r="K17" s="335"/>
      <c r="L17" s="335"/>
      <c r="M17" s="335"/>
      <c r="N17" s="335"/>
      <c r="O17" s="335"/>
      <c r="P17" s="335"/>
      <c r="Q17" s="335"/>
    </row>
    <row r="18" spans="2:17" ht="20.100000000000001" customHeight="1">
      <c r="B18" s="991" t="s">
        <v>518</v>
      </c>
      <c r="C18" s="991"/>
      <c r="D18" s="991"/>
      <c r="E18" s="991"/>
      <c r="F18" s="285" t="s">
        <v>525</v>
      </c>
      <c r="G18" s="285"/>
      <c r="H18" s="285"/>
      <c r="I18" s="285"/>
      <c r="J18" s="991"/>
      <c r="K18" s="991"/>
      <c r="L18" s="991"/>
      <c r="M18" s="991"/>
      <c r="N18" s="334" t="s">
        <v>526</v>
      </c>
    </row>
    <row r="19" spans="2:17" ht="20.100000000000001" customHeight="1">
      <c r="B19" s="991" t="s">
        <v>519</v>
      </c>
      <c r="C19" s="991"/>
      <c r="D19" s="991"/>
      <c r="E19" s="991"/>
      <c r="F19" s="285" t="s">
        <v>519</v>
      </c>
      <c r="G19" s="285"/>
      <c r="H19" s="285"/>
      <c r="I19" s="285"/>
      <c r="J19" s="991"/>
      <c r="K19" s="991"/>
      <c r="L19" s="991"/>
      <c r="M19" s="991"/>
      <c r="N19" s="334" t="s">
        <v>519</v>
      </c>
    </row>
    <row r="20" spans="2:17" ht="18">
      <c r="B20" s="308" t="s">
        <v>517</v>
      </c>
      <c r="C20" s="284"/>
      <c r="D20" s="284"/>
      <c r="E20" s="284"/>
      <c r="F20" s="285" t="s">
        <v>520</v>
      </c>
      <c r="G20" s="286"/>
      <c r="H20" s="286"/>
      <c r="I20" s="286"/>
      <c r="J20" s="308"/>
      <c r="K20" s="284"/>
      <c r="L20" s="284"/>
      <c r="M20" s="284"/>
      <c r="N20" s="308" t="s">
        <v>517</v>
      </c>
    </row>
  </sheetData>
  <mergeCells count="18">
    <mergeCell ref="R3:X3"/>
    <mergeCell ref="B15:H15"/>
    <mergeCell ref="I15:L15"/>
    <mergeCell ref="B3:N3"/>
    <mergeCell ref="B1:N1"/>
    <mergeCell ref="B2:N2"/>
    <mergeCell ref="C5:C13"/>
    <mergeCell ref="B5:B13"/>
    <mergeCell ref="D5:D13"/>
    <mergeCell ref="E5:E13"/>
    <mergeCell ref="F5:F13"/>
    <mergeCell ref="G5:G13"/>
    <mergeCell ref="M5:M13"/>
    <mergeCell ref="J18:M18"/>
    <mergeCell ref="B19:E19"/>
    <mergeCell ref="J19:M19"/>
    <mergeCell ref="B18:E18"/>
    <mergeCell ref="A16:M16"/>
  </mergeCells>
  <pageMargins left="0.19" right="0.15" top="0.15" bottom="0.14000000000000001" header="0.15" footer="0.14000000000000001"/>
  <pageSetup scale="67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2"/>
  <sheetViews>
    <sheetView view="pageBreakPreview" zoomScale="60" workbookViewId="0">
      <pane xSplit="3" ySplit="5" topLeftCell="D6" activePane="bottomRight" state="frozen"/>
      <selection activeCell="B18" sqref="B18"/>
      <selection pane="topRight" activeCell="B18" sqref="B18"/>
      <selection pane="bottomLeft" activeCell="B18" sqref="B18"/>
      <selection pane="bottomRight" activeCell="A22" sqref="A18:XFD22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8.42578125" customWidth="1"/>
    <col min="9" max="9" width="15" customWidth="1"/>
    <col min="10" max="10" width="6.28515625" customWidth="1"/>
    <col min="11" max="11" width="11.7109375" customWidth="1"/>
    <col min="12" max="12" width="6.42578125" customWidth="1"/>
    <col min="13" max="13" width="15" customWidth="1"/>
    <col min="14" max="14" width="33.42578125" customWidth="1"/>
    <col min="15" max="15" width="15.85546875" customWidth="1"/>
    <col min="16" max="16" width="7.42578125" customWidth="1"/>
  </cols>
  <sheetData>
    <row r="1" spans="2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21" ht="27" customHeigh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21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79"/>
    </row>
    <row r="5" spans="2:21" s="6" customFormat="1" ht="39.950000000000003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4" t="s">
        <v>9</v>
      </c>
      <c r="P5" s="36" t="s">
        <v>10</v>
      </c>
    </row>
    <row r="6" spans="2:21" ht="48.75" customHeight="1">
      <c r="B6" s="1045">
        <v>1</v>
      </c>
      <c r="C6" s="1046" t="s">
        <v>19</v>
      </c>
      <c r="D6" s="1047" t="s">
        <v>54</v>
      </c>
      <c r="E6" s="1047">
        <v>157059</v>
      </c>
      <c r="F6" s="1048">
        <v>40484</v>
      </c>
      <c r="G6" s="1048">
        <v>40488</v>
      </c>
      <c r="H6" s="337" t="s">
        <v>652</v>
      </c>
      <c r="I6" s="341">
        <v>3374500160</v>
      </c>
      <c r="J6" s="342">
        <v>1</v>
      </c>
      <c r="K6" s="340" t="s">
        <v>452</v>
      </c>
      <c r="L6" s="342">
        <v>20</v>
      </c>
      <c r="M6" s="1064" t="s">
        <v>636</v>
      </c>
      <c r="N6" s="367" t="s">
        <v>130</v>
      </c>
      <c r="O6" s="368" t="s">
        <v>211</v>
      </c>
      <c r="P6" s="369">
        <v>8</v>
      </c>
    </row>
    <row r="7" spans="2:21" ht="24.95" customHeight="1">
      <c r="B7" s="1045"/>
      <c r="C7" s="1046"/>
      <c r="D7" s="1047"/>
      <c r="E7" s="1047"/>
      <c r="F7" s="1048"/>
      <c r="G7" s="1048"/>
      <c r="H7" s="379" t="s">
        <v>647</v>
      </c>
      <c r="I7" s="371" t="s">
        <v>651</v>
      </c>
      <c r="J7" s="342">
        <v>1</v>
      </c>
      <c r="K7" s="340" t="s">
        <v>568</v>
      </c>
      <c r="L7" s="342">
        <v>3</v>
      </c>
      <c r="M7" s="1065"/>
      <c r="N7" s="367" t="s">
        <v>129</v>
      </c>
      <c r="O7" s="370">
        <v>3454205200</v>
      </c>
      <c r="P7" s="369">
        <v>16</v>
      </c>
    </row>
    <row r="8" spans="2:21" ht="24.95" customHeight="1">
      <c r="B8" s="1045"/>
      <c r="C8" s="1046"/>
      <c r="D8" s="1047"/>
      <c r="E8" s="1047"/>
      <c r="F8" s="1048"/>
      <c r="G8" s="1048"/>
      <c r="H8" s="337" t="s">
        <v>649</v>
      </c>
      <c r="I8" s="371" t="s">
        <v>646</v>
      </c>
      <c r="J8" s="342">
        <v>1</v>
      </c>
      <c r="K8" s="340"/>
      <c r="L8" s="342"/>
      <c r="M8" s="1065"/>
      <c r="N8" s="338"/>
      <c r="O8" s="336"/>
      <c r="P8" s="343"/>
    </row>
    <row r="9" spans="2:21" ht="24.95" customHeight="1">
      <c r="B9" s="1045"/>
      <c r="C9" s="1046"/>
      <c r="D9" s="1047"/>
      <c r="E9" s="1047"/>
      <c r="F9" s="1048"/>
      <c r="G9" s="1048"/>
      <c r="H9" s="329" t="s">
        <v>637</v>
      </c>
      <c r="I9" s="341">
        <v>3374500150</v>
      </c>
      <c r="J9" s="342">
        <v>1</v>
      </c>
      <c r="K9" s="340"/>
      <c r="L9" s="342"/>
      <c r="M9" s="1065"/>
      <c r="N9" s="338"/>
      <c r="O9" s="336"/>
      <c r="P9" s="343"/>
      <c r="T9" s="364"/>
      <c r="U9" s="365"/>
    </row>
    <row r="10" spans="2:21" ht="24.95" customHeight="1">
      <c r="B10" s="1045"/>
      <c r="C10" s="1046"/>
      <c r="D10" s="1047"/>
      <c r="E10" s="1047"/>
      <c r="F10" s="1048"/>
      <c r="G10" s="1048"/>
      <c r="H10" s="340" t="s">
        <v>653</v>
      </c>
      <c r="I10" s="341"/>
      <c r="J10" s="342">
        <v>1</v>
      </c>
      <c r="K10" s="340"/>
      <c r="L10" s="340"/>
      <c r="M10" s="1065"/>
      <c r="N10" s="338"/>
      <c r="O10" s="336"/>
      <c r="P10" s="343"/>
      <c r="T10" s="366" t="s">
        <v>129</v>
      </c>
      <c r="U10" s="365"/>
    </row>
    <row r="11" spans="2:21" ht="30" customHeight="1">
      <c r="B11" s="1045"/>
      <c r="C11" s="1046"/>
      <c r="D11" s="1047"/>
      <c r="E11" s="1047"/>
      <c r="F11" s="1048"/>
      <c r="G11" s="1048"/>
      <c r="H11" s="340" t="s">
        <v>654</v>
      </c>
      <c r="I11" s="341"/>
      <c r="J11" s="342">
        <v>1</v>
      </c>
      <c r="K11" s="340"/>
      <c r="L11" s="340"/>
      <c r="M11" s="1066"/>
      <c r="N11" s="338"/>
      <c r="O11" s="336"/>
      <c r="P11" s="343"/>
      <c r="T11" s="39"/>
      <c r="U11" s="365"/>
    </row>
    <row r="12" spans="2:21" ht="31.5" hidden="1" customHeight="1">
      <c r="B12" s="1045"/>
      <c r="C12" s="1046"/>
      <c r="D12" s="1047"/>
      <c r="E12" s="1047"/>
      <c r="F12" s="1048"/>
      <c r="G12" s="1048"/>
      <c r="H12" s="337"/>
      <c r="I12" s="341"/>
      <c r="J12" s="342"/>
      <c r="K12" s="336"/>
      <c r="L12" s="340"/>
      <c r="M12" s="340"/>
      <c r="N12" s="338"/>
      <c r="O12" s="336"/>
      <c r="P12" s="343"/>
      <c r="T12" s="39"/>
      <c r="U12" s="365"/>
    </row>
    <row r="13" spans="2:21" ht="24.95" hidden="1" customHeight="1">
      <c r="B13" s="1045"/>
      <c r="C13" s="1046"/>
      <c r="D13" s="1047"/>
      <c r="E13" s="1047"/>
      <c r="F13" s="1048"/>
      <c r="G13" s="1048"/>
      <c r="H13" s="337"/>
      <c r="I13" s="341"/>
      <c r="J13" s="342"/>
      <c r="K13" s="340"/>
      <c r="L13" s="340"/>
      <c r="M13" s="340"/>
      <c r="N13" s="338"/>
      <c r="O13" s="336"/>
      <c r="P13" s="343"/>
      <c r="T13" s="39"/>
      <c r="U13" s="365"/>
    </row>
    <row r="14" spans="2:21" ht="24.95" hidden="1" customHeight="1">
      <c r="B14" s="1045"/>
      <c r="C14" s="1046"/>
      <c r="D14" s="1047"/>
      <c r="E14" s="1047"/>
      <c r="F14" s="1048"/>
      <c r="G14" s="1048"/>
      <c r="H14" s="340"/>
      <c r="I14" s="341"/>
      <c r="J14" s="342"/>
      <c r="K14" s="340"/>
      <c r="L14" s="342"/>
      <c r="M14" s="342"/>
      <c r="N14" s="338"/>
      <c r="O14" s="336"/>
      <c r="P14" s="343"/>
      <c r="T14" s="39"/>
      <c r="U14" s="365"/>
    </row>
    <row r="15" spans="2:21" ht="24.95" hidden="1" customHeight="1">
      <c r="B15" s="1045"/>
      <c r="C15" s="1046"/>
      <c r="D15" s="1047"/>
      <c r="E15" s="1047"/>
      <c r="F15" s="1048"/>
      <c r="G15" s="1048"/>
      <c r="H15" s="340"/>
      <c r="I15" s="341"/>
      <c r="J15" s="342"/>
      <c r="K15" s="340"/>
      <c r="L15" s="342"/>
      <c r="M15" s="342"/>
      <c r="N15" s="338"/>
      <c r="O15" s="336"/>
      <c r="P15" s="343"/>
      <c r="T15" s="39"/>
      <c r="U15" s="365"/>
    </row>
    <row r="16" spans="2:21" ht="24.95" hidden="1" customHeight="1">
      <c r="B16" s="361"/>
      <c r="C16" s="347"/>
      <c r="D16" s="347"/>
      <c r="E16" s="338"/>
      <c r="F16" s="348"/>
      <c r="G16" s="348"/>
      <c r="H16" s="340"/>
      <c r="I16" s="340"/>
      <c r="J16" s="342"/>
      <c r="K16" s="340"/>
      <c r="L16" s="340"/>
      <c r="M16" s="340"/>
      <c r="N16" s="338"/>
      <c r="O16" s="336"/>
      <c r="P16" s="343"/>
      <c r="T16" s="39"/>
      <c r="U16" s="365"/>
    </row>
    <row r="17" spans="1:21" ht="63.75" customHeight="1" thickBot="1">
      <c r="B17" s="1062" t="s">
        <v>48</v>
      </c>
      <c r="C17" s="1063"/>
      <c r="D17" s="1063"/>
      <c r="E17" s="1063"/>
      <c r="F17" s="1063"/>
      <c r="G17" s="1063"/>
      <c r="H17" s="1063"/>
      <c r="I17" s="1054">
        <f>L6*84.01+L7*122.28+1421.91+160.1+1532.94+772.4</f>
        <v>5934.3899999999994</v>
      </c>
      <c r="J17" s="1054"/>
      <c r="K17" s="1054"/>
      <c r="L17" s="1054"/>
      <c r="M17" s="363"/>
      <c r="N17" s="350"/>
      <c r="O17" s="358"/>
      <c r="P17" s="351"/>
      <c r="T17" s="39"/>
      <c r="U17" s="365"/>
    </row>
    <row r="18" spans="1:21" ht="409.5" customHeight="1" thickTop="1">
      <c r="A18" s="1053" t="s">
        <v>624</v>
      </c>
      <c r="B18" s="906"/>
      <c r="C18" s="906"/>
      <c r="D18" s="906"/>
      <c r="E18" s="906"/>
      <c r="F18" s="906"/>
      <c r="G18" s="906"/>
      <c r="H18" s="906"/>
      <c r="I18" s="906"/>
      <c r="J18" s="906"/>
      <c r="K18" s="906"/>
      <c r="L18" s="906"/>
      <c r="M18" s="906"/>
      <c r="T18" s="39"/>
      <c r="U18" s="39"/>
    </row>
    <row r="19" spans="1:21" ht="13.5" customHeight="1">
      <c r="B19" s="890" t="s">
        <v>466</v>
      </c>
      <c r="C19" s="890"/>
      <c r="D19" s="890"/>
      <c r="E19" s="890"/>
      <c r="F19" s="890"/>
      <c r="G19" s="890"/>
      <c r="H19" s="890"/>
      <c r="I19" s="890"/>
      <c r="J19" s="890"/>
      <c r="K19" s="890"/>
      <c r="L19" s="890"/>
      <c r="M19" s="890"/>
      <c r="N19" s="890"/>
    </row>
    <row r="20" spans="1:21" ht="20.100000000000001" customHeight="1">
      <c r="B20" s="991" t="s">
        <v>518</v>
      </c>
      <c r="C20" s="991"/>
      <c r="D20" s="991"/>
      <c r="E20" s="991"/>
      <c r="F20" s="285" t="s">
        <v>525</v>
      </c>
      <c r="G20" s="285"/>
      <c r="H20" s="285"/>
      <c r="I20" s="285"/>
      <c r="J20" s="991"/>
      <c r="K20" s="991"/>
      <c r="L20" s="991"/>
      <c r="M20" s="991"/>
      <c r="N20" s="991" t="s">
        <v>526</v>
      </c>
      <c r="O20" s="991"/>
      <c r="P20" s="991"/>
      <c r="Q20" s="991"/>
      <c r="R20" s="991"/>
      <c r="S20" s="991"/>
      <c r="T20" s="991"/>
      <c r="U20" s="991"/>
    </row>
    <row r="21" spans="1:21" ht="20.100000000000001" customHeight="1">
      <c r="B21" s="991" t="s">
        <v>519</v>
      </c>
      <c r="C21" s="991"/>
      <c r="D21" s="991"/>
      <c r="E21" s="991"/>
      <c r="F21" s="285" t="s">
        <v>519</v>
      </c>
      <c r="G21" s="285"/>
      <c r="H21" s="285"/>
      <c r="I21" s="285"/>
      <c r="J21" s="991"/>
      <c r="K21" s="991"/>
      <c r="L21" s="991"/>
      <c r="M21" s="991"/>
      <c r="N21" s="991" t="s">
        <v>519</v>
      </c>
      <c r="O21" s="991"/>
      <c r="P21" s="991"/>
      <c r="Q21" s="991"/>
      <c r="R21" s="991"/>
      <c r="S21" s="991"/>
      <c r="T21" s="991"/>
      <c r="U21" s="991"/>
    </row>
    <row r="22" spans="1:21" ht="16.5" customHeight="1">
      <c r="B22" s="308" t="s">
        <v>517</v>
      </c>
      <c r="C22" s="284"/>
      <c r="D22" s="284"/>
      <c r="E22" s="284"/>
      <c r="F22" s="285" t="s">
        <v>520</v>
      </c>
      <c r="G22" s="286"/>
      <c r="H22" s="286"/>
      <c r="I22" s="286"/>
      <c r="J22" s="308"/>
      <c r="K22" s="284"/>
      <c r="L22" s="284"/>
      <c r="M22" s="284"/>
      <c r="N22" s="308" t="s">
        <v>517</v>
      </c>
      <c r="O22" s="284"/>
      <c r="P22" s="284"/>
      <c r="Q22" s="284"/>
      <c r="R22" s="308"/>
      <c r="S22" s="284"/>
      <c r="T22" s="284"/>
      <c r="U22" s="284"/>
    </row>
  </sheetData>
  <mergeCells count="23">
    <mergeCell ref="B1:N1"/>
    <mergeCell ref="B2:N2"/>
    <mergeCell ref="B3:N3"/>
    <mergeCell ref="B19:N19"/>
    <mergeCell ref="B4:L4"/>
    <mergeCell ref="B17:H17"/>
    <mergeCell ref="I17:L17"/>
    <mergeCell ref="B6:B15"/>
    <mergeCell ref="C6:C15"/>
    <mergeCell ref="D6:D15"/>
    <mergeCell ref="E6:E15"/>
    <mergeCell ref="F6:F15"/>
    <mergeCell ref="G6:G15"/>
    <mergeCell ref="A18:M18"/>
    <mergeCell ref="M6:M11"/>
    <mergeCell ref="B20:E20"/>
    <mergeCell ref="J20:M20"/>
    <mergeCell ref="N20:Q20"/>
    <mergeCell ref="R20:U20"/>
    <mergeCell ref="B21:E21"/>
    <mergeCell ref="J21:M21"/>
    <mergeCell ref="N21:Q21"/>
    <mergeCell ref="R21:U21"/>
  </mergeCells>
  <pageMargins left="0.19" right="0.15" top="0.21" bottom="0.28000000000000003" header="0.3" footer="0.3"/>
  <pageSetup scale="6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B1:O17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63">
        <v>1</v>
      </c>
      <c r="C5" s="897" t="s">
        <v>226</v>
      </c>
      <c r="D5" s="864" t="s">
        <v>225</v>
      </c>
      <c r="E5" s="864">
        <v>140514</v>
      </c>
      <c r="F5" s="865">
        <v>40136</v>
      </c>
      <c r="G5" s="865">
        <v>40138</v>
      </c>
      <c r="H5" s="17" t="s">
        <v>162</v>
      </c>
      <c r="I5" s="15" t="s">
        <v>251</v>
      </c>
      <c r="J5" s="16">
        <v>1</v>
      </c>
      <c r="K5" s="17" t="s">
        <v>32</v>
      </c>
      <c r="L5" s="16">
        <v>6.5</v>
      </c>
      <c r="M5" s="18" t="s">
        <v>143</v>
      </c>
      <c r="N5" s="80"/>
    </row>
    <row r="6" spans="2:15" ht="24.95" customHeight="1">
      <c r="B6" s="852"/>
      <c r="C6" s="898"/>
      <c r="D6" s="855"/>
      <c r="E6" s="855"/>
      <c r="F6" s="839"/>
      <c r="G6" s="839"/>
      <c r="H6" s="14" t="s">
        <v>252</v>
      </c>
      <c r="I6" s="15" t="s">
        <v>253</v>
      </c>
      <c r="J6" s="16">
        <v>2</v>
      </c>
      <c r="K6" s="17" t="s">
        <v>32</v>
      </c>
      <c r="L6" s="16">
        <v>5.5</v>
      </c>
      <c r="M6" s="18" t="s">
        <v>121</v>
      </c>
      <c r="N6" s="80"/>
    </row>
    <row r="7" spans="2:15" ht="24.95" customHeight="1">
      <c r="B7" s="858"/>
      <c r="C7" s="899"/>
      <c r="D7" s="859"/>
      <c r="E7" s="859"/>
      <c r="F7" s="840"/>
      <c r="G7" s="840"/>
      <c r="H7" s="14" t="s">
        <v>146</v>
      </c>
      <c r="I7" s="15" t="s">
        <v>147</v>
      </c>
      <c r="J7" s="16">
        <v>2</v>
      </c>
      <c r="K7" s="17"/>
      <c r="L7" s="16"/>
      <c r="M7" s="18"/>
      <c r="N7" s="80"/>
    </row>
    <row r="8" spans="2:15" ht="24.95" hidden="1" customHeight="1">
      <c r="B8" s="99"/>
      <c r="C8" s="100"/>
      <c r="D8" s="100"/>
      <c r="E8" s="100"/>
      <c r="F8" s="98"/>
      <c r="G8" s="98"/>
      <c r="H8" s="14"/>
      <c r="I8" s="15"/>
      <c r="J8" s="16"/>
      <c r="K8" s="17"/>
      <c r="L8" s="16"/>
      <c r="M8" s="18"/>
      <c r="N8" s="19"/>
    </row>
    <row r="9" spans="2:15" ht="24.95" hidden="1" customHeight="1">
      <c r="B9" s="99"/>
      <c r="C9" s="100"/>
      <c r="D9" s="100"/>
      <c r="E9" s="100"/>
      <c r="F9" s="98"/>
      <c r="G9" s="98"/>
      <c r="H9" s="14"/>
      <c r="I9" s="15"/>
      <c r="J9" s="16"/>
      <c r="K9" s="17"/>
      <c r="L9" s="16"/>
      <c r="M9" s="18"/>
      <c r="N9" s="19"/>
    </row>
    <row r="10" spans="2:15" ht="24.95" hidden="1" customHeight="1">
      <c r="B10" s="99"/>
      <c r="C10" s="100"/>
      <c r="D10" s="100"/>
      <c r="E10" s="100"/>
      <c r="F10" s="98"/>
      <c r="G10" s="98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99"/>
      <c r="C11" s="100"/>
      <c r="D11" s="100"/>
      <c r="E11" s="100"/>
      <c r="F11" s="98"/>
      <c r="G11" s="98"/>
      <c r="H11" s="14"/>
      <c r="I11" s="15"/>
      <c r="J11" s="16"/>
      <c r="K11" s="17"/>
      <c r="L11" s="16"/>
      <c r="M11" s="18"/>
      <c r="N11" s="19"/>
    </row>
    <row r="12" spans="2:15" ht="24.95" customHeight="1">
      <c r="B12" s="97"/>
      <c r="C12" s="12"/>
      <c r="D12" s="12"/>
      <c r="E12" s="18"/>
      <c r="F12" s="13"/>
      <c r="G12" s="13"/>
      <c r="H12" s="17"/>
      <c r="I12" s="62"/>
      <c r="J12" s="64"/>
      <c r="K12" s="62"/>
      <c r="L12" s="62"/>
      <c r="M12" s="20"/>
      <c r="N12" s="19"/>
    </row>
    <row r="13" spans="2:15" ht="38.1" customHeight="1" thickBot="1">
      <c r="B13" s="843" t="s">
        <v>48</v>
      </c>
      <c r="C13" s="844"/>
      <c r="D13" s="844"/>
      <c r="E13" s="844"/>
      <c r="F13" s="844"/>
      <c r="G13" s="844"/>
      <c r="H13" s="844"/>
      <c r="I13" s="894">
        <f>L5*84.01+L6*84.01+L7*77.98+L8*109.25+96.89+2593.82+138.34</f>
        <v>3837.1700000000005</v>
      </c>
      <c r="J13" s="895"/>
      <c r="K13" s="895"/>
      <c r="L13" s="896"/>
      <c r="N13" s="81"/>
      <c r="O13" s="90"/>
    </row>
    <row r="14" spans="2:15" ht="24.95" customHeight="1" thickTop="1">
      <c r="B14" s="889" t="s">
        <v>128</v>
      </c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</row>
    <row r="15" spans="2:15" ht="24.95" customHeight="1">
      <c r="B15" s="890" t="s">
        <v>16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5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3">
    <mergeCell ref="B13:H13"/>
    <mergeCell ref="I13:L13"/>
    <mergeCell ref="B14:N14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2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B1:O19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31.5" customHeight="1">
      <c r="B5" s="863">
        <v>1</v>
      </c>
      <c r="C5" s="864" t="s">
        <v>19</v>
      </c>
      <c r="D5" s="864" t="s">
        <v>238</v>
      </c>
      <c r="E5" s="864">
        <v>152796</v>
      </c>
      <c r="F5" s="865">
        <v>40136</v>
      </c>
      <c r="G5" s="865">
        <v>40139</v>
      </c>
      <c r="H5" s="17" t="s">
        <v>45</v>
      </c>
      <c r="I5" s="84" t="s">
        <v>244</v>
      </c>
      <c r="J5" s="16">
        <v>8</v>
      </c>
      <c r="K5" s="17" t="s">
        <v>32</v>
      </c>
      <c r="L5" s="16">
        <v>22</v>
      </c>
      <c r="M5" s="18" t="s">
        <v>120</v>
      </c>
      <c r="N5" s="80" t="s">
        <v>233</v>
      </c>
    </row>
    <row r="6" spans="2:15" ht="24.95" customHeight="1">
      <c r="B6" s="852"/>
      <c r="C6" s="855"/>
      <c r="D6" s="855"/>
      <c r="E6" s="855"/>
      <c r="F6" s="839"/>
      <c r="G6" s="839"/>
      <c r="H6" s="14" t="s">
        <v>255</v>
      </c>
      <c r="I6" s="15">
        <v>3374500140</v>
      </c>
      <c r="J6" s="16">
        <v>1</v>
      </c>
      <c r="K6" s="17" t="s">
        <v>33</v>
      </c>
      <c r="L6" s="16">
        <v>41</v>
      </c>
      <c r="M6" s="18" t="s">
        <v>57</v>
      </c>
      <c r="N6" s="80" t="s">
        <v>65</v>
      </c>
    </row>
    <row r="7" spans="2:15" ht="30.75" customHeight="1">
      <c r="B7" s="852"/>
      <c r="C7" s="855"/>
      <c r="D7" s="855"/>
      <c r="E7" s="855"/>
      <c r="F7" s="839"/>
      <c r="G7" s="839"/>
      <c r="H7" s="14" t="s">
        <v>256</v>
      </c>
      <c r="I7" s="15">
        <v>3374500150</v>
      </c>
      <c r="J7" s="16">
        <v>1</v>
      </c>
      <c r="K7" s="17" t="s">
        <v>38</v>
      </c>
      <c r="L7" s="16">
        <v>90</v>
      </c>
      <c r="M7" s="18"/>
      <c r="N7" s="80" t="s">
        <v>263</v>
      </c>
    </row>
    <row r="8" spans="2:15" ht="36" customHeight="1">
      <c r="B8" s="852"/>
      <c r="C8" s="855"/>
      <c r="D8" s="855"/>
      <c r="E8" s="855"/>
      <c r="F8" s="839"/>
      <c r="G8" s="839"/>
      <c r="H8" s="14" t="s">
        <v>257</v>
      </c>
      <c r="I8" s="84" t="s">
        <v>186</v>
      </c>
      <c r="J8" s="16">
        <v>2</v>
      </c>
      <c r="K8" s="17" t="s">
        <v>34</v>
      </c>
      <c r="L8" s="16">
        <v>8</v>
      </c>
      <c r="M8" s="18"/>
      <c r="N8" s="19"/>
    </row>
    <row r="9" spans="2:15" ht="31.5" customHeight="1">
      <c r="B9" s="852"/>
      <c r="C9" s="855"/>
      <c r="D9" s="855"/>
      <c r="E9" s="855"/>
      <c r="F9" s="839"/>
      <c r="G9" s="839"/>
      <c r="H9" s="14" t="s">
        <v>258</v>
      </c>
      <c r="I9" s="84" t="s">
        <v>259</v>
      </c>
      <c r="J9" s="16">
        <v>2</v>
      </c>
      <c r="K9" s="17"/>
      <c r="L9" s="16"/>
      <c r="M9" s="18"/>
      <c r="N9" s="19"/>
    </row>
    <row r="10" spans="2:15" ht="24.95" customHeight="1">
      <c r="B10" s="852"/>
      <c r="C10" s="855"/>
      <c r="D10" s="855"/>
      <c r="E10" s="855"/>
      <c r="F10" s="839"/>
      <c r="G10" s="839"/>
      <c r="H10" s="14" t="s">
        <v>260</v>
      </c>
      <c r="I10" s="15">
        <v>3389800650</v>
      </c>
      <c r="J10" s="16">
        <v>1</v>
      </c>
      <c r="K10" s="17"/>
      <c r="L10" s="16"/>
      <c r="M10" s="18"/>
      <c r="N10" s="19"/>
    </row>
    <row r="11" spans="2:15" ht="24.95" customHeight="1">
      <c r="B11" s="852"/>
      <c r="C11" s="855"/>
      <c r="D11" s="855"/>
      <c r="E11" s="855"/>
      <c r="F11" s="839"/>
      <c r="G11" s="839"/>
      <c r="H11" s="14" t="s">
        <v>175</v>
      </c>
      <c r="I11" s="63">
        <v>3423004920</v>
      </c>
      <c r="J11" s="64">
        <v>8</v>
      </c>
      <c r="K11" s="62"/>
      <c r="L11" s="64"/>
      <c r="M11" s="18"/>
      <c r="N11" s="19"/>
    </row>
    <row r="12" spans="2:15" ht="24.95" customHeight="1">
      <c r="B12" s="852"/>
      <c r="C12" s="855"/>
      <c r="D12" s="855"/>
      <c r="E12" s="855"/>
      <c r="F12" s="839"/>
      <c r="G12" s="839"/>
      <c r="H12" s="14" t="s">
        <v>261</v>
      </c>
      <c r="I12" s="63">
        <v>3443100640</v>
      </c>
      <c r="J12" s="64">
        <v>6</v>
      </c>
      <c r="K12" s="62"/>
      <c r="L12" s="64"/>
      <c r="M12" s="18"/>
      <c r="N12" s="19"/>
    </row>
    <row r="13" spans="2:15" ht="24.95" customHeight="1">
      <c r="B13" s="858"/>
      <c r="C13" s="859"/>
      <c r="D13" s="859"/>
      <c r="E13" s="859"/>
      <c r="F13" s="840"/>
      <c r="G13" s="840"/>
      <c r="H13" s="14" t="s">
        <v>262</v>
      </c>
      <c r="I13" s="63">
        <v>3443100580</v>
      </c>
      <c r="J13" s="64">
        <v>8</v>
      </c>
      <c r="K13" s="62"/>
      <c r="L13" s="64"/>
      <c r="M13" s="18"/>
      <c r="N13" s="19"/>
    </row>
    <row r="14" spans="2:15" ht="24.95" customHeight="1">
      <c r="B14" s="97"/>
      <c r="C14" s="12"/>
      <c r="D14" s="12"/>
      <c r="E14" s="18"/>
      <c r="F14" s="13"/>
      <c r="G14" s="13"/>
      <c r="H14" s="17"/>
      <c r="I14" s="62"/>
      <c r="J14" s="64"/>
      <c r="K14" s="62"/>
      <c r="L14" s="62"/>
      <c r="M14" s="20"/>
      <c r="N14" s="19"/>
    </row>
    <row r="15" spans="2:15" ht="38.1" customHeight="1" thickBot="1">
      <c r="B15" s="843" t="s">
        <v>48</v>
      </c>
      <c r="C15" s="844"/>
      <c r="D15" s="844"/>
      <c r="E15" s="844"/>
      <c r="F15" s="844"/>
      <c r="G15" s="844"/>
      <c r="H15" s="844"/>
      <c r="I15" s="894">
        <f>L5*84.01+L6*84.01+L7*77.98+L8*109.25+799.2+733.44+2274.03+756.32+532.68+799.57+4029.36+1254.97+3540+3086.24+80.21+5627.84</f>
        <v>36698.69</v>
      </c>
      <c r="J15" s="895"/>
      <c r="K15" s="895"/>
      <c r="L15" s="896"/>
      <c r="N15" s="83"/>
      <c r="O15" s="90"/>
    </row>
    <row r="16" spans="2:15" ht="24.95" customHeight="1" thickTop="1">
      <c r="B16" s="889" t="s">
        <v>128</v>
      </c>
      <c r="C16" s="889"/>
      <c r="D16" s="889"/>
      <c r="E16" s="889"/>
      <c r="F16" s="889"/>
      <c r="G16" s="889"/>
      <c r="H16" s="889"/>
      <c r="I16" s="889"/>
      <c r="J16" s="889"/>
      <c r="K16" s="889"/>
      <c r="L16" s="889"/>
      <c r="M16" s="889"/>
      <c r="N16" s="889"/>
    </row>
    <row r="17" spans="2:14" ht="24.95" customHeight="1">
      <c r="B17" s="890" t="s">
        <v>16</v>
      </c>
      <c r="C17" s="890"/>
      <c r="D17" s="890"/>
      <c r="E17" s="890"/>
      <c r="F17" s="890"/>
      <c r="G17" s="890"/>
      <c r="H17" s="890"/>
      <c r="I17" s="890"/>
      <c r="J17" s="890"/>
      <c r="K17" s="890"/>
      <c r="L17" s="890"/>
      <c r="M17" s="890"/>
      <c r="N17" s="890"/>
    </row>
    <row r="18" spans="2:14" ht="20.100000000000001" customHeight="1">
      <c r="B18" s="29" t="s">
        <v>23</v>
      </c>
      <c r="C18" s="29"/>
      <c r="D18" s="29"/>
      <c r="E18" s="29"/>
      <c r="F18" s="29" t="s">
        <v>17</v>
      </c>
      <c r="G18" s="29"/>
      <c r="H18" s="29"/>
      <c r="I18" s="29"/>
      <c r="J18" s="29"/>
      <c r="K18" s="29"/>
      <c r="L18" s="29"/>
    </row>
    <row r="19" spans="2:14" ht="20.100000000000001" customHeight="1">
      <c r="B19" s="29" t="s">
        <v>18</v>
      </c>
      <c r="C19" s="29"/>
      <c r="D19" s="29"/>
      <c r="E19" s="29"/>
      <c r="F19" s="29" t="s">
        <v>18</v>
      </c>
      <c r="G19" s="29"/>
      <c r="H19" s="29"/>
      <c r="I19" s="29"/>
      <c r="J19" s="29"/>
      <c r="K19" s="29"/>
      <c r="L19" s="29"/>
    </row>
  </sheetData>
  <mergeCells count="13">
    <mergeCell ref="B16:N16"/>
    <mergeCell ref="B17:N17"/>
    <mergeCell ref="B1:N1"/>
    <mergeCell ref="B2:N2"/>
    <mergeCell ref="B5:B13"/>
    <mergeCell ref="C5:C13"/>
    <mergeCell ref="D5:D13"/>
    <mergeCell ref="E5:E13"/>
    <mergeCell ref="F5:F13"/>
    <mergeCell ref="G5:G13"/>
    <mergeCell ref="B15:H15"/>
    <mergeCell ref="I15:L15"/>
    <mergeCell ref="B3:N3"/>
  </mergeCells>
  <pageMargins left="0.19" right="0.15" top="0.21" bottom="0.28000000000000003" header="0.3" footer="0.3"/>
  <pageSetup scale="72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2" sqref="B12:H12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6.140625" customWidth="1"/>
    <col min="10" max="10" width="6.28515625" customWidth="1"/>
    <col min="11" max="11" width="11.7109375" customWidth="1"/>
    <col min="12" max="12" width="6.42578125" customWidth="1"/>
    <col min="13" max="13" width="10.140625" customWidth="1"/>
    <col min="14" max="14" width="26.28515625" customWidth="1"/>
    <col min="15" max="15" width="6.42578125" customWidth="1"/>
    <col min="16" max="16" width="6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1045">
        <v>1</v>
      </c>
      <c r="C5" s="1067" t="s">
        <v>643</v>
      </c>
      <c r="D5" s="1069" t="s">
        <v>239</v>
      </c>
      <c r="E5" s="1069">
        <v>221438</v>
      </c>
      <c r="F5" s="1070">
        <v>40485</v>
      </c>
      <c r="G5" s="1070">
        <v>40491</v>
      </c>
      <c r="H5" s="340" t="s">
        <v>644</v>
      </c>
      <c r="I5" s="341"/>
      <c r="J5" s="342">
        <v>1</v>
      </c>
      <c r="K5" s="340"/>
      <c r="L5" s="342"/>
      <c r="M5" s="338"/>
      <c r="N5" s="337"/>
      <c r="O5" s="336"/>
      <c r="P5" s="343"/>
    </row>
    <row r="6" spans="1:21" ht="24.95" customHeight="1">
      <c r="B6" s="1045"/>
      <c r="C6" s="1068"/>
      <c r="D6" s="1069"/>
      <c r="E6" s="1069"/>
      <c r="F6" s="1070"/>
      <c r="G6" s="1070"/>
      <c r="H6" s="337"/>
      <c r="I6" s="341"/>
      <c r="J6" s="342"/>
      <c r="K6" s="340"/>
      <c r="L6" s="342"/>
      <c r="M6" s="338"/>
      <c r="N6" s="337"/>
      <c r="O6" s="336"/>
      <c r="P6" s="343"/>
    </row>
    <row r="7" spans="1:21" ht="24.95" customHeight="1">
      <c r="B7" s="1045"/>
      <c r="C7" s="1068"/>
      <c r="D7" s="1069"/>
      <c r="E7" s="1069"/>
      <c r="F7" s="1070"/>
      <c r="G7" s="1070"/>
      <c r="H7" s="337"/>
      <c r="I7" s="341"/>
      <c r="J7" s="342"/>
      <c r="K7" s="340"/>
      <c r="L7" s="342"/>
      <c r="M7" s="338"/>
      <c r="N7" s="337"/>
      <c r="O7" s="336"/>
      <c r="P7" s="343"/>
    </row>
    <row r="8" spans="1:21" ht="24.95" hidden="1" customHeight="1">
      <c r="B8" s="1045"/>
      <c r="C8" s="1068"/>
      <c r="D8" s="1069"/>
      <c r="E8" s="1069"/>
      <c r="F8" s="1070"/>
      <c r="G8" s="1070"/>
      <c r="H8" s="337"/>
      <c r="I8" s="341"/>
      <c r="J8" s="342"/>
      <c r="K8" s="340"/>
      <c r="L8" s="342"/>
      <c r="M8" s="338"/>
      <c r="N8" s="338"/>
      <c r="O8" s="336"/>
      <c r="P8" s="343"/>
    </row>
    <row r="9" spans="1:21" ht="24.95" hidden="1" customHeight="1">
      <c r="B9" s="1045"/>
      <c r="C9" s="1068"/>
      <c r="D9" s="1069"/>
      <c r="E9" s="1069"/>
      <c r="F9" s="1070"/>
      <c r="G9" s="1070"/>
      <c r="H9" s="337"/>
      <c r="I9" s="341"/>
      <c r="J9" s="342"/>
      <c r="K9" s="340"/>
      <c r="L9" s="342"/>
      <c r="M9" s="338"/>
      <c r="N9" s="338"/>
      <c r="O9" s="336"/>
      <c r="P9" s="343"/>
    </row>
    <row r="10" spans="1:21" ht="24.95" hidden="1" customHeight="1">
      <c r="B10" s="1045"/>
      <c r="C10" s="1068"/>
      <c r="D10" s="1069"/>
      <c r="E10" s="1069"/>
      <c r="F10" s="1070"/>
      <c r="G10" s="1070"/>
      <c r="H10" s="337"/>
      <c r="I10" s="341"/>
      <c r="J10" s="342"/>
      <c r="K10" s="340"/>
      <c r="L10" s="342"/>
      <c r="M10" s="338"/>
      <c r="N10" s="338"/>
      <c r="O10" s="336"/>
      <c r="P10" s="343"/>
    </row>
    <row r="11" spans="1:21" ht="24.95" customHeight="1">
      <c r="B11" s="361"/>
      <c r="C11" s="347"/>
      <c r="D11" s="347"/>
      <c r="E11" s="338"/>
      <c r="F11" s="380"/>
      <c r="G11" s="348"/>
      <c r="H11" s="340"/>
      <c r="I11" s="340"/>
      <c r="J11" s="342"/>
      <c r="K11" s="340"/>
      <c r="L11" s="340"/>
      <c r="M11" s="336"/>
      <c r="N11" s="338"/>
      <c r="O11" s="336"/>
      <c r="P11" s="343"/>
    </row>
    <row r="12" spans="1:21" ht="38.1" customHeight="1" thickBot="1">
      <c r="B12" s="1049" t="s">
        <v>48</v>
      </c>
      <c r="C12" s="1050"/>
      <c r="D12" s="1050"/>
      <c r="E12" s="1050"/>
      <c r="F12" s="1050"/>
      <c r="G12" s="1050"/>
      <c r="H12" s="1050"/>
      <c r="I12" s="1054"/>
      <c r="J12" s="1054"/>
      <c r="K12" s="1054"/>
      <c r="L12" s="1054"/>
      <c r="M12" s="349"/>
      <c r="N12" s="350"/>
      <c r="O12" s="358"/>
      <c r="P12" s="351"/>
    </row>
    <row r="13" spans="1:21" ht="378.75" customHeight="1" thickTop="1">
      <c r="A13" s="905" t="s">
        <v>642</v>
      </c>
      <c r="B13" s="906"/>
      <c r="C13" s="906"/>
      <c r="D13" s="906"/>
      <c r="E13" s="906"/>
      <c r="F13" s="906"/>
      <c r="G13" s="906"/>
      <c r="H13" s="906"/>
      <c r="I13" s="906"/>
      <c r="J13" s="906"/>
      <c r="K13" s="906"/>
      <c r="L13" s="906"/>
      <c r="M13" s="906"/>
    </row>
    <row r="14" spans="1:21" ht="20.100000000000001" customHeight="1">
      <c r="B14" s="1044" t="s">
        <v>518</v>
      </c>
      <c r="C14" s="1044"/>
      <c r="D14" s="1044"/>
      <c r="E14" s="1044"/>
      <c r="F14" s="285" t="s">
        <v>525</v>
      </c>
      <c r="G14" s="322"/>
      <c r="H14" s="285"/>
      <c r="I14" s="285"/>
      <c r="J14" s="991"/>
      <c r="K14" s="991"/>
      <c r="L14" s="991"/>
      <c r="M14" s="991"/>
      <c r="N14" s="1044" t="s">
        <v>526</v>
      </c>
      <c r="O14" s="1044"/>
      <c r="P14" s="1044"/>
      <c r="Q14" s="1044"/>
      <c r="R14" s="991"/>
      <c r="S14" s="991"/>
      <c r="T14" s="991"/>
      <c r="U14" s="991"/>
    </row>
    <row r="15" spans="1:21" ht="20.100000000000001" customHeight="1">
      <c r="B15" s="991" t="s">
        <v>519</v>
      </c>
      <c r="C15" s="991"/>
      <c r="D15" s="991"/>
      <c r="E15" s="991"/>
      <c r="F15" s="285" t="s">
        <v>519</v>
      </c>
      <c r="G15" s="285"/>
      <c r="H15" s="285"/>
      <c r="I15" s="285"/>
      <c r="J15" s="991"/>
      <c r="K15" s="991"/>
      <c r="L15" s="991"/>
      <c r="M15" s="991"/>
      <c r="N15" s="991" t="s">
        <v>519</v>
      </c>
      <c r="O15" s="991"/>
      <c r="P15" s="991"/>
      <c r="Q15" s="991"/>
      <c r="R15" s="991"/>
      <c r="S15" s="991"/>
      <c r="T15" s="991"/>
      <c r="U15" s="991"/>
    </row>
    <row r="16" spans="1:21" ht="18">
      <c r="B16" s="352" t="s">
        <v>517</v>
      </c>
      <c r="C16" s="284"/>
      <c r="D16" s="284"/>
      <c r="E16" s="284"/>
      <c r="F16" s="285" t="s">
        <v>520</v>
      </c>
      <c r="G16" s="286"/>
      <c r="H16" s="286"/>
      <c r="I16" s="286"/>
      <c r="J16" s="352"/>
      <c r="K16" s="284"/>
      <c r="L16" s="284"/>
      <c r="M16" s="284"/>
      <c r="N16" s="352" t="s">
        <v>517</v>
      </c>
      <c r="O16" s="284"/>
      <c r="P16" s="284"/>
      <c r="Q16" s="284"/>
      <c r="R16" s="352"/>
      <c r="S16" s="284"/>
      <c r="T16" s="284"/>
      <c r="U16" s="284"/>
    </row>
  </sheetData>
  <mergeCells count="20">
    <mergeCell ref="B14:E14"/>
    <mergeCell ref="J14:M14"/>
    <mergeCell ref="N14:Q14"/>
    <mergeCell ref="R14:U14"/>
    <mergeCell ref="B15:E15"/>
    <mergeCell ref="J15:M15"/>
    <mergeCell ref="N15:Q15"/>
    <mergeCell ref="R15:U15"/>
    <mergeCell ref="A13:M13"/>
    <mergeCell ref="B12:H12"/>
    <mergeCell ref="I12:L12"/>
    <mergeCell ref="B1:N1"/>
    <mergeCell ref="B2:N2"/>
    <mergeCell ref="B5:B10"/>
    <mergeCell ref="C5:C10"/>
    <mergeCell ref="D5:D10"/>
    <mergeCell ref="E5:E10"/>
    <mergeCell ref="F5:F10"/>
    <mergeCell ref="G5:G10"/>
    <mergeCell ref="B3:N3"/>
  </mergeCells>
  <pageMargins left="0.19" right="0.15" top="0.21" bottom="0.28000000000000003" header="0.3" footer="0.3"/>
  <pageSetup scale="72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pane xSplit="2" ySplit="4" topLeftCell="C5" activePane="bottomRight" state="frozen"/>
      <selection activeCell="B18" sqref="B18"/>
      <selection pane="topRight" activeCell="B18" sqref="B18"/>
      <selection pane="bottomLeft" activeCell="B18" sqref="B18"/>
      <selection pane="bottomRight" activeCell="A13" sqref="A13:XFD16"/>
    </sheetView>
  </sheetViews>
  <sheetFormatPr defaultRowHeight="15"/>
  <cols>
    <col min="1" max="1" width="6.140625" customWidth="1"/>
    <col min="2" max="2" width="13" customWidth="1"/>
    <col min="3" max="3" width="10.85546875" customWidth="1"/>
    <col min="4" max="4" width="13.42578125" customWidth="1"/>
    <col min="5" max="5" width="11.42578125" customWidth="1"/>
    <col min="6" max="6" width="12.28515625" customWidth="1"/>
    <col min="7" max="7" width="14.7109375" customWidth="1"/>
    <col min="8" max="8" width="13.5703125" customWidth="1"/>
    <col min="9" max="9" width="6.28515625" customWidth="1"/>
    <col min="10" max="10" width="11.7109375" customWidth="1"/>
    <col min="11" max="11" width="6.42578125" customWidth="1"/>
    <col min="12" max="12" width="13.140625" customWidth="1"/>
    <col min="13" max="13" width="22.42578125" customWidth="1"/>
    <col min="14" max="14" width="23.42578125" customWidth="1"/>
    <col min="15" max="15" width="7.42578125" customWidth="1"/>
  </cols>
  <sheetData>
    <row r="1" spans="1:15" ht="28.5" customHeight="1">
      <c r="A1" s="860" t="s">
        <v>0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</row>
    <row r="2" spans="1:15" ht="28.5" customHeight="1">
      <c r="A2" s="860" t="s">
        <v>463</v>
      </c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211"/>
    </row>
    <row r="3" spans="1:15" ht="27" customHeight="1" thickBot="1">
      <c r="A3" s="861" t="s">
        <v>487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</row>
    <row r="4" spans="1:15" s="6" customFormat="1" ht="48.75" customHeight="1" thickTop="1">
      <c r="A4" s="33" t="s">
        <v>2</v>
      </c>
      <c r="B4" s="34" t="s">
        <v>3</v>
      </c>
      <c r="C4" s="35" t="s">
        <v>4</v>
      </c>
      <c r="D4" s="34" t="s">
        <v>199</v>
      </c>
      <c r="E4" s="34" t="s">
        <v>6</v>
      </c>
      <c r="F4" s="34" t="s">
        <v>7</v>
      </c>
      <c r="G4" s="34" t="s">
        <v>510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4" t="s">
        <v>470</v>
      </c>
      <c r="O4" s="36" t="s">
        <v>495</v>
      </c>
    </row>
    <row r="5" spans="1:15" ht="46.5" customHeight="1">
      <c r="A5" s="1020">
        <v>1</v>
      </c>
      <c r="B5" s="986" t="s">
        <v>27</v>
      </c>
      <c r="C5" s="986" t="s">
        <v>240</v>
      </c>
      <c r="D5" s="986">
        <v>6586</v>
      </c>
      <c r="E5" s="925">
        <v>40466</v>
      </c>
      <c r="F5" s="996">
        <v>40470</v>
      </c>
      <c r="G5" s="237"/>
      <c r="H5" s="238"/>
      <c r="I5" s="204"/>
      <c r="J5" s="237"/>
      <c r="K5" s="204"/>
      <c r="L5" s="241" t="s">
        <v>444</v>
      </c>
      <c r="M5" s="205" t="s">
        <v>486</v>
      </c>
      <c r="N5" s="274" t="s">
        <v>492</v>
      </c>
      <c r="O5" s="239">
        <v>2</v>
      </c>
    </row>
    <row r="6" spans="1:15" ht="24.95" hidden="1" customHeight="1">
      <c r="A6" s="1020"/>
      <c r="B6" s="986"/>
      <c r="C6" s="986"/>
      <c r="D6" s="986"/>
      <c r="E6" s="925"/>
      <c r="F6" s="996"/>
      <c r="G6" s="240"/>
      <c r="H6" s="238"/>
      <c r="I6" s="204"/>
      <c r="J6" s="237"/>
      <c r="K6" s="204"/>
      <c r="L6" s="205"/>
      <c r="M6" s="240"/>
      <c r="N6" s="205"/>
      <c r="O6" s="55"/>
    </row>
    <row r="7" spans="1:15" ht="24.95" hidden="1" customHeight="1">
      <c r="A7" s="1020"/>
      <c r="B7" s="986"/>
      <c r="C7" s="986"/>
      <c r="D7" s="986"/>
      <c r="E7" s="925"/>
      <c r="F7" s="996"/>
      <c r="G7" s="240"/>
      <c r="H7" s="238"/>
      <c r="I7" s="204"/>
      <c r="J7" s="237"/>
      <c r="K7" s="204"/>
      <c r="L7" s="205"/>
      <c r="M7" s="240"/>
      <c r="N7" s="205"/>
      <c r="O7" s="55"/>
    </row>
    <row r="8" spans="1:15" ht="9.75" hidden="1" customHeight="1">
      <c r="A8" s="1020"/>
      <c r="B8" s="986"/>
      <c r="C8" s="986"/>
      <c r="D8" s="986"/>
      <c r="E8" s="925"/>
      <c r="F8" s="996"/>
      <c r="G8" s="240"/>
      <c r="H8" s="238"/>
      <c r="I8" s="204"/>
      <c r="J8" s="237"/>
      <c r="K8" s="204"/>
      <c r="L8" s="205"/>
      <c r="M8" s="205"/>
      <c r="N8" s="205"/>
      <c r="O8" s="55"/>
    </row>
    <row r="9" spans="1:15" ht="24.75" hidden="1" customHeight="1">
      <c r="A9" s="1020"/>
      <c r="B9" s="986"/>
      <c r="C9" s="986"/>
      <c r="D9" s="986"/>
      <c r="E9" s="925"/>
      <c r="F9" s="996"/>
      <c r="G9" s="240"/>
      <c r="H9" s="238"/>
      <c r="I9" s="204"/>
      <c r="J9" s="237"/>
      <c r="K9" s="204"/>
      <c r="L9" s="205"/>
      <c r="M9" s="205"/>
      <c r="N9" s="205"/>
      <c r="O9" s="55"/>
    </row>
    <row r="10" spans="1:15" ht="24.95" hidden="1" customHeight="1">
      <c r="A10" s="1020"/>
      <c r="B10" s="986"/>
      <c r="C10" s="986"/>
      <c r="D10" s="986"/>
      <c r="E10" s="925"/>
      <c r="F10" s="996"/>
      <c r="G10" s="240"/>
      <c r="H10" s="238"/>
      <c r="I10" s="204"/>
      <c r="J10" s="237"/>
      <c r="K10" s="204"/>
      <c r="L10" s="205"/>
      <c r="M10" s="205"/>
      <c r="N10" s="205"/>
      <c r="O10" s="55"/>
    </row>
    <row r="11" spans="1:15" ht="24.95" hidden="1" customHeight="1">
      <c r="A11" s="256"/>
      <c r="B11" s="12"/>
      <c r="C11" s="12"/>
      <c r="D11" s="18"/>
      <c r="E11" s="13"/>
      <c r="F11" s="13"/>
      <c r="G11" s="17"/>
      <c r="H11" s="17"/>
      <c r="I11" s="258"/>
      <c r="J11" s="17"/>
      <c r="K11" s="17"/>
      <c r="L11" s="20"/>
      <c r="M11" s="18"/>
      <c r="N11" s="18"/>
      <c r="O11" s="55"/>
    </row>
    <row r="12" spans="1:15" ht="38.1" customHeight="1" thickBot="1">
      <c r="A12" s="868" t="s">
        <v>48</v>
      </c>
      <c r="B12" s="869"/>
      <c r="C12" s="869"/>
      <c r="D12" s="869"/>
      <c r="E12" s="869"/>
      <c r="F12" s="869"/>
      <c r="G12" s="869"/>
      <c r="H12" s="870"/>
      <c r="I12" s="870"/>
      <c r="J12" s="870"/>
      <c r="K12" s="870"/>
      <c r="L12" s="89"/>
      <c r="M12" s="56"/>
      <c r="N12" s="24"/>
      <c r="O12" s="59"/>
    </row>
    <row r="13" spans="1:15" ht="247.5" customHeight="1" thickTop="1">
      <c r="A13" s="1071" t="s">
        <v>509</v>
      </c>
      <c r="B13" s="1072"/>
      <c r="C13" s="1072"/>
      <c r="D13" s="1072"/>
      <c r="E13" s="1072"/>
      <c r="F13" s="1072"/>
      <c r="G13" s="1072"/>
      <c r="H13" s="1072"/>
      <c r="I13" s="1072"/>
      <c r="J13" s="1072"/>
      <c r="K13" s="1072"/>
      <c r="L13" s="1072"/>
      <c r="M13" s="1072"/>
      <c r="N13" s="117"/>
    </row>
    <row r="14" spans="1:15" ht="24.95" customHeight="1">
      <c r="A14" s="890" t="s">
        <v>466</v>
      </c>
      <c r="B14" s="890"/>
      <c r="C14" s="890"/>
      <c r="D14" s="890"/>
      <c r="E14" s="890"/>
      <c r="F14" s="890"/>
      <c r="G14" s="890"/>
      <c r="H14" s="890"/>
      <c r="I14" s="890"/>
      <c r="J14" s="890"/>
      <c r="K14" s="890"/>
      <c r="L14" s="890"/>
      <c r="M14" s="890"/>
      <c r="N14" s="201"/>
    </row>
    <row r="15" spans="1:15" ht="20.100000000000001" customHeight="1">
      <c r="A15" s="29" t="s">
        <v>23</v>
      </c>
      <c r="B15" s="29"/>
      <c r="C15" s="29"/>
      <c r="D15" s="29"/>
      <c r="E15" s="29" t="s">
        <v>17</v>
      </c>
      <c r="F15" s="29"/>
      <c r="G15" s="29"/>
      <c r="H15" s="29"/>
      <c r="I15" s="29"/>
      <c r="J15" s="29"/>
      <c r="K15" s="29"/>
      <c r="N15" s="29"/>
    </row>
    <row r="16" spans="1:15" ht="20.100000000000001" customHeight="1">
      <c r="A16" s="29" t="s">
        <v>18</v>
      </c>
      <c r="B16" s="29"/>
      <c r="C16" s="29"/>
      <c r="D16" s="29"/>
      <c r="E16" s="29" t="s">
        <v>18</v>
      </c>
      <c r="F16" s="29"/>
      <c r="G16" s="29"/>
      <c r="H16" s="29"/>
      <c r="I16" s="29"/>
      <c r="J16" s="29"/>
      <c r="K16" s="29"/>
      <c r="N16" s="29"/>
    </row>
  </sheetData>
  <mergeCells count="13">
    <mergeCell ref="A12:G12"/>
    <mergeCell ref="H12:K12"/>
    <mergeCell ref="A13:M13"/>
    <mergeCell ref="A14:M14"/>
    <mergeCell ref="A1:M1"/>
    <mergeCell ref="A2:M2"/>
    <mergeCell ref="A5:A10"/>
    <mergeCell ref="B5:B10"/>
    <mergeCell ref="C5:C10"/>
    <mergeCell ref="D5:D10"/>
    <mergeCell ref="E5:E10"/>
    <mergeCell ref="F5:F10"/>
    <mergeCell ref="A3:M3"/>
  </mergeCells>
  <pageMargins left="0.19" right="0.15" top="0.21" bottom="0.28000000000000003" header="0.3" footer="0.3"/>
  <pageSetup scale="72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2"/>
  <sheetViews>
    <sheetView view="pageBreakPreview" zoomScale="60" workbookViewId="0">
      <pane xSplit="3" ySplit="5" topLeftCell="D8" activePane="bottomRight" state="frozen"/>
      <selection activeCell="B18" sqref="B18"/>
      <selection pane="topRight" activeCell="B18" sqref="B18"/>
      <selection pane="bottomLeft" activeCell="B18" sqref="B18"/>
      <selection pane="bottomRight" activeCell="O18" sqref="O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8.42578125" customWidth="1"/>
    <col min="9" max="9" width="15" customWidth="1"/>
    <col min="10" max="10" width="6.28515625" customWidth="1"/>
    <col min="11" max="11" width="11.7109375" customWidth="1"/>
    <col min="12" max="12" width="6.42578125" customWidth="1"/>
    <col min="13" max="13" width="15" customWidth="1"/>
    <col min="14" max="14" width="33.42578125" customWidth="1"/>
    <col min="15" max="15" width="15.85546875" customWidth="1"/>
    <col min="16" max="16" width="7.42578125" customWidth="1"/>
  </cols>
  <sheetData>
    <row r="1" spans="2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21" ht="27" customHeigh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21" ht="9" customHeight="1" thickBot="1"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490"/>
    </row>
    <row r="5" spans="2:21" s="6" customFormat="1" ht="39.950000000000003" customHeight="1" thickTop="1">
      <c r="B5" s="33" t="s">
        <v>2</v>
      </c>
      <c r="C5" s="34" t="s">
        <v>3</v>
      </c>
      <c r="D5" s="35" t="s">
        <v>4</v>
      </c>
      <c r="E5" s="34" t="s">
        <v>5</v>
      </c>
      <c r="F5" s="34" t="s">
        <v>6</v>
      </c>
      <c r="G5" s="34" t="s">
        <v>7</v>
      </c>
      <c r="H5" s="35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14</v>
      </c>
      <c r="O5" s="34" t="s">
        <v>9</v>
      </c>
      <c r="P5" s="36" t="s">
        <v>10</v>
      </c>
    </row>
    <row r="6" spans="2:21" ht="48.75" customHeight="1">
      <c r="B6" s="1045">
        <v>1</v>
      </c>
      <c r="C6" s="1046" t="s">
        <v>19</v>
      </c>
      <c r="D6" s="1047" t="s">
        <v>54</v>
      </c>
      <c r="E6" s="1047">
        <v>157059</v>
      </c>
      <c r="F6" s="1048">
        <v>40484</v>
      </c>
      <c r="G6" s="1048">
        <v>40488</v>
      </c>
      <c r="H6" s="337" t="s">
        <v>652</v>
      </c>
      <c r="I6" s="341">
        <v>3374500160</v>
      </c>
      <c r="J6" s="494">
        <v>1</v>
      </c>
      <c r="K6" s="340" t="s">
        <v>452</v>
      </c>
      <c r="L6" s="494">
        <v>20</v>
      </c>
      <c r="M6" s="1073" t="s">
        <v>636</v>
      </c>
      <c r="N6" s="367" t="s">
        <v>130</v>
      </c>
      <c r="O6" s="368" t="s">
        <v>211</v>
      </c>
      <c r="P6" s="369">
        <v>8</v>
      </c>
    </row>
    <row r="7" spans="2:21" ht="24.95" customHeight="1">
      <c r="B7" s="1045"/>
      <c r="C7" s="1046"/>
      <c r="D7" s="1047"/>
      <c r="E7" s="1047"/>
      <c r="F7" s="1048"/>
      <c r="G7" s="1048"/>
      <c r="H7" s="379" t="s">
        <v>647</v>
      </c>
      <c r="I7" s="371" t="s">
        <v>651</v>
      </c>
      <c r="J7" s="494">
        <v>1</v>
      </c>
      <c r="K7" s="340" t="s">
        <v>568</v>
      </c>
      <c r="L7" s="494">
        <v>3</v>
      </c>
      <c r="M7" s="1074"/>
      <c r="N7" s="367" t="s">
        <v>129</v>
      </c>
      <c r="O7" s="370">
        <v>3454205200</v>
      </c>
      <c r="P7" s="369">
        <v>16</v>
      </c>
    </row>
    <row r="8" spans="2:21" ht="24.95" customHeight="1">
      <c r="B8" s="1045"/>
      <c r="C8" s="1046"/>
      <c r="D8" s="1047"/>
      <c r="E8" s="1047"/>
      <c r="F8" s="1048"/>
      <c r="G8" s="1048"/>
      <c r="H8" s="337" t="s">
        <v>649</v>
      </c>
      <c r="I8" s="371" t="s">
        <v>646</v>
      </c>
      <c r="J8" s="494">
        <v>1</v>
      </c>
      <c r="K8" s="340"/>
      <c r="L8" s="494"/>
      <c r="M8" s="494"/>
      <c r="N8" s="338"/>
      <c r="O8" s="336"/>
      <c r="P8" s="343"/>
    </row>
    <row r="9" spans="2:21" ht="24.95" customHeight="1">
      <c r="B9" s="1045"/>
      <c r="C9" s="1046"/>
      <c r="D9" s="1047"/>
      <c r="E9" s="1047"/>
      <c r="F9" s="1048"/>
      <c r="G9" s="1048"/>
      <c r="H9" s="329" t="s">
        <v>637</v>
      </c>
      <c r="I9" s="341">
        <v>3374500150</v>
      </c>
      <c r="J9" s="494">
        <v>1</v>
      </c>
      <c r="K9" s="340"/>
      <c r="L9" s="494"/>
      <c r="M9" s="494"/>
      <c r="N9" s="338"/>
      <c r="O9" s="336"/>
      <c r="P9" s="343"/>
      <c r="T9" s="364"/>
      <c r="U9" s="365"/>
    </row>
    <row r="10" spans="2:21" ht="24.95" customHeight="1">
      <c r="B10" s="1045"/>
      <c r="C10" s="1046"/>
      <c r="D10" s="1047"/>
      <c r="E10" s="1047"/>
      <c r="F10" s="1048"/>
      <c r="G10" s="1048"/>
      <c r="H10" s="340" t="s">
        <v>653</v>
      </c>
      <c r="I10" s="341"/>
      <c r="J10" s="494">
        <v>1</v>
      </c>
      <c r="K10" s="340"/>
      <c r="L10" s="340"/>
      <c r="M10" s="340"/>
      <c r="N10" s="338"/>
      <c r="O10" s="336"/>
      <c r="P10" s="343"/>
      <c r="T10" s="366" t="s">
        <v>129</v>
      </c>
      <c r="U10" s="365"/>
    </row>
    <row r="11" spans="2:21" ht="30" customHeight="1">
      <c r="B11" s="1045"/>
      <c r="C11" s="1046"/>
      <c r="D11" s="1047"/>
      <c r="E11" s="1047"/>
      <c r="F11" s="1048"/>
      <c r="G11" s="1048"/>
      <c r="H11" s="340" t="s">
        <v>654</v>
      </c>
      <c r="I11" s="341"/>
      <c r="J11" s="494">
        <v>1</v>
      </c>
      <c r="K11" s="340"/>
      <c r="L11" s="340"/>
      <c r="M11" s="340"/>
      <c r="N11" s="338"/>
      <c r="O11" s="336"/>
      <c r="P11" s="343"/>
      <c r="T11" s="39"/>
      <c r="U11" s="365"/>
    </row>
    <row r="12" spans="2:21" ht="31.5" hidden="1" customHeight="1">
      <c r="B12" s="1045"/>
      <c r="C12" s="1046"/>
      <c r="D12" s="1047"/>
      <c r="E12" s="1047"/>
      <c r="F12" s="1048"/>
      <c r="G12" s="1048"/>
      <c r="H12" s="337"/>
      <c r="I12" s="341"/>
      <c r="J12" s="494"/>
      <c r="K12" s="336"/>
      <c r="L12" s="340"/>
      <c r="M12" s="340"/>
      <c r="N12" s="338"/>
      <c r="O12" s="336"/>
      <c r="P12" s="343"/>
      <c r="T12" s="39"/>
      <c r="U12" s="365"/>
    </row>
    <row r="13" spans="2:21" ht="24.95" hidden="1" customHeight="1">
      <c r="B13" s="1045"/>
      <c r="C13" s="1046"/>
      <c r="D13" s="1047"/>
      <c r="E13" s="1047"/>
      <c r="F13" s="1048"/>
      <c r="G13" s="1048"/>
      <c r="H13" s="337"/>
      <c r="I13" s="341"/>
      <c r="J13" s="494"/>
      <c r="K13" s="340"/>
      <c r="L13" s="340"/>
      <c r="M13" s="340"/>
      <c r="N13" s="338"/>
      <c r="O13" s="336"/>
      <c r="P13" s="343"/>
      <c r="T13" s="39"/>
      <c r="U13" s="365"/>
    </row>
    <row r="14" spans="2:21" ht="24.95" hidden="1" customHeight="1">
      <c r="B14" s="1045"/>
      <c r="C14" s="1046"/>
      <c r="D14" s="1047"/>
      <c r="E14" s="1047"/>
      <c r="F14" s="1048"/>
      <c r="G14" s="1048"/>
      <c r="H14" s="340"/>
      <c r="I14" s="341"/>
      <c r="J14" s="494"/>
      <c r="K14" s="340"/>
      <c r="L14" s="494"/>
      <c r="M14" s="494"/>
      <c r="N14" s="338"/>
      <c r="O14" s="336"/>
      <c r="P14" s="343"/>
      <c r="T14" s="39"/>
      <c r="U14" s="365"/>
    </row>
    <row r="15" spans="2:21" ht="24.95" hidden="1" customHeight="1">
      <c r="B15" s="1045"/>
      <c r="C15" s="1046"/>
      <c r="D15" s="1047"/>
      <c r="E15" s="1047"/>
      <c r="F15" s="1048"/>
      <c r="G15" s="1048"/>
      <c r="H15" s="340"/>
      <c r="I15" s="341"/>
      <c r="J15" s="494"/>
      <c r="K15" s="340"/>
      <c r="L15" s="494"/>
      <c r="M15" s="494"/>
      <c r="N15" s="338"/>
      <c r="O15" s="336"/>
      <c r="P15" s="343"/>
      <c r="T15" s="39"/>
      <c r="U15" s="365"/>
    </row>
    <row r="16" spans="2:21" ht="24.95" hidden="1" customHeight="1">
      <c r="B16" s="492"/>
      <c r="C16" s="347"/>
      <c r="D16" s="347"/>
      <c r="E16" s="338"/>
      <c r="F16" s="348"/>
      <c r="G16" s="348"/>
      <c r="H16" s="340"/>
      <c r="I16" s="340"/>
      <c r="J16" s="494"/>
      <c r="K16" s="340"/>
      <c r="L16" s="340"/>
      <c r="M16" s="340"/>
      <c r="N16" s="338"/>
      <c r="O16" s="336"/>
      <c r="P16" s="343"/>
      <c r="T16" s="39"/>
      <c r="U16" s="365"/>
    </row>
    <row r="17" spans="1:21" ht="63.75" customHeight="1" thickBot="1">
      <c r="B17" s="1062" t="s">
        <v>48</v>
      </c>
      <c r="C17" s="1063"/>
      <c r="D17" s="1063"/>
      <c r="E17" s="1063"/>
      <c r="F17" s="1063"/>
      <c r="G17" s="1063"/>
      <c r="H17" s="1063"/>
      <c r="I17" s="1054">
        <f>L6*84.01+L7*122.28+1421.91+160.1+1532.94+772.4</f>
        <v>5934.3899999999994</v>
      </c>
      <c r="J17" s="1054"/>
      <c r="K17" s="1054"/>
      <c r="L17" s="1054"/>
      <c r="M17" s="493"/>
      <c r="N17" s="350"/>
      <c r="O17" s="358"/>
      <c r="P17" s="351"/>
      <c r="T17" s="39"/>
      <c r="U17" s="365"/>
    </row>
    <row r="18" spans="1:21" ht="409.5" customHeight="1" thickTop="1">
      <c r="A18" s="1053" t="s">
        <v>624</v>
      </c>
      <c r="B18" s="906"/>
      <c r="C18" s="906"/>
      <c r="D18" s="906"/>
      <c r="E18" s="906"/>
      <c r="F18" s="906"/>
      <c r="G18" s="906"/>
      <c r="H18" s="906"/>
      <c r="I18" s="906"/>
      <c r="J18" s="906"/>
      <c r="K18" s="906"/>
      <c r="L18" s="906"/>
      <c r="M18" s="906"/>
      <c r="T18" s="39"/>
      <c r="U18" s="39"/>
    </row>
    <row r="19" spans="1:21" ht="13.5" customHeight="1">
      <c r="B19" s="890" t="s">
        <v>466</v>
      </c>
      <c r="C19" s="890"/>
      <c r="D19" s="890"/>
      <c r="E19" s="890"/>
      <c r="F19" s="890"/>
      <c r="G19" s="890"/>
      <c r="H19" s="890"/>
      <c r="I19" s="890"/>
      <c r="J19" s="890"/>
      <c r="K19" s="890"/>
      <c r="L19" s="890"/>
      <c r="M19" s="890"/>
      <c r="N19" s="890"/>
    </row>
    <row r="20" spans="1:21" ht="20.100000000000001" customHeight="1">
      <c r="B20" s="991" t="s">
        <v>518</v>
      </c>
      <c r="C20" s="991"/>
      <c r="D20" s="991"/>
      <c r="E20" s="991"/>
      <c r="F20" s="285" t="s">
        <v>525</v>
      </c>
      <c r="G20" s="285"/>
      <c r="H20" s="285"/>
      <c r="I20" s="285"/>
      <c r="J20" s="991"/>
      <c r="K20" s="991"/>
      <c r="L20" s="991"/>
      <c r="M20" s="991"/>
      <c r="N20" s="991" t="s">
        <v>526</v>
      </c>
      <c r="O20" s="991"/>
      <c r="P20" s="991"/>
      <c r="Q20" s="991"/>
      <c r="R20" s="991"/>
      <c r="S20" s="991"/>
      <c r="T20" s="991"/>
      <c r="U20" s="991"/>
    </row>
    <row r="21" spans="1:21" ht="20.100000000000001" customHeight="1">
      <c r="B21" s="991" t="s">
        <v>519</v>
      </c>
      <c r="C21" s="991"/>
      <c r="D21" s="991"/>
      <c r="E21" s="991"/>
      <c r="F21" s="285" t="s">
        <v>519</v>
      </c>
      <c r="G21" s="285"/>
      <c r="H21" s="285"/>
      <c r="I21" s="285"/>
      <c r="J21" s="991"/>
      <c r="K21" s="991"/>
      <c r="L21" s="991"/>
      <c r="M21" s="991"/>
      <c r="N21" s="991" t="s">
        <v>519</v>
      </c>
      <c r="O21" s="991"/>
      <c r="P21" s="991"/>
      <c r="Q21" s="991"/>
      <c r="R21" s="991"/>
      <c r="S21" s="991"/>
      <c r="T21" s="991"/>
      <c r="U21" s="991"/>
    </row>
    <row r="22" spans="1:21" ht="18">
      <c r="B22" s="491" t="s">
        <v>517</v>
      </c>
      <c r="C22" s="284"/>
      <c r="D22" s="284"/>
      <c r="E22" s="284"/>
      <c r="F22" s="285" t="s">
        <v>520</v>
      </c>
      <c r="G22" s="286"/>
      <c r="H22" s="286"/>
      <c r="I22" s="286"/>
      <c r="J22" s="491"/>
      <c r="K22" s="284"/>
      <c r="L22" s="284"/>
      <c r="M22" s="284"/>
      <c r="N22" s="491" t="s">
        <v>517</v>
      </c>
      <c r="O22" s="284"/>
      <c r="P22" s="284"/>
      <c r="Q22" s="284"/>
      <c r="R22" s="491"/>
      <c r="S22" s="284"/>
      <c r="T22" s="284"/>
      <c r="U22" s="284"/>
    </row>
  </sheetData>
  <mergeCells count="23">
    <mergeCell ref="B21:E21"/>
    <mergeCell ref="J21:M21"/>
    <mergeCell ref="N21:Q21"/>
    <mergeCell ref="R21:U21"/>
    <mergeCell ref="B20:E20"/>
    <mergeCell ref="J20:M20"/>
    <mergeCell ref="N20:Q20"/>
    <mergeCell ref="B17:H17"/>
    <mergeCell ref="I17:L17"/>
    <mergeCell ref="A18:M18"/>
    <mergeCell ref="B19:N19"/>
    <mergeCell ref="R20:U20"/>
    <mergeCell ref="B1:N1"/>
    <mergeCell ref="B2:N2"/>
    <mergeCell ref="B3:N3"/>
    <mergeCell ref="B4:L4"/>
    <mergeCell ref="B6:B15"/>
    <mergeCell ref="C6:C15"/>
    <mergeCell ref="D6:D15"/>
    <mergeCell ref="E6:E15"/>
    <mergeCell ref="F6:F15"/>
    <mergeCell ref="G6:G15"/>
    <mergeCell ref="M6:M7"/>
  </mergeCells>
  <pageMargins left="0.19" right="0.15" top="0.21" bottom="0.28000000000000003" header="0.3" footer="0.3"/>
  <pageSetup scale="65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B1:O17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30.75" customHeight="1">
      <c r="B5" s="863">
        <v>1</v>
      </c>
      <c r="C5" s="864" t="s">
        <v>19</v>
      </c>
      <c r="D5" s="864" t="s">
        <v>264</v>
      </c>
      <c r="E5" s="864">
        <v>131978</v>
      </c>
      <c r="F5" s="865">
        <v>40141</v>
      </c>
      <c r="G5" s="865">
        <v>40143</v>
      </c>
      <c r="H5" s="17" t="s">
        <v>285</v>
      </c>
      <c r="I5" s="84" t="s">
        <v>244</v>
      </c>
      <c r="J5" s="16">
        <v>8</v>
      </c>
      <c r="K5" s="17" t="s">
        <v>32</v>
      </c>
      <c r="L5" s="16">
        <v>22</v>
      </c>
      <c r="M5" s="18" t="s">
        <v>292</v>
      </c>
      <c r="N5" s="80" t="s">
        <v>133</v>
      </c>
    </row>
    <row r="6" spans="2:15" ht="24.95" customHeight="1">
      <c r="B6" s="852"/>
      <c r="C6" s="855"/>
      <c r="D6" s="855"/>
      <c r="E6" s="855"/>
      <c r="F6" s="839"/>
      <c r="G6" s="839"/>
      <c r="H6" s="14" t="s">
        <v>286</v>
      </c>
      <c r="I6" s="133" t="s">
        <v>287</v>
      </c>
      <c r="J6" s="16">
        <v>16</v>
      </c>
      <c r="K6" s="17" t="s">
        <v>33</v>
      </c>
      <c r="L6" s="16">
        <v>41</v>
      </c>
      <c r="M6" s="18" t="s">
        <v>293</v>
      </c>
      <c r="N6" s="80"/>
    </row>
    <row r="7" spans="2:15" ht="24.95" customHeight="1">
      <c r="B7" s="852"/>
      <c r="C7" s="855"/>
      <c r="D7" s="855"/>
      <c r="E7" s="855"/>
      <c r="F7" s="839"/>
      <c r="G7" s="839"/>
      <c r="H7" s="14" t="s">
        <v>288</v>
      </c>
      <c r="I7" s="15">
        <v>3453201160</v>
      </c>
      <c r="J7" s="16">
        <v>1</v>
      </c>
      <c r="K7" s="17" t="s">
        <v>38</v>
      </c>
      <c r="L7" s="16">
        <v>90</v>
      </c>
      <c r="M7" s="18"/>
      <c r="N7" s="80"/>
    </row>
    <row r="8" spans="2:15" ht="24.95" customHeight="1">
      <c r="B8" s="852"/>
      <c r="C8" s="855"/>
      <c r="D8" s="855"/>
      <c r="E8" s="855"/>
      <c r="F8" s="839"/>
      <c r="G8" s="839"/>
      <c r="H8" s="14" t="s">
        <v>289</v>
      </c>
      <c r="I8" s="15">
        <v>3389800650</v>
      </c>
      <c r="J8" s="16">
        <v>2</v>
      </c>
      <c r="K8" s="17" t="s">
        <v>34</v>
      </c>
      <c r="L8" s="16">
        <v>8</v>
      </c>
      <c r="M8" s="18"/>
      <c r="N8" s="19"/>
    </row>
    <row r="9" spans="2:15" ht="24.95" customHeight="1">
      <c r="B9" s="852"/>
      <c r="C9" s="855"/>
      <c r="D9" s="855"/>
      <c r="E9" s="855"/>
      <c r="F9" s="839"/>
      <c r="G9" s="839"/>
      <c r="H9" s="14" t="s">
        <v>175</v>
      </c>
      <c r="I9" s="15">
        <v>3423004920</v>
      </c>
      <c r="J9" s="16">
        <v>4</v>
      </c>
      <c r="K9" s="17"/>
      <c r="L9" s="16"/>
      <c r="M9" s="18"/>
      <c r="N9" s="19"/>
    </row>
    <row r="10" spans="2:15" ht="24.95" customHeight="1">
      <c r="B10" s="852"/>
      <c r="C10" s="855"/>
      <c r="D10" s="855"/>
      <c r="E10" s="855"/>
      <c r="F10" s="839"/>
      <c r="G10" s="839"/>
      <c r="H10" s="14" t="s">
        <v>290</v>
      </c>
      <c r="I10" s="15">
        <v>3840000030</v>
      </c>
      <c r="J10" s="16">
        <v>1</v>
      </c>
      <c r="K10" s="17"/>
      <c r="L10" s="16"/>
      <c r="M10" s="18"/>
      <c r="N10" s="19"/>
    </row>
    <row r="11" spans="2:15" ht="24.95" customHeight="1">
      <c r="B11" s="852"/>
      <c r="C11" s="855"/>
      <c r="D11" s="855"/>
      <c r="E11" s="855"/>
      <c r="F11" s="839"/>
      <c r="G11" s="839"/>
      <c r="H11" s="14" t="s">
        <v>243</v>
      </c>
      <c r="I11" s="63">
        <v>3414200890</v>
      </c>
      <c r="J11" s="64">
        <v>2</v>
      </c>
      <c r="K11" s="62"/>
      <c r="L11" s="64"/>
      <c r="M11" s="18"/>
      <c r="N11" s="19"/>
    </row>
    <row r="12" spans="2:15" ht="24.95" customHeight="1">
      <c r="B12" s="858"/>
      <c r="C12" s="859"/>
      <c r="D12" s="859"/>
      <c r="E12" s="859"/>
      <c r="F12" s="840"/>
      <c r="G12" s="840"/>
      <c r="H12" s="17" t="s">
        <v>291</v>
      </c>
      <c r="I12" s="63">
        <v>3715110054</v>
      </c>
      <c r="J12" s="64">
        <v>2</v>
      </c>
      <c r="K12" s="62"/>
      <c r="L12" s="62"/>
      <c r="M12" s="20"/>
      <c r="N12" s="19"/>
    </row>
    <row r="13" spans="2:15" ht="38.1" customHeight="1" thickBot="1">
      <c r="B13" s="843" t="s">
        <v>48</v>
      </c>
      <c r="C13" s="844"/>
      <c r="D13" s="844"/>
      <c r="E13" s="844"/>
      <c r="F13" s="844"/>
      <c r="G13" s="844"/>
      <c r="H13" s="844"/>
      <c r="I13" s="894">
        <f>L5*84.01+L6*84.01+L7*77.98+L8*109.25+7667.47+3540+3086.24+160.42+462.59+246.38+168.76+2813.92</f>
        <v>31330.61</v>
      </c>
      <c r="J13" s="895"/>
      <c r="K13" s="895"/>
      <c r="L13" s="896"/>
      <c r="N13" s="83"/>
      <c r="O13" s="90"/>
    </row>
    <row r="14" spans="2:15" ht="24.95" customHeight="1" thickTop="1">
      <c r="B14" s="889" t="s">
        <v>128</v>
      </c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</row>
    <row r="15" spans="2:15" ht="24.95" customHeight="1">
      <c r="B15" s="890" t="s">
        <v>16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5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3">
    <mergeCell ref="B14:N14"/>
    <mergeCell ref="B15:N15"/>
    <mergeCell ref="B1:N1"/>
    <mergeCell ref="B2:N2"/>
    <mergeCell ref="B5:B12"/>
    <mergeCell ref="C5:C12"/>
    <mergeCell ref="D5:D12"/>
    <mergeCell ref="E5:E12"/>
    <mergeCell ref="F5:F12"/>
    <mergeCell ref="G5:G12"/>
    <mergeCell ref="B13:H13"/>
    <mergeCell ref="I13:L13"/>
    <mergeCell ref="B3:N3"/>
  </mergeCells>
  <pageMargins left="0.19" right="0.15" top="0.21" bottom="0.28000000000000003" header="0.3" footer="0.3"/>
  <pageSetup scale="72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4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5" sqref="A5:XFD19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0.42578125" customWidth="1"/>
    <col min="8" max="8" width="25" customWidth="1"/>
    <col min="9" max="9" width="16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4.7109375" customWidth="1"/>
    <col min="15" max="15" width="16.2851562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1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3.25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2:16" ht="24.95" customHeight="1">
      <c r="B5" s="863">
        <v>1</v>
      </c>
      <c r="C5" s="897" t="s">
        <v>226</v>
      </c>
      <c r="D5" s="897" t="s">
        <v>861</v>
      </c>
      <c r="E5" s="897">
        <v>397482</v>
      </c>
      <c r="F5" s="1076">
        <v>40506</v>
      </c>
      <c r="G5" s="1076">
        <v>40509</v>
      </c>
      <c r="H5" s="611" t="s">
        <v>148</v>
      </c>
      <c r="I5" s="612" t="s">
        <v>154</v>
      </c>
      <c r="J5" s="613">
        <v>2</v>
      </c>
      <c r="K5" s="611" t="s">
        <v>523</v>
      </c>
      <c r="L5" s="613">
        <v>5</v>
      </c>
      <c r="M5" s="880" t="s">
        <v>582</v>
      </c>
      <c r="N5" s="614" t="s">
        <v>851</v>
      </c>
      <c r="O5" s="676" t="s">
        <v>878</v>
      </c>
      <c r="P5" s="616">
        <v>4</v>
      </c>
    </row>
    <row r="6" spans="2:16" ht="32.25" customHeight="1">
      <c r="B6" s="852"/>
      <c r="C6" s="898"/>
      <c r="D6" s="898"/>
      <c r="E6" s="898"/>
      <c r="F6" s="1077"/>
      <c r="G6" s="1077"/>
      <c r="H6" s="614" t="s">
        <v>832</v>
      </c>
      <c r="I6" s="612" t="s">
        <v>843</v>
      </c>
      <c r="J6" s="613">
        <v>2</v>
      </c>
      <c r="K6" s="611" t="s">
        <v>523</v>
      </c>
      <c r="L6" s="613">
        <v>4</v>
      </c>
      <c r="M6" s="881"/>
      <c r="N6" s="614" t="s">
        <v>852</v>
      </c>
      <c r="O6" s="615" t="s">
        <v>879</v>
      </c>
      <c r="P6" s="616">
        <v>2</v>
      </c>
    </row>
    <row r="7" spans="2:16" ht="39.75" customHeight="1">
      <c r="B7" s="852"/>
      <c r="C7" s="898"/>
      <c r="D7" s="898"/>
      <c r="E7" s="898"/>
      <c r="F7" s="1077"/>
      <c r="G7" s="1077"/>
      <c r="H7" s="614" t="s">
        <v>833</v>
      </c>
      <c r="I7" s="612" t="s">
        <v>844</v>
      </c>
      <c r="J7" s="613">
        <v>2</v>
      </c>
      <c r="K7" s="611" t="s">
        <v>523</v>
      </c>
      <c r="L7" s="613">
        <v>4</v>
      </c>
      <c r="M7" s="881"/>
      <c r="N7" s="614" t="s">
        <v>853</v>
      </c>
      <c r="O7" s="677">
        <v>1236117091</v>
      </c>
      <c r="P7" s="616">
        <v>1</v>
      </c>
    </row>
    <row r="8" spans="2:16" ht="29.25" customHeight="1">
      <c r="B8" s="852"/>
      <c r="C8" s="898"/>
      <c r="D8" s="898"/>
      <c r="E8" s="898"/>
      <c r="F8" s="1077"/>
      <c r="G8" s="1077"/>
      <c r="H8" s="614" t="s">
        <v>834</v>
      </c>
      <c r="I8" s="612" t="s">
        <v>845</v>
      </c>
      <c r="J8" s="613">
        <v>1</v>
      </c>
      <c r="K8" s="611" t="s">
        <v>523</v>
      </c>
      <c r="L8" s="613">
        <v>5</v>
      </c>
      <c r="M8" s="881"/>
      <c r="N8" s="614"/>
      <c r="O8" s="615"/>
      <c r="P8" s="616"/>
    </row>
    <row r="9" spans="2:16" ht="24.95" customHeight="1">
      <c r="B9" s="852"/>
      <c r="C9" s="898"/>
      <c r="D9" s="898"/>
      <c r="E9" s="898"/>
      <c r="F9" s="1077"/>
      <c r="G9" s="1077"/>
      <c r="H9" s="614" t="s">
        <v>835</v>
      </c>
      <c r="I9" s="612" t="s">
        <v>348</v>
      </c>
      <c r="J9" s="613">
        <v>1</v>
      </c>
      <c r="K9" s="611"/>
      <c r="L9" s="613"/>
      <c r="M9" s="881"/>
      <c r="N9" s="614"/>
      <c r="O9" s="615"/>
      <c r="P9" s="616"/>
    </row>
    <row r="10" spans="2:16" ht="24.95" customHeight="1">
      <c r="B10" s="852"/>
      <c r="C10" s="898"/>
      <c r="D10" s="898"/>
      <c r="E10" s="898"/>
      <c r="F10" s="1077"/>
      <c r="G10" s="1077"/>
      <c r="H10" s="614" t="s">
        <v>836</v>
      </c>
      <c r="I10" s="612" t="s">
        <v>846</v>
      </c>
      <c r="J10" s="613">
        <v>1</v>
      </c>
      <c r="K10" s="611"/>
      <c r="L10" s="613"/>
      <c r="M10" s="881"/>
      <c r="N10" s="614"/>
      <c r="O10" s="615"/>
      <c r="P10" s="616"/>
    </row>
    <row r="11" spans="2:16" ht="24.95" customHeight="1">
      <c r="B11" s="852"/>
      <c r="C11" s="898"/>
      <c r="D11" s="898"/>
      <c r="E11" s="898"/>
      <c r="F11" s="1077"/>
      <c r="G11" s="1077"/>
      <c r="H11" s="614" t="s">
        <v>837</v>
      </c>
      <c r="I11" s="612" t="s">
        <v>847</v>
      </c>
      <c r="J11" s="613">
        <v>2</v>
      </c>
      <c r="K11" s="611"/>
      <c r="L11" s="613"/>
      <c r="M11" s="881"/>
      <c r="N11" s="614"/>
      <c r="O11" s="615"/>
      <c r="P11" s="616"/>
    </row>
    <row r="12" spans="2:16" ht="24.95" customHeight="1">
      <c r="B12" s="852"/>
      <c r="C12" s="898"/>
      <c r="D12" s="898"/>
      <c r="E12" s="898"/>
      <c r="F12" s="1077"/>
      <c r="G12" s="1077"/>
      <c r="H12" s="614" t="s">
        <v>838</v>
      </c>
      <c r="I12" s="612" t="s">
        <v>323</v>
      </c>
      <c r="J12" s="613">
        <v>2</v>
      </c>
      <c r="K12" s="611"/>
      <c r="L12" s="613"/>
      <c r="M12" s="881"/>
      <c r="N12" s="614"/>
      <c r="O12" s="615"/>
      <c r="P12" s="616"/>
    </row>
    <row r="13" spans="2:16" ht="24.95" customHeight="1">
      <c r="B13" s="852"/>
      <c r="C13" s="898"/>
      <c r="D13" s="898"/>
      <c r="E13" s="898"/>
      <c r="F13" s="1077"/>
      <c r="G13" s="1077"/>
      <c r="H13" s="614" t="s">
        <v>839</v>
      </c>
      <c r="I13" s="612" t="s">
        <v>848</v>
      </c>
      <c r="J13" s="613">
        <v>1</v>
      </c>
      <c r="K13" s="611"/>
      <c r="L13" s="613"/>
      <c r="M13" s="881"/>
      <c r="N13" s="614"/>
      <c r="O13" s="615"/>
      <c r="P13" s="616"/>
    </row>
    <row r="14" spans="2:16" ht="24.95" customHeight="1">
      <c r="B14" s="852"/>
      <c r="C14" s="898"/>
      <c r="D14" s="898"/>
      <c r="E14" s="898"/>
      <c r="F14" s="1077"/>
      <c r="G14" s="1077"/>
      <c r="H14" s="614" t="s">
        <v>840</v>
      </c>
      <c r="I14" s="612" t="s">
        <v>849</v>
      </c>
      <c r="J14" s="613">
        <v>3</v>
      </c>
      <c r="K14" s="611"/>
      <c r="L14" s="613"/>
      <c r="M14" s="881"/>
      <c r="N14" s="617"/>
      <c r="O14" s="615"/>
      <c r="P14" s="616"/>
    </row>
    <row r="15" spans="2:16" ht="24.95" customHeight="1">
      <c r="B15" s="852"/>
      <c r="C15" s="898"/>
      <c r="D15" s="898"/>
      <c r="E15" s="898"/>
      <c r="F15" s="1077"/>
      <c r="G15" s="1077"/>
      <c r="H15" s="614" t="s">
        <v>841</v>
      </c>
      <c r="I15" s="612" t="s">
        <v>335</v>
      </c>
      <c r="J15" s="613">
        <v>1</v>
      </c>
      <c r="K15" s="611"/>
      <c r="L15" s="613"/>
      <c r="M15" s="881"/>
      <c r="N15" s="617"/>
      <c r="O15" s="615"/>
      <c r="P15" s="616"/>
    </row>
    <row r="16" spans="2:16" ht="36" customHeight="1">
      <c r="B16" s="852"/>
      <c r="C16" s="898"/>
      <c r="D16" s="898"/>
      <c r="E16" s="898"/>
      <c r="F16" s="1077"/>
      <c r="G16" s="1077"/>
      <c r="H16" s="614" t="s">
        <v>842</v>
      </c>
      <c r="I16" s="612" t="s">
        <v>850</v>
      </c>
      <c r="J16" s="613">
        <v>1</v>
      </c>
      <c r="K16" s="611"/>
      <c r="L16" s="613"/>
      <c r="M16" s="881"/>
      <c r="N16" s="617"/>
      <c r="O16" s="615"/>
      <c r="P16" s="616"/>
    </row>
    <row r="17" spans="1:21" ht="24.95" customHeight="1">
      <c r="B17" s="852"/>
      <c r="C17" s="898"/>
      <c r="D17" s="898"/>
      <c r="E17" s="898"/>
      <c r="F17" s="1077"/>
      <c r="G17" s="1077"/>
      <c r="H17" s="614" t="s">
        <v>839</v>
      </c>
      <c r="I17" s="612" t="s">
        <v>848</v>
      </c>
      <c r="J17" s="613">
        <v>1</v>
      </c>
      <c r="K17" s="611"/>
      <c r="L17" s="613"/>
      <c r="M17" s="881"/>
      <c r="N17" s="617"/>
      <c r="O17" s="615"/>
      <c r="P17" s="616"/>
    </row>
    <row r="18" spans="1:21" ht="24.95" customHeight="1">
      <c r="B18" s="858"/>
      <c r="C18" s="1075"/>
      <c r="D18" s="1075"/>
      <c r="E18" s="1075"/>
      <c r="F18" s="1078"/>
      <c r="G18" s="1078"/>
      <c r="H18" s="614" t="s">
        <v>839</v>
      </c>
      <c r="I18" s="612" t="s">
        <v>848</v>
      </c>
      <c r="J18" s="613">
        <v>1</v>
      </c>
      <c r="K18" s="611"/>
      <c r="L18" s="611"/>
      <c r="M18" s="1079"/>
      <c r="N18" s="617"/>
      <c r="O18" s="615"/>
      <c r="P18" s="616"/>
    </row>
    <row r="19" spans="1:21" ht="30" customHeight="1" thickBot="1">
      <c r="B19" s="1080" t="s">
        <v>48</v>
      </c>
      <c r="C19" s="1081"/>
      <c r="D19" s="1081"/>
      <c r="E19" s="1081"/>
      <c r="F19" s="1081"/>
      <c r="G19" s="1081"/>
      <c r="H19" s="1081"/>
      <c r="I19" s="1082">
        <f>130.44+138.34+140.26+81.67+104.91+61.15+209.14+892.16+900+108.99+2628.4+2580.49+13*83.26+1800</f>
        <v>10858.329999999998</v>
      </c>
      <c r="J19" s="1082"/>
      <c r="K19" s="1082"/>
      <c r="L19" s="1082"/>
      <c r="M19" s="622"/>
      <c r="N19" s="623"/>
      <c r="O19" s="624"/>
      <c r="P19" s="625"/>
    </row>
    <row r="20" spans="1:21" ht="274.5" customHeight="1" thickTop="1">
      <c r="A20" s="999" t="s">
        <v>854</v>
      </c>
      <c r="B20" s="1000"/>
      <c r="C20" s="1000"/>
      <c r="D20" s="1000"/>
      <c r="E20" s="1000"/>
      <c r="F20" s="1000"/>
      <c r="G20" s="1000"/>
      <c r="H20" s="1000"/>
      <c r="I20" s="1000"/>
      <c r="J20" s="1000"/>
      <c r="K20" s="1000"/>
      <c r="L20" s="1000"/>
      <c r="M20" s="1000"/>
      <c r="N20" s="117"/>
    </row>
    <row r="21" spans="1:21" ht="24.95" hidden="1" customHeight="1">
      <c r="A21" s="890" t="s">
        <v>466</v>
      </c>
      <c r="B21" s="890"/>
      <c r="C21" s="890"/>
      <c r="D21" s="890"/>
      <c r="E21" s="890"/>
      <c r="F21" s="890"/>
      <c r="G21" s="890"/>
      <c r="H21" s="890"/>
      <c r="I21" s="890"/>
      <c r="J21" s="890"/>
      <c r="K21" s="890"/>
      <c r="L21" s="890"/>
      <c r="M21" s="890"/>
      <c r="N21" s="201"/>
    </row>
    <row r="22" spans="1:21" ht="20.100000000000001" customHeight="1">
      <c r="B22" s="991" t="s">
        <v>518</v>
      </c>
      <c r="C22" s="991"/>
      <c r="D22" s="991"/>
      <c r="E22" s="991"/>
      <c r="F22" s="285" t="s">
        <v>525</v>
      </c>
      <c r="G22" s="285"/>
      <c r="H22" s="285"/>
      <c r="I22" s="248"/>
      <c r="J22" s="991" t="s">
        <v>526</v>
      </c>
      <c r="K22" s="991"/>
      <c r="L22" s="991"/>
      <c r="M22" s="991"/>
      <c r="N22" s="991"/>
      <c r="O22" s="991"/>
      <c r="P22" s="991"/>
      <c r="Q22" s="991"/>
      <c r="R22" s="991"/>
      <c r="S22" s="991"/>
      <c r="T22" s="991"/>
      <c r="U22" s="991"/>
    </row>
    <row r="23" spans="1:21" ht="20.100000000000001" customHeight="1">
      <c r="B23" s="991" t="s">
        <v>519</v>
      </c>
      <c r="C23" s="991"/>
      <c r="D23" s="991"/>
      <c r="E23" s="991"/>
      <c r="F23" s="285" t="s">
        <v>519</v>
      </c>
      <c r="G23" s="285"/>
      <c r="H23" s="285"/>
      <c r="I23" s="248"/>
      <c r="J23" s="991" t="s">
        <v>519</v>
      </c>
      <c r="K23" s="991"/>
      <c r="L23" s="991"/>
      <c r="M23" s="991"/>
      <c r="N23" s="991"/>
      <c r="O23" s="991"/>
      <c r="P23" s="991"/>
      <c r="Q23" s="991"/>
      <c r="R23" s="991"/>
      <c r="S23" s="991"/>
      <c r="T23" s="991"/>
      <c r="U23" s="991"/>
    </row>
    <row r="24" spans="1:21" ht="18">
      <c r="B24" s="626" t="s">
        <v>517</v>
      </c>
      <c r="C24" s="284"/>
      <c r="D24" s="284"/>
      <c r="E24" s="284"/>
      <c r="F24" s="285" t="s">
        <v>520</v>
      </c>
      <c r="G24" s="286"/>
      <c r="H24" s="286"/>
      <c r="I24" s="284"/>
      <c r="J24" s="626" t="s">
        <v>517</v>
      </c>
      <c r="K24" s="284"/>
      <c r="L24" s="284"/>
      <c r="M24" s="284"/>
      <c r="N24" s="626"/>
      <c r="O24" s="284"/>
      <c r="P24" s="284"/>
      <c r="Q24" s="284"/>
      <c r="R24" s="626"/>
      <c r="S24" s="284"/>
      <c r="T24" s="284"/>
      <c r="U24" s="284"/>
    </row>
  </sheetData>
  <mergeCells count="22">
    <mergeCell ref="B19:H19"/>
    <mergeCell ref="I19:L19"/>
    <mergeCell ref="A20:M20"/>
    <mergeCell ref="A21:M21"/>
    <mergeCell ref="B22:E22"/>
    <mergeCell ref="J22:M22"/>
    <mergeCell ref="N22:Q22"/>
    <mergeCell ref="R22:U22"/>
    <mergeCell ref="B23:E23"/>
    <mergeCell ref="J23:M23"/>
    <mergeCell ref="N23:Q23"/>
    <mergeCell ref="R23:U23"/>
    <mergeCell ref="B1:N1"/>
    <mergeCell ref="B2:N2"/>
    <mergeCell ref="B3:N3"/>
    <mergeCell ref="E5:E18"/>
    <mergeCell ref="F5:F18"/>
    <mergeCell ref="G5:G18"/>
    <mergeCell ref="C5:C18"/>
    <mergeCell ref="D5:D18"/>
    <mergeCell ref="B5:B18"/>
    <mergeCell ref="M5:M18"/>
  </mergeCells>
  <pageMargins left="0.19" right="0.15" top="0.15" bottom="0.14000000000000001" header="0.15" footer="0.14000000000000001"/>
  <pageSetup scale="69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4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20" sqref="A20:XFD2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4.7109375" customWidth="1"/>
    <col min="9" max="9" width="16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4.710937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2:16" ht="24.95" customHeight="1">
      <c r="B5" s="1083">
        <v>1</v>
      </c>
      <c r="C5" s="1084" t="s">
        <v>226</v>
      </c>
      <c r="D5" s="1084" t="s">
        <v>265</v>
      </c>
      <c r="E5" s="1084">
        <v>41419</v>
      </c>
      <c r="F5" s="1085">
        <v>40500</v>
      </c>
      <c r="G5" s="1085">
        <v>40504</v>
      </c>
      <c r="H5" s="611" t="s">
        <v>757</v>
      </c>
      <c r="I5" s="612" t="s">
        <v>760</v>
      </c>
      <c r="J5" s="613">
        <v>1</v>
      </c>
      <c r="K5" s="611" t="s">
        <v>523</v>
      </c>
      <c r="L5" s="613">
        <v>7</v>
      </c>
      <c r="M5" s="1084" t="s">
        <v>583</v>
      </c>
      <c r="N5" s="614"/>
      <c r="O5" s="615"/>
      <c r="P5" s="616"/>
    </row>
    <row r="6" spans="2:16" ht="24.95" customHeight="1">
      <c r="B6" s="1083"/>
      <c r="C6" s="1084"/>
      <c r="D6" s="1084"/>
      <c r="E6" s="1084"/>
      <c r="F6" s="1085"/>
      <c r="G6" s="1085"/>
      <c r="H6" s="614" t="s">
        <v>758</v>
      </c>
      <c r="I6" s="612" t="s">
        <v>761</v>
      </c>
      <c r="J6" s="613">
        <v>1</v>
      </c>
      <c r="K6" s="611" t="s">
        <v>523</v>
      </c>
      <c r="L6" s="613">
        <v>4</v>
      </c>
      <c r="M6" s="1084"/>
      <c r="N6" s="614"/>
      <c r="O6" s="615"/>
      <c r="P6" s="616"/>
    </row>
    <row r="7" spans="2:16" ht="24.95" customHeight="1">
      <c r="B7" s="1083"/>
      <c r="C7" s="1084"/>
      <c r="D7" s="1084"/>
      <c r="E7" s="1084"/>
      <c r="F7" s="1085"/>
      <c r="G7" s="1085"/>
      <c r="H7" s="614" t="s">
        <v>759</v>
      </c>
      <c r="I7" s="612" t="s">
        <v>762</v>
      </c>
      <c r="J7" s="613">
        <v>1</v>
      </c>
      <c r="K7" s="611"/>
      <c r="L7" s="613"/>
      <c r="M7" s="1084"/>
      <c r="N7" s="614"/>
      <c r="O7" s="615"/>
      <c r="P7" s="616"/>
    </row>
    <row r="8" spans="2:16" ht="38.25" customHeight="1">
      <c r="B8" s="1083"/>
      <c r="C8" s="1084"/>
      <c r="D8" s="1084"/>
      <c r="E8" s="1084"/>
      <c r="F8" s="1085"/>
      <c r="G8" s="1085"/>
      <c r="H8" s="614" t="s">
        <v>764</v>
      </c>
      <c r="I8" s="612"/>
      <c r="J8" s="613">
        <v>1</v>
      </c>
      <c r="K8" s="611"/>
      <c r="L8" s="613"/>
      <c r="M8" s="1084"/>
      <c r="N8" s="614"/>
      <c r="O8" s="615"/>
      <c r="P8" s="616"/>
    </row>
    <row r="9" spans="2:16" ht="24.95" hidden="1" customHeight="1">
      <c r="B9" s="1083"/>
      <c r="C9" s="1084"/>
      <c r="D9" s="1084"/>
      <c r="E9" s="1084"/>
      <c r="F9" s="1085"/>
      <c r="G9" s="1085"/>
      <c r="H9" s="614"/>
      <c r="I9" s="612"/>
      <c r="J9" s="613"/>
      <c r="K9" s="611"/>
      <c r="L9" s="613"/>
      <c r="M9" s="617"/>
      <c r="N9" s="614"/>
      <c r="O9" s="615"/>
      <c r="P9" s="616"/>
    </row>
    <row r="10" spans="2:16" ht="24.95" hidden="1" customHeight="1">
      <c r="B10" s="1083"/>
      <c r="C10" s="1084"/>
      <c r="D10" s="1084"/>
      <c r="E10" s="1084"/>
      <c r="F10" s="1085"/>
      <c r="G10" s="1085"/>
      <c r="H10" s="614"/>
      <c r="I10" s="612"/>
      <c r="J10" s="613"/>
      <c r="K10" s="611"/>
      <c r="L10" s="613"/>
      <c r="M10" s="617"/>
      <c r="N10" s="614"/>
      <c r="O10" s="615"/>
      <c r="P10" s="616"/>
    </row>
    <row r="11" spans="2:16" ht="24.95" hidden="1" customHeight="1">
      <c r="B11" s="1083"/>
      <c r="C11" s="1084"/>
      <c r="D11" s="1084"/>
      <c r="E11" s="1084"/>
      <c r="F11" s="1085"/>
      <c r="G11" s="1085"/>
      <c r="H11" s="614"/>
      <c r="I11" s="612"/>
      <c r="J11" s="613"/>
      <c r="K11" s="611"/>
      <c r="L11" s="613"/>
      <c r="M11" s="617"/>
      <c r="N11" s="614"/>
      <c r="O11" s="615"/>
      <c r="P11" s="616"/>
    </row>
    <row r="12" spans="2:16" ht="24.95" hidden="1" customHeight="1">
      <c r="B12" s="1083"/>
      <c r="C12" s="1084"/>
      <c r="D12" s="1084"/>
      <c r="E12" s="1084"/>
      <c r="F12" s="1085"/>
      <c r="G12" s="1085"/>
      <c r="H12" s="614"/>
      <c r="I12" s="612"/>
      <c r="J12" s="613"/>
      <c r="K12" s="611"/>
      <c r="L12" s="613"/>
      <c r="M12" s="617"/>
      <c r="N12" s="614"/>
      <c r="O12" s="615"/>
      <c r="P12" s="616"/>
    </row>
    <row r="13" spans="2:16" ht="24.95" hidden="1" customHeight="1">
      <c r="B13" s="1083"/>
      <c r="C13" s="1084"/>
      <c r="D13" s="1084"/>
      <c r="E13" s="1084"/>
      <c r="F13" s="1085"/>
      <c r="G13" s="1085"/>
      <c r="H13" s="614"/>
      <c r="I13" s="612"/>
      <c r="J13" s="613"/>
      <c r="K13" s="611"/>
      <c r="L13" s="613"/>
      <c r="M13" s="617"/>
      <c r="N13" s="614"/>
      <c r="O13" s="615"/>
      <c r="P13" s="616"/>
    </row>
    <row r="14" spans="2:16" ht="24.95" hidden="1" customHeight="1">
      <c r="B14" s="1083"/>
      <c r="C14" s="1084"/>
      <c r="D14" s="1084"/>
      <c r="E14" s="1084"/>
      <c r="F14" s="1085"/>
      <c r="G14" s="1085"/>
      <c r="H14" s="614"/>
      <c r="I14" s="612"/>
      <c r="J14" s="613"/>
      <c r="K14" s="611"/>
      <c r="L14" s="613"/>
      <c r="M14" s="617"/>
      <c r="N14" s="617"/>
      <c r="O14" s="615"/>
      <c r="P14" s="616"/>
    </row>
    <row r="15" spans="2:16" ht="24.95" hidden="1" customHeight="1">
      <c r="B15" s="1083"/>
      <c r="C15" s="1084"/>
      <c r="D15" s="1084"/>
      <c r="E15" s="1084"/>
      <c r="F15" s="1085"/>
      <c r="G15" s="1085"/>
      <c r="H15" s="614"/>
      <c r="I15" s="612"/>
      <c r="J15" s="613"/>
      <c r="K15" s="611"/>
      <c r="L15" s="613"/>
      <c r="M15" s="617"/>
      <c r="N15" s="617"/>
      <c r="O15" s="615"/>
      <c r="P15" s="616"/>
    </row>
    <row r="16" spans="2:16" ht="24.95" hidden="1" customHeight="1">
      <c r="B16" s="1083"/>
      <c r="C16" s="1084"/>
      <c r="D16" s="1084"/>
      <c r="E16" s="1084"/>
      <c r="F16" s="1085"/>
      <c r="G16" s="1085"/>
      <c r="H16" s="614"/>
      <c r="I16" s="618"/>
      <c r="J16" s="613"/>
      <c r="K16" s="611"/>
      <c r="L16" s="613"/>
      <c r="M16" s="617"/>
      <c r="N16" s="617"/>
      <c r="O16" s="615"/>
      <c r="P16" s="616"/>
    </row>
    <row r="17" spans="1:21" ht="24.95" hidden="1" customHeight="1">
      <c r="B17" s="1083"/>
      <c r="C17" s="1084"/>
      <c r="D17" s="1084"/>
      <c r="E17" s="1084"/>
      <c r="F17" s="1085"/>
      <c r="G17" s="1085"/>
      <c r="H17" s="614"/>
      <c r="I17" s="612"/>
      <c r="J17" s="613"/>
      <c r="K17" s="611"/>
      <c r="L17" s="613"/>
      <c r="M17" s="617"/>
      <c r="N17" s="617"/>
      <c r="O17" s="615"/>
      <c r="P17" s="616"/>
    </row>
    <row r="18" spans="1:21" ht="24.95" hidden="1" customHeight="1">
      <c r="B18" s="619"/>
      <c r="C18" s="620"/>
      <c r="D18" s="620"/>
      <c r="E18" s="617"/>
      <c r="F18" s="621"/>
      <c r="G18" s="621"/>
      <c r="H18" s="611"/>
      <c r="I18" s="611"/>
      <c r="J18" s="613"/>
      <c r="K18" s="611"/>
      <c r="L18" s="611"/>
      <c r="M18" s="615"/>
      <c r="N18" s="617"/>
      <c r="O18" s="615"/>
      <c r="P18" s="616"/>
    </row>
    <row r="19" spans="1:21" ht="38.1" customHeight="1" thickBot="1">
      <c r="B19" s="1080" t="s">
        <v>48</v>
      </c>
      <c r="C19" s="1081"/>
      <c r="D19" s="1081"/>
      <c r="E19" s="1081"/>
      <c r="F19" s="1081"/>
      <c r="G19" s="1081"/>
      <c r="H19" s="1081"/>
      <c r="I19" s="1082">
        <f>2399.96+3020.89+1503.28+11*83.26</f>
        <v>7839.99</v>
      </c>
      <c r="J19" s="1082"/>
      <c r="K19" s="1082"/>
      <c r="L19" s="1082"/>
      <c r="M19" s="622"/>
      <c r="N19" s="623"/>
      <c r="O19" s="624"/>
      <c r="P19" s="625"/>
    </row>
    <row r="20" spans="1:21" ht="342.75" customHeight="1" thickTop="1">
      <c r="A20" s="999" t="s">
        <v>756</v>
      </c>
      <c r="B20" s="1000"/>
      <c r="C20" s="1000"/>
      <c r="D20" s="1000"/>
      <c r="E20" s="1000"/>
      <c r="F20" s="1000"/>
      <c r="G20" s="1000"/>
      <c r="H20" s="1000"/>
      <c r="I20" s="1000"/>
      <c r="J20" s="1000"/>
      <c r="K20" s="1000"/>
      <c r="L20" s="1000"/>
      <c r="M20" s="1000"/>
      <c r="N20" s="117"/>
    </row>
    <row r="21" spans="1:21" ht="24.95" hidden="1" customHeight="1">
      <c r="A21" s="890" t="s">
        <v>466</v>
      </c>
      <c r="B21" s="890"/>
      <c r="C21" s="890"/>
      <c r="D21" s="890"/>
      <c r="E21" s="890"/>
      <c r="F21" s="890"/>
      <c r="G21" s="890"/>
      <c r="H21" s="890"/>
      <c r="I21" s="890"/>
      <c r="J21" s="890"/>
      <c r="K21" s="890"/>
      <c r="L21" s="890"/>
      <c r="M21" s="890"/>
      <c r="N21" s="201"/>
    </row>
    <row r="22" spans="1:21" ht="20.100000000000001" customHeight="1">
      <c r="B22" s="991" t="s">
        <v>518</v>
      </c>
      <c r="C22" s="991"/>
      <c r="D22" s="991"/>
      <c r="E22" s="991"/>
      <c r="F22" s="285" t="s">
        <v>525</v>
      </c>
      <c r="G22" s="285"/>
      <c r="H22" s="285"/>
      <c r="I22" s="248"/>
      <c r="J22" s="991" t="s">
        <v>526</v>
      </c>
      <c r="K22" s="991"/>
      <c r="L22" s="991"/>
      <c r="M22" s="991"/>
      <c r="N22" s="991"/>
      <c r="O22" s="991"/>
      <c r="P22" s="991"/>
      <c r="Q22" s="991"/>
      <c r="R22" s="991"/>
      <c r="S22" s="991"/>
      <c r="T22" s="991"/>
      <c r="U22" s="991"/>
    </row>
    <row r="23" spans="1:21" ht="20.100000000000001" customHeight="1">
      <c r="B23" s="991" t="s">
        <v>519</v>
      </c>
      <c r="C23" s="991"/>
      <c r="D23" s="991"/>
      <c r="E23" s="991"/>
      <c r="F23" s="285" t="s">
        <v>519</v>
      </c>
      <c r="G23" s="285"/>
      <c r="H23" s="285"/>
      <c r="I23" s="248"/>
      <c r="J23" s="991" t="s">
        <v>519</v>
      </c>
      <c r="K23" s="991"/>
      <c r="L23" s="991"/>
      <c r="M23" s="991"/>
      <c r="N23" s="991"/>
      <c r="O23" s="991"/>
      <c r="P23" s="991"/>
      <c r="Q23" s="991"/>
      <c r="R23" s="991"/>
      <c r="S23" s="991"/>
      <c r="T23" s="991"/>
      <c r="U23" s="991"/>
    </row>
    <row r="24" spans="1:21" ht="18">
      <c r="B24" s="609" t="s">
        <v>517</v>
      </c>
      <c r="C24" s="284"/>
      <c r="D24" s="284"/>
      <c r="E24" s="284"/>
      <c r="F24" s="285" t="s">
        <v>520</v>
      </c>
      <c r="G24" s="286"/>
      <c r="H24" s="286"/>
      <c r="I24" s="284"/>
      <c r="J24" s="609" t="s">
        <v>517</v>
      </c>
      <c r="K24" s="284"/>
      <c r="L24" s="284"/>
      <c r="M24" s="284"/>
      <c r="N24" s="609"/>
      <c r="O24" s="284"/>
      <c r="P24" s="284"/>
      <c r="Q24" s="284"/>
      <c r="R24" s="609"/>
      <c r="S24" s="284"/>
      <c r="T24" s="284"/>
      <c r="U24" s="284"/>
    </row>
  </sheetData>
  <mergeCells count="22">
    <mergeCell ref="B23:E23"/>
    <mergeCell ref="J23:M23"/>
    <mergeCell ref="N23:Q23"/>
    <mergeCell ref="R23:U23"/>
    <mergeCell ref="B22:E22"/>
    <mergeCell ref="J22:M22"/>
    <mergeCell ref="N22:Q22"/>
    <mergeCell ref="R22:U22"/>
    <mergeCell ref="B19:H19"/>
    <mergeCell ref="I19:L19"/>
    <mergeCell ref="B3:N3"/>
    <mergeCell ref="A20:M20"/>
    <mergeCell ref="A21:M21"/>
    <mergeCell ref="M5:M8"/>
    <mergeCell ref="B1:N1"/>
    <mergeCell ref="B2:N2"/>
    <mergeCell ref="B5:B17"/>
    <mergeCell ref="C5:C17"/>
    <mergeCell ref="D5:D17"/>
    <mergeCell ref="E5:E17"/>
    <mergeCell ref="F5:F17"/>
    <mergeCell ref="G5:G17"/>
  </mergeCells>
  <pageMargins left="0.19" right="0.15" top="0.21" bottom="0.28000000000000003" header="0.3" footer="0.3"/>
  <pageSetup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4" sqref="A14:M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0.5703125" customWidth="1"/>
    <col min="8" max="8" width="29.85546875" customWidth="1"/>
    <col min="9" max="9" width="16.71093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6.5703125" customWidth="1"/>
    <col min="16" max="16" width="7.285156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1089">
        <v>1</v>
      </c>
      <c r="C5" s="1087" t="s">
        <v>271</v>
      </c>
      <c r="D5" s="1088" t="s">
        <v>272</v>
      </c>
      <c r="E5" s="1088">
        <v>165643</v>
      </c>
      <c r="F5" s="1090">
        <v>40516</v>
      </c>
      <c r="G5" s="1090">
        <v>40519</v>
      </c>
      <c r="H5" s="777" t="s">
        <v>946</v>
      </c>
      <c r="I5" s="778"/>
      <c r="J5" s="779">
        <v>2</v>
      </c>
      <c r="K5" s="777" t="s">
        <v>32</v>
      </c>
      <c r="L5" s="779">
        <v>6</v>
      </c>
      <c r="M5" s="1086" t="s">
        <v>949</v>
      </c>
      <c r="N5" s="780"/>
      <c r="O5" s="776"/>
      <c r="P5" s="786"/>
    </row>
    <row r="6" spans="1:21" ht="24.95" customHeight="1">
      <c r="B6" s="1089"/>
      <c r="C6" s="1087"/>
      <c r="D6" s="1088"/>
      <c r="E6" s="1088"/>
      <c r="F6" s="1090"/>
      <c r="G6" s="1090"/>
      <c r="H6" s="780" t="s">
        <v>947</v>
      </c>
      <c r="I6" s="778"/>
      <c r="J6" s="779">
        <v>1</v>
      </c>
      <c r="K6" s="777" t="s">
        <v>32</v>
      </c>
      <c r="L6" s="779">
        <v>4</v>
      </c>
      <c r="M6" s="1086"/>
      <c r="N6" s="780"/>
      <c r="O6" s="776"/>
      <c r="P6" s="786"/>
    </row>
    <row r="7" spans="1:21" ht="24.95" customHeight="1">
      <c r="B7" s="1089"/>
      <c r="C7" s="1087"/>
      <c r="D7" s="1088"/>
      <c r="E7" s="1088"/>
      <c r="F7" s="1090"/>
      <c r="G7" s="1090"/>
      <c r="H7" s="780" t="s">
        <v>967</v>
      </c>
      <c r="I7" s="778"/>
      <c r="J7" s="779">
        <v>2</v>
      </c>
      <c r="K7" s="777"/>
      <c r="L7" s="779"/>
      <c r="M7" s="1086"/>
      <c r="N7" s="780"/>
      <c r="O7" s="776"/>
      <c r="P7" s="786"/>
    </row>
    <row r="8" spans="1:21" ht="24.95" hidden="1" customHeight="1">
      <c r="B8" s="1089"/>
      <c r="C8" s="1087"/>
      <c r="D8" s="1088"/>
      <c r="E8" s="1088"/>
      <c r="F8" s="1090"/>
      <c r="G8" s="1090"/>
      <c r="H8" s="780"/>
      <c r="I8" s="778"/>
      <c r="J8" s="779"/>
      <c r="K8" s="777"/>
      <c r="L8" s="779"/>
      <c r="M8" s="1086"/>
      <c r="N8" s="785"/>
      <c r="O8" s="776"/>
      <c r="P8" s="786"/>
    </row>
    <row r="9" spans="1:21" ht="24.95" hidden="1" customHeight="1">
      <c r="B9" s="1089"/>
      <c r="C9" s="1087"/>
      <c r="D9" s="1088"/>
      <c r="E9" s="1088"/>
      <c r="F9" s="1090"/>
      <c r="G9" s="1090"/>
      <c r="H9" s="780"/>
      <c r="I9" s="778"/>
      <c r="J9" s="779"/>
      <c r="K9" s="777"/>
      <c r="L9" s="779"/>
      <c r="M9" s="1086"/>
      <c r="N9" s="785"/>
      <c r="O9" s="776"/>
      <c r="P9" s="786"/>
    </row>
    <row r="10" spans="1:21" ht="24.95" hidden="1" customHeight="1">
      <c r="B10" s="1089"/>
      <c r="C10" s="1087"/>
      <c r="D10" s="1088"/>
      <c r="E10" s="1088"/>
      <c r="F10" s="1090"/>
      <c r="G10" s="1090"/>
      <c r="H10" s="780"/>
      <c r="I10" s="778"/>
      <c r="J10" s="779"/>
      <c r="K10" s="777"/>
      <c r="L10" s="779"/>
      <c r="M10" s="1086"/>
      <c r="N10" s="785"/>
      <c r="O10" s="776"/>
      <c r="P10" s="786"/>
    </row>
    <row r="11" spans="1:21" ht="24.95" hidden="1" customHeight="1">
      <c r="B11" s="1089"/>
      <c r="C11" s="1087"/>
      <c r="D11" s="1088"/>
      <c r="E11" s="1088"/>
      <c r="F11" s="1090"/>
      <c r="G11" s="1090"/>
      <c r="H11" s="780"/>
      <c r="I11" s="778"/>
      <c r="J11" s="779"/>
      <c r="K11" s="777"/>
      <c r="L11" s="779"/>
      <c r="M11" s="1086"/>
      <c r="N11" s="785"/>
      <c r="O11" s="776"/>
      <c r="P11" s="786"/>
    </row>
    <row r="12" spans="1:21" ht="24.95" customHeight="1">
      <c r="B12" s="1089"/>
      <c r="C12" s="1087"/>
      <c r="D12" s="1088"/>
      <c r="E12" s="1088"/>
      <c r="F12" s="1090"/>
      <c r="G12" s="1090"/>
      <c r="H12" s="777" t="s">
        <v>948</v>
      </c>
      <c r="I12" s="777"/>
      <c r="J12" s="779">
        <v>2</v>
      </c>
      <c r="K12" s="777"/>
      <c r="L12" s="777"/>
      <c r="M12" s="1086"/>
      <c r="N12" s="785"/>
      <c r="O12" s="776"/>
      <c r="P12" s="786"/>
    </row>
    <row r="13" spans="1:21" ht="38.1" customHeight="1" thickBot="1">
      <c r="B13" s="1091" t="s">
        <v>48</v>
      </c>
      <c r="C13" s="1092"/>
      <c r="D13" s="1092"/>
      <c r="E13" s="1092"/>
      <c r="F13" s="1092"/>
      <c r="G13" s="1092"/>
      <c r="H13" s="1092"/>
      <c r="I13" s="1093">
        <f>L5*84.01+L6*84.01+486.96+478.26+521.76+1565.22</f>
        <v>3892.3</v>
      </c>
      <c r="J13" s="1093"/>
      <c r="K13" s="1093"/>
      <c r="L13" s="1093"/>
      <c r="M13" s="792"/>
      <c r="N13" s="789"/>
      <c r="O13" s="790"/>
      <c r="P13" s="791"/>
    </row>
    <row r="14" spans="1:21" ht="249" customHeight="1" thickTop="1">
      <c r="A14" s="999" t="s">
        <v>932</v>
      </c>
      <c r="B14" s="1000"/>
      <c r="C14" s="1000"/>
      <c r="D14" s="1000"/>
      <c r="E14" s="1000"/>
      <c r="F14" s="1000"/>
      <c r="G14" s="1000"/>
      <c r="H14" s="1000"/>
      <c r="I14" s="1000"/>
      <c r="J14" s="1000"/>
      <c r="K14" s="1000"/>
      <c r="L14" s="1000"/>
      <c r="M14" s="1000"/>
      <c r="N14" s="117"/>
    </row>
    <row r="15" spans="1:21" ht="24.95" hidden="1" customHeight="1">
      <c r="A15" s="890" t="s">
        <v>466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201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 t="s">
        <v>526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 t="s">
        <v>519</v>
      </c>
      <c r="K17" s="991"/>
      <c r="L17" s="991"/>
      <c r="M17" s="991"/>
      <c r="N17" s="991"/>
      <c r="O17" s="991"/>
      <c r="P17" s="991"/>
      <c r="Q17" s="991"/>
      <c r="R17" s="991"/>
      <c r="S17" s="991"/>
      <c r="T17" s="991"/>
      <c r="U17" s="991"/>
    </row>
    <row r="18" spans="2:21" ht="18">
      <c r="B18" s="727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727" t="s">
        <v>517</v>
      </c>
      <c r="K18" s="284"/>
      <c r="L18" s="284"/>
      <c r="M18" s="284"/>
      <c r="N18" s="727"/>
      <c r="O18" s="284"/>
      <c r="P18" s="284"/>
      <c r="Q18" s="284"/>
      <c r="R18" s="727"/>
      <c r="S18" s="284"/>
      <c r="T18" s="284"/>
      <c r="U18" s="284"/>
    </row>
  </sheetData>
  <mergeCells count="22">
    <mergeCell ref="A14:M14"/>
    <mergeCell ref="A15:M15"/>
    <mergeCell ref="B13:H13"/>
    <mergeCell ref="I13:L13"/>
    <mergeCell ref="J16:M16"/>
    <mergeCell ref="N16:Q16"/>
    <mergeCell ref="R16:U16"/>
    <mergeCell ref="B17:E17"/>
    <mergeCell ref="J17:M17"/>
    <mergeCell ref="N17:Q17"/>
    <mergeCell ref="R17:U17"/>
    <mergeCell ref="B16:E16"/>
    <mergeCell ref="B1:N1"/>
    <mergeCell ref="B2:N2"/>
    <mergeCell ref="B3:N3"/>
    <mergeCell ref="M5:M12"/>
    <mergeCell ref="C5:C12"/>
    <mergeCell ref="D5:D12"/>
    <mergeCell ref="B5:B12"/>
    <mergeCell ref="E5:E12"/>
    <mergeCell ref="F5:F12"/>
    <mergeCell ref="G5:G12"/>
  </mergeCells>
  <pageMargins left="0.19" right="0.15" top="0.21" bottom="0.28000000000000003" header="0.3" footer="0.3"/>
  <pageSetup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4.42578125" customWidth="1"/>
    <col min="4" max="4" width="13.28515625" customWidth="1"/>
    <col min="5" max="5" width="13.42578125" customWidth="1"/>
    <col min="6" max="6" width="11.42578125" customWidth="1"/>
    <col min="7" max="7" width="12.28515625" customWidth="1"/>
    <col min="8" max="8" width="18.14062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8.42578125" customWidth="1"/>
    <col min="16" max="16" width="10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4" t="s">
        <v>499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1098">
        <v>1</v>
      </c>
      <c r="C5" s="1099" t="s">
        <v>341</v>
      </c>
      <c r="D5" s="1100" t="s">
        <v>273</v>
      </c>
      <c r="E5" s="1100">
        <v>366763</v>
      </c>
      <c r="F5" s="1101">
        <v>40507</v>
      </c>
      <c r="G5" s="1101">
        <v>40507</v>
      </c>
      <c r="H5" s="628" t="s">
        <v>281</v>
      </c>
      <c r="I5" s="629" t="s">
        <v>284</v>
      </c>
      <c r="J5" s="630">
        <v>1</v>
      </c>
      <c r="K5" s="628" t="s">
        <v>32</v>
      </c>
      <c r="L5" s="630">
        <v>5</v>
      </c>
      <c r="M5" s="1094" t="s">
        <v>431</v>
      </c>
      <c r="N5" s="631"/>
      <c r="O5" s="627"/>
      <c r="P5" s="632"/>
    </row>
    <row r="6" spans="1:21" ht="24.95" customHeight="1">
      <c r="B6" s="1098"/>
      <c r="C6" s="1099"/>
      <c r="D6" s="1100"/>
      <c r="E6" s="1100"/>
      <c r="F6" s="1101"/>
      <c r="G6" s="1101"/>
      <c r="H6" s="631" t="s">
        <v>813</v>
      </c>
      <c r="I6" s="629" t="s">
        <v>346</v>
      </c>
      <c r="J6" s="630"/>
      <c r="K6" s="628" t="s">
        <v>32</v>
      </c>
      <c r="L6" s="630">
        <v>7</v>
      </c>
      <c r="M6" s="1094"/>
      <c r="N6" s="631"/>
      <c r="O6" s="627"/>
      <c r="P6" s="632"/>
    </row>
    <row r="7" spans="1:21" ht="24.95" customHeight="1">
      <c r="B7" s="1098"/>
      <c r="C7" s="1099"/>
      <c r="D7" s="1100"/>
      <c r="E7" s="1100"/>
      <c r="F7" s="1101"/>
      <c r="G7" s="1101"/>
      <c r="H7" s="631" t="s">
        <v>814</v>
      </c>
      <c r="I7" s="629" t="s">
        <v>815</v>
      </c>
      <c r="J7" s="630"/>
      <c r="K7" s="628"/>
      <c r="L7" s="630"/>
      <c r="M7" s="1094"/>
      <c r="N7" s="631"/>
      <c r="O7" s="627"/>
      <c r="P7" s="632"/>
    </row>
    <row r="8" spans="1:21" ht="24.95" hidden="1" customHeight="1">
      <c r="B8" s="635"/>
      <c r="C8" s="633"/>
      <c r="D8" s="633"/>
      <c r="E8" s="633"/>
      <c r="F8" s="636"/>
      <c r="G8" s="636"/>
      <c r="H8" s="631"/>
      <c r="I8" s="629"/>
      <c r="J8" s="630"/>
      <c r="K8" s="628"/>
      <c r="L8" s="630"/>
      <c r="M8" s="1094"/>
      <c r="N8" s="634"/>
      <c r="O8" s="627"/>
      <c r="P8" s="632"/>
    </row>
    <row r="9" spans="1:21" ht="24.95" hidden="1" customHeight="1">
      <c r="B9" s="635"/>
      <c r="C9" s="633"/>
      <c r="D9" s="633"/>
      <c r="E9" s="633"/>
      <c r="F9" s="636"/>
      <c r="G9" s="636"/>
      <c r="H9" s="631"/>
      <c r="I9" s="629"/>
      <c r="J9" s="630"/>
      <c r="K9" s="628"/>
      <c r="L9" s="630"/>
      <c r="M9" s="1094"/>
      <c r="N9" s="634"/>
      <c r="O9" s="627"/>
      <c r="P9" s="632"/>
    </row>
    <row r="10" spans="1:21" ht="24.95" hidden="1" customHeight="1">
      <c r="B10" s="635"/>
      <c r="C10" s="633"/>
      <c r="D10" s="633"/>
      <c r="E10" s="633"/>
      <c r="F10" s="636"/>
      <c r="G10" s="636"/>
      <c r="H10" s="631"/>
      <c r="I10" s="629"/>
      <c r="J10" s="630"/>
      <c r="K10" s="628"/>
      <c r="L10" s="630"/>
      <c r="M10" s="1094"/>
      <c r="N10" s="634"/>
      <c r="O10" s="627"/>
      <c r="P10" s="632"/>
    </row>
    <row r="11" spans="1:21" ht="24.95" hidden="1" customHeight="1">
      <c r="B11" s="635"/>
      <c r="C11" s="633"/>
      <c r="D11" s="633"/>
      <c r="E11" s="633"/>
      <c r="F11" s="636"/>
      <c r="G11" s="636"/>
      <c r="H11" s="631"/>
      <c r="I11" s="629"/>
      <c r="J11" s="630"/>
      <c r="K11" s="628"/>
      <c r="L11" s="630"/>
      <c r="M11" s="1094"/>
      <c r="N11" s="634"/>
      <c r="O11" s="627"/>
      <c r="P11" s="632"/>
    </row>
    <row r="12" spans="1:21" ht="24.95" customHeight="1">
      <c r="B12" s="635"/>
      <c r="C12" s="637"/>
      <c r="D12" s="637"/>
      <c r="E12" s="634"/>
      <c r="F12" s="638"/>
      <c r="G12" s="638"/>
      <c r="H12" s="628"/>
      <c r="I12" s="628"/>
      <c r="J12" s="630"/>
      <c r="K12" s="628"/>
      <c r="L12" s="628"/>
      <c r="M12" s="1094"/>
      <c r="N12" s="634"/>
      <c r="O12" s="627"/>
      <c r="P12" s="632"/>
    </row>
    <row r="13" spans="1:21" ht="38.1" customHeight="1" thickBot="1">
      <c r="B13" s="1095" t="s">
        <v>48</v>
      </c>
      <c r="C13" s="1096"/>
      <c r="D13" s="1096"/>
      <c r="E13" s="1096"/>
      <c r="F13" s="1096"/>
      <c r="G13" s="1096"/>
      <c r="H13" s="1096"/>
      <c r="I13" s="1097">
        <f>2752.85+190.78</f>
        <v>2943.63</v>
      </c>
      <c r="J13" s="1097"/>
      <c r="K13" s="1097"/>
      <c r="L13" s="1097"/>
      <c r="M13" s="639"/>
      <c r="N13" s="640"/>
      <c r="O13" s="641"/>
      <c r="P13" s="642"/>
    </row>
    <row r="14" spans="1:21" ht="216.75" customHeight="1" thickTop="1">
      <c r="A14" s="999" t="s">
        <v>812</v>
      </c>
      <c r="B14" s="1000"/>
      <c r="C14" s="1000"/>
      <c r="D14" s="1000"/>
      <c r="E14" s="1000"/>
      <c r="F14" s="1000"/>
      <c r="G14" s="1000"/>
      <c r="H14" s="1000"/>
      <c r="I14" s="1000"/>
      <c r="J14" s="1000"/>
      <c r="K14" s="1000"/>
      <c r="L14" s="1000"/>
      <c r="M14" s="1000"/>
      <c r="N14" s="117" t="s">
        <v>485</v>
      </c>
    </row>
    <row r="15" spans="1:21" ht="24.95" hidden="1" customHeight="1">
      <c r="A15" s="890" t="s">
        <v>466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201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 t="s">
        <v>526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 t="s">
        <v>519</v>
      </c>
      <c r="K17" s="991"/>
      <c r="L17" s="991"/>
      <c r="M17" s="991"/>
      <c r="N17" s="991"/>
      <c r="O17" s="991"/>
      <c r="P17" s="991"/>
      <c r="Q17" s="991"/>
      <c r="R17" s="991"/>
      <c r="S17" s="991"/>
      <c r="T17" s="991"/>
      <c r="U17" s="991"/>
    </row>
    <row r="18" spans="2:21" ht="18">
      <c r="B18" s="609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609" t="s">
        <v>517</v>
      </c>
      <c r="K18" s="284"/>
      <c r="L18" s="284"/>
      <c r="M18" s="284"/>
      <c r="N18" s="609"/>
      <c r="O18" s="284"/>
      <c r="P18" s="284"/>
      <c r="Q18" s="284"/>
      <c r="R18" s="609"/>
      <c r="S18" s="284"/>
      <c r="T18" s="284"/>
      <c r="U18" s="284"/>
    </row>
  </sheetData>
  <mergeCells count="22">
    <mergeCell ref="B16:E16"/>
    <mergeCell ref="J16:M16"/>
    <mergeCell ref="N16:Q16"/>
    <mergeCell ref="R16:U16"/>
    <mergeCell ref="B17:E17"/>
    <mergeCell ref="J17:M17"/>
    <mergeCell ref="N17:Q17"/>
    <mergeCell ref="R17:U17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  <mergeCell ref="A15:M15"/>
    <mergeCell ref="M5:M12"/>
    <mergeCell ref="B13:H13"/>
    <mergeCell ref="I13:L13"/>
  </mergeCells>
  <pageMargins left="0.14000000000000001" right="0.15" top="0.21" bottom="0.28000000000000003" header="0.3" footer="0.3"/>
  <pageSetup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B1:O17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63">
        <v>1</v>
      </c>
      <c r="C5" s="897" t="s">
        <v>274</v>
      </c>
      <c r="D5" s="864" t="s">
        <v>275</v>
      </c>
      <c r="E5" s="864">
        <v>56719</v>
      </c>
      <c r="F5" s="865">
        <v>40147</v>
      </c>
      <c r="G5" s="865">
        <v>40149</v>
      </c>
      <c r="H5" s="17"/>
      <c r="I5" s="15"/>
      <c r="J5" s="16"/>
      <c r="K5" s="17" t="s">
        <v>32</v>
      </c>
      <c r="L5" s="16">
        <v>20</v>
      </c>
      <c r="M5" s="18" t="s">
        <v>56</v>
      </c>
      <c r="N5" s="80" t="s">
        <v>47</v>
      </c>
    </row>
    <row r="6" spans="2:15" ht="24.95" hidden="1" customHeight="1">
      <c r="B6" s="852"/>
      <c r="C6" s="898"/>
      <c r="D6" s="855"/>
      <c r="E6" s="855"/>
      <c r="F6" s="839"/>
      <c r="G6" s="839"/>
      <c r="H6" s="14"/>
      <c r="I6" s="15"/>
      <c r="J6" s="16"/>
      <c r="K6" s="17" t="s">
        <v>32</v>
      </c>
      <c r="L6" s="16">
        <v>0</v>
      </c>
      <c r="M6" s="18"/>
      <c r="N6" s="80"/>
    </row>
    <row r="7" spans="2:15" ht="24.95" customHeight="1">
      <c r="B7" s="852"/>
      <c r="C7" s="898"/>
      <c r="D7" s="855"/>
      <c r="E7" s="855"/>
      <c r="F7" s="839"/>
      <c r="G7" s="839"/>
      <c r="H7" s="14"/>
      <c r="I7" s="15"/>
      <c r="J7" s="16"/>
      <c r="K7" s="17" t="s">
        <v>33</v>
      </c>
      <c r="L7" s="16">
        <v>65</v>
      </c>
      <c r="M7" s="18" t="s">
        <v>293</v>
      </c>
      <c r="N7" s="80" t="s">
        <v>317</v>
      </c>
    </row>
    <row r="8" spans="2:15" ht="24.95" customHeight="1">
      <c r="B8" s="858"/>
      <c r="C8" s="899"/>
      <c r="D8" s="859"/>
      <c r="E8" s="859"/>
      <c r="F8" s="840"/>
      <c r="G8" s="840"/>
      <c r="H8" s="14"/>
      <c r="I8" s="15"/>
      <c r="J8" s="16"/>
      <c r="K8" s="17" t="s">
        <v>34</v>
      </c>
      <c r="L8" s="16">
        <v>3</v>
      </c>
      <c r="M8" s="18"/>
      <c r="N8" s="80" t="s">
        <v>318</v>
      </c>
    </row>
    <row r="9" spans="2:15" ht="24.95" hidden="1" customHeight="1">
      <c r="B9" s="124"/>
      <c r="C9" s="125"/>
      <c r="D9" s="125"/>
      <c r="E9" s="125"/>
      <c r="F9" s="123"/>
      <c r="G9" s="123"/>
      <c r="H9" s="14"/>
      <c r="I9" s="15"/>
      <c r="J9" s="16"/>
      <c r="K9" s="17"/>
      <c r="L9" s="16"/>
      <c r="M9" s="18"/>
      <c r="N9" s="19"/>
    </row>
    <row r="10" spans="2:15" ht="24.95" hidden="1" customHeight="1">
      <c r="B10" s="124"/>
      <c r="C10" s="125"/>
      <c r="D10" s="125"/>
      <c r="E10" s="125"/>
      <c r="F10" s="123"/>
      <c r="G10" s="123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124"/>
      <c r="C11" s="125"/>
      <c r="D11" s="125"/>
      <c r="E11" s="125"/>
      <c r="F11" s="123"/>
      <c r="G11" s="123"/>
      <c r="H11" s="14"/>
      <c r="I11" s="15"/>
      <c r="J11" s="16"/>
      <c r="K11" s="17"/>
      <c r="L11" s="16"/>
      <c r="M11" s="18"/>
      <c r="N11" s="19"/>
    </row>
    <row r="12" spans="2:15" ht="24.95" customHeight="1">
      <c r="B12" s="122"/>
      <c r="C12" s="12"/>
      <c r="D12" s="12"/>
      <c r="E12" s="18"/>
      <c r="F12" s="13"/>
      <c r="G12" s="13"/>
      <c r="H12" s="17"/>
      <c r="I12" s="62"/>
      <c r="J12" s="64"/>
      <c r="K12" s="62"/>
      <c r="L12" s="62"/>
      <c r="M12" s="20"/>
      <c r="N12" s="19"/>
    </row>
    <row r="13" spans="2:15" ht="38.1" customHeight="1" thickBot="1">
      <c r="B13" s="843" t="s">
        <v>48</v>
      </c>
      <c r="C13" s="844"/>
      <c r="D13" s="844"/>
      <c r="E13" s="844"/>
      <c r="F13" s="844"/>
      <c r="G13" s="844"/>
      <c r="H13" s="844"/>
      <c r="I13" s="894">
        <f>L5*84.01+L6*84.01+L7*77.98+L8*109.25</f>
        <v>7076.65</v>
      </c>
      <c r="J13" s="895"/>
      <c r="K13" s="895"/>
      <c r="L13" s="896"/>
      <c r="N13" s="81"/>
      <c r="O13" s="90"/>
    </row>
    <row r="14" spans="2:15" ht="24.95" customHeight="1" thickTop="1">
      <c r="B14" s="889" t="s">
        <v>128</v>
      </c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</row>
    <row r="15" spans="2:15" ht="24.95" customHeight="1">
      <c r="B15" s="890" t="s">
        <v>16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5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3">
    <mergeCell ref="B14:N14"/>
    <mergeCell ref="B15:N15"/>
    <mergeCell ref="B1:N1"/>
    <mergeCell ref="B2:N2"/>
    <mergeCell ref="B5:B8"/>
    <mergeCell ref="C5:C8"/>
    <mergeCell ref="D5:D8"/>
    <mergeCell ref="E5:E8"/>
    <mergeCell ref="F5:F8"/>
    <mergeCell ref="G5:G8"/>
    <mergeCell ref="B13:H13"/>
    <mergeCell ref="I13:L13"/>
    <mergeCell ref="B3:N3"/>
  </mergeCells>
  <pageMargins left="0.19" right="0.15" top="0.21" bottom="0.28000000000000003" header="0.3" footer="0.3"/>
  <pageSetup scale="72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8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P5" sqref="P5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19.42578125" customWidth="1"/>
    <col min="9" max="9" width="15.425781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6.855468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863">
        <v>1</v>
      </c>
      <c r="C5" s="897" t="s">
        <v>276</v>
      </c>
      <c r="D5" s="897" t="s">
        <v>311</v>
      </c>
      <c r="E5" s="897">
        <v>107503</v>
      </c>
      <c r="F5" s="1076">
        <v>40517</v>
      </c>
      <c r="G5" s="1076">
        <v>40521</v>
      </c>
      <c r="H5" s="733" t="s">
        <v>936</v>
      </c>
      <c r="I5" s="749"/>
      <c r="J5" s="735">
        <v>1</v>
      </c>
      <c r="K5" s="733" t="s">
        <v>437</v>
      </c>
      <c r="L5" s="735">
        <v>0.5</v>
      </c>
      <c r="M5" s="1105" t="s">
        <v>445</v>
      </c>
      <c r="N5" s="736" t="s">
        <v>935</v>
      </c>
      <c r="O5" s="732"/>
      <c r="P5" s="794">
        <v>1</v>
      </c>
    </row>
    <row r="6" spans="1:21" ht="32.25" customHeight="1">
      <c r="B6" s="852"/>
      <c r="C6" s="898"/>
      <c r="D6" s="898"/>
      <c r="E6" s="898"/>
      <c r="F6" s="1077"/>
      <c r="G6" s="1077"/>
      <c r="H6" s="736" t="s">
        <v>552</v>
      </c>
      <c r="I6" s="749" t="s">
        <v>595</v>
      </c>
      <c r="J6" s="735" t="s">
        <v>962</v>
      </c>
      <c r="K6" s="733"/>
      <c r="L6" s="735"/>
      <c r="M6" s="1105"/>
      <c r="N6" s="736"/>
      <c r="O6" s="732"/>
      <c r="P6" s="737"/>
    </row>
    <row r="7" spans="1:21" ht="24.95" customHeight="1">
      <c r="B7" s="852"/>
      <c r="C7" s="898"/>
      <c r="D7" s="898"/>
      <c r="E7" s="898"/>
      <c r="F7" s="1077"/>
      <c r="G7" s="1077"/>
      <c r="H7" s="736" t="s">
        <v>945</v>
      </c>
      <c r="I7" s="734"/>
      <c r="J7" s="735">
        <v>16</v>
      </c>
      <c r="K7" s="733"/>
      <c r="L7" s="735"/>
      <c r="M7" s="1105"/>
      <c r="N7" s="736"/>
      <c r="O7" s="732"/>
      <c r="P7" s="737"/>
    </row>
    <row r="8" spans="1:21" ht="24.95" customHeight="1">
      <c r="B8" s="852"/>
      <c r="C8" s="898"/>
      <c r="D8" s="898"/>
      <c r="E8" s="898"/>
      <c r="F8" s="1077"/>
      <c r="G8" s="1077"/>
      <c r="H8" s="736" t="s">
        <v>963</v>
      </c>
      <c r="I8" s="749">
        <v>42537758</v>
      </c>
      <c r="J8" s="735">
        <v>2</v>
      </c>
      <c r="K8" s="733"/>
      <c r="L8" s="735"/>
      <c r="M8" s="1105"/>
      <c r="N8" s="741"/>
      <c r="O8" s="732"/>
      <c r="P8" s="737"/>
    </row>
    <row r="9" spans="1:21" ht="24.95" customHeight="1">
      <c r="B9" s="858"/>
      <c r="C9" s="1075"/>
      <c r="D9" s="1075"/>
      <c r="E9" s="1075"/>
      <c r="F9" s="1078"/>
      <c r="G9" s="1078"/>
      <c r="H9" s="736" t="s">
        <v>964</v>
      </c>
      <c r="I9" s="734">
        <v>2996501</v>
      </c>
      <c r="J9" s="735">
        <v>2</v>
      </c>
      <c r="K9" s="733"/>
      <c r="L9" s="735"/>
      <c r="M9" s="1105"/>
      <c r="N9" s="741"/>
      <c r="O9" s="732"/>
      <c r="P9" s="737"/>
    </row>
    <row r="10" spans="1:21" ht="24.95" hidden="1" customHeight="1">
      <c r="B10" s="738"/>
      <c r="C10" s="739"/>
      <c r="D10" s="739"/>
      <c r="E10" s="739"/>
      <c r="F10" s="740"/>
      <c r="G10" s="740"/>
      <c r="H10" s="736"/>
      <c r="I10" s="734"/>
      <c r="J10" s="735"/>
      <c r="K10" s="733"/>
      <c r="L10" s="735"/>
      <c r="M10" s="1105"/>
      <c r="N10" s="741"/>
      <c r="O10" s="732"/>
      <c r="P10" s="737"/>
    </row>
    <row r="11" spans="1:21" ht="24.95" hidden="1" customHeight="1">
      <c r="B11" s="738"/>
      <c r="C11" s="739"/>
      <c r="D11" s="739"/>
      <c r="E11" s="739"/>
      <c r="F11" s="740"/>
      <c r="G11" s="740"/>
      <c r="H11" s="736"/>
      <c r="I11" s="734"/>
      <c r="J11" s="735"/>
      <c r="K11" s="733"/>
      <c r="L11" s="735"/>
      <c r="M11" s="1105"/>
      <c r="N11" s="741"/>
      <c r="O11" s="732"/>
      <c r="P11" s="737"/>
    </row>
    <row r="12" spans="1:21" ht="24.95" hidden="1" customHeight="1">
      <c r="B12" s="738"/>
      <c r="C12" s="742"/>
      <c r="D12" s="742"/>
      <c r="E12" s="741"/>
      <c r="F12" s="743"/>
      <c r="G12" s="743"/>
      <c r="H12" s="733"/>
      <c r="I12" s="733"/>
      <c r="J12" s="735"/>
      <c r="K12" s="733"/>
      <c r="L12" s="733"/>
      <c r="M12" s="1105"/>
      <c r="N12" s="741"/>
      <c r="O12" s="732"/>
      <c r="P12" s="737"/>
    </row>
    <row r="13" spans="1:21" ht="38.1" customHeight="1" thickBot="1">
      <c r="B13" s="1102" t="s">
        <v>48</v>
      </c>
      <c r="C13" s="1103"/>
      <c r="D13" s="1103"/>
      <c r="E13" s="1103"/>
      <c r="F13" s="1103"/>
      <c r="G13" s="1103"/>
      <c r="H13" s="1103"/>
      <c r="I13" s="1104">
        <f>L5*84.01+8098.66+600+1600+1000+8431.45</f>
        <v>19772.115000000002</v>
      </c>
      <c r="J13" s="1104"/>
      <c r="K13" s="1104"/>
      <c r="L13" s="1104"/>
      <c r="M13" s="744"/>
      <c r="N13" s="745"/>
      <c r="O13" s="746"/>
      <c r="P13" s="747"/>
    </row>
    <row r="14" spans="1:21" ht="396.75" customHeight="1" thickTop="1">
      <c r="A14" s="999" t="s">
        <v>934</v>
      </c>
      <c r="B14" s="1000"/>
      <c r="C14" s="1000"/>
      <c r="D14" s="1000"/>
      <c r="E14" s="1000"/>
      <c r="F14" s="1000"/>
      <c r="G14" s="1000"/>
      <c r="H14" s="1000"/>
      <c r="I14" s="1000"/>
      <c r="J14" s="1000"/>
      <c r="K14" s="1000"/>
      <c r="L14" s="1000"/>
      <c r="M14" s="1000"/>
      <c r="N14" s="117"/>
    </row>
    <row r="15" spans="1:21" ht="24.95" hidden="1" customHeight="1">
      <c r="A15" s="890" t="s">
        <v>466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201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/>
      <c r="K16" s="991"/>
      <c r="L16" s="991"/>
      <c r="M16" s="991"/>
      <c r="N16" s="991" t="s">
        <v>526</v>
      </c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/>
      <c r="K17" s="991"/>
      <c r="L17" s="991"/>
      <c r="M17" s="991"/>
      <c r="N17" s="991" t="s">
        <v>519</v>
      </c>
      <c r="O17" s="991"/>
      <c r="P17" s="991"/>
      <c r="Q17" s="991"/>
      <c r="R17" s="991"/>
      <c r="S17" s="991"/>
      <c r="T17" s="991"/>
      <c r="U17" s="991"/>
    </row>
    <row r="18" spans="2:21" ht="18">
      <c r="B18" s="727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727"/>
      <c r="K18" s="284"/>
      <c r="L18" s="284"/>
      <c r="M18" s="284"/>
      <c r="N18" s="727" t="s">
        <v>941</v>
      </c>
      <c r="O18" s="284"/>
      <c r="P18" s="284"/>
      <c r="Q18" s="284"/>
      <c r="R18" s="727"/>
      <c r="S18" s="284"/>
      <c r="T18" s="284"/>
      <c r="U18" s="284"/>
    </row>
  </sheetData>
  <mergeCells count="22">
    <mergeCell ref="B16:E16"/>
    <mergeCell ref="J16:M16"/>
    <mergeCell ref="N16:Q16"/>
    <mergeCell ref="R16:U16"/>
    <mergeCell ref="B17:E17"/>
    <mergeCell ref="J17:M17"/>
    <mergeCell ref="N17:Q17"/>
    <mergeCell ref="R17:U17"/>
    <mergeCell ref="B1:N1"/>
    <mergeCell ref="B2:N2"/>
    <mergeCell ref="C5:C9"/>
    <mergeCell ref="B5:B9"/>
    <mergeCell ref="D5:D9"/>
    <mergeCell ref="E5:E9"/>
    <mergeCell ref="F5:F9"/>
    <mergeCell ref="G5:G9"/>
    <mergeCell ref="B13:H13"/>
    <mergeCell ref="I13:L13"/>
    <mergeCell ref="B3:N3"/>
    <mergeCell ref="A14:M14"/>
    <mergeCell ref="A15:M15"/>
    <mergeCell ref="M5:M12"/>
  </mergeCells>
  <pageMargins left="0.19" right="0.15" top="0.21" bottom="0.28000000000000003" header="0.3" footer="0.3"/>
  <pageSetup scale="72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I13" sqref="I13:L13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3.28515625" customWidth="1"/>
    <col min="9" max="9" width="16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9.71093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45.75" customHeight="1">
      <c r="B5" s="1089">
        <v>1</v>
      </c>
      <c r="C5" s="1087" t="s">
        <v>271</v>
      </c>
      <c r="D5" s="1088" t="s">
        <v>277</v>
      </c>
      <c r="E5" s="1088">
        <v>133537</v>
      </c>
      <c r="F5" s="1090">
        <v>40520</v>
      </c>
      <c r="G5" s="1090">
        <v>40522</v>
      </c>
      <c r="H5" s="780"/>
      <c r="I5" s="778"/>
      <c r="J5" s="779"/>
      <c r="K5" s="777" t="s">
        <v>523</v>
      </c>
      <c r="L5" s="779">
        <v>7</v>
      </c>
      <c r="M5" s="1086" t="s">
        <v>956</v>
      </c>
      <c r="N5" s="780" t="s">
        <v>552</v>
      </c>
      <c r="O5" s="776"/>
      <c r="P5" s="786" t="s">
        <v>961</v>
      </c>
    </row>
    <row r="6" spans="1:21" ht="39.75" customHeight="1">
      <c r="B6" s="1089"/>
      <c r="C6" s="1087"/>
      <c r="D6" s="1088"/>
      <c r="E6" s="1088"/>
      <c r="F6" s="1090"/>
      <c r="G6" s="1090"/>
      <c r="H6" s="780"/>
      <c r="I6" s="778"/>
      <c r="J6" s="779"/>
      <c r="K6" s="777" t="s">
        <v>523</v>
      </c>
      <c r="L6" s="779">
        <v>7</v>
      </c>
      <c r="M6" s="1086"/>
      <c r="N6" s="780" t="s">
        <v>957</v>
      </c>
      <c r="O6" s="776"/>
      <c r="P6" s="786" t="s">
        <v>961</v>
      </c>
    </row>
    <row r="7" spans="1:21" ht="24.95" customHeight="1">
      <c r="B7" s="1089"/>
      <c r="C7" s="1087"/>
      <c r="D7" s="1088"/>
      <c r="E7" s="1088"/>
      <c r="F7" s="1090"/>
      <c r="G7" s="1090"/>
      <c r="H7" s="780"/>
      <c r="I7" s="778"/>
      <c r="J7" s="779"/>
      <c r="K7" s="777"/>
      <c r="L7" s="779"/>
      <c r="M7" s="1086"/>
      <c r="N7" s="780" t="s">
        <v>958</v>
      </c>
      <c r="O7" s="776"/>
      <c r="P7" s="781">
        <v>4</v>
      </c>
    </row>
    <row r="8" spans="1:21" ht="24.95" hidden="1" customHeight="1">
      <c r="B8" s="782"/>
      <c r="C8" s="783"/>
      <c r="D8" s="783"/>
      <c r="E8" s="783"/>
      <c r="F8" s="784"/>
      <c r="G8" s="784"/>
      <c r="H8" s="780"/>
      <c r="I8" s="778"/>
      <c r="J8" s="779"/>
      <c r="K8" s="777"/>
      <c r="L8" s="779"/>
      <c r="M8" s="1086"/>
      <c r="N8" s="785"/>
      <c r="O8" s="776"/>
      <c r="P8" s="781"/>
    </row>
    <row r="9" spans="1:21" ht="24.95" hidden="1" customHeight="1">
      <c r="B9" s="782"/>
      <c r="C9" s="783"/>
      <c r="D9" s="783"/>
      <c r="E9" s="783"/>
      <c r="F9" s="784"/>
      <c r="G9" s="784"/>
      <c r="H9" s="780"/>
      <c r="I9" s="778"/>
      <c r="J9" s="779"/>
      <c r="K9" s="777"/>
      <c r="L9" s="779"/>
      <c r="M9" s="1086"/>
      <c r="N9" s="785"/>
      <c r="O9" s="776"/>
      <c r="P9" s="781"/>
    </row>
    <row r="10" spans="1:21" ht="24.95" hidden="1" customHeight="1">
      <c r="B10" s="782"/>
      <c r="C10" s="783"/>
      <c r="D10" s="783"/>
      <c r="E10" s="783"/>
      <c r="F10" s="784"/>
      <c r="G10" s="784"/>
      <c r="H10" s="780"/>
      <c r="I10" s="778"/>
      <c r="J10" s="779"/>
      <c r="K10" s="777"/>
      <c r="L10" s="779"/>
      <c r="M10" s="1086"/>
      <c r="N10" s="785"/>
      <c r="O10" s="776"/>
      <c r="P10" s="781"/>
    </row>
    <row r="11" spans="1:21" ht="24.95" hidden="1" customHeight="1">
      <c r="B11" s="782"/>
      <c r="C11" s="783"/>
      <c r="D11" s="783"/>
      <c r="E11" s="783"/>
      <c r="F11" s="784"/>
      <c r="G11" s="784"/>
      <c r="H11" s="780"/>
      <c r="I11" s="778"/>
      <c r="J11" s="779"/>
      <c r="K11" s="777"/>
      <c r="L11" s="779"/>
      <c r="M11" s="1086"/>
      <c r="N11" s="785"/>
      <c r="O11" s="776"/>
      <c r="P11" s="781"/>
    </row>
    <row r="12" spans="1:21" ht="24.95" customHeight="1">
      <c r="B12" s="782"/>
      <c r="C12" s="787"/>
      <c r="D12" s="787"/>
      <c r="E12" s="785"/>
      <c r="F12" s="788"/>
      <c r="G12" s="788"/>
      <c r="H12" s="777"/>
      <c r="I12" s="777"/>
      <c r="J12" s="779"/>
      <c r="K12" s="777"/>
      <c r="L12" s="777"/>
      <c r="M12" s="1086"/>
      <c r="N12" s="785" t="s">
        <v>959</v>
      </c>
      <c r="O12" s="776"/>
      <c r="P12" s="781">
        <v>4</v>
      </c>
    </row>
    <row r="13" spans="1:21" ht="38.1" customHeight="1" thickBot="1">
      <c r="B13" s="1091" t="s">
        <v>48</v>
      </c>
      <c r="C13" s="1092"/>
      <c r="D13" s="1092"/>
      <c r="E13" s="1092"/>
      <c r="F13" s="1092"/>
      <c r="G13" s="1092"/>
      <c r="H13" s="1092"/>
      <c r="I13" s="1093">
        <f>L5*84.01+L6*84.01</f>
        <v>1176.1400000000001</v>
      </c>
      <c r="J13" s="1093"/>
      <c r="K13" s="1093"/>
      <c r="L13" s="1093"/>
      <c r="M13" s="792"/>
      <c r="N13" s="789"/>
      <c r="O13" s="790"/>
      <c r="P13" s="791"/>
    </row>
    <row r="14" spans="1:21" ht="276" customHeight="1" thickTop="1">
      <c r="A14" s="999" t="s">
        <v>955</v>
      </c>
      <c r="B14" s="1000"/>
      <c r="C14" s="1000"/>
      <c r="D14" s="1000"/>
      <c r="E14" s="1000"/>
      <c r="F14" s="1000"/>
      <c r="G14" s="1000"/>
      <c r="H14" s="1000"/>
      <c r="I14" s="1000"/>
      <c r="J14" s="1000"/>
      <c r="K14" s="1000"/>
      <c r="L14" s="1000"/>
      <c r="M14" s="1000"/>
      <c r="N14" s="117"/>
    </row>
    <row r="15" spans="1:21" ht="24.95" hidden="1" customHeight="1">
      <c r="A15" s="890" t="s">
        <v>466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201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/>
      <c r="K16" s="991"/>
      <c r="L16" s="991"/>
      <c r="M16" s="991"/>
      <c r="N16" s="991" t="s">
        <v>526</v>
      </c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/>
      <c r="K17" s="991"/>
      <c r="L17" s="991"/>
      <c r="M17" s="991"/>
      <c r="N17" s="991" t="s">
        <v>519</v>
      </c>
      <c r="O17" s="991"/>
      <c r="P17" s="991"/>
      <c r="Q17" s="991"/>
      <c r="R17" s="991"/>
      <c r="S17" s="991"/>
      <c r="T17" s="991"/>
      <c r="U17" s="991"/>
    </row>
    <row r="18" spans="2:21" ht="18">
      <c r="B18" s="769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769"/>
      <c r="K18" s="284"/>
      <c r="L18" s="284"/>
      <c r="M18" s="284"/>
      <c r="N18" s="769" t="s">
        <v>941</v>
      </c>
      <c r="O18" s="284"/>
      <c r="P18" s="284"/>
      <c r="Q18" s="284"/>
      <c r="R18" s="769"/>
      <c r="S18" s="284"/>
      <c r="T18" s="284"/>
      <c r="U18" s="284"/>
    </row>
  </sheetData>
  <mergeCells count="22">
    <mergeCell ref="A14:M14"/>
    <mergeCell ref="A15:M15"/>
    <mergeCell ref="M5:M12"/>
    <mergeCell ref="B13:H13"/>
    <mergeCell ref="I13:L13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B16:E16"/>
    <mergeCell ref="J16:M16"/>
    <mergeCell ref="N16:Q16"/>
    <mergeCell ref="R16:U16"/>
    <mergeCell ref="B17:E17"/>
    <mergeCell ref="J17:M17"/>
    <mergeCell ref="N17:Q17"/>
    <mergeCell ref="R17:U17"/>
  </mergeCells>
  <pageMargins left="0.19" right="0.15" top="0.21" bottom="0.28000000000000003" header="0.3" footer="0.3"/>
  <pageSetup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E5" sqref="E5:E7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0.28515625" customWidth="1"/>
    <col min="7" max="7" width="11.140625" customWidth="1"/>
    <col min="8" max="8" width="28.42578125" customWidth="1"/>
    <col min="9" max="9" width="13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7.85546875" customWidth="1"/>
    <col min="15" max="15" width="8.85546875" customWidth="1"/>
    <col min="16" max="16" width="6.71093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1107">
        <v>1</v>
      </c>
      <c r="C5" s="1106" t="s">
        <v>280</v>
      </c>
      <c r="D5" s="1108" t="s">
        <v>279</v>
      </c>
      <c r="E5" s="1108">
        <v>141125</v>
      </c>
      <c r="F5" s="1109">
        <v>40517</v>
      </c>
      <c r="G5" s="1109">
        <v>40521</v>
      </c>
      <c r="H5" s="733" t="s">
        <v>937</v>
      </c>
      <c r="I5" s="734" t="s">
        <v>939</v>
      </c>
      <c r="J5" s="735">
        <v>1</v>
      </c>
      <c r="K5" s="733" t="s">
        <v>32</v>
      </c>
      <c r="L5" s="735">
        <v>8</v>
      </c>
      <c r="M5" s="1106" t="s">
        <v>938</v>
      </c>
      <c r="N5" s="736"/>
      <c r="O5" s="732"/>
      <c r="P5" s="737"/>
    </row>
    <row r="6" spans="1:21" ht="24.95" customHeight="1">
      <c r="B6" s="1107"/>
      <c r="C6" s="1106"/>
      <c r="D6" s="1108"/>
      <c r="E6" s="1108"/>
      <c r="F6" s="1109"/>
      <c r="G6" s="1109"/>
      <c r="H6" s="736" t="s">
        <v>940</v>
      </c>
      <c r="I6" s="734"/>
      <c r="J6" s="735">
        <v>2</v>
      </c>
      <c r="K6" s="733" t="s">
        <v>33</v>
      </c>
      <c r="L6" s="735">
        <v>8</v>
      </c>
      <c r="M6" s="1106"/>
      <c r="N6" s="736"/>
      <c r="O6" s="732"/>
      <c r="P6" s="737"/>
    </row>
    <row r="7" spans="1:21" ht="24.95" customHeight="1">
      <c r="B7" s="1107"/>
      <c r="C7" s="1106"/>
      <c r="D7" s="1108"/>
      <c r="E7" s="1108"/>
      <c r="F7" s="1109"/>
      <c r="G7" s="1109"/>
      <c r="H7" s="736"/>
      <c r="I7" s="734"/>
      <c r="J7" s="735"/>
      <c r="K7" s="733"/>
      <c r="L7" s="735"/>
      <c r="M7" s="1106"/>
      <c r="N7" s="736"/>
      <c r="O7" s="732"/>
      <c r="P7" s="737"/>
    </row>
    <row r="8" spans="1:21" ht="24.95" hidden="1" customHeight="1">
      <c r="B8" s="738"/>
      <c r="C8" s="739"/>
      <c r="D8" s="739"/>
      <c r="E8" s="739"/>
      <c r="F8" s="740"/>
      <c r="G8" s="740"/>
      <c r="H8" s="736"/>
      <c r="I8" s="734"/>
      <c r="J8" s="735"/>
      <c r="K8" s="733"/>
      <c r="L8" s="735"/>
      <c r="M8" s="741"/>
      <c r="N8" s="741"/>
      <c r="O8" s="732"/>
      <c r="P8" s="737"/>
    </row>
    <row r="9" spans="1:21" ht="24.95" hidden="1" customHeight="1">
      <c r="B9" s="738"/>
      <c r="C9" s="739"/>
      <c r="D9" s="739"/>
      <c r="E9" s="739"/>
      <c r="F9" s="740"/>
      <c r="G9" s="740"/>
      <c r="H9" s="736"/>
      <c r="I9" s="734"/>
      <c r="J9" s="735"/>
      <c r="K9" s="733"/>
      <c r="L9" s="735"/>
      <c r="M9" s="741"/>
      <c r="N9" s="741"/>
      <c r="O9" s="732"/>
      <c r="P9" s="737"/>
    </row>
    <row r="10" spans="1:21" ht="24.95" hidden="1" customHeight="1">
      <c r="B10" s="738"/>
      <c r="C10" s="739"/>
      <c r="D10" s="739"/>
      <c r="E10" s="739"/>
      <c r="F10" s="740"/>
      <c r="G10" s="740"/>
      <c r="H10" s="736"/>
      <c r="I10" s="734"/>
      <c r="J10" s="735"/>
      <c r="K10" s="733"/>
      <c r="L10" s="735"/>
      <c r="M10" s="741"/>
      <c r="N10" s="741"/>
      <c r="O10" s="732"/>
      <c r="P10" s="737"/>
    </row>
    <row r="11" spans="1:21" ht="24.95" hidden="1" customHeight="1">
      <c r="B11" s="738"/>
      <c r="C11" s="739"/>
      <c r="D11" s="739"/>
      <c r="E11" s="739"/>
      <c r="F11" s="740"/>
      <c r="G11" s="740"/>
      <c r="H11" s="736"/>
      <c r="I11" s="734"/>
      <c r="J11" s="735"/>
      <c r="K11" s="733"/>
      <c r="L11" s="735"/>
      <c r="M11" s="741"/>
      <c r="N11" s="741"/>
      <c r="O11" s="732"/>
      <c r="P11" s="737"/>
    </row>
    <row r="12" spans="1:21" ht="24.95" hidden="1" customHeight="1">
      <c r="B12" s="738"/>
      <c r="C12" s="742"/>
      <c r="D12" s="742"/>
      <c r="E12" s="741"/>
      <c r="F12" s="743"/>
      <c r="G12" s="743"/>
      <c r="H12" s="733"/>
      <c r="I12" s="733"/>
      <c r="J12" s="735"/>
      <c r="K12" s="733"/>
      <c r="L12" s="733"/>
      <c r="M12" s="732"/>
      <c r="N12" s="741"/>
      <c r="O12" s="732"/>
      <c r="P12" s="737"/>
    </row>
    <row r="13" spans="1:21" ht="38.1" customHeight="1" thickBot="1">
      <c r="B13" s="1102" t="s">
        <v>48</v>
      </c>
      <c r="C13" s="1103"/>
      <c r="D13" s="1103"/>
      <c r="E13" s="1103"/>
      <c r="F13" s="1103"/>
      <c r="G13" s="1103"/>
      <c r="H13" s="1103"/>
      <c r="I13" s="1104">
        <f>426.09+L5*84.01+L6*83.26+826.09*2</f>
        <v>3416.4300000000003</v>
      </c>
      <c r="J13" s="1104"/>
      <c r="K13" s="1104"/>
      <c r="L13" s="1104"/>
      <c r="M13" s="744"/>
      <c r="N13" s="745"/>
      <c r="O13" s="746"/>
      <c r="P13" s="747"/>
    </row>
    <row r="14" spans="1:21" ht="383.25" customHeight="1" thickTop="1">
      <c r="A14" s="999" t="s">
        <v>933</v>
      </c>
      <c r="B14" s="1000"/>
      <c r="C14" s="1000"/>
      <c r="D14" s="1000"/>
      <c r="E14" s="1000"/>
      <c r="F14" s="1000"/>
      <c r="G14" s="1000"/>
      <c r="H14" s="1000"/>
      <c r="I14" s="1000"/>
      <c r="J14" s="1000"/>
      <c r="K14" s="1000"/>
      <c r="L14" s="1000"/>
      <c r="M14" s="1000"/>
      <c r="N14" s="117"/>
    </row>
    <row r="15" spans="1:21" ht="24.95" hidden="1" customHeight="1">
      <c r="A15" s="890" t="s">
        <v>466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201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748"/>
      <c r="H16" s="285"/>
      <c r="I16" s="248"/>
      <c r="J16" s="991"/>
      <c r="K16" s="991"/>
      <c r="L16" s="991"/>
      <c r="M16" s="991"/>
      <c r="N16" s="991" t="s">
        <v>526</v>
      </c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/>
      <c r="K17" s="991"/>
      <c r="L17" s="991"/>
      <c r="M17" s="991"/>
      <c r="N17" s="991" t="s">
        <v>519</v>
      </c>
      <c r="O17" s="991"/>
      <c r="P17" s="991"/>
      <c r="Q17" s="991"/>
      <c r="R17" s="991"/>
      <c r="S17" s="991"/>
      <c r="T17" s="991"/>
      <c r="U17" s="991"/>
    </row>
    <row r="18" spans="2:21" ht="18">
      <c r="B18" s="727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727"/>
      <c r="K18" s="284"/>
      <c r="L18" s="284"/>
      <c r="M18" s="284"/>
      <c r="N18" s="727" t="s">
        <v>517</v>
      </c>
      <c r="O18" s="284"/>
      <c r="P18" s="284"/>
      <c r="Q18" s="284"/>
      <c r="R18" s="727"/>
      <c r="S18" s="284"/>
      <c r="T18" s="284"/>
      <c r="U18" s="284"/>
    </row>
  </sheetData>
  <mergeCells count="22">
    <mergeCell ref="B16:E16"/>
    <mergeCell ref="J16:M16"/>
    <mergeCell ref="N16:Q16"/>
    <mergeCell ref="R16:U16"/>
    <mergeCell ref="B17:E17"/>
    <mergeCell ref="J17:M17"/>
    <mergeCell ref="N17:Q17"/>
    <mergeCell ref="R17:U17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  <mergeCell ref="A15:M15"/>
    <mergeCell ref="M5:M7"/>
    <mergeCell ref="B13:H13"/>
    <mergeCell ref="I13:L13"/>
  </mergeCells>
  <pageMargins left="0.19" right="0.15" top="0.21" bottom="0.28000000000000003" header="0.3" footer="0.3"/>
  <pageSetup scale="72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W17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I20" sqref="I20"/>
    </sheetView>
  </sheetViews>
  <sheetFormatPr defaultRowHeight="15"/>
  <cols>
    <col min="1" max="1" width="0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3.85546875" customWidth="1"/>
    <col min="9" max="9" width="15.85546875" customWidth="1"/>
    <col min="10" max="10" width="6.28515625" customWidth="1"/>
    <col min="11" max="11" width="11.7109375" customWidth="1"/>
    <col min="12" max="12" width="6.42578125" customWidth="1"/>
    <col min="13" max="13" width="13.42578125" customWidth="1"/>
    <col min="14" max="14" width="29.140625" customWidth="1"/>
  </cols>
  <sheetData>
    <row r="1" spans="1:23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3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3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3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3" ht="24.95" customHeight="1">
      <c r="B5" s="1110">
        <v>1</v>
      </c>
      <c r="C5" s="1111" t="s">
        <v>282</v>
      </c>
      <c r="D5" s="1112" t="s">
        <v>283</v>
      </c>
      <c r="E5" s="1112">
        <v>14445</v>
      </c>
      <c r="F5" s="1113">
        <v>40144</v>
      </c>
      <c r="G5" s="1113">
        <v>40145</v>
      </c>
      <c r="H5" s="551" t="s">
        <v>752</v>
      </c>
      <c r="I5" s="552"/>
      <c r="J5" s="553">
        <v>8</v>
      </c>
      <c r="K5" s="551" t="s">
        <v>713</v>
      </c>
      <c r="L5" s="553">
        <v>13</v>
      </c>
      <c r="M5" s="1114" t="s">
        <v>722</v>
      </c>
      <c r="N5" s="554"/>
      <c r="O5" s="540"/>
      <c r="P5" s="542"/>
    </row>
    <row r="6" spans="1:23" ht="24.95" customHeight="1">
      <c r="B6" s="1110"/>
      <c r="C6" s="1111"/>
      <c r="D6" s="1112"/>
      <c r="E6" s="1112"/>
      <c r="F6" s="1113"/>
      <c r="G6" s="1113"/>
      <c r="H6" s="554"/>
      <c r="I6" s="552"/>
      <c r="J6" s="553"/>
      <c r="K6" s="551"/>
      <c r="L6" s="553"/>
      <c r="M6" s="1114"/>
      <c r="N6" s="554"/>
      <c r="O6" s="540"/>
      <c r="P6" s="542"/>
    </row>
    <row r="7" spans="1:23" ht="24.95" customHeight="1">
      <c r="B7" s="1110"/>
      <c r="C7" s="1111"/>
      <c r="D7" s="1112"/>
      <c r="E7" s="1112"/>
      <c r="F7" s="1113"/>
      <c r="G7" s="1113"/>
      <c r="H7" s="554"/>
      <c r="I7" s="552"/>
      <c r="J7" s="553"/>
      <c r="K7" s="551"/>
      <c r="L7" s="553"/>
      <c r="M7" s="1114"/>
      <c r="N7" s="554"/>
      <c r="O7" s="540"/>
      <c r="P7" s="542"/>
      <c r="W7" s="560">
        <v>4913.12</v>
      </c>
    </row>
    <row r="8" spans="1:23" ht="24.95" hidden="1" customHeight="1">
      <c r="B8" s="559"/>
      <c r="C8" s="555"/>
      <c r="D8" s="555"/>
      <c r="E8" s="555"/>
      <c r="F8" s="556"/>
      <c r="G8" s="556"/>
      <c r="H8" s="554"/>
      <c r="I8" s="552"/>
      <c r="J8" s="553"/>
      <c r="K8" s="551"/>
      <c r="L8" s="553"/>
      <c r="M8" s="537"/>
      <c r="N8" s="537"/>
      <c r="O8" s="540"/>
      <c r="P8" s="542"/>
    </row>
    <row r="9" spans="1:23" ht="24.95" hidden="1" customHeight="1">
      <c r="B9" s="559"/>
      <c r="C9" s="555"/>
      <c r="D9" s="555"/>
      <c r="E9" s="555"/>
      <c r="F9" s="556"/>
      <c r="G9" s="556"/>
      <c r="H9" s="554"/>
      <c r="I9" s="552"/>
      <c r="J9" s="553"/>
      <c r="K9" s="551"/>
      <c r="L9" s="553"/>
      <c r="M9" s="537"/>
      <c r="N9" s="537"/>
      <c r="O9" s="540"/>
      <c r="P9" s="542"/>
    </row>
    <row r="10" spans="1:23" ht="24.95" hidden="1" customHeight="1">
      <c r="B10" s="559"/>
      <c r="C10" s="555"/>
      <c r="D10" s="555"/>
      <c r="E10" s="555"/>
      <c r="F10" s="556"/>
      <c r="G10" s="556"/>
      <c r="H10" s="554"/>
      <c r="I10" s="552"/>
      <c r="J10" s="553"/>
      <c r="K10" s="551"/>
      <c r="L10" s="553"/>
      <c r="M10" s="537"/>
      <c r="N10" s="537"/>
      <c r="O10" s="540"/>
      <c r="P10" s="542"/>
    </row>
    <row r="11" spans="1:23" ht="24.95" hidden="1" customHeight="1">
      <c r="B11" s="559"/>
      <c r="C11" s="555"/>
      <c r="D11" s="555"/>
      <c r="E11" s="555"/>
      <c r="F11" s="556"/>
      <c r="G11" s="556"/>
      <c r="H11" s="554"/>
      <c r="I11" s="552"/>
      <c r="J11" s="553"/>
      <c r="K11" s="551"/>
      <c r="L11" s="553"/>
      <c r="M11" s="537"/>
      <c r="N11" s="537"/>
      <c r="O11" s="540"/>
      <c r="P11" s="542"/>
    </row>
    <row r="12" spans="1:23" ht="24.95" hidden="1" customHeight="1">
      <c r="B12" s="559"/>
      <c r="C12" s="557"/>
      <c r="D12" s="557"/>
      <c r="E12" s="537"/>
      <c r="F12" s="558"/>
      <c r="G12" s="558"/>
      <c r="H12" s="551"/>
      <c r="I12" s="551"/>
      <c r="J12" s="553"/>
      <c r="K12" s="551"/>
      <c r="L12" s="551"/>
      <c r="M12" s="540"/>
      <c r="N12" s="537"/>
      <c r="O12" s="540"/>
      <c r="P12" s="542"/>
    </row>
    <row r="13" spans="1:23" ht="38.1" customHeight="1" thickBot="1">
      <c r="B13" s="902" t="s">
        <v>48</v>
      </c>
      <c r="C13" s="903"/>
      <c r="D13" s="903"/>
      <c r="E13" s="903"/>
      <c r="F13" s="903"/>
      <c r="G13" s="903"/>
      <c r="H13" s="903"/>
      <c r="I13" s="904">
        <f>L5*83.26+4913.12</f>
        <v>5995.5</v>
      </c>
      <c r="J13" s="904"/>
      <c r="K13" s="904"/>
      <c r="L13" s="904"/>
      <c r="M13" s="549"/>
      <c r="N13" s="547"/>
      <c r="O13" s="548"/>
      <c r="P13" s="550"/>
    </row>
    <row r="14" spans="1:23" ht="247.5" customHeight="1" thickTop="1">
      <c r="A14" s="1071" t="s">
        <v>751</v>
      </c>
      <c r="B14" s="1072"/>
      <c r="C14" s="1072"/>
      <c r="D14" s="1072"/>
      <c r="E14" s="1072"/>
      <c r="F14" s="1072"/>
      <c r="G14" s="1072"/>
      <c r="H14" s="1072"/>
      <c r="I14" s="1072"/>
      <c r="J14" s="1072"/>
      <c r="K14" s="1072"/>
      <c r="L14" s="1072"/>
      <c r="M14" s="1072"/>
      <c r="N14" s="117"/>
    </row>
    <row r="15" spans="1:23" ht="24.95" customHeight="1">
      <c r="A15" s="890" t="s">
        <v>466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201"/>
    </row>
    <row r="16" spans="1:23" ht="20.100000000000001" customHeight="1">
      <c r="A16" s="29" t="s">
        <v>23</v>
      </c>
      <c r="B16" s="29"/>
      <c r="C16" s="29"/>
      <c r="D16" s="29"/>
      <c r="E16" s="29" t="s">
        <v>17</v>
      </c>
      <c r="F16" s="29"/>
      <c r="G16" s="29"/>
      <c r="H16" s="29"/>
      <c r="I16" s="29"/>
      <c r="J16" s="29"/>
      <c r="K16" s="29"/>
      <c r="N16" s="29"/>
    </row>
    <row r="17" spans="1:14" ht="20.100000000000001" customHeight="1">
      <c r="A17" s="29" t="s">
        <v>18</v>
      </c>
      <c r="B17" s="29"/>
      <c r="C17" s="29"/>
      <c r="D17" s="29"/>
      <c r="E17" s="29" t="s">
        <v>18</v>
      </c>
      <c r="F17" s="29"/>
      <c r="G17" s="29"/>
      <c r="H17" s="29"/>
      <c r="I17" s="29"/>
      <c r="J17" s="29"/>
      <c r="K17" s="29"/>
      <c r="N17" s="29"/>
    </row>
  </sheetData>
  <mergeCells count="14">
    <mergeCell ref="A14:M14"/>
    <mergeCell ref="A15:M15"/>
    <mergeCell ref="M5:M7"/>
    <mergeCell ref="B13:H13"/>
    <mergeCell ref="I13:L13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7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5" sqref="A15:XFD17"/>
    </sheetView>
  </sheetViews>
  <sheetFormatPr defaultRowHeight="15"/>
  <cols>
    <col min="1" max="1" width="1.140625" customWidth="1"/>
    <col min="2" max="2" width="6.140625" customWidth="1"/>
    <col min="3" max="3" width="12.28515625" customWidth="1"/>
    <col min="4" max="4" width="9" customWidth="1"/>
    <col min="5" max="5" width="12.42578125" customWidth="1"/>
    <col min="6" max="6" width="11.42578125" customWidth="1"/>
    <col min="7" max="7" width="12.28515625" customWidth="1"/>
    <col min="8" max="8" width="20.85546875" customWidth="1"/>
    <col min="9" max="9" width="15.85546875" customWidth="1"/>
    <col min="10" max="10" width="6.28515625" customWidth="1"/>
    <col min="11" max="11" width="11.7109375" customWidth="1"/>
    <col min="12" max="12" width="6.42578125" customWidth="1"/>
    <col min="13" max="13" width="13.42578125" customWidth="1"/>
    <col min="14" max="14" width="30.85546875" customWidth="1"/>
    <col min="15" max="15" width="14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38.25" customHeight="1">
      <c r="B5" s="1110">
        <v>1</v>
      </c>
      <c r="C5" s="1116" t="s">
        <v>294</v>
      </c>
      <c r="D5" s="1117" t="s">
        <v>295</v>
      </c>
      <c r="E5" s="1117">
        <v>60407</v>
      </c>
      <c r="F5" s="1118">
        <v>40501</v>
      </c>
      <c r="G5" s="1118">
        <v>40504</v>
      </c>
      <c r="H5" s="561" t="s">
        <v>129</v>
      </c>
      <c r="I5" s="562">
        <v>3454205200</v>
      </c>
      <c r="J5" s="553">
        <v>16</v>
      </c>
      <c r="K5" s="551"/>
      <c r="L5" s="553"/>
      <c r="M5" s="1119" t="s">
        <v>582</v>
      </c>
      <c r="N5" s="367" t="s">
        <v>130</v>
      </c>
      <c r="O5" s="368" t="s">
        <v>211</v>
      </c>
      <c r="P5" s="369">
        <v>16</v>
      </c>
    </row>
    <row r="6" spans="1:21" ht="24.95" customHeight="1">
      <c r="B6" s="1110"/>
      <c r="C6" s="1116"/>
      <c r="D6" s="1117"/>
      <c r="E6" s="1117"/>
      <c r="F6" s="1118"/>
      <c r="G6" s="1118"/>
      <c r="H6" s="561"/>
      <c r="I6" s="562"/>
      <c r="J6" s="563"/>
      <c r="K6" s="551"/>
      <c r="L6" s="553"/>
      <c r="M6" s="881"/>
      <c r="N6" s="554"/>
      <c r="O6" s="540"/>
      <c r="P6" s="542"/>
    </row>
    <row r="7" spans="1:21" ht="24.95" hidden="1" customHeight="1">
      <c r="B7" s="1110"/>
      <c r="C7" s="1116"/>
      <c r="D7" s="1117"/>
      <c r="E7" s="1117"/>
      <c r="F7" s="1118"/>
      <c r="G7" s="1118"/>
      <c r="H7" s="554"/>
      <c r="I7" s="552"/>
      <c r="J7" s="553"/>
      <c r="K7" s="551"/>
      <c r="L7" s="553"/>
      <c r="M7" s="881"/>
      <c r="N7" s="554"/>
      <c r="O7" s="540"/>
      <c r="P7" s="542"/>
    </row>
    <row r="8" spans="1:21" ht="24.95" customHeight="1">
      <c r="B8" s="1110"/>
      <c r="C8" s="1116"/>
      <c r="D8" s="1117"/>
      <c r="E8" s="1117"/>
      <c r="F8" s="1118"/>
      <c r="G8" s="1118"/>
      <c r="H8" s="554"/>
      <c r="I8" s="552"/>
      <c r="J8" s="553"/>
      <c r="K8" s="551"/>
      <c r="L8" s="553"/>
      <c r="M8" s="881"/>
      <c r="N8" s="537"/>
      <c r="O8" s="540"/>
      <c r="P8" s="542"/>
    </row>
    <row r="9" spans="1:21" ht="24.95" hidden="1" customHeight="1">
      <c r="B9" s="559"/>
      <c r="C9" s="555"/>
      <c r="D9" s="555"/>
      <c r="E9" s="555"/>
      <c r="F9" s="556"/>
      <c r="G9" s="556"/>
      <c r="H9" s="554"/>
      <c r="I9" s="552"/>
      <c r="J9" s="553"/>
      <c r="K9" s="551"/>
      <c r="L9" s="553"/>
      <c r="M9" s="881"/>
      <c r="N9" s="537"/>
      <c r="O9" s="540"/>
      <c r="P9" s="542"/>
    </row>
    <row r="10" spans="1:21" ht="24.95" hidden="1" customHeight="1">
      <c r="B10" s="559"/>
      <c r="C10" s="555"/>
      <c r="D10" s="555"/>
      <c r="E10" s="555"/>
      <c r="F10" s="556"/>
      <c r="G10" s="556"/>
      <c r="H10" s="554"/>
      <c r="I10" s="552"/>
      <c r="J10" s="553"/>
      <c r="K10" s="551"/>
      <c r="L10" s="553"/>
      <c r="M10" s="881"/>
      <c r="N10" s="537"/>
      <c r="O10" s="540"/>
      <c r="P10" s="542"/>
    </row>
    <row r="11" spans="1:21" ht="24.95" hidden="1" customHeight="1">
      <c r="B11" s="559"/>
      <c r="C11" s="555"/>
      <c r="D11" s="555"/>
      <c r="E11" s="555"/>
      <c r="F11" s="556"/>
      <c r="G11" s="556"/>
      <c r="H11" s="554"/>
      <c r="I11" s="552"/>
      <c r="J11" s="553"/>
      <c r="K11" s="551"/>
      <c r="L11" s="553"/>
      <c r="M11" s="881"/>
      <c r="N11" s="537"/>
      <c r="O11" s="540"/>
      <c r="P11" s="542"/>
    </row>
    <row r="12" spans="1:21" ht="24.95" customHeight="1">
      <c r="B12" s="559"/>
      <c r="C12" s="557"/>
      <c r="D12" s="557"/>
      <c r="E12" s="537"/>
      <c r="F12" s="558"/>
      <c r="G12" s="558"/>
      <c r="H12" s="551"/>
      <c r="I12" s="551"/>
      <c r="J12" s="553"/>
      <c r="K12" s="551"/>
      <c r="L12" s="551"/>
      <c r="M12" s="1079"/>
      <c r="N12" s="537"/>
      <c r="O12" s="540"/>
      <c r="P12" s="542"/>
    </row>
    <row r="13" spans="1:21" ht="38.1" customHeight="1" thickBot="1">
      <c r="B13" s="902" t="s">
        <v>48</v>
      </c>
      <c r="C13" s="903"/>
      <c r="D13" s="903"/>
      <c r="E13" s="903"/>
      <c r="F13" s="903"/>
      <c r="G13" s="903"/>
      <c r="H13" s="903"/>
      <c r="I13" s="1115">
        <f>1300.47*16</f>
        <v>20807.52</v>
      </c>
      <c r="J13" s="1115"/>
      <c r="K13" s="1115"/>
      <c r="L13" s="1115"/>
      <c r="M13" s="549"/>
      <c r="N13" s="547"/>
      <c r="O13" s="548"/>
      <c r="P13" s="550"/>
    </row>
    <row r="14" spans="1:21" ht="280.5" customHeight="1" thickTop="1">
      <c r="A14" s="936" t="s">
        <v>753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48"/>
      <c r="J15" s="991" t="s">
        <v>526</v>
      </c>
      <c r="K15" s="991"/>
      <c r="L15" s="991"/>
      <c r="M15" s="991"/>
      <c r="N15" s="991"/>
      <c r="O15" s="991"/>
      <c r="P15" s="991"/>
      <c r="Q15" s="991"/>
      <c r="R15" s="991"/>
      <c r="S15" s="991"/>
      <c r="T15" s="991"/>
      <c r="U15" s="991"/>
    </row>
    <row r="16" spans="1:21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48"/>
      <c r="J16" s="991" t="s">
        <v>519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18">
      <c r="B17" s="536" t="s">
        <v>517</v>
      </c>
      <c r="C17" s="284"/>
      <c r="D17" s="284"/>
      <c r="E17" s="284"/>
      <c r="F17" s="285" t="s">
        <v>520</v>
      </c>
      <c r="G17" s="286"/>
      <c r="H17" s="286"/>
      <c r="I17" s="284"/>
      <c r="J17" s="536" t="s">
        <v>517</v>
      </c>
      <c r="K17" s="284"/>
      <c r="L17" s="284"/>
      <c r="M17" s="284"/>
      <c r="N17" s="536"/>
      <c r="O17" s="284"/>
      <c r="P17" s="284"/>
      <c r="Q17" s="284"/>
      <c r="R17" s="536"/>
      <c r="S17" s="284"/>
      <c r="T17" s="284"/>
      <c r="U17" s="284"/>
    </row>
  </sheetData>
  <mergeCells count="21">
    <mergeCell ref="B1:N1"/>
    <mergeCell ref="B2:N2"/>
    <mergeCell ref="B5:B8"/>
    <mergeCell ref="C5:C8"/>
    <mergeCell ref="D5:D8"/>
    <mergeCell ref="E5:E8"/>
    <mergeCell ref="F5:F8"/>
    <mergeCell ref="G5:G8"/>
    <mergeCell ref="B3:N3"/>
    <mergeCell ref="M5:M12"/>
    <mergeCell ref="N15:Q15"/>
    <mergeCell ref="R15:U15"/>
    <mergeCell ref="B16:E16"/>
    <mergeCell ref="J16:M16"/>
    <mergeCell ref="N16:Q16"/>
    <mergeCell ref="R16:U16"/>
    <mergeCell ref="B13:H13"/>
    <mergeCell ref="I13:L13"/>
    <mergeCell ref="A14:M14"/>
    <mergeCell ref="B15:E15"/>
    <mergeCell ref="J15:M15"/>
  </mergeCells>
  <pageMargins left="0.19" right="0.15" top="0.21" bottom="0.28000000000000003" header="0.3" footer="0.3"/>
  <pageSetup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7"/>
  <sheetViews>
    <sheetView workbookViewId="0">
      <pane xSplit="3" ySplit="4" topLeftCell="E5" activePane="bottomRight" state="frozen"/>
      <selection activeCell="B18" sqref="B18"/>
      <selection pane="topRight" activeCell="B18" sqref="B18"/>
      <selection pane="bottomLeft" activeCell="B18" sqref="B18"/>
      <selection pane="bottomRight" activeCell="A13" sqref="A13:XFD17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19.28515625" customWidth="1"/>
    <col min="9" max="9" width="16.425781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9.5703125" customWidth="1"/>
    <col min="15" max="15" width="14.42578125" customWidth="1"/>
    <col min="16" max="16" width="8.425781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461</v>
      </c>
      <c r="P4" s="36" t="s">
        <v>495</v>
      </c>
    </row>
    <row r="5" spans="1:21" ht="24.95" customHeight="1">
      <c r="B5" s="872">
        <v>1</v>
      </c>
      <c r="C5" s="1120" t="s">
        <v>534</v>
      </c>
      <c r="D5" s="924" t="s">
        <v>584</v>
      </c>
      <c r="E5" s="924">
        <v>249773</v>
      </c>
      <c r="F5" s="925">
        <v>40473</v>
      </c>
      <c r="G5" s="874">
        <v>40476</v>
      </c>
      <c r="H5" s="292" t="s">
        <v>530</v>
      </c>
      <c r="I5" s="293">
        <v>3351502370</v>
      </c>
      <c r="J5" s="294">
        <v>2</v>
      </c>
      <c r="K5" s="292"/>
      <c r="L5" s="294"/>
      <c r="M5" s="993" t="s">
        <v>583</v>
      </c>
      <c r="N5" s="295" t="s">
        <v>546</v>
      </c>
      <c r="O5" s="20"/>
      <c r="P5" s="309">
        <v>4</v>
      </c>
    </row>
    <row r="6" spans="1:21" ht="24.95" customHeight="1">
      <c r="B6" s="872"/>
      <c r="C6" s="924"/>
      <c r="D6" s="924"/>
      <c r="E6" s="924"/>
      <c r="F6" s="925"/>
      <c r="G6" s="874"/>
      <c r="H6" s="295" t="s">
        <v>530</v>
      </c>
      <c r="I6" s="293">
        <v>3351502380</v>
      </c>
      <c r="J6" s="294">
        <v>2</v>
      </c>
      <c r="K6" s="292"/>
      <c r="L6" s="294"/>
      <c r="M6" s="935"/>
      <c r="N6" s="295" t="s">
        <v>547</v>
      </c>
      <c r="O6" s="20"/>
      <c r="P6" s="309">
        <v>4</v>
      </c>
    </row>
    <row r="7" spans="1:21" ht="24.95" hidden="1" customHeight="1">
      <c r="B7" s="872"/>
      <c r="C7" s="924"/>
      <c r="D7" s="924"/>
      <c r="E7" s="924"/>
      <c r="F7" s="925"/>
      <c r="G7" s="874"/>
      <c r="H7" s="295"/>
      <c r="I7" s="293"/>
      <c r="J7" s="294"/>
      <c r="K7" s="292"/>
      <c r="L7" s="294"/>
      <c r="M7" s="212"/>
      <c r="N7" s="295"/>
      <c r="O7" s="20"/>
      <c r="P7" s="55"/>
    </row>
    <row r="8" spans="1:21" ht="24.95" hidden="1" customHeight="1">
      <c r="B8" s="872"/>
      <c r="C8" s="924"/>
      <c r="D8" s="924"/>
      <c r="E8" s="924"/>
      <c r="F8" s="925"/>
      <c r="G8" s="874"/>
      <c r="H8" s="295"/>
      <c r="I8" s="293"/>
      <c r="J8" s="294"/>
      <c r="K8" s="292"/>
      <c r="L8" s="294"/>
      <c r="M8" s="212"/>
      <c r="N8" s="212"/>
      <c r="O8" s="20"/>
      <c r="P8" s="55"/>
    </row>
    <row r="9" spans="1:21" ht="24.95" hidden="1" customHeight="1">
      <c r="B9" s="872"/>
      <c r="C9" s="924"/>
      <c r="D9" s="924"/>
      <c r="E9" s="924"/>
      <c r="F9" s="925"/>
      <c r="G9" s="874"/>
      <c r="H9" s="295"/>
      <c r="I9" s="293"/>
      <c r="J9" s="294"/>
      <c r="K9" s="292"/>
      <c r="L9" s="294"/>
      <c r="M9" s="212"/>
      <c r="N9" s="212"/>
      <c r="O9" s="20"/>
      <c r="P9" s="55"/>
    </row>
    <row r="10" spans="1:21" ht="24.95" hidden="1" customHeight="1">
      <c r="B10" s="872"/>
      <c r="C10" s="924"/>
      <c r="D10" s="924"/>
      <c r="E10" s="924"/>
      <c r="F10" s="925"/>
      <c r="G10" s="874"/>
      <c r="H10" s="295"/>
      <c r="I10" s="293"/>
      <c r="J10" s="294"/>
      <c r="K10" s="292"/>
      <c r="L10" s="294"/>
      <c r="M10" s="212"/>
      <c r="N10" s="212"/>
      <c r="O10" s="20"/>
      <c r="P10" s="55"/>
    </row>
    <row r="11" spans="1:21" ht="24.95" hidden="1" customHeight="1">
      <c r="B11" s="276"/>
      <c r="C11" s="12"/>
      <c r="D11" s="12"/>
      <c r="E11" s="18"/>
      <c r="F11" s="13"/>
      <c r="G11" s="13"/>
      <c r="H11" s="292"/>
      <c r="I11" s="292"/>
      <c r="J11" s="294"/>
      <c r="K11" s="292"/>
      <c r="L11" s="292"/>
      <c r="M11" s="296"/>
      <c r="N11" s="212"/>
      <c r="O11" s="20"/>
      <c r="P11" s="55"/>
    </row>
    <row r="12" spans="1:21" ht="38.1" customHeight="1" thickBot="1">
      <c r="B12" s="868" t="s">
        <v>48</v>
      </c>
      <c r="C12" s="869"/>
      <c r="D12" s="869"/>
      <c r="E12" s="869"/>
      <c r="F12" s="869"/>
      <c r="G12" s="869"/>
      <c r="H12" s="869"/>
      <c r="I12" s="870">
        <f>281+281.4+425.56</f>
        <v>987.96</v>
      </c>
      <c r="J12" s="870"/>
      <c r="K12" s="870"/>
      <c r="L12" s="870"/>
      <c r="M12" s="89"/>
      <c r="N12" s="56"/>
      <c r="O12" s="268"/>
      <c r="P12" s="59"/>
    </row>
    <row r="13" spans="1:21" ht="409.5" customHeight="1" thickTop="1">
      <c r="A13" s="936" t="s">
        <v>564</v>
      </c>
      <c r="B13" s="937"/>
      <c r="C13" s="937"/>
      <c r="D13" s="937"/>
      <c r="E13" s="937"/>
      <c r="F13" s="937"/>
      <c r="G13" s="937"/>
      <c r="H13" s="937"/>
      <c r="I13" s="937"/>
      <c r="J13" s="937"/>
      <c r="K13" s="937"/>
      <c r="L13" s="937"/>
      <c r="M13" s="937"/>
    </row>
    <row r="14" spans="1:21" ht="25.5" customHeight="1">
      <c r="B14" s="890" t="s">
        <v>466</v>
      </c>
      <c r="C14" s="890"/>
      <c r="D14" s="890"/>
      <c r="E14" s="890"/>
      <c r="F14" s="890"/>
      <c r="G14" s="890"/>
      <c r="H14" s="890"/>
      <c r="I14" s="890"/>
      <c r="J14" s="890"/>
      <c r="K14" s="890"/>
      <c r="L14" s="890"/>
      <c r="M14" s="890"/>
      <c r="N14" s="890"/>
    </row>
    <row r="15" spans="1:21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48"/>
      <c r="J15" s="991" t="s">
        <v>526</v>
      </c>
      <c r="K15" s="991"/>
      <c r="L15" s="991"/>
      <c r="M15" s="991"/>
      <c r="N15" s="991"/>
      <c r="O15" s="991"/>
      <c r="P15" s="991"/>
      <c r="Q15" s="991"/>
      <c r="R15" s="991"/>
      <c r="S15" s="991"/>
      <c r="T15" s="991"/>
      <c r="U15" s="991"/>
    </row>
    <row r="16" spans="1:21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48"/>
      <c r="J16" s="991" t="s">
        <v>519</v>
      </c>
      <c r="K16" s="991"/>
      <c r="L16" s="991"/>
      <c r="M16" s="991"/>
      <c r="N16" s="248"/>
      <c r="O16" s="248"/>
      <c r="P16" s="248"/>
      <c r="Q16" s="248"/>
      <c r="R16" s="991"/>
      <c r="S16" s="991"/>
      <c r="T16" s="991"/>
      <c r="U16" s="991"/>
    </row>
    <row r="17" spans="2:21" ht="18">
      <c r="B17" s="283" t="s">
        <v>517</v>
      </c>
      <c r="C17" s="284"/>
      <c r="D17" s="284"/>
      <c r="E17" s="284"/>
      <c r="F17" s="285" t="s">
        <v>520</v>
      </c>
      <c r="G17" s="286"/>
      <c r="H17" s="286"/>
      <c r="I17" s="284"/>
      <c r="J17" s="315" t="s">
        <v>455</v>
      </c>
      <c r="K17" s="284"/>
      <c r="L17" s="284"/>
      <c r="M17" s="284"/>
      <c r="N17" s="283"/>
      <c r="O17" s="284"/>
      <c r="P17" s="284"/>
      <c r="Q17" s="284"/>
      <c r="R17" s="283"/>
      <c r="S17" s="284"/>
      <c r="T17" s="284"/>
      <c r="U17" s="284"/>
    </row>
  </sheetData>
  <mergeCells count="21">
    <mergeCell ref="R15:U15"/>
    <mergeCell ref="B16:E16"/>
    <mergeCell ref="J16:M16"/>
    <mergeCell ref="R16:U16"/>
    <mergeCell ref="B12:H12"/>
    <mergeCell ref="I12:L12"/>
    <mergeCell ref="B14:N14"/>
    <mergeCell ref="A13:M13"/>
    <mergeCell ref="B15:E15"/>
    <mergeCell ref="J15:M15"/>
    <mergeCell ref="N15:Q15"/>
    <mergeCell ref="B1:N1"/>
    <mergeCell ref="B2:N2"/>
    <mergeCell ref="B3:N3"/>
    <mergeCell ref="B5:B10"/>
    <mergeCell ref="C5:C10"/>
    <mergeCell ref="D5:D10"/>
    <mergeCell ref="E5:E10"/>
    <mergeCell ref="F5:F10"/>
    <mergeCell ref="G5:G10"/>
    <mergeCell ref="M5:M6"/>
  </mergeCells>
  <pageMargins left="0.19" right="0.15" top="0.21" bottom="0.28000000000000003" header="0.3" footer="0.3"/>
  <pageSetup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X16"/>
  <sheetViews>
    <sheetView view="pageBreakPreview" zoomScale="60"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A13" sqref="A13:XFD16"/>
    </sheetView>
  </sheetViews>
  <sheetFormatPr defaultRowHeight="15"/>
  <cols>
    <col min="1" max="1" width="1.140625" customWidth="1"/>
    <col min="2" max="2" width="6.140625" customWidth="1"/>
    <col min="3" max="3" width="15.42578125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5.85546875" customWidth="1"/>
    <col min="9" max="9" width="13.5703125" customWidth="1"/>
    <col min="10" max="10" width="6.28515625" customWidth="1"/>
    <col min="11" max="11" width="11.7109375" customWidth="1"/>
    <col min="12" max="12" width="6.42578125" customWidth="1"/>
    <col min="13" max="13" width="15" customWidth="1"/>
    <col min="14" max="14" width="28.42578125" customWidth="1"/>
    <col min="15" max="16" width="8" customWidth="1"/>
  </cols>
  <sheetData>
    <row r="1" spans="1:24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4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4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X3">
        <f>50*77.98</f>
        <v>3899</v>
      </c>
    </row>
    <row r="4" spans="1:24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461</v>
      </c>
      <c r="P4" s="36" t="s">
        <v>495</v>
      </c>
    </row>
    <row r="5" spans="1:24" ht="24.95" customHeight="1">
      <c r="B5" s="1031">
        <v>1</v>
      </c>
      <c r="C5" s="1034" t="s">
        <v>237</v>
      </c>
      <c r="D5" s="1034" t="s">
        <v>309</v>
      </c>
      <c r="E5" s="1034">
        <v>223151</v>
      </c>
      <c r="F5" s="1033">
        <v>40484</v>
      </c>
      <c r="G5" s="1033">
        <v>40498</v>
      </c>
      <c r="H5" s="442" t="s">
        <v>682</v>
      </c>
      <c r="I5" s="443"/>
      <c r="J5" s="444">
        <v>1</v>
      </c>
      <c r="K5" s="442" t="s">
        <v>38</v>
      </c>
      <c r="L5" s="444">
        <v>50</v>
      </c>
      <c r="M5" s="1035" t="s">
        <v>515</v>
      </c>
      <c r="N5" s="445" t="s">
        <v>686</v>
      </c>
      <c r="O5" s="424"/>
      <c r="P5" s="452">
        <v>1</v>
      </c>
    </row>
    <row r="6" spans="1:24" ht="24.95" customHeight="1">
      <c r="B6" s="1031"/>
      <c r="C6" s="1034"/>
      <c r="D6" s="1034"/>
      <c r="E6" s="1034"/>
      <c r="F6" s="1033"/>
      <c r="G6" s="1033"/>
      <c r="H6" s="442" t="s">
        <v>683</v>
      </c>
      <c r="I6" s="443"/>
      <c r="J6" s="444">
        <v>1</v>
      </c>
      <c r="K6" s="442"/>
      <c r="L6" s="444"/>
      <c r="M6" s="1035"/>
      <c r="N6" s="445" t="s">
        <v>687</v>
      </c>
      <c r="O6" s="424"/>
      <c r="P6" s="452">
        <v>1</v>
      </c>
    </row>
    <row r="7" spans="1:24" ht="45" customHeight="1">
      <c r="B7" s="1031"/>
      <c r="C7" s="1034"/>
      <c r="D7" s="1034"/>
      <c r="E7" s="1034"/>
      <c r="F7" s="1033"/>
      <c r="G7" s="1033"/>
      <c r="H7" s="445" t="s">
        <v>684</v>
      </c>
      <c r="I7" s="443"/>
      <c r="J7" s="444">
        <v>2</v>
      </c>
      <c r="K7" s="442"/>
      <c r="L7" s="444"/>
      <c r="M7" s="1035"/>
      <c r="N7" s="445" t="s">
        <v>685</v>
      </c>
      <c r="O7" s="424"/>
      <c r="P7" s="452">
        <v>1</v>
      </c>
      <c r="S7" s="435" t="s">
        <v>699</v>
      </c>
      <c r="T7" s="435" t="s">
        <v>596</v>
      </c>
      <c r="U7" s="435" t="s">
        <v>237</v>
      </c>
      <c r="V7" s="435" t="s">
        <v>700</v>
      </c>
    </row>
    <row r="8" spans="1:24" ht="24.95" customHeight="1">
      <c r="B8" s="1031"/>
      <c r="C8" s="1034"/>
      <c r="D8" s="1034"/>
      <c r="E8" s="1034"/>
      <c r="F8" s="1033"/>
      <c r="G8" s="1033"/>
      <c r="H8" s="445" t="s">
        <v>697</v>
      </c>
      <c r="I8" s="449" t="s">
        <v>698</v>
      </c>
      <c r="J8" s="444">
        <v>1</v>
      </c>
      <c r="K8" s="442"/>
      <c r="L8" s="444"/>
      <c r="M8" s="1035"/>
      <c r="N8" s="423"/>
      <c r="O8" s="424"/>
      <c r="P8" s="452"/>
    </row>
    <row r="9" spans="1:24" ht="24.95" customHeight="1">
      <c r="B9" s="1031"/>
      <c r="C9" s="1034"/>
      <c r="D9" s="1034"/>
      <c r="E9" s="1034"/>
      <c r="F9" s="1033"/>
      <c r="G9" s="1033"/>
      <c r="H9" s="449" t="s">
        <v>701</v>
      </c>
      <c r="I9" s="449" t="s">
        <v>699</v>
      </c>
      <c r="J9" s="444">
        <v>1</v>
      </c>
      <c r="K9" s="442"/>
      <c r="L9" s="444"/>
      <c r="M9" s="1035"/>
      <c r="N9" s="423"/>
      <c r="O9" s="424"/>
      <c r="P9" s="452"/>
    </row>
    <row r="10" spans="1:24" ht="24.95" hidden="1" customHeight="1">
      <c r="B10" s="1031"/>
      <c r="C10" s="1034"/>
      <c r="D10" s="1034"/>
      <c r="E10" s="1034"/>
      <c r="F10" s="1033"/>
      <c r="G10" s="1033"/>
      <c r="H10" s="445"/>
      <c r="I10" s="443"/>
      <c r="J10" s="444"/>
      <c r="K10" s="442"/>
      <c r="L10" s="444"/>
      <c r="M10" s="1035"/>
      <c r="N10" s="423"/>
      <c r="O10" s="424"/>
      <c r="P10" s="452"/>
    </row>
    <row r="11" spans="1:24" ht="24.95" hidden="1" customHeight="1">
      <c r="B11" s="437"/>
      <c r="C11" s="450"/>
      <c r="D11" s="450"/>
      <c r="E11" s="423"/>
      <c r="F11" s="451"/>
      <c r="G11" s="451"/>
      <c r="H11" s="442"/>
      <c r="I11" s="442"/>
      <c r="J11" s="444"/>
      <c r="K11" s="442"/>
      <c r="L11" s="442"/>
      <c r="M11" s="1035"/>
      <c r="N11" s="423"/>
      <c r="O11" s="424"/>
      <c r="P11" s="452"/>
    </row>
    <row r="12" spans="1:24" ht="38.1" customHeight="1" thickBot="1">
      <c r="B12" s="938" t="s">
        <v>48</v>
      </c>
      <c r="C12" s="939"/>
      <c r="D12" s="939"/>
      <c r="E12" s="939"/>
      <c r="F12" s="939"/>
      <c r="G12" s="939"/>
      <c r="H12" s="939"/>
      <c r="I12" s="940">
        <f>1200+260.87+347.82+L5*77.98+1136+1400</f>
        <v>8243.6899999999987</v>
      </c>
      <c r="J12" s="940"/>
      <c r="K12" s="940"/>
      <c r="L12" s="940"/>
      <c r="M12" s="438"/>
      <c r="N12" s="439"/>
      <c r="O12" s="440"/>
      <c r="P12" s="453"/>
    </row>
    <row r="13" spans="1:24" ht="409.6" customHeight="1" thickTop="1">
      <c r="A13" s="905" t="s">
        <v>681</v>
      </c>
      <c r="B13" s="906"/>
      <c r="C13" s="906"/>
      <c r="D13" s="906"/>
      <c r="E13" s="906"/>
      <c r="F13" s="906"/>
      <c r="G13" s="906"/>
      <c r="H13" s="906"/>
      <c r="I13" s="906"/>
      <c r="J13" s="906"/>
      <c r="K13" s="906"/>
      <c r="L13" s="906"/>
      <c r="M13" s="906"/>
    </row>
    <row r="14" spans="1:24" ht="20.100000000000001" customHeight="1">
      <c r="B14" s="991" t="s">
        <v>518</v>
      </c>
      <c r="C14" s="991"/>
      <c r="D14" s="991"/>
      <c r="E14" s="991"/>
      <c r="F14" s="285" t="s">
        <v>525</v>
      </c>
      <c r="G14" s="285"/>
      <c r="H14" s="285"/>
      <c r="I14" s="248"/>
      <c r="J14" s="991" t="s">
        <v>526</v>
      </c>
      <c r="K14" s="991"/>
      <c r="L14" s="991"/>
      <c r="M14" s="991"/>
      <c r="N14" s="991"/>
      <c r="O14" s="991"/>
      <c r="P14" s="991"/>
      <c r="Q14" s="991"/>
      <c r="R14" s="991"/>
      <c r="S14" s="991"/>
      <c r="T14" s="991"/>
      <c r="U14" s="991"/>
    </row>
    <row r="15" spans="1:24" ht="20.100000000000001" customHeight="1">
      <c r="B15" s="991" t="s">
        <v>519</v>
      </c>
      <c r="C15" s="991"/>
      <c r="D15" s="991"/>
      <c r="E15" s="991"/>
      <c r="F15" s="285" t="s">
        <v>519</v>
      </c>
      <c r="G15" s="285"/>
      <c r="H15" s="285"/>
      <c r="I15" s="248"/>
      <c r="J15" s="991" t="s">
        <v>519</v>
      </c>
      <c r="K15" s="991"/>
      <c r="L15" s="991"/>
      <c r="M15" s="991"/>
      <c r="N15" s="991"/>
      <c r="O15" s="991"/>
      <c r="P15" s="991"/>
      <c r="Q15" s="991"/>
      <c r="R15" s="991"/>
      <c r="S15" s="991"/>
      <c r="T15" s="991"/>
      <c r="U15" s="991"/>
    </row>
    <row r="16" spans="1:24" ht="18">
      <c r="B16" s="283" t="s">
        <v>517</v>
      </c>
      <c r="C16" s="284"/>
      <c r="D16" s="284"/>
      <c r="E16" s="284"/>
      <c r="F16" s="285" t="s">
        <v>520</v>
      </c>
      <c r="G16" s="286"/>
      <c r="H16" s="286"/>
      <c r="I16" s="284"/>
      <c r="J16" s="283" t="s">
        <v>517</v>
      </c>
      <c r="K16" s="284"/>
      <c r="L16" s="284"/>
      <c r="M16" s="284"/>
      <c r="N16" s="283"/>
      <c r="O16" s="284"/>
      <c r="P16" s="284"/>
      <c r="Q16" s="284"/>
      <c r="R16" s="283"/>
      <c r="S16" s="284"/>
      <c r="T16" s="284"/>
      <c r="U16" s="284"/>
    </row>
  </sheetData>
  <mergeCells count="21">
    <mergeCell ref="A13:M13"/>
    <mergeCell ref="M5:M11"/>
    <mergeCell ref="B12:H12"/>
    <mergeCell ref="I12:L12"/>
    <mergeCell ref="B1:N1"/>
    <mergeCell ref="B2:N2"/>
    <mergeCell ref="B5:B10"/>
    <mergeCell ref="C5:C10"/>
    <mergeCell ref="D5:D10"/>
    <mergeCell ref="E5:E10"/>
    <mergeCell ref="F5:F10"/>
    <mergeCell ref="G5:G10"/>
    <mergeCell ref="B3:N3"/>
    <mergeCell ref="B14:E14"/>
    <mergeCell ref="J14:M14"/>
    <mergeCell ref="N14:Q14"/>
    <mergeCell ref="R14:U14"/>
    <mergeCell ref="B15:E15"/>
    <mergeCell ref="J15:M15"/>
    <mergeCell ref="N15:Q15"/>
    <mergeCell ref="R15:U15"/>
  </mergeCells>
  <pageMargins left="0.19" right="0.15" top="0.21" bottom="0.28000000000000003" header="0.3" footer="0.3"/>
  <pageSetup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B1:O17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B18" sqref="B18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63">
        <v>1</v>
      </c>
      <c r="C5" s="897" t="s">
        <v>282</v>
      </c>
      <c r="D5" s="864" t="s">
        <v>310</v>
      </c>
      <c r="E5" s="864">
        <v>3360</v>
      </c>
      <c r="F5" s="865">
        <v>40149</v>
      </c>
      <c r="G5" s="865">
        <v>40155</v>
      </c>
      <c r="H5" s="17" t="s">
        <v>233</v>
      </c>
      <c r="I5" s="15"/>
      <c r="J5" s="16">
        <v>8</v>
      </c>
      <c r="K5" s="17"/>
      <c r="L5" s="16"/>
      <c r="M5" s="18"/>
      <c r="N5" s="80" t="s">
        <v>358</v>
      </c>
    </row>
    <row r="6" spans="2:15" ht="24.95" customHeight="1">
      <c r="B6" s="852"/>
      <c r="C6" s="898"/>
      <c r="D6" s="855"/>
      <c r="E6" s="855"/>
      <c r="F6" s="839"/>
      <c r="G6" s="839"/>
      <c r="H6" s="14"/>
      <c r="I6" s="15"/>
      <c r="J6" s="16"/>
      <c r="K6" s="17"/>
      <c r="L6" s="16"/>
      <c r="M6" s="18"/>
      <c r="N6" s="80"/>
    </row>
    <row r="7" spans="2:15" ht="24.95" customHeight="1">
      <c r="B7" s="858"/>
      <c r="C7" s="899"/>
      <c r="D7" s="859"/>
      <c r="E7" s="859"/>
      <c r="F7" s="840"/>
      <c r="G7" s="840"/>
      <c r="H7" s="14"/>
      <c r="I7" s="15"/>
      <c r="J7" s="16"/>
      <c r="K7" s="17"/>
      <c r="L7" s="16"/>
      <c r="M7" s="18"/>
      <c r="N7" s="80"/>
    </row>
    <row r="8" spans="2:15" ht="24.95" hidden="1" customHeight="1">
      <c r="B8" s="136"/>
      <c r="C8" s="137"/>
      <c r="D8" s="137"/>
      <c r="E8" s="137"/>
      <c r="F8" s="135"/>
      <c r="G8" s="135"/>
      <c r="H8" s="14"/>
      <c r="I8" s="15"/>
      <c r="J8" s="16"/>
      <c r="K8" s="17"/>
      <c r="L8" s="16"/>
      <c r="M8" s="18"/>
      <c r="N8" s="19"/>
    </row>
    <row r="9" spans="2:15" ht="24.95" hidden="1" customHeight="1">
      <c r="B9" s="136"/>
      <c r="C9" s="137"/>
      <c r="D9" s="137"/>
      <c r="E9" s="137"/>
      <c r="F9" s="135"/>
      <c r="G9" s="135"/>
      <c r="H9" s="14"/>
      <c r="I9" s="15"/>
      <c r="J9" s="16"/>
      <c r="K9" s="17"/>
      <c r="L9" s="16"/>
      <c r="M9" s="18"/>
      <c r="N9" s="19"/>
    </row>
    <row r="10" spans="2:15" ht="24.95" hidden="1" customHeight="1">
      <c r="B10" s="136"/>
      <c r="C10" s="137"/>
      <c r="D10" s="137"/>
      <c r="E10" s="137"/>
      <c r="F10" s="135"/>
      <c r="G10" s="135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136"/>
      <c r="C11" s="137"/>
      <c r="D11" s="137"/>
      <c r="E11" s="137"/>
      <c r="F11" s="135"/>
      <c r="G11" s="135"/>
      <c r="H11" s="14"/>
      <c r="I11" s="15"/>
      <c r="J11" s="16"/>
      <c r="K11" s="17"/>
      <c r="L11" s="16"/>
      <c r="M11" s="18"/>
      <c r="N11" s="19"/>
    </row>
    <row r="12" spans="2:15" ht="24.95" hidden="1" customHeight="1">
      <c r="B12" s="134"/>
      <c r="C12" s="12"/>
      <c r="D12" s="12"/>
      <c r="E12" s="18"/>
      <c r="F12" s="13"/>
      <c r="G12" s="13"/>
      <c r="H12" s="17"/>
      <c r="I12" s="62"/>
      <c r="J12" s="64"/>
      <c r="K12" s="62"/>
      <c r="L12" s="62"/>
      <c r="M12" s="20"/>
      <c r="N12" s="19"/>
    </row>
    <row r="13" spans="2:15" ht="38.1" customHeight="1" thickBot="1">
      <c r="B13" s="843" t="s">
        <v>48</v>
      </c>
      <c r="C13" s="844"/>
      <c r="D13" s="844"/>
      <c r="E13" s="844"/>
      <c r="F13" s="844"/>
      <c r="G13" s="844"/>
      <c r="H13" s="844"/>
      <c r="I13" s="894">
        <f>L5*84.01+L6*84.01+L7*77.98+L8*109.25+6900</f>
        <v>6900</v>
      </c>
      <c r="J13" s="895"/>
      <c r="K13" s="895"/>
      <c r="L13" s="896"/>
      <c r="N13" s="81"/>
      <c r="O13" s="90"/>
    </row>
    <row r="14" spans="2:15" ht="24.95" customHeight="1" thickTop="1">
      <c r="B14" s="889" t="s">
        <v>128</v>
      </c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</row>
    <row r="15" spans="2:15" ht="24.95" customHeight="1">
      <c r="B15" s="890" t="s">
        <v>16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5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3">
    <mergeCell ref="B13:H13"/>
    <mergeCell ref="I13:L13"/>
    <mergeCell ref="B14:N14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2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3" ySplit="4" topLeftCell="D5" activePane="bottomRight" state="frozen"/>
      <selection activeCell="B18" sqref="B18"/>
      <selection pane="topRight" activeCell="B18" sqref="B18"/>
      <selection pane="bottomLeft" activeCell="B18" sqref="B18"/>
      <selection pane="bottomRight" activeCell="L6" sqref="L6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0.5703125" customWidth="1"/>
    <col min="7" max="7" width="11.140625" customWidth="1"/>
    <col min="8" max="8" width="21.42578125" customWidth="1"/>
    <col min="9" max="9" width="16.71093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5.8554687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32.25" customHeight="1">
      <c r="B5" s="1124">
        <v>1</v>
      </c>
      <c r="C5" s="1125" t="s">
        <v>877</v>
      </c>
      <c r="D5" s="864" t="s">
        <v>313</v>
      </c>
      <c r="E5" s="1127">
        <v>106980</v>
      </c>
      <c r="F5" s="1128">
        <v>40507</v>
      </c>
      <c r="G5" s="1128">
        <v>40878</v>
      </c>
      <c r="H5" s="649" t="s">
        <v>876</v>
      </c>
      <c r="I5" s="670" t="s">
        <v>305</v>
      </c>
      <c r="J5" s="651">
        <v>2</v>
      </c>
      <c r="K5" s="652"/>
      <c r="L5" s="651"/>
      <c r="M5" s="653" t="s">
        <v>431</v>
      </c>
      <c r="N5" s="649"/>
      <c r="O5" s="648"/>
      <c r="P5" s="654"/>
    </row>
    <row r="6" spans="1:16" ht="37.5" customHeight="1">
      <c r="B6" s="1124"/>
      <c r="C6" s="1125"/>
      <c r="D6" s="855"/>
      <c r="E6" s="1127"/>
      <c r="F6" s="1128"/>
      <c r="G6" s="1128"/>
      <c r="H6" s="649"/>
      <c r="I6" s="650"/>
      <c r="J6" s="651"/>
      <c r="K6" s="652"/>
      <c r="L6" s="651"/>
      <c r="M6" s="653" t="s">
        <v>824</v>
      </c>
      <c r="N6" s="649"/>
      <c r="O6" s="648"/>
      <c r="P6" s="654"/>
    </row>
    <row r="7" spans="1:16" ht="24.95" customHeight="1">
      <c r="B7" s="1124"/>
      <c r="C7" s="1125"/>
      <c r="D7" s="1126"/>
      <c r="E7" s="1127"/>
      <c r="F7" s="1128"/>
      <c r="G7" s="1128"/>
      <c r="H7" s="649"/>
      <c r="I7" s="650"/>
      <c r="J7" s="651"/>
      <c r="K7" s="652"/>
      <c r="L7" s="651"/>
      <c r="M7" s="653"/>
      <c r="N7" s="649"/>
      <c r="O7" s="648"/>
      <c r="P7" s="654"/>
    </row>
    <row r="8" spans="1:16" ht="24.95" hidden="1" customHeight="1">
      <c r="B8" s="655"/>
      <c r="C8" s="656"/>
      <c r="D8" s="656"/>
      <c r="E8" s="656"/>
      <c r="F8" s="657"/>
      <c r="G8" s="657"/>
      <c r="H8" s="649"/>
      <c r="I8" s="650"/>
      <c r="J8" s="651"/>
      <c r="K8" s="652"/>
      <c r="L8" s="651"/>
      <c r="M8" s="653"/>
      <c r="N8" s="653"/>
      <c r="O8" s="648"/>
      <c r="P8" s="654"/>
    </row>
    <row r="9" spans="1:16" ht="24.95" hidden="1" customHeight="1">
      <c r="B9" s="655"/>
      <c r="C9" s="656"/>
      <c r="D9" s="656"/>
      <c r="E9" s="656"/>
      <c r="F9" s="657"/>
      <c r="G9" s="657"/>
      <c r="H9" s="649"/>
      <c r="I9" s="650"/>
      <c r="J9" s="651"/>
      <c r="K9" s="652"/>
      <c r="L9" s="651"/>
      <c r="M9" s="653"/>
      <c r="N9" s="653"/>
      <c r="O9" s="648"/>
      <c r="P9" s="654"/>
    </row>
    <row r="10" spans="1:16" ht="24.95" hidden="1" customHeight="1">
      <c r="B10" s="655"/>
      <c r="C10" s="656"/>
      <c r="D10" s="656"/>
      <c r="E10" s="656"/>
      <c r="F10" s="657"/>
      <c r="G10" s="657"/>
      <c r="H10" s="649"/>
      <c r="I10" s="650"/>
      <c r="J10" s="651"/>
      <c r="K10" s="652"/>
      <c r="L10" s="651"/>
      <c r="M10" s="653"/>
      <c r="N10" s="653"/>
      <c r="O10" s="648"/>
      <c r="P10" s="654"/>
    </row>
    <row r="11" spans="1:16" ht="24.95" hidden="1" customHeight="1">
      <c r="B11" s="655"/>
      <c r="C11" s="656"/>
      <c r="D11" s="656"/>
      <c r="E11" s="656"/>
      <c r="F11" s="657"/>
      <c r="G11" s="657"/>
      <c r="H11" s="649"/>
      <c r="I11" s="650"/>
      <c r="J11" s="651"/>
      <c r="K11" s="652"/>
      <c r="L11" s="651"/>
      <c r="M11" s="653"/>
      <c r="N11" s="653"/>
      <c r="O11" s="648"/>
      <c r="P11" s="654"/>
    </row>
    <row r="12" spans="1:16" ht="24.95" hidden="1" customHeight="1">
      <c r="B12" s="655"/>
      <c r="C12" s="658"/>
      <c r="D12" s="658"/>
      <c r="E12" s="653"/>
      <c r="F12" s="659"/>
      <c r="G12" s="659"/>
      <c r="H12" s="652"/>
      <c r="I12" s="652"/>
      <c r="J12" s="651"/>
      <c r="K12" s="652"/>
      <c r="L12" s="652"/>
      <c r="M12" s="648"/>
      <c r="N12" s="653"/>
      <c r="O12" s="648"/>
      <c r="P12" s="654"/>
    </row>
    <row r="13" spans="1:16" ht="38.1" customHeight="1" thickBot="1">
      <c r="B13" s="1121" t="s">
        <v>48</v>
      </c>
      <c r="C13" s="1122"/>
      <c r="D13" s="1122"/>
      <c r="E13" s="1122"/>
      <c r="F13" s="1122"/>
      <c r="G13" s="1122"/>
      <c r="H13" s="1122"/>
      <c r="I13" s="1123">
        <f>16856.96</f>
        <v>16856.96</v>
      </c>
      <c r="J13" s="1123"/>
      <c r="K13" s="1123"/>
      <c r="L13" s="1123"/>
      <c r="M13" s="660"/>
      <c r="N13" s="661"/>
      <c r="O13" s="662"/>
      <c r="P13" s="663"/>
    </row>
    <row r="14" spans="1:16" ht="409.6" customHeight="1" thickTop="1">
      <c r="A14" s="1052" t="s">
        <v>862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46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46" t="s">
        <v>519</v>
      </c>
    </row>
    <row r="17" spans="2:14" ht="18">
      <c r="B17" s="646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646"/>
      <c r="K17" s="284"/>
      <c r="L17" s="284"/>
      <c r="M17" s="284"/>
      <c r="N17" s="646" t="s">
        <v>517</v>
      </c>
    </row>
  </sheetData>
  <mergeCells count="16">
    <mergeCell ref="B16:E16"/>
    <mergeCell ref="J16:M16"/>
    <mergeCell ref="B13:H13"/>
    <mergeCell ref="I13:L13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  <mergeCell ref="B15:E15"/>
    <mergeCell ref="J15:M15"/>
  </mergeCells>
  <pageMargins left="0.19" right="0.15" top="0.21" bottom="0.28000000000000003" header="0.3" footer="0.3"/>
  <pageSetup scale="72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6.140625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17.85546875" customWidth="1"/>
    <col min="9" max="9" width="16.71093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6.8554687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4" t="s">
        <v>510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71.25" customHeight="1">
      <c r="B5" s="1089">
        <v>1</v>
      </c>
      <c r="C5" s="1087" t="s">
        <v>271</v>
      </c>
      <c r="D5" s="1088" t="s">
        <v>338</v>
      </c>
      <c r="E5" s="1088">
        <v>119439</v>
      </c>
      <c r="F5" s="1090">
        <v>40522</v>
      </c>
      <c r="G5" s="1090">
        <v>40523</v>
      </c>
      <c r="H5" s="777"/>
      <c r="I5" s="778"/>
      <c r="J5" s="779"/>
      <c r="K5" s="777" t="s">
        <v>523</v>
      </c>
      <c r="L5" s="779">
        <v>10</v>
      </c>
      <c r="M5" s="1129" t="s">
        <v>515</v>
      </c>
      <c r="N5" s="780" t="s">
        <v>952</v>
      </c>
      <c r="O5" s="776"/>
      <c r="P5" s="781">
        <v>2</v>
      </c>
    </row>
    <row r="6" spans="1:16" ht="43.5" customHeight="1">
      <c r="B6" s="1089"/>
      <c r="C6" s="1087"/>
      <c r="D6" s="1088"/>
      <c r="E6" s="1088"/>
      <c r="F6" s="1090"/>
      <c r="G6" s="1090"/>
      <c r="H6" s="780"/>
      <c r="I6" s="778"/>
      <c r="J6" s="779"/>
      <c r="K6" s="777"/>
      <c r="L6" s="779"/>
      <c r="M6" s="1129"/>
      <c r="N6" s="780" t="s">
        <v>953</v>
      </c>
      <c r="O6" s="776"/>
      <c r="P6" s="781" t="s">
        <v>954</v>
      </c>
    </row>
    <row r="7" spans="1:16" ht="27" hidden="1" customHeight="1">
      <c r="B7" s="1089"/>
      <c r="C7" s="1087"/>
      <c r="D7" s="1088"/>
      <c r="E7" s="1088"/>
      <c r="F7" s="1090"/>
      <c r="G7" s="1090"/>
      <c r="H7" s="780"/>
      <c r="I7" s="778"/>
      <c r="J7" s="779"/>
      <c r="K7" s="777"/>
      <c r="L7" s="779"/>
      <c r="M7" s="1129"/>
      <c r="N7" s="780"/>
      <c r="O7" s="776"/>
      <c r="P7" s="781"/>
    </row>
    <row r="8" spans="1:16" ht="24.95" hidden="1" customHeight="1">
      <c r="B8" s="782"/>
      <c r="C8" s="783"/>
      <c r="D8" s="783"/>
      <c r="E8" s="783"/>
      <c r="F8" s="784"/>
      <c r="G8" s="784"/>
      <c r="H8" s="780"/>
      <c r="I8" s="778"/>
      <c r="J8" s="779"/>
      <c r="K8" s="777"/>
      <c r="L8" s="779"/>
      <c r="M8" s="1129"/>
      <c r="N8" s="785"/>
      <c r="O8" s="776"/>
      <c r="P8" s="786"/>
    </row>
    <row r="9" spans="1:16" ht="24.95" hidden="1" customHeight="1">
      <c r="B9" s="782"/>
      <c r="C9" s="783"/>
      <c r="D9" s="783"/>
      <c r="E9" s="783"/>
      <c r="F9" s="784"/>
      <c r="G9" s="784"/>
      <c r="H9" s="780"/>
      <c r="I9" s="778"/>
      <c r="J9" s="779"/>
      <c r="K9" s="777"/>
      <c r="L9" s="779"/>
      <c r="M9" s="1129"/>
      <c r="N9" s="785"/>
      <c r="O9" s="776"/>
      <c r="P9" s="786"/>
    </row>
    <row r="10" spans="1:16" ht="24.95" hidden="1" customHeight="1">
      <c r="B10" s="782"/>
      <c r="C10" s="783"/>
      <c r="D10" s="783"/>
      <c r="E10" s="783"/>
      <c r="F10" s="784"/>
      <c r="G10" s="784"/>
      <c r="H10" s="780"/>
      <c r="I10" s="778"/>
      <c r="J10" s="779"/>
      <c r="K10" s="777"/>
      <c r="L10" s="779"/>
      <c r="M10" s="1129"/>
      <c r="N10" s="785"/>
      <c r="O10" s="776"/>
      <c r="P10" s="786"/>
    </row>
    <row r="11" spans="1:16" ht="24.95" hidden="1" customHeight="1">
      <c r="B11" s="782"/>
      <c r="C11" s="783"/>
      <c r="D11" s="783"/>
      <c r="E11" s="783"/>
      <c r="F11" s="784"/>
      <c r="G11" s="784"/>
      <c r="H11" s="780"/>
      <c r="I11" s="778"/>
      <c r="J11" s="779"/>
      <c r="K11" s="777"/>
      <c r="L11" s="779"/>
      <c r="M11" s="1129"/>
      <c r="N11" s="785"/>
      <c r="O11" s="776"/>
      <c r="P11" s="786"/>
    </row>
    <row r="12" spans="1:16" ht="24.95" hidden="1" customHeight="1">
      <c r="B12" s="782"/>
      <c r="C12" s="787"/>
      <c r="D12" s="787"/>
      <c r="E12" s="785"/>
      <c r="F12" s="788"/>
      <c r="G12" s="788"/>
      <c r="H12" s="777"/>
      <c r="I12" s="777"/>
      <c r="J12" s="779"/>
      <c r="K12" s="777"/>
      <c r="L12" s="777"/>
      <c r="M12" s="1129"/>
      <c r="N12" s="785"/>
      <c r="O12" s="776"/>
      <c r="P12" s="786"/>
    </row>
    <row r="13" spans="1:16" ht="16.5" customHeight="1" thickBot="1">
      <c r="B13" s="1091"/>
      <c r="C13" s="1092"/>
      <c r="D13" s="1092"/>
      <c r="E13" s="1092"/>
      <c r="F13" s="1092"/>
      <c r="G13" s="1092"/>
      <c r="H13" s="1092"/>
      <c r="I13" s="1093">
        <f>L5*84.01</f>
        <v>840.1</v>
      </c>
      <c r="J13" s="1093"/>
      <c r="K13" s="1093"/>
      <c r="L13" s="1093"/>
      <c r="M13" s="1130"/>
      <c r="N13" s="789"/>
      <c r="O13" s="790"/>
      <c r="P13" s="791"/>
    </row>
    <row r="14" spans="1:16" ht="249" customHeight="1" thickTop="1">
      <c r="A14" s="1052" t="s">
        <v>951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769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769" t="s">
        <v>519</v>
      </c>
    </row>
    <row r="17" spans="2:14" ht="18">
      <c r="B17" s="769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769"/>
      <c r="K17" s="284"/>
      <c r="L17" s="284"/>
      <c r="M17" s="284"/>
      <c r="N17" s="769" t="s">
        <v>517</v>
      </c>
    </row>
  </sheetData>
  <mergeCells count="17"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B16:E16"/>
    <mergeCell ref="J16:M16"/>
    <mergeCell ref="M5:M13"/>
    <mergeCell ref="B13:H13"/>
    <mergeCell ref="I13:L13"/>
    <mergeCell ref="A14:M14"/>
    <mergeCell ref="B15:E15"/>
    <mergeCell ref="J15:M15"/>
  </mergeCells>
  <pageMargins left="0.19" right="0.15" top="0.21" bottom="0.28000000000000003" header="0.3" footer="0.3"/>
  <pageSetup scale="72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3.85546875" customWidth="1"/>
    <col min="9" max="9" width="15.855468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7.710937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965">
        <v>1</v>
      </c>
      <c r="C5" s="1131" t="s">
        <v>226</v>
      </c>
      <c r="D5" s="1132" t="s">
        <v>339</v>
      </c>
      <c r="E5" s="1133">
        <v>260008</v>
      </c>
      <c r="F5" s="1134">
        <v>40513</v>
      </c>
      <c r="G5" s="1134">
        <v>40515</v>
      </c>
      <c r="H5" s="722" t="s">
        <v>907</v>
      </c>
      <c r="I5" s="723" t="s">
        <v>908</v>
      </c>
      <c r="J5" s="724">
        <v>1</v>
      </c>
      <c r="K5" s="722"/>
      <c r="L5" s="724"/>
      <c r="M5" s="880" t="s">
        <v>926</v>
      </c>
      <c r="N5" s="708"/>
      <c r="O5" s="702"/>
      <c r="P5" s="717"/>
    </row>
    <row r="6" spans="1:16" ht="24.95" customHeight="1">
      <c r="B6" s="965"/>
      <c r="C6" s="1131"/>
      <c r="D6" s="1132"/>
      <c r="E6" s="1132"/>
      <c r="F6" s="1134"/>
      <c r="G6" s="1134"/>
      <c r="H6" s="725"/>
      <c r="I6" s="723"/>
      <c r="J6" s="724"/>
      <c r="K6" s="722"/>
      <c r="L6" s="724"/>
      <c r="M6" s="881"/>
      <c r="N6" s="708"/>
      <c r="O6" s="702"/>
      <c r="P6" s="717"/>
    </row>
    <row r="7" spans="1:16" ht="24.95" customHeight="1">
      <c r="B7" s="965"/>
      <c r="C7" s="1131"/>
      <c r="D7" s="1132"/>
      <c r="E7" s="1132"/>
      <c r="F7" s="1134"/>
      <c r="G7" s="1134"/>
      <c r="H7" s="725"/>
      <c r="I7" s="723"/>
      <c r="J7" s="724"/>
      <c r="K7" s="722"/>
      <c r="L7" s="724"/>
      <c r="M7" s="1079"/>
      <c r="N7" s="708"/>
      <c r="O7" s="702"/>
      <c r="P7" s="717"/>
    </row>
    <row r="8" spans="1:16" ht="24.95" hidden="1" customHeight="1">
      <c r="B8" s="709"/>
      <c r="C8" s="710"/>
      <c r="D8" s="710"/>
      <c r="E8" s="710"/>
      <c r="F8" s="711"/>
      <c r="G8" s="711"/>
      <c r="H8" s="708"/>
      <c r="I8" s="704"/>
      <c r="J8" s="705"/>
      <c r="K8" s="703"/>
      <c r="L8" s="705"/>
      <c r="M8" s="706"/>
      <c r="N8" s="706"/>
      <c r="O8" s="702"/>
      <c r="P8" s="717"/>
    </row>
    <row r="9" spans="1:16" ht="24.95" hidden="1" customHeight="1">
      <c r="B9" s="709"/>
      <c r="C9" s="710"/>
      <c r="D9" s="710"/>
      <c r="E9" s="710"/>
      <c r="F9" s="711"/>
      <c r="G9" s="711"/>
      <c r="H9" s="708"/>
      <c r="I9" s="704"/>
      <c r="J9" s="705"/>
      <c r="K9" s="703"/>
      <c r="L9" s="705"/>
      <c r="M9" s="706"/>
      <c r="N9" s="706"/>
      <c r="O9" s="702"/>
      <c r="P9" s="717"/>
    </row>
    <row r="10" spans="1:16" ht="24.95" hidden="1" customHeight="1">
      <c r="B10" s="709"/>
      <c r="C10" s="710"/>
      <c r="D10" s="710"/>
      <c r="E10" s="710"/>
      <c r="F10" s="711"/>
      <c r="G10" s="711"/>
      <c r="H10" s="708"/>
      <c r="I10" s="704"/>
      <c r="J10" s="705"/>
      <c r="K10" s="703"/>
      <c r="L10" s="705"/>
      <c r="M10" s="706"/>
      <c r="N10" s="706"/>
      <c r="O10" s="702"/>
      <c r="P10" s="717"/>
    </row>
    <row r="11" spans="1:16" ht="24.95" hidden="1" customHeight="1">
      <c r="B11" s="709"/>
      <c r="C11" s="710"/>
      <c r="D11" s="710"/>
      <c r="E11" s="710"/>
      <c r="F11" s="711"/>
      <c r="G11" s="711"/>
      <c r="H11" s="708"/>
      <c r="I11" s="704"/>
      <c r="J11" s="705"/>
      <c r="K11" s="703"/>
      <c r="L11" s="705"/>
      <c r="M11" s="706"/>
      <c r="N11" s="706"/>
      <c r="O11" s="702"/>
      <c r="P11" s="717"/>
    </row>
    <row r="12" spans="1:16" ht="24.95" hidden="1" customHeight="1">
      <c r="B12" s="709"/>
      <c r="C12" s="713"/>
      <c r="D12" s="713"/>
      <c r="E12" s="706"/>
      <c r="F12" s="714"/>
      <c r="G12" s="714"/>
      <c r="H12" s="703"/>
      <c r="I12" s="703"/>
      <c r="J12" s="705"/>
      <c r="K12" s="703"/>
      <c r="L12" s="703"/>
      <c r="M12" s="702"/>
      <c r="N12" s="706"/>
      <c r="O12" s="702"/>
      <c r="P12" s="717"/>
    </row>
    <row r="13" spans="1:16" ht="38.1" customHeight="1" thickBot="1">
      <c r="B13" s="962" t="s">
        <v>48</v>
      </c>
      <c r="C13" s="963"/>
      <c r="D13" s="963"/>
      <c r="E13" s="963"/>
      <c r="F13" s="963"/>
      <c r="G13" s="963"/>
      <c r="H13" s="963"/>
      <c r="I13" s="964">
        <f>2752.85</f>
        <v>2752.85</v>
      </c>
      <c r="J13" s="964"/>
      <c r="K13" s="964"/>
      <c r="L13" s="964"/>
      <c r="M13" s="715"/>
      <c r="N13" s="718"/>
      <c r="O13" s="719"/>
      <c r="P13" s="720"/>
    </row>
    <row r="14" spans="1:16" ht="156.75" customHeight="1" thickTop="1">
      <c r="A14" s="1052" t="s">
        <v>906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98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98" t="s">
        <v>519</v>
      </c>
    </row>
    <row r="17" spans="2:14" ht="18">
      <c r="B17" s="698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698"/>
      <c r="K17" s="284"/>
      <c r="L17" s="284"/>
      <c r="M17" s="284"/>
      <c r="N17" s="698" t="s">
        <v>517</v>
      </c>
    </row>
  </sheetData>
  <mergeCells count="17"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M5:M7"/>
    <mergeCell ref="B16:E16"/>
    <mergeCell ref="J16:M16"/>
    <mergeCell ref="B13:H13"/>
    <mergeCell ref="I13:L13"/>
    <mergeCell ref="A14:M14"/>
    <mergeCell ref="B15:E15"/>
    <mergeCell ref="J15:M15"/>
  </mergeCells>
  <pageMargins left="0.19" right="0.15" top="0.21" bottom="0.28000000000000003" header="0.3" footer="0.3"/>
  <pageSetup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8"/>
  <sheetViews>
    <sheetView workbookViewId="0">
      <pane xSplit="3" ySplit="4" topLeftCell="F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8.71093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70" t="s">
        <v>14</v>
      </c>
      <c r="O4" s="72" t="s">
        <v>9</v>
      </c>
      <c r="P4" s="72" t="s">
        <v>10</v>
      </c>
    </row>
    <row r="5" spans="1:21" ht="24.95" customHeight="1">
      <c r="B5" s="863">
        <v>1</v>
      </c>
      <c r="C5" s="897" t="s">
        <v>342</v>
      </c>
      <c r="D5" s="864" t="s">
        <v>343</v>
      </c>
      <c r="E5" s="864">
        <v>70904</v>
      </c>
      <c r="F5" s="865">
        <v>40521</v>
      </c>
      <c r="G5" s="865">
        <v>40524</v>
      </c>
      <c r="H5" s="17"/>
      <c r="I5" s="15"/>
      <c r="J5" s="16"/>
      <c r="K5" s="17"/>
      <c r="L5" s="16"/>
      <c r="M5" s="880" t="s">
        <v>824</v>
      </c>
      <c r="N5" s="771"/>
      <c r="O5" s="773"/>
      <c r="P5" s="773"/>
    </row>
    <row r="6" spans="1:21" ht="24.95" customHeight="1">
      <c r="B6" s="852"/>
      <c r="C6" s="898"/>
      <c r="D6" s="855"/>
      <c r="E6" s="855"/>
      <c r="F6" s="839"/>
      <c r="G6" s="839"/>
      <c r="H6" s="14"/>
      <c r="I6" s="15"/>
      <c r="J6" s="16"/>
      <c r="K6" s="17"/>
      <c r="L6" s="16"/>
      <c r="M6" s="881"/>
      <c r="N6" s="771"/>
      <c r="O6" s="773"/>
      <c r="P6" s="773"/>
    </row>
    <row r="7" spans="1:21" ht="24.95" customHeight="1">
      <c r="B7" s="858"/>
      <c r="C7" s="899"/>
      <c r="D7" s="859"/>
      <c r="E7" s="859"/>
      <c r="F7" s="840"/>
      <c r="G7" s="840"/>
      <c r="H7" s="14"/>
      <c r="I7" s="15"/>
      <c r="J7" s="16"/>
      <c r="K7" s="17"/>
      <c r="L7" s="16"/>
      <c r="M7" s="1079"/>
      <c r="N7" s="771"/>
      <c r="O7" s="773"/>
      <c r="P7" s="773"/>
    </row>
    <row r="8" spans="1:21" ht="24.95" hidden="1" customHeight="1">
      <c r="B8" s="141"/>
      <c r="C8" s="142"/>
      <c r="D8" s="142"/>
      <c r="E8" s="142"/>
      <c r="F8" s="139"/>
      <c r="G8" s="139"/>
      <c r="H8" s="14"/>
      <c r="I8" s="15"/>
      <c r="J8" s="16"/>
      <c r="K8" s="17"/>
      <c r="L8" s="16"/>
      <c r="M8" s="18"/>
      <c r="N8" s="209"/>
      <c r="O8" s="773"/>
      <c r="P8" s="773"/>
    </row>
    <row r="9" spans="1:21" ht="24.95" hidden="1" customHeight="1">
      <c r="B9" s="141"/>
      <c r="C9" s="142"/>
      <c r="D9" s="142"/>
      <c r="E9" s="142"/>
      <c r="F9" s="139"/>
      <c r="G9" s="139"/>
      <c r="H9" s="14"/>
      <c r="I9" s="15"/>
      <c r="J9" s="16"/>
      <c r="K9" s="17"/>
      <c r="L9" s="16"/>
      <c r="M9" s="18"/>
      <c r="N9" s="209"/>
      <c r="O9" s="773"/>
      <c r="P9" s="773"/>
    </row>
    <row r="10" spans="1:21" ht="24.95" hidden="1" customHeight="1">
      <c r="B10" s="141"/>
      <c r="C10" s="142"/>
      <c r="D10" s="142"/>
      <c r="E10" s="142"/>
      <c r="F10" s="139"/>
      <c r="G10" s="139"/>
      <c r="H10" s="14"/>
      <c r="I10" s="15"/>
      <c r="J10" s="16"/>
      <c r="K10" s="17"/>
      <c r="L10" s="16"/>
      <c r="M10" s="18"/>
      <c r="N10" s="209"/>
      <c r="O10" s="773"/>
      <c r="P10" s="773"/>
    </row>
    <row r="11" spans="1:21" ht="24.95" hidden="1" customHeight="1">
      <c r="B11" s="141"/>
      <c r="C11" s="142"/>
      <c r="D11" s="142"/>
      <c r="E11" s="142"/>
      <c r="F11" s="139"/>
      <c r="G11" s="139"/>
      <c r="H11" s="14"/>
      <c r="I11" s="15"/>
      <c r="J11" s="16"/>
      <c r="K11" s="17"/>
      <c r="L11" s="16"/>
      <c r="M11" s="18"/>
      <c r="N11" s="209"/>
      <c r="O11" s="773"/>
      <c r="P11" s="773"/>
    </row>
    <row r="12" spans="1:21" ht="24.95" hidden="1" customHeight="1">
      <c r="B12" s="143"/>
      <c r="C12" s="12"/>
      <c r="D12" s="12"/>
      <c r="E12" s="18"/>
      <c r="F12" s="13"/>
      <c r="G12" s="13"/>
      <c r="H12" s="17"/>
      <c r="I12" s="62"/>
      <c r="J12" s="64"/>
      <c r="K12" s="62"/>
      <c r="L12" s="62"/>
      <c r="M12" s="20"/>
      <c r="N12" s="209"/>
      <c r="O12" s="773"/>
      <c r="P12" s="773"/>
    </row>
    <row r="13" spans="1:21" ht="38.1" customHeight="1" thickBot="1">
      <c r="B13" s="843" t="s">
        <v>48</v>
      </c>
      <c r="C13" s="844"/>
      <c r="D13" s="844"/>
      <c r="E13" s="844"/>
      <c r="F13" s="844"/>
      <c r="G13" s="844"/>
      <c r="H13" s="844"/>
      <c r="I13" s="894">
        <f>L5*84.01+956.52+L6*109.25</f>
        <v>956.52</v>
      </c>
      <c r="J13" s="895"/>
      <c r="K13" s="895"/>
      <c r="L13" s="896"/>
      <c r="N13" s="772"/>
      <c r="O13" s="774"/>
      <c r="P13" s="773"/>
    </row>
    <row r="14" spans="1:21" ht="279.75" customHeight="1" thickTop="1">
      <c r="A14" s="936" t="s">
        <v>942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ht="25.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 t="s">
        <v>526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 t="s">
        <v>519</v>
      </c>
      <c r="K17" s="991"/>
      <c r="L17" s="991"/>
      <c r="M17" s="991"/>
      <c r="N17" s="248"/>
      <c r="O17" s="248"/>
      <c r="P17" s="248"/>
      <c r="Q17" s="248"/>
      <c r="R17" s="991"/>
      <c r="S17" s="991"/>
      <c r="T17" s="991"/>
      <c r="U17" s="991"/>
    </row>
    <row r="18" spans="2:21" ht="18">
      <c r="B18" s="768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768" t="s">
        <v>455</v>
      </c>
      <c r="K18" s="284"/>
      <c r="L18" s="284"/>
      <c r="M18" s="284"/>
      <c r="N18" s="768"/>
      <c r="O18" s="284"/>
      <c r="P18" s="284"/>
      <c r="Q18" s="284"/>
      <c r="R18" s="768"/>
      <c r="S18" s="284"/>
      <c r="T18" s="284"/>
      <c r="U18" s="284"/>
    </row>
  </sheetData>
  <mergeCells count="21">
    <mergeCell ref="B16:E16"/>
    <mergeCell ref="J16:M16"/>
    <mergeCell ref="N16:Q16"/>
    <mergeCell ref="R16:U16"/>
    <mergeCell ref="B17:E17"/>
    <mergeCell ref="J17:M17"/>
    <mergeCell ref="R17:U17"/>
    <mergeCell ref="B13:H13"/>
    <mergeCell ref="I13:L13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  <mergeCell ref="M5:M7"/>
  </mergeCells>
  <pageMargins left="0.19" right="0.15" top="0.21" bottom="0.28000000000000003" header="0.3" footer="0.3"/>
  <pageSetup scale="72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5703125" customWidth="1"/>
    <col min="5" max="5" width="13.42578125" customWidth="1"/>
    <col min="6" max="6" width="11.42578125" customWidth="1"/>
    <col min="7" max="7" width="12.28515625" customWidth="1"/>
    <col min="8" max="8" width="25.7109375" customWidth="1"/>
    <col min="9" max="9" width="11.425781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28515625" customWidth="1"/>
    <col min="15" max="15" width="8.140625" customWidth="1"/>
    <col min="16" max="16" width="6.71093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1089">
        <v>1</v>
      </c>
      <c r="C5" s="1087" t="s">
        <v>201</v>
      </c>
      <c r="D5" s="1088" t="s">
        <v>344</v>
      </c>
      <c r="E5" s="1088">
        <v>66285</v>
      </c>
      <c r="F5" s="1090">
        <v>40152</v>
      </c>
      <c r="G5" s="1090">
        <v>40153</v>
      </c>
      <c r="H5" s="777" t="s">
        <v>944</v>
      </c>
      <c r="I5" s="778"/>
      <c r="J5" s="779">
        <v>1</v>
      </c>
      <c r="K5" s="777" t="s">
        <v>32</v>
      </c>
      <c r="L5" s="779">
        <v>10</v>
      </c>
      <c r="M5" s="1087" t="s">
        <v>672</v>
      </c>
      <c r="N5" s="780" t="s">
        <v>966</v>
      </c>
      <c r="O5" s="776"/>
      <c r="P5" s="786" t="s">
        <v>961</v>
      </c>
    </row>
    <row r="6" spans="1:21" ht="42" customHeight="1">
      <c r="B6" s="1089"/>
      <c r="C6" s="1087"/>
      <c r="D6" s="1088"/>
      <c r="E6" s="1088"/>
      <c r="F6" s="1090"/>
      <c r="G6" s="1090"/>
      <c r="H6" s="780" t="s">
        <v>965</v>
      </c>
      <c r="I6" s="778"/>
      <c r="J6" s="779">
        <v>2</v>
      </c>
      <c r="K6" s="777"/>
      <c r="L6" s="779"/>
      <c r="M6" s="1087"/>
      <c r="N6" s="780"/>
      <c r="O6" s="776"/>
      <c r="P6" s="786"/>
    </row>
    <row r="7" spans="1:21" ht="24.95" customHeight="1">
      <c r="B7" s="1089"/>
      <c r="C7" s="1087"/>
      <c r="D7" s="1088"/>
      <c r="E7" s="1088"/>
      <c r="F7" s="1090"/>
      <c r="G7" s="1090"/>
      <c r="H7" s="780"/>
      <c r="I7" s="778"/>
      <c r="J7" s="779"/>
      <c r="K7" s="777"/>
      <c r="L7" s="779"/>
      <c r="M7" s="1087"/>
      <c r="N7" s="780"/>
      <c r="O7" s="776"/>
      <c r="P7" s="786"/>
    </row>
    <row r="8" spans="1:21" ht="24.95" hidden="1" customHeight="1">
      <c r="B8" s="782"/>
      <c r="C8" s="783"/>
      <c r="D8" s="783"/>
      <c r="E8" s="783"/>
      <c r="F8" s="784"/>
      <c r="G8" s="784"/>
      <c r="H8" s="780"/>
      <c r="I8" s="778"/>
      <c r="J8" s="779"/>
      <c r="K8" s="777"/>
      <c r="L8" s="779"/>
      <c r="M8" s="785"/>
      <c r="N8" s="785"/>
      <c r="O8" s="776"/>
      <c r="P8" s="786"/>
    </row>
    <row r="9" spans="1:21" ht="24.95" hidden="1" customHeight="1">
      <c r="B9" s="782"/>
      <c r="C9" s="783"/>
      <c r="D9" s="783"/>
      <c r="E9" s="783"/>
      <c r="F9" s="784"/>
      <c r="G9" s="784"/>
      <c r="H9" s="780"/>
      <c r="I9" s="778"/>
      <c r="J9" s="779"/>
      <c r="K9" s="777"/>
      <c r="L9" s="779"/>
      <c r="M9" s="785"/>
      <c r="N9" s="785"/>
      <c r="O9" s="776"/>
      <c r="P9" s="786"/>
    </row>
    <row r="10" spans="1:21" ht="24.95" hidden="1" customHeight="1">
      <c r="B10" s="782"/>
      <c r="C10" s="783"/>
      <c r="D10" s="783"/>
      <c r="E10" s="783"/>
      <c r="F10" s="784"/>
      <c r="G10" s="784"/>
      <c r="H10" s="780"/>
      <c r="I10" s="778"/>
      <c r="J10" s="779"/>
      <c r="K10" s="777"/>
      <c r="L10" s="779"/>
      <c r="M10" s="785"/>
      <c r="N10" s="785"/>
      <c r="O10" s="776"/>
      <c r="P10" s="786"/>
    </row>
    <row r="11" spans="1:21" ht="24.95" hidden="1" customHeight="1">
      <c r="B11" s="782"/>
      <c r="C11" s="783"/>
      <c r="D11" s="783"/>
      <c r="E11" s="783"/>
      <c r="F11" s="784"/>
      <c r="G11" s="784"/>
      <c r="H11" s="780"/>
      <c r="I11" s="778"/>
      <c r="J11" s="779"/>
      <c r="K11" s="777"/>
      <c r="L11" s="779"/>
      <c r="M11" s="785"/>
      <c r="N11" s="785"/>
      <c r="O11" s="776"/>
      <c r="P11" s="786"/>
    </row>
    <row r="12" spans="1:21" ht="24.95" hidden="1" customHeight="1">
      <c r="B12" s="782"/>
      <c r="C12" s="787"/>
      <c r="D12" s="787"/>
      <c r="E12" s="785"/>
      <c r="F12" s="788"/>
      <c r="G12" s="788"/>
      <c r="H12" s="777"/>
      <c r="I12" s="777"/>
      <c r="J12" s="779"/>
      <c r="K12" s="777"/>
      <c r="L12" s="777"/>
      <c r="M12" s="776"/>
      <c r="N12" s="785"/>
      <c r="O12" s="776"/>
      <c r="P12" s="786"/>
    </row>
    <row r="13" spans="1:21" ht="38.1" customHeight="1" thickBot="1">
      <c r="B13" s="1091" t="s">
        <v>48</v>
      </c>
      <c r="C13" s="1092"/>
      <c r="D13" s="1092"/>
      <c r="E13" s="1092"/>
      <c r="F13" s="1092"/>
      <c r="G13" s="1092"/>
      <c r="H13" s="1092"/>
      <c r="I13" s="1093">
        <f>834.28+5565.22+L5*84.01</f>
        <v>7239.6</v>
      </c>
      <c r="J13" s="1093"/>
      <c r="K13" s="1093"/>
      <c r="L13" s="1093"/>
      <c r="M13" s="792"/>
      <c r="N13" s="789"/>
      <c r="O13" s="790"/>
      <c r="P13" s="791"/>
    </row>
    <row r="14" spans="1:21" ht="351" customHeight="1" thickTop="1">
      <c r="A14" s="936" t="s">
        <v>943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ht="25.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 t="s">
        <v>526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 t="s">
        <v>519</v>
      </c>
      <c r="K17" s="991"/>
      <c r="L17" s="991"/>
      <c r="M17" s="991"/>
      <c r="N17" s="248"/>
      <c r="O17" s="248"/>
      <c r="P17" s="248"/>
      <c r="Q17" s="248"/>
      <c r="R17" s="991"/>
      <c r="S17" s="991"/>
      <c r="T17" s="991"/>
      <c r="U17" s="991"/>
    </row>
    <row r="18" spans="2:21" ht="18">
      <c r="B18" s="768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768" t="s">
        <v>455</v>
      </c>
      <c r="K18" s="284"/>
      <c r="L18" s="284"/>
      <c r="M18" s="284"/>
      <c r="N18" s="768"/>
      <c r="O18" s="284"/>
      <c r="P18" s="284"/>
      <c r="Q18" s="284"/>
      <c r="R18" s="768"/>
      <c r="S18" s="284"/>
      <c r="T18" s="284"/>
      <c r="U18" s="284"/>
    </row>
  </sheetData>
  <mergeCells count="21">
    <mergeCell ref="B16:E16"/>
    <mergeCell ref="J16:M16"/>
    <mergeCell ref="N16:Q16"/>
    <mergeCell ref="R16:U16"/>
    <mergeCell ref="B17:E17"/>
    <mergeCell ref="J17:M17"/>
    <mergeCell ref="R17:U17"/>
    <mergeCell ref="B13:H13"/>
    <mergeCell ref="I13:L13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  <mergeCell ref="M5:M7"/>
  </mergeCells>
  <pageMargins left="0.19" right="0.15" top="0.21" bottom="0.28000000000000003" header="0.3" footer="0.3"/>
  <pageSetup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7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6" t="s">
        <v>14</v>
      </c>
    </row>
    <row r="5" spans="1:21" ht="24.95" customHeight="1">
      <c r="B5" s="965">
        <v>1</v>
      </c>
      <c r="C5" s="1135" t="s">
        <v>226</v>
      </c>
      <c r="D5" s="966" t="s">
        <v>353</v>
      </c>
      <c r="E5" s="966">
        <v>215813</v>
      </c>
      <c r="F5" s="968">
        <v>40512</v>
      </c>
      <c r="G5" s="968">
        <v>40516</v>
      </c>
      <c r="H5" s="703" t="s">
        <v>911</v>
      </c>
      <c r="I5" s="704" t="s">
        <v>912</v>
      </c>
      <c r="J5" s="705">
        <v>1</v>
      </c>
      <c r="K5" s="1136" t="s">
        <v>738</v>
      </c>
      <c r="L5" s="705"/>
      <c r="M5" s="880" t="s">
        <v>582</v>
      </c>
      <c r="N5" s="707"/>
    </row>
    <row r="6" spans="1:21" ht="24.95" customHeight="1">
      <c r="B6" s="965"/>
      <c r="C6" s="1135"/>
      <c r="D6" s="966"/>
      <c r="E6" s="966"/>
      <c r="F6" s="968"/>
      <c r="G6" s="968"/>
      <c r="H6" s="708" t="s">
        <v>913</v>
      </c>
      <c r="I6" s="704" t="s">
        <v>914</v>
      </c>
      <c r="J6" s="705">
        <v>1</v>
      </c>
      <c r="K6" s="1137"/>
      <c r="L6" s="705"/>
      <c r="M6" s="881"/>
      <c r="N6" s="707"/>
    </row>
    <row r="7" spans="1:21" ht="24.95" customHeight="1">
      <c r="B7" s="965"/>
      <c r="C7" s="1135"/>
      <c r="D7" s="966"/>
      <c r="E7" s="966"/>
      <c r="F7" s="968"/>
      <c r="G7" s="968"/>
      <c r="H7" s="708" t="s">
        <v>915</v>
      </c>
      <c r="I7" s="704" t="s">
        <v>916</v>
      </c>
      <c r="J7" s="705">
        <v>1</v>
      </c>
      <c r="K7" s="1137"/>
      <c r="L7" s="705"/>
      <c r="M7" s="1079"/>
      <c r="N7" s="707"/>
    </row>
    <row r="8" spans="1:21" ht="24.95" hidden="1" customHeight="1">
      <c r="B8" s="709"/>
      <c r="C8" s="710"/>
      <c r="D8" s="710"/>
      <c r="E8" s="710"/>
      <c r="F8" s="711"/>
      <c r="G8" s="711"/>
      <c r="H8" s="708"/>
      <c r="I8" s="704"/>
      <c r="J8" s="705"/>
      <c r="K8" s="1137"/>
      <c r="L8" s="705"/>
      <c r="M8" s="706"/>
      <c r="N8" s="712"/>
    </row>
    <row r="9" spans="1:21" ht="24.95" hidden="1" customHeight="1">
      <c r="B9" s="709"/>
      <c r="C9" s="710"/>
      <c r="D9" s="710"/>
      <c r="E9" s="710"/>
      <c r="F9" s="711"/>
      <c r="G9" s="711"/>
      <c r="H9" s="708"/>
      <c r="I9" s="704"/>
      <c r="J9" s="705"/>
      <c r="K9" s="1137"/>
      <c r="L9" s="705"/>
      <c r="M9" s="706"/>
      <c r="N9" s="712"/>
    </row>
    <row r="10" spans="1:21" ht="24.95" hidden="1" customHeight="1">
      <c r="B10" s="709"/>
      <c r="C10" s="710"/>
      <c r="D10" s="710"/>
      <c r="E10" s="710"/>
      <c r="F10" s="711"/>
      <c r="G10" s="711"/>
      <c r="H10" s="708"/>
      <c r="I10" s="704"/>
      <c r="J10" s="705"/>
      <c r="K10" s="1137"/>
      <c r="L10" s="705"/>
      <c r="M10" s="706"/>
      <c r="N10" s="712"/>
    </row>
    <row r="11" spans="1:21" ht="24.95" hidden="1" customHeight="1">
      <c r="B11" s="709"/>
      <c r="C11" s="710"/>
      <c r="D11" s="710"/>
      <c r="E11" s="710"/>
      <c r="F11" s="711"/>
      <c r="G11" s="711"/>
      <c r="H11" s="708"/>
      <c r="I11" s="704"/>
      <c r="J11" s="705"/>
      <c r="K11" s="1137"/>
      <c r="L11" s="705"/>
      <c r="M11" s="706"/>
      <c r="N11" s="712"/>
    </row>
    <row r="12" spans="1:21" ht="24.95" hidden="1" customHeight="1">
      <c r="B12" s="709"/>
      <c r="C12" s="713"/>
      <c r="D12" s="713"/>
      <c r="E12" s="706"/>
      <c r="F12" s="714"/>
      <c r="G12" s="714"/>
      <c r="H12" s="703"/>
      <c r="I12" s="703"/>
      <c r="J12" s="705"/>
      <c r="K12" s="1137"/>
      <c r="L12" s="703"/>
      <c r="M12" s="702"/>
      <c r="N12" s="712"/>
    </row>
    <row r="13" spans="1:21" ht="38.1" customHeight="1" thickBot="1">
      <c r="B13" s="962" t="s">
        <v>48</v>
      </c>
      <c r="C13" s="963"/>
      <c r="D13" s="963"/>
      <c r="E13" s="963"/>
      <c r="F13" s="963"/>
      <c r="G13" s="963"/>
      <c r="H13" s="963"/>
      <c r="I13" s="964">
        <f>6434.77+5217.38+2434.77</f>
        <v>14086.920000000002</v>
      </c>
      <c r="J13" s="964"/>
      <c r="K13" s="964"/>
      <c r="L13" s="964"/>
      <c r="M13" s="715"/>
      <c r="N13" s="716"/>
      <c r="O13" s="90"/>
    </row>
    <row r="14" spans="1:21" ht="292.5" customHeight="1" thickTop="1">
      <c r="A14" s="936" t="s">
        <v>904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ht="25.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 t="s">
        <v>526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 t="s">
        <v>519</v>
      </c>
      <c r="K17" s="991"/>
      <c r="L17" s="991"/>
      <c r="M17" s="991"/>
      <c r="N17" s="248"/>
      <c r="O17" s="248"/>
      <c r="P17" s="248"/>
      <c r="Q17" s="248"/>
      <c r="R17" s="991"/>
      <c r="S17" s="991"/>
      <c r="T17" s="991"/>
      <c r="U17" s="991"/>
    </row>
    <row r="18" spans="2:21" ht="18">
      <c r="B18" s="679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679" t="s">
        <v>455</v>
      </c>
      <c r="K18" s="284"/>
      <c r="L18" s="284"/>
      <c r="M18" s="284"/>
      <c r="N18" s="679"/>
      <c r="O18" s="284"/>
      <c r="P18" s="284"/>
      <c r="Q18" s="284"/>
      <c r="R18" s="679"/>
      <c r="S18" s="284"/>
      <c r="T18" s="284"/>
      <c r="U18" s="284"/>
    </row>
  </sheetData>
  <mergeCells count="22">
    <mergeCell ref="B13:H13"/>
    <mergeCell ref="I13:L13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  <mergeCell ref="K5:K12"/>
    <mergeCell ref="M5:M7"/>
    <mergeCell ref="B16:E16"/>
    <mergeCell ref="J16:M16"/>
    <mergeCell ref="N16:Q16"/>
    <mergeCell ref="R16:U16"/>
    <mergeCell ref="B17:E17"/>
    <mergeCell ref="J17:M17"/>
    <mergeCell ref="R17:U17"/>
  </mergeCells>
  <pageMargins left="0.19" right="0.15" top="0.21" bottom="0.28000000000000003" header="0.3" footer="0.3"/>
  <pageSetup scale="72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5.57031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7.7109375" customWidth="1"/>
    <col min="15" max="15" width="8.140625" customWidth="1"/>
    <col min="16" max="16" width="7.71093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1089">
        <v>1</v>
      </c>
      <c r="C5" s="1138" t="s">
        <v>374</v>
      </c>
      <c r="D5" s="1139" t="s">
        <v>375</v>
      </c>
      <c r="E5" s="1139">
        <v>240756</v>
      </c>
      <c r="F5" s="1140">
        <v>40495</v>
      </c>
      <c r="G5" s="1140">
        <v>40520</v>
      </c>
      <c r="H5" s="799" t="s">
        <v>752</v>
      </c>
      <c r="I5" s="800"/>
      <c r="J5" s="801"/>
      <c r="K5" s="799" t="s">
        <v>32</v>
      </c>
      <c r="L5" s="801">
        <v>3.5</v>
      </c>
      <c r="M5" s="805" t="s">
        <v>376</v>
      </c>
      <c r="N5" s="802" t="s">
        <v>302</v>
      </c>
      <c r="O5" s="797"/>
      <c r="P5" s="786"/>
    </row>
    <row r="6" spans="1:21" ht="24.95" customHeight="1">
      <c r="B6" s="1089"/>
      <c r="C6" s="1138"/>
      <c r="D6" s="1139"/>
      <c r="E6" s="1139"/>
      <c r="F6" s="1140"/>
      <c r="G6" s="1140"/>
      <c r="H6" s="802" t="s">
        <v>972</v>
      </c>
      <c r="I6" s="800">
        <v>86542310118</v>
      </c>
      <c r="J6" s="801">
        <v>1</v>
      </c>
      <c r="K6" s="799" t="s">
        <v>33</v>
      </c>
      <c r="L6" s="801">
        <v>2.5</v>
      </c>
      <c r="M6" s="805" t="s">
        <v>58</v>
      </c>
      <c r="N6" s="802"/>
      <c r="O6" s="797"/>
      <c r="P6" s="786"/>
    </row>
    <row r="7" spans="1:21" ht="24.95" customHeight="1">
      <c r="B7" s="1089"/>
      <c r="C7" s="1138"/>
      <c r="D7" s="1139"/>
      <c r="E7" s="1139"/>
      <c r="F7" s="1140"/>
      <c r="G7" s="1140"/>
      <c r="H7" s="802"/>
      <c r="I7" s="800"/>
      <c r="J7" s="801"/>
      <c r="K7" s="799"/>
      <c r="L7" s="801"/>
      <c r="M7" s="805"/>
      <c r="N7" s="802"/>
      <c r="O7" s="797"/>
      <c r="P7" s="786"/>
    </row>
    <row r="8" spans="1:21" ht="24.95" hidden="1" customHeight="1">
      <c r="B8" s="795"/>
      <c r="C8" s="803"/>
      <c r="D8" s="803"/>
      <c r="E8" s="803"/>
      <c r="F8" s="804"/>
      <c r="G8" s="804"/>
      <c r="H8" s="802"/>
      <c r="I8" s="800"/>
      <c r="J8" s="801"/>
      <c r="K8" s="799"/>
      <c r="L8" s="801"/>
      <c r="M8" s="805"/>
      <c r="N8" s="805"/>
      <c r="O8" s="797"/>
      <c r="P8" s="786"/>
    </row>
    <row r="9" spans="1:21" ht="24.95" hidden="1" customHeight="1">
      <c r="B9" s="795"/>
      <c r="C9" s="803"/>
      <c r="D9" s="803"/>
      <c r="E9" s="803"/>
      <c r="F9" s="804"/>
      <c r="G9" s="804"/>
      <c r="H9" s="802"/>
      <c r="I9" s="800"/>
      <c r="J9" s="801"/>
      <c r="K9" s="799"/>
      <c r="L9" s="801"/>
      <c r="M9" s="805"/>
      <c r="N9" s="805"/>
      <c r="O9" s="797"/>
      <c r="P9" s="786"/>
    </row>
    <row r="10" spans="1:21" ht="24.95" hidden="1" customHeight="1">
      <c r="B10" s="795"/>
      <c r="C10" s="803"/>
      <c r="D10" s="803"/>
      <c r="E10" s="803"/>
      <c r="F10" s="804"/>
      <c r="G10" s="804"/>
      <c r="H10" s="802"/>
      <c r="I10" s="800"/>
      <c r="J10" s="801"/>
      <c r="K10" s="799"/>
      <c r="L10" s="801"/>
      <c r="M10" s="805"/>
      <c r="N10" s="805"/>
      <c r="O10" s="797"/>
      <c r="P10" s="786"/>
    </row>
    <row r="11" spans="1:21" ht="24.95" hidden="1" customHeight="1">
      <c r="B11" s="795"/>
      <c r="C11" s="803"/>
      <c r="D11" s="803"/>
      <c r="E11" s="803"/>
      <c r="F11" s="804"/>
      <c r="G11" s="804"/>
      <c r="H11" s="802"/>
      <c r="I11" s="800"/>
      <c r="J11" s="801"/>
      <c r="K11" s="799"/>
      <c r="L11" s="801"/>
      <c r="M11" s="805"/>
      <c r="N11" s="805"/>
      <c r="O11" s="797"/>
      <c r="P11" s="786"/>
    </row>
    <row r="12" spans="1:21" ht="24.95" hidden="1" customHeight="1">
      <c r="B12" s="795"/>
      <c r="C12" s="806"/>
      <c r="D12" s="806"/>
      <c r="E12" s="805"/>
      <c r="F12" s="807"/>
      <c r="G12" s="807"/>
      <c r="H12" s="799"/>
      <c r="I12" s="799"/>
      <c r="J12" s="801"/>
      <c r="K12" s="799"/>
      <c r="L12" s="799"/>
      <c r="M12" s="797"/>
      <c r="N12" s="805"/>
      <c r="O12" s="797"/>
      <c r="P12" s="786"/>
    </row>
    <row r="13" spans="1:21" ht="38.1" customHeight="1" thickBot="1">
      <c r="B13" s="1091" t="s">
        <v>48</v>
      </c>
      <c r="C13" s="1092"/>
      <c r="D13" s="1092"/>
      <c r="E13" s="1092"/>
      <c r="F13" s="1092"/>
      <c r="G13" s="1092"/>
      <c r="H13" s="1092"/>
      <c r="I13" s="1093">
        <f>1200+2268.39+L5*84.01+L6*84.01</f>
        <v>3972.45</v>
      </c>
      <c r="J13" s="1093"/>
      <c r="K13" s="1093"/>
      <c r="L13" s="1093"/>
      <c r="M13" s="792"/>
      <c r="N13" s="789"/>
      <c r="O13" s="790"/>
      <c r="P13" s="791"/>
    </row>
    <row r="14" spans="1:21" ht="309.75" customHeight="1" thickTop="1">
      <c r="A14" s="936" t="s">
        <v>931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ht="25.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48"/>
      <c r="J16" s="991" t="s">
        <v>526</v>
      </c>
      <c r="K16" s="991"/>
      <c r="L16" s="991"/>
      <c r="M16" s="991"/>
      <c r="N16" s="991"/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48"/>
      <c r="J17" s="991" t="s">
        <v>519</v>
      </c>
      <c r="K17" s="991"/>
      <c r="L17" s="991"/>
      <c r="M17" s="991"/>
      <c r="N17" s="248"/>
      <c r="O17" s="248"/>
      <c r="P17" s="248"/>
      <c r="Q17" s="248"/>
      <c r="R17" s="991"/>
      <c r="S17" s="991"/>
      <c r="T17" s="991"/>
      <c r="U17" s="991"/>
    </row>
    <row r="18" spans="2:21" ht="18">
      <c r="B18" s="727" t="s">
        <v>517</v>
      </c>
      <c r="C18" s="284"/>
      <c r="D18" s="284"/>
      <c r="E18" s="284"/>
      <c r="F18" s="285" t="s">
        <v>520</v>
      </c>
      <c r="G18" s="286"/>
      <c r="H18" s="286"/>
      <c r="I18" s="284"/>
      <c r="J18" s="727" t="s">
        <v>455</v>
      </c>
      <c r="K18" s="284"/>
      <c r="L18" s="284"/>
      <c r="M18" s="284"/>
      <c r="N18" s="727"/>
      <c r="O18" s="284"/>
      <c r="P18" s="284"/>
      <c r="Q18" s="284"/>
      <c r="R18" s="727"/>
      <c r="S18" s="284"/>
      <c r="T18" s="284"/>
      <c r="U18" s="284"/>
    </row>
  </sheetData>
  <mergeCells count="20">
    <mergeCell ref="B16:E16"/>
    <mergeCell ref="J16:M16"/>
    <mergeCell ref="N16:Q16"/>
    <mergeCell ref="R16:U16"/>
    <mergeCell ref="B17:E17"/>
    <mergeCell ref="J17:M17"/>
    <mergeCell ref="R17:U17"/>
    <mergeCell ref="B13:H13"/>
    <mergeCell ref="I13:L13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</mergeCells>
  <pageMargins left="0.19" right="0.15" top="0.21" bottom="0.28000000000000003" header="0.3" footer="0.3"/>
  <pageSetup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3.7109375" customWidth="1"/>
    <col min="9" max="9" width="15.71093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2.42578125" customWidth="1"/>
  </cols>
  <sheetData>
    <row r="1" spans="1:16" ht="28.5" customHeight="1">
      <c r="B1" s="860" t="s">
        <v>742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48.75" customHeight="1">
      <c r="B5" s="1142">
        <v>1</v>
      </c>
      <c r="C5" s="1143" t="s">
        <v>294</v>
      </c>
      <c r="D5" s="960" t="s">
        <v>369</v>
      </c>
      <c r="E5" s="960">
        <v>56867</v>
      </c>
      <c r="F5" s="961">
        <v>40496</v>
      </c>
      <c r="G5" s="961">
        <v>40499</v>
      </c>
      <c r="H5" s="495" t="s">
        <v>721</v>
      </c>
      <c r="I5" s="496">
        <v>3485300040</v>
      </c>
      <c r="J5" s="497">
        <v>1</v>
      </c>
      <c r="K5" s="495" t="s">
        <v>523</v>
      </c>
      <c r="L5" s="497">
        <v>13</v>
      </c>
      <c r="M5" s="1141" t="s">
        <v>722</v>
      </c>
      <c r="N5" s="502"/>
      <c r="O5" s="509"/>
      <c r="P5" s="510"/>
    </row>
    <row r="6" spans="1:16" ht="24.95" hidden="1" customHeight="1">
      <c r="B6" s="1142"/>
      <c r="C6" s="1143"/>
      <c r="D6" s="960"/>
      <c r="E6" s="960"/>
      <c r="F6" s="961"/>
      <c r="G6" s="961"/>
      <c r="H6" s="498"/>
      <c r="I6" s="496"/>
      <c r="J6" s="497"/>
      <c r="K6" s="495"/>
      <c r="L6" s="497"/>
      <c r="M6" s="1141"/>
      <c r="N6" s="502"/>
      <c r="O6" s="509"/>
      <c r="P6" s="510"/>
    </row>
    <row r="7" spans="1:16" ht="24.95" hidden="1" customHeight="1">
      <c r="B7" s="1142"/>
      <c r="C7" s="1143"/>
      <c r="D7" s="960"/>
      <c r="E7" s="960"/>
      <c r="F7" s="961"/>
      <c r="G7" s="961"/>
      <c r="H7" s="498"/>
      <c r="I7" s="496"/>
      <c r="J7" s="497"/>
      <c r="K7" s="495"/>
      <c r="L7" s="497"/>
      <c r="M7" s="1141"/>
      <c r="N7" s="502"/>
      <c r="O7" s="509"/>
      <c r="P7" s="510"/>
    </row>
    <row r="8" spans="1:16" ht="24.95" hidden="1" customHeight="1">
      <c r="B8" s="499"/>
      <c r="C8" s="500"/>
      <c r="D8" s="500"/>
      <c r="E8" s="500"/>
      <c r="F8" s="501"/>
      <c r="G8" s="501"/>
      <c r="H8" s="502"/>
      <c r="I8" s="503"/>
      <c r="J8" s="504"/>
      <c r="K8" s="505"/>
      <c r="L8" s="504"/>
      <c r="M8" s="506"/>
      <c r="N8" s="506"/>
      <c r="O8" s="509"/>
      <c r="P8" s="510"/>
    </row>
    <row r="9" spans="1:16" ht="24.95" hidden="1" customHeight="1">
      <c r="B9" s="499"/>
      <c r="C9" s="500"/>
      <c r="D9" s="500"/>
      <c r="E9" s="500"/>
      <c r="F9" s="501"/>
      <c r="G9" s="501"/>
      <c r="H9" s="502"/>
      <c r="I9" s="503"/>
      <c r="J9" s="504"/>
      <c r="K9" s="505"/>
      <c r="L9" s="504"/>
      <c r="M9" s="506"/>
      <c r="N9" s="506"/>
      <c r="O9" s="509"/>
      <c r="P9" s="510"/>
    </row>
    <row r="10" spans="1:16" ht="24.95" hidden="1" customHeight="1">
      <c r="B10" s="499"/>
      <c r="C10" s="500"/>
      <c r="D10" s="500"/>
      <c r="E10" s="500"/>
      <c r="F10" s="501"/>
      <c r="G10" s="501"/>
      <c r="H10" s="502"/>
      <c r="I10" s="503"/>
      <c r="J10" s="504"/>
      <c r="K10" s="505"/>
      <c r="L10" s="504"/>
      <c r="M10" s="506"/>
      <c r="N10" s="506"/>
      <c r="O10" s="509"/>
      <c r="P10" s="510"/>
    </row>
    <row r="11" spans="1:16" ht="24.95" hidden="1" customHeight="1">
      <c r="B11" s="499"/>
      <c r="C11" s="500"/>
      <c r="D11" s="500"/>
      <c r="E11" s="500"/>
      <c r="F11" s="501"/>
      <c r="G11" s="501"/>
      <c r="H11" s="502"/>
      <c r="I11" s="503"/>
      <c r="J11" s="504"/>
      <c r="K11" s="505"/>
      <c r="L11" s="504"/>
      <c r="M11" s="506"/>
      <c r="N11" s="506"/>
      <c r="O11" s="509"/>
      <c r="P11" s="510"/>
    </row>
    <row r="12" spans="1:16" ht="24.95" hidden="1" customHeight="1">
      <c r="B12" s="499"/>
      <c r="C12" s="507"/>
      <c r="D12" s="507"/>
      <c r="E12" s="506"/>
      <c r="F12" s="508"/>
      <c r="G12" s="508"/>
      <c r="H12" s="505"/>
      <c r="I12" s="505"/>
      <c r="J12" s="504"/>
      <c r="K12" s="505"/>
      <c r="L12" s="505"/>
      <c r="M12" s="509"/>
      <c r="N12" s="506"/>
      <c r="O12" s="509"/>
      <c r="P12" s="510"/>
    </row>
    <row r="13" spans="1:16" ht="38.1" customHeight="1" thickBot="1">
      <c r="B13" s="945" t="s">
        <v>48</v>
      </c>
      <c r="C13" s="946"/>
      <c r="D13" s="946"/>
      <c r="E13" s="946"/>
      <c r="F13" s="946"/>
      <c r="G13" s="946"/>
      <c r="H13" s="946"/>
      <c r="I13" s="947">
        <f>502.56+L5*83.26</f>
        <v>1584.94</v>
      </c>
      <c r="J13" s="947"/>
      <c r="K13" s="947"/>
      <c r="L13" s="947"/>
      <c r="M13" s="947"/>
      <c r="N13" s="511"/>
      <c r="O13" s="512"/>
      <c r="P13" s="513"/>
    </row>
    <row r="14" spans="1:16" ht="409.6" customHeight="1" thickTop="1">
      <c r="A14" s="1053" t="s">
        <v>720</v>
      </c>
      <c r="B14" s="906"/>
      <c r="C14" s="906"/>
      <c r="D14" s="906"/>
      <c r="E14" s="906"/>
      <c r="F14" s="906"/>
      <c r="G14" s="906"/>
      <c r="H14" s="906"/>
      <c r="I14" s="906"/>
      <c r="J14" s="906"/>
      <c r="K14" s="906"/>
      <c r="L14" s="906"/>
      <c r="M14" s="906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489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489" t="s">
        <v>519</v>
      </c>
    </row>
    <row r="17" spans="2:14" ht="18">
      <c r="B17" s="489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489"/>
      <c r="K17" s="284"/>
      <c r="L17" s="284"/>
      <c r="M17" s="284"/>
      <c r="N17" s="489" t="s">
        <v>517</v>
      </c>
    </row>
  </sheetData>
  <mergeCells count="17"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B15:E15"/>
    <mergeCell ref="J15:M15"/>
    <mergeCell ref="B16:E16"/>
    <mergeCell ref="J16:M16"/>
    <mergeCell ref="M5:M7"/>
    <mergeCell ref="B13:H13"/>
    <mergeCell ref="A14:M14"/>
    <mergeCell ref="I13:M13"/>
  </mergeCells>
  <pageMargins left="0.19" right="0.15" top="0.21" bottom="0.28000000000000003" header="0.3" footer="0.3"/>
  <pageSetup scale="72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B1:O17"/>
  <sheetViews>
    <sheetView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63">
        <v>1</v>
      </c>
      <c r="C5" s="897" t="s">
        <v>226</v>
      </c>
      <c r="D5" s="864" t="s">
        <v>365</v>
      </c>
      <c r="E5" s="864">
        <v>106853</v>
      </c>
      <c r="F5" s="865">
        <v>40157</v>
      </c>
      <c r="G5" s="865">
        <v>40157</v>
      </c>
      <c r="H5" s="17"/>
      <c r="I5" s="82"/>
      <c r="J5" s="16"/>
      <c r="K5" s="17"/>
      <c r="L5" s="16"/>
      <c r="M5" s="18" t="s">
        <v>119</v>
      </c>
      <c r="N5" s="80"/>
    </row>
    <row r="6" spans="2:15" ht="24.95" customHeight="1">
      <c r="B6" s="852"/>
      <c r="C6" s="898"/>
      <c r="D6" s="855"/>
      <c r="E6" s="855"/>
      <c r="F6" s="839"/>
      <c r="G6" s="839"/>
      <c r="H6" s="14"/>
      <c r="I6" s="15"/>
      <c r="J6" s="16"/>
      <c r="K6" s="17"/>
      <c r="L6" s="16"/>
      <c r="M6" s="18"/>
      <c r="N6" s="80"/>
    </row>
    <row r="7" spans="2:15" ht="24.95" customHeight="1">
      <c r="B7" s="858"/>
      <c r="C7" s="899"/>
      <c r="D7" s="859"/>
      <c r="E7" s="859"/>
      <c r="F7" s="840"/>
      <c r="G7" s="840"/>
      <c r="H7" s="14"/>
      <c r="I7" s="15"/>
      <c r="J7" s="16"/>
      <c r="K7" s="17"/>
      <c r="L7" s="16"/>
      <c r="M7" s="18"/>
      <c r="N7" s="80"/>
    </row>
    <row r="8" spans="2:15" ht="24.95" hidden="1" customHeight="1">
      <c r="B8" s="147"/>
      <c r="C8" s="148"/>
      <c r="D8" s="148"/>
      <c r="E8" s="148"/>
      <c r="F8" s="146"/>
      <c r="G8" s="146"/>
      <c r="H8" s="14"/>
      <c r="I8" s="15"/>
      <c r="J8" s="16"/>
      <c r="K8" s="17"/>
      <c r="L8" s="16"/>
      <c r="M8" s="18"/>
      <c r="N8" s="19"/>
    </row>
    <row r="9" spans="2:15" ht="24.95" hidden="1" customHeight="1">
      <c r="B9" s="147"/>
      <c r="C9" s="148"/>
      <c r="D9" s="148"/>
      <c r="E9" s="148"/>
      <c r="F9" s="146"/>
      <c r="G9" s="146"/>
      <c r="H9" s="14"/>
      <c r="I9" s="15"/>
      <c r="J9" s="16"/>
      <c r="K9" s="17"/>
      <c r="L9" s="16"/>
      <c r="M9" s="18"/>
      <c r="N9" s="19"/>
    </row>
    <row r="10" spans="2:15" ht="24.95" hidden="1" customHeight="1">
      <c r="B10" s="147"/>
      <c r="C10" s="148"/>
      <c r="D10" s="148"/>
      <c r="E10" s="148"/>
      <c r="F10" s="146"/>
      <c r="G10" s="146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147"/>
      <c r="C11" s="148"/>
      <c r="D11" s="148"/>
      <c r="E11" s="148"/>
      <c r="F11" s="146"/>
      <c r="G11" s="146"/>
      <c r="H11" s="14"/>
      <c r="I11" s="15"/>
      <c r="J11" s="16"/>
      <c r="K11" s="17"/>
      <c r="L11" s="16"/>
      <c r="M11" s="18"/>
      <c r="N11" s="19"/>
    </row>
    <row r="12" spans="2:15" ht="24.95" hidden="1" customHeight="1">
      <c r="B12" s="149"/>
      <c r="C12" s="12"/>
      <c r="D12" s="12"/>
      <c r="E12" s="18"/>
      <c r="F12" s="13"/>
      <c r="G12" s="13"/>
      <c r="H12" s="17"/>
      <c r="I12" s="62"/>
      <c r="J12" s="64"/>
      <c r="K12" s="62"/>
      <c r="L12" s="62"/>
      <c r="M12" s="20"/>
      <c r="N12" s="19"/>
    </row>
    <row r="13" spans="2:15" ht="38.1" customHeight="1" thickBot="1">
      <c r="B13" s="843" t="s">
        <v>48</v>
      </c>
      <c r="C13" s="844"/>
      <c r="D13" s="844"/>
      <c r="E13" s="844"/>
      <c r="F13" s="844"/>
      <c r="G13" s="844"/>
      <c r="H13" s="844"/>
      <c r="I13" s="894">
        <f>L5*84.01+L6*84.01+L7*77.98+L8*109.25</f>
        <v>0</v>
      </c>
      <c r="J13" s="895"/>
      <c r="K13" s="895"/>
      <c r="L13" s="896"/>
      <c r="N13" s="81"/>
      <c r="O13" s="90"/>
    </row>
    <row r="14" spans="2:15" ht="24.95" customHeight="1" thickTop="1">
      <c r="B14" s="889" t="s">
        <v>371</v>
      </c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</row>
    <row r="15" spans="2:15" ht="24.95" customHeight="1">
      <c r="B15" s="890" t="s">
        <v>16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5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3">
    <mergeCell ref="B13:H13"/>
    <mergeCell ref="I13:L13"/>
    <mergeCell ref="B14:N14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2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8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8.42578125" hidden="1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1.570312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8.71093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1098">
        <v>1</v>
      </c>
      <c r="C5" s="1099" t="s">
        <v>226</v>
      </c>
      <c r="D5" s="1100" t="s">
        <v>366</v>
      </c>
      <c r="E5" s="1100">
        <v>175602</v>
      </c>
      <c r="F5" s="1101">
        <v>40510</v>
      </c>
      <c r="G5" s="1101">
        <v>40510</v>
      </c>
      <c r="H5" s="628" t="s">
        <v>827</v>
      </c>
      <c r="I5" s="629" t="s">
        <v>808</v>
      </c>
      <c r="J5" s="630">
        <v>1</v>
      </c>
      <c r="K5" s="628" t="s">
        <v>523</v>
      </c>
      <c r="L5" s="630">
        <v>2</v>
      </c>
      <c r="M5" s="1094" t="s">
        <v>828</v>
      </c>
      <c r="N5" s="631"/>
      <c r="O5" s="627"/>
      <c r="P5" s="632"/>
    </row>
    <row r="6" spans="1:21" ht="24.95" customHeight="1">
      <c r="B6" s="1098"/>
      <c r="C6" s="1099"/>
      <c r="D6" s="1100"/>
      <c r="E6" s="1100"/>
      <c r="F6" s="1101"/>
      <c r="G6" s="1101"/>
      <c r="H6" s="631" t="s">
        <v>829</v>
      </c>
      <c r="I6" s="629" t="s">
        <v>830</v>
      </c>
      <c r="J6" s="630">
        <v>1</v>
      </c>
      <c r="K6" s="628" t="s">
        <v>523</v>
      </c>
      <c r="L6" s="630">
        <v>5</v>
      </c>
      <c r="M6" s="1094"/>
      <c r="N6" s="631"/>
      <c r="O6" s="627"/>
      <c r="P6" s="632"/>
    </row>
    <row r="7" spans="1:21" ht="24.95" customHeight="1">
      <c r="B7" s="1098"/>
      <c r="C7" s="1099"/>
      <c r="D7" s="1100"/>
      <c r="E7" s="1100"/>
      <c r="F7" s="1101"/>
      <c r="G7" s="1101"/>
      <c r="H7" s="631"/>
      <c r="I7" s="629"/>
      <c r="J7" s="630"/>
      <c r="K7" s="628" t="s">
        <v>523</v>
      </c>
      <c r="L7" s="630">
        <v>5</v>
      </c>
      <c r="M7" s="1094"/>
      <c r="N7" s="631"/>
      <c r="O7" s="627"/>
      <c r="P7" s="632"/>
    </row>
    <row r="8" spans="1:21" ht="24.95" hidden="1" customHeight="1">
      <c r="B8" s="635"/>
      <c r="C8" s="633"/>
      <c r="D8" s="633"/>
      <c r="E8" s="633"/>
      <c r="F8" s="636"/>
      <c r="G8" s="636"/>
      <c r="H8" s="631"/>
      <c r="I8" s="629"/>
      <c r="J8" s="630"/>
      <c r="K8" s="628"/>
      <c r="L8" s="630"/>
      <c r="M8" s="634"/>
      <c r="N8" s="634"/>
      <c r="O8" s="627"/>
      <c r="P8" s="632"/>
    </row>
    <row r="9" spans="1:21" ht="24.95" hidden="1" customHeight="1">
      <c r="B9" s="635"/>
      <c r="C9" s="633"/>
      <c r="D9" s="633"/>
      <c r="E9" s="633"/>
      <c r="F9" s="636"/>
      <c r="G9" s="636"/>
      <c r="H9" s="631"/>
      <c r="I9" s="629"/>
      <c r="J9" s="630"/>
      <c r="K9" s="628"/>
      <c r="L9" s="630"/>
      <c r="M9" s="634"/>
      <c r="N9" s="634"/>
      <c r="O9" s="627"/>
      <c r="P9" s="632"/>
    </row>
    <row r="10" spans="1:21" ht="24.95" hidden="1" customHeight="1">
      <c r="B10" s="635"/>
      <c r="C10" s="633"/>
      <c r="D10" s="633"/>
      <c r="E10" s="633"/>
      <c r="F10" s="636"/>
      <c r="G10" s="636"/>
      <c r="H10" s="631"/>
      <c r="I10" s="629"/>
      <c r="J10" s="630"/>
      <c r="K10" s="628"/>
      <c r="L10" s="630"/>
      <c r="M10" s="634"/>
      <c r="N10" s="634"/>
      <c r="O10" s="627"/>
      <c r="P10" s="632"/>
    </row>
    <row r="11" spans="1:21" ht="24.95" hidden="1" customHeight="1">
      <c r="B11" s="635"/>
      <c r="C11" s="633"/>
      <c r="D11" s="633"/>
      <c r="E11" s="633"/>
      <c r="F11" s="636"/>
      <c r="G11" s="636"/>
      <c r="H11" s="631"/>
      <c r="I11" s="629"/>
      <c r="J11" s="630"/>
      <c r="K11" s="628"/>
      <c r="L11" s="630"/>
      <c r="M11" s="634"/>
      <c r="N11" s="634"/>
      <c r="O11" s="627"/>
      <c r="P11" s="632"/>
    </row>
    <row r="12" spans="1:21" ht="24.95" hidden="1" customHeight="1">
      <c r="B12" s="635"/>
      <c r="C12" s="637"/>
      <c r="D12" s="637"/>
      <c r="E12" s="634"/>
      <c r="F12" s="638"/>
      <c r="G12" s="638"/>
      <c r="H12" s="628"/>
      <c r="I12" s="628"/>
      <c r="J12" s="630"/>
      <c r="K12" s="628"/>
      <c r="L12" s="628"/>
      <c r="M12" s="627"/>
      <c r="N12" s="634"/>
      <c r="O12" s="627"/>
      <c r="P12" s="632"/>
    </row>
    <row r="13" spans="1:21" ht="38.1" customHeight="1" thickBot="1">
      <c r="B13" s="1095" t="s">
        <v>48</v>
      </c>
      <c r="C13" s="1096"/>
      <c r="D13" s="1096"/>
      <c r="E13" s="1096"/>
      <c r="F13" s="1096"/>
      <c r="G13" s="1096"/>
      <c r="H13" s="1096"/>
      <c r="I13" s="1097">
        <f>L5*83.26+L6*83.26+L7*83.26+95.39+4081.64</f>
        <v>5176.1499999999996</v>
      </c>
      <c r="J13" s="1097"/>
      <c r="K13" s="1097"/>
      <c r="L13" s="1097"/>
      <c r="M13" s="639"/>
      <c r="N13" s="640"/>
      <c r="O13" s="641"/>
      <c r="P13" s="642"/>
    </row>
    <row r="14" spans="1:21" ht="207.75" customHeight="1" thickTop="1">
      <c r="A14" s="936" t="s">
        <v>831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s="291" customFormat="1" ht="8.25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1:21" ht="20.100000000000001" customHeight="1">
      <c r="B16" s="991" t="s">
        <v>518</v>
      </c>
      <c r="C16" s="991"/>
      <c r="D16" s="991"/>
      <c r="E16" s="991"/>
      <c r="F16" s="285" t="s">
        <v>525</v>
      </c>
      <c r="G16" s="285"/>
      <c r="H16" s="285"/>
      <c r="I16" s="285"/>
      <c r="J16" s="991"/>
      <c r="K16" s="991"/>
      <c r="L16" s="991"/>
      <c r="M16" s="991"/>
      <c r="N16" s="991" t="s">
        <v>526</v>
      </c>
      <c r="O16" s="991"/>
      <c r="P16" s="991"/>
      <c r="Q16" s="991"/>
      <c r="R16" s="991"/>
      <c r="S16" s="991"/>
      <c r="T16" s="991"/>
      <c r="U16" s="991"/>
    </row>
    <row r="17" spans="2:21" ht="20.100000000000001" customHeight="1">
      <c r="B17" s="991" t="s">
        <v>519</v>
      </c>
      <c r="C17" s="991"/>
      <c r="D17" s="991"/>
      <c r="E17" s="991"/>
      <c r="F17" s="285" t="s">
        <v>519</v>
      </c>
      <c r="G17" s="285"/>
      <c r="H17" s="285"/>
      <c r="I17" s="285"/>
      <c r="J17" s="991"/>
      <c r="K17" s="991"/>
      <c r="L17" s="991"/>
      <c r="M17" s="991"/>
      <c r="N17" s="991" t="s">
        <v>519</v>
      </c>
      <c r="O17" s="991"/>
      <c r="P17" s="991"/>
      <c r="Q17" s="991"/>
      <c r="R17" s="991"/>
      <c r="S17" s="991"/>
      <c r="T17" s="991"/>
      <c r="U17" s="991"/>
    </row>
    <row r="18" spans="2:21" ht="18">
      <c r="B18" s="626" t="s">
        <v>517</v>
      </c>
      <c r="C18" s="284"/>
      <c r="D18" s="284"/>
      <c r="E18" s="284"/>
      <c r="F18" s="285" t="s">
        <v>520</v>
      </c>
      <c r="G18" s="286"/>
      <c r="H18" s="286"/>
      <c r="I18" s="286"/>
      <c r="J18" s="626"/>
      <c r="K18" s="284"/>
      <c r="L18" s="284"/>
      <c r="M18" s="284"/>
      <c r="N18" s="626" t="s">
        <v>517</v>
      </c>
      <c r="O18" s="284"/>
      <c r="P18" s="284"/>
      <c r="Q18" s="284"/>
      <c r="R18" s="626"/>
      <c r="S18" s="284"/>
      <c r="T18" s="284"/>
      <c r="U18" s="284"/>
    </row>
  </sheetData>
  <mergeCells count="22">
    <mergeCell ref="B16:E16"/>
    <mergeCell ref="J16:M16"/>
    <mergeCell ref="N16:Q16"/>
    <mergeCell ref="R16:U16"/>
    <mergeCell ref="B17:E17"/>
    <mergeCell ref="J17:M17"/>
    <mergeCell ref="N17:Q17"/>
    <mergeCell ref="R17:U17"/>
    <mergeCell ref="B13:H13"/>
    <mergeCell ref="I13:L13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  <mergeCell ref="M5:M7"/>
  </mergeCells>
  <pageMargins left="0.19" right="0.15" top="0.21" bottom="0.28000000000000003" header="0.3" footer="0.3"/>
  <pageSetup scale="70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5" customWidth="1"/>
    <col min="4" max="4" width="10.85546875" customWidth="1"/>
    <col min="5" max="5" width="13" customWidth="1"/>
    <col min="6" max="6" width="11.42578125" customWidth="1"/>
    <col min="7" max="7" width="11.5703125" customWidth="1"/>
    <col min="8" max="8" width="22.7109375" customWidth="1"/>
    <col min="9" max="9" width="12.7109375" customWidth="1"/>
    <col min="10" max="10" width="6.28515625" customWidth="1"/>
    <col min="11" max="11" width="13.85546875" customWidth="1"/>
    <col min="12" max="12" width="6.42578125" customWidth="1"/>
    <col min="13" max="13" width="15" customWidth="1"/>
    <col min="14" max="14" width="26.710937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1144">
        <v>1</v>
      </c>
      <c r="C5" s="1145" t="s">
        <v>226</v>
      </c>
      <c r="D5" s="1146" t="s">
        <v>367</v>
      </c>
      <c r="E5" s="1146">
        <v>159945</v>
      </c>
      <c r="F5" s="1147">
        <v>40516</v>
      </c>
      <c r="G5" s="1147">
        <v>40516</v>
      </c>
      <c r="H5" s="681"/>
      <c r="I5" s="682"/>
      <c r="J5" s="683"/>
      <c r="K5" s="681" t="s">
        <v>826</v>
      </c>
      <c r="L5" s="683">
        <v>8</v>
      </c>
      <c r="M5" s="1148" t="s">
        <v>672</v>
      </c>
      <c r="N5" s="684"/>
      <c r="O5" s="680"/>
      <c r="P5" s="685"/>
    </row>
    <row r="6" spans="1:16" ht="24.95" customHeight="1">
      <c r="B6" s="1144"/>
      <c r="C6" s="1145"/>
      <c r="D6" s="1146"/>
      <c r="E6" s="1146"/>
      <c r="F6" s="1147"/>
      <c r="G6" s="1147"/>
      <c r="H6" s="684"/>
      <c r="I6" s="686"/>
      <c r="J6" s="683"/>
      <c r="K6" s="681" t="s">
        <v>713</v>
      </c>
      <c r="L6" s="683">
        <v>10</v>
      </c>
      <c r="M6" s="1148"/>
      <c r="N6" s="684"/>
      <c r="O6" s="680"/>
      <c r="P6" s="685"/>
    </row>
    <row r="7" spans="1:16" ht="24.95" customHeight="1">
      <c r="B7" s="1144"/>
      <c r="C7" s="1145"/>
      <c r="D7" s="1146"/>
      <c r="E7" s="1146"/>
      <c r="F7" s="1147"/>
      <c r="G7" s="1147"/>
      <c r="H7" s="684"/>
      <c r="I7" s="686"/>
      <c r="J7" s="683"/>
      <c r="K7" s="681"/>
      <c r="L7" s="683"/>
      <c r="M7" s="1148"/>
      <c r="N7" s="684"/>
      <c r="O7" s="680"/>
      <c r="P7" s="685"/>
    </row>
    <row r="8" spans="1:16" ht="24.95" hidden="1" customHeight="1">
      <c r="B8" s="687"/>
      <c r="C8" s="688"/>
      <c r="D8" s="688"/>
      <c r="E8" s="688"/>
      <c r="F8" s="689"/>
      <c r="G8" s="689"/>
      <c r="H8" s="684"/>
      <c r="I8" s="686"/>
      <c r="J8" s="683"/>
      <c r="K8" s="681"/>
      <c r="L8" s="683"/>
      <c r="M8" s="690"/>
      <c r="N8" s="690"/>
      <c r="O8" s="680"/>
      <c r="P8" s="685"/>
    </row>
    <row r="9" spans="1:16" ht="24.95" hidden="1" customHeight="1">
      <c r="B9" s="687"/>
      <c r="C9" s="688"/>
      <c r="D9" s="688"/>
      <c r="E9" s="688"/>
      <c r="F9" s="689"/>
      <c r="G9" s="689"/>
      <c r="H9" s="684"/>
      <c r="I9" s="686"/>
      <c r="J9" s="683"/>
      <c r="K9" s="681"/>
      <c r="L9" s="683"/>
      <c r="M9" s="690"/>
      <c r="N9" s="690"/>
      <c r="O9" s="680"/>
      <c r="P9" s="685"/>
    </row>
    <row r="10" spans="1:16" ht="24.95" hidden="1" customHeight="1">
      <c r="B10" s="687"/>
      <c r="C10" s="688"/>
      <c r="D10" s="688"/>
      <c r="E10" s="688"/>
      <c r="F10" s="689"/>
      <c r="G10" s="689"/>
      <c r="H10" s="684"/>
      <c r="I10" s="686"/>
      <c r="J10" s="683"/>
      <c r="K10" s="681"/>
      <c r="L10" s="683"/>
      <c r="M10" s="690"/>
      <c r="N10" s="690"/>
      <c r="O10" s="680"/>
      <c r="P10" s="685"/>
    </row>
    <row r="11" spans="1:16" ht="24.95" hidden="1" customHeight="1">
      <c r="B11" s="687"/>
      <c r="C11" s="688"/>
      <c r="D11" s="688"/>
      <c r="E11" s="688"/>
      <c r="F11" s="689"/>
      <c r="G11" s="689"/>
      <c r="H11" s="684"/>
      <c r="I11" s="686"/>
      <c r="J11" s="683"/>
      <c r="K11" s="681"/>
      <c r="L11" s="683"/>
      <c r="M11" s="690"/>
      <c r="N11" s="690"/>
      <c r="O11" s="680"/>
      <c r="P11" s="685"/>
    </row>
    <row r="12" spans="1:16" ht="24.95" hidden="1" customHeight="1">
      <c r="B12" s="687"/>
      <c r="C12" s="691"/>
      <c r="D12" s="691"/>
      <c r="E12" s="690"/>
      <c r="F12" s="692"/>
      <c r="G12" s="692"/>
      <c r="H12" s="681"/>
      <c r="I12" s="681"/>
      <c r="J12" s="683"/>
      <c r="K12" s="681"/>
      <c r="L12" s="681"/>
      <c r="M12" s="680"/>
      <c r="N12" s="690"/>
      <c r="O12" s="680"/>
      <c r="P12" s="685"/>
    </row>
    <row r="13" spans="1:16" ht="38.1" customHeight="1" thickBot="1">
      <c r="B13" s="1149" t="s">
        <v>48</v>
      </c>
      <c r="C13" s="1150"/>
      <c r="D13" s="1150"/>
      <c r="E13" s="1150"/>
      <c r="F13" s="1150"/>
      <c r="G13" s="1150"/>
      <c r="H13" s="1150"/>
      <c r="I13" s="1151">
        <f>L5*89.08+L6*84.01</f>
        <v>1552.74</v>
      </c>
      <c r="J13" s="1151"/>
      <c r="K13" s="1151"/>
      <c r="L13" s="1151"/>
      <c r="M13" s="693"/>
      <c r="N13" s="694"/>
      <c r="O13" s="695"/>
      <c r="P13" s="696"/>
    </row>
    <row r="14" spans="1:16" ht="137.25" customHeight="1" thickTop="1">
      <c r="A14" s="1052" t="s">
        <v>888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78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78" t="s">
        <v>519</v>
      </c>
    </row>
    <row r="17" spans="2:14" ht="18">
      <c r="B17" s="678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678"/>
      <c r="K17" s="284"/>
      <c r="L17" s="284"/>
      <c r="M17" s="284"/>
      <c r="N17" s="678" t="s">
        <v>517</v>
      </c>
    </row>
  </sheetData>
  <mergeCells count="17">
    <mergeCell ref="B16:E16"/>
    <mergeCell ref="J16:M16"/>
    <mergeCell ref="M5:M7"/>
    <mergeCell ref="B13:H13"/>
    <mergeCell ref="I13:L13"/>
    <mergeCell ref="A14:M14"/>
    <mergeCell ref="B15:E15"/>
    <mergeCell ref="J15:M15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0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2.5703125" customWidth="1"/>
    <col min="4" max="4" width="10.85546875" customWidth="1"/>
    <col min="5" max="5" width="13.42578125" customWidth="1"/>
    <col min="6" max="6" width="10" customWidth="1"/>
    <col min="7" max="7" width="10.140625" customWidth="1"/>
    <col min="8" max="8" width="23" customWidth="1"/>
    <col min="9" max="9" width="17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  <col min="16" max="16" width="8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1089">
        <v>1</v>
      </c>
      <c r="C5" s="1138" t="s">
        <v>368</v>
      </c>
      <c r="D5" s="1139" t="s">
        <v>377</v>
      </c>
      <c r="E5" s="1139">
        <v>149834</v>
      </c>
      <c r="F5" s="1140">
        <v>40526</v>
      </c>
      <c r="G5" s="1140">
        <v>40526</v>
      </c>
      <c r="H5" s="799" t="s">
        <v>969</v>
      </c>
      <c r="I5" s="800" t="s">
        <v>970</v>
      </c>
      <c r="J5" s="801">
        <v>1</v>
      </c>
      <c r="K5" s="799" t="s">
        <v>713</v>
      </c>
      <c r="L5" s="801">
        <v>5</v>
      </c>
      <c r="M5" s="1152" t="s">
        <v>824</v>
      </c>
      <c r="N5" s="802"/>
      <c r="O5" s="797"/>
      <c r="P5" s="786"/>
    </row>
    <row r="6" spans="1:16" ht="24.95" customHeight="1">
      <c r="B6" s="1089"/>
      <c r="C6" s="1138"/>
      <c r="D6" s="1139"/>
      <c r="E6" s="1139"/>
      <c r="F6" s="1140"/>
      <c r="G6" s="1140"/>
      <c r="H6" s="802" t="s">
        <v>971</v>
      </c>
      <c r="I6" s="800"/>
      <c r="J6" s="801">
        <v>1</v>
      </c>
      <c r="K6" s="799" t="s">
        <v>713</v>
      </c>
      <c r="L6" s="801">
        <v>4</v>
      </c>
      <c r="M6" s="1152"/>
      <c r="N6" s="802"/>
      <c r="O6" s="797"/>
      <c r="P6" s="786"/>
    </row>
    <row r="7" spans="1:16" ht="24.95" customHeight="1">
      <c r="B7" s="1089"/>
      <c r="C7" s="1138"/>
      <c r="D7" s="1139"/>
      <c r="E7" s="1139"/>
      <c r="F7" s="1140"/>
      <c r="G7" s="1140"/>
      <c r="H7" s="802"/>
      <c r="I7" s="800"/>
      <c r="J7" s="801"/>
      <c r="K7" s="799"/>
      <c r="L7" s="801"/>
      <c r="M7" s="1152"/>
      <c r="N7" s="802"/>
      <c r="O7" s="797"/>
      <c r="P7" s="786"/>
    </row>
    <row r="8" spans="1:16" ht="24.95" hidden="1" customHeight="1">
      <c r="B8" s="795"/>
      <c r="C8" s="803"/>
      <c r="D8" s="803"/>
      <c r="E8" s="803"/>
      <c r="F8" s="804"/>
      <c r="G8" s="804"/>
      <c r="H8" s="802"/>
      <c r="I8" s="800"/>
      <c r="J8" s="801"/>
      <c r="K8" s="799"/>
      <c r="L8" s="801"/>
      <c r="M8" s="1152"/>
      <c r="N8" s="805"/>
      <c r="O8" s="797"/>
      <c r="P8" s="786"/>
    </row>
    <row r="9" spans="1:16" ht="24.95" hidden="1" customHeight="1">
      <c r="B9" s="795"/>
      <c r="C9" s="803"/>
      <c r="D9" s="803"/>
      <c r="E9" s="803"/>
      <c r="F9" s="804"/>
      <c r="G9" s="804"/>
      <c r="H9" s="802"/>
      <c r="I9" s="800"/>
      <c r="J9" s="801"/>
      <c r="K9" s="799"/>
      <c r="L9" s="801"/>
      <c r="M9" s="1152"/>
      <c r="N9" s="805"/>
      <c r="O9" s="797"/>
      <c r="P9" s="786"/>
    </row>
    <row r="10" spans="1:16" ht="24.95" hidden="1" customHeight="1">
      <c r="B10" s="795"/>
      <c r="C10" s="803"/>
      <c r="D10" s="803"/>
      <c r="E10" s="803"/>
      <c r="F10" s="804"/>
      <c r="G10" s="804"/>
      <c r="H10" s="802"/>
      <c r="I10" s="800"/>
      <c r="J10" s="801"/>
      <c r="K10" s="799"/>
      <c r="L10" s="801"/>
      <c r="M10" s="1152"/>
      <c r="N10" s="805"/>
      <c r="O10" s="797"/>
      <c r="P10" s="786"/>
    </row>
    <row r="11" spans="1:16" ht="24.95" hidden="1" customHeight="1">
      <c r="B11" s="795"/>
      <c r="C11" s="803"/>
      <c r="D11" s="803"/>
      <c r="E11" s="803"/>
      <c r="F11" s="804"/>
      <c r="G11" s="804"/>
      <c r="H11" s="802"/>
      <c r="I11" s="800"/>
      <c r="J11" s="801"/>
      <c r="K11" s="799"/>
      <c r="L11" s="801"/>
      <c r="M11" s="1152"/>
      <c r="N11" s="805"/>
      <c r="O11" s="797"/>
      <c r="P11" s="786"/>
    </row>
    <row r="12" spans="1:16" ht="24.95" hidden="1" customHeight="1">
      <c r="B12" s="795"/>
      <c r="C12" s="806"/>
      <c r="D12" s="806"/>
      <c r="E12" s="805"/>
      <c r="F12" s="807"/>
      <c r="G12" s="807"/>
      <c r="H12" s="799"/>
      <c r="I12" s="799"/>
      <c r="J12" s="801"/>
      <c r="K12" s="799"/>
      <c r="L12" s="799"/>
      <c r="M12" s="1152"/>
      <c r="N12" s="805"/>
      <c r="O12" s="797"/>
      <c r="P12" s="786"/>
    </row>
    <row r="13" spans="1:16" ht="38.1" customHeight="1" thickBot="1">
      <c r="B13" s="1091" t="s">
        <v>48</v>
      </c>
      <c r="C13" s="1092"/>
      <c r="D13" s="1092"/>
      <c r="E13" s="1092"/>
      <c r="F13" s="1092"/>
      <c r="G13" s="1092"/>
      <c r="H13" s="1092"/>
      <c r="I13" s="1093">
        <f>L5*84.01+L6*84.01+L7*77.98+L8*109.25+289.85</f>
        <v>1045.94</v>
      </c>
      <c r="J13" s="1093"/>
      <c r="K13" s="1093"/>
      <c r="L13" s="1093"/>
      <c r="M13" s="1153"/>
      <c r="N13" s="789"/>
      <c r="O13" s="790"/>
      <c r="P13" s="791"/>
    </row>
    <row r="14" spans="1:16" ht="287.25" customHeight="1" thickTop="1">
      <c r="A14" s="1052" t="s">
        <v>950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10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10" t="s">
        <v>519</v>
      </c>
    </row>
    <row r="17" spans="2:14" ht="18">
      <c r="B17" s="610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610"/>
      <c r="K17" s="284"/>
      <c r="L17" s="284"/>
      <c r="M17" s="284"/>
      <c r="N17" s="610" t="s">
        <v>517</v>
      </c>
    </row>
  </sheetData>
  <mergeCells count="17">
    <mergeCell ref="B16:E16"/>
    <mergeCell ref="J16:M16"/>
    <mergeCell ref="B13:H13"/>
    <mergeCell ref="I13:L13"/>
    <mergeCell ref="A14:M14"/>
    <mergeCell ref="B15:E15"/>
    <mergeCell ref="J15:M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M5:M13"/>
  </mergeCells>
  <pageMargins left="0.14000000000000001" right="0.14000000000000001" top="0.21" bottom="0.28000000000000003" header="0.3" footer="0.3"/>
  <pageSetup scale="70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2.140625" customWidth="1"/>
    <col min="4" max="4" width="10.85546875" customWidth="1"/>
    <col min="5" max="5" width="13.42578125" customWidth="1"/>
    <col min="6" max="6" width="10.140625" customWidth="1"/>
    <col min="7" max="7" width="11" customWidth="1"/>
    <col min="8" max="8" width="23" customWidth="1"/>
    <col min="9" max="9" width="17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6.7109375" customWidth="1"/>
    <col min="15" max="15" width="15.28515625" customWidth="1"/>
    <col min="16" max="16" width="7.57031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1124">
        <v>1</v>
      </c>
      <c r="C5" s="1120" t="s">
        <v>226</v>
      </c>
      <c r="D5" s="924" t="s">
        <v>370</v>
      </c>
      <c r="E5" s="924">
        <v>110255</v>
      </c>
      <c r="F5" s="925">
        <v>40512</v>
      </c>
      <c r="G5" s="925">
        <v>40512</v>
      </c>
      <c r="H5" s="292" t="s">
        <v>881</v>
      </c>
      <c r="I5" s="293" t="s">
        <v>882</v>
      </c>
      <c r="J5" s="294">
        <v>1</v>
      </c>
      <c r="K5" s="292"/>
      <c r="L5" s="294"/>
      <c r="M5" s="1001" t="s">
        <v>738</v>
      </c>
      <c r="N5" s="14"/>
      <c r="O5" s="20"/>
      <c r="P5" s="343"/>
    </row>
    <row r="6" spans="1:16" ht="24.95" customHeight="1">
      <c r="B6" s="1124"/>
      <c r="C6" s="1120"/>
      <c r="D6" s="924"/>
      <c r="E6" s="924"/>
      <c r="F6" s="925"/>
      <c r="G6" s="925"/>
      <c r="H6" s="295"/>
      <c r="I6" s="293"/>
      <c r="J6" s="294"/>
      <c r="K6" s="292"/>
      <c r="L6" s="294"/>
      <c r="M6" s="1001"/>
      <c r="N6" s="14"/>
      <c r="O6" s="20"/>
      <c r="P6" s="343"/>
    </row>
    <row r="7" spans="1:16" ht="24.95" customHeight="1">
      <c r="B7" s="1124"/>
      <c r="C7" s="1120"/>
      <c r="D7" s="924"/>
      <c r="E7" s="924"/>
      <c r="F7" s="925"/>
      <c r="G7" s="925"/>
      <c r="H7" s="295"/>
      <c r="I7" s="293"/>
      <c r="J7" s="294"/>
      <c r="K7" s="292"/>
      <c r="L7" s="294"/>
      <c r="M7" s="1001"/>
      <c r="N7" s="14"/>
      <c r="O7" s="20"/>
      <c r="P7" s="343"/>
    </row>
    <row r="8" spans="1:16" ht="24.95" hidden="1" customHeight="1">
      <c r="B8" s="675"/>
      <c r="C8" s="671"/>
      <c r="D8" s="671"/>
      <c r="E8" s="671"/>
      <c r="F8" s="672"/>
      <c r="G8" s="672"/>
      <c r="H8" s="14"/>
      <c r="I8" s="15"/>
      <c r="J8" s="673"/>
      <c r="K8" s="17"/>
      <c r="L8" s="673"/>
      <c r="M8" s="18"/>
      <c r="N8" s="18"/>
      <c r="O8" s="20"/>
      <c r="P8" s="343"/>
    </row>
    <row r="9" spans="1:16" ht="24.95" hidden="1" customHeight="1">
      <c r="B9" s="675"/>
      <c r="C9" s="671"/>
      <c r="D9" s="671"/>
      <c r="E9" s="671"/>
      <c r="F9" s="672"/>
      <c r="G9" s="672"/>
      <c r="H9" s="14"/>
      <c r="I9" s="15"/>
      <c r="J9" s="673"/>
      <c r="K9" s="17"/>
      <c r="L9" s="673"/>
      <c r="M9" s="18"/>
      <c r="N9" s="18"/>
      <c r="O9" s="20"/>
      <c r="P9" s="343"/>
    </row>
    <row r="10" spans="1:16" ht="24.95" hidden="1" customHeight="1">
      <c r="B10" s="675"/>
      <c r="C10" s="671"/>
      <c r="D10" s="671"/>
      <c r="E10" s="671"/>
      <c r="F10" s="672"/>
      <c r="G10" s="672"/>
      <c r="H10" s="14"/>
      <c r="I10" s="15"/>
      <c r="J10" s="673"/>
      <c r="K10" s="17"/>
      <c r="L10" s="673"/>
      <c r="M10" s="18"/>
      <c r="N10" s="18"/>
      <c r="O10" s="20"/>
      <c r="P10" s="343"/>
    </row>
    <row r="11" spans="1:16" ht="24.95" hidden="1" customHeight="1">
      <c r="B11" s="675"/>
      <c r="C11" s="671"/>
      <c r="D11" s="671"/>
      <c r="E11" s="671"/>
      <c r="F11" s="672"/>
      <c r="G11" s="672"/>
      <c r="H11" s="14"/>
      <c r="I11" s="15"/>
      <c r="J11" s="673"/>
      <c r="K11" s="17"/>
      <c r="L11" s="673"/>
      <c r="M11" s="18"/>
      <c r="N11" s="18"/>
      <c r="O11" s="20"/>
      <c r="P11" s="343"/>
    </row>
    <row r="12" spans="1:16" ht="24.95" hidden="1" customHeight="1">
      <c r="B12" s="675"/>
      <c r="C12" s="12"/>
      <c r="D12" s="12"/>
      <c r="E12" s="18"/>
      <c r="F12" s="13"/>
      <c r="G12" s="13"/>
      <c r="H12" s="17"/>
      <c r="I12" s="17"/>
      <c r="J12" s="673"/>
      <c r="K12" s="17"/>
      <c r="L12" s="17"/>
      <c r="M12" s="20"/>
      <c r="N12" s="18"/>
      <c r="O12" s="20"/>
      <c r="P12" s="343"/>
    </row>
    <row r="13" spans="1:16" ht="38.1" customHeight="1" thickBot="1">
      <c r="B13" s="1121" t="s">
        <v>48</v>
      </c>
      <c r="C13" s="1122"/>
      <c r="D13" s="1122"/>
      <c r="E13" s="1122"/>
      <c r="F13" s="1122"/>
      <c r="G13" s="1122"/>
      <c r="H13" s="1122"/>
      <c r="I13" s="1123">
        <f>143.56</f>
        <v>143.56</v>
      </c>
      <c r="J13" s="1123"/>
      <c r="K13" s="1123"/>
      <c r="L13" s="1123"/>
      <c r="M13" s="660"/>
      <c r="N13" s="661"/>
      <c r="O13" s="662"/>
      <c r="P13" s="663"/>
    </row>
    <row r="14" spans="1:16" ht="278.25" customHeight="1" thickTop="1">
      <c r="A14" s="1052" t="s">
        <v>864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  <c r="O14" s="39"/>
      <c r="P14" s="39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47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47" t="s">
        <v>519</v>
      </c>
    </row>
    <row r="17" spans="2:14" ht="20.100000000000001" customHeight="1">
      <c r="B17" s="991" t="s">
        <v>880</v>
      </c>
      <c r="C17" s="991"/>
      <c r="D17" s="991"/>
      <c r="E17" s="991"/>
      <c r="F17" s="285" t="s">
        <v>880</v>
      </c>
      <c r="G17" s="285"/>
      <c r="H17" s="285"/>
      <c r="I17" s="285"/>
      <c r="J17" s="991"/>
      <c r="K17" s="991"/>
      <c r="L17" s="991"/>
      <c r="M17" s="991"/>
      <c r="N17" s="674" t="s">
        <v>880</v>
      </c>
    </row>
  </sheetData>
  <mergeCells count="19">
    <mergeCell ref="B17:E17"/>
    <mergeCell ref="J17:M17"/>
    <mergeCell ref="B16:E16"/>
    <mergeCell ref="J16:M16"/>
    <mergeCell ref="B13:H13"/>
    <mergeCell ref="I13:L13"/>
    <mergeCell ref="A14:M14"/>
    <mergeCell ref="B15:E15"/>
    <mergeCell ref="J15:M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M5:M7"/>
  </mergeCells>
  <pageMargins left="0.19" right="0.15" top="0.21" bottom="0.28000000000000003" header="0.3" footer="0.3"/>
  <pageSetup scale="70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19.4257812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4.8554687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hidden="1" customHeight="1">
      <c r="B5" s="1098">
        <v>1</v>
      </c>
      <c r="C5" s="1099" t="s">
        <v>226</v>
      </c>
      <c r="D5" s="1100" t="s">
        <v>816</v>
      </c>
      <c r="E5" s="1154">
        <v>40000</v>
      </c>
      <c r="F5" s="1101">
        <v>40507</v>
      </c>
      <c r="G5" s="1101">
        <v>40507</v>
      </c>
      <c r="H5" s="628" t="s">
        <v>817</v>
      </c>
      <c r="I5" s="629" t="s">
        <v>820</v>
      </c>
      <c r="J5" s="630">
        <v>1</v>
      </c>
      <c r="K5" s="628" t="s">
        <v>826</v>
      </c>
      <c r="L5" s="630">
        <v>8</v>
      </c>
      <c r="M5" s="1155" t="s">
        <v>824</v>
      </c>
      <c r="N5" s="631"/>
      <c r="O5" s="627"/>
      <c r="P5" s="632"/>
    </row>
    <row r="6" spans="1:16" ht="24.95" customHeight="1">
      <c r="B6" s="1098"/>
      <c r="C6" s="1099"/>
      <c r="D6" s="1100"/>
      <c r="E6" s="1154"/>
      <c r="F6" s="1101"/>
      <c r="G6" s="1101"/>
      <c r="H6" s="631" t="s">
        <v>818</v>
      </c>
      <c r="I6" s="629" t="s">
        <v>821</v>
      </c>
      <c r="J6" s="630">
        <v>1</v>
      </c>
      <c r="K6" s="628" t="s">
        <v>437</v>
      </c>
      <c r="L6" s="630">
        <v>4</v>
      </c>
      <c r="M6" s="1155"/>
      <c r="N6" s="631"/>
      <c r="O6" s="627"/>
      <c r="P6" s="632"/>
    </row>
    <row r="7" spans="1:16" ht="24.95" customHeight="1">
      <c r="B7" s="1098"/>
      <c r="C7" s="1099"/>
      <c r="D7" s="1100"/>
      <c r="E7" s="1154"/>
      <c r="F7" s="1101"/>
      <c r="G7" s="1101"/>
      <c r="H7" s="631" t="s">
        <v>819</v>
      </c>
      <c r="I7" s="629" t="s">
        <v>822</v>
      </c>
      <c r="J7" s="630">
        <v>1</v>
      </c>
      <c r="K7" s="628" t="s">
        <v>523</v>
      </c>
      <c r="L7" s="630">
        <v>4</v>
      </c>
      <c r="M7" s="1155"/>
      <c r="N7" s="631"/>
      <c r="O7" s="627"/>
      <c r="P7" s="632"/>
    </row>
    <row r="8" spans="1:16" ht="24.95" hidden="1" customHeight="1">
      <c r="B8" s="1098"/>
      <c r="C8" s="1099"/>
      <c r="D8" s="1100"/>
      <c r="E8" s="1154"/>
      <c r="F8" s="1101"/>
      <c r="G8" s="1101"/>
      <c r="H8" s="631" t="s">
        <v>662</v>
      </c>
      <c r="I8" s="629" t="s">
        <v>823</v>
      </c>
      <c r="J8" s="630">
        <v>1</v>
      </c>
      <c r="K8" s="628"/>
      <c r="L8" s="630"/>
      <c r="M8" s="1155"/>
      <c r="N8" s="634"/>
      <c r="O8" s="627"/>
      <c r="P8" s="632"/>
    </row>
    <row r="9" spans="1:16" ht="24.95" hidden="1" customHeight="1">
      <c r="B9" s="635"/>
      <c r="C9" s="633"/>
      <c r="D9" s="633"/>
      <c r="E9" s="633"/>
      <c r="F9" s="636"/>
      <c r="G9" s="636"/>
      <c r="H9" s="631"/>
      <c r="I9" s="629"/>
      <c r="J9" s="630"/>
      <c r="K9" s="628"/>
      <c r="L9" s="630"/>
      <c r="M9" s="634"/>
      <c r="N9" s="634"/>
      <c r="O9" s="627"/>
      <c r="P9" s="632"/>
    </row>
    <row r="10" spans="1:16" ht="24.95" hidden="1" customHeight="1">
      <c r="B10" s="635"/>
      <c r="C10" s="633"/>
      <c r="D10" s="633"/>
      <c r="E10" s="633"/>
      <c r="F10" s="636"/>
      <c r="G10" s="636"/>
      <c r="H10" s="631"/>
      <c r="I10" s="629"/>
      <c r="J10" s="630"/>
      <c r="K10" s="628"/>
      <c r="L10" s="630"/>
      <c r="M10" s="634"/>
      <c r="N10" s="634"/>
      <c r="O10" s="627"/>
      <c r="P10" s="632"/>
    </row>
    <row r="11" spans="1:16" ht="24.95" hidden="1" customHeight="1">
      <c r="B11" s="635"/>
      <c r="C11" s="633"/>
      <c r="D11" s="633"/>
      <c r="E11" s="633"/>
      <c r="F11" s="636"/>
      <c r="G11" s="636"/>
      <c r="H11" s="631"/>
      <c r="I11" s="629"/>
      <c r="J11" s="630"/>
      <c r="K11" s="628"/>
      <c r="L11" s="630"/>
      <c r="M11" s="634"/>
      <c r="N11" s="634"/>
      <c r="O11" s="627"/>
      <c r="P11" s="632"/>
    </row>
    <row r="12" spans="1:16" ht="24.95" hidden="1" customHeight="1">
      <c r="B12" s="635"/>
      <c r="C12" s="637"/>
      <c r="D12" s="637"/>
      <c r="E12" s="634"/>
      <c r="F12" s="638"/>
      <c r="G12" s="638"/>
      <c r="H12" s="628"/>
      <c r="I12" s="628"/>
      <c r="J12" s="630"/>
      <c r="K12" s="628"/>
      <c r="L12" s="628"/>
      <c r="M12" s="627"/>
      <c r="N12" s="634"/>
      <c r="O12" s="627"/>
      <c r="P12" s="632"/>
    </row>
    <row r="13" spans="1:16" ht="38.1" customHeight="1" thickBot="1">
      <c r="B13" s="1095" t="s">
        <v>48</v>
      </c>
      <c r="C13" s="1096"/>
      <c r="D13" s="1096"/>
      <c r="E13" s="1096"/>
      <c r="F13" s="1096"/>
      <c r="G13" s="1096"/>
      <c r="H13" s="1096"/>
      <c r="I13" s="1097">
        <f>1848.56+3091.7+L6*84.01+L7*83.26</f>
        <v>5609.34</v>
      </c>
      <c r="J13" s="1097"/>
      <c r="K13" s="1097"/>
      <c r="L13" s="1097"/>
      <c r="M13" s="639"/>
      <c r="N13" s="640"/>
      <c r="O13" s="641"/>
      <c r="P13" s="642"/>
    </row>
    <row r="14" spans="1:16" ht="267" customHeight="1" thickTop="1">
      <c r="A14" s="1052" t="s">
        <v>825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26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26" t="s">
        <v>519</v>
      </c>
    </row>
    <row r="17" spans="2:14" ht="18">
      <c r="B17" s="626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626"/>
      <c r="K17" s="284"/>
      <c r="L17" s="284"/>
      <c r="M17" s="284"/>
      <c r="N17" s="626" t="s">
        <v>517</v>
      </c>
    </row>
  </sheetData>
  <mergeCells count="17">
    <mergeCell ref="B16:E16"/>
    <mergeCell ref="J16:M16"/>
    <mergeCell ref="G5:G8"/>
    <mergeCell ref="F5:F8"/>
    <mergeCell ref="C5:C8"/>
    <mergeCell ref="B5:B8"/>
    <mergeCell ref="E5:E8"/>
    <mergeCell ref="D5:D8"/>
    <mergeCell ref="B13:H13"/>
    <mergeCell ref="I13:L13"/>
    <mergeCell ref="M5:M8"/>
    <mergeCell ref="A14:M14"/>
    <mergeCell ref="B15:E15"/>
    <mergeCell ref="J15:M15"/>
    <mergeCell ref="B1:N1"/>
    <mergeCell ref="B2:N2"/>
    <mergeCell ref="B3:N3"/>
  </mergeCells>
  <pageMargins left="0.19" right="0.15" top="0.21" bottom="0.28000000000000003" header="0.3" footer="0.3"/>
  <pageSetup scale="72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18.7109375" customWidth="1"/>
    <col min="9" max="9" width="14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2.425781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965">
        <v>1</v>
      </c>
      <c r="C5" s="1135" t="s">
        <v>226</v>
      </c>
      <c r="D5" s="966" t="s">
        <v>380</v>
      </c>
      <c r="E5" s="966">
        <v>214941</v>
      </c>
      <c r="F5" s="968">
        <v>40515</v>
      </c>
      <c r="G5" s="968">
        <v>40515</v>
      </c>
      <c r="H5" s="703"/>
      <c r="I5" s="704"/>
      <c r="J5" s="705"/>
      <c r="K5" s="703"/>
      <c r="L5" s="705"/>
      <c r="M5" s="1156" t="s">
        <v>583</v>
      </c>
      <c r="N5" s="708"/>
      <c r="O5" s="702"/>
      <c r="P5" s="717"/>
    </row>
    <row r="6" spans="1:16" ht="24.95" customHeight="1">
      <c r="B6" s="965"/>
      <c r="C6" s="1135"/>
      <c r="D6" s="966"/>
      <c r="E6" s="966"/>
      <c r="F6" s="968"/>
      <c r="G6" s="968"/>
      <c r="H6" s="708"/>
      <c r="I6" s="704"/>
      <c r="J6" s="705"/>
      <c r="K6" s="703"/>
      <c r="L6" s="705"/>
      <c r="M6" s="1157"/>
      <c r="N6" s="708"/>
      <c r="O6" s="702"/>
      <c r="P6" s="717"/>
    </row>
    <row r="7" spans="1:16" ht="24.95" customHeight="1">
      <c r="B7" s="965"/>
      <c r="C7" s="1135"/>
      <c r="D7" s="966"/>
      <c r="E7" s="966"/>
      <c r="F7" s="968"/>
      <c r="G7" s="968"/>
      <c r="H7" s="708"/>
      <c r="I7" s="704"/>
      <c r="J7" s="705"/>
      <c r="K7" s="703"/>
      <c r="L7" s="705"/>
      <c r="M7" s="1158"/>
      <c r="N7" s="708"/>
      <c r="O7" s="702"/>
      <c r="P7" s="717"/>
    </row>
    <row r="8" spans="1:16" ht="24.95" hidden="1" customHeight="1">
      <c r="B8" s="709"/>
      <c r="C8" s="710"/>
      <c r="D8" s="710"/>
      <c r="E8" s="710"/>
      <c r="F8" s="711"/>
      <c r="G8" s="711"/>
      <c r="H8" s="708"/>
      <c r="I8" s="704"/>
      <c r="J8" s="705"/>
      <c r="K8" s="703"/>
      <c r="L8" s="705"/>
      <c r="M8" s="706"/>
      <c r="N8" s="706"/>
      <c r="O8" s="702"/>
      <c r="P8" s="717"/>
    </row>
    <row r="9" spans="1:16" ht="24.95" hidden="1" customHeight="1">
      <c r="B9" s="709"/>
      <c r="C9" s="710"/>
      <c r="D9" s="710"/>
      <c r="E9" s="710"/>
      <c r="F9" s="711"/>
      <c r="G9" s="711"/>
      <c r="H9" s="708"/>
      <c r="I9" s="704"/>
      <c r="J9" s="705"/>
      <c r="K9" s="703"/>
      <c r="L9" s="705"/>
      <c r="M9" s="706"/>
      <c r="N9" s="706"/>
      <c r="O9" s="702"/>
      <c r="P9" s="717"/>
    </row>
    <row r="10" spans="1:16" ht="24.95" hidden="1" customHeight="1">
      <c r="B10" s="709"/>
      <c r="C10" s="710"/>
      <c r="D10" s="710"/>
      <c r="E10" s="710"/>
      <c r="F10" s="711"/>
      <c r="G10" s="711"/>
      <c r="H10" s="708"/>
      <c r="I10" s="704"/>
      <c r="J10" s="705"/>
      <c r="K10" s="703"/>
      <c r="L10" s="705"/>
      <c r="M10" s="706"/>
      <c r="N10" s="706"/>
      <c r="O10" s="702"/>
      <c r="P10" s="717"/>
    </row>
    <row r="11" spans="1:16" ht="24.95" hidden="1" customHeight="1">
      <c r="B11" s="709"/>
      <c r="C11" s="710"/>
      <c r="D11" s="710"/>
      <c r="E11" s="710"/>
      <c r="F11" s="711"/>
      <c r="G11" s="711"/>
      <c r="H11" s="708"/>
      <c r="I11" s="704"/>
      <c r="J11" s="705"/>
      <c r="K11" s="703"/>
      <c r="L11" s="705"/>
      <c r="M11" s="706"/>
      <c r="N11" s="706"/>
      <c r="O11" s="702"/>
      <c r="P11" s="717"/>
    </row>
    <row r="12" spans="1:16" ht="24.95" hidden="1" customHeight="1">
      <c r="B12" s="709"/>
      <c r="C12" s="713"/>
      <c r="D12" s="713"/>
      <c r="E12" s="706"/>
      <c r="F12" s="714"/>
      <c r="G12" s="714"/>
      <c r="H12" s="703"/>
      <c r="I12" s="703"/>
      <c r="J12" s="705"/>
      <c r="K12" s="703"/>
      <c r="L12" s="703"/>
      <c r="M12" s="706"/>
      <c r="N12" s="706"/>
      <c r="O12" s="702"/>
      <c r="P12" s="717"/>
    </row>
    <row r="13" spans="1:16" ht="38.1" customHeight="1" thickBot="1">
      <c r="B13" s="962" t="s">
        <v>48</v>
      </c>
      <c r="C13" s="963"/>
      <c r="D13" s="963"/>
      <c r="E13" s="963"/>
      <c r="F13" s="963"/>
      <c r="G13" s="963"/>
      <c r="H13" s="963"/>
      <c r="I13" s="964"/>
      <c r="J13" s="964"/>
      <c r="K13" s="964"/>
      <c r="L13" s="964"/>
      <c r="M13" s="726"/>
      <c r="N13" s="718"/>
      <c r="O13" s="719"/>
      <c r="P13" s="720"/>
    </row>
    <row r="14" spans="1:16" ht="267" customHeight="1" thickTop="1">
      <c r="A14" s="1052" t="s">
        <v>917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98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98" t="s">
        <v>519</v>
      </c>
    </row>
    <row r="17" spans="2:14" ht="18">
      <c r="B17" s="698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698"/>
      <c r="K17" s="284"/>
      <c r="L17" s="284"/>
      <c r="M17" s="284"/>
      <c r="N17" s="698" t="s">
        <v>517</v>
      </c>
    </row>
  </sheetData>
  <mergeCells count="17">
    <mergeCell ref="B16:E16"/>
    <mergeCell ref="J16:M16"/>
    <mergeCell ref="M5:M7"/>
    <mergeCell ref="B13:H13"/>
    <mergeCell ref="I13:L13"/>
    <mergeCell ref="A14:M14"/>
    <mergeCell ref="B15:E15"/>
    <mergeCell ref="J15:M15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2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19" customWidth="1"/>
    <col min="9" max="9" width="14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5.57031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965">
        <v>1</v>
      </c>
      <c r="C5" s="1135" t="s">
        <v>226</v>
      </c>
      <c r="D5" s="966" t="s">
        <v>381</v>
      </c>
      <c r="E5" s="966">
        <v>145047</v>
      </c>
      <c r="F5" s="968">
        <v>40515</v>
      </c>
      <c r="G5" s="968">
        <v>40515</v>
      </c>
      <c r="H5" s="703"/>
      <c r="I5" s="721"/>
      <c r="J5" s="705"/>
      <c r="K5" s="703" t="s">
        <v>713</v>
      </c>
      <c r="L5" s="705">
        <v>5</v>
      </c>
      <c r="M5" s="1159" t="s">
        <v>828</v>
      </c>
      <c r="N5" s="708"/>
      <c r="O5" s="702"/>
      <c r="P5" s="717"/>
    </row>
    <row r="6" spans="1:16" ht="24.95" customHeight="1">
      <c r="B6" s="965"/>
      <c r="C6" s="1135"/>
      <c r="D6" s="966"/>
      <c r="E6" s="966"/>
      <c r="F6" s="968"/>
      <c r="G6" s="968"/>
      <c r="H6" s="708"/>
      <c r="I6" s="704"/>
      <c r="J6" s="705"/>
      <c r="K6" s="703" t="s">
        <v>713</v>
      </c>
      <c r="L6" s="705">
        <v>7</v>
      </c>
      <c r="M6" s="1159"/>
      <c r="N6" s="708"/>
      <c r="O6" s="702"/>
      <c r="P6" s="717"/>
    </row>
    <row r="7" spans="1:16" ht="24.95" customHeight="1">
      <c r="B7" s="965"/>
      <c r="C7" s="1135"/>
      <c r="D7" s="966"/>
      <c r="E7" s="966"/>
      <c r="F7" s="968"/>
      <c r="G7" s="968"/>
      <c r="H7" s="708"/>
      <c r="I7" s="704"/>
      <c r="J7" s="705"/>
      <c r="K7" s="703"/>
      <c r="L7" s="705"/>
      <c r="M7" s="1159"/>
      <c r="N7" s="708"/>
      <c r="O7" s="702"/>
      <c r="P7" s="717"/>
    </row>
    <row r="8" spans="1:16" ht="24.95" hidden="1" customHeight="1">
      <c r="B8" s="709"/>
      <c r="C8" s="710"/>
      <c r="D8" s="710"/>
      <c r="E8" s="710"/>
      <c r="F8" s="711"/>
      <c r="G8" s="711"/>
      <c r="H8" s="708"/>
      <c r="I8" s="704"/>
      <c r="J8" s="705"/>
      <c r="K8" s="703"/>
      <c r="L8" s="705"/>
      <c r="M8" s="706"/>
      <c r="N8" s="706"/>
      <c r="O8" s="702"/>
      <c r="P8" s="717"/>
    </row>
    <row r="9" spans="1:16" ht="24.95" hidden="1" customHeight="1">
      <c r="B9" s="709"/>
      <c r="C9" s="710"/>
      <c r="D9" s="710"/>
      <c r="E9" s="710"/>
      <c r="F9" s="711"/>
      <c r="G9" s="711"/>
      <c r="H9" s="708"/>
      <c r="I9" s="704"/>
      <c r="J9" s="705"/>
      <c r="K9" s="703"/>
      <c r="L9" s="705"/>
      <c r="M9" s="706"/>
      <c r="N9" s="706"/>
      <c r="O9" s="702"/>
      <c r="P9" s="717"/>
    </row>
    <row r="10" spans="1:16" ht="24.95" hidden="1" customHeight="1">
      <c r="B10" s="709"/>
      <c r="C10" s="710"/>
      <c r="D10" s="710"/>
      <c r="E10" s="710"/>
      <c r="F10" s="711"/>
      <c r="G10" s="711"/>
      <c r="H10" s="708"/>
      <c r="I10" s="704"/>
      <c r="J10" s="705"/>
      <c r="K10" s="703"/>
      <c r="L10" s="705"/>
      <c r="M10" s="706"/>
      <c r="N10" s="706"/>
      <c r="O10" s="702"/>
      <c r="P10" s="717"/>
    </row>
    <row r="11" spans="1:16" ht="24.95" hidden="1" customHeight="1">
      <c r="B11" s="709"/>
      <c r="C11" s="710"/>
      <c r="D11" s="710"/>
      <c r="E11" s="710"/>
      <c r="F11" s="711"/>
      <c r="G11" s="711"/>
      <c r="H11" s="708"/>
      <c r="I11" s="704"/>
      <c r="J11" s="705"/>
      <c r="K11" s="703"/>
      <c r="L11" s="705"/>
      <c r="M11" s="706"/>
      <c r="N11" s="706"/>
      <c r="O11" s="702"/>
      <c r="P11" s="717"/>
    </row>
    <row r="12" spans="1:16" ht="24.95" hidden="1" customHeight="1">
      <c r="B12" s="709"/>
      <c r="C12" s="713"/>
      <c r="D12" s="713"/>
      <c r="E12" s="706"/>
      <c r="F12" s="714"/>
      <c r="G12" s="714"/>
      <c r="H12" s="703"/>
      <c r="I12" s="703"/>
      <c r="J12" s="705"/>
      <c r="K12" s="703"/>
      <c r="L12" s="703"/>
      <c r="M12" s="702"/>
      <c r="N12" s="706"/>
      <c r="O12" s="702"/>
      <c r="P12" s="717"/>
    </row>
    <row r="13" spans="1:16" ht="38.1" customHeight="1" thickBot="1">
      <c r="B13" s="962" t="s">
        <v>48</v>
      </c>
      <c r="C13" s="963"/>
      <c r="D13" s="963"/>
      <c r="E13" s="963"/>
      <c r="F13" s="963"/>
      <c r="G13" s="963"/>
      <c r="H13" s="963"/>
      <c r="I13" s="964">
        <f>L5*84.01+L6*84.01</f>
        <v>1008.1200000000001</v>
      </c>
      <c r="J13" s="964"/>
      <c r="K13" s="964"/>
      <c r="L13" s="964"/>
      <c r="M13" s="715"/>
      <c r="N13" s="718"/>
      <c r="O13" s="719"/>
      <c r="P13" s="720"/>
    </row>
    <row r="14" spans="1:16" ht="219.75" customHeight="1" thickTop="1">
      <c r="A14" s="1052" t="s">
        <v>918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98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98" t="s">
        <v>519</v>
      </c>
    </row>
    <row r="17" spans="2:14" ht="18">
      <c r="B17" s="698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698"/>
      <c r="K17" s="284"/>
      <c r="L17" s="284"/>
      <c r="M17" s="284"/>
      <c r="N17" s="698" t="s">
        <v>517</v>
      </c>
    </row>
  </sheetData>
  <mergeCells count="17">
    <mergeCell ref="B16:E16"/>
    <mergeCell ref="J16:M16"/>
    <mergeCell ref="M5:M7"/>
    <mergeCell ref="B13:H13"/>
    <mergeCell ref="I13:L13"/>
    <mergeCell ref="A14:M14"/>
    <mergeCell ref="B15:E15"/>
    <mergeCell ref="J15:M15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2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2.28515625" customWidth="1"/>
    <col min="4" max="4" width="10.85546875" customWidth="1"/>
    <col min="5" max="5" width="13.42578125" customWidth="1"/>
    <col min="6" max="6" width="10" customWidth="1"/>
    <col min="7" max="7" width="12.28515625" customWidth="1"/>
    <col min="8" max="8" width="18.140625" customWidth="1"/>
    <col min="9" max="9" width="15.5703125" customWidth="1"/>
    <col min="10" max="10" width="6.28515625" customWidth="1"/>
    <col min="11" max="11" width="14.28515625" customWidth="1"/>
    <col min="12" max="12" width="6.42578125" customWidth="1"/>
    <col min="13" max="13" width="13.140625" customWidth="1"/>
    <col min="14" max="14" width="32.7109375" customWidth="1"/>
    <col min="15" max="15" width="12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4" t="s">
        <v>510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hidden="1" customHeight="1">
      <c r="B5" s="1098">
        <v>1</v>
      </c>
      <c r="C5" s="1099" t="s">
        <v>226</v>
      </c>
      <c r="D5" s="1100" t="s">
        <v>384</v>
      </c>
      <c r="E5" s="1154">
        <v>295000</v>
      </c>
      <c r="F5" s="1101">
        <v>40510</v>
      </c>
      <c r="G5" s="1101">
        <v>40510</v>
      </c>
      <c r="H5" s="628" t="s">
        <v>649</v>
      </c>
      <c r="I5" s="629" t="s">
        <v>857</v>
      </c>
      <c r="J5" s="630">
        <v>1</v>
      </c>
      <c r="K5" s="628" t="s">
        <v>826</v>
      </c>
      <c r="L5" s="630">
        <v>8</v>
      </c>
      <c r="M5" s="1155" t="s">
        <v>859</v>
      </c>
      <c r="N5" s="631" t="s">
        <v>860</v>
      </c>
      <c r="O5" s="643"/>
      <c r="P5" s="632">
        <v>1</v>
      </c>
    </row>
    <row r="6" spans="1:16" ht="24.95" customHeight="1">
      <c r="B6" s="1098"/>
      <c r="C6" s="1099"/>
      <c r="D6" s="1100"/>
      <c r="E6" s="1154"/>
      <c r="F6" s="1101"/>
      <c r="G6" s="1101"/>
      <c r="H6" s="644" t="s">
        <v>856</v>
      </c>
      <c r="I6" s="629" t="s">
        <v>858</v>
      </c>
      <c r="J6" s="630">
        <v>1</v>
      </c>
      <c r="K6" s="628" t="s">
        <v>713</v>
      </c>
      <c r="L6" s="630">
        <v>8.5</v>
      </c>
      <c r="M6" s="1155"/>
      <c r="N6" s="631" t="s">
        <v>860</v>
      </c>
      <c r="O6" s="643" t="s">
        <v>873</v>
      </c>
      <c r="P6" s="668">
        <v>1</v>
      </c>
    </row>
    <row r="7" spans="1:16" ht="24.95" customHeight="1">
      <c r="B7" s="1098"/>
      <c r="C7" s="1099"/>
      <c r="D7" s="1100"/>
      <c r="E7" s="1154"/>
      <c r="F7" s="1101"/>
      <c r="G7" s="1101"/>
      <c r="H7" s="645"/>
      <c r="I7" s="629"/>
      <c r="J7" s="630"/>
      <c r="K7" s="628" t="s">
        <v>826</v>
      </c>
      <c r="L7" s="630">
        <v>8</v>
      </c>
      <c r="M7" s="1155"/>
      <c r="N7" s="631"/>
      <c r="O7" s="627"/>
      <c r="P7" s="632"/>
    </row>
    <row r="8" spans="1:16" ht="24.95" hidden="1" customHeight="1">
      <c r="B8" s="635"/>
      <c r="C8" s="633"/>
      <c r="D8" s="633"/>
      <c r="E8" s="633"/>
      <c r="F8" s="636"/>
      <c r="G8" s="636"/>
      <c r="H8" s="631"/>
      <c r="I8" s="629"/>
      <c r="J8" s="630"/>
      <c r="K8" s="628"/>
      <c r="L8" s="630"/>
      <c r="M8" s="634"/>
      <c r="N8" s="634"/>
      <c r="O8" s="627"/>
      <c r="P8" s="632"/>
    </row>
    <row r="9" spans="1:16" ht="24.95" hidden="1" customHeight="1">
      <c r="B9" s="635"/>
      <c r="C9" s="633"/>
      <c r="D9" s="633"/>
      <c r="E9" s="633"/>
      <c r="F9" s="636"/>
      <c r="G9" s="636"/>
      <c r="H9" s="631"/>
      <c r="I9" s="629"/>
      <c r="J9" s="630"/>
      <c r="K9" s="628"/>
      <c r="L9" s="630"/>
      <c r="M9" s="634"/>
      <c r="N9" s="634"/>
      <c r="O9" s="627"/>
      <c r="P9" s="632"/>
    </row>
    <row r="10" spans="1:16" ht="24.95" hidden="1" customHeight="1">
      <c r="B10" s="635"/>
      <c r="C10" s="633"/>
      <c r="D10" s="633"/>
      <c r="E10" s="633"/>
      <c r="F10" s="636"/>
      <c r="G10" s="636"/>
      <c r="H10" s="631"/>
      <c r="I10" s="629"/>
      <c r="J10" s="630"/>
      <c r="K10" s="628"/>
      <c r="L10" s="630"/>
      <c r="M10" s="634"/>
      <c r="N10" s="634"/>
      <c r="O10" s="627"/>
      <c r="P10" s="632"/>
    </row>
    <row r="11" spans="1:16" ht="24.95" hidden="1" customHeight="1">
      <c r="B11" s="635"/>
      <c r="C11" s="633"/>
      <c r="D11" s="633"/>
      <c r="E11" s="633"/>
      <c r="F11" s="636"/>
      <c r="G11" s="636"/>
      <c r="H11" s="631"/>
      <c r="I11" s="629"/>
      <c r="J11" s="630"/>
      <c r="K11" s="628"/>
      <c r="L11" s="630"/>
      <c r="M11" s="634"/>
      <c r="N11" s="634"/>
      <c r="O11" s="627"/>
      <c r="P11" s="632"/>
    </row>
    <row r="12" spans="1:16" ht="24.95" hidden="1" customHeight="1">
      <c r="B12" s="635"/>
      <c r="C12" s="637"/>
      <c r="D12" s="637"/>
      <c r="E12" s="634"/>
      <c r="F12" s="638"/>
      <c r="G12" s="638"/>
      <c r="H12" s="628"/>
      <c r="I12" s="628"/>
      <c r="J12" s="630"/>
      <c r="K12" s="628"/>
      <c r="L12" s="628"/>
      <c r="M12" s="627"/>
      <c r="N12" s="634"/>
      <c r="O12" s="627"/>
      <c r="P12" s="632"/>
    </row>
    <row r="13" spans="1:16" ht="38.1" customHeight="1" thickBot="1">
      <c r="B13" s="1095" t="s">
        <v>48</v>
      </c>
      <c r="C13" s="1096"/>
      <c r="D13" s="1096"/>
      <c r="E13" s="1096"/>
      <c r="F13" s="1096"/>
      <c r="G13" s="1096"/>
      <c r="H13" s="1096"/>
      <c r="I13" s="1097">
        <f>1794.22+8*89.08+8.5*84.01</f>
        <v>3220.9450000000002</v>
      </c>
      <c r="J13" s="1097"/>
      <c r="K13" s="1097"/>
      <c r="L13" s="1097"/>
      <c r="M13" s="639"/>
      <c r="N13" s="640"/>
      <c r="O13" s="641"/>
      <c r="P13" s="642"/>
    </row>
    <row r="14" spans="1:16" ht="325.5" customHeight="1" thickTop="1">
      <c r="A14" s="1052" t="s">
        <v>855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26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26" t="s">
        <v>519</v>
      </c>
    </row>
    <row r="17" spans="2:15" ht="20.100000000000001" customHeight="1">
      <c r="B17" s="647" t="s">
        <v>874</v>
      </c>
      <c r="C17" s="669"/>
      <c r="D17" s="669"/>
      <c r="E17" s="669"/>
      <c r="F17" s="29"/>
      <c r="G17" s="248" t="s">
        <v>875</v>
      </c>
      <c r="H17" s="29"/>
      <c r="I17" s="29"/>
      <c r="J17" s="29"/>
      <c r="K17" s="29"/>
      <c r="L17" s="29"/>
      <c r="M17" s="29"/>
      <c r="N17" s="248" t="s">
        <v>874</v>
      </c>
      <c r="O17" s="29"/>
    </row>
  </sheetData>
  <mergeCells count="17">
    <mergeCell ref="B16:E16"/>
    <mergeCell ref="J16:M16"/>
    <mergeCell ref="M5:M7"/>
    <mergeCell ref="B13:H13"/>
    <mergeCell ref="I13:L13"/>
    <mergeCell ref="A14:M14"/>
    <mergeCell ref="B15:E15"/>
    <mergeCell ref="J15:M15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0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18" customWidth="1"/>
    <col min="9" max="9" width="15.5703125" customWidth="1"/>
    <col min="10" max="10" width="6.28515625" customWidth="1"/>
    <col min="11" max="11" width="11.7109375" customWidth="1"/>
    <col min="12" max="12" width="6.42578125" customWidth="1"/>
    <col min="13" max="13" width="14.5703125" customWidth="1"/>
    <col min="14" max="14" width="28.425781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965">
        <v>1</v>
      </c>
      <c r="C5" s="1131" t="s">
        <v>226</v>
      </c>
      <c r="D5" s="1132" t="s">
        <v>389</v>
      </c>
      <c r="E5" s="1132">
        <v>155153</v>
      </c>
      <c r="F5" s="1134">
        <v>40516</v>
      </c>
      <c r="G5" s="1134">
        <v>40516</v>
      </c>
      <c r="H5" s="703" t="s">
        <v>928</v>
      </c>
      <c r="I5" s="704" t="s">
        <v>929</v>
      </c>
      <c r="J5" s="705">
        <v>1</v>
      </c>
      <c r="K5" s="703"/>
      <c r="L5" s="705"/>
      <c r="M5" s="880" t="s">
        <v>672</v>
      </c>
      <c r="N5" s="708"/>
      <c r="O5" s="702"/>
      <c r="P5" s="717"/>
    </row>
    <row r="6" spans="1:16" ht="24.95" customHeight="1">
      <c r="B6" s="965"/>
      <c r="C6" s="1131"/>
      <c r="D6" s="1132"/>
      <c r="E6" s="1132"/>
      <c r="F6" s="1134"/>
      <c r="G6" s="1134"/>
      <c r="H6" s="708"/>
      <c r="I6" s="704"/>
      <c r="J6" s="705"/>
      <c r="K6" s="703"/>
      <c r="L6" s="705"/>
      <c r="M6" s="881"/>
      <c r="N6" s="708"/>
      <c r="O6" s="702"/>
      <c r="P6" s="717"/>
    </row>
    <row r="7" spans="1:16" ht="24.95" customHeight="1">
      <c r="B7" s="965"/>
      <c r="C7" s="1131"/>
      <c r="D7" s="1132"/>
      <c r="E7" s="1132"/>
      <c r="F7" s="1134"/>
      <c r="G7" s="1134"/>
      <c r="H7" s="708"/>
      <c r="I7" s="704"/>
      <c r="J7" s="705"/>
      <c r="K7" s="703"/>
      <c r="L7" s="705"/>
      <c r="M7" s="1079"/>
      <c r="N7" s="708"/>
      <c r="O7" s="702"/>
      <c r="P7" s="717"/>
    </row>
    <row r="8" spans="1:16" ht="24.95" hidden="1" customHeight="1">
      <c r="B8" s="709"/>
      <c r="C8" s="710"/>
      <c r="D8" s="710"/>
      <c r="E8" s="710"/>
      <c r="F8" s="711"/>
      <c r="G8" s="711"/>
      <c r="H8" s="708"/>
      <c r="I8" s="704"/>
      <c r="J8" s="705"/>
      <c r="K8" s="703"/>
      <c r="L8" s="705"/>
      <c r="M8" s="706"/>
      <c r="N8" s="706"/>
      <c r="O8" s="702"/>
      <c r="P8" s="717"/>
    </row>
    <row r="9" spans="1:16" ht="24.95" hidden="1" customHeight="1">
      <c r="B9" s="709"/>
      <c r="C9" s="710"/>
      <c r="D9" s="710"/>
      <c r="E9" s="710"/>
      <c r="F9" s="711"/>
      <c r="G9" s="711"/>
      <c r="H9" s="708"/>
      <c r="I9" s="704"/>
      <c r="J9" s="705"/>
      <c r="K9" s="703"/>
      <c r="L9" s="705"/>
      <c r="M9" s="706"/>
      <c r="N9" s="706"/>
      <c r="O9" s="702"/>
      <c r="P9" s="717"/>
    </row>
    <row r="10" spans="1:16" ht="24.95" hidden="1" customHeight="1">
      <c r="B10" s="709"/>
      <c r="C10" s="710"/>
      <c r="D10" s="710"/>
      <c r="E10" s="710"/>
      <c r="F10" s="711"/>
      <c r="G10" s="711"/>
      <c r="H10" s="708"/>
      <c r="I10" s="704"/>
      <c r="J10" s="705"/>
      <c r="K10" s="703"/>
      <c r="L10" s="705"/>
      <c r="M10" s="706"/>
      <c r="N10" s="706"/>
      <c r="O10" s="702"/>
      <c r="P10" s="717"/>
    </row>
    <row r="11" spans="1:16" ht="24.95" hidden="1" customHeight="1">
      <c r="B11" s="709"/>
      <c r="C11" s="710"/>
      <c r="D11" s="710"/>
      <c r="E11" s="710"/>
      <c r="F11" s="711"/>
      <c r="G11" s="711"/>
      <c r="H11" s="708"/>
      <c r="I11" s="704"/>
      <c r="J11" s="705"/>
      <c r="K11" s="703"/>
      <c r="L11" s="705"/>
      <c r="M11" s="706"/>
      <c r="N11" s="706"/>
      <c r="O11" s="702"/>
      <c r="P11" s="717"/>
    </row>
    <row r="12" spans="1:16" ht="24.95" hidden="1" customHeight="1">
      <c r="B12" s="709"/>
      <c r="C12" s="713"/>
      <c r="D12" s="713"/>
      <c r="E12" s="706"/>
      <c r="F12" s="714"/>
      <c r="G12" s="714"/>
      <c r="H12" s="703"/>
      <c r="I12" s="703"/>
      <c r="J12" s="705"/>
      <c r="K12" s="703"/>
      <c r="L12" s="703"/>
      <c r="M12" s="702"/>
      <c r="N12" s="706"/>
      <c r="O12" s="702"/>
      <c r="P12" s="717"/>
    </row>
    <row r="13" spans="1:16" ht="38.1" customHeight="1" thickBot="1">
      <c r="B13" s="962" t="s">
        <v>48</v>
      </c>
      <c r="C13" s="963"/>
      <c r="D13" s="963"/>
      <c r="E13" s="963"/>
      <c r="F13" s="963"/>
      <c r="G13" s="963"/>
      <c r="H13" s="963"/>
      <c r="I13" s="964">
        <f>64.26</f>
        <v>64.260000000000005</v>
      </c>
      <c r="J13" s="964"/>
      <c r="K13" s="964"/>
      <c r="L13" s="964"/>
      <c r="M13" s="715"/>
      <c r="N13" s="718"/>
      <c r="O13" s="719"/>
      <c r="P13" s="720"/>
    </row>
    <row r="14" spans="1:16" ht="275.25" customHeight="1" thickTop="1">
      <c r="A14" s="1052" t="s">
        <v>923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98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98" t="s">
        <v>519</v>
      </c>
    </row>
    <row r="17" spans="2:15" ht="20.100000000000001" customHeight="1">
      <c r="B17" s="698" t="s">
        <v>874</v>
      </c>
      <c r="C17" s="669"/>
      <c r="D17" s="669"/>
      <c r="E17" s="669"/>
      <c r="F17" s="29"/>
      <c r="G17" s="698" t="s">
        <v>924</v>
      </c>
      <c r="H17" s="29"/>
      <c r="I17" s="29"/>
      <c r="J17" s="29"/>
      <c r="K17" s="29"/>
      <c r="L17" s="29"/>
      <c r="M17" s="29"/>
      <c r="N17" s="248" t="s">
        <v>874</v>
      </c>
      <c r="O17" s="29"/>
    </row>
  </sheetData>
  <mergeCells count="17"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M5:M7"/>
    <mergeCell ref="B16:E16"/>
    <mergeCell ref="J16:M16"/>
    <mergeCell ref="B13:H13"/>
    <mergeCell ref="I13:L13"/>
    <mergeCell ref="A14:M14"/>
    <mergeCell ref="B15:E15"/>
    <mergeCell ref="J15:M15"/>
  </mergeCells>
  <pageMargins left="0.19" right="0.15" top="0.21" bottom="0.28000000000000003" header="0.3" footer="0.3"/>
  <pageSetup scale="72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9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5.14062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  <col min="15" max="15" width="12.7109375" customWidth="1"/>
    <col min="16" max="16" width="7.8554687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487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571</v>
      </c>
      <c r="P4" s="36" t="s">
        <v>495</v>
      </c>
    </row>
    <row r="5" spans="1:16" ht="24.95" customHeight="1">
      <c r="B5" s="1167">
        <v>1</v>
      </c>
      <c r="C5" s="1160" t="s">
        <v>648</v>
      </c>
      <c r="D5" s="1166" t="s">
        <v>391</v>
      </c>
      <c r="E5" s="1163">
        <v>161993</v>
      </c>
      <c r="F5" s="1161">
        <v>40486</v>
      </c>
      <c r="G5" s="1161">
        <v>40490</v>
      </c>
      <c r="H5" s="340" t="s">
        <v>628</v>
      </c>
      <c r="I5" s="370">
        <v>3387100250</v>
      </c>
      <c r="J5" s="342">
        <v>1</v>
      </c>
      <c r="K5" s="340"/>
      <c r="L5" s="342"/>
      <c r="M5" s="1160" t="s">
        <v>431</v>
      </c>
      <c r="N5" s="337" t="s">
        <v>634</v>
      </c>
      <c r="O5" s="371" t="s">
        <v>635</v>
      </c>
      <c r="P5" s="369">
        <v>1</v>
      </c>
    </row>
    <row r="6" spans="1:16" ht="24.95" customHeight="1">
      <c r="B6" s="852"/>
      <c r="C6" s="934"/>
      <c r="D6" s="949"/>
      <c r="E6" s="1164"/>
      <c r="F6" s="955"/>
      <c r="G6" s="955"/>
      <c r="H6" s="337" t="s">
        <v>629</v>
      </c>
      <c r="I6" s="341">
        <v>3387100240</v>
      </c>
      <c r="J6" s="342">
        <v>1</v>
      </c>
      <c r="K6" s="340"/>
      <c r="L6" s="342"/>
      <c r="M6" s="934"/>
      <c r="N6" s="337"/>
      <c r="O6" s="336"/>
      <c r="P6" s="343"/>
    </row>
    <row r="7" spans="1:16" ht="32.25" customHeight="1">
      <c r="B7" s="852"/>
      <c r="C7" s="934"/>
      <c r="D7" s="949"/>
      <c r="E7" s="1164"/>
      <c r="F7" s="955"/>
      <c r="G7" s="955"/>
      <c r="H7" s="337" t="s">
        <v>630</v>
      </c>
      <c r="I7" s="341">
        <v>3387100500</v>
      </c>
      <c r="J7" s="342">
        <v>1</v>
      </c>
      <c r="K7" s="340"/>
      <c r="L7" s="342"/>
      <c r="M7" s="934"/>
      <c r="N7" s="337"/>
      <c r="O7" s="336"/>
      <c r="P7" s="343"/>
    </row>
    <row r="8" spans="1:16" ht="24.95" customHeight="1">
      <c r="B8" s="852"/>
      <c r="C8" s="934"/>
      <c r="D8" s="949"/>
      <c r="E8" s="1164"/>
      <c r="F8" s="955"/>
      <c r="G8" s="955"/>
      <c r="H8" s="337" t="s">
        <v>631</v>
      </c>
      <c r="I8" s="341">
        <v>3387100490</v>
      </c>
      <c r="J8" s="342">
        <v>1</v>
      </c>
      <c r="K8" s="340"/>
      <c r="L8" s="342"/>
      <c r="M8" s="934"/>
      <c r="N8" s="338"/>
      <c r="O8" s="336"/>
      <c r="P8" s="343"/>
    </row>
    <row r="9" spans="1:16" ht="24.95" customHeight="1">
      <c r="B9" s="852"/>
      <c r="C9" s="934"/>
      <c r="D9" s="949"/>
      <c r="E9" s="1164"/>
      <c r="F9" s="955"/>
      <c r="G9" s="955"/>
      <c r="H9" s="337" t="s">
        <v>632</v>
      </c>
      <c r="I9" s="341">
        <v>3211300360</v>
      </c>
      <c r="J9" s="342">
        <v>1</v>
      </c>
      <c r="K9" s="340"/>
      <c r="L9" s="342"/>
      <c r="M9" s="934"/>
      <c r="N9" s="338"/>
      <c r="O9" s="336"/>
      <c r="P9" s="343"/>
    </row>
    <row r="10" spans="1:16" ht="24.95" customHeight="1">
      <c r="B10" s="852"/>
      <c r="C10" s="934"/>
      <c r="D10" s="949"/>
      <c r="E10" s="1164"/>
      <c r="F10" s="955"/>
      <c r="G10" s="955"/>
      <c r="H10" s="337" t="s">
        <v>633</v>
      </c>
      <c r="I10" s="341">
        <v>3423012040</v>
      </c>
      <c r="J10" s="342">
        <v>2</v>
      </c>
      <c r="K10" s="340"/>
      <c r="L10" s="342"/>
      <c r="M10" s="934"/>
      <c r="N10" s="338"/>
      <c r="O10" s="336"/>
      <c r="P10" s="343"/>
    </row>
    <row r="11" spans="1:16" ht="24.95" customHeight="1">
      <c r="B11" s="852"/>
      <c r="C11" s="934"/>
      <c r="D11" s="949"/>
      <c r="E11" s="1164"/>
      <c r="F11" s="955"/>
      <c r="G11" s="955"/>
      <c r="H11" s="337" t="s">
        <v>187</v>
      </c>
      <c r="I11" s="341">
        <v>3423012030</v>
      </c>
      <c r="J11" s="342">
        <v>2</v>
      </c>
      <c r="K11" s="340"/>
      <c r="L11" s="342"/>
      <c r="M11" s="934"/>
      <c r="N11" s="338"/>
      <c r="O11" s="336"/>
      <c r="P11" s="343"/>
    </row>
    <row r="12" spans="1:16" ht="24.95" customHeight="1">
      <c r="B12" s="852"/>
      <c r="C12" s="934"/>
      <c r="D12" s="949"/>
      <c r="E12" s="1164"/>
      <c r="F12" s="955"/>
      <c r="G12" s="955"/>
      <c r="H12" s="340" t="s">
        <v>649</v>
      </c>
      <c r="I12" s="340" t="s">
        <v>646</v>
      </c>
      <c r="J12" s="342">
        <v>1</v>
      </c>
      <c r="K12" s="340"/>
      <c r="L12" s="340"/>
      <c r="M12" s="934"/>
      <c r="N12" s="338"/>
      <c r="O12" s="336"/>
      <c r="P12" s="343"/>
    </row>
    <row r="13" spans="1:16" ht="24.95" customHeight="1">
      <c r="B13" s="858"/>
      <c r="C13" s="935"/>
      <c r="D13" s="1002"/>
      <c r="E13" s="1165"/>
      <c r="F13" s="1162"/>
      <c r="G13" s="1162"/>
      <c r="H13" s="386" t="s">
        <v>647</v>
      </c>
      <c r="I13" s="371" t="s">
        <v>651</v>
      </c>
      <c r="J13" s="382">
        <v>1</v>
      </c>
      <c r="K13" s="381"/>
      <c r="L13" s="381"/>
      <c r="M13" s="935"/>
      <c r="N13" s="384"/>
      <c r="O13" s="383"/>
      <c r="P13" s="385"/>
    </row>
    <row r="14" spans="1:16" ht="38.1" customHeight="1" thickBot="1">
      <c r="B14" s="1049" t="s">
        <v>48</v>
      </c>
      <c r="C14" s="1050"/>
      <c r="D14" s="1050"/>
      <c r="E14" s="1050"/>
      <c r="F14" s="1050"/>
      <c r="G14" s="1050"/>
      <c r="H14" s="1050"/>
      <c r="I14" s="1054">
        <f>638.37+355.4+1015.01+1043.41+1384.22+1524.34+1532.93+160.09</f>
        <v>7653.77</v>
      </c>
      <c r="J14" s="1054"/>
      <c r="K14" s="1054"/>
      <c r="L14" s="1054"/>
      <c r="M14" s="349"/>
      <c r="N14" s="350"/>
      <c r="O14" s="358"/>
      <c r="P14" s="351"/>
    </row>
    <row r="15" spans="1:16" ht="409.6" customHeight="1" thickTop="1">
      <c r="A15" s="905" t="s">
        <v>650</v>
      </c>
      <c r="B15" s="906"/>
      <c r="C15" s="906"/>
      <c r="D15" s="906"/>
      <c r="E15" s="906"/>
      <c r="F15" s="906"/>
      <c r="G15" s="906"/>
      <c r="H15" s="906"/>
      <c r="I15" s="906"/>
      <c r="J15" s="906"/>
      <c r="K15" s="906"/>
      <c r="L15" s="906"/>
      <c r="M15" s="906"/>
    </row>
    <row r="16" spans="1:16" s="291" customFormat="1" ht="8.25" customHeight="1">
      <c r="B16" s="890" t="s">
        <v>466</v>
      </c>
      <c r="C16" s="890"/>
      <c r="D16" s="890"/>
      <c r="E16" s="890"/>
      <c r="F16" s="890"/>
      <c r="G16" s="890"/>
      <c r="H16" s="890"/>
      <c r="I16" s="890"/>
      <c r="J16" s="890"/>
      <c r="K16" s="890"/>
      <c r="L16" s="890"/>
      <c r="M16" s="890"/>
      <c r="N16" s="890"/>
    </row>
    <row r="17" spans="2:21" ht="20.100000000000001" customHeight="1">
      <c r="B17" s="991" t="s">
        <v>518</v>
      </c>
      <c r="C17" s="991"/>
      <c r="D17" s="991"/>
      <c r="E17" s="991"/>
      <c r="F17" s="285" t="s">
        <v>525</v>
      </c>
      <c r="G17" s="285"/>
      <c r="H17" s="285"/>
      <c r="I17" s="285"/>
      <c r="J17" s="991"/>
      <c r="K17" s="991"/>
      <c r="L17" s="991"/>
      <c r="M17" s="991"/>
      <c r="N17" s="991" t="s">
        <v>526</v>
      </c>
      <c r="O17" s="991"/>
      <c r="P17" s="991"/>
      <c r="Q17" s="991"/>
      <c r="R17" s="991"/>
      <c r="S17" s="991"/>
      <c r="T17" s="991"/>
      <c r="U17" s="991"/>
    </row>
    <row r="18" spans="2:21" ht="20.100000000000001" customHeight="1">
      <c r="B18" s="991" t="s">
        <v>519</v>
      </c>
      <c r="C18" s="991"/>
      <c r="D18" s="991"/>
      <c r="E18" s="991"/>
      <c r="F18" s="285" t="s">
        <v>519</v>
      </c>
      <c r="G18" s="285"/>
      <c r="H18" s="285"/>
      <c r="I18" s="285"/>
      <c r="J18" s="991"/>
      <c r="K18" s="991"/>
      <c r="L18" s="991"/>
      <c r="M18" s="991"/>
      <c r="N18" s="991" t="s">
        <v>519</v>
      </c>
      <c r="O18" s="991"/>
      <c r="P18" s="991"/>
      <c r="Q18" s="991"/>
      <c r="R18" s="991"/>
      <c r="S18" s="991"/>
      <c r="T18" s="991"/>
      <c r="U18" s="991"/>
    </row>
    <row r="19" spans="2:21" ht="18">
      <c r="B19" s="315" t="s">
        <v>517</v>
      </c>
      <c r="C19" s="284"/>
      <c r="D19" s="284"/>
      <c r="E19" s="284"/>
      <c r="F19" s="285" t="s">
        <v>520</v>
      </c>
      <c r="G19" s="286"/>
      <c r="H19" s="286"/>
      <c r="I19" s="286"/>
      <c r="J19" s="315"/>
      <c r="K19" s="284"/>
      <c r="L19" s="284"/>
      <c r="M19" s="284"/>
      <c r="N19" s="315" t="s">
        <v>517</v>
      </c>
      <c r="O19" s="284"/>
      <c r="P19" s="284"/>
      <c r="Q19" s="284"/>
      <c r="R19" s="315"/>
      <c r="S19" s="284"/>
      <c r="T19" s="284"/>
      <c r="U19" s="284"/>
    </row>
  </sheetData>
  <mergeCells count="22">
    <mergeCell ref="B1:N1"/>
    <mergeCell ref="B2:N2"/>
    <mergeCell ref="B14:H14"/>
    <mergeCell ref="I14:L14"/>
    <mergeCell ref="B3:N3"/>
    <mergeCell ref="C5:C13"/>
    <mergeCell ref="B5:B13"/>
    <mergeCell ref="R17:U17"/>
    <mergeCell ref="B18:E18"/>
    <mergeCell ref="J18:M18"/>
    <mergeCell ref="N18:Q18"/>
    <mergeCell ref="R18:U18"/>
    <mergeCell ref="B17:E17"/>
    <mergeCell ref="J17:M17"/>
    <mergeCell ref="N17:Q17"/>
    <mergeCell ref="B16:N16"/>
    <mergeCell ref="A15:M15"/>
    <mergeCell ref="M5:M13"/>
    <mergeCell ref="G5:G13"/>
    <mergeCell ref="F5:F13"/>
    <mergeCell ref="E5:E13"/>
    <mergeCell ref="D5:D13"/>
  </mergeCells>
  <pageMargins left="0.19" right="0.15" top="0.21" bottom="0.28000000000000003" header="0.3" footer="0.3"/>
  <pageSetup scale="66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3.140625" customWidth="1"/>
    <col min="9" max="9" width="16.710937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0.8554687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1124">
        <v>1</v>
      </c>
      <c r="C5" s="900" t="s">
        <v>359</v>
      </c>
      <c r="D5" s="873" t="s">
        <v>396</v>
      </c>
      <c r="E5" s="873">
        <v>115000</v>
      </c>
      <c r="F5" s="874">
        <v>40509</v>
      </c>
      <c r="G5" s="874">
        <v>40510</v>
      </c>
      <c r="H5" s="17" t="s">
        <v>883</v>
      </c>
      <c r="I5" s="82"/>
      <c r="J5" s="673"/>
      <c r="K5" s="17" t="s">
        <v>713</v>
      </c>
      <c r="L5" s="673">
        <v>7</v>
      </c>
      <c r="M5" s="988" t="s">
        <v>593</v>
      </c>
      <c r="N5" s="14"/>
      <c r="O5" s="20"/>
      <c r="P5" s="343"/>
    </row>
    <row r="6" spans="1:16" ht="24.95" customHeight="1">
      <c r="B6" s="1124"/>
      <c r="C6" s="900"/>
      <c r="D6" s="873"/>
      <c r="E6" s="873"/>
      <c r="F6" s="874"/>
      <c r="G6" s="874"/>
      <c r="H6" s="14" t="s">
        <v>884</v>
      </c>
      <c r="I6" s="15"/>
      <c r="J6" s="673"/>
      <c r="K6" s="17" t="s">
        <v>713</v>
      </c>
      <c r="L6" s="673">
        <v>1</v>
      </c>
      <c r="M6" s="988"/>
      <c r="N6" s="14"/>
      <c r="O6" s="20"/>
      <c r="P6" s="343"/>
    </row>
    <row r="7" spans="1:16" ht="24.75" customHeight="1">
      <c r="B7" s="1124"/>
      <c r="C7" s="900"/>
      <c r="D7" s="873"/>
      <c r="E7" s="873"/>
      <c r="F7" s="874"/>
      <c r="G7" s="874"/>
      <c r="H7" s="14" t="s">
        <v>885</v>
      </c>
      <c r="I7" s="15"/>
      <c r="J7" s="673"/>
      <c r="K7" s="17" t="s">
        <v>713</v>
      </c>
      <c r="L7" s="673">
        <v>4</v>
      </c>
      <c r="M7" s="988"/>
      <c r="N7" s="14"/>
      <c r="O7" s="20"/>
      <c r="P7" s="343"/>
    </row>
    <row r="8" spans="1:16" ht="24.95" hidden="1" customHeight="1">
      <c r="B8" s="675"/>
      <c r="C8" s="671"/>
      <c r="D8" s="671"/>
      <c r="E8" s="671"/>
      <c r="F8" s="672"/>
      <c r="G8" s="672"/>
      <c r="H8" s="14"/>
      <c r="I8" s="15"/>
      <c r="J8" s="673"/>
      <c r="K8" s="17"/>
      <c r="L8" s="673"/>
      <c r="M8" s="18"/>
      <c r="N8" s="18"/>
      <c r="O8" s="20"/>
      <c r="P8" s="343"/>
    </row>
    <row r="9" spans="1:16" ht="24.95" hidden="1" customHeight="1">
      <c r="B9" s="675"/>
      <c r="C9" s="671"/>
      <c r="D9" s="671"/>
      <c r="E9" s="671"/>
      <c r="F9" s="672"/>
      <c r="G9" s="672"/>
      <c r="H9" s="14"/>
      <c r="I9" s="15"/>
      <c r="J9" s="673"/>
      <c r="K9" s="17"/>
      <c r="L9" s="673"/>
      <c r="M9" s="18"/>
      <c r="N9" s="18"/>
      <c r="O9" s="20"/>
      <c r="P9" s="343"/>
    </row>
    <row r="10" spans="1:16" ht="24.95" hidden="1" customHeight="1">
      <c r="B10" s="675"/>
      <c r="C10" s="671"/>
      <c r="D10" s="671"/>
      <c r="E10" s="671"/>
      <c r="F10" s="672"/>
      <c r="G10" s="672"/>
      <c r="H10" s="14"/>
      <c r="I10" s="15"/>
      <c r="J10" s="673"/>
      <c r="K10" s="17"/>
      <c r="L10" s="673"/>
      <c r="M10" s="18"/>
      <c r="N10" s="18"/>
      <c r="O10" s="20"/>
      <c r="P10" s="343"/>
    </row>
    <row r="11" spans="1:16" ht="24.95" hidden="1" customHeight="1">
      <c r="B11" s="675"/>
      <c r="C11" s="671"/>
      <c r="D11" s="671"/>
      <c r="E11" s="671"/>
      <c r="F11" s="672"/>
      <c r="G11" s="672"/>
      <c r="H11" s="14"/>
      <c r="I11" s="15"/>
      <c r="J11" s="673"/>
      <c r="K11" s="17"/>
      <c r="L11" s="673"/>
      <c r="M11" s="18"/>
      <c r="N11" s="18"/>
      <c r="O11" s="20"/>
      <c r="P11" s="343"/>
    </row>
    <row r="12" spans="1:16" ht="24.95" hidden="1" customHeight="1">
      <c r="B12" s="675"/>
      <c r="C12" s="12"/>
      <c r="D12" s="12"/>
      <c r="E12" s="18"/>
      <c r="F12" s="13"/>
      <c r="G12" s="13"/>
      <c r="H12" s="17"/>
      <c r="I12" s="17"/>
      <c r="J12" s="673"/>
      <c r="K12" s="17"/>
      <c r="L12" s="17"/>
      <c r="M12" s="20"/>
      <c r="N12" s="18"/>
      <c r="O12" s="20"/>
      <c r="P12" s="343"/>
    </row>
    <row r="13" spans="1:16" ht="38.1" customHeight="1" thickBot="1">
      <c r="B13" s="1121" t="s">
        <v>48</v>
      </c>
      <c r="C13" s="1122"/>
      <c r="D13" s="1122"/>
      <c r="E13" s="1122"/>
      <c r="F13" s="1122"/>
      <c r="G13" s="1122"/>
      <c r="H13" s="1122"/>
      <c r="I13" s="1123">
        <f>28000+6000+4500+L5*84.01+L6*84.01+L7*84.01</f>
        <v>39508.120000000003</v>
      </c>
      <c r="J13" s="1123"/>
      <c r="K13" s="1123"/>
      <c r="L13" s="1123"/>
      <c r="M13" s="660"/>
      <c r="N13" s="661"/>
      <c r="O13" s="662"/>
      <c r="P13" s="663"/>
    </row>
    <row r="14" spans="1:16" ht="409.6" customHeight="1" thickTop="1">
      <c r="A14" s="1052" t="s">
        <v>863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647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647" t="s">
        <v>519</v>
      </c>
    </row>
    <row r="17" spans="2:14" ht="20.100000000000001" customHeight="1">
      <c r="B17" s="991" t="s">
        <v>880</v>
      </c>
      <c r="C17" s="991"/>
      <c r="D17" s="991"/>
      <c r="E17" s="991"/>
      <c r="F17" s="285" t="s">
        <v>880</v>
      </c>
      <c r="G17" s="285"/>
      <c r="H17" s="285"/>
      <c r="I17" s="285"/>
      <c r="J17" s="991"/>
      <c r="K17" s="991"/>
      <c r="L17" s="991"/>
      <c r="M17" s="991"/>
      <c r="N17" s="674" t="s">
        <v>880</v>
      </c>
    </row>
  </sheetData>
  <mergeCells count="19">
    <mergeCell ref="B17:E17"/>
    <mergeCell ref="J17:M17"/>
    <mergeCell ref="B16:E16"/>
    <mergeCell ref="J16:M16"/>
    <mergeCell ref="B13:H13"/>
    <mergeCell ref="I13:L13"/>
    <mergeCell ref="A14:M14"/>
    <mergeCell ref="B15:E15"/>
    <mergeCell ref="J15:M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M5:M7"/>
  </mergeCells>
  <pageMargins left="0.19" right="0.15" top="0.21" bottom="0.28000000000000003" header="0.3" footer="0.3"/>
  <pageSetup scale="70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3.5703125" customWidth="1"/>
    <col min="9" max="9" width="15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8.140625" customWidth="1"/>
    <col min="15" max="15" width="17.140625" customWidth="1"/>
    <col min="16" max="16" width="9.425781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488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42" customHeight="1">
      <c r="B5" s="1110">
        <v>1</v>
      </c>
      <c r="C5" s="1111" t="s">
        <v>226</v>
      </c>
      <c r="D5" s="1112" t="s">
        <v>393</v>
      </c>
      <c r="E5" s="1112">
        <v>146171</v>
      </c>
      <c r="F5" s="1113">
        <v>40500</v>
      </c>
      <c r="G5" s="1113">
        <v>40500</v>
      </c>
      <c r="H5" s="551"/>
      <c r="I5" s="562"/>
      <c r="J5" s="553"/>
      <c r="K5" s="551"/>
      <c r="L5" s="553"/>
      <c r="M5" s="1114" t="s">
        <v>754</v>
      </c>
      <c r="N5" s="554" t="s">
        <v>871</v>
      </c>
      <c r="O5" s="540" t="s">
        <v>872</v>
      </c>
      <c r="P5" s="565">
        <v>1</v>
      </c>
    </row>
    <row r="6" spans="1:21" ht="24.95" customHeight="1">
      <c r="B6" s="1110"/>
      <c r="C6" s="1111"/>
      <c r="D6" s="1112"/>
      <c r="E6" s="1112"/>
      <c r="F6" s="1113"/>
      <c r="G6" s="1113"/>
      <c r="H6" s="554"/>
      <c r="I6" s="552"/>
      <c r="J6" s="553"/>
      <c r="K6" s="551"/>
      <c r="L6" s="553"/>
      <c r="M6" s="1114"/>
      <c r="N6" s="554"/>
      <c r="O6" s="540"/>
      <c r="P6" s="542"/>
    </row>
    <row r="7" spans="1:21" ht="24.95" customHeight="1">
      <c r="B7" s="1110"/>
      <c r="C7" s="1111"/>
      <c r="D7" s="1112"/>
      <c r="E7" s="1112"/>
      <c r="F7" s="1113"/>
      <c r="G7" s="1113"/>
      <c r="H7" s="554"/>
      <c r="I7" s="552"/>
      <c r="J7" s="553"/>
      <c r="K7" s="551"/>
      <c r="L7" s="553"/>
      <c r="M7" s="1114"/>
      <c r="N7" s="554"/>
      <c r="O7" s="540"/>
      <c r="P7" s="542"/>
    </row>
    <row r="8" spans="1:21" ht="24.95" hidden="1" customHeight="1">
      <c r="B8" s="559"/>
      <c r="C8" s="555"/>
      <c r="D8" s="555"/>
      <c r="E8" s="555"/>
      <c r="F8" s="556"/>
      <c r="G8" s="556"/>
      <c r="H8" s="554"/>
      <c r="I8" s="552"/>
      <c r="J8" s="553"/>
      <c r="K8" s="551"/>
      <c r="L8" s="553"/>
      <c r="M8" s="537"/>
      <c r="N8" s="537"/>
      <c r="O8" s="540"/>
      <c r="P8" s="542"/>
    </row>
    <row r="9" spans="1:21" ht="24.95" hidden="1" customHeight="1">
      <c r="B9" s="559"/>
      <c r="C9" s="555"/>
      <c r="D9" s="555"/>
      <c r="E9" s="555"/>
      <c r="F9" s="556"/>
      <c r="G9" s="556"/>
      <c r="H9" s="554"/>
      <c r="I9" s="552"/>
      <c r="J9" s="553"/>
      <c r="K9" s="551"/>
      <c r="L9" s="553"/>
      <c r="M9" s="537"/>
      <c r="N9" s="537"/>
      <c r="O9" s="540"/>
      <c r="P9" s="542"/>
    </row>
    <row r="10" spans="1:21" ht="24.95" hidden="1" customHeight="1">
      <c r="B10" s="559"/>
      <c r="C10" s="555"/>
      <c r="D10" s="555"/>
      <c r="E10" s="555"/>
      <c r="F10" s="556"/>
      <c r="G10" s="556"/>
      <c r="H10" s="554"/>
      <c r="I10" s="552"/>
      <c r="J10" s="553"/>
      <c r="K10" s="551"/>
      <c r="L10" s="553"/>
      <c r="M10" s="537"/>
      <c r="N10" s="537"/>
      <c r="O10" s="540"/>
      <c r="P10" s="542"/>
    </row>
    <row r="11" spans="1:21" ht="24.95" hidden="1" customHeight="1">
      <c r="B11" s="559"/>
      <c r="C11" s="555"/>
      <c r="D11" s="555"/>
      <c r="E11" s="555"/>
      <c r="F11" s="556"/>
      <c r="G11" s="556"/>
      <c r="H11" s="554"/>
      <c r="I11" s="552"/>
      <c r="J11" s="553"/>
      <c r="K11" s="551"/>
      <c r="L11" s="553"/>
      <c r="M11" s="537"/>
      <c r="N11" s="537"/>
      <c r="O11" s="540"/>
      <c r="P11" s="542"/>
    </row>
    <row r="12" spans="1:21" ht="24.95" hidden="1" customHeight="1">
      <c r="B12" s="559"/>
      <c r="C12" s="557"/>
      <c r="D12" s="557"/>
      <c r="E12" s="537"/>
      <c r="F12" s="558"/>
      <c r="G12" s="558"/>
      <c r="H12" s="551"/>
      <c r="I12" s="551"/>
      <c r="J12" s="553"/>
      <c r="K12" s="551"/>
      <c r="L12" s="551"/>
      <c r="M12" s="537"/>
      <c r="N12" s="537"/>
      <c r="O12" s="540"/>
      <c r="P12" s="542"/>
    </row>
    <row r="13" spans="1:21" ht="38.1" customHeight="1" thickBot="1">
      <c r="B13" s="902" t="s">
        <v>48</v>
      </c>
      <c r="C13" s="903"/>
      <c r="D13" s="903"/>
      <c r="E13" s="903"/>
      <c r="F13" s="903"/>
      <c r="G13" s="903"/>
      <c r="H13" s="903"/>
      <c r="I13" s="904"/>
      <c r="J13" s="904"/>
      <c r="K13" s="904"/>
      <c r="L13" s="904"/>
      <c r="M13" s="564"/>
      <c r="N13" s="547"/>
      <c r="O13" s="548"/>
      <c r="P13" s="550"/>
    </row>
    <row r="14" spans="1:21" ht="147" customHeight="1" thickTop="1">
      <c r="A14" s="936" t="s">
        <v>755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991" t="s">
        <v>526</v>
      </c>
      <c r="O15" s="991"/>
      <c r="P15" s="991"/>
      <c r="Q15" s="991"/>
      <c r="R15" s="991"/>
      <c r="S15" s="991"/>
      <c r="T15" s="991"/>
      <c r="U15" s="991"/>
    </row>
    <row r="16" spans="1:21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991" t="s">
        <v>519</v>
      </c>
      <c r="O16" s="991"/>
      <c r="P16" s="991"/>
      <c r="Q16" s="991"/>
      <c r="R16" s="991"/>
      <c r="S16" s="991"/>
      <c r="T16" s="991"/>
      <c r="U16" s="991"/>
    </row>
    <row r="17" spans="2:21" ht="18">
      <c r="B17" s="536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536"/>
      <c r="K17" s="284"/>
      <c r="L17" s="284"/>
      <c r="M17" s="284"/>
      <c r="N17" s="536" t="s">
        <v>517</v>
      </c>
      <c r="O17" s="284"/>
      <c r="P17" s="284"/>
      <c r="Q17" s="284"/>
      <c r="R17" s="536"/>
      <c r="S17" s="284"/>
      <c r="T17" s="284"/>
      <c r="U17" s="284"/>
    </row>
  </sheetData>
  <mergeCells count="21"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M5:M7"/>
    <mergeCell ref="N15:Q15"/>
    <mergeCell ref="R15:U15"/>
    <mergeCell ref="B16:E16"/>
    <mergeCell ref="J16:M16"/>
    <mergeCell ref="N16:Q16"/>
    <mergeCell ref="R16:U16"/>
    <mergeCell ref="B13:H13"/>
    <mergeCell ref="I13:L13"/>
    <mergeCell ref="A14:M14"/>
    <mergeCell ref="B15:E15"/>
    <mergeCell ref="J15:M15"/>
  </mergeCells>
  <pageMargins left="0.19" right="0.15" top="0.21" bottom="0.28000000000000003" header="0.3" footer="0.3"/>
  <pageSetup scale="68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9.42578125" customWidth="1"/>
    <col min="5" max="5" width="13.42578125" customWidth="1"/>
    <col min="6" max="6" width="11.42578125" customWidth="1"/>
    <col min="7" max="7" width="12.28515625" customWidth="1"/>
    <col min="8" max="8" width="21.140625" customWidth="1"/>
    <col min="9" max="9" width="15.28515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9.570312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965">
        <v>1</v>
      </c>
      <c r="C5" s="1135" t="s">
        <v>226</v>
      </c>
      <c r="D5" s="966" t="s">
        <v>394</v>
      </c>
      <c r="E5" s="967">
        <v>135000</v>
      </c>
      <c r="F5" s="968">
        <v>40517</v>
      </c>
      <c r="G5" s="968">
        <v>40517</v>
      </c>
      <c r="H5" s="703"/>
      <c r="I5" s="721"/>
      <c r="J5" s="705"/>
      <c r="K5" s="703" t="s">
        <v>826</v>
      </c>
      <c r="L5" s="705">
        <v>8</v>
      </c>
      <c r="M5" s="880" t="s">
        <v>925</v>
      </c>
      <c r="N5" s="708" t="s">
        <v>905</v>
      </c>
      <c r="O5" s="721"/>
      <c r="P5" s="728"/>
    </row>
    <row r="6" spans="1:21" ht="24.95" customHeight="1">
      <c r="B6" s="965"/>
      <c r="C6" s="1135"/>
      <c r="D6" s="966"/>
      <c r="E6" s="966"/>
      <c r="F6" s="968"/>
      <c r="G6" s="968"/>
      <c r="H6" s="708"/>
      <c r="I6" s="704"/>
      <c r="J6" s="705"/>
      <c r="K6" s="703"/>
      <c r="L6" s="705"/>
      <c r="M6" s="881"/>
      <c r="N6" s="708"/>
      <c r="O6" s="704"/>
      <c r="P6" s="728"/>
    </row>
    <row r="7" spans="1:21" ht="24.95" customHeight="1">
      <c r="B7" s="965"/>
      <c r="C7" s="1135"/>
      <c r="D7" s="966"/>
      <c r="E7" s="966"/>
      <c r="F7" s="968"/>
      <c r="G7" s="968"/>
      <c r="H7" s="708"/>
      <c r="I7" s="704"/>
      <c r="J7" s="705"/>
      <c r="K7" s="703"/>
      <c r="L7" s="705"/>
      <c r="M7" s="1079"/>
      <c r="N7" s="708"/>
      <c r="O7" s="704"/>
      <c r="P7" s="728"/>
    </row>
    <row r="8" spans="1:21" ht="24.95" hidden="1" customHeight="1">
      <c r="B8" s="709"/>
      <c r="C8" s="710"/>
      <c r="D8" s="710"/>
      <c r="E8" s="710"/>
      <c r="F8" s="711"/>
      <c r="G8" s="711"/>
      <c r="H8" s="708"/>
      <c r="I8" s="704"/>
      <c r="J8" s="705"/>
      <c r="K8" s="703"/>
      <c r="L8" s="705"/>
      <c r="M8" s="706"/>
      <c r="N8" s="706"/>
      <c r="O8" s="702"/>
      <c r="P8" s="717"/>
    </row>
    <row r="9" spans="1:21" ht="24.95" hidden="1" customHeight="1">
      <c r="B9" s="709"/>
      <c r="C9" s="710"/>
      <c r="D9" s="710"/>
      <c r="E9" s="710"/>
      <c r="F9" s="711"/>
      <c r="G9" s="711"/>
      <c r="H9" s="708"/>
      <c r="I9" s="704"/>
      <c r="J9" s="705"/>
      <c r="K9" s="703"/>
      <c r="L9" s="705"/>
      <c r="M9" s="706"/>
      <c r="N9" s="706"/>
      <c r="O9" s="702"/>
      <c r="P9" s="717"/>
    </row>
    <row r="10" spans="1:21" ht="24.95" hidden="1" customHeight="1">
      <c r="B10" s="709"/>
      <c r="C10" s="710"/>
      <c r="D10" s="710"/>
      <c r="E10" s="710"/>
      <c r="F10" s="711"/>
      <c r="G10" s="711"/>
      <c r="H10" s="708"/>
      <c r="I10" s="704"/>
      <c r="J10" s="705"/>
      <c r="K10" s="703"/>
      <c r="L10" s="705"/>
      <c r="M10" s="706"/>
      <c r="N10" s="706"/>
      <c r="O10" s="702"/>
      <c r="P10" s="717"/>
    </row>
    <row r="11" spans="1:21" ht="24.95" hidden="1" customHeight="1">
      <c r="B11" s="709"/>
      <c r="C11" s="710"/>
      <c r="D11" s="710"/>
      <c r="E11" s="710"/>
      <c r="F11" s="711"/>
      <c r="G11" s="711"/>
      <c r="H11" s="708"/>
      <c r="I11" s="704"/>
      <c r="J11" s="705"/>
      <c r="K11" s="703"/>
      <c r="L11" s="705"/>
      <c r="M11" s="706"/>
      <c r="N11" s="706"/>
      <c r="O11" s="702"/>
      <c r="P11" s="717"/>
    </row>
    <row r="12" spans="1:21" ht="24.95" hidden="1" customHeight="1">
      <c r="B12" s="709"/>
      <c r="C12" s="713"/>
      <c r="D12" s="713"/>
      <c r="E12" s="706"/>
      <c r="F12" s="714"/>
      <c r="G12" s="714"/>
      <c r="H12" s="703"/>
      <c r="I12" s="703"/>
      <c r="J12" s="705"/>
      <c r="K12" s="703"/>
      <c r="L12" s="703"/>
      <c r="M12" s="702"/>
      <c r="N12" s="706"/>
      <c r="O12" s="702"/>
      <c r="P12" s="717"/>
    </row>
    <row r="13" spans="1:21" ht="38.1" customHeight="1" thickBot="1">
      <c r="B13" s="962" t="s">
        <v>48</v>
      </c>
      <c r="C13" s="963"/>
      <c r="D13" s="963"/>
      <c r="E13" s="963"/>
      <c r="F13" s="963"/>
      <c r="G13" s="963"/>
      <c r="H13" s="963"/>
      <c r="I13" s="964">
        <f>L5*89.08</f>
        <v>712.64</v>
      </c>
      <c r="J13" s="964"/>
      <c r="K13" s="964"/>
      <c r="L13" s="964"/>
      <c r="M13" s="715"/>
      <c r="N13" s="718"/>
      <c r="O13" s="719"/>
      <c r="P13" s="720"/>
    </row>
    <row r="14" spans="1:21" ht="147" customHeight="1" thickTop="1">
      <c r="A14" s="936" t="s">
        <v>755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21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991" t="s">
        <v>526</v>
      </c>
      <c r="O15" s="991"/>
      <c r="P15" s="991"/>
      <c r="Q15" s="991"/>
      <c r="R15" s="991"/>
      <c r="S15" s="991"/>
      <c r="T15" s="991"/>
      <c r="U15" s="991"/>
    </row>
    <row r="16" spans="1:21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991" t="s">
        <v>519</v>
      </c>
      <c r="O16" s="991"/>
      <c r="P16" s="991"/>
      <c r="Q16" s="991"/>
      <c r="R16" s="991"/>
      <c r="S16" s="991"/>
      <c r="T16" s="991"/>
      <c r="U16" s="991"/>
    </row>
    <row r="17" spans="2:21" ht="18">
      <c r="B17" s="679" t="s">
        <v>517</v>
      </c>
      <c r="C17" s="284"/>
      <c r="D17" s="284"/>
      <c r="E17" s="284"/>
      <c r="F17" s="285" t="s">
        <v>520</v>
      </c>
      <c r="G17" s="286"/>
      <c r="H17" s="286"/>
      <c r="I17" s="286"/>
      <c r="J17" s="679"/>
      <c r="K17" s="284"/>
      <c r="L17" s="284"/>
      <c r="M17" s="284"/>
      <c r="N17" s="679" t="s">
        <v>517</v>
      </c>
      <c r="O17" s="284"/>
      <c r="P17" s="284"/>
      <c r="Q17" s="284"/>
      <c r="R17" s="679"/>
      <c r="S17" s="284"/>
      <c r="T17" s="284"/>
      <c r="U17" s="284"/>
    </row>
  </sheetData>
  <mergeCells count="21">
    <mergeCell ref="A14:M14"/>
    <mergeCell ref="B15:E15"/>
    <mergeCell ref="J15:M15"/>
    <mergeCell ref="B13:H13"/>
    <mergeCell ref="I13:L13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M5:M7"/>
    <mergeCell ref="N15:Q15"/>
    <mergeCell ref="R15:U15"/>
    <mergeCell ref="B16:E16"/>
    <mergeCell ref="J16:M16"/>
    <mergeCell ref="N16:Q16"/>
    <mergeCell ref="R16:U16"/>
  </mergeCells>
  <pageMargins left="0.19" right="0.15" top="0.21" bottom="0.28000000000000003" header="0.3" footer="0.3"/>
  <pageSetup scale="72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O17"/>
  <sheetViews>
    <sheetView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1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1:15" ht="24.95" customHeight="1">
      <c r="B5" s="863">
        <v>1</v>
      </c>
      <c r="C5" s="897" t="s">
        <v>368</v>
      </c>
      <c r="D5" s="864" t="s">
        <v>395</v>
      </c>
      <c r="E5" s="864">
        <v>236066</v>
      </c>
      <c r="F5" s="865">
        <v>40522</v>
      </c>
      <c r="G5" s="865">
        <v>40524</v>
      </c>
      <c r="H5" s="17"/>
      <c r="I5" s="82"/>
      <c r="J5" s="16"/>
      <c r="K5" s="17"/>
      <c r="L5" s="16"/>
      <c r="M5" s="18"/>
      <c r="N5" s="80"/>
    </row>
    <row r="6" spans="1:15" ht="24.95" customHeight="1">
      <c r="B6" s="852"/>
      <c r="C6" s="898"/>
      <c r="D6" s="855"/>
      <c r="E6" s="855"/>
      <c r="F6" s="839"/>
      <c r="G6" s="839"/>
      <c r="H6" s="14"/>
      <c r="I6" s="15"/>
      <c r="J6" s="16"/>
      <c r="K6" s="17"/>
      <c r="L6" s="16"/>
      <c r="M6" s="18"/>
      <c r="N6" s="80"/>
    </row>
    <row r="7" spans="1:15" ht="24.95" customHeight="1">
      <c r="B7" s="858"/>
      <c r="C7" s="899"/>
      <c r="D7" s="859"/>
      <c r="E7" s="859"/>
      <c r="F7" s="840"/>
      <c r="G7" s="840"/>
      <c r="H7" s="14"/>
      <c r="I7" s="15"/>
      <c r="J7" s="16"/>
      <c r="K7" s="17"/>
      <c r="L7" s="16"/>
      <c r="M7" s="18"/>
      <c r="N7" s="80"/>
    </row>
    <row r="8" spans="1:15" ht="24.95" customHeight="1">
      <c r="B8" s="160"/>
      <c r="C8" s="161"/>
      <c r="D8" s="161"/>
      <c r="E8" s="161"/>
      <c r="F8" s="159"/>
      <c r="G8" s="159"/>
      <c r="H8" s="14"/>
      <c r="I8" s="15"/>
      <c r="J8" s="16"/>
      <c r="K8" s="17"/>
      <c r="L8" s="16"/>
      <c r="M8" s="18"/>
      <c r="N8" s="19"/>
    </row>
    <row r="9" spans="1:15" ht="24.95" hidden="1" customHeight="1">
      <c r="B9" s="160"/>
      <c r="C9" s="161"/>
      <c r="D9" s="161"/>
      <c r="E9" s="161"/>
      <c r="F9" s="159"/>
      <c r="G9" s="159"/>
      <c r="H9" s="14"/>
      <c r="I9" s="15"/>
      <c r="J9" s="16"/>
      <c r="K9" s="17"/>
      <c r="L9" s="16"/>
      <c r="M9" s="18"/>
      <c r="N9" s="19"/>
    </row>
    <row r="10" spans="1:15" ht="24.95" hidden="1" customHeight="1">
      <c r="B10" s="160"/>
      <c r="C10" s="161"/>
      <c r="D10" s="161"/>
      <c r="E10" s="161"/>
      <c r="F10" s="159"/>
      <c r="G10" s="159"/>
      <c r="H10" s="14"/>
      <c r="I10" s="15"/>
      <c r="J10" s="16"/>
      <c r="K10" s="17"/>
      <c r="L10" s="16"/>
      <c r="M10" s="18"/>
      <c r="N10" s="19"/>
    </row>
    <row r="11" spans="1:15" ht="24.95" hidden="1" customHeight="1">
      <c r="B11" s="160"/>
      <c r="C11" s="161"/>
      <c r="D11" s="161"/>
      <c r="E11" s="161"/>
      <c r="F11" s="159"/>
      <c r="G11" s="159"/>
      <c r="H11" s="14"/>
      <c r="I11" s="15"/>
      <c r="J11" s="16"/>
      <c r="K11" s="17"/>
      <c r="L11" s="16"/>
      <c r="M11" s="18"/>
      <c r="N11" s="19"/>
    </row>
    <row r="12" spans="1:15" ht="24.95" hidden="1" customHeight="1">
      <c r="B12" s="158"/>
      <c r="C12" s="12"/>
      <c r="D12" s="12"/>
      <c r="E12" s="18"/>
      <c r="F12" s="13"/>
      <c r="G12" s="13"/>
      <c r="H12" s="17"/>
      <c r="I12" s="62"/>
      <c r="J12" s="64"/>
      <c r="K12" s="62"/>
      <c r="L12" s="62"/>
      <c r="M12" s="20"/>
      <c r="N12" s="19"/>
    </row>
    <row r="13" spans="1:15" ht="39.75" customHeight="1" thickBot="1">
      <c r="B13" s="843"/>
      <c r="C13" s="844"/>
      <c r="D13" s="844"/>
      <c r="E13" s="844"/>
      <c r="F13" s="844"/>
      <c r="G13" s="844"/>
      <c r="H13" s="844"/>
      <c r="I13" s="894">
        <f>L5*84.01+L6*84.01+L7*77.98+L8*109.25</f>
        <v>0</v>
      </c>
      <c r="J13" s="895"/>
      <c r="K13" s="895"/>
      <c r="L13" s="896"/>
      <c r="N13" s="81"/>
      <c r="O13" s="90"/>
    </row>
    <row r="14" spans="1:15" ht="265.5" customHeight="1" thickTop="1">
      <c r="A14" s="1052" t="s">
        <v>960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5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775" t="s">
        <v>526</v>
      </c>
    </row>
    <row r="16" spans="1:15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775" t="s">
        <v>519</v>
      </c>
    </row>
    <row r="17" spans="2:15" ht="20.100000000000001" customHeight="1">
      <c r="B17" s="775" t="s">
        <v>874</v>
      </c>
      <c r="C17" s="669"/>
      <c r="D17" s="669"/>
      <c r="E17" s="669"/>
      <c r="F17" s="29"/>
      <c r="G17" s="775" t="s">
        <v>924</v>
      </c>
      <c r="H17" s="29"/>
      <c r="I17" s="29"/>
      <c r="J17" s="29"/>
      <c r="K17" s="29"/>
      <c r="L17" s="29"/>
      <c r="M17" s="29"/>
      <c r="N17" s="248" t="s">
        <v>874</v>
      </c>
      <c r="O17" s="29"/>
    </row>
  </sheetData>
  <mergeCells count="16">
    <mergeCell ref="B16:E16"/>
    <mergeCell ref="J16:M16"/>
    <mergeCell ref="B13:H13"/>
    <mergeCell ref="I13:L13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A14:M14"/>
    <mergeCell ref="B15:E15"/>
    <mergeCell ref="J15:M15"/>
  </mergeCells>
  <pageMargins left="0.19" right="0.15" top="0.21" bottom="0.28000000000000003" header="0.3" footer="0.3"/>
  <pageSetup scale="72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3" ySplit="4" topLeftCell="D1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1.42578125" customWidth="1"/>
    <col min="9" max="9" width="15.140625" customWidth="1"/>
    <col min="10" max="10" width="6.28515625" customWidth="1"/>
    <col min="11" max="11" width="11.7109375" customWidth="1"/>
    <col min="12" max="12" width="6.42578125" customWidth="1"/>
    <col min="13" max="13" width="12.5703125" customWidth="1"/>
    <col min="14" max="14" width="25.42578125" customWidth="1"/>
  </cols>
  <sheetData>
    <row r="1" spans="1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16" ht="24.95" customHeight="1">
      <c r="B5" s="965">
        <v>1</v>
      </c>
      <c r="C5" s="1131" t="s">
        <v>226</v>
      </c>
      <c r="D5" s="1132" t="s">
        <v>397</v>
      </c>
      <c r="E5" s="1132">
        <v>217233</v>
      </c>
      <c r="F5" s="1134">
        <v>40519</v>
      </c>
      <c r="G5" s="1134">
        <v>40519</v>
      </c>
      <c r="H5" s="722"/>
      <c r="I5" s="729"/>
      <c r="J5" s="724"/>
      <c r="K5" s="722" t="s">
        <v>32</v>
      </c>
      <c r="L5" s="724">
        <v>7</v>
      </c>
      <c r="M5" s="1159" t="s">
        <v>563</v>
      </c>
      <c r="N5" s="725"/>
      <c r="O5" s="702"/>
      <c r="P5" s="717"/>
    </row>
    <row r="6" spans="1:16" ht="24.95" customHeight="1">
      <c r="B6" s="965"/>
      <c r="C6" s="1131"/>
      <c r="D6" s="1132"/>
      <c r="E6" s="1132"/>
      <c r="F6" s="1134"/>
      <c r="G6" s="1134"/>
      <c r="H6" s="725"/>
      <c r="I6" s="723"/>
      <c r="J6" s="724"/>
      <c r="K6" s="722" t="s">
        <v>32</v>
      </c>
      <c r="L6" s="724">
        <v>6</v>
      </c>
      <c r="M6" s="1159"/>
      <c r="N6" s="725"/>
      <c r="O6" s="702"/>
      <c r="P6" s="717"/>
    </row>
    <row r="7" spans="1:16" ht="24.95" customHeight="1">
      <c r="B7" s="965"/>
      <c r="C7" s="1131"/>
      <c r="D7" s="1132"/>
      <c r="E7" s="1132"/>
      <c r="F7" s="1134"/>
      <c r="G7" s="1134"/>
      <c r="H7" s="725"/>
      <c r="I7" s="723"/>
      <c r="J7" s="724"/>
      <c r="K7" s="722"/>
      <c r="L7" s="724"/>
      <c r="M7" s="730"/>
      <c r="N7" s="725"/>
      <c r="O7" s="702"/>
      <c r="P7" s="717"/>
    </row>
    <row r="8" spans="1:16" ht="24.95" hidden="1" customHeight="1">
      <c r="B8" s="709"/>
      <c r="C8" s="710"/>
      <c r="D8" s="710"/>
      <c r="E8" s="710"/>
      <c r="F8" s="711"/>
      <c r="G8" s="711"/>
      <c r="H8" s="708"/>
      <c r="I8" s="704"/>
      <c r="J8" s="705"/>
      <c r="K8" s="703"/>
      <c r="L8" s="705"/>
      <c r="M8" s="706"/>
      <c r="N8" s="706"/>
      <c r="O8" s="702"/>
      <c r="P8" s="717"/>
    </row>
    <row r="9" spans="1:16" ht="24.95" hidden="1" customHeight="1">
      <c r="B9" s="709"/>
      <c r="C9" s="710"/>
      <c r="D9" s="710"/>
      <c r="E9" s="710"/>
      <c r="F9" s="711"/>
      <c r="G9" s="711"/>
      <c r="H9" s="708"/>
      <c r="I9" s="704"/>
      <c r="J9" s="705"/>
      <c r="K9" s="703"/>
      <c r="L9" s="705"/>
      <c r="M9" s="706"/>
      <c r="N9" s="706"/>
      <c r="O9" s="702"/>
      <c r="P9" s="717"/>
    </row>
    <row r="10" spans="1:16" ht="24.95" hidden="1" customHeight="1">
      <c r="B10" s="709"/>
      <c r="C10" s="710"/>
      <c r="D10" s="710"/>
      <c r="E10" s="710"/>
      <c r="F10" s="711"/>
      <c r="G10" s="711"/>
      <c r="H10" s="708"/>
      <c r="I10" s="704"/>
      <c r="J10" s="705"/>
      <c r="K10" s="703"/>
      <c r="L10" s="705"/>
      <c r="M10" s="706"/>
      <c r="N10" s="706"/>
      <c r="O10" s="702"/>
      <c r="P10" s="717"/>
    </row>
    <row r="11" spans="1:16" ht="24.95" hidden="1" customHeight="1">
      <c r="B11" s="709"/>
      <c r="C11" s="710"/>
      <c r="D11" s="710"/>
      <c r="E11" s="710"/>
      <c r="F11" s="711"/>
      <c r="G11" s="711"/>
      <c r="H11" s="708"/>
      <c r="I11" s="704"/>
      <c r="J11" s="705"/>
      <c r="K11" s="703"/>
      <c r="L11" s="705"/>
      <c r="M11" s="706"/>
      <c r="N11" s="706"/>
      <c r="O11" s="702"/>
      <c r="P11" s="717"/>
    </row>
    <row r="12" spans="1:16" ht="24.95" hidden="1" customHeight="1">
      <c r="B12" s="709"/>
      <c r="C12" s="713"/>
      <c r="D12" s="713"/>
      <c r="E12" s="706"/>
      <c r="F12" s="714"/>
      <c r="G12" s="714"/>
      <c r="H12" s="703"/>
      <c r="I12" s="703"/>
      <c r="J12" s="705"/>
      <c r="K12" s="703"/>
      <c r="L12" s="703"/>
      <c r="M12" s="702"/>
      <c r="N12" s="706"/>
      <c r="O12" s="702"/>
      <c r="P12" s="717"/>
    </row>
    <row r="13" spans="1:16" ht="38.1" customHeight="1" thickBot="1">
      <c r="B13" s="962" t="s">
        <v>48</v>
      </c>
      <c r="C13" s="963"/>
      <c r="D13" s="963"/>
      <c r="E13" s="963"/>
      <c r="F13" s="963"/>
      <c r="G13" s="963"/>
      <c r="H13" s="963"/>
      <c r="I13" s="964">
        <f>L5*84.01+L6*84.01</f>
        <v>1092.1300000000001</v>
      </c>
      <c r="J13" s="964"/>
      <c r="K13" s="964"/>
      <c r="L13" s="964"/>
      <c r="M13" s="715"/>
      <c r="N13" s="718"/>
      <c r="O13" s="719"/>
      <c r="P13" s="720"/>
    </row>
    <row r="14" spans="1:16" ht="265.5" customHeight="1" thickTop="1">
      <c r="A14" s="1052" t="s">
        <v>927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</row>
    <row r="15" spans="1:16" ht="20.100000000000001" customHeight="1">
      <c r="B15" s="991" t="s">
        <v>518</v>
      </c>
      <c r="C15" s="991"/>
      <c r="D15" s="991"/>
      <c r="E15" s="991"/>
      <c r="F15" s="285" t="s">
        <v>525</v>
      </c>
      <c r="G15" s="285"/>
      <c r="H15" s="285"/>
      <c r="I15" s="285"/>
      <c r="J15" s="991"/>
      <c r="K15" s="991"/>
      <c r="L15" s="991"/>
      <c r="M15" s="991"/>
      <c r="N15" s="701" t="s">
        <v>526</v>
      </c>
    </row>
    <row r="16" spans="1:16" ht="20.100000000000001" customHeight="1">
      <c r="B16" s="991" t="s">
        <v>519</v>
      </c>
      <c r="C16" s="991"/>
      <c r="D16" s="991"/>
      <c r="E16" s="991"/>
      <c r="F16" s="285" t="s">
        <v>519</v>
      </c>
      <c r="G16" s="285"/>
      <c r="H16" s="285"/>
      <c r="I16" s="285"/>
      <c r="J16" s="991"/>
      <c r="K16" s="991"/>
      <c r="L16" s="991"/>
      <c r="M16" s="991"/>
      <c r="N16" s="701" t="s">
        <v>519</v>
      </c>
    </row>
    <row r="17" spans="2:15" ht="20.100000000000001" customHeight="1">
      <c r="B17" s="701" t="s">
        <v>874</v>
      </c>
      <c r="C17" s="669"/>
      <c r="D17" s="669"/>
      <c r="E17" s="669"/>
      <c r="F17" s="29"/>
      <c r="G17" s="701" t="s">
        <v>924</v>
      </c>
      <c r="H17" s="29"/>
      <c r="I17" s="29"/>
      <c r="J17" s="29"/>
      <c r="K17" s="29"/>
      <c r="L17" s="29"/>
      <c r="M17" s="29"/>
      <c r="N17" s="248" t="s">
        <v>874</v>
      </c>
      <c r="O17" s="29"/>
    </row>
  </sheetData>
  <mergeCells count="17"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M5:M6"/>
    <mergeCell ref="J15:M15"/>
    <mergeCell ref="B16:E16"/>
    <mergeCell ref="J16:M16"/>
    <mergeCell ref="B13:H13"/>
    <mergeCell ref="I13:L13"/>
    <mergeCell ref="A14:M14"/>
    <mergeCell ref="B15:E15"/>
  </mergeCells>
  <pageMargins left="0.19" right="0.15" top="0.21" bottom="0.28000000000000003" header="0.3" footer="0.3"/>
  <pageSetup scale="72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B1:P21"/>
  <sheetViews>
    <sheetView view="pageBreakPreview" zoomScale="60" workbookViewId="0">
      <pane xSplit="3" ySplit="4" topLeftCell="D9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4" width="11.5703125" customWidth="1"/>
    <col min="5" max="5" width="13.42578125" customWidth="1"/>
    <col min="6" max="6" width="10.42578125" customWidth="1"/>
    <col min="7" max="7" width="10.85546875" customWidth="1"/>
    <col min="8" max="8" width="22.42578125" customWidth="1"/>
    <col min="9" max="9" width="13.85546875" customWidth="1"/>
    <col min="10" max="10" width="6.28515625" customWidth="1"/>
    <col min="11" max="11" width="13.42578125" customWidth="1"/>
    <col min="12" max="12" width="6.42578125" customWidth="1"/>
    <col min="13" max="13" width="13.140625" customWidth="1"/>
    <col min="14" max="14" width="25.42578125" customWidth="1"/>
    <col min="15" max="15" width="1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487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2:16" ht="24.95" customHeight="1">
      <c r="B5" s="1169">
        <v>1</v>
      </c>
      <c r="C5" s="880" t="s">
        <v>226</v>
      </c>
      <c r="D5" s="1058" t="s">
        <v>763</v>
      </c>
      <c r="E5" s="1058">
        <v>47230</v>
      </c>
      <c r="F5" s="1172">
        <v>40500</v>
      </c>
      <c r="G5" s="1172">
        <v>40502</v>
      </c>
      <c r="H5" s="593" t="s">
        <v>797</v>
      </c>
      <c r="I5" s="594" t="s">
        <v>321</v>
      </c>
      <c r="J5" s="595">
        <v>2</v>
      </c>
      <c r="K5" s="593"/>
      <c r="L5" s="595"/>
      <c r="M5" s="880" t="s">
        <v>431</v>
      </c>
      <c r="N5" s="598" t="s">
        <v>592</v>
      </c>
      <c r="O5" s="597" t="s">
        <v>323</v>
      </c>
      <c r="P5" s="605">
        <v>2</v>
      </c>
    </row>
    <row r="6" spans="2:16" ht="24.95" customHeight="1">
      <c r="B6" s="1170"/>
      <c r="C6" s="881"/>
      <c r="D6" s="983"/>
      <c r="E6" s="983"/>
      <c r="F6" s="1173"/>
      <c r="G6" s="1173"/>
      <c r="H6" s="593" t="s">
        <v>797</v>
      </c>
      <c r="I6" s="594" t="s">
        <v>798</v>
      </c>
      <c r="J6" s="595">
        <v>2</v>
      </c>
      <c r="K6" s="593"/>
      <c r="L6" s="595"/>
      <c r="M6" s="881"/>
      <c r="N6" s="598" t="s">
        <v>800</v>
      </c>
      <c r="O6" s="597" t="s">
        <v>324</v>
      </c>
      <c r="P6" s="605">
        <v>2</v>
      </c>
    </row>
    <row r="7" spans="2:16" ht="24.95" customHeight="1">
      <c r="B7" s="1170"/>
      <c r="C7" s="881"/>
      <c r="D7" s="983"/>
      <c r="E7" s="983"/>
      <c r="F7" s="1173"/>
      <c r="G7" s="1173"/>
      <c r="H7" s="593" t="s">
        <v>797</v>
      </c>
      <c r="I7" s="594" t="s">
        <v>322</v>
      </c>
      <c r="J7" s="595">
        <v>4</v>
      </c>
      <c r="K7" s="593"/>
      <c r="L7" s="595"/>
      <c r="M7" s="881"/>
      <c r="N7" s="598" t="s">
        <v>801</v>
      </c>
      <c r="O7" s="597" t="s">
        <v>807</v>
      </c>
      <c r="P7" s="605">
        <v>2</v>
      </c>
    </row>
    <row r="8" spans="2:16" ht="24.95" customHeight="1">
      <c r="B8" s="1170"/>
      <c r="C8" s="881"/>
      <c r="D8" s="983"/>
      <c r="E8" s="983"/>
      <c r="F8" s="1173"/>
      <c r="G8" s="1173"/>
      <c r="H8" s="598"/>
      <c r="I8" s="594"/>
      <c r="J8" s="595"/>
      <c r="K8" s="593"/>
      <c r="L8" s="595"/>
      <c r="M8" s="881"/>
      <c r="N8" s="596" t="s">
        <v>802</v>
      </c>
      <c r="O8" s="597" t="s">
        <v>865</v>
      </c>
      <c r="P8" s="605">
        <v>2</v>
      </c>
    </row>
    <row r="9" spans="2:16" ht="24.95" customHeight="1">
      <c r="B9" s="1170"/>
      <c r="C9" s="881"/>
      <c r="D9" s="983"/>
      <c r="E9" s="983"/>
      <c r="F9" s="1173"/>
      <c r="G9" s="1173"/>
      <c r="H9" s="598"/>
      <c r="I9" s="594"/>
      <c r="J9" s="595"/>
      <c r="K9" s="593"/>
      <c r="L9" s="595"/>
      <c r="M9" s="881"/>
      <c r="N9" s="596" t="s">
        <v>803</v>
      </c>
      <c r="O9" s="597" t="s">
        <v>808</v>
      </c>
      <c r="P9" s="605">
        <v>4</v>
      </c>
    </row>
    <row r="10" spans="2:16" ht="24.95" customHeight="1">
      <c r="B10" s="1170"/>
      <c r="C10" s="881"/>
      <c r="D10" s="983"/>
      <c r="E10" s="983"/>
      <c r="F10" s="1173"/>
      <c r="G10" s="1173"/>
      <c r="H10" s="598"/>
      <c r="I10" s="594"/>
      <c r="J10" s="595"/>
      <c r="K10" s="593"/>
      <c r="L10" s="595"/>
      <c r="M10" s="881"/>
      <c r="N10" s="596" t="s">
        <v>805</v>
      </c>
      <c r="O10" s="597" t="s">
        <v>335</v>
      </c>
      <c r="P10" s="605">
        <v>1</v>
      </c>
    </row>
    <row r="11" spans="2:16" ht="24.95" customHeight="1">
      <c r="B11" s="1171"/>
      <c r="C11" s="1079"/>
      <c r="D11" s="1168"/>
      <c r="E11" s="1168"/>
      <c r="F11" s="1174"/>
      <c r="G11" s="1174"/>
      <c r="H11" s="598"/>
      <c r="I11" s="594"/>
      <c r="J11" s="595"/>
      <c r="K11" s="593"/>
      <c r="L11" s="595"/>
      <c r="M11" s="1079"/>
      <c r="N11" s="596" t="s">
        <v>804</v>
      </c>
      <c r="O11" s="608" t="s">
        <v>806</v>
      </c>
      <c r="P11" s="605">
        <v>1</v>
      </c>
    </row>
    <row r="12" spans="2:16" ht="24.95" hidden="1" customHeight="1">
      <c r="B12" s="600"/>
      <c r="C12" s="603"/>
      <c r="D12" s="603"/>
      <c r="E12" s="596"/>
      <c r="F12" s="604"/>
      <c r="G12" s="604"/>
      <c r="H12" s="593"/>
      <c r="I12" s="593"/>
      <c r="J12" s="595"/>
      <c r="K12" s="593"/>
      <c r="L12" s="593"/>
      <c r="M12" s="597"/>
      <c r="N12" s="596"/>
      <c r="O12" s="597"/>
      <c r="P12" s="605"/>
    </row>
    <row r="13" spans="2:16" ht="38.1" customHeight="1" thickBot="1">
      <c r="B13" s="1003" t="s">
        <v>48</v>
      </c>
      <c r="C13" s="1004"/>
      <c r="D13" s="1004"/>
      <c r="E13" s="1004"/>
      <c r="F13" s="1004"/>
      <c r="G13" s="1004"/>
      <c r="H13" s="1004"/>
      <c r="I13" s="1005">
        <f>2165.44+2636.68+2565.76</f>
        <v>7367.88</v>
      </c>
      <c r="J13" s="1005"/>
      <c r="K13" s="1005"/>
      <c r="L13" s="1005"/>
      <c r="M13" s="589"/>
      <c r="N13" s="590"/>
      <c r="O13" s="591"/>
      <c r="P13" s="592"/>
    </row>
    <row r="14" spans="2:16" ht="221.25" customHeight="1" thickTop="1">
      <c r="B14" s="936" t="s">
        <v>799</v>
      </c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  <c r="N14" s="937"/>
    </row>
    <row r="15" spans="2:16" ht="24.95" hidden="1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6" ht="20.100000000000001" customHeight="1">
      <c r="B16" s="213" t="s">
        <v>489</v>
      </c>
      <c r="C16" s="29"/>
      <c r="D16" s="29"/>
      <c r="E16" s="29"/>
      <c r="F16" s="29" t="s">
        <v>490</v>
      </c>
      <c r="G16" s="29"/>
      <c r="H16" s="29"/>
      <c r="I16" s="29"/>
      <c r="J16" s="29"/>
      <c r="K16" s="29"/>
      <c r="L16" s="29"/>
    </row>
    <row r="17" spans="2:13" ht="38.25" customHeight="1">
      <c r="B17" s="213" t="s">
        <v>467</v>
      </c>
      <c r="C17" s="29"/>
      <c r="D17" s="29"/>
      <c r="E17" s="29"/>
      <c r="F17" s="29" t="s">
        <v>491</v>
      </c>
      <c r="G17" s="29"/>
      <c r="H17" s="29"/>
      <c r="I17" s="29"/>
      <c r="J17" s="29"/>
      <c r="K17" s="29"/>
      <c r="L17" s="29"/>
    </row>
    <row r="21" spans="2:13">
      <c r="M21" t="s">
        <v>485</v>
      </c>
    </row>
  </sheetData>
  <mergeCells count="14">
    <mergeCell ref="B13:H13"/>
    <mergeCell ref="I13:L13"/>
    <mergeCell ref="B14:N14"/>
    <mergeCell ref="B15:N15"/>
    <mergeCell ref="B1:N1"/>
    <mergeCell ref="B2:N2"/>
    <mergeCell ref="B3:N3"/>
    <mergeCell ref="C5:C11"/>
    <mergeCell ref="D5:D11"/>
    <mergeCell ref="B5:B11"/>
    <mergeCell ref="E5:E11"/>
    <mergeCell ref="F5:F11"/>
    <mergeCell ref="G5:G11"/>
    <mergeCell ref="M5:M11"/>
  </mergeCells>
  <pageMargins left="0.19" right="0.15" top="0.21" bottom="0.28000000000000003" header="0.3" footer="0.3"/>
  <pageSetup scale="70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B1:O17"/>
  <sheetViews>
    <sheetView workbookViewId="0">
      <pane xSplit="3" ySplit="4" topLeftCell="D13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48.75" customHeight="1" thickTop="1">
      <c r="B4" s="71" t="s">
        <v>2</v>
      </c>
      <c r="C4" s="72" t="s">
        <v>3</v>
      </c>
      <c r="D4" s="73" t="s">
        <v>4</v>
      </c>
      <c r="E4" s="72" t="s">
        <v>199</v>
      </c>
      <c r="F4" s="72" t="s">
        <v>6</v>
      </c>
      <c r="G4" s="72" t="s">
        <v>7</v>
      </c>
      <c r="H4" s="73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4" t="s">
        <v>14</v>
      </c>
    </row>
    <row r="5" spans="2:15" ht="24.95" customHeight="1">
      <c r="B5" s="872">
        <v>1</v>
      </c>
      <c r="C5" s="900" t="s">
        <v>226</v>
      </c>
      <c r="D5" s="873" t="s">
        <v>404</v>
      </c>
      <c r="E5" s="873">
        <v>109840</v>
      </c>
      <c r="F5" s="874">
        <v>40165</v>
      </c>
      <c r="G5" s="874">
        <v>40165</v>
      </c>
      <c r="H5" s="17"/>
      <c r="I5" s="82"/>
      <c r="J5" s="16"/>
      <c r="K5" s="17" t="s">
        <v>32</v>
      </c>
      <c r="L5" s="16">
        <v>5</v>
      </c>
      <c r="M5" s="18" t="s">
        <v>376</v>
      </c>
      <c r="N5" s="80"/>
    </row>
    <row r="6" spans="2:15" ht="24.95" customHeight="1">
      <c r="B6" s="872"/>
      <c r="C6" s="900"/>
      <c r="D6" s="873"/>
      <c r="E6" s="873"/>
      <c r="F6" s="874"/>
      <c r="G6" s="874"/>
      <c r="H6" s="14"/>
      <c r="I6" s="15"/>
      <c r="J6" s="16"/>
      <c r="K6" s="17" t="s">
        <v>32</v>
      </c>
      <c r="L6" s="16">
        <v>7</v>
      </c>
      <c r="M6" s="18"/>
      <c r="N6" s="80"/>
    </row>
    <row r="7" spans="2:15" ht="24.95" hidden="1" customHeight="1">
      <c r="B7" s="872"/>
      <c r="C7" s="900"/>
      <c r="D7" s="873"/>
      <c r="E7" s="873"/>
      <c r="F7" s="874"/>
      <c r="G7" s="874"/>
      <c r="H7" s="14"/>
      <c r="I7" s="15"/>
      <c r="J7" s="16"/>
      <c r="K7" s="17"/>
      <c r="L7" s="16"/>
      <c r="M7" s="18"/>
      <c r="N7" s="80"/>
    </row>
    <row r="8" spans="2:15" ht="24.95" hidden="1" customHeight="1">
      <c r="B8" s="166"/>
      <c r="C8" s="167"/>
      <c r="D8" s="167"/>
      <c r="E8" s="167"/>
      <c r="F8" s="168"/>
      <c r="G8" s="168"/>
      <c r="H8" s="14"/>
      <c r="I8" s="15"/>
      <c r="J8" s="16"/>
      <c r="K8" s="17"/>
      <c r="L8" s="16"/>
      <c r="M8" s="18"/>
      <c r="N8" s="19"/>
    </row>
    <row r="9" spans="2:15" ht="24.95" hidden="1" customHeight="1">
      <c r="B9" s="166"/>
      <c r="C9" s="167"/>
      <c r="D9" s="167"/>
      <c r="E9" s="167"/>
      <c r="F9" s="168"/>
      <c r="G9" s="168"/>
      <c r="H9" s="14"/>
      <c r="I9" s="15"/>
      <c r="J9" s="16"/>
      <c r="K9" s="17"/>
      <c r="L9" s="16"/>
      <c r="M9" s="18"/>
      <c r="N9" s="19"/>
    </row>
    <row r="10" spans="2:15" ht="24.95" hidden="1" customHeight="1">
      <c r="B10" s="166"/>
      <c r="C10" s="167"/>
      <c r="D10" s="167"/>
      <c r="E10" s="167"/>
      <c r="F10" s="168"/>
      <c r="G10" s="168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166"/>
      <c r="C11" s="167"/>
      <c r="D11" s="167"/>
      <c r="E11" s="167"/>
      <c r="F11" s="168"/>
      <c r="G11" s="168"/>
      <c r="H11" s="14"/>
      <c r="I11" s="15"/>
      <c r="J11" s="16"/>
      <c r="K11" s="17"/>
      <c r="L11" s="16"/>
      <c r="M11" s="18"/>
      <c r="N11" s="19"/>
    </row>
    <row r="12" spans="2:15" ht="24.95" hidden="1" customHeight="1">
      <c r="B12" s="166"/>
      <c r="C12" s="12"/>
      <c r="D12" s="12"/>
      <c r="E12" s="18"/>
      <c r="F12" s="13"/>
      <c r="G12" s="13"/>
      <c r="H12" s="17"/>
      <c r="I12" s="17"/>
      <c r="J12" s="16"/>
      <c r="K12" s="17"/>
      <c r="L12" s="17"/>
      <c r="M12" s="20"/>
      <c r="N12" s="19"/>
    </row>
    <row r="13" spans="2:15" ht="38.1" customHeight="1" thickBot="1">
      <c r="B13" s="868" t="s">
        <v>48</v>
      </c>
      <c r="C13" s="869"/>
      <c r="D13" s="869"/>
      <c r="E13" s="869"/>
      <c r="F13" s="869"/>
      <c r="G13" s="869"/>
      <c r="H13" s="869"/>
      <c r="I13" s="870">
        <f>L5*84.01+L6*84.01+L7*77.98+L8*109.25</f>
        <v>1008.1200000000001</v>
      </c>
      <c r="J13" s="870"/>
      <c r="K13" s="870"/>
      <c r="L13" s="870"/>
      <c r="M13" s="89"/>
      <c r="N13" s="81"/>
      <c r="O13" s="90"/>
    </row>
    <row r="14" spans="2:15" ht="24.95" customHeight="1" thickTop="1">
      <c r="B14" s="889" t="s">
        <v>409</v>
      </c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</row>
    <row r="15" spans="2:15" ht="24.95" customHeight="1">
      <c r="B15" s="890" t="s">
        <v>16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15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3">
    <mergeCell ref="B13:H13"/>
    <mergeCell ref="I13:L13"/>
    <mergeCell ref="B14:N14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</mergeCells>
  <pageMargins left="0.19" right="0.15" top="0.21" bottom="0.28000000000000003" header="0.3" footer="0.3"/>
  <pageSetup scale="72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B1:P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1.7109375" customWidth="1"/>
    <col min="9" max="9" width="13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28.42578125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2:16" ht="24.95" customHeight="1">
      <c r="B5" s="965">
        <v>1</v>
      </c>
      <c r="C5" s="1135" t="s">
        <v>226</v>
      </c>
      <c r="D5" s="966" t="s">
        <v>416</v>
      </c>
      <c r="E5" s="966">
        <v>167674</v>
      </c>
      <c r="F5" s="968">
        <v>40516</v>
      </c>
      <c r="G5" s="968">
        <v>40516</v>
      </c>
      <c r="H5" s="703"/>
      <c r="I5" s="721"/>
      <c r="J5" s="705"/>
      <c r="K5" s="703"/>
      <c r="L5" s="705"/>
      <c r="M5" s="880" t="s">
        <v>925</v>
      </c>
      <c r="N5" s="708" t="s">
        <v>903</v>
      </c>
      <c r="O5" s="702"/>
      <c r="P5" s="717"/>
    </row>
    <row r="6" spans="2:16" ht="24.95" customHeight="1">
      <c r="B6" s="965"/>
      <c r="C6" s="1135"/>
      <c r="D6" s="966"/>
      <c r="E6" s="966"/>
      <c r="F6" s="968"/>
      <c r="G6" s="968"/>
      <c r="H6" s="708"/>
      <c r="I6" s="704"/>
      <c r="J6" s="705"/>
      <c r="K6" s="703"/>
      <c r="L6" s="705"/>
      <c r="M6" s="881"/>
      <c r="N6" s="708"/>
      <c r="O6" s="702"/>
      <c r="P6" s="717"/>
    </row>
    <row r="7" spans="2:16" ht="24.95" hidden="1" customHeight="1">
      <c r="B7" s="965"/>
      <c r="C7" s="1135"/>
      <c r="D7" s="966"/>
      <c r="E7" s="966"/>
      <c r="F7" s="968"/>
      <c r="G7" s="968"/>
      <c r="H7" s="708"/>
      <c r="I7" s="704"/>
      <c r="J7" s="705"/>
      <c r="K7" s="703"/>
      <c r="L7" s="705"/>
      <c r="M7" s="881"/>
      <c r="N7" s="708"/>
      <c r="O7" s="702"/>
      <c r="P7" s="717"/>
    </row>
    <row r="8" spans="2:16" ht="24.95" hidden="1" customHeight="1">
      <c r="B8" s="709"/>
      <c r="C8" s="710"/>
      <c r="D8" s="710"/>
      <c r="E8" s="710"/>
      <c r="F8" s="711"/>
      <c r="G8" s="711"/>
      <c r="H8" s="708"/>
      <c r="I8" s="704"/>
      <c r="J8" s="705"/>
      <c r="K8" s="703"/>
      <c r="L8" s="705"/>
      <c r="M8" s="881"/>
      <c r="N8" s="706"/>
      <c r="O8" s="702"/>
      <c r="P8" s="717"/>
    </row>
    <row r="9" spans="2:16" ht="24.95" hidden="1" customHeight="1">
      <c r="B9" s="709"/>
      <c r="C9" s="710"/>
      <c r="D9" s="710"/>
      <c r="E9" s="710"/>
      <c r="F9" s="711"/>
      <c r="G9" s="711"/>
      <c r="H9" s="708"/>
      <c r="I9" s="704"/>
      <c r="J9" s="705"/>
      <c r="K9" s="703"/>
      <c r="L9" s="705"/>
      <c r="M9" s="881"/>
      <c r="N9" s="706"/>
      <c r="O9" s="702"/>
      <c r="P9" s="717"/>
    </row>
    <row r="10" spans="2:16" ht="24.95" hidden="1" customHeight="1">
      <c r="B10" s="709"/>
      <c r="C10" s="710"/>
      <c r="D10" s="710"/>
      <c r="E10" s="710"/>
      <c r="F10" s="711"/>
      <c r="G10" s="711"/>
      <c r="H10" s="708"/>
      <c r="I10" s="704"/>
      <c r="J10" s="705"/>
      <c r="K10" s="703"/>
      <c r="L10" s="705"/>
      <c r="M10" s="881"/>
      <c r="N10" s="706"/>
      <c r="O10" s="702"/>
      <c r="P10" s="717"/>
    </row>
    <row r="11" spans="2:16" ht="24.95" hidden="1" customHeight="1">
      <c r="B11" s="709"/>
      <c r="C11" s="710"/>
      <c r="D11" s="710"/>
      <c r="E11" s="710"/>
      <c r="F11" s="711"/>
      <c r="G11" s="711"/>
      <c r="H11" s="708"/>
      <c r="I11" s="704"/>
      <c r="J11" s="705"/>
      <c r="K11" s="703"/>
      <c r="L11" s="705"/>
      <c r="M11" s="881"/>
      <c r="N11" s="706"/>
      <c r="O11" s="702"/>
      <c r="P11" s="717"/>
    </row>
    <row r="12" spans="2:16" ht="24.95" hidden="1" customHeight="1">
      <c r="B12" s="709"/>
      <c r="C12" s="713"/>
      <c r="D12" s="713"/>
      <c r="E12" s="706"/>
      <c r="F12" s="714"/>
      <c r="G12" s="714"/>
      <c r="H12" s="703"/>
      <c r="I12" s="703"/>
      <c r="J12" s="705"/>
      <c r="K12" s="703"/>
      <c r="L12" s="703"/>
      <c r="M12" s="881"/>
      <c r="N12" s="706"/>
      <c r="O12" s="702"/>
      <c r="P12" s="717"/>
    </row>
    <row r="13" spans="2:16" ht="38.1" customHeight="1" thickBot="1">
      <c r="B13" s="962" t="s">
        <v>48</v>
      </c>
      <c r="C13" s="963"/>
      <c r="D13" s="963"/>
      <c r="E13" s="963"/>
      <c r="F13" s="963"/>
      <c r="G13" s="963"/>
      <c r="H13" s="963"/>
      <c r="I13" s="964"/>
      <c r="J13" s="964"/>
      <c r="K13" s="964"/>
      <c r="L13" s="964"/>
      <c r="M13" s="1176"/>
      <c r="N13" s="718"/>
      <c r="O13" s="719"/>
      <c r="P13" s="720"/>
    </row>
    <row r="14" spans="2:16" ht="157.5" customHeight="1" thickTop="1">
      <c r="B14" s="936" t="s">
        <v>900</v>
      </c>
      <c r="C14" s="936"/>
      <c r="D14" s="936"/>
      <c r="E14" s="936"/>
      <c r="F14" s="936"/>
      <c r="G14" s="936"/>
      <c r="H14" s="936"/>
      <c r="I14" s="936"/>
      <c r="J14" s="936"/>
      <c r="K14" s="936"/>
      <c r="L14" s="936"/>
      <c r="M14" s="936"/>
      <c r="N14" s="936"/>
      <c r="O14" s="936"/>
      <c r="P14" s="1175"/>
    </row>
    <row r="15" spans="2:16" ht="24.95" hidden="1" customHeight="1">
      <c r="B15" s="890" t="s">
        <v>466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  <c r="O15" s="20"/>
      <c r="P15" s="20"/>
    </row>
    <row r="16" spans="2:16" ht="20.100000000000001" customHeight="1">
      <c r="B16" s="697" t="s">
        <v>902</v>
      </c>
      <c r="C16" s="248"/>
      <c r="D16" s="248"/>
      <c r="E16" s="248"/>
      <c r="F16" s="248" t="s">
        <v>901</v>
      </c>
      <c r="G16" s="248"/>
      <c r="H16" s="248"/>
      <c r="I16" s="248"/>
      <c r="J16" s="248"/>
      <c r="K16" s="248"/>
      <c r="L16" s="248"/>
      <c r="M16" s="249"/>
      <c r="N16" s="699"/>
      <c r="O16" s="699"/>
      <c r="P16" s="700"/>
    </row>
    <row r="17" spans="2:16" ht="38.25" customHeight="1">
      <c r="B17" s="697" t="s">
        <v>467</v>
      </c>
      <c r="C17" s="248"/>
      <c r="D17" s="248"/>
      <c r="E17" s="248"/>
      <c r="F17" s="248" t="s">
        <v>491</v>
      </c>
      <c r="G17" s="248"/>
      <c r="H17" s="248"/>
      <c r="I17" s="248"/>
      <c r="J17" s="248"/>
      <c r="K17" s="248"/>
      <c r="L17" s="248"/>
      <c r="M17" s="699"/>
      <c r="N17" s="699"/>
      <c r="O17" s="699"/>
      <c r="P17" s="700"/>
    </row>
  </sheetData>
  <mergeCells count="14">
    <mergeCell ref="B13:H13"/>
    <mergeCell ref="I13:L13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B14:P14"/>
    <mergeCell ref="M5:M13"/>
  </mergeCells>
  <pageMargins left="0.19" right="0.15" top="0.21" bottom="0.28000000000000003" header="0.3" footer="0.3"/>
  <pageSetup scale="72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B1:Z17"/>
  <sheetViews>
    <sheetView view="pageBreakPreview" zoomScale="6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2.7109375" customWidth="1"/>
    <col min="6" max="6" width="11.42578125" customWidth="1"/>
    <col min="7" max="7" width="12.28515625" customWidth="1"/>
    <col min="8" max="8" width="24.5703125" customWidth="1"/>
    <col min="9" max="9" width="19.140625" customWidth="1"/>
    <col min="10" max="10" width="6.28515625" customWidth="1"/>
    <col min="11" max="11" width="11.7109375" customWidth="1"/>
    <col min="12" max="12" width="6.42578125" customWidth="1"/>
    <col min="13" max="13" width="13.140625" customWidth="1"/>
    <col min="14" max="14" width="35.140625" customWidth="1"/>
    <col min="16" max="16" width="8.42578125" customWidth="1"/>
    <col min="25" max="25" width="16.28515625" customWidth="1"/>
    <col min="26" max="26" width="19.5703125" customWidth="1"/>
  </cols>
  <sheetData>
    <row r="1" spans="2:2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26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26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26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2:26" ht="24.95" customHeight="1">
      <c r="B5" s="872">
        <v>1</v>
      </c>
      <c r="C5" s="900" t="s">
        <v>417</v>
      </c>
      <c r="D5" s="900" t="s">
        <v>537</v>
      </c>
      <c r="E5" s="873"/>
      <c r="F5" s="874">
        <v>40477</v>
      </c>
      <c r="G5" s="874">
        <v>40484</v>
      </c>
      <c r="H5" s="17" t="s">
        <v>594</v>
      </c>
      <c r="I5" s="333" t="s">
        <v>600</v>
      </c>
      <c r="J5" s="328">
        <v>1</v>
      </c>
      <c r="K5" s="17"/>
      <c r="L5" s="328"/>
      <c r="M5" s="1156" t="s">
        <v>605</v>
      </c>
      <c r="N5" s="1178" t="s">
        <v>604</v>
      </c>
      <c r="O5" s="20"/>
      <c r="P5" s="55"/>
    </row>
    <row r="6" spans="2:26" ht="39.75" customHeight="1">
      <c r="B6" s="872"/>
      <c r="C6" s="900"/>
      <c r="D6" s="873"/>
      <c r="E6" s="873"/>
      <c r="F6" s="874"/>
      <c r="G6" s="874"/>
      <c r="H6" s="14" t="s">
        <v>603</v>
      </c>
      <c r="I6" s="333"/>
      <c r="J6" s="328">
        <v>2</v>
      </c>
      <c r="K6" s="17"/>
      <c r="L6" s="328"/>
      <c r="M6" s="1180"/>
      <c r="N6" s="1179"/>
      <c r="O6" s="20"/>
      <c r="P6" s="55"/>
    </row>
    <row r="7" spans="2:26" ht="24.95" customHeight="1">
      <c r="B7" s="872"/>
      <c r="C7" s="900"/>
      <c r="D7" s="873"/>
      <c r="E7" s="873"/>
      <c r="F7" s="874"/>
      <c r="G7" s="874"/>
      <c r="H7" s="14"/>
      <c r="I7" s="333"/>
      <c r="J7" s="328"/>
      <c r="K7" s="17"/>
      <c r="L7" s="328"/>
      <c r="M7" s="18"/>
      <c r="N7" s="14"/>
      <c r="O7" s="20"/>
      <c r="P7" s="55"/>
    </row>
    <row r="8" spans="2:26" ht="24.95" customHeight="1">
      <c r="B8" s="325"/>
      <c r="C8" s="326"/>
      <c r="D8" s="326"/>
      <c r="E8" s="326"/>
      <c r="F8" s="327"/>
      <c r="G8" s="327"/>
      <c r="H8" s="14"/>
      <c r="I8" s="15"/>
      <c r="J8" s="328"/>
      <c r="K8" s="17"/>
      <c r="L8" s="328"/>
      <c r="M8" s="18"/>
      <c r="N8" s="18"/>
      <c r="O8" s="20"/>
      <c r="P8" s="55"/>
      <c r="S8" s="329" t="s">
        <v>595</v>
      </c>
      <c r="T8" s="329" t="s">
        <v>596</v>
      </c>
      <c r="U8" s="329" t="s">
        <v>597</v>
      </c>
      <c r="V8" s="330" t="s">
        <v>598</v>
      </c>
      <c r="W8" s="329" t="s">
        <v>599</v>
      </c>
      <c r="X8" s="331">
        <v>2</v>
      </c>
      <c r="Y8" s="331">
        <v>8098.66015625</v>
      </c>
      <c r="Z8" s="331">
        <v>16197.3203125</v>
      </c>
    </row>
    <row r="9" spans="2:26" ht="24.95" customHeight="1">
      <c r="B9" s="325"/>
      <c r="C9" s="326"/>
      <c r="D9" s="326"/>
      <c r="E9" s="326"/>
      <c r="F9" s="327"/>
      <c r="G9" s="327"/>
      <c r="H9" s="14"/>
      <c r="I9" s="15"/>
      <c r="J9" s="328"/>
      <c r="K9" s="17"/>
      <c r="L9" s="328"/>
      <c r="M9" s="18"/>
      <c r="N9" s="18"/>
      <c r="O9" s="20"/>
      <c r="P9" s="55"/>
    </row>
    <row r="10" spans="2:26" ht="24.95" customHeight="1">
      <c r="B10" s="325"/>
      <c r="C10" s="326"/>
      <c r="D10" s="326"/>
      <c r="E10" s="326"/>
      <c r="F10" s="327"/>
      <c r="G10" s="327"/>
      <c r="H10" s="14"/>
      <c r="I10" s="15"/>
      <c r="J10" s="328"/>
      <c r="K10" s="17"/>
      <c r="L10" s="328"/>
      <c r="M10" s="18"/>
      <c r="N10" s="18"/>
      <c r="O10" s="20"/>
      <c r="P10" s="55"/>
    </row>
    <row r="11" spans="2:26" ht="24.95" customHeight="1">
      <c r="B11" s="325"/>
      <c r="C11" s="326"/>
      <c r="D11" s="326"/>
      <c r="E11" s="326"/>
      <c r="F11" s="327"/>
      <c r="G11" s="327"/>
      <c r="H11" s="14"/>
      <c r="I11" s="15"/>
      <c r="J11" s="328"/>
      <c r="K11" s="17"/>
      <c r="L11" s="328"/>
      <c r="M11" s="18"/>
      <c r="N11" s="18"/>
      <c r="O11" s="20"/>
      <c r="P11" s="55"/>
      <c r="S11" s="329" t="s">
        <v>600</v>
      </c>
      <c r="T11" s="329" t="s">
        <v>596</v>
      </c>
      <c r="U11" s="329" t="s">
        <v>597</v>
      </c>
      <c r="V11" s="329" t="s">
        <v>601</v>
      </c>
      <c r="W11" s="329" t="s">
        <v>602</v>
      </c>
      <c r="X11" s="331">
        <v>1</v>
      </c>
      <c r="Y11" s="331">
        <v>3500</v>
      </c>
      <c r="Z11" s="331">
        <v>3500</v>
      </c>
    </row>
    <row r="12" spans="2:26" ht="24.95" customHeight="1">
      <c r="B12" s="325"/>
      <c r="C12" s="12"/>
      <c r="D12" s="12"/>
      <c r="E12" s="18"/>
      <c r="F12" s="13"/>
      <c r="G12" s="13"/>
      <c r="H12" s="17"/>
      <c r="I12" s="17"/>
      <c r="J12" s="328"/>
      <c r="K12" s="17"/>
      <c r="L12" s="17"/>
      <c r="M12" s="20"/>
      <c r="N12" s="18"/>
      <c r="O12" s="20"/>
      <c r="P12" s="55"/>
    </row>
    <row r="13" spans="2:26" ht="38.1" customHeight="1" thickBot="1">
      <c r="B13" s="868" t="s">
        <v>48</v>
      </c>
      <c r="C13" s="869"/>
      <c r="D13" s="869"/>
      <c r="E13" s="869"/>
      <c r="F13" s="869"/>
      <c r="G13" s="869"/>
      <c r="H13" s="869"/>
      <c r="I13" s="1177">
        <f>Z8+Z11</f>
        <v>19697.3203125</v>
      </c>
      <c r="J13" s="870"/>
      <c r="K13" s="870"/>
      <c r="L13" s="870"/>
      <c r="M13" s="89"/>
      <c r="N13" s="56"/>
      <c r="O13" s="268"/>
      <c r="P13" s="59"/>
    </row>
    <row r="14" spans="2:26" ht="216.75" customHeight="1" thickTop="1">
      <c r="B14" s="905" t="s">
        <v>580</v>
      </c>
      <c r="C14" s="906"/>
      <c r="D14" s="906"/>
      <c r="E14" s="906"/>
      <c r="F14" s="906"/>
      <c r="G14" s="906"/>
      <c r="H14" s="906"/>
      <c r="I14" s="906"/>
      <c r="J14" s="906"/>
      <c r="K14" s="906"/>
      <c r="L14" s="906"/>
      <c r="M14" s="906"/>
      <c r="N14" s="906"/>
    </row>
    <row r="15" spans="2:26" ht="27.75" customHeight="1">
      <c r="B15" s="907" t="s">
        <v>477</v>
      </c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</row>
    <row r="16" spans="2:26" ht="20.100000000000001" customHeight="1">
      <c r="B16" s="29" t="s">
        <v>23</v>
      </c>
      <c r="C16" s="29"/>
      <c r="D16" s="29"/>
      <c r="E16" s="29"/>
      <c r="F16" s="29" t="s">
        <v>17</v>
      </c>
      <c r="G16" s="29"/>
      <c r="H16" s="29"/>
      <c r="I16" s="29"/>
      <c r="J16" s="29"/>
      <c r="K16" s="29"/>
      <c r="L16" s="29"/>
    </row>
    <row r="17" spans="2:12" ht="20.100000000000001" customHeight="1">
      <c r="B17" s="29" t="s">
        <v>18</v>
      </c>
      <c r="C17" s="29"/>
      <c r="D17" s="29"/>
      <c r="E17" s="29"/>
      <c r="F17" s="29" t="s">
        <v>18</v>
      </c>
      <c r="G17" s="29"/>
      <c r="H17" s="29"/>
      <c r="I17" s="29"/>
      <c r="J17" s="29"/>
      <c r="K17" s="29"/>
      <c r="L17" s="29"/>
    </row>
  </sheetData>
  <mergeCells count="15">
    <mergeCell ref="B13:H13"/>
    <mergeCell ref="I13:L13"/>
    <mergeCell ref="B14:N14"/>
    <mergeCell ref="B15:N15"/>
    <mergeCell ref="B1:N1"/>
    <mergeCell ref="B2:N2"/>
    <mergeCell ref="B5:B7"/>
    <mergeCell ref="C5:C7"/>
    <mergeCell ref="D5:D7"/>
    <mergeCell ref="E5:E7"/>
    <mergeCell ref="F5:F7"/>
    <mergeCell ref="G5:G7"/>
    <mergeCell ref="B3:N3"/>
    <mergeCell ref="N5:N6"/>
    <mergeCell ref="M5:M6"/>
  </mergeCells>
  <pageMargins left="0.19" right="0.15" top="0.21" bottom="0.28000000000000003" header="0.3" footer="0.3"/>
  <pageSetup scale="67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>
  <sheetPr>
    <tabColor rgb="FFFF0000"/>
  </sheetPr>
  <dimension ref="B1:P129"/>
  <sheetViews>
    <sheetView view="pageBreakPreview" zoomScale="60" zoomScaleNormal="11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28515625" style="207" customWidth="1"/>
    <col min="3" max="3" width="12.7109375" customWidth="1"/>
    <col min="4" max="4" width="12.42578125" customWidth="1"/>
    <col min="5" max="5" width="20.42578125" style="207" customWidth="1"/>
    <col min="6" max="6" width="12.7109375" hidden="1" customWidth="1"/>
    <col min="7" max="7" width="12.28515625" hidden="1" customWidth="1"/>
    <col min="8" max="8" width="25.42578125" hidden="1" customWidth="1"/>
    <col min="9" max="9" width="13.7109375" hidden="1" customWidth="1"/>
    <col min="10" max="10" width="6.28515625" hidden="1" customWidth="1"/>
    <col min="11" max="11" width="11.7109375" hidden="1" customWidth="1"/>
    <col min="12" max="12" width="6.42578125" hidden="1" customWidth="1"/>
    <col min="13" max="13" width="13.85546875" style="207" customWidth="1"/>
    <col min="14" max="14" width="33.42578125" customWidth="1"/>
    <col min="15" max="15" width="22.140625" style="207" customWidth="1"/>
  </cols>
  <sheetData>
    <row r="1" spans="2:16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6" ht="27" customHeight="1">
      <c r="B2" s="861" t="s">
        <v>14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6" ht="9" customHeight="1">
      <c r="B3" s="862"/>
      <c r="C3" s="862"/>
      <c r="D3" s="862"/>
      <c r="E3" s="862"/>
      <c r="F3" s="862"/>
      <c r="G3" s="862"/>
      <c r="H3" s="862"/>
      <c r="I3" s="862"/>
      <c r="J3" s="862"/>
      <c r="K3" s="862"/>
      <c r="L3" s="862"/>
    </row>
    <row r="4" spans="2:16" s="6" customFormat="1" ht="52.5" customHeight="1">
      <c r="B4" s="750" t="s">
        <v>2</v>
      </c>
      <c r="C4" s="761" t="s">
        <v>3</v>
      </c>
      <c r="D4" s="750" t="s">
        <v>4</v>
      </c>
      <c r="E4" s="761" t="s">
        <v>5</v>
      </c>
      <c r="F4" s="761" t="s">
        <v>6</v>
      </c>
      <c r="G4" s="761" t="s">
        <v>7</v>
      </c>
      <c r="H4" s="750" t="s">
        <v>8</v>
      </c>
      <c r="I4" s="761" t="s">
        <v>9</v>
      </c>
      <c r="J4" s="761" t="s">
        <v>10</v>
      </c>
      <c r="K4" s="761" t="s">
        <v>11</v>
      </c>
      <c r="L4" s="761" t="s">
        <v>12</v>
      </c>
      <c r="M4" s="761" t="s">
        <v>13</v>
      </c>
      <c r="N4" s="761" t="s">
        <v>14</v>
      </c>
      <c r="O4" s="761" t="s">
        <v>9</v>
      </c>
      <c r="P4" s="761" t="s">
        <v>10</v>
      </c>
    </row>
    <row r="5" spans="2:16" ht="45.75" customHeight="1">
      <c r="B5" s="1069">
        <v>1</v>
      </c>
      <c r="C5" s="1187" t="s">
        <v>712</v>
      </c>
      <c r="D5" s="1184" t="s">
        <v>81</v>
      </c>
      <c r="E5" s="1184" t="s">
        <v>434</v>
      </c>
      <c r="F5" s="1048">
        <v>40457</v>
      </c>
      <c r="G5" s="1185">
        <v>40458</v>
      </c>
      <c r="H5" s="340"/>
      <c r="I5" s="341"/>
      <c r="J5" s="759"/>
      <c r="K5" s="340" t="s">
        <v>713</v>
      </c>
      <c r="L5" s="759">
        <v>19</v>
      </c>
      <c r="M5" s="1182" t="s">
        <v>714</v>
      </c>
      <c r="N5" s="338" t="s">
        <v>474</v>
      </c>
      <c r="O5" s="488" t="s">
        <v>163</v>
      </c>
      <c r="P5" s="762" t="s">
        <v>496</v>
      </c>
    </row>
    <row r="6" spans="2:16" ht="31.5" customHeight="1">
      <c r="B6" s="1069"/>
      <c r="C6" s="1187"/>
      <c r="D6" s="1184"/>
      <c r="E6" s="1184"/>
      <c r="F6" s="1048"/>
      <c r="G6" s="1185"/>
      <c r="H6" s="337"/>
      <c r="I6" s="341"/>
      <c r="J6" s="759"/>
      <c r="K6" s="340" t="s">
        <v>38</v>
      </c>
      <c r="L6" s="759">
        <v>15</v>
      </c>
      <c r="M6" s="1182"/>
      <c r="N6" s="338" t="s">
        <v>473</v>
      </c>
      <c r="O6" s="488" t="s">
        <v>83</v>
      </c>
      <c r="P6" s="762" t="s">
        <v>496</v>
      </c>
    </row>
    <row r="7" spans="2:16" ht="24.95" customHeight="1">
      <c r="B7" s="1069">
        <v>2</v>
      </c>
      <c r="C7" s="1187"/>
      <c r="D7" s="1184" t="s">
        <v>93</v>
      </c>
      <c r="E7" s="1184" t="s">
        <v>423</v>
      </c>
      <c r="F7" s="1070">
        <v>40455</v>
      </c>
      <c r="G7" s="1070">
        <v>40456</v>
      </c>
      <c r="H7" s="347"/>
      <c r="I7" s="472"/>
      <c r="J7" s="754"/>
      <c r="K7" s="340"/>
      <c r="L7" s="759"/>
      <c r="M7" s="1182" t="s">
        <v>444</v>
      </c>
      <c r="N7" s="338" t="s">
        <v>474</v>
      </c>
      <c r="O7" s="488" t="s">
        <v>163</v>
      </c>
      <c r="P7" s="336" t="s">
        <v>496</v>
      </c>
    </row>
    <row r="8" spans="2:16" ht="24.95" customHeight="1">
      <c r="B8" s="1069"/>
      <c r="C8" s="1187"/>
      <c r="D8" s="1184"/>
      <c r="E8" s="1184"/>
      <c r="F8" s="1070"/>
      <c r="G8" s="1070"/>
      <c r="H8" s="340"/>
      <c r="I8" s="341"/>
      <c r="J8" s="759"/>
      <c r="K8" s="340"/>
      <c r="L8" s="759"/>
      <c r="M8" s="1182"/>
      <c r="N8" s="338" t="s">
        <v>473</v>
      </c>
      <c r="O8" s="487">
        <v>64205320</v>
      </c>
      <c r="P8" s="336" t="s">
        <v>498</v>
      </c>
    </row>
    <row r="9" spans="2:16" ht="55.5" customHeight="1">
      <c r="B9" s="754">
        <v>3</v>
      </c>
      <c r="C9" s="1187"/>
      <c r="D9" s="473" t="s">
        <v>170</v>
      </c>
      <c r="E9" s="757" t="s">
        <v>512</v>
      </c>
      <c r="F9" s="474">
        <v>40474</v>
      </c>
      <c r="G9" s="475">
        <v>40475</v>
      </c>
      <c r="H9" s="337"/>
      <c r="I9" s="341"/>
      <c r="J9" s="759"/>
      <c r="K9" s="751" t="s">
        <v>523</v>
      </c>
      <c r="L9" s="751">
        <v>5</v>
      </c>
      <c r="M9" s="756" t="s">
        <v>515</v>
      </c>
      <c r="N9" s="357" t="s">
        <v>522</v>
      </c>
      <c r="O9" s="476" t="s">
        <v>163</v>
      </c>
      <c r="P9" s="763" t="s">
        <v>496</v>
      </c>
    </row>
    <row r="10" spans="2:16" ht="32.25" customHeight="1">
      <c r="B10" s="1069">
        <v>4</v>
      </c>
      <c r="C10" s="1187"/>
      <c r="D10" s="1069" t="s">
        <v>138</v>
      </c>
      <c r="E10" s="1069" t="s">
        <v>480</v>
      </c>
      <c r="F10" s="1070">
        <v>40469</v>
      </c>
      <c r="G10" s="1070">
        <v>40469</v>
      </c>
      <c r="H10" s="337"/>
      <c r="I10" s="341"/>
      <c r="J10" s="759"/>
      <c r="K10" s="340"/>
      <c r="L10" s="759"/>
      <c r="M10" s="1182" t="s">
        <v>715</v>
      </c>
      <c r="N10" s="338" t="s">
        <v>474</v>
      </c>
      <c r="O10" s="487">
        <v>64205220</v>
      </c>
      <c r="P10" s="338" t="s">
        <v>496</v>
      </c>
    </row>
    <row r="11" spans="2:16" ht="35.25" customHeight="1">
      <c r="B11" s="1069"/>
      <c r="C11" s="1187"/>
      <c r="D11" s="1069"/>
      <c r="E11" s="1069"/>
      <c r="F11" s="1070"/>
      <c r="G11" s="1070"/>
      <c r="H11" s="337"/>
      <c r="I11" s="341"/>
      <c r="J11" s="759"/>
      <c r="K11" s="340"/>
      <c r="L11" s="759"/>
      <c r="M11" s="1182"/>
      <c r="N11" s="338" t="s">
        <v>473</v>
      </c>
      <c r="O11" s="487">
        <v>64205320</v>
      </c>
      <c r="P11" s="756" t="s">
        <v>497</v>
      </c>
    </row>
    <row r="12" spans="2:16" ht="49.5" customHeight="1">
      <c r="B12" s="754">
        <v>5</v>
      </c>
      <c r="C12" s="1187"/>
      <c r="D12" s="477" t="s">
        <v>91</v>
      </c>
      <c r="E12" s="751" t="s">
        <v>430</v>
      </c>
      <c r="F12" s="478">
        <v>40457</v>
      </c>
      <c r="G12" s="475">
        <v>40458</v>
      </c>
      <c r="H12" s="340"/>
      <c r="I12" s="341"/>
      <c r="J12" s="759"/>
      <c r="K12" s="340"/>
      <c r="L12" s="759"/>
      <c r="M12" s="756" t="s">
        <v>714</v>
      </c>
      <c r="N12" s="338" t="s">
        <v>473</v>
      </c>
      <c r="O12" s="758">
        <v>64205320</v>
      </c>
      <c r="P12" s="764" t="s">
        <v>498</v>
      </c>
    </row>
    <row r="13" spans="2:16" ht="33" customHeight="1">
      <c r="B13" s="754">
        <v>6</v>
      </c>
      <c r="C13" s="1187" t="s">
        <v>716</v>
      </c>
      <c r="D13" s="751" t="s">
        <v>167</v>
      </c>
      <c r="E13" s="757">
        <v>203455</v>
      </c>
      <c r="F13" s="752">
        <v>40491</v>
      </c>
      <c r="G13" s="752">
        <v>40494</v>
      </c>
      <c r="H13" s="340"/>
      <c r="I13" s="341"/>
      <c r="J13" s="759"/>
      <c r="K13" s="340"/>
      <c r="L13" s="759"/>
      <c r="M13" s="479" t="s">
        <v>718</v>
      </c>
      <c r="N13" s="373" t="s">
        <v>704</v>
      </c>
      <c r="O13" s="480"/>
      <c r="P13" s="377">
        <v>10</v>
      </c>
    </row>
    <row r="14" spans="2:16" ht="27" customHeight="1">
      <c r="B14" s="1069">
        <v>7</v>
      </c>
      <c r="C14" s="1187"/>
      <c r="D14" s="1047" t="s">
        <v>584</v>
      </c>
      <c r="E14" s="1047">
        <v>249773</v>
      </c>
      <c r="F14" s="1048">
        <v>40473</v>
      </c>
      <c r="G14" s="1048">
        <v>40476</v>
      </c>
      <c r="H14" s="337"/>
      <c r="I14" s="341"/>
      <c r="J14" s="759"/>
      <c r="K14" s="1188"/>
      <c r="L14" s="1188"/>
      <c r="M14" s="1182"/>
      <c r="N14" s="353" t="s">
        <v>546</v>
      </c>
      <c r="O14" s="480"/>
      <c r="P14" s="355">
        <v>4</v>
      </c>
    </row>
    <row r="15" spans="2:16" ht="24.95" customHeight="1">
      <c r="B15" s="1069"/>
      <c r="C15" s="1187"/>
      <c r="D15" s="1047"/>
      <c r="E15" s="1047"/>
      <c r="F15" s="1048"/>
      <c r="G15" s="1048"/>
      <c r="H15" s="340"/>
      <c r="I15" s="341"/>
      <c r="J15" s="759"/>
      <c r="K15" s="1188"/>
      <c r="L15" s="1188"/>
      <c r="M15" s="1182"/>
      <c r="N15" s="353" t="s">
        <v>547</v>
      </c>
      <c r="O15" s="480"/>
      <c r="P15" s="355">
        <v>4</v>
      </c>
    </row>
    <row r="16" spans="2:16" ht="24.95" customHeight="1">
      <c r="B16" s="1069">
        <v>8</v>
      </c>
      <c r="C16" s="1187"/>
      <c r="D16" s="1069" t="s">
        <v>309</v>
      </c>
      <c r="E16" s="1069">
        <v>223151</v>
      </c>
      <c r="F16" s="1070">
        <v>40484</v>
      </c>
      <c r="G16" s="1070">
        <v>40498</v>
      </c>
      <c r="H16" s="340"/>
      <c r="I16" s="341"/>
      <c r="J16" s="759"/>
      <c r="K16" s="1069" t="s">
        <v>38</v>
      </c>
      <c r="L16" s="1069">
        <v>50</v>
      </c>
      <c r="M16" s="1182" t="s">
        <v>515</v>
      </c>
      <c r="N16" s="337" t="s">
        <v>686</v>
      </c>
      <c r="O16" s="480"/>
      <c r="P16" s="355">
        <v>1</v>
      </c>
    </row>
    <row r="17" spans="2:16" ht="24.95" customHeight="1">
      <c r="B17" s="1069"/>
      <c r="C17" s="1187"/>
      <c r="D17" s="1069"/>
      <c r="E17" s="1069"/>
      <c r="F17" s="1070"/>
      <c r="G17" s="1070"/>
      <c r="H17" s="340"/>
      <c r="I17" s="341"/>
      <c r="J17" s="759"/>
      <c r="K17" s="1069"/>
      <c r="L17" s="1069"/>
      <c r="M17" s="1182"/>
      <c r="N17" s="337" t="s">
        <v>687</v>
      </c>
      <c r="O17" s="480"/>
      <c r="P17" s="355">
        <v>1</v>
      </c>
    </row>
    <row r="18" spans="2:16" ht="24.95" customHeight="1">
      <c r="B18" s="1069"/>
      <c r="C18" s="1187"/>
      <c r="D18" s="1069"/>
      <c r="E18" s="1069"/>
      <c r="F18" s="1070"/>
      <c r="G18" s="1070"/>
      <c r="H18" s="337"/>
      <c r="I18" s="341"/>
      <c r="J18" s="759"/>
      <c r="K18" s="1069"/>
      <c r="L18" s="1069"/>
      <c r="M18" s="1182"/>
      <c r="N18" s="337" t="s">
        <v>685</v>
      </c>
      <c r="O18" s="480"/>
      <c r="P18" s="759">
        <v>1</v>
      </c>
    </row>
    <row r="19" spans="2:16" ht="45" customHeight="1">
      <c r="B19" s="754">
        <v>9</v>
      </c>
      <c r="C19" s="481" t="s">
        <v>717</v>
      </c>
      <c r="D19" s="473" t="s">
        <v>240</v>
      </c>
      <c r="E19" s="757">
        <v>6586</v>
      </c>
      <c r="F19" s="478">
        <v>40466</v>
      </c>
      <c r="G19" s="475">
        <v>40470</v>
      </c>
      <c r="H19" s="337"/>
      <c r="I19" s="368"/>
      <c r="J19" s="759"/>
      <c r="K19" s="340"/>
      <c r="L19" s="759"/>
      <c r="M19" s="756" t="s">
        <v>444</v>
      </c>
      <c r="N19" s="373" t="s">
        <v>486</v>
      </c>
      <c r="O19" s="482" t="s">
        <v>492</v>
      </c>
      <c r="P19" s="482">
        <v>2</v>
      </c>
    </row>
    <row r="20" spans="2:16" ht="32.25" customHeight="1">
      <c r="B20" s="754">
        <v>10</v>
      </c>
      <c r="C20" s="1184" t="s">
        <v>648</v>
      </c>
      <c r="D20" s="473" t="s">
        <v>20</v>
      </c>
      <c r="E20" s="757">
        <v>150820</v>
      </c>
      <c r="F20" s="478">
        <v>40491</v>
      </c>
      <c r="G20" s="475">
        <v>40494</v>
      </c>
      <c r="H20" s="337"/>
      <c r="I20" s="368"/>
      <c r="J20" s="759"/>
      <c r="K20" s="355" t="s">
        <v>620</v>
      </c>
      <c r="L20" s="355">
        <v>3</v>
      </c>
      <c r="M20" s="756" t="s">
        <v>582</v>
      </c>
      <c r="N20" s="338" t="s">
        <v>719</v>
      </c>
      <c r="O20" s="482">
        <v>3454205200</v>
      </c>
      <c r="P20" s="482">
        <v>16</v>
      </c>
    </row>
    <row r="21" spans="2:16" ht="42.75" customHeight="1">
      <c r="B21" s="1069">
        <v>11</v>
      </c>
      <c r="C21" s="1184"/>
      <c r="D21" s="1189" t="s">
        <v>214</v>
      </c>
      <c r="E21" s="1047">
        <v>148137</v>
      </c>
      <c r="F21" s="1048">
        <v>40485</v>
      </c>
      <c r="G21" s="1048">
        <v>40490</v>
      </c>
      <c r="H21" s="337"/>
      <c r="I21" s="368"/>
      <c r="J21" s="759"/>
      <c r="K21" s="1188"/>
      <c r="L21" s="1188"/>
      <c r="M21" s="1182" t="s">
        <v>582</v>
      </c>
      <c r="N21" s="373" t="s">
        <v>638</v>
      </c>
      <c r="O21" s="372" t="s">
        <v>639</v>
      </c>
      <c r="P21" s="751">
        <v>8</v>
      </c>
    </row>
    <row r="22" spans="2:16" ht="32.25" customHeight="1">
      <c r="B22" s="1069"/>
      <c r="C22" s="1184"/>
      <c r="D22" s="1189"/>
      <c r="E22" s="1047"/>
      <c r="F22" s="1048"/>
      <c r="G22" s="1048"/>
      <c r="H22" s="337"/>
      <c r="I22" s="368"/>
      <c r="J22" s="759"/>
      <c r="K22" s="1188"/>
      <c r="L22" s="1188"/>
      <c r="M22" s="1182"/>
      <c r="N22" s="373" t="s">
        <v>640</v>
      </c>
      <c r="O22" s="377">
        <v>3454205200</v>
      </c>
      <c r="P22" s="751">
        <v>16</v>
      </c>
    </row>
    <row r="23" spans="2:16" ht="24.95" customHeight="1">
      <c r="B23" s="1069">
        <v>12</v>
      </c>
      <c r="C23" s="1184"/>
      <c r="D23" s="1189" t="s">
        <v>22</v>
      </c>
      <c r="E23" s="1189">
        <v>148927</v>
      </c>
      <c r="F23" s="1190">
        <v>40494</v>
      </c>
      <c r="G23" s="1190">
        <v>40496</v>
      </c>
      <c r="H23" s="340"/>
      <c r="I23" s="370"/>
      <c r="J23" s="759"/>
      <c r="K23" s="1069" t="s">
        <v>568</v>
      </c>
      <c r="L23" s="1069">
        <v>3</v>
      </c>
      <c r="M23" s="1182" t="s">
        <v>582</v>
      </c>
      <c r="N23" s="338" t="s">
        <v>708</v>
      </c>
      <c r="O23" s="480"/>
      <c r="P23" s="355">
        <v>1</v>
      </c>
    </row>
    <row r="24" spans="2:16" ht="24.95" customHeight="1">
      <c r="B24" s="1069"/>
      <c r="C24" s="1184"/>
      <c r="D24" s="1189"/>
      <c r="E24" s="1189"/>
      <c r="F24" s="1190"/>
      <c r="G24" s="1190"/>
      <c r="H24" s="340"/>
      <c r="I24" s="341"/>
      <c r="J24" s="759"/>
      <c r="K24" s="1069"/>
      <c r="L24" s="1069"/>
      <c r="M24" s="1182"/>
      <c r="N24" s="353" t="s">
        <v>670</v>
      </c>
      <c r="O24" s="759">
        <v>3454205200</v>
      </c>
      <c r="P24" s="355">
        <v>16</v>
      </c>
    </row>
    <row r="25" spans="2:16" ht="36" customHeight="1">
      <c r="B25" s="754">
        <v>13</v>
      </c>
      <c r="C25" s="1184"/>
      <c r="D25" s="483" t="s">
        <v>238</v>
      </c>
      <c r="E25" s="760">
        <v>171045</v>
      </c>
      <c r="F25" s="475">
        <v>40484</v>
      </c>
      <c r="G25" s="475">
        <v>40485</v>
      </c>
      <c r="H25" s="340"/>
      <c r="I25" s="341"/>
      <c r="J25" s="759"/>
      <c r="K25" s="759"/>
      <c r="L25" s="759"/>
      <c r="M25" s="756" t="s">
        <v>593</v>
      </c>
      <c r="N25" s="368" t="s">
        <v>587</v>
      </c>
      <c r="O25" s="480">
        <v>3454205200</v>
      </c>
      <c r="P25" s="480">
        <v>16</v>
      </c>
    </row>
    <row r="26" spans="2:16" ht="24.95" customHeight="1">
      <c r="B26" s="1069">
        <v>14</v>
      </c>
      <c r="C26" s="1184"/>
      <c r="D26" s="1189" t="s">
        <v>169</v>
      </c>
      <c r="E26" s="1189">
        <v>147995</v>
      </c>
      <c r="F26" s="1191">
        <v>40485</v>
      </c>
      <c r="G26" s="1191">
        <v>40496</v>
      </c>
      <c r="H26" s="340"/>
      <c r="I26" s="341"/>
      <c r="J26" s="759"/>
      <c r="K26" s="1047" t="s">
        <v>568</v>
      </c>
      <c r="L26" s="1047">
        <v>3</v>
      </c>
      <c r="M26" s="1182" t="s">
        <v>714</v>
      </c>
      <c r="N26" s="337" t="s">
        <v>693</v>
      </c>
      <c r="O26" s="480"/>
      <c r="P26" s="336"/>
    </row>
    <row r="27" spans="2:16" ht="24.95" customHeight="1">
      <c r="B27" s="1069"/>
      <c r="C27" s="1184"/>
      <c r="D27" s="1189"/>
      <c r="E27" s="1189"/>
      <c r="F27" s="1191"/>
      <c r="G27" s="1191"/>
      <c r="H27" s="337"/>
      <c r="I27" s="341"/>
      <c r="J27" s="759"/>
      <c r="K27" s="1047"/>
      <c r="L27" s="1047"/>
      <c r="M27" s="1182"/>
      <c r="N27" s="337" t="s">
        <v>694</v>
      </c>
      <c r="O27" s="484"/>
      <c r="P27" s="336"/>
    </row>
    <row r="28" spans="2:16" ht="36" customHeight="1">
      <c r="B28" s="1069"/>
      <c r="C28" s="1184"/>
      <c r="D28" s="1189"/>
      <c r="E28" s="1189"/>
      <c r="F28" s="1191"/>
      <c r="G28" s="1191"/>
      <c r="H28" s="337"/>
      <c r="I28" s="341"/>
      <c r="J28" s="759"/>
      <c r="K28" s="1047"/>
      <c r="L28" s="1047"/>
      <c r="M28" s="1182"/>
      <c r="N28" s="1192" t="s">
        <v>638</v>
      </c>
      <c r="O28" s="1182" t="s">
        <v>695</v>
      </c>
      <c r="P28" s="1193">
        <v>8</v>
      </c>
    </row>
    <row r="29" spans="2:16" ht="24.95" customHeight="1">
      <c r="B29" s="1069"/>
      <c r="C29" s="1184"/>
      <c r="D29" s="1189"/>
      <c r="E29" s="1189"/>
      <c r="F29" s="1191"/>
      <c r="G29" s="1191"/>
      <c r="H29" s="337"/>
      <c r="I29" s="341"/>
      <c r="J29" s="759"/>
      <c r="K29" s="1047"/>
      <c r="L29" s="1047"/>
      <c r="M29" s="1182"/>
      <c r="N29" s="1192"/>
      <c r="O29" s="1182"/>
      <c r="P29" s="1193"/>
    </row>
    <row r="30" spans="2:16" ht="31.5" customHeight="1">
      <c r="B30" s="1069"/>
      <c r="C30" s="1184"/>
      <c r="D30" s="1189"/>
      <c r="E30" s="1189"/>
      <c r="F30" s="1191"/>
      <c r="G30" s="1191"/>
      <c r="H30" s="337"/>
      <c r="I30" s="341"/>
      <c r="J30" s="759"/>
      <c r="K30" s="1047"/>
      <c r="L30" s="1047"/>
      <c r="M30" s="1182"/>
      <c r="N30" s="471" t="s">
        <v>710</v>
      </c>
      <c r="O30" s="484" t="s">
        <v>696</v>
      </c>
      <c r="P30" s="336"/>
    </row>
    <row r="31" spans="2:16" ht="37.5" customHeight="1">
      <c r="B31" s="1069">
        <v>15</v>
      </c>
      <c r="C31" s="1184"/>
      <c r="D31" s="1047" t="s">
        <v>54</v>
      </c>
      <c r="E31" s="1047">
        <v>157059</v>
      </c>
      <c r="F31" s="1048">
        <v>40484</v>
      </c>
      <c r="G31" s="1048">
        <v>40488</v>
      </c>
      <c r="H31" s="340"/>
      <c r="I31" s="341"/>
      <c r="J31" s="759"/>
      <c r="K31" s="759" t="s">
        <v>452</v>
      </c>
      <c r="L31" s="759">
        <v>20</v>
      </c>
      <c r="M31" s="1182" t="s">
        <v>582</v>
      </c>
      <c r="N31" s="356" t="s">
        <v>130</v>
      </c>
      <c r="O31" s="485" t="s">
        <v>211</v>
      </c>
      <c r="P31" s="480">
        <v>8</v>
      </c>
    </row>
    <row r="32" spans="2:16" ht="33.75" customHeight="1">
      <c r="B32" s="1069"/>
      <c r="C32" s="1184"/>
      <c r="D32" s="1047"/>
      <c r="E32" s="1047"/>
      <c r="F32" s="1048"/>
      <c r="G32" s="1048"/>
      <c r="H32" s="340"/>
      <c r="I32" s="341"/>
      <c r="J32" s="759"/>
      <c r="K32" s="759" t="s">
        <v>568</v>
      </c>
      <c r="L32" s="759">
        <v>3</v>
      </c>
      <c r="M32" s="1182"/>
      <c r="N32" s="356" t="s">
        <v>129</v>
      </c>
      <c r="O32" s="486">
        <v>3454205200</v>
      </c>
      <c r="P32" s="480">
        <v>16</v>
      </c>
    </row>
    <row r="33" spans="2:16" ht="33.75" customHeight="1">
      <c r="B33" s="1069">
        <v>16</v>
      </c>
      <c r="C33" s="1184"/>
      <c r="D33" s="1189" t="s">
        <v>22</v>
      </c>
      <c r="E33" s="1189">
        <v>148927</v>
      </c>
      <c r="F33" s="752"/>
      <c r="G33" s="752"/>
      <c r="H33" s="340"/>
      <c r="I33" s="341"/>
      <c r="J33" s="759"/>
      <c r="K33" s="759"/>
      <c r="L33" s="759"/>
      <c r="M33" s="1182" t="s">
        <v>582</v>
      </c>
      <c r="N33" s="338" t="s">
        <v>708</v>
      </c>
      <c r="O33" s="336"/>
      <c r="P33" s="355">
        <v>1</v>
      </c>
    </row>
    <row r="34" spans="2:16" ht="33.75" customHeight="1">
      <c r="B34" s="1069"/>
      <c r="C34" s="1184"/>
      <c r="D34" s="1189"/>
      <c r="E34" s="1189"/>
      <c r="F34" s="752"/>
      <c r="G34" s="752"/>
      <c r="H34" s="340"/>
      <c r="I34" s="341"/>
      <c r="J34" s="759"/>
      <c r="K34" s="759"/>
      <c r="L34" s="759"/>
      <c r="M34" s="1182"/>
      <c r="N34" s="353" t="s">
        <v>670</v>
      </c>
      <c r="O34" s="341">
        <v>3454205200</v>
      </c>
      <c r="P34" s="355">
        <v>16</v>
      </c>
    </row>
    <row r="35" spans="2:16" ht="33.75" customHeight="1">
      <c r="B35" s="754">
        <v>17</v>
      </c>
      <c r="C35" s="1184"/>
      <c r="D35" s="483" t="s">
        <v>24</v>
      </c>
      <c r="E35" s="751">
        <v>149590</v>
      </c>
      <c r="F35" s="752"/>
      <c r="G35" s="752"/>
      <c r="H35" s="340"/>
      <c r="I35" s="341"/>
      <c r="J35" s="759"/>
      <c r="K35" s="759"/>
      <c r="L35" s="759"/>
      <c r="M35" s="756" t="s">
        <v>722</v>
      </c>
      <c r="N35" s="353" t="s">
        <v>670</v>
      </c>
      <c r="O35" s="341">
        <v>3454205200</v>
      </c>
      <c r="P35" s="355">
        <v>16</v>
      </c>
    </row>
    <row r="36" spans="2:16" ht="33.75" customHeight="1">
      <c r="B36" s="1069">
        <v>18</v>
      </c>
      <c r="C36" s="1184"/>
      <c r="D36" s="1189" t="s">
        <v>53</v>
      </c>
      <c r="E36" s="1047">
        <v>148912</v>
      </c>
      <c r="F36" s="752"/>
      <c r="G36" s="752"/>
      <c r="H36" s="340"/>
      <c r="I36" s="341"/>
      <c r="J36" s="759"/>
      <c r="K36" s="759"/>
      <c r="L36" s="759"/>
      <c r="M36" s="1182" t="s">
        <v>582</v>
      </c>
      <c r="N36" s="338" t="s">
        <v>733</v>
      </c>
      <c r="O36" s="336"/>
      <c r="P36" s="756">
        <v>1</v>
      </c>
    </row>
    <row r="37" spans="2:16" ht="33.75" customHeight="1">
      <c r="B37" s="1069"/>
      <c r="C37" s="1184"/>
      <c r="D37" s="1189"/>
      <c r="E37" s="1047"/>
      <c r="F37" s="752"/>
      <c r="G37" s="752"/>
      <c r="H37" s="340"/>
      <c r="I37" s="341"/>
      <c r="J37" s="759"/>
      <c r="K37" s="759"/>
      <c r="L37" s="759"/>
      <c r="M37" s="1182"/>
      <c r="N37" s="338" t="s">
        <v>734</v>
      </c>
      <c r="O37" s="336"/>
      <c r="P37" s="756">
        <v>2</v>
      </c>
    </row>
    <row r="38" spans="2:16" ht="33.75" customHeight="1">
      <c r="B38" s="1069"/>
      <c r="C38" s="1184"/>
      <c r="D38" s="1189"/>
      <c r="E38" s="1047"/>
      <c r="F38" s="752"/>
      <c r="G38" s="752"/>
      <c r="H38" s="340"/>
      <c r="I38" s="341"/>
      <c r="J38" s="759"/>
      <c r="K38" s="759"/>
      <c r="L38" s="759"/>
      <c r="M38" s="1182"/>
      <c r="N38" s="338" t="s">
        <v>737</v>
      </c>
      <c r="O38" s="336"/>
      <c r="P38" s="756">
        <v>1</v>
      </c>
    </row>
    <row r="39" spans="2:16" ht="33.75" customHeight="1">
      <c r="B39" s="1069"/>
      <c r="C39" s="1184"/>
      <c r="D39" s="1189"/>
      <c r="E39" s="1047"/>
      <c r="F39" s="752"/>
      <c r="G39" s="752"/>
      <c r="H39" s="340"/>
      <c r="I39" s="341"/>
      <c r="J39" s="759"/>
      <c r="K39" s="759"/>
      <c r="L39" s="759"/>
      <c r="M39" s="1182"/>
      <c r="N39" s="338" t="s">
        <v>736</v>
      </c>
      <c r="O39" s="338" t="s">
        <v>735</v>
      </c>
      <c r="P39" s="756">
        <v>2</v>
      </c>
    </row>
    <row r="40" spans="2:16" ht="24.75" customHeight="1">
      <c r="B40" s="1069">
        <v>19</v>
      </c>
      <c r="C40" s="1184"/>
      <c r="D40" s="1189" t="s">
        <v>127</v>
      </c>
      <c r="E40" s="1047">
        <v>161365</v>
      </c>
      <c r="F40" s="752"/>
      <c r="G40" s="752"/>
      <c r="H40" s="340"/>
      <c r="I40" s="341"/>
      <c r="J40" s="759"/>
      <c r="K40" s="759"/>
      <c r="L40" s="759"/>
      <c r="M40" s="1182" t="s">
        <v>582</v>
      </c>
      <c r="N40" s="353" t="s">
        <v>670</v>
      </c>
      <c r="O40" s="341">
        <v>3454205200</v>
      </c>
      <c r="P40" s="759">
        <v>16</v>
      </c>
    </row>
    <row r="41" spans="2:16" ht="33.75" customHeight="1">
      <c r="B41" s="1069"/>
      <c r="C41" s="1184"/>
      <c r="D41" s="1189"/>
      <c r="E41" s="1047"/>
      <c r="F41" s="752"/>
      <c r="G41" s="752"/>
      <c r="H41" s="340"/>
      <c r="I41" s="341"/>
      <c r="J41" s="759"/>
      <c r="K41" s="759"/>
      <c r="L41" s="759"/>
      <c r="M41" s="1182"/>
      <c r="N41" s="338" t="s">
        <v>638</v>
      </c>
      <c r="O41" s="338" t="s">
        <v>695</v>
      </c>
      <c r="P41" s="754">
        <v>8</v>
      </c>
    </row>
    <row r="42" spans="2:16" ht="33.75" customHeight="1">
      <c r="B42" s="1069"/>
      <c r="C42" s="1184"/>
      <c r="D42" s="1189"/>
      <c r="E42" s="1047"/>
      <c r="F42" s="752"/>
      <c r="G42" s="752"/>
      <c r="H42" s="340"/>
      <c r="I42" s="341"/>
      <c r="J42" s="759"/>
      <c r="K42" s="759"/>
      <c r="L42" s="759"/>
      <c r="M42" s="1182"/>
      <c r="N42" s="353" t="s">
        <v>736</v>
      </c>
      <c r="O42" s="341" t="s">
        <v>735</v>
      </c>
      <c r="P42" s="480">
        <v>1</v>
      </c>
    </row>
    <row r="43" spans="2:16" ht="33.75" customHeight="1">
      <c r="B43" s="1069">
        <v>20</v>
      </c>
      <c r="C43" s="1184"/>
      <c r="D43" s="1189" t="s">
        <v>97</v>
      </c>
      <c r="E43" s="1046">
        <v>159743</v>
      </c>
      <c r="F43" s="752"/>
      <c r="G43" s="752"/>
      <c r="H43" s="340"/>
      <c r="I43" s="341"/>
      <c r="J43" s="759"/>
      <c r="K43" s="759"/>
      <c r="L43" s="759"/>
      <c r="M43" s="1194" t="s">
        <v>811</v>
      </c>
      <c r="N43" s="338" t="s">
        <v>788</v>
      </c>
      <c r="O43" s="336"/>
      <c r="P43" s="480">
        <v>4</v>
      </c>
    </row>
    <row r="44" spans="2:16" ht="33.75" customHeight="1">
      <c r="B44" s="1069"/>
      <c r="C44" s="1184"/>
      <c r="D44" s="1189"/>
      <c r="E44" s="1046"/>
      <c r="F44" s="752"/>
      <c r="G44" s="752"/>
      <c r="H44" s="340"/>
      <c r="I44" s="341"/>
      <c r="J44" s="759"/>
      <c r="K44" s="759"/>
      <c r="L44" s="759"/>
      <c r="M44" s="1194"/>
      <c r="N44" s="338" t="s">
        <v>791</v>
      </c>
      <c r="O44" s="336"/>
      <c r="P44" s="480">
        <v>1</v>
      </c>
    </row>
    <row r="45" spans="2:16" ht="33.75" customHeight="1">
      <c r="B45" s="1069"/>
      <c r="C45" s="1184"/>
      <c r="D45" s="1189"/>
      <c r="E45" s="1046"/>
      <c r="F45" s="752"/>
      <c r="G45" s="752"/>
      <c r="H45" s="340"/>
      <c r="I45" s="341"/>
      <c r="J45" s="759"/>
      <c r="K45" s="759"/>
      <c r="L45" s="759"/>
      <c r="M45" s="1194"/>
      <c r="N45" s="338" t="s">
        <v>792</v>
      </c>
      <c r="O45" s="336"/>
      <c r="P45" s="756">
        <v>3</v>
      </c>
    </row>
    <row r="46" spans="2:16" ht="33.75" customHeight="1">
      <c r="B46" s="1069"/>
      <c r="C46" s="1184"/>
      <c r="D46" s="1189"/>
      <c r="E46" s="1046"/>
      <c r="F46" s="752"/>
      <c r="G46" s="752"/>
      <c r="H46" s="340"/>
      <c r="I46" s="341"/>
      <c r="J46" s="759"/>
      <c r="K46" s="759"/>
      <c r="L46" s="759"/>
      <c r="M46" s="1194"/>
      <c r="N46" s="338" t="s">
        <v>789</v>
      </c>
      <c r="O46" s="336"/>
      <c r="P46" s="756">
        <v>1</v>
      </c>
    </row>
    <row r="47" spans="2:16" ht="33.75" customHeight="1">
      <c r="B47" s="1069"/>
      <c r="C47" s="1184"/>
      <c r="D47" s="1189"/>
      <c r="E47" s="1046"/>
      <c r="F47" s="752"/>
      <c r="G47" s="752"/>
      <c r="H47" s="340"/>
      <c r="I47" s="341"/>
      <c r="J47" s="759"/>
      <c r="K47" s="759"/>
      <c r="L47" s="759"/>
      <c r="M47" s="1194"/>
      <c r="N47" s="338" t="s">
        <v>790</v>
      </c>
      <c r="O47" s="336"/>
      <c r="P47" s="756">
        <v>2</v>
      </c>
    </row>
    <row r="48" spans="2:16" ht="47.25" customHeight="1">
      <c r="B48" s="754">
        <v>21</v>
      </c>
      <c r="C48" s="1184"/>
      <c r="D48" s="750" t="s">
        <v>767</v>
      </c>
      <c r="E48" s="751">
        <v>192878</v>
      </c>
      <c r="F48" s="752"/>
      <c r="G48" s="752"/>
      <c r="H48" s="340"/>
      <c r="I48" s="341"/>
      <c r="J48" s="759"/>
      <c r="K48" s="759"/>
      <c r="L48" s="759"/>
      <c r="M48" s="756" t="s">
        <v>722</v>
      </c>
      <c r="N48" s="477" t="s">
        <v>776</v>
      </c>
      <c r="O48" s="751" t="s">
        <v>775</v>
      </c>
      <c r="P48" s="480">
        <v>1</v>
      </c>
    </row>
    <row r="49" spans="2:16" ht="48.75" customHeight="1">
      <c r="B49" s="754">
        <v>22</v>
      </c>
      <c r="C49" s="757"/>
      <c r="D49" s="750" t="s">
        <v>24</v>
      </c>
      <c r="E49" s="751">
        <v>149590</v>
      </c>
      <c r="F49" s="752"/>
      <c r="G49" s="752"/>
      <c r="H49" s="340"/>
      <c r="I49" s="341"/>
      <c r="J49" s="759"/>
      <c r="K49" s="759"/>
      <c r="L49" s="759"/>
      <c r="M49" s="756" t="s">
        <v>722</v>
      </c>
      <c r="N49" s="353" t="s">
        <v>670</v>
      </c>
      <c r="O49" s="759">
        <v>3454205200</v>
      </c>
      <c r="P49" s="355">
        <v>16</v>
      </c>
    </row>
    <row r="50" spans="2:16" ht="33.75" hidden="1" customHeight="1">
      <c r="B50" s="754"/>
      <c r="C50" s="757"/>
      <c r="D50" s="751"/>
      <c r="E50" s="765"/>
      <c r="F50" s="752"/>
      <c r="G50" s="752"/>
      <c r="H50" s="340"/>
      <c r="I50" s="341"/>
      <c r="J50" s="759"/>
      <c r="K50" s="759"/>
      <c r="L50" s="759"/>
      <c r="M50" s="756"/>
      <c r="N50" s="353"/>
      <c r="O50" s="341"/>
      <c r="P50" s="480"/>
    </row>
    <row r="51" spans="2:16" ht="33.75" hidden="1" customHeight="1">
      <c r="B51" s="754"/>
      <c r="C51" s="757"/>
      <c r="D51" s="751"/>
      <c r="E51" s="765"/>
      <c r="F51" s="752"/>
      <c r="G51" s="752"/>
      <c r="H51" s="340"/>
      <c r="I51" s="341"/>
      <c r="J51" s="759"/>
      <c r="K51" s="759"/>
      <c r="L51" s="759"/>
      <c r="M51" s="756"/>
      <c r="N51" s="353"/>
      <c r="O51" s="341"/>
      <c r="P51" s="480"/>
    </row>
    <row r="52" spans="2:16" ht="33.75" hidden="1" customHeight="1">
      <c r="B52" s="754"/>
      <c r="C52" s="757"/>
      <c r="D52" s="751"/>
      <c r="E52" s="751"/>
      <c r="F52" s="752"/>
      <c r="G52" s="752"/>
      <c r="H52" s="340"/>
      <c r="I52" s="341"/>
      <c r="J52" s="759"/>
      <c r="K52" s="759"/>
      <c r="L52" s="759"/>
      <c r="M52" s="756"/>
      <c r="N52" s="353"/>
      <c r="O52" s="341"/>
      <c r="P52" s="480"/>
    </row>
    <row r="53" spans="2:16" ht="33.75" hidden="1" customHeight="1">
      <c r="B53" s="754"/>
      <c r="C53" s="757"/>
      <c r="D53" s="751"/>
      <c r="E53" s="751"/>
      <c r="F53" s="752"/>
      <c r="G53" s="752"/>
      <c r="H53" s="340"/>
      <c r="I53" s="341"/>
      <c r="J53" s="759"/>
      <c r="K53" s="759"/>
      <c r="L53" s="759"/>
      <c r="M53" s="756"/>
      <c r="N53" s="353"/>
      <c r="O53" s="341"/>
      <c r="P53" s="480"/>
    </row>
    <row r="54" spans="2:16" ht="33.75" hidden="1" customHeight="1">
      <c r="B54" s="754"/>
      <c r="C54" s="757"/>
      <c r="D54" s="751"/>
      <c r="E54" s="751"/>
      <c r="F54" s="752"/>
      <c r="G54" s="752"/>
      <c r="H54" s="340"/>
      <c r="I54" s="341"/>
      <c r="J54" s="759"/>
      <c r="K54" s="759"/>
      <c r="L54" s="759"/>
      <c r="M54" s="756"/>
      <c r="N54" s="353"/>
      <c r="O54" s="341"/>
      <c r="P54" s="480"/>
    </row>
    <row r="55" spans="2:16" ht="33.75" hidden="1" customHeight="1">
      <c r="B55" s="754"/>
      <c r="C55" s="757"/>
      <c r="D55" s="751"/>
      <c r="E55" s="751"/>
      <c r="F55" s="752"/>
      <c r="G55" s="752"/>
      <c r="H55" s="340"/>
      <c r="I55" s="341"/>
      <c r="J55" s="759"/>
      <c r="K55" s="759"/>
      <c r="L55" s="759"/>
      <c r="M55" s="756"/>
      <c r="N55" s="353"/>
      <c r="O55" s="341"/>
      <c r="P55" s="480"/>
    </row>
    <row r="56" spans="2:16" ht="33.75" hidden="1" customHeight="1">
      <c r="B56" s="754"/>
      <c r="C56" s="757"/>
      <c r="D56" s="751"/>
      <c r="E56" s="751"/>
      <c r="F56" s="752"/>
      <c r="G56" s="752"/>
      <c r="H56" s="340"/>
      <c r="I56" s="341"/>
      <c r="J56" s="759"/>
      <c r="K56" s="759"/>
      <c r="L56" s="759"/>
      <c r="M56" s="756"/>
      <c r="N56" s="353"/>
      <c r="O56" s="341"/>
      <c r="P56" s="480"/>
    </row>
    <row r="57" spans="2:16" ht="33.75" hidden="1" customHeight="1">
      <c r="B57" s="754"/>
      <c r="C57" s="757"/>
      <c r="D57" s="751"/>
      <c r="E57" s="751"/>
      <c r="F57" s="752"/>
      <c r="G57" s="752"/>
      <c r="H57" s="340"/>
      <c r="I57" s="341"/>
      <c r="J57" s="759"/>
      <c r="K57" s="759"/>
      <c r="L57" s="759"/>
      <c r="M57" s="756"/>
      <c r="N57" s="353"/>
      <c r="O57" s="341"/>
      <c r="P57" s="480"/>
    </row>
    <row r="58" spans="2:16" ht="33.75" hidden="1" customHeight="1">
      <c r="B58" s="754"/>
      <c r="C58" s="757"/>
      <c r="D58" s="751"/>
      <c r="E58" s="751"/>
      <c r="F58" s="752"/>
      <c r="G58" s="752"/>
      <c r="H58" s="340"/>
      <c r="I58" s="341"/>
      <c r="J58" s="759"/>
      <c r="K58" s="759"/>
      <c r="L58" s="759"/>
      <c r="M58" s="756"/>
      <c r="N58" s="353"/>
      <c r="O58" s="341"/>
      <c r="P58" s="480"/>
    </row>
    <row r="59" spans="2:16" ht="33.75" hidden="1" customHeight="1">
      <c r="B59" s="754"/>
      <c r="C59" s="757"/>
      <c r="D59" s="751"/>
      <c r="E59" s="751"/>
      <c r="F59" s="752"/>
      <c r="G59" s="752"/>
      <c r="H59" s="340"/>
      <c r="I59" s="341"/>
      <c r="J59" s="759"/>
      <c r="K59" s="759"/>
      <c r="L59" s="759"/>
      <c r="M59" s="756"/>
      <c r="N59" s="353"/>
      <c r="O59" s="341"/>
      <c r="P59" s="480"/>
    </row>
    <row r="60" spans="2:16" ht="33.75" hidden="1" customHeight="1">
      <c r="B60" s="754"/>
      <c r="C60" s="757"/>
      <c r="D60" s="751"/>
      <c r="E60" s="751"/>
      <c r="F60" s="752"/>
      <c r="G60" s="752"/>
      <c r="H60" s="340"/>
      <c r="I60" s="341"/>
      <c r="J60" s="759"/>
      <c r="K60" s="759"/>
      <c r="L60" s="759"/>
      <c r="M60" s="756"/>
      <c r="N60" s="353"/>
      <c r="O60" s="341"/>
      <c r="P60" s="480"/>
    </row>
    <row r="61" spans="2:16" ht="33.75" hidden="1" customHeight="1">
      <c r="B61" s="754"/>
      <c r="C61" s="757"/>
      <c r="D61" s="751"/>
      <c r="E61" s="751"/>
      <c r="F61" s="752"/>
      <c r="G61" s="752"/>
      <c r="H61" s="340"/>
      <c r="I61" s="341"/>
      <c r="J61" s="759"/>
      <c r="K61" s="759"/>
      <c r="L61" s="759"/>
      <c r="M61" s="756"/>
      <c r="N61" s="353"/>
      <c r="O61" s="341"/>
      <c r="P61" s="480"/>
    </row>
    <row r="62" spans="2:16" ht="33.75" hidden="1" customHeight="1">
      <c r="B62" s="754"/>
      <c r="C62" s="757"/>
      <c r="D62" s="751"/>
      <c r="E62" s="751"/>
      <c r="F62" s="752"/>
      <c r="G62" s="752"/>
      <c r="H62" s="340"/>
      <c r="I62" s="341"/>
      <c r="J62" s="759"/>
      <c r="K62" s="759"/>
      <c r="L62" s="759"/>
      <c r="M62" s="756"/>
      <c r="N62" s="353"/>
      <c r="O62" s="341"/>
      <c r="P62" s="480"/>
    </row>
    <row r="63" spans="2:16" ht="33.75" hidden="1" customHeight="1">
      <c r="B63" s="754"/>
      <c r="C63" s="757"/>
      <c r="D63" s="751"/>
      <c r="E63" s="751"/>
      <c r="F63" s="752"/>
      <c r="G63" s="752"/>
      <c r="H63" s="340"/>
      <c r="I63" s="341"/>
      <c r="J63" s="759"/>
      <c r="K63" s="759"/>
      <c r="L63" s="759"/>
      <c r="M63" s="756"/>
      <c r="N63" s="353"/>
      <c r="O63" s="341"/>
      <c r="P63" s="480"/>
    </row>
    <row r="64" spans="2:16" ht="33.75" hidden="1" customHeight="1">
      <c r="B64" s="754"/>
      <c r="C64" s="757"/>
      <c r="D64" s="751"/>
      <c r="E64" s="751"/>
      <c r="F64" s="752"/>
      <c r="G64" s="752"/>
      <c r="H64" s="340"/>
      <c r="I64" s="341"/>
      <c r="J64" s="759"/>
      <c r="K64" s="759"/>
      <c r="L64" s="759"/>
      <c r="M64" s="756"/>
      <c r="N64" s="353"/>
      <c r="O64" s="341"/>
      <c r="P64" s="480"/>
    </row>
    <row r="65" spans="2:16" ht="33.75" hidden="1" customHeight="1">
      <c r="B65" s="754"/>
      <c r="C65" s="757"/>
      <c r="D65" s="751"/>
      <c r="E65" s="751"/>
      <c r="F65" s="752"/>
      <c r="G65" s="752"/>
      <c r="H65" s="340"/>
      <c r="I65" s="341"/>
      <c r="J65" s="759"/>
      <c r="K65" s="759"/>
      <c r="L65" s="759"/>
      <c r="M65" s="756"/>
      <c r="N65" s="353"/>
      <c r="O65" s="341"/>
      <c r="P65" s="480"/>
    </row>
    <row r="66" spans="2:16" ht="33.75" hidden="1" customHeight="1">
      <c r="B66" s="754"/>
      <c r="C66" s="757"/>
      <c r="D66" s="751"/>
      <c r="E66" s="751"/>
      <c r="F66" s="752"/>
      <c r="G66" s="752"/>
      <c r="H66" s="340"/>
      <c r="I66" s="341"/>
      <c r="J66" s="759"/>
      <c r="K66" s="759"/>
      <c r="L66" s="759"/>
      <c r="M66" s="756"/>
      <c r="N66" s="356"/>
      <c r="O66" s="486"/>
      <c r="P66" s="480"/>
    </row>
    <row r="67" spans="2:16" ht="34.5" customHeight="1">
      <c r="B67" s="1069">
        <v>23</v>
      </c>
      <c r="C67" s="1184" t="s">
        <v>548</v>
      </c>
      <c r="D67" s="1184" t="s">
        <v>673</v>
      </c>
      <c r="E67" s="1184">
        <v>29596</v>
      </c>
      <c r="F67" s="1185">
        <v>40485</v>
      </c>
      <c r="G67" s="1185">
        <v>40494</v>
      </c>
      <c r="H67" s="337"/>
      <c r="I67" s="341"/>
      <c r="J67" s="759"/>
      <c r="K67" s="356" t="s">
        <v>452</v>
      </c>
      <c r="L67" s="355">
        <v>15</v>
      </c>
      <c r="M67" s="1182" t="s">
        <v>714</v>
      </c>
      <c r="N67" s="338" t="s">
        <v>680</v>
      </c>
      <c r="O67" s="336"/>
      <c r="P67" s="355">
        <v>8</v>
      </c>
    </row>
    <row r="68" spans="2:16" ht="34.5" customHeight="1">
      <c r="B68" s="1069"/>
      <c r="C68" s="1184"/>
      <c r="D68" s="1184"/>
      <c r="E68" s="1184"/>
      <c r="F68" s="1185"/>
      <c r="G68" s="1185"/>
      <c r="H68" s="337"/>
      <c r="I68" s="368"/>
      <c r="J68" s="759"/>
      <c r="K68" s="356" t="s">
        <v>437</v>
      </c>
      <c r="L68" s="355">
        <v>30</v>
      </c>
      <c r="M68" s="1182"/>
      <c r="N68" s="338" t="s">
        <v>669</v>
      </c>
      <c r="O68" s="336"/>
      <c r="P68" s="355">
        <v>1</v>
      </c>
    </row>
    <row r="69" spans="2:16" ht="32.1" customHeight="1">
      <c r="B69" s="1069">
        <v>22</v>
      </c>
      <c r="C69" s="1184"/>
      <c r="D69" s="1184" t="s">
        <v>533</v>
      </c>
      <c r="E69" s="1184">
        <v>24691</v>
      </c>
      <c r="F69" s="1185">
        <v>40479</v>
      </c>
      <c r="G69" s="1185">
        <v>40480</v>
      </c>
      <c r="H69" s="340"/>
      <c r="I69" s="341"/>
      <c r="J69" s="759"/>
      <c r="K69" s="340" t="s">
        <v>452</v>
      </c>
      <c r="L69" s="759">
        <v>15</v>
      </c>
      <c r="M69" s="1182" t="s">
        <v>593</v>
      </c>
      <c r="N69" s="337" t="s">
        <v>569</v>
      </c>
      <c r="O69" s="479">
        <v>425584331</v>
      </c>
      <c r="P69" s="480">
        <v>1</v>
      </c>
    </row>
    <row r="70" spans="2:16" ht="31.5" customHeight="1">
      <c r="B70" s="1069"/>
      <c r="C70" s="1184"/>
      <c r="D70" s="1184"/>
      <c r="E70" s="1184"/>
      <c r="F70" s="1185"/>
      <c r="G70" s="1185"/>
      <c r="H70" s="340"/>
      <c r="I70" s="368"/>
      <c r="J70" s="759"/>
      <c r="K70" s="340" t="s">
        <v>437</v>
      </c>
      <c r="L70" s="759">
        <v>35</v>
      </c>
      <c r="M70" s="1182"/>
      <c r="N70" s="337" t="s">
        <v>570</v>
      </c>
      <c r="O70" s="336"/>
      <c r="P70" s="480">
        <v>1</v>
      </c>
    </row>
    <row r="71" spans="2:16" ht="33.75" customHeight="1">
      <c r="B71" s="754">
        <v>24</v>
      </c>
      <c r="C71" s="1184"/>
      <c r="D71" s="757" t="s">
        <v>765</v>
      </c>
      <c r="E71" s="757">
        <v>22911</v>
      </c>
      <c r="F71" s="348"/>
      <c r="G71" s="348"/>
      <c r="H71" s="337"/>
      <c r="I71" s="341"/>
      <c r="J71" s="759"/>
      <c r="K71" s="340"/>
      <c r="L71" s="759"/>
      <c r="M71" s="756" t="s">
        <v>714</v>
      </c>
      <c r="N71" s="337" t="s">
        <v>779</v>
      </c>
      <c r="O71" s="336"/>
      <c r="P71" s="480">
        <v>1</v>
      </c>
    </row>
    <row r="72" spans="2:16" ht="30.75" customHeight="1">
      <c r="B72" s="347">
        <v>25</v>
      </c>
      <c r="C72" s="347" t="s">
        <v>294</v>
      </c>
      <c r="D72" s="473" t="s">
        <v>295</v>
      </c>
      <c r="E72" s="757">
        <v>60407</v>
      </c>
      <c r="F72" s="348"/>
      <c r="G72" s="348"/>
      <c r="H72" s="337"/>
      <c r="I72" s="341"/>
      <c r="J72" s="759"/>
      <c r="K72" s="340"/>
      <c r="L72" s="759"/>
      <c r="M72" s="756" t="s">
        <v>582</v>
      </c>
      <c r="N72" s="338" t="s">
        <v>130</v>
      </c>
      <c r="O72" s="756" t="s">
        <v>211</v>
      </c>
      <c r="P72" s="754">
        <v>16</v>
      </c>
    </row>
    <row r="73" spans="2:16" ht="24.75" customHeight="1">
      <c r="B73" s="1069">
        <v>26</v>
      </c>
      <c r="C73" s="1182" t="s">
        <v>226</v>
      </c>
      <c r="D73" s="1181" t="s">
        <v>861</v>
      </c>
      <c r="E73" s="1181">
        <v>397482</v>
      </c>
      <c r="F73" s="752"/>
      <c r="G73" s="752"/>
      <c r="H73" s="356"/>
      <c r="I73" s="354"/>
      <c r="J73" s="355"/>
      <c r="K73" s="356"/>
      <c r="L73" s="355"/>
      <c r="M73" s="1181" t="s">
        <v>582</v>
      </c>
      <c r="N73" s="337" t="s">
        <v>851</v>
      </c>
      <c r="O73" s="766" t="s">
        <v>878</v>
      </c>
      <c r="P73" s="759">
        <v>4</v>
      </c>
    </row>
    <row r="74" spans="2:16" ht="24.95" customHeight="1">
      <c r="B74" s="1069"/>
      <c r="C74" s="1182"/>
      <c r="D74" s="1181"/>
      <c r="E74" s="1181"/>
      <c r="F74" s="752"/>
      <c r="G74" s="752"/>
      <c r="H74" s="353"/>
      <c r="I74" s="354"/>
      <c r="J74" s="355"/>
      <c r="K74" s="356"/>
      <c r="L74" s="355"/>
      <c r="M74" s="1181"/>
      <c r="N74" s="337" t="s">
        <v>852</v>
      </c>
      <c r="O74" s="759" t="s">
        <v>879</v>
      </c>
      <c r="P74" s="759">
        <v>2</v>
      </c>
    </row>
    <row r="75" spans="2:16" ht="24.95" customHeight="1">
      <c r="B75" s="1069"/>
      <c r="C75" s="1182"/>
      <c r="D75" s="1181"/>
      <c r="E75" s="1181"/>
      <c r="F75" s="752"/>
      <c r="G75" s="752"/>
      <c r="H75" s="353"/>
      <c r="I75" s="354"/>
      <c r="J75" s="355"/>
      <c r="K75" s="356"/>
      <c r="L75" s="355"/>
      <c r="M75" s="1181"/>
      <c r="N75" s="337" t="s">
        <v>853</v>
      </c>
      <c r="O75" s="759">
        <v>1236117091</v>
      </c>
      <c r="P75" s="759">
        <v>1</v>
      </c>
    </row>
    <row r="76" spans="2:16" ht="33.75" customHeight="1">
      <c r="B76" s="754">
        <v>27</v>
      </c>
      <c r="C76" s="1182"/>
      <c r="D76" s="751" t="s">
        <v>384</v>
      </c>
      <c r="E76" s="767">
        <v>295000</v>
      </c>
      <c r="F76" s="752"/>
      <c r="G76" s="752"/>
      <c r="H76" s="340"/>
      <c r="I76" s="341"/>
      <c r="J76" s="759"/>
      <c r="K76" s="759"/>
      <c r="L76" s="759"/>
      <c r="M76" s="756" t="s">
        <v>859</v>
      </c>
      <c r="N76" s="337" t="s">
        <v>860</v>
      </c>
      <c r="O76" s="759" t="s">
        <v>873</v>
      </c>
      <c r="P76" s="480">
        <v>1</v>
      </c>
    </row>
    <row r="77" spans="2:16" ht="24.95" customHeight="1">
      <c r="B77" s="754">
        <v>28</v>
      </c>
      <c r="C77" s="1182"/>
      <c r="D77" s="751" t="s">
        <v>393</v>
      </c>
      <c r="E77" s="753">
        <v>146171</v>
      </c>
      <c r="F77" s="755"/>
      <c r="G77" s="755"/>
      <c r="H77" s="337"/>
      <c r="I77" s="341"/>
      <c r="J77" s="759"/>
      <c r="K77" s="340"/>
      <c r="L77" s="759"/>
      <c r="M77" s="756" t="s">
        <v>582</v>
      </c>
      <c r="N77" s="337" t="s">
        <v>871</v>
      </c>
      <c r="O77" s="480" t="s">
        <v>872</v>
      </c>
      <c r="P77" s="480">
        <v>1</v>
      </c>
    </row>
    <row r="78" spans="2:16" ht="24.95" hidden="1" customHeight="1">
      <c r="B78" s="754"/>
      <c r="C78" s="1182"/>
      <c r="D78" s="347"/>
      <c r="E78" s="347"/>
      <c r="F78" s="347">
        <v>146171</v>
      </c>
      <c r="G78" s="755"/>
      <c r="H78" s="337"/>
      <c r="I78" s="341"/>
      <c r="J78" s="759"/>
      <c r="K78" s="340"/>
      <c r="L78" s="759"/>
      <c r="M78" s="756"/>
      <c r="N78" s="338"/>
      <c r="O78" s="480"/>
      <c r="P78" s="336"/>
    </row>
    <row r="79" spans="2:16" ht="24.95" hidden="1" customHeight="1">
      <c r="B79" s="754"/>
      <c r="C79" s="1182"/>
      <c r="D79" s="338"/>
      <c r="E79" s="338"/>
      <c r="F79" s="755"/>
      <c r="G79" s="755"/>
      <c r="H79" s="337"/>
      <c r="I79" s="341"/>
      <c r="J79" s="759"/>
      <c r="K79" s="340"/>
      <c r="L79" s="759"/>
      <c r="M79" s="756"/>
      <c r="N79" s="338"/>
      <c r="O79" s="480"/>
      <c r="P79" s="336"/>
    </row>
    <row r="80" spans="2:16" ht="24.95" hidden="1" customHeight="1">
      <c r="B80" s="754"/>
      <c r="C80" s="338"/>
      <c r="D80" s="347"/>
      <c r="E80" s="756"/>
      <c r="F80" s="348"/>
      <c r="G80" s="348"/>
      <c r="H80" s="340"/>
      <c r="I80" s="340"/>
      <c r="J80" s="759"/>
      <c r="K80" s="340"/>
      <c r="L80" s="340"/>
      <c r="M80" s="480"/>
      <c r="N80" s="338"/>
      <c r="O80" s="480"/>
      <c r="P80" s="336"/>
    </row>
    <row r="81" spans="2:16" ht="24.95" hidden="1" customHeight="1">
      <c r="B81" s="754"/>
      <c r="C81" s="338"/>
      <c r="D81" s="754"/>
      <c r="E81" s="754"/>
      <c r="F81" s="755"/>
      <c r="G81" s="755"/>
      <c r="H81" s="340"/>
      <c r="I81" s="341"/>
      <c r="J81" s="759"/>
      <c r="K81" s="340"/>
      <c r="L81" s="759"/>
      <c r="M81" s="756"/>
      <c r="N81" s="337"/>
      <c r="O81" s="480"/>
      <c r="P81" s="336"/>
    </row>
    <row r="82" spans="2:16" ht="30.75" hidden="1" customHeight="1">
      <c r="B82" s="754"/>
      <c r="C82" s="338"/>
      <c r="D82" s="754"/>
      <c r="E82" s="754"/>
      <c r="F82" s="755"/>
      <c r="G82" s="755"/>
      <c r="H82" s="340"/>
      <c r="I82" s="368"/>
      <c r="J82" s="759"/>
      <c r="K82" s="340"/>
      <c r="L82" s="759"/>
      <c r="M82" s="756"/>
      <c r="N82" s="337"/>
      <c r="O82" s="480"/>
      <c r="P82" s="336"/>
    </row>
    <row r="83" spans="2:16" ht="24.95" hidden="1" customHeight="1">
      <c r="B83" s="1069"/>
      <c r="C83" s="338"/>
      <c r="D83" s="1069"/>
      <c r="E83" s="1069"/>
      <c r="F83" s="1070"/>
      <c r="G83" s="1070"/>
      <c r="H83" s="340"/>
      <c r="I83" s="341"/>
      <c r="J83" s="759"/>
      <c r="K83" s="340"/>
      <c r="L83" s="759"/>
      <c r="M83" s="756"/>
      <c r="N83" s="337"/>
      <c r="O83" s="480"/>
      <c r="P83" s="336"/>
    </row>
    <row r="84" spans="2:16" ht="24.95" hidden="1" customHeight="1">
      <c r="B84" s="1069"/>
      <c r="C84" s="338"/>
      <c r="D84" s="1069"/>
      <c r="E84" s="1069"/>
      <c r="F84" s="1070"/>
      <c r="G84" s="1070"/>
      <c r="H84" s="337"/>
      <c r="I84" s="341"/>
      <c r="J84" s="759"/>
      <c r="K84" s="340"/>
      <c r="L84" s="759"/>
      <c r="M84" s="756"/>
      <c r="N84" s="337"/>
      <c r="O84" s="480"/>
      <c r="P84" s="336"/>
    </row>
    <row r="85" spans="2:16" ht="24.95" hidden="1" customHeight="1">
      <c r="B85" s="1069"/>
      <c r="C85" s="338"/>
      <c r="D85" s="1069"/>
      <c r="E85" s="1069"/>
      <c r="F85" s="1070"/>
      <c r="G85" s="1070"/>
      <c r="H85" s="337"/>
      <c r="I85" s="341"/>
      <c r="J85" s="759"/>
      <c r="K85" s="340"/>
      <c r="L85" s="759"/>
      <c r="M85" s="756"/>
      <c r="N85" s="337"/>
      <c r="O85" s="480"/>
      <c r="P85" s="336"/>
    </row>
    <row r="86" spans="2:16" ht="24.95" hidden="1" customHeight="1">
      <c r="B86" s="1069"/>
      <c r="C86" s="338"/>
      <c r="D86" s="1069"/>
      <c r="E86" s="1069"/>
      <c r="F86" s="1070"/>
      <c r="G86" s="1070"/>
      <c r="H86" s="337"/>
      <c r="I86" s="341"/>
      <c r="J86" s="759"/>
      <c r="K86" s="340"/>
      <c r="L86" s="759"/>
      <c r="M86" s="756"/>
      <c r="N86" s="337"/>
      <c r="O86" s="480"/>
      <c r="P86" s="336"/>
    </row>
    <row r="87" spans="2:16" ht="24.95" hidden="1" customHeight="1">
      <c r="B87" s="469"/>
      <c r="C87" s="467"/>
      <c r="D87" s="467"/>
      <c r="E87" s="586"/>
      <c r="F87" s="468"/>
      <c r="G87" s="468"/>
      <c r="H87" s="337"/>
      <c r="I87" s="341"/>
      <c r="J87" s="342"/>
      <c r="K87" s="340"/>
      <c r="L87" s="342"/>
      <c r="M87" s="470"/>
      <c r="N87" s="338"/>
      <c r="O87" s="480"/>
      <c r="P87" s="460"/>
    </row>
    <row r="88" spans="2:16" ht="24.95" hidden="1" customHeight="1">
      <c r="B88" s="469"/>
      <c r="C88" s="467"/>
      <c r="D88" s="467"/>
      <c r="E88" s="586"/>
      <c r="F88" s="468"/>
      <c r="G88" s="468"/>
      <c r="H88" s="337"/>
      <c r="I88" s="341"/>
      <c r="J88" s="342"/>
      <c r="K88" s="340"/>
      <c r="L88" s="342"/>
      <c r="M88" s="470"/>
      <c r="N88" s="338"/>
      <c r="O88" s="480"/>
      <c r="P88" s="460"/>
    </row>
    <row r="89" spans="2:16" ht="24.95" hidden="1" customHeight="1">
      <c r="B89" s="469"/>
      <c r="C89" s="467"/>
      <c r="D89" s="467"/>
      <c r="E89" s="586"/>
      <c r="F89" s="468"/>
      <c r="G89" s="468"/>
      <c r="H89" s="337"/>
      <c r="I89" s="341"/>
      <c r="J89" s="342"/>
      <c r="K89" s="340"/>
      <c r="L89" s="342"/>
      <c r="M89" s="470"/>
      <c r="N89" s="338"/>
      <c r="O89" s="480"/>
      <c r="P89" s="460"/>
    </row>
    <row r="90" spans="2:16" ht="24.95" hidden="1" customHeight="1">
      <c r="B90" s="1183"/>
      <c r="C90" s="1182"/>
      <c r="D90" s="1182"/>
      <c r="E90" s="1182"/>
      <c r="F90" s="1186"/>
      <c r="G90" s="1186"/>
      <c r="H90" s="340"/>
      <c r="I90" s="370"/>
      <c r="J90" s="342"/>
      <c r="K90" s="340"/>
      <c r="L90" s="342"/>
      <c r="M90" s="470"/>
      <c r="N90" s="337"/>
      <c r="O90" s="480"/>
      <c r="P90" s="460"/>
    </row>
    <row r="91" spans="2:16" ht="32.25" hidden="1" customHeight="1">
      <c r="B91" s="1183"/>
      <c r="C91" s="1182"/>
      <c r="D91" s="1182"/>
      <c r="E91" s="1182"/>
      <c r="F91" s="1186"/>
      <c r="G91" s="1186"/>
      <c r="H91" s="337"/>
      <c r="I91" s="370"/>
      <c r="J91" s="342"/>
      <c r="K91" s="340"/>
      <c r="L91" s="342"/>
      <c r="M91" s="470"/>
      <c r="N91" s="337"/>
      <c r="O91" s="480"/>
      <c r="P91" s="460"/>
    </row>
    <row r="92" spans="2:16" ht="24.95" hidden="1" customHeight="1">
      <c r="B92" s="1183"/>
      <c r="C92" s="1182"/>
      <c r="D92" s="1069"/>
      <c r="E92" s="1069"/>
      <c r="F92" s="1070"/>
      <c r="G92" s="1070"/>
      <c r="H92" s="340"/>
      <c r="I92" s="341"/>
      <c r="J92" s="342"/>
      <c r="K92" s="340"/>
      <c r="L92" s="342"/>
      <c r="M92" s="470"/>
      <c r="N92" s="337"/>
      <c r="O92" s="480"/>
      <c r="P92" s="460"/>
    </row>
    <row r="93" spans="2:16" ht="24.95" hidden="1" customHeight="1">
      <c r="B93" s="1183"/>
      <c r="C93" s="1182"/>
      <c r="D93" s="1069"/>
      <c r="E93" s="1069"/>
      <c r="F93" s="1070"/>
      <c r="G93" s="1070"/>
      <c r="H93" s="337"/>
      <c r="I93" s="341"/>
      <c r="J93" s="342"/>
      <c r="K93" s="340"/>
      <c r="L93" s="342"/>
      <c r="M93" s="470"/>
      <c r="N93" s="337"/>
      <c r="O93" s="480"/>
      <c r="P93" s="460"/>
    </row>
    <row r="94" spans="2:16" ht="24.95" hidden="1" customHeight="1">
      <c r="B94" s="1183"/>
      <c r="C94" s="1069"/>
      <c r="D94" s="1069"/>
      <c r="E94" s="1069"/>
      <c r="F94" s="1070"/>
      <c r="G94" s="1070"/>
      <c r="H94" s="340"/>
      <c r="I94" s="341"/>
      <c r="J94" s="342"/>
      <c r="K94" s="340"/>
      <c r="L94" s="342"/>
      <c r="M94" s="470"/>
      <c r="N94" s="337"/>
      <c r="O94" s="480"/>
      <c r="P94" s="460"/>
    </row>
    <row r="95" spans="2:16" ht="24.95" hidden="1" customHeight="1">
      <c r="B95" s="1183"/>
      <c r="C95" s="1069"/>
      <c r="D95" s="1069"/>
      <c r="E95" s="1069"/>
      <c r="F95" s="1070"/>
      <c r="G95" s="1070"/>
      <c r="H95" s="337"/>
      <c r="I95" s="341"/>
      <c r="J95" s="342"/>
      <c r="K95" s="340"/>
      <c r="L95" s="342"/>
      <c r="M95" s="470"/>
      <c r="N95" s="337"/>
      <c r="O95" s="480"/>
      <c r="P95" s="460"/>
    </row>
    <row r="96" spans="2:16" ht="24.95" hidden="1" customHeight="1">
      <c r="B96" s="1183"/>
      <c r="C96" s="1069"/>
      <c r="D96" s="1069"/>
      <c r="E96" s="1069"/>
      <c r="F96" s="1070"/>
      <c r="G96" s="1070"/>
      <c r="H96" s="337"/>
      <c r="I96" s="341"/>
      <c r="J96" s="342"/>
      <c r="K96" s="340"/>
      <c r="L96" s="342"/>
      <c r="M96" s="470"/>
      <c r="N96" s="337"/>
      <c r="O96" s="480"/>
      <c r="P96" s="460"/>
    </row>
    <row r="97" spans="2:16" ht="24.95" hidden="1" customHeight="1">
      <c r="B97" s="1183"/>
      <c r="C97" s="1069"/>
      <c r="D97" s="1069"/>
      <c r="E97" s="1069"/>
      <c r="F97" s="1070"/>
      <c r="G97" s="1070"/>
      <c r="H97" s="337"/>
      <c r="I97" s="341"/>
      <c r="J97" s="342"/>
      <c r="K97" s="340"/>
      <c r="L97" s="342"/>
      <c r="M97" s="470"/>
      <c r="N97" s="338"/>
      <c r="O97" s="480"/>
      <c r="P97" s="460"/>
    </row>
    <row r="98" spans="2:16" ht="24.95" hidden="1" customHeight="1">
      <c r="B98" s="1183"/>
      <c r="C98" s="1069"/>
      <c r="D98" s="1069"/>
      <c r="E98" s="1069"/>
      <c r="F98" s="1070"/>
      <c r="G98" s="1070"/>
      <c r="H98" s="337"/>
      <c r="I98" s="341"/>
      <c r="J98" s="342"/>
      <c r="K98" s="340"/>
      <c r="L98" s="342"/>
      <c r="M98" s="470"/>
      <c r="N98" s="338"/>
      <c r="O98" s="480"/>
      <c r="P98" s="460"/>
    </row>
    <row r="99" spans="2:16" ht="24.95" hidden="1" customHeight="1">
      <c r="B99" s="1183"/>
      <c r="C99" s="1069"/>
      <c r="D99" s="1069"/>
      <c r="E99" s="1069"/>
      <c r="F99" s="1070"/>
      <c r="G99" s="1070"/>
      <c r="H99" s="337"/>
      <c r="I99" s="341"/>
      <c r="J99" s="342"/>
      <c r="K99" s="340"/>
      <c r="L99" s="342"/>
      <c r="M99" s="470"/>
      <c r="N99" s="338"/>
      <c r="O99" s="480"/>
      <c r="P99" s="460"/>
    </row>
    <row r="100" spans="2:16" ht="24.95" hidden="1" customHeight="1">
      <c r="B100" s="469"/>
      <c r="C100" s="470"/>
      <c r="D100" s="467"/>
      <c r="E100" s="586"/>
      <c r="F100" s="468"/>
      <c r="G100" s="468"/>
      <c r="H100" s="340"/>
      <c r="I100" s="341"/>
      <c r="J100" s="342"/>
      <c r="K100" s="340"/>
      <c r="L100" s="342"/>
      <c r="M100" s="470"/>
      <c r="N100" s="337"/>
      <c r="O100" s="480"/>
      <c r="P100" s="460"/>
    </row>
    <row r="101" spans="2:16" ht="32.25" hidden="1" customHeight="1">
      <c r="B101" s="469"/>
      <c r="C101" s="470"/>
      <c r="D101" s="467"/>
      <c r="E101" s="586"/>
      <c r="F101" s="468"/>
      <c r="G101" s="468"/>
      <c r="H101" s="337"/>
      <c r="I101" s="341"/>
      <c r="J101" s="342"/>
      <c r="K101" s="340"/>
      <c r="L101" s="342"/>
      <c r="M101" s="470"/>
      <c r="N101" s="337"/>
      <c r="O101" s="480"/>
      <c r="P101" s="460"/>
    </row>
    <row r="102" spans="2:16" ht="24.95" hidden="1" customHeight="1">
      <c r="B102" s="469"/>
      <c r="C102" s="470"/>
      <c r="D102" s="467"/>
      <c r="E102" s="586"/>
      <c r="F102" s="468"/>
      <c r="G102" s="468"/>
      <c r="H102" s="340"/>
      <c r="I102" s="341"/>
      <c r="J102" s="342"/>
      <c r="K102" s="340"/>
      <c r="L102" s="342"/>
      <c r="M102" s="470"/>
      <c r="N102" s="337"/>
      <c r="O102" s="480"/>
      <c r="P102" s="460"/>
    </row>
    <row r="103" spans="2:16" ht="24.95" hidden="1" customHeight="1">
      <c r="B103" s="469"/>
      <c r="C103" s="470"/>
      <c r="D103" s="467"/>
      <c r="E103" s="586"/>
      <c r="F103" s="468"/>
      <c r="G103" s="468"/>
      <c r="H103" s="340"/>
      <c r="I103" s="341"/>
      <c r="J103" s="342"/>
      <c r="K103" s="340"/>
      <c r="L103" s="342"/>
      <c r="M103" s="470"/>
      <c r="N103" s="337"/>
      <c r="O103" s="480"/>
      <c r="P103" s="460"/>
    </row>
    <row r="104" spans="2:16" ht="24.95" hidden="1" customHeight="1">
      <c r="B104" s="469"/>
      <c r="C104" s="470"/>
      <c r="D104" s="467"/>
      <c r="E104" s="586"/>
      <c r="F104" s="468"/>
      <c r="G104" s="468"/>
      <c r="H104" s="340"/>
      <c r="I104" s="341"/>
      <c r="J104" s="342"/>
      <c r="K104" s="340"/>
      <c r="L104" s="342"/>
      <c r="M104" s="470"/>
      <c r="N104" s="337"/>
      <c r="O104" s="480"/>
      <c r="P104" s="460"/>
    </row>
    <row r="105" spans="2:16" ht="24.95" hidden="1" customHeight="1">
      <c r="B105" s="1183"/>
      <c r="C105" s="1182"/>
      <c r="D105" s="1069"/>
      <c r="E105" s="1069"/>
      <c r="F105" s="1070"/>
      <c r="G105" s="1070"/>
      <c r="H105" s="340"/>
      <c r="I105" s="370"/>
      <c r="J105" s="342"/>
      <c r="K105" s="340"/>
      <c r="L105" s="342"/>
      <c r="M105" s="470"/>
      <c r="N105" s="337"/>
      <c r="O105" s="480"/>
      <c r="P105" s="460"/>
    </row>
    <row r="106" spans="2:16" ht="24.95" hidden="1" customHeight="1">
      <c r="B106" s="1183"/>
      <c r="C106" s="1182"/>
      <c r="D106" s="1069"/>
      <c r="E106" s="1069"/>
      <c r="F106" s="1070"/>
      <c r="G106" s="1070"/>
      <c r="H106" s="337"/>
      <c r="I106" s="341"/>
      <c r="J106" s="342"/>
      <c r="K106" s="340"/>
      <c r="L106" s="342"/>
      <c r="M106" s="470"/>
      <c r="N106" s="337"/>
      <c r="O106" s="480"/>
      <c r="P106" s="460"/>
    </row>
    <row r="107" spans="2:16" ht="24.95" hidden="1" customHeight="1">
      <c r="B107" s="1183"/>
      <c r="C107" s="1182"/>
      <c r="D107" s="1069"/>
      <c r="E107" s="1069"/>
      <c r="F107" s="1070"/>
      <c r="G107" s="1070"/>
      <c r="H107" s="340"/>
      <c r="I107" s="370"/>
      <c r="J107" s="342"/>
      <c r="K107" s="340"/>
      <c r="L107" s="342"/>
      <c r="M107" s="470"/>
      <c r="N107" s="337"/>
      <c r="O107" s="480"/>
      <c r="P107" s="460"/>
    </row>
    <row r="108" spans="2:16" ht="24.95" hidden="1" customHeight="1">
      <c r="B108" s="1183"/>
      <c r="C108" s="1182"/>
      <c r="D108" s="1069"/>
      <c r="E108" s="1069"/>
      <c r="F108" s="1070"/>
      <c r="G108" s="1070"/>
      <c r="H108" s="337"/>
      <c r="I108" s="341"/>
      <c r="J108" s="342"/>
      <c r="K108" s="340"/>
      <c r="L108" s="342"/>
      <c r="M108" s="470"/>
      <c r="N108" s="337"/>
      <c r="O108" s="480"/>
      <c r="P108" s="460"/>
    </row>
    <row r="109" spans="2:16" ht="33.75" hidden="1" customHeight="1">
      <c r="B109" s="469"/>
      <c r="C109" s="470"/>
      <c r="D109" s="467"/>
      <c r="E109" s="586"/>
      <c r="F109" s="468"/>
      <c r="G109" s="468"/>
      <c r="H109" s="340"/>
      <c r="I109" s="370"/>
      <c r="J109" s="342"/>
      <c r="K109" s="340"/>
      <c r="L109" s="342"/>
      <c r="M109" s="470"/>
      <c r="N109" s="337"/>
      <c r="O109" s="480"/>
      <c r="P109" s="460"/>
    </row>
    <row r="110" spans="2:16" ht="24.95" hidden="1" customHeight="1">
      <c r="B110" s="1183"/>
      <c r="C110" s="1182"/>
      <c r="D110" s="1069"/>
      <c r="E110" s="1069"/>
      <c r="F110" s="1070"/>
      <c r="G110" s="1070"/>
      <c r="H110" s="340"/>
      <c r="I110" s="370"/>
      <c r="J110" s="342"/>
      <c r="K110" s="340"/>
      <c r="L110" s="342"/>
      <c r="M110" s="470"/>
      <c r="N110" s="337"/>
      <c r="O110" s="480"/>
      <c r="P110" s="460"/>
    </row>
    <row r="111" spans="2:16" ht="24.95" hidden="1" customHeight="1">
      <c r="B111" s="1183"/>
      <c r="C111" s="1182"/>
      <c r="D111" s="1069"/>
      <c r="E111" s="1069"/>
      <c r="F111" s="1070"/>
      <c r="G111" s="1070"/>
      <c r="H111" s="337"/>
      <c r="I111" s="341"/>
      <c r="J111" s="342"/>
      <c r="K111" s="340"/>
      <c r="L111" s="342"/>
      <c r="M111" s="470"/>
      <c r="N111" s="337"/>
      <c r="O111" s="480"/>
      <c r="P111" s="460"/>
    </row>
    <row r="112" spans="2:16" ht="24.95" hidden="1" customHeight="1">
      <c r="B112" s="1183"/>
      <c r="C112" s="1182"/>
      <c r="D112" s="1069"/>
      <c r="E112" s="1069"/>
      <c r="F112" s="1070"/>
      <c r="G112" s="1070"/>
      <c r="H112" s="337"/>
      <c r="I112" s="341"/>
      <c r="J112" s="342"/>
      <c r="K112" s="340"/>
      <c r="L112" s="342"/>
      <c r="M112" s="470"/>
      <c r="N112" s="337"/>
      <c r="O112" s="480"/>
      <c r="P112" s="460"/>
    </row>
    <row r="113" spans="2:16" ht="33.75" hidden="1" customHeight="1">
      <c r="B113" s="469"/>
      <c r="C113" s="470"/>
      <c r="D113" s="467"/>
      <c r="E113" s="586"/>
      <c r="F113" s="468"/>
      <c r="G113" s="468"/>
      <c r="H113" s="340"/>
      <c r="I113" s="370"/>
      <c r="J113" s="342"/>
      <c r="K113" s="340"/>
      <c r="L113" s="342"/>
      <c r="M113" s="470"/>
      <c r="N113" s="337"/>
      <c r="O113" s="480"/>
      <c r="P113" s="460"/>
    </row>
    <row r="114" spans="2:16" ht="33" hidden="1" customHeight="1">
      <c r="B114" s="469"/>
      <c r="C114" s="470"/>
      <c r="D114" s="467"/>
      <c r="E114" s="586"/>
      <c r="F114" s="468"/>
      <c r="G114" s="468"/>
      <c r="H114" s="340"/>
      <c r="I114" s="370"/>
      <c r="J114" s="342"/>
      <c r="K114" s="340"/>
      <c r="L114" s="342"/>
      <c r="M114" s="470"/>
      <c r="N114" s="337"/>
      <c r="O114" s="480"/>
      <c r="P114" s="460"/>
    </row>
    <row r="115" spans="2:16" ht="24.95" hidden="1" customHeight="1">
      <c r="B115" s="1183"/>
      <c r="C115" s="1182"/>
      <c r="D115" s="1069"/>
      <c r="E115" s="1069"/>
      <c r="F115" s="1070"/>
      <c r="G115" s="1070"/>
      <c r="H115" s="340"/>
      <c r="I115" s="370"/>
      <c r="J115" s="342"/>
      <c r="K115" s="340"/>
      <c r="L115" s="342"/>
      <c r="M115" s="470"/>
      <c r="N115" s="337"/>
      <c r="O115" s="480"/>
      <c r="P115" s="460"/>
    </row>
    <row r="116" spans="2:16" ht="24.95" hidden="1" customHeight="1">
      <c r="B116" s="1183"/>
      <c r="C116" s="1182"/>
      <c r="D116" s="1069"/>
      <c r="E116" s="1069"/>
      <c r="F116" s="1070"/>
      <c r="G116" s="1070"/>
      <c r="H116" s="337"/>
      <c r="I116" s="341"/>
      <c r="J116" s="342"/>
      <c r="K116" s="340"/>
      <c r="L116" s="342"/>
      <c r="M116" s="470"/>
      <c r="N116" s="337"/>
      <c r="O116" s="480"/>
      <c r="P116" s="460"/>
    </row>
    <row r="117" spans="2:16" ht="24.95" hidden="1" customHeight="1">
      <c r="B117" s="1183"/>
      <c r="C117" s="1182"/>
      <c r="D117" s="1069"/>
      <c r="E117" s="1069"/>
      <c r="F117" s="1070"/>
      <c r="G117" s="1070"/>
      <c r="H117" s="337"/>
      <c r="I117" s="341"/>
      <c r="J117" s="342"/>
      <c r="K117" s="340"/>
      <c r="L117" s="342"/>
      <c r="M117" s="470"/>
      <c r="N117" s="337"/>
      <c r="O117" s="480"/>
      <c r="P117" s="460"/>
    </row>
    <row r="118" spans="2:16" ht="24.95" hidden="1" customHeight="1">
      <c r="B118" s="469"/>
      <c r="C118" s="467"/>
      <c r="D118" s="467"/>
      <c r="E118" s="586"/>
      <c r="F118" s="468"/>
      <c r="G118" s="468"/>
      <c r="H118" s="337"/>
      <c r="I118" s="341"/>
      <c r="J118" s="342"/>
      <c r="K118" s="340"/>
      <c r="L118" s="342"/>
      <c r="M118" s="470"/>
      <c r="N118" s="338"/>
      <c r="O118" s="480"/>
      <c r="P118" s="460"/>
    </row>
    <row r="119" spans="2:16" ht="24.95" hidden="1" customHeight="1">
      <c r="B119" s="469"/>
      <c r="C119" s="467"/>
      <c r="D119" s="467"/>
      <c r="E119" s="586"/>
      <c r="F119" s="468"/>
      <c r="G119" s="468"/>
      <c r="H119" s="337"/>
      <c r="I119" s="341"/>
      <c r="J119" s="342"/>
      <c r="K119" s="340"/>
      <c r="L119" s="342"/>
      <c r="M119" s="470"/>
      <c r="N119" s="338"/>
      <c r="O119" s="480"/>
      <c r="P119" s="460"/>
    </row>
    <row r="120" spans="2:16" ht="24.95" hidden="1" customHeight="1">
      <c r="B120" s="469"/>
      <c r="C120" s="467"/>
      <c r="D120" s="467"/>
      <c r="E120" s="586"/>
      <c r="F120" s="468"/>
      <c r="G120" s="468"/>
      <c r="H120" s="337"/>
      <c r="I120" s="341"/>
      <c r="J120" s="342"/>
      <c r="K120" s="340"/>
      <c r="L120" s="342"/>
      <c r="M120" s="470"/>
      <c r="N120" s="338"/>
      <c r="O120" s="480"/>
      <c r="P120" s="460"/>
    </row>
    <row r="121" spans="2:16" ht="24.95" hidden="1" customHeight="1">
      <c r="B121" s="469"/>
      <c r="C121" s="467"/>
      <c r="D121" s="467"/>
      <c r="E121" s="586"/>
      <c r="F121" s="468"/>
      <c r="G121" s="468"/>
      <c r="H121" s="337"/>
      <c r="I121" s="341"/>
      <c r="J121" s="342"/>
      <c r="K121" s="340"/>
      <c r="L121" s="342"/>
      <c r="M121" s="470"/>
      <c r="N121" s="338"/>
      <c r="O121" s="480"/>
      <c r="P121" s="460"/>
    </row>
    <row r="122" spans="2:16" ht="24.95" hidden="1" customHeight="1">
      <c r="B122" s="469"/>
      <c r="C122" s="347"/>
      <c r="D122" s="347"/>
      <c r="E122" s="587"/>
      <c r="F122" s="348"/>
      <c r="G122" s="348"/>
      <c r="H122" s="340"/>
      <c r="I122" s="340"/>
      <c r="J122" s="342"/>
      <c r="K122" s="340"/>
      <c r="L122" s="340"/>
      <c r="M122" s="480"/>
      <c r="N122" s="338"/>
      <c r="O122" s="480"/>
      <c r="P122" s="460"/>
    </row>
    <row r="123" spans="2:16" ht="24.95" hidden="1" customHeight="1">
      <c r="B123" s="1183"/>
      <c r="C123" s="1182"/>
      <c r="D123" s="1069"/>
      <c r="E123" s="1069"/>
      <c r="F123" s="1070"/>
      <c r="G123" s="1070"/>
      <c r="H123" s="340"/>
      <c r="I123" s="370"/>
      <c r="J123" s="342"/>
      <c r="K123" s="340"/>
      <c r="L123" s="342"/>
      <c r="M123" s="470"/>
      <c r="N123" s="337"/>
      <c r="O123" s="480"/>
      <c r="P123" s="460"/>
    </row>
    <row r="124" spans="2:16" ht="24.95" hidden="1" customHeight="1">
      <c r="B124" s="1183"/>
      <c r="C124" s="1182"/>
      <c r="D124" s="1069"/>
      <c r="E124" s="1069"/>
      <c r="F124" s="1070"/>
      <c r="G124" s="1070"/>
      <c r="H124" s="337"/>
      <c r="I124" s="341"/>
      <c r="J124" s="342"/>
      <c r="K124" s="340"/>
      <c r="L124" s="342"/>
      <c r="M124" s="470"/>
      <c r="N124" s="337"/>
      <c r="O124" s="480"/>
      <c r="P124" s="460"/>
    </row>
    <row r="125" spans="2:16" hidden="1">
      <c r="B125" s="461"/>
      <c r="C125" s="336"/>
      <c r="D125" s="336"/>
      <c r="E125" s="480"/>
      <c r="F125" s="336"/>
      <c r="G125" s="336"/>
      <c r="H125" s="336"/>
      <c r="I125" s="336"/>
      <c r="J125" s="336"/>
      <c r="K125" s="336"/>
      <c r="L125" s="336"/>
      <c r="M125" s="480"/>
      <c r="N125" s="336"/>
      <c r="O125" s="480"/>
      <c r="P125" s="460"/>
    </row>
    <row r="126" spans="2:16" hidden="1">
      <c r="B126" s="461"/>
      <c r="C126" s="336"/>
      <c r="D126" s="336"/>
      <c r="E126" s="480"/>
      <c r="F126" s="336"/>
      <c r="G126" s="336"/>
      <c r="H126" s="336"/>
      <c r="I126" s="336"/>
      <c r="J126" s="336"/>
      <c r="K126" s="336"/>
      <c r="L126" s="336"/>
      <c r="M126" s="480"/>
      <c r="N126" s="336"/>
      <c r="O126" s="480"/>
      <c r="P126" s="460"/>
    </row>
    <row r="127" spans="2:16" ht="15.75" hidden="1" thickBot="1">
      <c r="B127" s="462"/>
      <c r="C127" s="463"/>
      <c r="D127" s="463"/>
      <c r="E127" s="465"/>
      <c r="F127" s="463"/>
      <c r="G127" s="463"/>
      <c r="H127" s="463"/>
      <c r="I127" s="463"/>
      <c r="J127" s="463"/>
      <c r="K127" s="463"/>
      <c r="L127" s="463"/>
      <c r="M127" s="465"/>
      <c r="N127" s="463"/>
      <c r="O127" s="465"/>
      <c r="P127" s="464"/>
    </row>
    <row r="128" spans="2:16" ht="15.75" hidden="1" thickTop="1"/>
    <row r="129" hidden="1"/>
  </sheetData>
  <mergeCells count="160">
    <mergeCell ref="O28:O29"/>
    <mergeCell ref="P28:P29"/>
    <mergeCell ref="G67:G68"/>
    <mergeCell ref="M69:M70"/>
    <mergeCell ref="D69:D70"/>
    <mergeCell ref="E69:E70"/>
    <mergeCell ref="F69:F70"/>
    <mergeCell ref="E40:E42"/>
    <mergeCell ref="M40:M42"/>
    <mergeCell ref="D33:D34"/>
    <mergeCell ref="E33:E34"/>
    <mergeCell ref="M33:M34"/>
    <mergeCell ref="M36:M39"/>
    <mergeCell ref="E36:E39"/>
    <mergeCell ref="D36:D39"/>
    <mergeCell ref="G69:G70"/>
    <mergeCell ref="F26:F30"/>
    <mergeCell ref="D31:D32"/>
    <mergeCell ref="E31:E32"/>
    <mergeCell ref="F31:F32"/>
    <mergeCell ref="D43:D47"/>
    <mergeCell ref="E43:E47"/>
    <mergeCell ref="M43:M47"/>
    <mergeCell ref="M31:M32"/>
    <mergeCell ref="N28:N29"/>
    <mergeCell ref="B21:B22"/>
    <mergeCell ref="L23:L24"/>
    <mergeCell ref="E23:E24"/>
    <mergeCell ref="D23:D24"/>
    <mergeCell ref="D26:D30"/>
    <mergeCell ref="E26:E30"/>
    <mergeCell ref="C13:C18"/>
    <mergeCell ref="G21:G22"/>
    <mergeCell ref="M23:M24"/>
    <mergeCell ref="M21:M22"/>
    <mergeCell ref="K21:K22"/>
    <mergeCell ref="L21:L22"/>
    <mergeCell ref="K26:K30"/>
    <mergeCell ref="L26:L30"/>
    <mergeCell ref="M26:M30"/>
    <mergeCell ref="M16:M18"/>
    <mergeCell ref="B14:B15"/>
    <mergeCell ref="E16:E18"/>
    <mergeCell ref="F16:F18"/>
    <mergeCell ref="G16:G18"/>
    <mergeCell ref="K16:K18"/>
    <mergeCell ref="L16:L18"/>
    <mergeCell ref="D16:D18"/>
    <mergeCell ref="B16:B18"/>
    <mergeCell ref="K23:K24"/>
    <mergeCell ref="F10:F11"/>
    <mergeCell ref="G10:G11"/>
    <mergeCell ref="K14:K15"/>
    <mergeCell ref="L14:L15"/>
    <mergeCell ref="D14:D15"/>
    <mergeCell ref="E14:E15"/>
    <mergeCell ref="F14:F15"/>
    <mergeCell ref="G14:G15"/>
    <mergeCell ref="D21:D22"/>
    <mergeCell ref="E21:E22"/>
    <mergeCell ref="F21:F22"/>
    <mergeCell ref="C20:C48"/>
    <mergeCell ref="G23:G24"/>
    <mergeCell ref="F23:F24"/>
    <mergeCell ref="D40:D42"/>
    <mergeCell ref="G26:G30"/>
    <mergeCell ref="G31:G32"/>
    <mergeCell ref="B36:B39"/>
    <mergeCell ref="B33:B34"/>
    <mergeCell ref="M10:M11"/>
    <mergeCell ref="B10:B11"/>
    <mergeCell ref="C5:C12"/>
    <mergeCell ref="B5:B6"/>
    <mergeCell ref="D5:D6"/>
    <mergeCell ref="E5:E6"/>
    <mergeCell ref="F5:F6"/>
    <mergeCell ref="G5:G6"/>
    <mergeCell ref="M14:M15"/>
    <mergeCell ref="D10:D11"/>
    <mergeCell ref="E10:E11"/>
    <mergeCell ref="B1:N1"/>
    <mergeCell ref="B2:N2"/>
    <mergeCell ref="B3:L3"/>
    <mergeCell ref="B7:B8"/>
    <mergeCell ref="D7:D8"/>
    <mergeCell ref="E7:E8"/>
    <mergeCell ref="F7:F8"/>
    <mergeCell ref="G7:G8"/>
    <mergeCell ref="M5:M6"/>
    <mergeCell ref="M7:M8"/>
    <mergeCell ref="C67:C71"/>
    <mergeCell ref="B23:B24"/>
    <mergeCell ref="D92:D93"/>
    <mergeCell ref="E92:E93"/>
    <mergeCell ref="D90:D91"/>
    <mergeCell ref="E90:E91"/>
    <mergeCell ref="B31:B32"/>
    <mergeCell ref="B26:B30"/>
    <mergeCell ref="B67:B68"/>
    <mergeCell ref="B92:B93"/>
    <mergeCell ref="C92:C93"/>
    <mergeCell ref="B90:B91"/>
    <mergeCell ref="C90:C91"/>
    <mergeCell ref="B69:B70"/>
    <mergeCell ref="B40:B42"/>
    <mergeCell ref="D73:D75"/>
    <mergeCell ref="B43:B47"/>
    <mergeCell ref="E73:E75"/>
    <mergeCell ref="G123:G124"/>
    <mergeCell ref="B115:B117"/>
    <mergeCell ref="C115:C117"/>
    <mergeCell ref="D115:D117"/>
    <mergeCell ref="E115:E117"/>
    <mergeCell ref="F115:F117"/>
    <mergeCell ref="G115:G117"/>
    <mergeCell ref="B110:B112"/>
    <mergeCell ref="C110:C112"/>
    <mergeCell ref="D110:D112"/>
    <mergeCell ref="E110:E112"/>
    <mergeCell ref="B123:B124"/>
    <mergeCell ref="C123:C124"/>
    <mergeCell ref="D123:D124"/>
    <mergeCell ref="E123:E124"/>
    <mergeCell ref="F123:F124"/>
    <mergeCell ref="G110:G112"/>
    <mergeCell ref="F110:F112"/>
    <mergeCell ref="B105:B106"/>
    <mergeCell ref="C105:C106"/>
    <mergeCell ref="F92:F93"/>
    <mergeCell ref="G92:G93"/>
    <mergeCell ref="F90:F91"/>
    <mergeCell ref="F107:F108"/>
    <mergeCell ref="G107:G108"/>
    <mergeCell ref="G83:G86"/>
    <mergeCell ref="G90:G91"/>
    <mergeCell ref="F83:F86"/>
    <mergeCell ref="M73:M75"/>
    <mergeCell ref="M67:M68"/>
    <mergeCell ref="D83:D86"/>
    <mergeCell ref="E83:E86"/>
    <mergeCell ref="B107:B108"/>
    <mergeCell ref="D105:D106"/>
    <mergeCell ref="E105:E106"/>
    <mergeCell ref="F105:F106"/>
    <mergeCell ref="D67:D68"/>
    <mergeCell ref="E67:E68"/>
    <mergeCell ref="F67:F68"/>
    <mergeCell ref="B73:B75"/>
    <mergeCell ref="C73:C79"/>
    <mergeCell ref="C107:C108"/>
    <mergeCell ref="B83:B86"/>
    <mergeCell ref="D107:D108"/>
    <mergeCell ref="E107:E108"/>
    <mergeCell ref="G105:G106"/>
    <mergeCell ref="B94:B99"/>
    <mergeCell ref="C94:C99"/>
    <mergeCell ref="D94:D99"/>
    <mergeCell ref="E94:E99"/>
    <mergeCell ref="F94:F99"/>
    <mergeCell ref="G94:G99"/>
  </mergeCells>
  <printOptions horizontalCentered="1"/>
  <pageMargins left="0.19" right="0.15" top="0.21" bottom="0.28000000000000003" header="0.3" footer="0.3"/>
  <pageSetup scale="75" orientation="portrait" r:id="rId1"/>
  <rowBreaks count="1" manualBreakCount="1">
    <brk id="30" max="16383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>
  <dimension ref="B1:O23"/>
  <sheetViews>
    <sheetView workbookViewId="0">
      <pane xSplit="3" ySplit="4" topLeftCell="D12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7.7109375" hidden="1" customWidth="1"/>
    <col min="9" max="9" width="19.140625" hidden="1" customWidth="1"/>
    <col min="10" max="10" width="6.28515625" hidden="1" customWidth="1"/>
    <col min="11" max="11" width="11.7109375" hidden="1" customWidth="1"/>
    <col min="12" max="12" width="6.42578125" hidden="1" customWidth="1"/>
    <col min="13" max="13" width="13.140625" hidden="1" customWidth="1"/>
    <col min="14" max="14" width="35.140625" customWidth="1"/>
  </cols>
  <sheetData>
    <row r="1" spans="2:15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5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2:15" ht="27" customHeight="1" thickBot="1">
      <c r="B3" s="861" t="s">
        <v>464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2:15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6" t="s">
        <v>14</v>
      </c>
    </row>
    <row r="5" spans="2:15" ht="24.95" customHeight="1">
      <c r="B5" s="872">
        <v>1</v>
      </c>
      <c r="C5" s="900" t="s">
        <v>368</v>
      </c>
      <c r="D5" s="873" t="s">
        <v>377</v>
      </c>
      <c r="E5" s="873">
        <v>128897</v>
      </c>
      <c r="F5" s="874">
        <v>40157</v>
      </c>
      <c r="G5" s="874">
        <v>40159</v>
      </c>
      <c r="H5" s="17"/>
      <c r="I5" s="82"/>
      <c r="J5" s="16"/>
      <c r="K5" s="17"/>
      <c r="L5" s="16"/>
      <c r="M5" s="18"/>
      <c r="N5" s="80" t="s">
        <v>378</v>
      </c>
    </row>
    <row r="6" spans="2:15" ht="24.95" customHeight="1">
      <c r="B6" s="872"/>
      <c r="C6" s="900"/>
      <c r="D6" s="873"/>
      <c r="E6" s="873"/>
      <c r="F6" s="874"/>
      <c r="G6" s="874"/>
      <c r="H6" s="14"/>
      <c r="I6" s="15"/>
      <c r="J6" s="16"/>
      <c r="K6" s="17"/>
      <c r="L6" s="16"/>
      <c r="M6" s="18"/>
      <c r="N6" s="80" t="s">
        <v>379</v>
      </c>
    </row>
    <row r="7" spans="2:15" ht="24.95" hidden="1" customHeight="1">
      <c r="B7" s="162"/>
      <c r="C7" s="163"/>
      <c r="D7" s="163"/>
      <c r="E7" s="163"/>
      <c r="F7" s="164"/>
      <c r="G7" s="164"/>
      <c r="H7" s="14"/>
      <c r="I7" s="15"/>
      <c r="J7" s="16"/>
      <c r="K7" s="17"/>
      <c r="L7" s="16"/>
      <c r="M7" s="18"/>
      <c r="N7" s="19"/>
    </row>
    <row r="8" spans="2:15" ht="24.95" hidden="1" customHeight="1">
      <c r="B8" s="162"/>
      <c r="C8" s="163"/>
      <c r="D8" s="163"/>
      <c r="E8" s="163"/>
      <c r="F8" s="164"/>
      <c r="G8" s="164"/>
      <c r="H8" s="14"/>
      <c r="I8" s="15"/>
      <c r="J8" s="16"/>
      <c r="K8" s="17"/>
      <c r="L8" s="16"/>
      <c r="M8" s="18"/>
      <c r="N8" s="19"/>
    </row>
    <row r="9" spans="2:15" ht="24.95" hidden="1" customHeight="1">
      <c r="B9" s="162"/>
      <c r="C9" s="163"/>
      <c r="D9" s="163"/>
      <c r="E9" s="163"/>
      <c r="F9" s="164"/>
      <c r="G9" s="164"/>
      <c r="H9" s="14"/>
      <c r="I9" s="15"/>
      <c r="J9" s="16"/>
      <c r="K9" s="17"/>
      <c r="L9" s="16"/>
      <c r="M9" s="18"/>
      <c r="N9" s="19"/>
    </row>
    <row r="10" spans="2:15" ht="24.95" hidden="1" customHeight="1">
      <c r="B10" s="162"/>
      <c r="C10" s="163"/>
      <c r="D10" s="163"/>
      <c r="E10" s="163"/>
      <c r="F10" s="164"/>
      <c r="G10" s="164"/>
      <c r="H10" s="14"/>
      <c r="I10" s="15"/>
      <c r="J10" s="16"/>
      <c r="K10" s="17"/>
      <c r="L10" s="16"/>
      <c r="M10" s="18"/>
      <c r="N10" s="19"/>
    </row>
    <row r="11" spans="2:15" ht="24.95" hidden="1" customHeight="1">
      <c r="B11" s="162"/>
      <c r="C11" s="12"/>
      <c r="D11" s="12"/>
      <c r="E11" s="18"/>
      <c r="F11" s="13"/>
      <c r="G11" s="13"/>
      <c r="H11" s="17"/>
      <c r="I11" s="17"/>
      <c r="J11" s="16"/>
      <c r="K11" s="17"/>
      <c r="L11" s="17"/>
      <c r="M11" s="20"/>
      <c r="N11" s="19"/>
    </row>
    <row r="12" spans="2:15" ht="24.95" customHeight="1">
      <c r="B12" s="162">
        <v>2</v>
      </c>
      <c r="C12" s="165" t="s">
        <v>374</v>
      </c>
      <c r="D12" s="163" t="s">
        <v>375</v>
      </c>
      <c r="E12" s="163">
        <v>233570</v>
      </c>
      <c r="F12" s="164">
        <v>40155</v>
      </c>
      <c r="G12" s="164">
        <v>40158</v>
      </c>
      <c r="H12" s="17"/>
      <c r="I12" s="15"/>
      <c r="J12" s="16"/>
      <c r="K12" s="17"/>
      <c r="L12" s="16"/>
      <c r="M12" s="18"/>
      <c r="N12" s="80" t="s">
        <v>302</v>
      </c>
    </row>
    <row r="13" spans="2:15" ht="24.95" customHeight="1">
      <c r="B13" s="162">
        <v>3</v>
      </c>
      <c r="C13" s="165" t="s">
        <v>201</v>
      </c>
      <c r="D13" s="163" t="s">
        <v>344</v>
      </c>
      <c r="E13" s="163">
        <v>66285</v>
      </c>
      <c r="F13" s="164">
        <v>40152</v>
      </c>
      <c r="G13" s="164">
        <v>40153</v>
      </c>
      <c r="H13" s="17"/>
      <c r="I13" s="15"/>
      <c r="J13" s="16"/>
      <c r="K13" s="17"/>
      <c r="L13" s="16"/>
      <c r="M13" s="18"/>
      <c r="N13" s="80" t="s">
        <v>352</v>
      </c>
    </row>
    <row r="14" spans="2:15" ht="24.95" customHeight="1">
      <c r="B14" s="162">
        <v>4</v>
      </c>
      <c r="C14" s="165" t="s">
        <v>271</v>
      </c>
      <c r="D14" s="163" t="s">
        <v>338</v>
      </c>
      <c r="E14" s="163">
        <v>85697</v>
      </c>
      <c r="F14" s="164">
        <v>40150</v>
      </c>
      <c r="G14" s="164">
        <v>40155</v>
      </c>
      <c r="H14" s="17"/>
      <c r="I14" s="15"/>
      <c r="J14" s="16"/>
      <c r="K14" s="17"/>
      <c r="L14" s="16"/>
      <c r="M14" s="18"/>
      <c r="N14" s="80" t="s">
        <v>354</v>
      </c>
    </row>
    <row r="15" spans="2:15" ht="32.25" customHeight="1">
      <c r="B15" s="162">
        <v>5</v>
      </c>
      <c r="C15" s="165" t="s">
        <v>276</v>
      </c>
      <c r="D15" s="163" t="s">
        <v>313</v>
      </c>
      <c r="E15" s="163">
        <v>91313</v>
      </c>
      <c r="F15" s="164">
        <v>40149</v>
      </c>
      <c r="G15" s="164">
        <v>40152</v>
      </c>
      <c r="H15" s="14"/>
      <c r="I15" s="15"/>
      <c r="J15" s="16"/>
      <c r="K15" s="17"/>
      <c r="L15" s="16"/>
      <c r="M15" s="18"/>
      <c r="N15" s="80" t="s">
        <v>350</v>
      </c>
    </row>
    <row r="16" spans="2:15" ht="33.75" customHeight="1">
      <c r="B16" s="162">
        <v>6</v>
      </c>
      <c r="C16" s="165" t="s">
        <v>226</v>
      </c>
      <c r="D16" s="163" t="s">
        <v>397</v>
      </c>
      <c r="E16" s="163">
        <v>178825</v>
      </c>
      <c r="F16" s="164">
        <v>40164</v>
      </c>
      <c r="G16" s="164">
        <v>40164</v>
      </c>
      <c r="H16" s="17"/>
      <c r="I16" s="82"/>
      <c r="J16" s="16"/>
      <c r="K16" s="17"/>
      <c r="L16" s="16"/>
      <c r="M16" s="18"/>
      <c r="N16" s="80" t="s">
        <v>398</v>
      </c>
    </row>
    <row r="17" spans="2:14" ht="24.95" customHeight="1">
      <c r="B17" s="872">
        <v>7</v>
      </c>
      <c r="C17" s="900" t="s">
        <v>368</v>
      </c>
      <c r="D17" s="873" t="s">
        <v>395</v>
      </c>
      <c r="E17" s="873">
        <v>206330</v>
      </c>
      <c r="F17" s="874">
        <v>40164</v>
      </c>
      <c r="G17" s="874"/>
      <c r="H17" s="17"/>
      <c r="I17" s="82"/>
      <c r="J17" s="16"/>
      <c r="K17" s="17"/>
      <c r="L17" s="16"/>
      <c r="M17" s="18"/>
      <c r="N17" s="80" t="s">
        <v>400</v>
      </c>
    </row>
    <row r="18" spans="2:14" ht="24.95" customHeight="1">
      <c r="B18" s="872"/>
      <c r="C18" s="900"/>
      <c r="D18" s="873"/>
      <c r="E18" s="873"/>
      <c r="F18" s="874"/>
      <c r="G18" s="874"/>
      <c r="H18" s="14"/>
      <c r="I18" s="15"/>
      <c r="J18" s="16"/>
      <c r="K18" s="17"/>
      <c r="L18" s="16"/>
      <c r="M18" s="18"/>
      <c r="N18" s="80" t="s">
        <v>401</v>
      </c>
    </row>
    <row r="19" spans="2:14" ht="24.95" customHeight="1">
      <c r="B19" s="872"/>
      <c r="C19" s="900"/>
      <c r="D19" s="873"/>
      <c r="E19" s="873"/>
      <c r="F19" s="874"/>
      <c r="G19" s="874"/>
      <c r="H19" s="14"/>
      <c r="I19" s="15"/>
      <c r="J19" s="16"/>
      <c r="K19" s="17"/>
      <c r="L19" s="16"/>
      <c r="M19" s="18"/>
      <c r="N19" s="80" t="s">
        <v>402</v>
      </c>
    </row>
    <row r="20" spans="2:14" ht="41.25" customHeight="1">
      <c r="B20" s="162">
        <v>8</v>
      </c>
      <c r="C20" s="165" t="s">
        <v>226</v>
      </c>
      <c r="D20" s="163" t="s">
        <v>393</v>
      </c>
      <c r="E20" s="163">
        <v>104443</v>
      </c>
      <c r="F20" s="164">
        <v>40164</v>
      </c>
      <c r="G20" s="164">
        <v>40164</v>
      </c>
      <c r="H20" s="17"/>
      <c r="I20" s="82"/>
      <c r="J20" s="16"/>
      <c r="K20" s="17"/>
      <c r="L20" s="16"/>
      <c r="M20" s="18"/>
      <c r="N20" s="80" t="s">
        <v>162</v>
      </c>
    </row>
    <row r="21" spans="2:14" ht="36" customHeight="1">
      <c r="B21" s="162">
        <v>9</v>
      </c>
      <c r="C21" s="165" t="s">
        <v>359</v>
      </c>
      <c r="D21" s="163" t="s">
        <v>396</v>
      </c>
      <c r="E21" s="163">
        <v>76332</v>
      </c>
      <c r="F21" s="164">
        <v>40163</v>
      </c>
      <c r="G21" s="164">
        <v>40163</v>
      </c>
      <c r="H21" s="17"/>
      <c r="I21" s="82"/>
      <c r="J21" s="16"/>
      <c r="K21" s="17"/>
      <c r="L21" s="16"/>
      <c r="M21" s="18"/>
      <c r="N21" s="80" t="s">
        <v>47</v>
      </c>
    </row>
    <row r="22" spans="2:14" ht="42" customHeight="1" thickBot="1">
      <c r="B22" s="22">
        <v>10</v>
      </c>
      <c r="C22" s="169" t="s">
        <v>226</v>
      </c>
      <c r="D22" s="58" t="s">
        <v>384</v>
      </c>
      <c r="E22" s="58">
        <v>255874</v>
      </c>
      <c r="F22" s="170">
        <v>40160</v>
      </c>
      <c r="G22" s="170">
        <v>40160</v>
      </c>
      <c r="H22" s="26"/>
      <c r="I22" s="171"/>
      <c r="J22" s="27"/>
      <c r="K22" s="26"/>
      <c r="L22" s="27"/>
      <c r="M22" s="24"/>
      <c r="N22" s="172" t="s">
        <v>403</v>
      </c>
    </row>
    <row r="23" spans="2:14" ht="15.75" thickTop="1"/>
  </sheetData>
  <mergeCells count="15">
    <mergeCell ref="G17:G19"/>
    <mergeCell ref="B1:N1"/>
    <mergeCell ref="B2:N2"/>
    <mergeCell ref="B5:B6"/>
    <mergeCell ref="C5:C6"/>
    <mergeCell ref="D5:D6"/>
    <mergeCell ref="E5:E6"/>
    <mergeCell ref="F5:F6"/>
    <mergeCell ref="G5:G6"/>
    <mergeCell ref="B17:B19"/>
    <mergeCell ref="C17:C19"/>
    <mergeCell ref="D17:D19"/>
    <mergeCell ref="E17:E19"/>
    <mergeCell ref="F17:F19"/>
    <mergeCell ref="B3:N3"/>
  </mergeCells>
  <pageMargins left="0.19" right="0.15" top="0.21" bottom="0.28000000000000003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FF0000"/>
  </sheetPr>
  <dimension ref="A1:N33"/>
  <sheetViews>
    <sheetView view="pageBreakPreview" zoomScale="60" workbookViewId="0">
      <pane xSplit="3" ySplit="3" topLeftCell="D13" activePane="bottomRight" state="frozen"/>
      <selection activeCell="N14" sqref="N14"/>
      <selection pane="topRight" activeCell="N14" sqref="N14"/>
      <selection pane="bottomLeft" activeCell="N14" sqref="N14"/>
      <selection pane="bottomRight" activeCell="N14" sqref="N14"/>
    </sheetView>
  </sheetViews>
  <sheetFormatPr defaultRowHeight="15"/>
  <cols>
    <col min="1" max="1" width="1.140625" customWidth="1"/>
    <col min="2" max="2" width="6.28515625" customWidth="1"/>
    <col min="3" max="3" width="12.85546875" customWidth="1"/>
    <col min="4" max="4" width="11.85546875" customWidth="1"/>
    <col min="5" max="5" width="29.5703125" customWidth="1"/>
    <col min="6" max="6" width="27.28515625" customWidth="1"/>
    <col min="7" max="7" width="6.28515625" customWidth="1"/>
    <col min="8" max="8" width="11.7109375" customWidth="1"/>
    <col min="9" max="9" width="6.42578125" customWidth="1"/>
    <col min="10" max="10" width="13.85546875" customWidth="1"/>
    <col min="11" max="11" width="35.85546875" customWidth="1"/>
    <col min="12" max="12" width="34.5703125" customWidth="1"/>
    <col min="13" max="13" width="11" customWidth="1"/>
    <col min="14" max="14" width="17.5703125" customWidth="1"/>
  </cols>
  <sheetData>
    <row r="1" spans="2:14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2:14" ht="27" customHeight="1">
      <c r="B2" s="861" t="s">
        <v>427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3" spans="2:14" ht="9" customHeight="1" thickBot="1">
      <c r="B3" s="862"/>
      <c r="C3" s="862"/>
      <c r="D3" s="862"/>
      <c r="E3" s="862"/>
      <c r="F3" s="862"/>
      <c r="G3" s="862"/>
      <c r="H3" s="862"/>
      <c r="I3" s="862"/>
    </row>
    <row r="4" spans="2:14" s="6" customFormat="1" ht="63.75" customHeight="1" thickTop="1">
      <c r="B4" s="33" t="s">
        <v>2</v>
      </c>
      <c r="C4" s="34" t="s">
        <v>3</v>
      </c>
      <c r="D4" s="35" t="s">
        <v>4</v>
      </c>
      <c r="E4" s="35" t="s">
        <v>8</v>
      </c>
      <c r="F4" s="34" t="s">
        <v>9</v>
      </c>
      <c r="G4" s="34" t="s">
        <v>10</v>
      </c>
      <c r="H4" s="34" t="s">
        <v>11</v>
      </c>
      <c r="I4" s="34" t="s">
        <v>12</v>
      </c>
      <c r="J4" s="34" t="s">
        <v>13</v>
      </c>
      <c r="K4" s="34" t="s">
        <v>14</v>
      </c>
      <c r="L4" s="208" t="s">
        <v>461</v>
      </c>
      <c r="M4" s="208" t="s">
        <v>495</v>
      </c>
      <c r="N4" s="36" t="s">
        <v>428</v>
      </c>
    </row>
    <row r="5" spans="2:14" ht="24.95" customHeight="1">
      <c r="B5" s="180"/>
      <c r="C5" s="181"/>
      <c r="D5" s="181"/>
      <c r="E5" s="17"/>
      <c r="F5" s="15"/>
      <c r="G5" s="16"/>
      <c r="H5" s="17"/>
      <c r="I5" s="16"/>
      <c r="J5" s="18"/>
      <c r="K5" s="18"/>
      <c r="L5" s="209"/>
      <c r="M5" s="209"/>
      <c r="N5" s="19"/>
    </row>
    <row r="6" spans="2:14" ht="35.25" customHeight="1">
      <c r="B6" s="180"/>
      <c r="C6" s="12"/>
      <c r="D6" s="12"/>
      <c r="E6" s="14"/>
      <c r="F6" s="15"/>
      <c r="G6" s="16"/>
      <c r="H6" s="17"/>
      <c r="I6" s="16"/>
      <c r="J6" s="18"/>
      <c r="K6" s="18"/>
      <c r="L6" s="209"/>
      <c r="M6" s="209"/>
      <c r="N6" s="55"/>
    </row>
    <row r="7" spans="2:14" ht="24.95" customHeight="1">
      <c r="B7" s="180"/>
      <c r="C7" s="12"/>
      <c r="D7" s="12"/>
      <c r="E7" s="17"/>
      <c r="F7" s="15"/>
      <c r="G7" s="16"/>
      <c r="H7" s="17"/>
      <c r="I7" s="17"/>
      <c r="J7" s="18"/>
      <c r="K7" s="18"/>
      <c r="L7" s="209"/>
      <c r="M7" s="209"/>
      <c r="N7" s="55"/>
    </row>
    <row r="8" spans="2:14" ht="30" customHeight="1">
      <c r="B8" s="180"/>
      <c r="C8" s="12"/>
      <c r="D8" s="12"/>
      <c r="E8" s="14"/>
      <c r="F8" s="15"/>
      <c r="G8" s="16"/>
      <c r="H8" s="17"/>
      <c r="I8" s="17"/>
      <c r="J8" s="18"/>
      <c r="K8" s="18"/>
      <c r="L8" s="209"/>
      <c r="M8" s="209"/>
      <c r="N8" s="55"/>
    </row>
    <row r="9" spans="2:14" ht="31.5" customHeight="1">
      <c r="B9" s="180"/>
      <c r="C9" s="12"/>
      <c r="D9" s="12"/>
      <c r="E9" s="14"/>
      <c r="F9" s="15"/>
      <c r="G9" s="16"/>
      <c r="H9" s="20"/>
      <c r="I9" s="17"/>
      <c r="J9" s="18"/>
      <c r="K9" s="18"/>
      <c r="L9" s="209"/>
      <c r="M9" s="209"/>
      <c r="N9" s="55"/>
    </row>
    <row r="10" spans="2:14" ht="24.95" customHeight="1">
      <c r="B10" s="180"/>
      <c r="C10" s="12"/>
      <c r="D10" s="12"/>
      <c r="E10" s="17"/>
      <c r="F10" s="15"/>
      <c r="G10" s="16"/>
      <c r="H10" s="17"/>
      <c r="I10" s="17"/>
      <c r="J10" s="18"/>
      <c r="K10" s="18"/>
      <c r="L10" s="209"/>
      <c r="M10" s="209"/>
      <c r="N10" s="55"/>
    </row>
    <row r="11" spans="2:14" ht="24.95" customHeight="1">
      <c r="B11" s="180"/>
      <c r="C11" s="12"/>
      <c r="D11" s="12"/>
      <c r="E11" s="17"/>
      <c r="F11" s="15"/>
      <c r="G11" s="16"/>
      <c r="H11" s="17"/>
      <c r="I11" s="16"/>
      <c r="J11" s="18"/>
      <c r="K11" s="18"/>
      <c r="L11" s="209"/>
      <c r="M11" s="209"/>
      <c r="N11" s="55"/>
    </row>
    <row r="12" spans="2:14" ht="24.95" customHeight="1">
      <c r="B12" s="180"/>
      <c r="C12" s="12"/>
      <c r="D12" s="12"/>
      <c r="E12" s="17"/>
      <c r="F12" s="15"/>
      <c r="G12" s="16"/>
      <c r="H12" s="17"/>
      <c r="I12" s="16"/>
      <c r="J12" s="18"/>
      <c r="K12" s="18"/>
      <c r="L12" s="209"/>
      <c r="M12" s="209"/>
      <c r="N12" s="55"/>
    </row>
    <row r="13" spans="2:14" ht="24.95" customHeight="1">
      <c r="B13" s="180"/>
      <c r="C13" s="12"/>
      <c r="D13" s="12"/>
      <c r="E13" s="17"/>
      <c r="F13" s="15"/>
      <c r="G13" s="16"/>
      <c r="H13" s="17"/>
      <c r="I13" s="16"/>
      <c r="J13" s="18"/>
      <c r="K13" s="18"/>
      <c r="L13" s="209"/>
      <c r="M13" s="209"/>
      <c r="N13" s="55"/>
    </row>
    <row r="14" spans="2:14" ht="24.95" customHeight="1">
      <c r="B14" s="180"/>
      <c r="C14" s="12"/>
      <c r="D14" s="12"/>
      <c r="E14" s="14"/>
      <c r="F14" s="15"/>
      <c r="G14" s="16"/>
      <c r="H14" s="17"/>
      <c r="I14" s="17"/>
      <c r="J14" s="18"/>
      <c r="K14" s="18"/>
      <c r="L14" s="209"/>
      <c r="M14" s="209"/>
      <c r="N14" s="55"/>
    </row>
    <row r="15" spans="2:14" ht="24.95" customHeight="1">
      <c r="B15" s="180"/>
      <c r="C15" s="12"/>
      <c r="D15" s="12"/>
      <c r="E15" s="17"/>
      <c r="F15" s="15"/>
      <c r="G15" s="16"/>
      <c r="H15" s="17"/>
      <c r="I15" s="17"/>
      <c r="J15" s="18"/>
      <c r="K15" s="18"/>
      <c r="L15" s="209"/>
      <c r="M15" s="209"/>
      <c r="N15" s="55"/>
    </row>
    <row r="16" spans="2:14" ht="24.95" customHeight="1">
      <c r="B16" s="180"/>
      <c r="C16" s="12"/>
      <c r="D16" s="12"/>
      <c r="E16" s="17"/>
      <c r="F16" s="17"/>
      <c r="G16" s="16"/>
      <c r="H16" s="17"/>
      <c r="I16" s="17"/>
      <c r="J16" s="18"/>
      <c r="K16" s="18"/>
      <c r="L16" s="209"/>
      <c r="M16" s="209"/>
      <c r="N16" s="55"/>
    </row>
    <row r="17" spans="1:14" ht="24.95" customHeight="1">
      <c r="B17" s="180"/>
      <c r="C17" s="12"/>
      <c r="D17" s="12"/>
      <c r="E17" s="17"/>
      <c r="F17" s="17"/>
      <c r="G17" s="16"/>
      <c r="H17" s="17"/>
      <c r="I17" s="17"/>
      <c r="J17" s="18"/>
      <c r="K17" s="18"/>
      <c r="L17" s="209"/>
      <c r="M17" s="209"/>
      <c r="N17" s="55"/>
    </row>
    <row r="18" spans="1:14" ht="24.95" customHeight="1">
      <c r="B18" s="180"/>
      <c r="C18" s="12"/>
      <c r="D18" s="12"/>
      <c r="E18" s="17"/>
      <c r="F18" s="17"/>
      <c r="G18" s="16"/>
      <c r="H18" s="17"/>
      <c r="I18" s="17"/>
      <c r="J18" s="18"/>
      <c r="K18" s="18"/>
      <c r="L18" s="209"/>
      <c r="M18" s="209"/>
      <c r="N18" s="55"/>
    </row>
    <row r="19" spans="1:14" ht="24.95" customHeight="1">
      <c r="B19" s="180"/>
      <c r="C19" s="12"/>
      <c r="D19" s="12"/>
      <c r="E19" s="17"/>
      <c r="F19" s="17"/>
      <c r="G19" s="16"/>
      <c r="H19" s="17"/>
      <c r="I19" s="17"/>
      <c r="J19" s="18"/>
      <c r="K19" s="18"/>
      <c r="L19" s="209"/>
      <c r="M19" s="209"/>
      <c r="N19" s="55"/>
    </row>
    <row r="20" spans="1:14" ht="24.95" customHeight="1">
      <c r="B20" s="180"/>
      <c r="C20" s="12"/>
      <c r="D20" s="12"/>
      <c r="E20" s="17"/>
      <c r="F20" s="17"/>
      <c r="G20" s="16"/>
      <c r="H20" s="17"/>
      <c r="I20" s="17"/>
      <c r="J20" s="18"/>
      <c r="K20" s="18"/>
      <c r="L20" s="209"/>
      <c r="M20" s="209"/>
      <c r="N20" s="55"/>
    </row>
    <row r="21" spans="1:14" ht="24.95" customHeight="1">
      <c r="B21" s="180"/>
      <c r="C21" s="12"/>
      <c r="D21" s="12"/>
      <c r="E21" s="17"/>
      <c r="F21" s="17"/>
      <c r="G21" s="16"/>
      <c r="H21" s="17"/>
      <c r="I21" s="17"/>
      <c r="J21" s="18"/>
      <c r="K21" s="18"/>
      <c r="L21" s="209"/>
      <c r="M21" s="209"/>
      <c r="N21" s="55"/>
    </row>
    <row r="22" spans="1:14" ht="24.95" customHeight="1">
      <c r="B22" s="180"/>
      <c r="C22" s="12"/>
      <c r="D22" s="12"/>
      <c r="E22" s="17"/>
      <c r="F22" s="17"/>
      <c r="G22" s="16"/>
      <c r="H22" s="17"/>
      <c r="I22" s="17"/>
      <c r="J22" s="18"/>
      <c r="K22" s="18"/>
      <c r="L22" s="209"/>
      <c r="M22" s="209"/>
      <c r="N22" s="55"/>
    </row>
    <row r="23" spans="1:14" ht="24.95" customHeight="1">
      <c r="B23" s="180"/>
      <c r="C23" s="12"/>
      <c r="D23" s="12"/>
      <c r="E23" s="17"/>
      <c r="F23" s="17"/>
      <c r="G23" s="16"/>
      <c r="H23" s="17"/>
      <c r="I23" s="17"/>
      <c r="J23" s="18"/>
      <c r="K23" s="18"/>
      <c r="L23" s="209"/>
      <c r="M23" s="209"/>
      <c r="N23" s="55"/>
    </row>
    <row r="24" spans="1:14" ht="24.95" customHeight="1">
      <c r="B24" s="180"/>
      <c r="C24" s="12"/>
      <c r="D24" s="12"/>
      <c r="E24" s="17"/>
      <c r="F24" s="17"/>
      <c r="G24" s="16"/>
      <c r="H24" s="17"/>
      <c r="I24" s="17"/>
      <c r="J24" s="18"/>
      <c r="K24" s="18"/>
      <c r="L24" s="209"/>
      <c r="M24" s="209"/>
      <c r="N24" s="55"/>
    </row>
    <row r="25" spans="1:14" ht="24.95" customHeight="1">
      <c r="B25" s="180"/>
      <c r="C25" s="12"/>
      <c r="D25" s="12"/>
      <c r="E25" s="17"/>
      <c r="F25" s="17"/>
      <c r="G25" s="16"/>
      <c r="H25" s="17"/>
      <c r="I25" s="17"/>
      <c r="J25" s="18"/>
      <c r="K25" s="18"/>
      <c r="L25" s="209"/>
      <c r="M25" s="209"/>
      <c r="N25" s="55"/>
    </row>
    <row r="26" spans="1:14" ht="24.95" customHeight="1">
      <c r="B26" s="180"/>
      <c r="C26" s="12"/>
      <c r="D26" s="12"/>
      <c r="E26" s="17"/>
      <c r="F26" s="17"/>
      <c r="G26" s="16"/>
      <c r="H26" s="17"/>
      <c r="I26" s="17"/>
      <c r="J26" s="18"/>
      <c r="K26" s="18"/>
      <c r="L26" s="209"/>
      <c r="M26" s="209"/>
      <c r="N26" s="55"/>
    </row>
    <row r="27" spans="1:14" ht="38.1" customHeight="1" thickBot="1">
      <c r="B27" s="868" t="s">
        <v>48</v>
      </c>
      <c r="C27" s="869"/>
      <c r="D27" s="869"/>
      <c r="E27" s="869"/>
      <c r="F27" s="870"/>
      <c r="G27" s="870"/>
      <c r="H27" s="870"/>
      <c r="I27" s="870"/>
      <c r="J27" s="56"/>
      <c r="K27" s="56"/>
      <c r="L27" s="210"/>
      <c r="M27" s="210"/>
      <c r="N27" s="57"/>
    </row>
    <row r="28" spans="1:14" ht="24.95" customHeight="1" thickTop="1">
      <c r="A28" s="866" t="s">
        <v>59</v>
      </c>
      <c r="B28" s="866"/>
      <c r="C28" s="866"/>
      <c r="D28" s="866"/>
      <c r="E28" s="866"/>
      <c r="F28" s="866"/>
      <c r="G28" s="866"/>
      <c r="H28" s="61"/>
      <c r="I28" s="61"/>
      <c r="J28" s="866" t="s">
        <v>61</v>
      </c>
      <c r="K28" s="866"/>
      <c r="L28" s="866"/>
      <c r="M28" s="866"/>
      <c r="N28" s="866"/>
    </row>
    <row r="29" spans="1:14" ht="24.95" customHeight="1"/>
    <row r="30" spans="1:14" ht="24.95" customHeight="1"/>
    <row r="31" spans="1:14" ht="24.95" customHeight="1"/>
    <row r="32" spans="1:14" ht="20.100000000000001" customHeight="1"/>
    <row r="33" ht="20.100000000000001" customHeight="1"/>
  </sheetData>
  <mergeCells count="8">
    <mergeCell ref="B1:N1"/>
    <mergeCell ref="B2:N2"/>
    <mergeCell ref="B3:I3"/>
    <mergeCell ref="A28:D28"/>
    <mergeCell ref="E28:G28"/>
    <mergeCell ref="J28:N28"/>
    <mergeCell ref="B27:E27"/>
    <mergeCell ref="F27:I27"/>
  </mergeCells>
  <pageMargins left="0.19" right="0.15" top="0.21" bottom="0.28000000000000003" header="0.3" footer="0.3"/>
  <pageSetup scale="60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P13" sqref="P13"/>
    </sheetView>
  </sheetViews>
  <sheetFormatPr defaultRowHeight="1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U19"/>
  <sheetViews>
    <sheetView view="pageBreakPreview" zoomScale="90" zoomScaleSheetLayoutView="90" workbookViewId="0">
      <pane xSplit="3" ySplit="4" topLeftCell="D5" activePane="bottomRight" state="frozen"/>
      <selection activeCell="N14" sqref="N14"/>
      <selection pane="topRight" activeCell="N14" sqref="N14"/>
      <selection pane="bottomLeft" activeCell="N14" sqref="N14"/>
      <selection pane="bottomRight" activeCell="B4" sqref="B4:P13"/>
    </sheetView>
  </sheetViews>
  <sheetFormatPr defaultRowHeight="15"/>
  <cols>
    <col min="1" max="1" width="1.140625" customWidth="1"/>
    <col min="2" max="2" width="6.140625" customWidth="1"/>
    <col min="3" max="3" width="13" customWidth="1"/>
    <col min="4" max="4" width="10.85546875" customWidth="1"/>
    <col min="5" max="5" width="13.42578125" customWidth="1"/>
    <col min="6" max="6" width="11.42578125" customWidth="1"/>
    <col min="7" max="7" width="12.28515625" customWidth="1"/>
    <col min="8" max="8" width="23.42578125" customWidth="1"/>
    <col min="9" max="9" width="13.85546875" customWidth="1"/>
    <col min="10" max="10" width="6.28515625" customWidth="1"/>
    <col min="11" max="11" width="13.5703125" customWidth="1"/>
    <col min="12" max="12" width="6.42578125" customWidth="1"/>
    <col min="13" max="13" width="13.140625" customWidth="1"/>
    <col min="14" max="14" width="29.85546875" customWidth="1"/>
  </cols>
  <sheetData>
    <row r="1" spans="1:21" ht="28.5" customHeight="1">
      <c r="B1" s="860" t="s">
        <v>0</v>
      </c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</row>
    <row r="2" spans="1:21" ht="28.5" customHeight="1">
      <c r="B2" s="860" t="s">
        <v>463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211"/>
    </row>
    <row r="3" spans="1:21" ht="27" customHeight="1" thickBot="1">
      <c r="B3" s="861" t="s">
        <v>487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</row>
    <row r="4" spans="1:21" s="6" customFormat="1" ht="48.75" customHeight="1" thickTop="1">
      <c r="B4" s="33" t="s">
        <v>2</v>
      </c>
      <c r="C4" s="34" t="s">
        <v>3</v>
      </c>
      <c r="D4" s="35" t="s">
        <v>4</v>
      </c>
      <c r="E4" s="34" t="s">
        <v>199</v>
      </c>
      <c r="F4" s="34" t="s">
        <v>6</v>
      </c>
      <c r="G4" s="34" t="s">
        <v>7</v>
      </c>
      <c r="H4" s="35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9</v>
      </c>
      <c r="P4" s="36" t="s">
        <v>10</v>
      </c>
    </row>
    <row r="5" spans="1:21" ht="24.95" customHeight="1">
      <c r="B5" s="863">
        <v>1</v>
      </c>
      <c r="C5" s="897" t="s">
        <v>887</v>
      </c>
      <c r="D5" s="864" t="s">
        <v>886</v>
      </c>
      <c r="E5" s="864">
        <v>352164</v>
      </c>
      <c r="F5" s="865">
        <v>40510</v>
      </c>
      <c r="G5" s="865">
        <v>40515</v>
      </c>
      <c r="H5" s="681" t="s">
        <v>889</v>
      </c>
      <c r="I5" s="682"/>
      <c r="J5" s="683">
        <v>1</v>
      </c>
      <c r="K5" s="681" t="s">
        <v>713</v>
      </c>
      <c r="L5" s="683">
        <v>15</v>
      </c>
      <c r="M5" s="897" t="s">
        <v>672</v>
      </c>
      <c r="N5" s="684" t="s">
        <v>894</v>
      </c>
      <c r="O5" s="731">
        <v>4</v>
      </c>
      <c r="P5" s="685"/>
    </row>
    <row r="6" spans="1:21" ht="24.95" customHeight="1">
      <c r="B6" s="852"/>
      <c r="C6" s="898"/>
      <c r="D6" s="855"/>
      <c r="E6" s="855"/>
      <c r="F6" s="839"/>
      <c r="G6" s="839"/>
      <c r="H6" s="684" t="s">
        <v>890</v>
      </c>
      <c r="I6" s="686"/>
      <c r="J6" s="683">
        <v>1</v>
      </c>
      <c r="K6" s="681" t="s">
        <v>826</v>
      </c>
      <c r="L6" s="683">
        <v>10</v>
      </c>
      <c r="M6" s="898"/>
      <c r="N6" s="684" t="s">
        <v>895</v>
      </c>
      <c r="O6" s="731">
        <v>4</v>
      </c>
      <c r="P6" s="685"/>
    </row>
    <row r="7" spans="1:21" ht="24.95" customHeight="1">
      <c r="B7" s="852"/>
      <c r="C7" s="898"/>
      <c r="D7" s="855"/>
      <c r="E7" s="855"/>
      <c r="F7" s="839"/>
      <c r="G7" s="839"/>
      <c r="H7" s="684" t="s">
        <v>891</v>
      </c>
      <c r="I7" s="686"/>
      <c r="J7" s="683">
        <v>1</v>
      </c>
      <c r="K7" s="681"/>
      <c r="L7" s="683"/>
      <c r="M7" s="898"/>
      <c r="N7" s="684" t="s">
        <v>896</v>
      </c>
      <c r="O7" s="731">
        <v>2</v>
      </c>
      <c r="P7" s="685"/>
    </row>
    <row r="8" spans="1:21" ht="24.95" customHeight="1">
      <c r="B8" s="852"/>
      <c r="C8" s="898"/>
      <c r="D8" s="855"/>
      <c r="E8" s="855"/>
      <c r="F8" s="839"/>
      <c r="G8" s="839"/>
      <c r="H8" s="684" t="s">
        <v>892</v>
      </c>
      <c r="I8" s="686"/>
      <c r="J8" s="683">
        <v>1</v>
      </c>
      <c r="K8" s="681"/>
      <c r="L8" s="683"/>
      <c r="M8" s="898"/>
      <c r="N8" s="690"/>
      <c r="O8" s="680"/>
      <c r="P8" s="685"/>
    </row>
    <row r="9" spans="1:21" ht="24.95" customHeight="1">
      <c r="B9" s="852"/>
      <c r="C9" s="898"/>
      <c r="D9" s="855"/>
      <c r="E9" s="855"/>
      <c r="F9" s="839"/>
      <c r="G9" s="839"/>
      <c r="H9" s="684" t="s">
        <v>893</v>
      </c>
      <c r="I9" s="686"/>
      <c r="J9" s="683">
        <v>2</v>
      </c>
      <c r="K9" s="681"/>
      <c r="L9" s="683"/>
      <c r="M9" s="898"/>
      <c r="N9" s="690"/>
      <c r="O9" s="680"/>
      <c r="P9" s="685"/>
    </row>
    <row r="10" spans="1:21" ht="24.95" customHeight="1">
      <c r="B10" s="852"/>
      <c r="C10" s="898"/>
      <c r="D10" s="855"/>
      <c r="E10" s="855"/>
      <c r="F10" s="839"/>
      <c r="G10" s="839"/>
      <c r="H10" s="684" t="s">
        <v>909</v>
      </c>
      <c r="I10" s="686"/>
      <c r="J10" s="683">
        <v>1</v>
      </c>
      <c r="K10" s="681"/>
      <c r="L10" s="683"/>
      <c r="M10" s="898"/>
      <c r="N10" s="690"/>
      <c r="O10" s="680"/>
      <c r="P10" s="685"/>
    </row>
    <row r="11" spans="1:21" ht="24.95" customHeight="1">
      <c r="B11" s="852"/>
      <c r="C11" s="898"/>
      <c r="D11" s="855"/>
      <c r="E11" s="855"/>
      <c r="F11" s="839"/>
      <c r="G11" s="839"/>
      <c r="H11" s="684" t="s">
        <v>910</v>
      </c>
      <c r="I11" s="686">
        <v>5878316020</v>
      </c>
      <c r="J11" s="683">
        <v>1</v>
      </c>
      <c r="K11" s="681"/>
      <c r="L11" s="683"/>
      <c r="M11" s="898"/>
      <c r="N11" s="690"/>
      <c r="O11" s="680"/>
      <c r="P11" s="685"/>
    </row>
    <row r="12" spans="1:21" ht="24.95" customHeight="1">
      <c r="B12" s="858"/>
      <c r="C12" s="1075"/>
      <c r="D12" s="1126"/>
      <c r="E12" s="1126"/>
      <c r="F12" s="1042"/>
      <c r="G12" s="1042"/>
      <c r="H12" s="681"/>
      <c r="I12" s="681"/>
      <c r="J12" s="683"/>
      <c r="K12" s="681"/>
      <c r="L12" s="681"/>
      <c r="M12" s="1075"/>
      <c r="N12" s="690"/>
      <c r="O12" s="680"/>
      <c r="P12" s="685"/>
    </row>
    <row r="13" spans="1:21" ht="26.25" customHeight="1" thickBot="1">
      <c r="B13" s="1149" t="s">
        <v>48</v>
      </c>
      <c r="C13" s="1150"/>
      <c r="D13" s="1150"/>
      <c r="E13" s="1150"/>
      <c r="F13" s="1150"/>
      <c r="G13" s="1150"/>
      <c r="H13" s="1150"/>
      <c r="I13" s="1151">
        <f>739.13+652.17+565.21+43.47+233.39+L5*84.01+L6*89.08+1000+434.78</f>
        <v>5819.0999999999995</v>
      </c>
      <c r="J13" s="1151"/>
      <c r="K13" s="1151"/>
      <c r="L13" s="1151"/>
      <c r="M13" s="693"/>
      <c r="N13" s="694"/>
      <c r="O13" s="695"/>
      <c r="P13" s="696"/>
    </row>
    <row r="14" spans="1:21" ht="409.6" customHeight="1" thickTop="1" thickBot="1">
      <c r="A14" s="1052" t="s">
        <v>973</v>
      </c>
      <c r="B14" s="937"/>
      <c r="C14" s="937"/>
      <c r="D14" s="937"/>
      <c r="E14" s="937"/>
      <c r="F14" s="937"/>
      <c r="G14" s="937"/>
      <c r="H14" s="937"/>
      <c r="I14" s="937"/>
      <c r="J14" s="937"/>
      <c r="K14" s="937"/>
      <c r="L14" s="937"/>
      <c r="M14" s="937"/>
      <c r="T14" s="39"/>
      <c r="U14" s="39"/>
    </row>
    <row r="15" spans="1:21">
      <c r="B15" s="1209" t="s">
        <v>974</v>
      </c>
      <c r="C15" s="1202"/>
      <c r="D15" s="1202"/>
      <c r="E15" s="814"/>
      <c r="F15" s="1201"/>
      <c r="G15" s="1202"/>
      <c r="H15" s="1202"/>
      <c r="I15" s="811" t="s">
        <v>980</v>
      </c>
      <c r="J15" s="1203" t="s">
        <v>974</v>
      </c>
      <c r="K15" s="1195" t="s">
        <v>975</v>
      </c>
      <c r="L15" s="1206" t="s">
        <v>976</v>
      </c>
      <c r="M15" s="808" t="s">
        <v>981</v>
      </c>
      <c r="N15" s="1203" t="s">
        <v>974</v>
      </c>
      <c r="O15" s="1195" t="s">
        <v>975</v>
      </c>
      <c r="P15" s="1206" t="s">
        <v>976</v>
      </c>
      <c r="Q15" s="808" t="s">
        <v>982</v>
      </c>
    </row>
    <row r="16" spans="1:21" ht="15.75" thickBot="1">
      <c r="B16" s="1210"/>
      <c r="C16" s="1202"/>
      <c r="D16" s="1202"/>
      <c r="E16" s="815"/>
      <c r="F16" s="1201"/>
      <c r="G16" s="1202"/>
      <c r="H16" s="1202"/>
      <c r="I16" s="812"/>
      <c r="J16" s="1205"/>
      <c r="K16" s="1197"/>
      <c r="L16" s="1207"/>
      <c r="M16" s="809"/>
      <c r="N16" s="1205"/>
      <c r="O16" s="1197"/>
      <c r="P16" s="1207"/>
      <c r="Q16" s="809"/>
    </row>
    <row r="17" spans="2:17" ht="15" customHeight="1">
      <c r="B17" s="1198" t="s">
        <v>977</v>
      </c>
      <c r="C17" s="1199"/>
      <c r="D17" s="1200"/>
      <c r="E17" s="814"/>
      <c r="F17" s="1201"/>
      <c r="G17" s="1202"/>
      <c r="H17" s="1202"/>
      <c r="I17" s="811" t="s">
        <v>979</v>
      </c>
      <c r="J17" s="1203" t="s">
        <v>977</v>
      </c>
      <c r="K17" s="1195" t="s">
        <v>978</v>
      </c>
      <c r="L17" s="1206" t="s">
        <v>976</v>
      </c>
      <c r="M17" s="808" t="s">
        <v>979</v>
      </c>
      <c r="N17" s="1203" t="s">
        <v>977</v>
      </c>
      <c r="O17" s="1195" t="s">
        <v>978</v>
      </c>
      <c r="P17" s="1206" t="s">
        <v>976</v>
      </c>
      <c r="Q17" s="808" t="s">
        <v>979</v>
      </c>
    </row>
    <row r="18" spans="2:17">
      <c r="B18" s="1198"/>
      <c r="C18" s="1199"/>
      <c r="D18" s="1200"/>
      <c r="E18" s="815"/>
      <c r="F18" s="1201"/>
      <c r="G18" s="1202"/>
      <c r="H18" s="1202"/>
      <c r="I18" s="813"/>
      <c r="J18" s="1204"/>
      <c r="K18" s="1196"/>
      <c r="L18" s="1208"/>
      <c r="M18" s="810"/>
      <c r="N18" s="1204"/>
      <c r="O18" s="1196"/>
      <c r="P18" s="1208"/>
      <c r="Q18" s="810"/>
    </row>
    <row r="19" spans="2:17" ht="15.75" thickBot="1">
      <c r="B19" s="1198"/>
      <c r="C19" s="1199"/>
      <c r="D19" s="1200"/>
      <c r="E19" s="815"/>
      <c r="F19" s="1201"/>
      <c r="G19" s="1202"/>
      <c r="H19" s="1202"/>
      <c r="I19" s="812"/>
      <c r="J19" s="1205"/>
      <c r="K19" s="1197"/>
      <c r="L19" s="1207"/>
      <c r="M19" s="809"/>
      <c r="N19" s="1205"/>
      <c r="O19" s="1197"/>
      <c r="P19" s="1207"/>
      <c r="Q19" s="809"/>
    </row>
  </sheetData>
  <mergeCells count="35">
    <mergeCell ref="H15:H16"/>
    <mergeCell ref="J15:J16"/>
    <mergeCell ref="B15:B16"/>
    <mergeCell ref="C15:C16"/>
    <mergeCell ref="D15:D16"/>
    <mergeCell ref="F15:F16"/>
    <mergeCell ref="G15:G16"/>
    <mergeCell ref="B1:N1"/>
    <mergeCell ref="B2:N2"/>
    <mergeCell ref="B3:N3"/>
    <mergeCell ref="K15:K16"/>
    <mergeCell ref="L15:L16"/>
    <mergeCell ref="N15:N16"/>
    <mergeCell ref="A14:M14"/>
    <mergeCell ref="C5:C12"/>
    <mergeCell ref="B5:B12"/>
    <mergeCell ref="D5:D12"/>
    <mergeCell ref="E5:E12"/>
    <mergeCell ref="F5:F12"/>
    <mergeCell ref="G5:G12"/>
    <mergeCell ref="M5:M12"/>
    <mergeCell ref="B13:H13"/>
    <mergeCell ref="I13:L13"/>
    <mergeCell ref="O15:O16"/>
    <mergeCell ref="P15:P16"/>
    <mergeCell ref="L17:L19"/>
    <mergeCell ref="N17:N19"/>
    <mergeCell ref="O17:O19"/>
    <mergeCell ref="P17:P19"/>
    <mergeCell ref="K17:K19"/>
    <mergeCell ref="B17:D19"/>
    <mergeCell ref="F17:F19"/>
    <mergeCell ref="G17:G19"/>
    <mergeCell ref="H17:H19"/>
    <mergeCell ref="J17:J19"/>
  </mergeCells>
  <pageMargins left="0.19" right="0.15" top="0.21" bottom="0.28000000000000003" header="0.3" footer="0.3"/>
  <pageSetup scale="70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B1:P20"/>
  <sheetViews>
    <sheetView workbookViewId="0">
      <selection activeCell="B5" sqref="B1:P1048576"/>
    </sheetView>
  </sheetViews>
  <sheetFormatPr defaultRowHeight="15"/>
  <cols>
    <col min="3" max="3" width="18.7109375" customWidth="1"/>
    <col min="4" max="4" width="14.85546875" customWidth="1"/>
    <col min="5" max="5" width="14.42578125" customWidth="1"/>
    <col min="6" max="6" width="10.28515625" customWidth="1"/>
    <col min="7" max="7" width="11.7109375" customWidth="1"/>
    <col min="8" max="8" width="18.85546875" customWidth="1"/>
    <col min="9" max="9" width="22.28515625" customWidth="1"/>
    <col min="11" max="11" width="10.5703125" customWidth="1"/>
    <col min="13" max="13" width="11" customWidth="1"/>
    <col min="14" max="14" width="13.85546875" customWidth="1"/>
  </cols>
  <sheetData>
    <row r="1" spans="2:16" s="833" customFormat="1" ht="18.75" customHeight="1" thickBot="1">
      <c r="B1" s="1234" t="s">
        <v>983</v>
      </c>
      <c r="C1" s="1235"/>
      <c r="D1" s="1228" t="s">
        <v>984</v>
      </c>
      <c r="E1" s="1228"/>
      <c r="F1" s="1228"/>
      <c r="G1" s="1228"/>
      <c r="H1" s="1228"/>
      <c r="I1" s="1228"/>
      <c r="J1" s="1228"/>
      <c r="K1" s="1228"/>
      <c r="L1" s="1228"/>
      <c r="M1" s="1228"/>
      <c r="N1" s="1228"/>
      <c r="O1" s="1236" t="s">
        <v>985</v>
      </c>
      <c r="P1" s="1236"/>
    </row>
    <row r="2" spans="2:16" s="833" customFormat="1" ht="16.5" customHeight="1" thickBot="1">
      <c r="B2" s="1237" t="s">
        <v>986</v>
      </c>
      <c r="C2" s="123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28"/>
      <c r="O2" s="1239" t="s">
        <v>999</v>
      </c>
      <c r="P2" s="1239"/>
    </row>
    <row r="3" spans="2:16" s="833" customFormat="1" ht="15.75" customHeight="1" thickBot="1">
      <c r="B3" s="1214"/>
      <c r="C3" s="1214"/>
      <c r="D3" s="1227" t="s">
        <v>988</v>
      </c>
      <c r="E3" s="1227"/>
      <c r="F3" s="1227"/>
      <c r="G3" s="1227"/>
      <c r="H3" s="1227"/>
      <c r="I3" s="1227"/>
      <c r="J3" s="1227"/>
      <c r="K3" s="1227"/>
      <c r="L3" s="1227"/>
      <c r="M3" s="1227"/>
      <c r="N3" s="1227"/>
      <c r="O3" s="1226" t="s">
        <v>987</v>
      </c>
      <c r="P3" s="1226"/>
    </row>
    <row r="4" spans="2:16" s="833" customFormat="1" ht="21" customHeight="1" thickBot="1">
      <c r="B4" s="1215"/>
      <c r="C4" s="1215"/>
      <c r="D4" s="1227"/>
      <c r="E4" s="1227"/>
      <c r="F4" s="1227"/>
      <c r="G4" s="1227"/>
      <c r="H4" s="1227"/>
      <c r="I4" s="1227"/>
      <c r="J4" s="1227"/>
      <c r="K4" s="1227"/>
      <c r="L4" s="1227"/>
      <c r="M4" s="1227"/>
      <c r="N4" s="1227"/>
      <c r="O4" s="1226">
        <v>1</v>
      </c>
      <c r="P4" s="1226"/>
    </row>
    <row r="5" spans="2:16" ht="20.25">
      <c r="B5" s="832" t="s">
        <v>997</v>
      </c>
      <c r="C5" s="820" t="s">
        <v>998</v>
      </c>
    </row>
    <row r="6" spans="2:16" ht="15.75" thickBot="1"/>
    <row r="7" spans="2:16" ht="81.75" customHeight="1" thickTop="1">
      <c r="B7" s="834" t="s">
        <v>2</v>
      </c>
      <c r="C7" s="835" t="s">
        <v>3</v>
      </c>
      <c r="D7" s="836" t="s">
        <v>4</v>
      </c>
      <c r="E7" s="835" t="s">
        <v>199</v>
      </c>
      <c r="F7" s="835" t="s">
        <v>6</v>
      </c>
      <c r="G7" s="835" t="s">
        <v>7</v>
      </c>
      <c r="H7" s="836" t="s">
        <v>8</v>
      </c>
      <c r="I7" s="835" t="s">
        <v>9</v>
      </c>
      <c r="J7" s="835" t="s">
        <v>10</v>
      </c>
      <c r="K7" s="835" t="s">
        <v>11</v>
      </c>
      <c r="L7" s="835" t="s">
        <v>12</v>
      </c>
      <c r="M7" s="835" t="s">
        <v>13</v>
      </c>
      <c r="N7" s="835" t="s">
        <v>14</v>
      </c>
      <c r="O7" s="835" t="s">
        <v>9</v>
      </c>
      <c r="P7" s="837" t="s">
        <v>10</v>
      </c>
    </row>
    <row r="8" spans="2:16">
      <c r="B8" s="1216">
        <v>1</v>
      </c>
      <c r="C8" s="1219"/>
      <c r="D8" s="1222"/>
      <c r="E8" s="1222"/>
      <c r="F8" s="1211"/>
      <c r="G8" s="1211"/>
      <c r="H8" s="821"/>
      <c r="I8" s="822"/>
      <c r="J8" s="823"/>
      <c r="K8" s="821"/>
      <c r="L8" s="823"/>
      <c r="M8" s="1219"/>
      <c r="N8" s="824"/>
      <c r="O8" s="823"/>
      <c r="P8" s="825"/>
    </row>
    <row r="9" spans="2:16">
      <c r="B9" s="1217"/>
      <c r="C9" s="1220"/>
      <c r="D9" s="1223"/>
      <c r="E9" s="1223"/>
      <c r="F9" s="1212"/>
      <c r="G9" s="1212"/>
      <c r="H9" s="824"/>
      <c r="I9" s="826"/>
      <c r="J9" s="823"/>
      <c r="K9" s="821"/>
      <c r="L9" s="823"/>
      <c r="M9" s="1220"/>
      <c r="N9" s="824"/>
      <c r="O9" s="823"/>
      <c r="P9" s="825"/>
    </row>
    <row r="10" spans="2:16">
      <c r="B10" s="1217"/>
      <c r="C10" s="1220"/>
      <c r="D10" s="1223"/>
      <c r="E10" s="1223"/>
      <c r="F10" s="1212"/>
      <c r="G10" s="1212"/>
      <c r="H10" s="824"/>
      <c r="I10" s="826"/>
      <c r="J10" s="823"/>
      <c r="K10" s="821"/>
      <c r="L10" s="823"/>
      <c r="M10" s="1220"/>
      <c r="N10" s="824"/>
      <c r="O10" s="823"/>
      <c r="P10" s="825"/>
    </row>
    <row r="11" spans="2:16">
      <c r="B11" s="1217"/>
      <c r="C11" s="1220"/>
      <c r="D11" s="1223"/>
      <c r="E11" s="1223"/>
      <c r="F11" s="1212"/>
      <c r="G11" s="1212"/>
      <c r="H11" s="827"/>
      <c r="I11" s="826"/>
      <c r="J11" s="823"/>
      <c r="K11" s="821"/>
      <c r="L11" s="823"/>
      <c r="M11" s="1220"/>
      <c r="N11" s="827"/>
      <c r="O11" s="821"/>
      <c r="P11" s="825"/>
    </row>
    <row r="12" spans="2:16">
      <c r="B12" s="1217"/>
      <c r="C12" s="1220"/>
      <c r="D12" s="1223"/>
      <c r="E12" s="1223"/>
      <c r="F12" s="1212"/>
      <c r="G12" s="1212"/>
      <c r="H12" s="824"/>
      <c r="I12" s="826"/>
      <c r="J12" s="823"/>
      <c r="K12" s="821"/>
      <c r="L12" s="823"/>
      <c r="M12" s="1220"/>
      <c r="N12" s="827"/>
      <c r="O12" s="821"/>
      <c r="P12" s="825"/>
    </row>
    <row r="13" spans="2:16">
      <c r="B13" s="1217"/>
      <c r="C13" s="1220"/>
      <c r="D13" s="1223"/>
      <c r="E13" s="1223"/>
      <c r="F13" s="1212"/>
      <c r="G13" s="1212"/>
      <c r="H13" s="824"/>
      <c r="I13" s="826"/>
      <c r="J13" s="823"/>
      <c r="K13" s="821"/>
      <c r="L13" s="823"/>
      <c r="M13" s="1220"/>
      <c r="N13" s="827"/>
      <c r="O13" s="821"/>
      <c r="P13" s="825"/>
    </row>
    <row r="14" spans="2:16">
      <c r="B14" s="1217"/>
      <c r="C14" s="1220"/>
      <c r="D14" s="1223"/>
      <c r="E14" s="1223"/>
      <c r="F14" s="1212"/>
      <c r="G14" s="1212"/>
      <c r="H14" s="824"/>
      <c r="I14" s="826"/>
      <c r="J14" s="823"/>
      <c r="K14" s="821"/>
      <c r="L14" s="823"/>
      <c r="M14" s="1220"/>
      <c r="N14" s="827"/>
      <c r="O14" s="821"/>
      <c r="P14" s="825"/>
    </row>
    <row r="15" spans="2:16">
      <c r="B15" s="1218"/>
      <c r="C15" s="1221"/>
      <c r="D15" s="1224"/>
      <c r="E15" s="1224"/>
      <c r="F15" s="1213"/>
      <c r="G15" s="1213"/>
      <c r="H15" s="821"/>
      <c r="I15" s="821"/>
      <c r="J15" s="823"/>
      <c r="K15" s="821"/>
      <c r="L15" s="821"/>
      <c r="M15" s="1221"/>
      <c r="N15" s="827"/>
      <c r="O15" s="821"/>
      <c r="P15" s="825"/>
    </row>
    <row r="16" spans="2:16" ht="15.75" thickBot="1">
      <c r="B16" s="1232" t="s">
        <v>48</v>
      </c>
      <c r="C16" s="1233"/>
      <c r="D16" s="1233"/>
      <c r="E16" s="1233"/>
      <c r="F16" s="1233"/>
      <c r="G16" s="1233"/>
      <c r="H16" s="1233"/>
      <c r="I16" s="1233"/>
      <c r="J16" s="1233"/>
      <c r="K16" s="1233"/>
      <c r="L16" s="1233"/>
      <c r="M16" s="828"/>
      <c r="N16" s="830"/>
      <c r="O16" s="831"/>
      <c r="P16" s="829"/>
    </row>
    <row r="17" spans="3:13" ht="15.75" thickTop="1"/>
    <row r="18" spans="3:13" ht="15.75">
      <c r="C18" s="1229" t="s">
        <v>989</v>
      </c>
      <c r="D18" s="1229"/>
      <c r="E18" s="1229"/>
      <c r="F18" s="816" t="s">
        <v>990</v>
      </c>
      <c r="G18" s="816"/>
      <c r="H18" s="817"/>
      <c r="I18" s="817"/>
      <c r="J18" s="817"/>
      <c r="K18" s="817" t="s">
        <v>991</v>
      </c>
      <c r="L18" s="817"/>
      <c r="M18" s="817"/>
    </row>
    <row r="19" spans="3:13" ht="15.75">
      <c r="C19" s="1230" t="s">
        <v>992</v>
      </c>
      <c r="D19" s="1230"/>
      <c r="E19" s="1230"/>
      <c r="F19" s="1231" t="s">
        <v>993</v>
      </c>
      <c r="G19" s="1231"/>
      <c r="H19" s="1231"/>
      <c r="I19" s="818"/>
      <c r="J19" s="818"/>
      <c r="K19" s="1231" t="s">
        <v>994</v>
      </c>
      <c r="L19" s="1231"/>
      <c r="M19" s="1231"/>
    </row>
    <row r="20" spans="3:13" ht="15.75">
      <c r="C20" s="1225" t="s">
        <v>995</v>
      </c>
      <c r="D20" s="1225"/>
      <c r="E20" s="1225"/>
      <c r="F20" s="818" t="s">
        <v>996</v>
      </c>
      <c r="G20" s="818"/>
      <c r="H20" s="819"/>
      <c r="I20" s="819"/>
      <c r="J20" s="819"/>
      <c r="K20" s="819" t="s">
        <v>996</v>
      </c>
      <c r="L20" s="819"/>
      <c r="M20" s="819"/>
    </row>
  </sheetData>
  <mergeCells count="23">
    <mergeCell ref="C20:E20"/>
    <mergeCell ref="O3:P3"/>
    <mergeCell ref="O4:P4"/>
    <mergeCell ref="D3:N4"/>
    <mergeCell ref="D1:N2"/>
    <mergeCell ref="C18:E18"/>
    <mergeCell ref="C19:E19"/>
    <mergeCell ref="F19:H19"/>
    <mergeCell ref="K19:M19"/>
    <mergeCell ref="M8:M15"/>
    <mergeCell ref="B16:H16"/>
    <mergeCell ref="I16:L16"/>
    <mergeCell ref="B1:C1"/>
    <mergeCell ref="O1:P1"/>
    <mergeCell ref="B2:C2"/>
    <mergeCell ref="O2:P2"/>
    <mergeCell ref="F8:F15"/>
    <mergeCell ref="G8:G15"/>
    <mergeCell ref="B3:C4"/>
    <mergeCell ref="B8:B15"/>
    <mergeCell ref="C8:C15"/>
    <mergeCell ref="D8:D15"/>
    <mergeCell ref="E8:E15"/>
  </mergeCells>
  <pageMargins left="0.7" right="0.7" top="0.75" bottom="0.75" header="0.3" footer="0.3"/>
  <legacyDrawing r:id="rId1"/>
  <oleObjects>
    <oleObject progId="PBrush" shapeId="1025" r:id="rId2"/>
  </oleObjects>
</worksheet>
</file>

<file path=xl/worksheets/sheet105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>
      <selection activeCell="C3" sqref="C3:M4"/>
    </sheetView>
  </sheetViews>
  <sheetFormatPr defaultRowHeight="15"/>
  <cols>
    <col min="1" max="1" width="5.42578125" customWidth="1"/>
    <col min="2" max="2" width="22.5703125" customWidth="1"/>
    <col min="3" max="3" width="8.140625" customWidth="1"/>
    <col min="4" max="4" width="12" customWidth="1"/>
    <col min="5" max="5" width="7.5703125" customWidth="1"/>
    <col min="6" max="6" width="7" customWidth="1"/>
    <col min="7" max="7" width="8.7109375" customWidth="1"/>
    <col min="8" max="8" width="4.42578125" customWidth="1"/>
    <col min="9" max="9" width="5.7109375" customWidth="1"/>
    <col min="10" max="10" width="8.140625" customWidth="1"/>
    <col min="11" max="11" width="6.7109375" customWidth="1"/>
    <col min="12" max="12" width="7.7109375" customWidth="1"/>
    <col min="13" max="13" width="13.85546875" customWidth="1"/>
    <col min="14" max="14" width="7.7109375" customWidth="1"/>
    <col min="15" max="15" width="8.28515625" customWidth="1"/>
  </cols>
  <sheetData>
    <row r="1" spans="1:15" ht="16.5" thickBot="1">
      <c r="A1" s="1234" t="s">
        <v>983</v>
      </c>
      <c r="B1" s="1235"/>
      <c r="C1" s="1228" t="s">
        <v>984</v>
      </c>
      <c r="D1" s="1228"/>
      <c r="E1" s="1228"/>
      <c r="F1" s="1228"/>
      <c r="G1" s="1228"/>
      <c r="H1" s="1228"/>
      <c r="I1" s="1228"/>
      <c r="J1" s="1228"/>
      <c r="K1" s="1228"/>
      <c r="L1" s="1228"/>
      <c r="M1" s="1228"/>
      <c r="N1" s="1236" t="s">
        <v>985</v>
      </c>
      <c r="O1" s="1236"/>
    </row>
    <row r="2" spans="1:15" ht="16.5" thickBot="1">
      <c r="A2" s="1237" t="s">
        <v>986</v>
      </c>
      <c r="B2" s="123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39" t="s">
        <v>999</v>
      </c>
      <c r="O2" s="1239"/>
    </row>
    <row r="3" spans="1:15" ht="15.75" thickBot="1">
      <c r="A3" s="1214"/>
      <c r="B3" s="1214"/>
      <c r="C3" s="1227" t="s">
        <v>988</v>
      </c>
      <c r="D3" s="1227"/>
      <c r="E3" s="1227"/>
      <c r="F3" s="1227"/>
      <c r="G3" s="1227"/>
      <c r="H3" s="1227"/>
      <c r="I3" s="1227"/>
      <c r="J3" s="1227"/>
      <c r="K3" s="1227"/>
      <c r="L3" s="1227"/>
      <c r="M3" s="1227"/>
      <c r="N3" s="1226" t="s">
        <v>987</v>
      </c>
      <c r="O3" s="1226"/>
    </row>
    <row r="4" spans="1:15" ht="48" customHeight="1" thickBot="1">
      <c r="A4" s="1215"/>
      <c r="B4" s="1215"/>
      <c r="C4" s="1227"/>
      <c r="D4" s="1227"/>
      <c r="E4" s="1227"/>
      <c r="F4" s="1227"/>
      <c r="G4" s="1227"/>
      <c r="H4" s="1227"/>
      <c r="I4" s="1227"/>
      <c r="J4" s="1227"/>
      <c r="K4" s="1227"/>
      <c r="L4" s="1227"/>
      <c r="M4" s="1227"/>
      <c r="N4" s="1226">
        <v>1</v>
      </c>
      <c r="O4" s="1226"/>
    </row>
    <row r="5" spans="1:15" ht="20.25">
      <c r="A5" s="832" t="s">
        <v>997</v>
      </c>
      <c r="B5" s="820" t="s">
        <v>998</v>
      </c>
    </row>
    <row r="6" spans="1:15" ht="15.75" thickBot="1"/>
    <row r="7" spans="1:15" ht="64.5" thickTop="1">
      <c r="A7" s="1240" t="s">
        <v>2</v>
      </c>
      <c r="B7" s="1241" t="s">
        <v>3</v>
      </c>
      <c r="C7" s="1242" t="s">
        <v>4</v>
      </c>
      <c r="D7" s="1241" t="s">
        <v>199</v>
      </c>
      <c r="E7" s="1241" t="s">
        <v>6</v>
      </c>
      <c r="F7" s="1241" t="s">
        <v>7</v>
      </c>
      <c r="G7" s="1241" t="s">
        <v>8</v>
      </c>
      <c r="H7" s="1241" t="s">
        <v>9</v>
      </c>
      <c r="I7" s="1241" t="s">
        <v>10</v>
      </c>
      <c r="J7" s="1241" t="s">
        <v>11</v>
      </c>
      <c r="K7" s="1241" t="s">
        <v>12</v>
      </c>
      <c r="L7" s="1241" t="s">
        <v>13</v>
      </c>
      <c r="M7" s="1241" t="s">
        <v>14</v>
      </c>
      <c r="N7" s="1241" t="s">
        <v>9</v>
      </c>
      <c r="O7" s="1243" t="s">
        <v>10</v>
      </c>
    </row>
    <row r="8" spans="1:15">
      <c r="A8" s="1216">
        <v>1</v>
      </c>
      <c r="B8" s="1219"/>
      <c r="C8" s="1222"/>
      <c r="D8" s="1222"/>
      <c r="E8" s="1211"/>
      <c r="F8" s="1211"/>
      <c r="G8" s="821"/>
      <c r="H8" s="822"/>
      <c r="I8" s="823"/>
      <c r="J8" s="821"/>
      <c r="K8" s="823"/>
      <c r="L8" s="1219"/>
      <c r="M8" s="824"/>
      <c r="N8" s="823"/>
      <c r="O8" s="825"/>
    </row>
    <row r="9" spans="1:15">
      <c r="A9" s="1217"/>
      <c r="B9" s="1220"/>
      <c r="C9" s="1223"/>
      <c r="D9" s="1223"/>
      <c r="E9" s="1212"/>
      <c r="F9" s="1212"/>
      <c r="G9" s="824"/>
      <c r="H9" s="826"/>
      <c r="I9" s="823"/>
      <c r="J9" s="821"/>
      <c r="K9" s="823"/>
      <c r="L9" s="1220"/>
      <c r="M9" s="824"/>
      <c r="N9" s="823"/>
      <c r="O9" s="825"/>
    </row>
    <row r="10" spans="1:15">
      <c r="A10" s="1217"/>
      <c r="B10" s="1220"/>
      <c r="C10" s="1223"/>
      <c r="D10" s="1223"/>
      <c r="E10" s="1212"/>
      <c r="F10" s="1212"/>
      <c r="G10" s="824"/>
      <c r="H10" s="826"/>
      <c r="I10" s="823"/>
      <c r="J10" s="821"/>
      <c r="K10" s="823"/>
      <c r="L10" s="1220"/>
      <c r="M10" s="824"/>
      <c r="N10" s="823"/>
      <c r="O10" s="825"/>
    </row>
    <row r="11" spans="1:15">
      <c r="A11" s="1217"/>
      <c r="B11" s="1220"/>
      <c r="C11" s="1223"/>
      <c r="D11" s="1223"/>
      <c r="E11" s="1212"/>
      <c r="F11" s="1212"/>
      <c r="G11" s="827"/>
      <c r="H11" s="826"/>
      <c r="I11" s="823"/>
      <c r="J11" s="821"/>
      <c r="K11" s="823"/>
      <c r="L11" s="1220"/>
      <c r="M11" s="827"/>
      <c r="N11" s="821"/>
      <c r="O11" s="825"/>
    </row>
    <row r="12" spans="1:15">
      <c r="A12" s="1217"/>
      <c r="B12" s="1220"/>
      <c r="C12" s="1223"/>
      <c r="D12" s="1223"/>
      <c r="E12" s="1212"/>
      <c r="F12" s="1212"/>
      <c r="G12" s="824"/>
      <c r="H12" s="826"/>
      <c r="I12" s="823"/>
      <c r="J12" s="821"/>
      <c r="K12" s="823"/>
      <c r="L12" s="1220"/>
      <c r="M12" s="827"/>
      <c r="N12" s="821"/>
      <c r="O12" s="825"/>
    </row>
    <row r="13" spans="1:15">
      <c r="A13" s="1217"/>
      <c r="B13" s="1220"/>
      <c r="C13" s="1223"/>
      <c r="D13" s="1223"/>
      <c r="E13" s="1212"/>
      <c r="F13" s="1212"/>
      <c r="G13" s="824"/>
      <c r="H13" s="826"/>
      <c r="I13" s="823"/>
      <c r="J13" s="821"/>
      <c r="K13" s="823"/>
      <c r="L13" s="1220"/>
      <c r="M13" s="827"/>
      <c r="N13" s="821"/>
      <c r="O13" s="825"/>
    </row>
    <row r="14" spans="1:15">
      <c r="A14" s="1217"/>
      <c r="B14" s="1220"/>
      <c r="C14" s="1223"/>
      <c r="D14" s="1223"/>
      <c r="E14" s="1212"/>
      <c r="F14" s="1212"/>
      <c r="G14" s="824"/>
      <c r="H14" s="826"/>
      <c r="I14" s="823"/>
      <c r="J14" s="821"/>
      <c r="K14" s="823"/>
      <c r="L14" s="1220"/>
      <c r="M14" s="827"/>
      <c r="N14" s="821"/>
      <c r="O14" s="825"/>
    </row>
    <row r="15" spans="1:15">
      <c r="A15" s="1218"/>
      <c r="B15" s="1221"/>
      <c r="C15" s="1224"/>
      <c r="D15" s="1224"/>
      <c r="E15" s="1213"/>
      <c r="F15" s="1213"/>
      <c r="G15" s="821"/>
      <c r="H15" s="821"/>
      <c r="I15" s="823"/>
      <c r="J15" s="821"/>
      <c r="K15" s="821"/>
      <c r="L15" s="1221"/>
      <c r="M15" s="827"/>
      <c r="N15" s="821"/>
      <c r="O15" s="825"/>
    </row>
    <row r="16" spans="1:15" ht="15.75" thickBot="1">
      <c r="A16" s="1232" t="s">
        <v>48</v>
      </c>
      <c r="B16" s="1233"/>
      <c r="C16" s="1233"/>
      <c r="D16" s="1233"/>
      <c r="E16" s="1233"/>
      <c r="F16" s="1233"/>
      <c r="G16" s="1233"/>
      <c r="H16" s="1233"/>
      <c r="I16" s="1233"/>
      <c r="J16" s="1233"/>
      <c r="K16" s="1233"/>
      <c r="L16" s="828"/>
      <c r="M16" s="830"/>
      <c r="N16" s="831"/>
      <c r="O16" s="829"/>
    </row>
    <row r="17" spans="2:12" ht="15.75" thickTop="1"/>
    <row r="18" spans="2:12" ht="15.75">
      <c r="B18" s="1229" t="s">
        <v>989</v>
      </c>
      <c r="C18" s="1229"/>
      <c r="D18" s="1229"/>
      <c r="E18" s="816" t="s">
        <v>990</v>
      </c>
      <c r="F18" s="816"/>
      <c r="G18" s="817"/>
      <c r="H18" s="817"/>
      <c r="I18" s="817"/>
      <c r="J18" s="817" t="s">
        <v>991</v>
      </c>
      <c r="K18" s="817"/>
      <c r="L18" s="817"/>
    </row>
    <row r="19" spans="2:12" ht="15.75">
      <c r="B19" s="1230" t="s">
        <v>992</v>
      </c>
      <c r="C19" s="1230"/>
      <c r="D19" s="1230"/>
      <c r="E19" s="1231" t="s">
        <v>993</v>
      </c>
      <c r="F19" s="1231"/>
      <c r="G19" s="1231"/>
      <c r="H19" s="818"/>
      <c r="I19" s="818"/>
      <c r="J19" s="1231" t="s">
        <v>994</v>
      </c>
      <c r="K19" s="1231"/>
      <c r="L19" s="1231"/>
    </row>
    <row r="20" spans="2:12" ht="15.75">
      <c r="B20" s="1225" t="s">
        <v>995</v>
      </c>
      <c r="C20" s="1225"/>
      <c r="D20" s="1225"/>
      <c r="E20" s="818" t="s">
        <v>996</v>
      </c>
      <c r="F20" s="818"/>
      <c r="G20" s="819"/>
      <c r="H20" s="819"/>
      <c r="I20" s="819"/>
      <c r="J20" s="819" t="s">
        <v>996</v>
      </c>
      <c r="K20" s="819"/>
      <c r="L20" s="819"/>
    </row>
  </sheetData>
  <mergeCells count="23">
    <mergeCell ref="L8:L15"/>
    <mergeCell ref="A16:G16"/>
    <mergeCell ref="H16:K16"/>
    <mergeCell ref="B18:D18"/>
    <mergeCell ref="B19:D19"/>
    <mergeCell ref="E19:G19"/>
    <mergeCell ref="J19:L19"/>
    <mergeCell ref="N1:O1"/>
    <mergeCell ref="A2:B2"/>
    <mergeCell ref="N2:O2"/>
    <mergeCell ref="A3:B4"/>
    <mergeCell ref="C3:M4"/>
    <mergeCell ref="N3:O3"/>
    <mergeCell ref="N4:O4"/>
    <mergeCell ref="B20:D20"/>
    <mergeCell ref="A8:A15"/>
    <mergeCell ref="B8:B15"/>
    <mergeCell ref="C8:C15"/>
    <mergeCell ref="D8:D15"/>
    <mergeCell ref="E8:E15"/>
    <mergeCell ref="F8:F15"/>
    <mergeCell ref="A1:B1"/>
    <mergeCell ref="C1:M2"/>
  </mergeCells>
  <pageMargins left="0" right="0" top="0.75" bottom="0.75" header="0.3" footer="0.3"/>
  <pageSetup orientation="landscape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105</vt:i4>
      </vt:variant>
      <vt:variant>
        <vt:lpstr>Named Ranges</vt:lpstr>
      </vt:variant>
      <vt:variant>
        <vt:i4>50</vt:i4>
      </vt:variant>
    </vt:vector>
  </HeadingPairs>
  <TitlesOfParts>
    <vt:vector size="155" baseType="lpstr">
      <vt:lpstr>Summer June 11-17</vt:lpstr>
      <vt:lpstr>Summer June 18-24 </vt:lpstr>
      <vt:lpstr>Summer 14-20</vt:lpstr>
      <vt:lpstr>Summer 21-27</vt:lpstr>
      <vt:lpstr>Summer 28-004</vt:lpstr>
      <vt:lpstr>Summer 05-11</vt:lpstr>
      <vt:lpstr>Summer 12-18</vt:lpstr>
      <vt:lpstr>3-77115</vt:lpstr>
      <vt:lpstr>3-77113</vt:lpstr>
      <vt:lpstr>3-77112</vt:lpstr>
      <vt:lpstr>3-84221</vt:lpstr>
      <vt:lpstr>3-47522</vt:lpstr>
      <vt:lpstr>3-51396</vt:lpstr>
      <vt:lpstr>3-51387</vt:lpstr>
      <vt:lpstr>3-51394</vt:lpstr>
      <vt:lpstr>3-51395</vt:lpstr>
      <vt:lpstr>3-83086</vt:lpstr>
      <vt:lpstr>3-61444</vt:lpstr>
      <vt:lpstr>3-61445</vt:lpstr>
      <vt:lpstr>3-70945</vt:lpstr>
      <vt:lpstr>3-47525</vt:lpstr>
      <vt:lpstr>3-75282</vt:lpstr>
      <vt:lpstr>3-65481</vt:lpstr>
      <vt:lpstr>3-65565</vt:lpstr>
      <vt:lpstr>3-49261</vt:lpstr>
      <vt:lpstr>3-49260</vt:lpstr>
      <vt:lpstr>3-A12170</vt:lpstr>
      <vt:lpstr>3-62224</vt:lpstr>
      <vt:lpstr>3-76107</vt:lpstr>
      <vt:lpstr>3-67899</vt:lpstr>
      <vt:lpstr>3-47530</vt:lpstr>
      <vt:lpstr>3-62219</vt:lpstr>
      <vt:lpstr>3-47527</vt:lpstr>
      <vt:lpstr>3-62220</vt:lpstr>
      <vt:lpstr>3-62221</vt:lpstr>
      <vt:lpstr>3-51390</vt:lpstr>
      <vt:lpstr>3-67900</vt:lpstr>
      <vt:lpstr>3-37093</vt:lpstr>
      <vt:lpstr>3-51392</vt:lpstr>
      <vt:lpstr>3-62223</vt:lpstr>
      <vt:lpstr>3-47528</vt:lpstr>
      <vt:lpstr>3-51391</vt:lpstr>
      <vt:lpstr>3-62222</vt:lpstr>
      <vt:lpstr>3-A10313</vt:lpstr>
      <vt:lpstr>3-44998</vt:lpstr>
      <vt:lpstr>3-47521</vt:lpstr>
      <vt:lpstr>3-47523</vt:lpstr>
      <vt:lpstr>3-47524</vt:lpstr>
      <vt:lpstr>3- 47516 1</vt:lpstr>
      <vt:lpstr>3-51388</vt:lpstr>
      <vt:lpstr>3-51389</vt:lpstr>
      <vt:lpstr>3-A16100</vt:lpstr>
      <vt:lpstr>3-47516</vt:lpstr>
      <vt:lpstr>3-37154</vt:lpstr>
      <vt:lpstr>3-49252</vt:lpstr>
      <vt:lpstr>01</vt:lpstr>
      <vt:lpstr>3-51393</vt:lpstr>
      <vt:lpstr>3-56942</vt:lpstr>
      <vt:lpstr>3-56943</vt:lpstr>
      <vt:lpstr>3-10099</vt:lpstr>
      <vt:lpstr>3-83085</vt:lpstr>
      <vt:lpstr>3-65615</vt:lpstr>
      <vt:lpstr>3-70929</vt:lpstr>
      <vt:lpstr>3-97707</vt:lpstr>
      <vt:lpstr>3-81355</vt:lpstr>
      <vt:lpstr>3-78327</vt:lpstr>
      <vt:lpstr>3-76269</vt:lpstr>
      <vt:lpstr>3-37092</vt:lpstr>
      <vt:lpstr>3-37094</vt:lpstr>
      <vt:lpstr>3-63785</vt:lpstr>
      <vt:lpstr>3-76263</vt:lpstr>
      <vt:lpstr>3-97703</vt:lpstr>
      <vt:lpstr>3-A00134</vt:lpstr>
      <vt:lpstr>3-75281</vt:lpstr>
      <vt:lpstr>3-A10315</vt:lpstr>
      <vt:lpstr>3-A12747</vt:lpstr>
      <vt:lpstr>3-49301</vt:lpstr>
      <vt:lpstr>3-76270</vt:lpstr>
      <vt:lpstr>3-A16404</vt:lpstr>
      <vt:lpstr>3-A16402</vt:lpstr>
      <vt:lpstr>3-A16048</vt:lpstr>
      <vt:lpstr>3-79629</vt:lpstr>
      <vt:lpstr>3-A16403</vt:lpstr>
      <vt:lpstr>3-A53248</vt:lpstr>
      <vt:lpstr>3-99741</vt:lpstr>
      <vt:lpstr>3-A16031</vt:lpstr>
      <vt:lpstr>3-83087</vt:lpstr>
      <vt:lpstr>3-A16030</vt:lpstr>
      <vt:lpstr>3-47529</vt:lpstr>
      <vt:lpstr>3-A23293</vt:lpstr>
      <vt:lpstr>3-A16401</vt:lpstr>
      <vt:lpstr>3-A16049</vt:lpstr>
      <vt:lpstr>3-80302</vt:lpstr>
      <vt:lpstr>3-99625</vt:lpstr>
      <vt:lpstr>3-A45132</vt:lpstr>
      <vt:lpstr>3-A12748</vt:lpstr>
      <vt:lpstr>3-98307</vt:lpstr>
      <vt:lpstr>3-70622(21233)</vt:lpstr>
      <vt:lpstr>With Remark</vt:lpstr>
      <vt:lpstr>3-79629 (2)</vt:lpstr>
      <vt:lpstr>Format</vt:lpstr>
      <vt:lpstr>0</vt:lpstr>
      <vt:lpstr>Summer </vt:lpstr>
      <vt:lpstr>Sheet1</vt:lpstr>
      <vt:lpstr>Sheet2</vt:lpstr>
      <vt:lpstr>'01'!Print_Area</vt:lpstr>
      <vt:lpstr>'3- 47516 1'!Print_Area</vt:lpstr>
      <vt:lpstr>'3-10099'!Print_Area</vt:lpstr>
      <vt:lpstr>'3-37092'!Print_Area</vt:lpstr>
      <vt:lpstr>'3-37094'!Print_Area</vt:lpstr>
      <vt:lpstr>'3-44998'!Print_Area</vt:lpstr>
      <vt:lpstr>'3-47521'!Print_Area</vt:lpstr>
      <vt:lpstr>'3-47523'!Print_Area</vt:lpstr>
      <vt:lpstr>'3-47524'!Print_Area</vt:lpstr>
      <vt:lpstr>'3-47525'!Print_Area</vt:lpstr>
      <vt:lpstr>'3-47527'!Print_Area</vt:lpstr>
      <vt:lpstr>'3-47529'!Print_Area</vt:lpstr>
      <vt:lpstr>'3-47530'!Print_Area</vt:lpstr>
      <vt:lpstr>'3-49260'!Print_Area</vt:lpstr>
      <vt:lpstr>'3-49261'!Print_Area</vt:lpstr>
      <vt:lpstr>'3-49301'!Print_Area</vt:lpstr>
      <vt:lpstr>'3-51388'!Print_Area</vt:lpstr>
      <vt:lpstr>'3-51389'!Print_Area</vt:lpstr>
      <vt:lpstr>'3-51392'!Print_Area</vt:lpstr>
      <vt:lpstr>'3-51394'!Print_Area</vt:lpstr>
      <vt:lpstr>'3-51395'!Print_Area</vt:lpstr>
      <vt:lpstr>'3-56942'!Print_Area</vt:lpstr>
      <vt:lpstr>'3-56943'!Print_Area</vt:lpstr>
      <vt:lpstr>'3-61444'!Print_Area</vt:lpstr>
      <vt:lpstr>'3-62219'!Print_Area</vt:lpstr>
      <vt:lpstr>'3-62223'!Print_Area</vt:lpstr>
      <vt:lpstr>'3-65481'!Print_Area</vt:lpstr>
      <vt:lpstr>'3-65565'!Print_Area</vt:lpstr>
      <vt:lpstr>'3-67900'!Print_Area</vt:lpstr>
      <vt:lpstr>'3-76269'!Print_Area</vt:lpstr>
      <vt:lpstr>'3-78327'!Print_Area</vt:lpstr>
      <vt:lpstr>'3-79629'!Print_Area</vt:lpstr>
      <vt:lpstr>'3-81355'!Print_Area</vt:lpstr>
      <vt:lpstr>'3-83085'!Print_Area</vt:lpstr>
      <vt:lpstr>'3-83086'!Print_Area</vt:lpstr>
      <vt:lpstr>'3-97707'!Print_Area</vt:lpstr>
      <vt:lpstr>'3-A10315'!Print_Area</vt:lpstr>
      <vt:lpstr>'3-A12747'!Print_Area</vt:lpstr>
      <vt:lpstr>'3-A16049'!Print_Area</vt:lpstr>
      <vt:lpstr>'3-A16401'!Print_Area</vt:lpstr>
      <vt:lpstr>'3-A16402'!Print_Area</vt:lpstr>
      <vt:lpstr>'3-A16403'!Print_Area</vt:lpstr>
      <vt:lpstr>'3-A23293'!Print_Area</vt:lpstr>
      <vt:lpstr>'Summer '!Print_Area</vt:lpstr>
      <vt:lpstr>'Summer 05-11'!Print_Area</vt:lpstr>
      <vt:lpstr>'Summer 12-18'!Print_Area</vt:lpstr>
      <vt:lpstr>'Summer 14-20'!Print_Area</vt:lpstr>
      <vt:lpstr>'Summer 21-27'!Print_Area</vt:lpstr>
      <vt:lpstr>'Summer 28-004'!Print_Area</vt:lpstr>
      <vt:lpstr>'Summer June 18-24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2019-07-22T12:19:24Z</cp:lastPrinted>
  <dcterms:created xsi:type="dcterms:W3CDTF">2017-07-06T08:13:16Z</dcterms:created>
  <dcterms:modified xsi:type="dcterms:W3CDTF">2019-07-22T12:19:56Z</dcterms:modified>
</cp:coreProperties>
</file>