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mbeddings/oleObject3.bin" ContentType="application/vnd.openxmlformats-officedocument.oleObject"/>
  <Override PartName="/xl/embeddings/oleObject4.bin" ContentType="application/vnd.openxmlformats-officedocument.oleObject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645" windowWidth="19575" windowHeight="7365" activeTab="4"/>
  </bookViews>
  <sheets>
    <sheet name="Sheet1" sheetId="1" r:id="rId1"/>
    <sheet name="Sheet2" sheetId="2" r:id="rId2"/>
    <sheet name="Sheet3" sheetId="3" r:id="rId3"/>
    <sheet name="Sheet4" sheetId="4" r:id="rId4"/>
    <sheet name="የየካቲት ወር " sheetId="5" r:id="rId5"/>
    <sheet name="መጋቢት" sheetId="6" r:id="rId6"/>
    <sheet name="ሚያዝያ" sheetId="7" r:id="rId7"/>
    <sheet name="ግንቦት" sheetId="8" r:id="rId8"/>
    <sheet name="ስኔ" sheetId="9" r:id="rId9"/>
  </sheets>
  <calcPr calcId="124519"/>
</workbook>
</file>

<file path=xl/calcChain.xml><?xml version="1.0" encoding="utf-8"?>
<calcChain xmlns="http://schemas.openxmlformats.org/spreadsheetml/2006/main">
  <c r="N56" i="9"/>
  <c r="N26" i="8"/>
  <c r="N18" i="6"/>
  <c r="M12"/>
  <c r="N35"/>
  <c r="O14"/>
  <c r="N13" i="5"/>
  <c r="P19"/>
  <c r="I39" i="9"/>
  <c r="F39"/>
  <c r="I39" i="8"/>
  <c r="F39"/>
  <c r="I39" i="7"/>
  <c r="F39"/>
  <c r="I39" i="6"/>
  <c r="F39"/>
  <c r="I39" i="5"/>
  <c r="F39"/>
  <c r="I108" i="4"/>
  <c r="F108"/>
  <c r="I36"/>
  <c r="F36"/>
  <c r="I129" i="3"/>
  <c r="F129"/>
  <c r="I83"/>
  <c r="F83"/>
  <c r="I36"/>
  <c r="F36"/>
  <c r="I114" i="1"/>
  <c r="F114"/>
  <c r="M51"/>
  <c r="L64"/>
  <c r="M12"/>
  <c r="M10"/>
  <c r="M5"/>
  <c r="I36" l="1"/>
  <c r="L9"/>
</calcChain>
</file>

<file path=xl/sharedStrings.xml><?xml version="1.0" encoding="utf-8"?>
<sst xmlns="http://schemas.openxmlformats.org/spreadsheetml/2006/main" count="726" uniqueCount="267">
  <si>
    <t>ተቁ</t>
  </si>
  <si>
    <t>ቀን</t>
  </si>
  <si>
    <t>የሚመጣው ጋዜጣ ብዛት</t>
  </si>
  <si>
    <t>ጠ/ዋጋ</t>
  </si>
  <si>
    <t>እሁድ ዋጋ</t>
  </si>
  <si>
    <t>13/5/2010</t>
  </si>
  <si>
    <t>14/5/2010</t>
  </si>
  <si>
    <t>15/5/2010</t>
  </si>
  <si>
    <t>16/5/2010</t>
  </si>
  <si>
    <t>17/5/2010</t>
  </si>
  <si>
    <t>18/5/2010</t>
  </si>
  <si>
    <t>19/5/2010</t>
  </si>
  <si>
    <t>20/5/2010</t>
  </si>
  <si>
    <t>21/5/2010</t>
  </si>
  <si>
    <t>22/5/2010</t>
  </si>
  <si>
    <t>23/5/2010</t>
  </si>
  <si>
    <t>24/5/2010</t>
  </si>
  <si>
    <t>25/5/2010</t>
  </si>
  <si>
    <t>26/5/2010</t>
  </si>
  <si>
    <t>27/5/2010</t>
  </si>
  <si>
    <t>28/5/2010</t>
  </si>
  <si>
    <t>29/5/2010</t>
  </si>
  <si>
    <t>30/5/2010</t>
  </si>
  <si>
    <t>የጥር ወር 2010 የሪፖርተር ጋዜጣ ክፍያ</t>
  </si>
  <si>
    <t xml:space="preserve">        አሰር ኮንስትራክሽን ኃ/የተ/የግ/ማህበር</t>
  </si>
  <si>
    <t>13/7/2010</t>
  </si>
  <si>
    <t>13/6/2010</t>
  </si>
  <si>
    <t>14/6/2010</t>
  </si>
  <si>
    <t>15/6/2010</t>
  </si>
  <si>
    <t>16/6/2010</t>
  </si>
  <si>
    <t>17/6/2010</t>
  </si>
  <si>
    <t>18/6/2010</t>
  </si>
  <si>
    <t>19/6/2010</t>
  </si>
  <si>
    <t>20/6/2010</t>
  </si>
  <si>
    <t>21/6/2010</t>
  </si>
  <si>
    <t>22/6/2010</t>
  </si>
  <si>
    <t>23/6/2010</t>
  </si>
  <si>
    <t>24/6/2010</t>
  </si>
  <si>
    <t>25/6/2010</t>
  </si>
  <si>
    <t>26/6/2010</t>
  </si>
  <si>
    <t>27/6/2010</t>
  </si>
  <si>
    <t>28/6/2010</t>
  </si>
  <si>
    <t>29/6/2010</t>
  </si>
  <si>
    <t>30/6/2010</t>
  </si>
  <si>
    <t>14/7/2010</t>
  </si>
  <si>
    <t>15/7/2010</t>
  </si>
  <si>
    <t>16/7/2010</t>
  </si>
  <si>
    <t>17/7/2010</t>
  </si>
  <si>
    <t>18/7/2010</t>
  </si>
  <si>
    <t>19/7/2010</t>
  </si>
  <si>
    <t>20/7/2010</t>
  </si>
  <si>
    <t>21/7/2010</t>
  </si>
  <si>
    <t>22/7/2010</t>
  </si>
  <si>
    <t>23/7/2010</t>
  </si>
  <si>
    <t>24/7/2010</t>
  </si>
  <si>
    <t>25/7/2010</t>
  </si>
  <si>
    <t>26/7/2010</t>
  </si>
  <si>
    <t>27/7/2010</t>
  </si>
  <si>
    <t>28/7/2010</t>
  </si>
  <si>
    <t>29/7/2010</t>
  </si>
  <si>
    <t>30/7/2010</t>
  </si>
  <si>
    <t>የየካቲት ወር 2010 የሪፖርተር ጋዜጣ ክፍያ</t>
  </si>
  <si>
    <t>የመጋቢት ወር 2010 የሪፖርተር ጋዜጣ ክፍያ</t>
  </si>
  <si>
    <t>ü</t>
  </si>
  <si>
    <t>የዕሮብ ዋና</t>
  </si>
  <si>
    <t>15*2*1</t>
  </si>
  <si>
    <t>የእሮብ  ዋጋ</t>
  </si>
  <si>
    <t>የእሁድ ዕትም የሚመጣበት ቀን</t>
  </si>
  <si>
    <t>18*2*1</t>
  </si>
  <si>
    <t>የእሮብ ዕትም የሚመጣበት ቀን</t>
  </si>
  <si>
    <t>ያዘጋጀው</t>
  </si>
  <si>
    <t>ያፀደቀው</t>
  </si>
  <si>
    <t>-------------------</t>
  </si>
  <si>
    <t>----------------</t>
  </si>
  <si>
    <t xml:space="preserve">          የእሁድና ዕሮብ ዕትም የሚመጣበት መቆጣጠሪያ</t>
  </si>
  <si>
    <r>
      <t xml:space="preserve">           የእሁድና ዕሮብ ዕትም የሚመጣበት መቆጣጠሪያ</t>
    </r>
    <r>
      <rPr>
        <sz val="14"/>
        <color theme="1"/>
        <rFont val="Power Geez Unicode3"/>
      </rPr>
      <t xml:space="preserve">          </t>
    </r>
    <r>
      <rPr>
        <u val="double"/>
        <sz val="14"/>
        <color theme="1"/>
        <rFont val="Power Geez Unicode3"/>
      </rPr>
      <t>25/08/2010</t>
    </r>
  </si>
  <si>
    <t>ጠ/ድምር</t>
  </si>
  <si>
    <t>26/08/2010</t>
  </si>
  <si>
    <r>
      <t xml:space="preserve">  </t>
    </r>
    <r>
      <rPr>
        <u val="double"/>
        <sz val="11"/>
        <color theme="1"/>
        <rFont val="Power Geez Unicode3"/>
      </rPr>
      <t>26/08/2010</t>
    </r>
  </si>
  <si>
    <t>የእሁድ ዋጋ</t>
  </si>
  <si>
    <t xml:space="preserve">            የሐምሌ ወር 2010 የሪፖርተር ጋዜጣ ክፍያ</t>
  </si>
  <si>
    <t xml:space="preserve">               አሰር ኮንስትራክሽን ኃ/የተ/የግ/ማህበር</t>
  </si>
  <si>
    <t>13/11/2010</t>
  </si>
  <si>
    <t>14/11/2010</t>
  </si>
  <si>
    <t>15/11/2010</t>
  </si>
  <si>
    <t>16/11/2010</t>
  </si>
  <si>
    <t>17/11/2010</t>
  </si>
  <si>
    <t>18/11/2010</t>
  </si>
  <si>
    <t>19/11/2010</t>
  </si>
  <si>
    <t>20/11/2010</t>
  </si>
  <si>
    <t>21/11/2010</t>
  </si>
  <si>
    <t>22/11/2010</t>
  </si>
  <si>
    <t>23/11/2010</t>
  </si>
  <si>
    <t>24/11/2010</t>
  </si>
  <si>
    <t>25/11/2010</t>
  </si>
  <si>
    <t>26/11/2010</t>
  </si>
  <si>
    <t>27/11/2010</t>
  </si>
  <si>
    <t>28/11/2010</t>
  </si>
  <si>
    <t>29/11/2010</t>
  </si>
  <si>
    <t>30/11/2010</t>
  </si>
  <si>
    <t>13/12/2010</t>
  </si>
  <si>
    <t>14/12/2010</t>
  </si>
  <si>
    <t>15/12/2010</t>
  </si>
  <si>
    <t>16/12/2010</t>
  </si>
  <si>
    <t>20/12/2010</t>
  </si>
  <si>
    <t>21/12/2010</t>
  </si>
  <si>
    <t>22/12/2010</t>
  </si>
  <si>
    <t>23/12/2010</t>
  </si>
  <si>
    <t>24/12/2010</t>
  </si>
  <si>
    <t>25/12/2010</t>
  </si>
  <si>
    <t>26/12/2010</t>
  </si>
  <si>
    <t>27/12/2010</t>
  </si>
  <si>
    <t>29/12/2010</t>
  </si>
  <si>
    <t>28/12/2010</t>
  </si>
  <si>
    <t>30/12/2010</t>
  </si>
  <si>
    <t>13/01/2011</t>
  </si>
  <si>
    <t>14/01/2011</t>
  </si>
  <si>
    <t>15/01/2011</t>
  </si>
  <si>
    <t>16/01/2011</t>
  </si>
  <si>
    <t>17/01/2011</t>
  </si>
  <si>
    <t>18/01/2011</t>
  </si>
  <si>
    <t>19/01/2011</t>
  </si>
  <si>
    <t>20/01/2011</t>
  </si>
  <si>
    <t>21/01/2011</t>
  </si>
  <si>
    <t>22/01/2011</t>
  </si>
  <si>
    <t>23/01/2011</t>
  </si>
  <si>
    <t>24/01/2011</t>
  </si>
  <si>
    <t>25/01/2011</t>
  </si>
  <si>
    <t>26/01/2011</t>
  </si>
  <si>
    <t>27/01/2011</t>
  </si>
  <si>
    <t>28/01/2011</t>
  </si>
  <si>
    <t>29/01/2011</t>
  </si>
  <si>
    <t>30/01/2011</t>
  </si>
  <si>
    <t>P</t>
  </si>
  <si>
    <t xml:space="preserve">            የነሐሴ ወር 2010 የሪፖርተር ጋዜጣ ክፍያ</t>
  </si>
  <si>
    <t>17/12/2010</t>
  </si>
  <si>
    <t>18/12/2010</t>
  </si>
  <si>
    <t>19/12/2010</t>
  </si>
  <si>
    <t xml:space="preserve">            የመስከረም ወር 2011 የሪፖርተር ጋዜጣ ክፍያ</t>
  </si>
  <si>
    <t>ዥ</t>
  </si>
  <si>
    <t xml:space="preserve"> 04/08/2011</t>
  </si>
  <si>
    <t>13/06/2011</t>
  </si>
  <si>
    <t>14/06/2011</t>
  </si>
  <si>
    <t>15/06/2011</t>
  </si>
  <si>
    <t>16/06/2011</t>
  </si>
  <si>
    <t>17/06/2011</t>
  </si>
  <si>
    <t>18/06/2011</t>
  </si>
  <si>
    <t>19/06/2011</t>
  </si>
  <si>
    <t>20/06/2011</t>
  </si>
  <si>
    <t>21/06/2011</t>
  </si>
  <si>
    <t>22/06/2011</t>
  </si>
  <si>
    <t>23/06/2011</t>
  </si>
  <si>
    <t>24/06/2011</t>
  </si>
  <si>
    <t>25/06/2011</t>
  </si>
  <si>
    <t>26/06/2011</t>
  </si>
  <si>
    <t>27/06/2011</t>
  </si>
  <si>
    <t>28/06/2011</t>
  </si>
  <si>
    <t>29/06/2011</t>
  </si>
  <si>
    <t>30/06/2011</t>
  </si>
  <si>
    <t xml:space="preserve">            የካቲት ወር 2011 የሪፖርተር ጋዜጣ ክፍያ</t>
  </si>
  <si>
    <t>አሰር ኮንስትራክሽን ኃ.የተ.የግ.ማ
ASER CONSTRUCTION P.L.C</t>
  </si>
  <si>
    <t xml:space="preserve">FORMAT </t>
  </si>
  <si>
    <t>Document No</t>
  </si>
  <si>
    <t>Issue No.</t>
  </si>
  <si>
    <t>የጋዜጣ ክፍያ መቆጣጠሪያ ፎርም</t>
  </si>
  <si>
    <t>OF/HRAD/</t>
  </si>
  <si>
    <t>20/10/2011</t>
  </si>
  <si>
    <t>13/6/2011</t>
  </si>
  <si>
    <t>14/6/2011</t>
  </si>
  <si>
    <t>15/6/2011</t>
  </si>
  <si>
    <t>16/6/2011</t>
  </si>
  <si>
    <t>17/6/2011</t>
  </si>
  <si>
    <t>18/6/2011</t>
  </si>
  <si>
    <t>19/6/2011</t>
  </si>
  <si>
    <t>20/6/2011</t>
  </si>
  <si>
    <t>21/6/2011</t>
  </si>
  <si>
    <t>22/6/2011</t>
  </si>
  <si>
    <t>23/6/2011</t>
  </si>
  <si>
    <t>24/6/2011</t>
  </si>
  <si>
    <t>25/6/2011</t>
  </si>
  <si>
    <t>26/6/2011</t>
  </si>
  <si>
    <t>27/6/2011</t>
  </si>
  <si>
    <t>28/6/2011</t>
  </si>
  <si>
    <t>29/6/2011</t>
  </si>
  <si>
    <t>13/7/2011</t>
  </si>
  <si>
    <t>14/7/2011</t>
  </si>
  <si>
    <t>15/7/2011</t>
  </si>
  <si>
    <t>16/7/2011</t>
  </si>
  <si>
    <t>17/7/2011</t>
  </si>
  <si>
    <t>18/7/2011</t>
  </si>
  <si>
    <t>19/7/2011</t>
  </si>
  <si>
    <t>20/7/2011</t>
  </si>
  <si>
    <t>21/7/2011</t>
  </si>
  <si>
    <t>22/7/2011</t>
  </si>
  <si>
    <t>23/7/2011</t>
  </si>
  <si>
    <t>24/7/2011</t>
  </si>
  <si>
    <t>25/7/2011</t>
  </si>
  <si>
    <t>26/7/2011</t>
  </si>
  <si>
    <t>27/7/2011</t>
  </si>
  <si>
    <t>28/7/2011</t>
  </si>
  <si>
    <t>29/7/2011</t>
  </si>
  <si>
    <t>30/7/2011</t>
  </si>
  <si>
    <t>13/8/2011</t>
  </si>
  <si>
    <t>14/8/2011</t>
  </si>
  <si>
    <t>15/8/2011</t>
  </si>
  <si>
    <t>16/8/2011</t>
  </si>
  <si>
    <t>17/8/2011</t>
  </si>
  <si>
    <t>18/8/2011</t>
  </si>
  <si>
    <t>19/8/2011</t>
  </si>
  <si>
    <t>20/8/2011</t>
  </si>
  <si>
    <t>21/8/2011</t>
  </si>
  <si>
    <t>22/8/2011</t>
  </si>
  <si>
    <t>23/8/2011</t>
  </si>
  <si>
    <t>24/8/2011</t>
  </si>
  <si>
    <t>25/8/2011</t>
  </si>
  <si>
    <t>26/8/2011</t>
  </si>
  <si>
    <t>27/8/2011</t>
  </si>
  <si>
    <t>28/8/2011</t>
  </si>
  <si>
    <t>29/8/2011</t>
  </si>
  <si>
    <t>30/8/2011</t>
  </si>
  <si>
    <t>13/9/2011</t>
  </si>
  <si>
    <t>14/9/2011</t>
  </si>
  <si>
    <t>15/9/2011</t>
  </si>
  <si>
    <t>16/9/2011</t>
  </si>
  <si>
    <t>17/9/2011</t>
  </si>
  <si>
    <t>18/9/2011</t>
  </si>
  <si>
    <t>19/9/2011</t>
  </si>
  <si>
    <t>20/9/2011</t>
  </si>
  <si>
    <t>21/9/2011</t>
  </si>
  <si>
    <t>22/9/2011</t>
  </si>
  <si>
    <t>23/9/2011</t>
  </si>
  <si>
    <t>24/9/2011</t>
  </si>
  <si>
    <t>25/9/2011</t>
  </si>
  <si>
    <t>26/9/2011</t>
  </si>
  <si>
    <t>27/9/2011</t>
  </si>
  <si>
    <t>28/9/2011</t>
  </si>
  <si>
    <t>29/9/2011</t>
  </si>
  <si>
    <t>30/9/2011</t>
  </si>
  <si>
    <t>13/10/2011</t>
  </si>
  <si>
    <t>14/10/2011</t>
  </si>
  <si>
    <t>15/10/2011</t>
  </si>
  <si>
    <t>16/10/2011</t>
  </si>
  <si>
    <t>17/10/2011</t>
  </si>
  <si>
    <t>18/10/2011</t>
  </si>
  <si>
    <t>19/10/2011</t>
  </si>
  <si>
    <t>21/10/2011</t>
  </si>
  <si>
    <t>22/10/2011</t>
  </si>
  <si>
    <t>23/10/2011</t>
  </si>
  <si>
    <t>24/10/2011</t>
  </si>
  <si>
    <t>25/10/2011</t>
  </si>
  <si>
    <t>26/10/2011</t>
  </si>
  <si>
    <t>27/10/2011</t>
  </si>
  <si>
    <t>28/10/2011</t>
  </si>
  <si>
    <t>30/10/2011</t>
  </si>
  <si>
    <t>OF/HRAD/072</t>
  </si>
  <si>
    <t>የሰኔ ወር 2011 ዓ/ም የሪፖርተር ጋዜጣ ክፍያ</t>
  </si>
  <si>
    <t>የእሁድና ዕሮብ ዕትም መቆጣጠሪያ ፎርም</t>
  </si>
  <si>
    <t>የግንቦት ወር 2011 የሪፖርተር ጋዜጣ ክፍያ</t>
  </si>
  <si>
    <t>የእሁድና ዕሮብ ዕትም የሚመጣበት መቆጣጠሪያ</t>
  </si>
  <si>
    <t xml:space="preserve"> የካቲት ወር 2011 የሪፖርተር ጋዜጣ ክፍያ</t>
  </si>
  <si>
    <r>
      <t xml:space="preserve"> የእሁድና ዕሮብ ዕትም የሚመጣበት መቆጣጠሪያ</t>
    </r>
    <r>
      <rPr>
        <sz val="12"/>
        <color theme="1"/>
        <rFont val="Power Geez Unicode3"/>
      </rPr>
      <t xml:space="preserve">                   </t>
    </r>
  </si>
  <si>
    <t>የሚያዝያ ወር  2011 የሪፖርተር ጋዜጣ ክፍያ</t>
  </si>
  <si>
    <t xml:space="preserve"> የመጋቢት ወር 2011 የሪፖርተር ጋዜጣ ክፍያ</t>
  </si>
  <si>
    <t>የእሁድና የዕሮብ የሚመጣበት መቆጣጠሪያ</t>
  </si>
  <si>
    <t>23*2</t>
  </si>
  <si>
    <t>20*2</t>
  </si>
  <si>
    <t>29/10/2011</t>
  </si>
</sst>
</file>

<file path=xl/styles.xml><?xml version="1.0" encoding="utf-8"?>
<styleSheet xmlns="http://schemas.openxmlformats.org/spreadsheetml/2006/main">
  <fonts count="27">
    <font>
      <sz val="11"/>
      <color theme="1"/>
      <name val="Calibri"/>
      <family val="2"/>
      <scheme val="minor"/>
    </font>
    <font>
      <sz val="11"/>
      <color theme="1"/>
      <name val="Power Geez Unicode3"/>
    </font>
    <font>
      <sz val="14"/>
      <color theme="1"/>
      <name val="Power Geez Unicode3"/>
    </font>
    <font>
      <sz val="14"/>
      <color theme="1"/>
      <name val="Calibri"/>
      <family val="2"/>
      <scheme val="minor"/>
    </font>
    <font>
      <u val="double"/>
      <sz val="14"/>
      <color theme="1"/>
      <name val="Power Geez Unicode3"/>
    </font>
    <font>
      <sz val="11"/>
      <color theme="1"/>
      <name val="Perpetua Titling MT"/>
      <family val="1"/>
    </font>
    <font>
      <sz val="11"/>
      <color theme="1"/>
      <name val="Wingdings"/>
      <charset val="2"/>
    </font>
    <font>
      <u val="double"/>
      <sz val="11"/>
      <color theme="1"/>
      <name val="Power Geez Unicode3"/>
    </font>
    <font>
      <u val="double"/>
      <sz val="12"/>
      <color theme="1"/>
      <name val="Power Geez Unicode3"/>
    </font>
    <font>
      <u val="double"/>
      <sz val="11"/>
      <color theme="1"/>
      <name val="Calibri"/>
      <family val="2"/>
      <scheme val="minor"/>
    </font>
    <font>
      <sz val="11"/>
      <color theme="1"/>
      <name val="Wingdings 2"/>
      <family val="1"/>
      <charset val="2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Power Geez Unicode3"/>
    </font>
    <font>
      <b/>
      <sz val="11"/>
      <color theme="1"/>
      <name val="Power Geez Unicode2"/>
    </font>
    <font>
      <b/>
      <u val="double"/>
      <sz val="14"/>
      <color theme="1"/>
      <name val="Power Geez Unicode2"/>
    </font>
    <font>
      <b/>
      <sz val="14"/>
      <color theme="1"/>
      <name val="Power Geez Unicode3"/>
    </font>
    <font>
      <b/>
      <sz val="9"/>
      <color theme="1"/>
      <name val="Power Geez Unicode3"/>
    </font>
    <font>
      <b/>
      <u val="double"/>
      <sz val="11"/>
      <color theme="1"/>
      <name val="Calibri"/>
      <family val="2"/>
      <scheme val="minor"/>
    </font>
    <font>
      <b/>
      <sz val="12"/>
      <color theme="1"/>
      <name val="Power Geez Unicode3"/>
    </font>
    <font>
      <b/>
      <u val="double"/>
      <sz val="12"/>
      <color theme="1"/>
      <name val="Power Geez Unicode3"/>
    </font>
    <font>
      <b/>
      <sz val="11"/>
      <color theme="1"/>
      <name val="Power Geez Unicode3"/>
    </font>
    <font>
      <b/>
      <u val="double"/>
      <sz val="11"/>
      <color theme="1"/>
      <name val="Power Geez Unicode3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50">
    <xf numFmtId="0" fontId="0" fillId="0" borderId="0" xfId="0"/>
    <xf numFmtId="0" fontId="3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14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4" fontId="1" fillId="0" borderId="1" xfId="0" applyNumberFormat="1" applyFont="1" applyBorder="1"/>
    <xf numFmtId="0" fontId="0" fillId="0" borderId="0" xfId="0" quotePrefix="1"/>
    <xf numFmtId="0" fontId="5" fillId="0" borderId="0" xfId="0" quotePrefix="1" applyFont="1" applyFill="1" applyBorder="1" applyAlignment="1">
      <alignment horizontal="center"/>
    </xf>
    <xf numFmtId="0" fontId="4" fillId="0" borderId="6" xfId="0" applyFont="1" applyBorder="1" applyAlignment="1"/>
    <xf numFmtId="0" fontId="1" fillId="0" borderId="0" xfId="0" applyFont="1" applyFill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quotePrefix="1" applyFont="1" applyFill="1" applyBorder="1" applyAlignment="1">
      <alignment horizontal="center"/>
    </xf>
    <xf numFmtId="0" fontId="1" fillId="0" borderId="0" xfId="0" quotePrefix="1" applyFont="1"/>
    <xf numFmtId="4" fontId="1" fillId="0" borderId="1" xfId="0" applyNumberFormat="1" applyFont="1" applyBorder="1" applyAlignment="1">
      <alignment horizontal="center"/>
    </xf>
    <xf numFmtId="4" fontId="6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4" fontId="0" fillId="0" borderId="0" xfId="0" applyNumberFormat="1"/>
    <xf numFmtId="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0" xfId="0" applyFont="1" applyBorder="1" applyAlignment="1"/>
    <xf numFmtId="0" fontId="1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4" fontId="0" fillId="4" borderId="1" xfId="0" applyNumberFormat="1" applyFill="1" applyBorder="1" applyAlignment="1">
      <alignment horizontal="center"/>
    </xf>
    <xf numFmtId="0" fontId="1" fillId="4" borderId="1" xfId="0" applyFont="1" applyFill="1" applyBorder="1"/>
    <xf numFmtId="4" fontId="1" fillId="4" borderId="1" xfId="0" applyNumberFormat="1" applyFont="1" applyFill="1" applyBorder="1"/>
    <xf numFmtId="4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4" fontId="1" fillId="5" borderId="1" xfId="0" applyNumberFormat="1" applyFont="1" applyFill="1" applyBorder="1" applyAlignment="1">
      <alignment horizontal="center"/>
    </xf>
    <xf numFmtId="0" fontId="1" fillId="5" borderId="1" xfId="0" applyFont="1" applyFill="1" applyBorder="1"/>
    <xf numFmtId="4" fontId="1" fillId="5" borderId="1" xfId="0" applyNumberFormat="1" applyFont="1" applyFill="1" applyBorder="1"/>
    <xf numFmtId="0" fontId="6" fillId="5" borderId="1" xfId="0" applyFont="1" applyFill="1" applyBorder="1"/>
    <xf numFmtId="0" fontId="9" fillId="0" borderId="1" xfId="0" applyFont="1" applyBorder="1" applyAlignment="1">
      <alignment horizontal="center"/>
    </xf>
    <xf numFmtId="4" fontId="9" fillId="0" borderId="1" xfId="0" applyNumberFormat="1" applyFont="1" applyBorder="1"/>
    <xf numFmtId="4" fontId="9" fillId="0" borderId="1" xfId="0" applyNumberFormat="1" applyFont="1" applyBorder="1" applyAlignment="1">
      <alignment horizontal="center"/>
    </xf>
    <xf numFmtId="0" fontId="4" fillId="0" borderId="6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1" fillId="3" borderId="1" xfId="0" applyFont="1" applyFill="1" applyBorder="1"/>
    <xf numFmtId="4" fontId="1" fillId="3" borderId="1" xfId="0" applyNumberFormat="1" applyFont="1" applyFill="1" applyBorder="1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4" fontId="0" fillId="3" borderId="1" xfId="0" applyNumberFormat="1" applyFill="1" applyBorder="1" applyAlignment="1">
      <alignment horizontal="center"/>
    </xf>
    <xf numFmtId="4" fontId="6" fillId="3" borderId="1" xfId="0" applyNumberFormat="1" applyFont="1" applyFill="1" applyBorder="1" applyAlignment="1">
      <alignment horizontal="center"/>
    </xf>
    <xf numFmtId="4" fontId="1" fillId="3" borderId="1" xfId="0" applyNumberFormat="1" applyFont="1" applyFill="1" applyBorder="1" applyAlignment="1">
      <alignment horizontal="center"/>
    </xf>
    <xf numFmtId="0" fontId="6" fillId="3" borderId="1" xfId="0" applyFont="1" applyFill="1" applyBorder="1"/>
    <xf numFmtId="0" fontId="10" fillId="2" borderId="1" xfId="0" applyFont="1" applyFill="1" applyBorder="1" applyAlignment="1">
      <alignment horizontal="center"/>
    </xf>
    <xf numFmtId="0" fontId="10" fillId="3" borderId="3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4" borderId="1" xfId="0" applyFill="1" applyBorder="1"/>
    <xf numFmtId="0" fontId="10" fillId="4" borderId="3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0" fillId="2" borderId="0" xfId="0" applyFill="1"/>
    <xf numFmtId="4" fontId="1" fillId="0" borderId="0" xfId="0" applyNumberFormat="1" applyFont="1" applyAlignment="1">
      <alignment horizontal="center"/>
    </xf>
    <xf numFmtId="14" fontId="4" fillId="0" borderId="0" xfId="0" applyNumberFormat="1" applyFont="1" applyBorder="1" applyAlignment="1"/>
    <xf numFmtId="0" fontId="1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left"/>
    </xf>
    <xf numFmtId="14" fontId="4" fillId="0" borderId="0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12" fillId="3" borderId="7" xfId="0" applyFont="1" applyFill="1" applyBorder="1" applyAlignment="1">
      <alignment horizontal="center" wrapText="1"/>
    </xf>
    <xf numFmtId="0" fontId="12" fillId="3" borderId="8" xfId="0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 wrapText="1"/>
    </xf>
    <xf numFmtId="0" fontId="14" fillId="3" borderId="1" xfId="0" applyFont="1" applyFill="1" applyBorder="1" applyAlignment="1">
      <alignment horizontal="center" wrapText="1"/>
    </xf>
    <xf numFmtId="0" fontId="15" fillId="3" borderId="1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/>
    </xf>
    <xf numFmtId="0" fontId="12" fillId="3" borderId="10" xfId="0" applyFont="1" applyFill="1" applyBorder="1" applyAlignment="1">
      <alignment horizontal="center"/>
    </xf>
    <xf numFmtId="0" fontId="15" fillId="3" borderId="7" xfId="0" applyFont="1" applyFill="1" applyBorder="1" applyAlignment="1">
      <alignment horizontal="center"/>
    </xf>
    <xf numFmtId="0" fontId="15" fillId="3" borderId="8" xfId="0" applyFont="1" applyFill="1" applyBorder="1" applyAlignment="1">
      <alignment horizontal="center"/>
    </xf>
    <xf numFmtId="0" fontId="16" fillId="3" borderId="1" xfId="0" applyFont="1" applyFill="1" applyBorder="1" applyAlignment="1">
      <alignment horizontal="center" wrapText="1"/>
    </xf>
    <xf numFmtId="0" fontId="14" fillId="3" borderId="1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/>
    </xf>
    <xf numFmtId="0" fontId="15" fillId="3" borderId="10" xfId="0" applyFont="1" applyFill="1" applyBorder="1" applyAlignment="1">
      <alignment horizontal="center"/>
    </xf>
    <xf numFmtId="4" fontId="9" fillId="0" borderId="5" xfId="0" applyNumberFormat="1" applyFont="1" applyBorder="1" applyAlignment="1">
      <alignment horizontal="center"/>
    </xf>
    <xf numFmtId="4" fontId="9" fillId="0" borderId="5" xfId="0" applyNumberFormat="1" applyFont="1" applyBorder="1"/>
    <xf numFmtId="0" fontId="16" fillId="3" borderId="7" xfId="0" applyFont="1" applyFill="1" applyBorder="1" applyAlignment="1">
      <alignment horizontal="center" vertical="center" wrapText="1"/>
    </xf>
    <xf numFmtId="0" fontId="14" fillId="3" borderId="1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9" xfId="0" applyFont="1" applyFill="1" applyBorder="1" applyAlignment="1">
      <alignment horizontal="center" vertical="center" wrapText="1"/>
    </xf>
    <xf numFmtId="0" fontId="14" fillId="3" borderId="6" xfId="0" applyFont="1" applyFill="1" applyBorder="1" applyAlignment="1">
      <alignment horizontal="center" vertical="center" wrapText="1"/>
    </xf>
    <xf numFmtId="0" fontId="14" fillId="3" borderId="10" xfId="0" applyFont="1" applyFill="1" applyBorder="1" applyAlignment="1">
      <alignment horizontal="center" vertical="center" wrapText="1"/>
    </xf>
    <xf numFmtId="0" fontId="2" fillId="0" borderId="11" xfId="0" applyFont="1" applyBorder="1" applyAlignment="1"/>
    <xf numFmtId="4" fontId="1" fillId="2" borderId="1" xfId="0" applyNumberFormat="1" applyFont="1" applyFill="1" applyBorder="1"/>
    <xf numFmtId="4" fontId="0" fillId="2" borderId="1" xfId="0" applyNumberFormat="1" applyFill="1" applyBorder="1" applyAlignment="1">
      <alignment horizontal="center"/>
    </xf>
    <xf numFmtId="0" fontId="0" fillId="3" borderId="0" xfId="0" applyFill="1"/>
    <xf numFmtId="0" fontId="0" fillId="6" borderId="1" xfId="0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1" fillId="6" borderId="1" xfId="0" applyFont="1" applyFill="1" applyBorder="1"/>
    <xf numFmtId="4" fontId="1" fillId="6" borderId="1" xfId="0" applyNumberFormat="1" applyFont="1" applyFill="1" applyBorder="1"/>
    <xf numFmtId="4" fontId="1" fillId="2" borderId="1" xfId="0" applyNumberFormat="1" applyFont="1" applyFill="1" applyBorder="1" applyAlignment="1">
      <alignment horizontal="center"/>
    </xf>
    <xf numFmtId="0" fontId="18" fillId="0" borderId="11" xfId="0" applyFont="1" applyBorder="1" applyAlignment="1"/>
    <xf numFmtId="0" fontId="18" fillId="0" borderId="6" xfId="0" applyFont="1" applyBorder="1" applyAlignment="1"/>
    <xf numFmtId="0" fontId="19" fillId="0" borderId="6" xfId="0" applyFont="1" applyBorder="1" applyAlignment="1"/>
    <xf numFmtId="0" fontId="17" fillId="0" borderId="11" xfId="0" applyFont="1" applyBorder="1" applyAlignment="1">
      <alignment horizontal="left"/>
    </xf>
    <xf numFmtId="0" fontId="8" fillId="0" borderId="6" xfId="0" applyFont="1" applyBorder="1" applyAlignment="1">
      <alignment horizontal="left"/>
    </xf>
    <xf numFmtId="0" fontId="8" fillId="0" borderId="6" xfId="0" applyFont="1" applyBorder="1" applyAlignment="1"/>
    <xf numFmtId="0" fontId="20" fillId="3" borderId="7" xfId="0" applyFont="1" applyFill="1" applyBorder="1" applyAlignment="1">
      <alignment horizontal="center" vertical="center" wrapText="1"/>
    </xf>
    <xf numFmtId="0" fontId="21" fillId="3" borderId="11" xfId="0" applyFont="1" applyFill="1" applyBorder="1" applyAlignment="1">
      <alignment horizontal="center" vertical="center" wrapText="1"/>
    </xf>
    <xf numFmtId="0" fontId="21" fillId="3" borderId="8" xfId="0" applyFont="1" applyFill="1" applyBorder="1" applyAlignment="1">
      <alignment horizontal="center" vertical="center" wrapText="1"/>
    </xf>
    <xf numFmtId="0" fontId="21" fillId="3" borderId="9" xfId="0" applyFont="1" applyFill="1" applyBorder="1" applyAlignment="1">
      <alignment horizontal="center" vertical="center" wrapText="1"/>
    </xf>
    <xf numFmtId="0" fontId="21" fillId="3" borderId="6" xfId="0" applyFont="1" applyFill="1" applyBorder="1" applyAlignment="1">
      <alignment horizontal="center" vertical="center" wrapText="1"/>
    </xf>
    <xf numFmtId="0" fontId="21" fillId="3" borderId="10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wrapText="1"/>
    </xf>
    <xf numFmtId="4" fontId="1" fillId="6" borderId="1" xfId="0" applyNumberFormat="1" applyFont="1" applyFill="1" applyBorder="1" applyAlignment="1">
      <alignment horizontal="center"/>
    </xf>
    <xf numFmtId="4" fontId="22" fillId="0" borderId="5" xfId="0" applyNumberFormat="1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/>
    <xf numFmtId="4" fontId="22" fillId="0" borderId="5" xfId="0" applyNumberFormat="1" applyFont="1" applyBorder="1"/>
    <xf numFmtId="0" fontId="23" fillId="0" borderId="11" xfId="0" applyFont="1" applyBorder="1" applyAlignment="1"/>
    <xf numFmtId="0" fontId="20" fillId="0" borderId="11" xfId="0" applyFont="1" applyBorder="1" applyAlignment="1"/>
    <xf numFmtId="0" fontId="24" fillId="0" borderId="6" xfId="0" applyFont="1" applyBorder="1" applyAlignment="1">
      <alignment horizontal="left" vertical="top"/>
    </xf>
    <xf numFmtId="0" fontId="25" fillId="0" borderId="0" xfId="0" applyFont="1" applyAlignment="1">
      <alignment horizontal="center"/>
    </xf>
    <xf numFmtId="4" fontId="26" fillId="0" borderId="5" xfId="0" applyNumberFormat="1" applyFont="1" applyBorder="1" applyAlignment="1">
      <alignment horizontal="center"/>
    </xf>
    <xf numFmtId="0" fontId="25" fillId="0" borderId="0" xfId="0" applyFont="1"/>
    <xf numFmtId="4" fontId="26" fillId="0" borderId="5" xfId="0" applyNumberFormat="1" applyFont="1" applyBorder="1"/>
    <xf numFmtId="0" fontId="6" fillId="3" borderId="4" xfId="0" applyFont="1" applyFill="1" applyBorder="1" applyAlignment="1">
      <alignment horizontal="center"/>
    </xf>
    <xf numFmtId="0" fontId="1" fillId="3" borderId="4" xfId="0" applyFont="1" applyFill="1" applyBorder="1"/>
    <xf numFmtId="4" fontId="1" fillId="3" borderId="4" xfId="0" applyNumberFormat="1" applyFont="1" applyFill="1" applyBorder="1"/>
    <xf numFmtId="0" fontId="6" fillId="3" borderId="5" xfId="0" applyFont="1" applyFill="1" applyBorder="1" applyAlignment="1">
      <alignment horizontal="center"/>
    </xf>
    <xf numFmtId="0" fontId="1" fillId="3" borderId="5" xfId="0" applyFont="1" applyFill="1" applyBorder="1"/>
    <xf numFmtId="4" fontId="1" fillId="3" borderId="5" xfId="0" applyNumberFormat="1" applyFont="1" applyFill="1" applyBorder="1"/>
    <xf numFmtId="0" fontId="0" fillId="0" borderId="0" xfId="0" applyBorder="1"/>
    <xf numFmtId="14" fontId="4" fillId="0" borderId="6" xfId="0" applyNumberFormat="1" applyFont="1" applyBorder="1" applyAlignment="1">
      <alignment horizontal="center"/>
    </xf>
    <xf numFmtId="14" fontId="5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92</xdr:row>
      <xdr:rowOff>47625</xdr:rowOff>
    </xdr:from>
    <xdr:to>
      <xdr:col>1</xdr:col>
      <xdr:colOff>904875</xdr:colOff>
      <xdr:row>95</xdr:row>
      <xdr:rowOff>180975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811750"/>
          <a:ext cx="1266825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47625</xdr:colOff>
      <xdr:row>46</xdr:row>
      <xdr:rowOff>28575</xdr:rowOff>
    </xdr:from>
    <xdr:to>
      <xdr:col>1</xdr:col>
      <xdr:colOff>1104900</xdr:colOff>
      <xdr:row>49</xdr:row>
      <xdr:rowOff>209550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7625" y="8915400"/>
          <a:ext cx="1419225" cy="828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76200</xdr:rowOff>
    </xdr:from>
    <xdr:to>
      <xdr:col>1</xdr:col>
      <xdr:colOff>895350</xdr:colOff>
      <xdr:row>2</xdr:row>
      <xdr:rowOff>219074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6200"/>
          <a:ext cx="1257300" cy="6095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oleObject" Target="../embeddings/oleObject1.bin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2.bin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3.bin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4.bin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5.bin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6.bin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16"/>
  <sheetViews>
    <sheetView topLeftCell="A67" workbookViewId="0">
      <selection activeCell="M81" sqref="M81"/>
    </sheetView>
  </sheetViews>
  <sheetFormatPr defaultRowHeight="15"/>
  <cols>
    <col min="1" max="1" width="4.5703125" customWidth="1"/>
    <col min="2" max="2" width="13.42578125" customWidth="1"/>
    <col min="3" max="3" width="11.140625" customWidth="1"/>
    <col min="4" max="4" width="14.28515625" style="13" customWidth="1"/>
    <col min="5" max="5" width="11" style="13" customWidth="1"/>
    <col min="6" max="6" width="9.140625" style="13"/>
    <col min="7" max="7" width="14.5703125" style="13" customWidth="1"/>
    <col min="8" max="8" width="10.7109375" customWidth="1"/>
  </cols>
  <sheetData>
    <row r="1" spans="1:13" ht="18">
      <c r="B1" s="75" t="s">
        <v>24</v>
      </c>
      <c r="C1" s="75"/>
      <c r="D1" s="75"/>
      <c r="E1" s="75"/>
      <c r="F1" s="75"/>
      <c r="G1" s="75"/>
      <c r="H1" s="75"/>
      <c r="I1" s="75"/>
    </row>
    <row r="2" spans="1:13" ht="18.75">
      <c r="B2" s="1"/>
      <c r="C2" s="75" t="s">
        <v>23</v>
      </c>
      <c r="D2" s="75"/>
      <c r="E2" s="75"/>
      <c r="F2" s="75"/>
      <c r="G2" s="75"/>
      <c r="H2" s="75"/>
      <c r="I2" s="75"/>
    </row>
    <row r="3" spans="1:13" ht="18.75">
      <c r="B3" s="1"/>
      <c r="C3" s="18" t="s">
        <v>74</v>
      </c>
      <c r="D3" s="18"/>
      <c r="E3" s="18"/>
      <c r="F3" s="18"/>
      <c r="G3" s="9"/>
      <c r="H3" s="78" t="s">
        <v>77</v>
      </c>
      <c r="I3" s="78"/>
    </row>
    <row r="4" spans="1:13" ht="30" customHeight="1">
      <c r="A4" s="76" t="s">
        <v>0</v>
      </c>
      <c r="B4" s="76" t="s">
        <v>1</v>
      </c>
      <c r="C4" s="73" t="s">
        <v>2</v>
      </c>
      <c r="D4" s="73" t="s">
        <v>69</v>
      </c>
      <c r="E4" s="71" t="s">
        <v>66</v>
      </c>
      <c r="F4" s="72"/>
      <c r="G4" s="73" t="s">
        <v>67</v>
      </c>
      <c r="H4" s="71" t="s">
        <v>79</v>
      </c>
      <c r="I4" s="72"/>
      <c r="J4" s="4"/>
    </row>
    <row r="5" spans="1:13">
      <c r="A5" s="77"/>
      <c r="B5" s="77"/>
      <c r="C5" s="74"/>
      <c r="D5" s="74"/>
      <c r="E5" s="5" t="s">
        <v>64</v>
      </c>
      <c r="F5" s="5" t="s">
        <v>3</v>
      </c>
      <c r="G5" s="74"/>
      <c r="H5" s="6" t="s">
        <v>79</v>
      </c>
      <c r="I5" s="6" t="s">
        <v>3</v>
      </c>
      <c r="J5" s="4"/>
      <c r="M5" s="27">
        <f>F7+F14+F21+F28+F35</f>
        <v>150</v>
      </c>
    </row>
    <row r="6" spans="1:13">
      <c r="A6" s="3">
        <v>1</v>
      </c>
      <c r="B6" s="7">
        <v>40183</v>
      </c>
      <c r="C6" s="10"/>
      <c r="D6" s="11"/>
      <c r="E6" s="11"/>
      <c r="F6" s="11"/>
      <c r="G6" s="26"/>
      <c r="H6" s="3"/>
      <c r="I6" s="3"/>
      <c r="J6" s="4"/>
    </row>
    <row r="7" spans="1:13">
      <c r="A7" s="3">
        <v>2</v>
      </c>
      <c r="B7" s="7">
        <v>40214</v>
      </c>
      <c r="C7" s="31">
        <v>2</v>
      </c>
      <c r="D7" s="32" t="s">
        <v>63</v>
      </c>
      <c r="E7" s="33" t="s">
        <v>65</v>
      </c>
      <c r="F7" s="34">
        <v>30</v>
      </c>
      <c r="G7" s="26"/>
      <c r="H7" s="3"/>
      <c r="I7" s="3"/>
      <c r="J7" s="4"/>
    </row>
    <row r="8" spans="1:13">
      <c r="A8" s="3">
        <v>3</v>
      </c>
      <c r="B8" s="7">
        <v>40242</v>
      </c>
      <c r="C8" s="2"/>
      <c r="D8" s="14"/>
      <c r="E8" s="14"/>
      <c r="F8" s="14"/>
      <c r="G8" s="26"/>
      <c r="H8" s="3"/>
      <c r="I8" s="3"/>
      <c r="J8" s="4"/>
    </row>
    <row r="9" spans="1:13">
      <c r="A9" s="3">
        <v>4</v>
      </c>
      <c r="B9" s="7">
        <v>40273</v>
      </c>
      <c r="C9" s="10"/>
      <c r="D9" s="26"/>
      <c r="E9" s="26"/>
      <c r="F9" s="24"/>
      <c r="G9" s="26"/>
      <c r="H9" s="3"/>
      <c r="I9" s="3"/>
      <c r="J9" s="4"/>
      <c r="L9">
        <f>15*2</f>
        <v>30</v>
      </c>
    </row>
    <row r="10" spans="1:13">
      <c r="A10" s="3">
        <v>5</v>
      </c>
      <c r="B10" s="7">
        <v>40303</v>
      </c>
      <c r="C10" s="10"/>
      <c r="D10" s="26"/>
      <c r="E10" s="14"/>
      <c r="F10" s="28"/>
      <c r="G10" s="26"/>
      <c r="H10" s="3"/>
      <c r="I10" s="3"/>
      <c r="J10" s="4"/>
      <c r="M10" s="27">
        <f>F7+F14+F21+F28+F35</f>
        <v>150</v>
      </c>
    </row>
    <row r="11" spans="1:13">
      <c r="A11" s="3">
        <v>6</v>
      </c>
      <c r="B11" s="7">
        <v>40334</v>
      </c>
      <c r="C11" s="31">
        <v>2</v>
      </c>
      <c r="D11" s="26"/>
      <c r="E11" s="12"/>
      <c r="F11" s="25"/>
      <c r="G11" s="32" t="s">
        <v>63</v>
      </c>
      <c r="H11" s="35" t="s">
        <v>68</v>
      </c>
      <c r="I11" s="36">
        <v>36</v>
      </c>
      <c r="J11" s="4"/>
    </row>
    <row r="12" spans="1:13">
      <c r="A12" s="3">
        <v>7</v>
      </c>
      <c r="B12" s="7">
        <v>40364</v>
      </c>
      <c r="C12" s="2"/>
      <c r="D12" s="14"/>
      <c r="E12" s="14"/>
      <c r="F12" s="14"/>
      <c r="G12" s="14"/>
      <c r="H12" s="2"/>
      <c r="I12" s="2"/>
      <c r="J12" s="4"/>
      <c r="M12" s="27">
        <f>I11+I18+I25+I32</f>
        <v>144</v>
      </c>
    </row>
    <row r="13" spans="1:13">
      <c r="A13" s="3">
        <v>8</v>
      </c>
      <c r="B13" s="7">
        <v>40395</v>
      </c>
      <c r="C13" s="10"/>
      <c r="D13" s="26"/>
      <c r="E13" s="26"/>
      <c r="F13" s="24"/>
      <c r="G13" s="26"/>
      <c r="H13" s="3"/>
      <c r="I13" s="3"/>
      <c r="J13" s="4"/>
    </row>
    <row r="14" spans="1:13">
      <c r="A14" s="3">
        <v>9</v>
      </c>
      <c r="B14" s="7">
        <v>40426</v>
      </c>
      <c r="C14" s="31">
        <v>2</v>
      </c>
      <c r="D14" s="32" t="s">
        <v>63</v>
      </c>
      <c r="E14" s="33" t="s">
        <v>65</v>
      </c>
      <c r="F14" s="37">
        <v>30</v>
      </c>
      <c r="G14" s="26"/>
      <c r="H14" s="3"/>
      <c r="I14" s="3"/>
      <c r="J14" s="4"/>
    </row>
    <row r="15" spans="1:13">
      <c r="A15" s="3">
        <v>10</v>
      </c>
      <c r="B15" s="7">
        <v>40456</v>
      </c>
      <c r="C15" s="2"/>
      <c r="D15" s="14"/>
      <c r="E15" s="14"/>
      <c r="F15" s="14"/>
      <c r="G15" s="26"/>
      <c r="H15" s="3"/>
      <c r="I15" s="3"/>
      <c r="J15" s="4"/>
    </row>
    <row r="16" spans="1:13">
      <c r="A16" s="3">
        <v>11</v>
      </c>
      <c r="B16" s="7">
        <v>40487</v>
      </c>
      <c r="C16" s="10"/>
      <c r="D16" s="26"/>
      <c r="E16" s="26"/>
      <c r="F16" s="24"/>
      <c r="G16" s="26"/>
      <c r="H16" s="3"/>
      <c r="I16" s="3"/>
      <c r="J16" s="4"/>
    </row>
    <row r="17" spans="1:10">
      <c r="A17" s="3">
        <v>12</v>
      </c>
      <c r="B17" s="7">
        <v>40517</v>
      </c>
      <c r="C17" s="10"/>
      <c r="D17" s="26"/>
      <c r="E17" s="26"/>
      <c r="F17" s="24"/>
      <c r="G17" s="26"/>
      <c r="H17" s="3"/>
      <c r="I17" s="3"/>
      <c r="J17" s="4"/>
    </row>
    <row r="18" spans="1:10">
      <c r="A18" s="3">
        <v>13</v>
      </c>
      <c r="B18" s="8" t="s">
        <v>5</v>
      </c>
      <c r="C18" s="31">
        <v>2</v>
      </c>
      <c r="D18" s="12"/>
      <c r="E18" s="12"/>
      <c r="F18" s="25"/>
      <c r="G18" s="32" t="s">
        <v>63</v>
      </c>
      <c r="H18" s="35" t="s">
        <v>68</v>
      </c>
      <c r="I18" s="36">
        <v>36</v>
      </c>
      <c r="J18" s="4"/>
    </row>
    <row r="19" spans="1:10">
      <c r="A19" s="3">
        <v>14</v>
      </c>
      <c r="B19" s="8" t="s">
        <v>6</v>
      </c>
      <c r="C19" s="2"/>
      <c r="D19" s="14"/>
      <c r="E19" s="14"/>
      <c r="F19" s="14"/>
      <c r="G19" s="14"/>
      <c r="H19" s="2"/>
      <c r="I19" s="2"/>
      <c r="J19" s="4"/>
    </row>
    <row r="20" spans="1:10">
      <c r="A20" s="3">
        <v>15</v>
      </c>
      <c r="B20" s="8" t="s">
        <v>7</v>
      </c>
      <c r="C20" s="10"/>
      <c r="D20" s="26"/>
      <c r="E20" s="26"/>
      <c r="F20" s="24"/>
      <c r="G20" s="26"/>
      <c r="H20" s="3"/>
      <c r="I20" s="3"/>
      <c r="J20" s="4"/>
    </row>
    <row r="21" spans="1:10">
      <c r="A21" s="3">
        <v>16</v>
      </c>
      <c r="B21" s="8" t="s">
        <v>8</v>
      </c>
      <c r="C21" s="38">
        <v>2</v>
      </c>
      <c r="D21" s="39" t="s">
        <v>63</v>
      </c>
      <c r="E21" s="40" t="s">
        <v>65</v>
      </c>
      <c r="F21" s="41">
        <v>30</v>
      </c>
      <c r="G21" s="26"/>
      <c r="H21" s="3"/>
      <c r="I21" s="3"/>
      <c r="J21" s="4"/>
    </row>
    <row r="22" spans="1:10">
      <c r="A22" s="3">
        <v>17</v>
      </c>
      <c r="B22" s="8" t="s">
        <v>9</v>
      </c>
      <c r="C22" s="10"/>
      <c r="D22" s="12"/>
      <c r="E22" s="14"/>
      <c r="F22" s="24"/>
      <c r="G22" s="26"/>
      <c r="H22" s="3"/>
      <c r="I22" s="3"/>
      <c r="J22" s="4"/>
    </row>
    <row r="23" spans="1:10">
      <c r="A23" s="3">
        <v>18</v>
      </c>
      <c r="B23" s="8" t="s">
        <v>10</v>
      </c>
      <c r="C23" s="10"/>
      <c r="D23" s="26"/>
      <c r="E23" s="26"/>
      <c r="F23" s="24"/>
      <c r="G23" s="26"/>
      <c r="H23" s="3"/>
      <c r="I23" s="3"/>
      <c r="J23" s="4"/>
    </row>
    <row r="24" spans="1:10">
      <c r="A24" s="3">
        <v>19</v>
      </c>
      <c r="B24" s="8" t="s">
        <v>11</v>
      </c>
      <c r="C24" s="10"/>
      <c r="D24" s="26"/>
      <c r="E24" s="26"/>
      <c r="F24" s="24"/>
      <c r="G24" s="26"/>
      <c r="H24" s="3"/>
      <c r="I24" s="3"/>
      <c r="J24" s="4"/>
    </row>
    <row r="25" spans="1:10">
      <c r="A25" s="3">
        <v>20</v>
      </c>
      <c r="B25" s="8" t="s">
        <v>12</v>
      </c>
      <c r="C25" s="31">
        <v>2</v>
      </c>
      <c r="D25" s="12"/>
      <c r="E25" s="12"/>
      <c r="F25" s="25"/>
      <c r="G25" s="39" t="s">
        <v>63</v>
      </c>
      <c r="H25" s="42" t="s">
        <v>68</v>
      </c>
      <c r="I25" s="43">
        <v>36</v>
      </c>
      <c r="J25" s="4"/>
    </row>
    <row r="26" spans="1:10">
      <c r="A26" s="3">
        <v>21</v>
      </c>
      <c r="B26" s="8" t="s">
        <v>13</v>
      </c>
      <c r="C26" s="2"/>
      <c r="D26" s="14"/>
      <c r="E26" s="14"/>
      <c r="F26" s="14"/>
      <c r="G26" s="14"/>
      <c r="H26" s="2"/>
      <c r="I26" s="2"/>
      <c r="J26" s="4"/>
    </row>
    <row r="27" spans="1:10">
      <c r="A27" s="3">
        <v>22</v>
      </c>
      <c r="B27" s="8" t="s">
        <v>14</v>
      </c>
      <c r="C27" s="10"/>
      <c r="D27" s="26"/>
      <c r="E27" s="26"/>
      <c r="F27" s="24"/>
      <c r="G27" s="26"/>
      <c r="H27" s="3"/>
      <c r="I27" s="3"/>
      <c r="J27" s="4"/>
    </row>
    <row r="28" spans="1:10">
      <c r="A28" s="3">
        <v>23</v>
      </c>
      <c r="B28" s="8" t="s">
        <v>15</v>
      </c>
      <c r="C28" s="38">
        <v>2</v>
      </c>
      <c r="D28" s="39" t="s">
        <v>63</v>
      </c>
      <c r="E28" s="40" t="s">
        <v>65</v>
      </c>
      <c r="F28" s="41">
        <v>30</v>
      </c>
      <c r="G28" s="26"/>
      <c r="H28" s="3"/>
      <c r="I28" s="3"/>
      <c r="J28" s="4"/>
    </row>
    <row r="29" spans="1:10">
      <c r="A29" s="3">
        <v>24</v>
      </c>
      <c r="B29" s="8" t="s">
        <v>16</v>
      </c>
      <c r="C29" s="2"/>
      <c r="D29" s="14"/>
      <c r="E29" s="14"/>
      <c r="F29" s="14"/>
      <c r="G29" s="26"/>
      <c r="H29" s="3"/>
      <c r="I29" s="3"/>
      <c r="J29" s="4"/>
    </row>
    <row r="30" spans="1:10">
      <c r="A30" s="3">
        <v>25</v>
      </c>
      <c r="B30" s="8" t="s">
        <v>17</v>
      </c>
      <c r="C30" s="10"/>
      <c r="D30" s="26"/>
      <c r="E30" s="26"/>
      <c r="F30" s="24"/>
      <c r="G30" s="26"/>
      <c r="H30" s="3"/>
      <c r="I30" s="3"/>
      <c r="J30" s="4"/>
    </row>
    <row r="31" spans="1:10">
      <c r="A31" s="3">
        <v>26</v>
      </c>
      <c r="B31" s="8" t="s">
        <v>18</v>
      </c>
      <c r="C31" s="10"/>
      <c r="D31" s="26"/>
      <c r="E31" s="26"/>
      <c r="F31" s="24"/>
      <c r="G31" s="26"/>
      <c r="H31" s="3"/>
      <c r="I31" s="3"/>
      <c r="J31" s="4"/>
    </row>
    <row r="32" spans="1:10">
      <c r="A32" s="3">
        <v>27</v>
      </c>
      <c r="B32" s="8" t="s">
        <v>19</v>
      </c>
      <c r="C32" s="31">
        <v>2</v>
      </c>
      <c r="D32" s="12"/>
      <c r="E32" s="12"/>
      <c r="F32" s="25"/>
      <c r="G32" s="39" t="s">
        <v>63</v>
      </c>
      <c r="H32" s="42" t="s">
        <v>68</v>
      </c>
      <c r="I32" s="43">
        <v>36</v>
      </c>
      <c r="J32" s="4"/>
    </row>
    <row r="33" spans="1:10">
      <c r="A33" s="3">
        <v>28</v>
      </c>
      <c r="B33" s="8" t="s">
        <v>20</v>
      </c>
      <c r="C33" s="2"/>
      <c r="D33" s="14"/>
      <c r="E33" s="14"/>
      <c r="F33" s="14"/>
      <c r="G33" s="14"/>
      <c r="H33" s="2"/>
      <c r="I33" s="2"/>
      <c r="J33" s="4"/>
    </row>
    <row r="34" spans="1:10">
      <c r="A34" s="3">
        <v>29</v>
      </c>
      <c r="B34" s="8" t="s">
        <v>21</v>
      </c>
      <c r="C34" s="10"/>
      <c r="D34" s="26"/>
      <c r="E34" s="26"/>
      <c r="F34" s="24"/>
      <c r="G34" s="26"/>
      <c r="H34" s="3"/>
      <c r="I34" s="3"/>
      <c r="J34" s="4"/>
    </row>
    <row r="35" spans="1:10">
      <c r="A35" s="3">
        <v>30</v>
      </c>
      <c r="B35" s="8" t="s">
        <v>22</v>
      </c>
      <c r="C35" s="38">
        <v>2</v>
      </c>
      <c r="D35" s="39" t="s">
        <v>63</v>
      </c>
      <c r="E35" s="40" t="s">
        <v>65</v>
      </c>
      <c r="F35" s="41">
        <v>30</v>
      </c>
      <c r="G35" s="26"/>
      <c r="H35" s="3"/>
      <c r="I35" s="3"/>
      <c r="J35" s="4"/>
    </row>
    <row r="36" spans="1:10">
      <c r="D36" s="80" t="s">
        <v>76</v>
      </c>
      <c r="E36" s="80"/>
      <c r="F36" s="47">
        <v>150</v>
      </c>
      <c r="I36" s="46">
        <f>I32+I25+I18+I11</f>
        <v>144</v>
      </c>
    </row>
    <row r="37" spans="1:10">
      <c r="B37" s="19" t="s">
        <v>70</v>
      </c>
      <c r="C37" s="20"/>
      <c r="D37" s="21"/>
      <c r="E37" s="21"/>
      <c r="F37" s="21"/>
      <c r="G37" s="21"/>
      <c r="H37" s="20" t="s">
        <v>71</v>
      </c>
      <c r="I37" s="20"/>
    </row>
    <row r="38" spans="1:10">
      <c r="B38" s="22" t="s">
        <v>72</v>
      </c>
      <c r="C38" s="20"/>
      <c r="D38" s="21"/>
      <c r="E38" s="21"/>
      <c r="F38" s="21"/>
      <c r="G38" s="21"/>
      <c r="H38" s="23" t="s">
        <v>73</v>
      </c>
      <c r="I38" s="20"/>
    </row>
    <row r="39" spans="1:10">
      <c r="B39" s="17"/>
      <c r="H39" s="16"/>
    </row>
    <row r="40" spans="1:10" ht="18">
      <c r="B40" s="75" t="s">
        <v>24</v>
      </c>
      <c r="C40" s="75"/>
      <c r="D40" s="75"/>
      <c r="E40" s="75"/>
      <c r="F40" s="75"/>
      <c r="G40" s="75"/>
      <c r="H40" s="75"/>
      <c r="I40" s="75"/>
    </row>
    <row r="41" spans="1:10" ht="18.75">
      <c r="B41" s="1"/>
      <c r="C41" s="75" t="s">
        <v>61</v>
      </c>
      <c r="D41" s="75"/>
      <c r="E41" s="75"/>
      <c r="F41" s="75"/>
      <c r="G41" s="75"/>
      <c r="H41" s="75"/>
      <c r="I41" s="75"/>
    </row>
    <row r="42" spans="1:10" ht="18.75">
      <c r="B42" s="1"/>
      <c r="C42" s="18" t="s">
        <v>74</v>
      </c>
      <c r="D42" s="18"/>
      <c r="E42" s="18"/>
      <c r="F42" s="18"/>
      <c r="G42" s="9"/>
      <c r="H42" s="79" t="s">
        <v>77</v>
      </c>
      <c r="I42" s="79"/>
    </row>
    <row r="43" spans="1:10" ht="15" customHeight="1">
      <c r="A43" s="76" t="s">
        <v>0</v>
      </c>
      <c r="B43" s="76" t="s">
        <v>1</v>
      </c>
      <c r="C43" s="73" t="s">
        <v>2</v>
      </c>
      <c r="D43" s="73" t="s">
        <v>69</v>
      </c>
      <c r="E43" s="71" t="s">
        <v>66</v>
      </c>
      <c r="F43" s="72"/>
      <c r="G43" s="73" t="s">
        <v>67</v>
      </c>
      <c r="H43" s="71"/>
      <c r="I43" s="72"/>
    </row>
    <row r="44" spans="1:10">
      <c r="A44" s="77"/>
      <c r="B44" s="77"/>
      <c r="C44" s="74"/>
      <c r="D44" s="74"/>
      <c r="E44" s="5" t="s">
        <v>64</v>
      </c>
      <c r="F44" s="5" t="s">
        <v>3</v>
      </c>
      <c r="G44" s="74"/>
      <c r="H44" s="6" t="s">
        <v>4</v>
      </c>
      <c r="I44" s="6" t="s">
        <v>3</v>
      </c>
    </row>
    <row r="45" spans="1:10">
      <c r="A45" s="3">
        <v>1</v>
      </c>
      <c r="B45" s="7">
        <v>40184</v>
      </c>
      <c r="C45" s="10"/>
      <c r="D45" s="26"/>
      <c r="E45" s="26"/>
      <c r="F45" s="24"/>
      <c r="G45" s="26"/>
      <c r="H45" s="3"/>
      <c r="I45" s="3"/>
    </row>
    <row r="46" spans="1:10">
      <c r="A46" s="3">
        <v>2</v>
      </c>
      <c r="B46" s="7">
        <v>40215</v>
      </c>
      <c r="C46" s="10"/>
      <c r="D46" s="12"/>
      <c r="E46" s="14"/>
      <c r="F46" s="28"/>
      <c r="G46" s="26"/>
      <c r="H46" s="3"/>
      <c r="I46" s="3"/>
    </row>
    <row r="47" spans="1:10">
      <c r="A47" s="3">
        <v>3</v>
      </c>
      <c r="B47" s="7">
        <v>40243</v>
      </c>
      <c r="C47" s="10"/>
      <c r="D47" s="12"/>
      <c r="E47" s="26"/>
      <c r="F47" s="24"/>
      <c r="G47" s="26"/>
      <c r="H47" s="3"/>
      <c r="I47" s="3"/>
    </row>
    <row r="48" spans="1:10">
      <c r="A48" s="3">
        <v>4</v>
      </c>
      <c r="B48" s="7">
        <v>40274</v>
      </c>
      <c r="C48" s="38">
        <v>2</v>
      </c>
      <c r="D48" s="12"/>
      <c r="E48" s="26"/>
      <c r="F48" s="24"/>
      <c r="G48" s="39" t="s">
        <v>63</v>
      </c>
      <c r="H48" s="42" t="s">
        <v>68</v>
      </c>
      <c r="I48" s="43">
        <v>36</v>
      </c>
    </row>
    <row r="49" spans="1:13">
      <c r="A49" s="3">
        <v>5</v>
      </c>
      <c r="B49" s="7">
        <v>40304</v>
      </c>
      <c r="C49" s="10"/>
      <c r="D49" s="26"/>
      <c r="E49" s="14"/>
      <c r="F49" s="28"/>
      <c r="G49" s="26"/>
      <c r="H49" s="3"/>
      <c r="I49" s="15"/>
    </row>
    <row r="50" spans="1:13">
      <c r="A50" s="3">
        <v>6</v>
      </c>
      <c r="B50" s="7">
        <v>40335</v>
      </c>
      <c r="C50" s="10"/>
      <c r="D50" s="26"/>
      <c r="E50" s="12"/>
      <c r="F50" s="25"/>
      <c r="G50" s="12"/>
      <c r="H50" s="3"/>
      <c r="I50" s="15"/>
    </row>
    <row r="51" spans="1:13">
      <c r="A51" s="3">
        <v>7</v>
      </c>
      <c r="B51" s="7">
        <v>40365</v>
      </c>
      <c r="C51" s="38">
        <v>2</v>
      </c>
      <c r="D51" s="39" t="s">
        <v>63</v>
      </c>
      <c r="E51" s="38" t="s">
        <v>65</v>
      </c>
      <c r="F51" s="41">
        <v>30</v>
      </c>
      <c r="G51" s="14"/>
      <c r="H51" s="2"/>
      <c r="I51" s="2"/>
      <c r="M51" s="27">
        <f>I48+I55+I62+I69</f>
        <v>144</v>
      </c>
    </row>
    <row r="52" spans="1:13">
      <c r="A52" s="3">
        <v>8</v>
      </c>
      <c r="B52" s="7">
        <v>40396</v>
      </c>
      <c r="C52" s="10"/>
      <c r="D52" s="26"/>
      <c r="E52" s="26"/>
      <c r="F52" s="24"/>
      <c r="G52" s="26"/>
      <c r="H52" s="3"/>
      <c r="I52" s="15"/>
    </row>
    <row r="53" spans="1:13">
      <c r="A53" s="3">
        <v>9</v>
      </c>
      <c r="B53" s="7">
        <v>40427</v>
      </c>
      <c r="C53" s="10"/>
      <c r="D53" s="12"/>
      <c r="E53" s="14"/>
      <c r="F53" s="24"/>
      <c r="G53" s="26"/>
      <c r="H53" s="3"/>
      <c r="I53" s="15"/>
    </row>
    <row r="54" spans="1:13">
      <c r="A54" s="3">
        <v>10</v>
      </c>
      <c r="B54" s="7">
        <v>40457</v>
      </c>
      <c r="C54" s="2"/>
      <c r="D54" s="14"/>
      <c r="E54" s="14"/>
      <c r="F54" s="14"/>
      <c r="G54" s="26"/>
      <c r="H54" s="3"/>
      <c r="I54" s="15"/>
    </row>
    <row r="55" spans="1:13">
      <c r="A55" s="3">
        <v>11</v>
      </c>
      <c r="B55" s="7">
        <v>40488</v>
      </c>
      <c r="C55" s="38">
        <v>2</v>
      </c>
      <c r="D55" s="26"/>
      <c r="E55" s="26"/>
      <c r="F55" s="24"/>
      <c r="G55" s="39" t="s">
        <v>63</v>
      </c>
      <c r="H55" s="42" t="s">
        <v>68</v>
      </c>
      <c r="I55" s="43">
        <v>36</v>
      </c>
    </row>
    <row r="56" spans="1:13">
      <c r="A56" s="3">
        <v>12</v>
      </c>
      <c r="B56" s="7">
        <v>40518</v>
      </c>
      <c r="C56" s="10"/>
      <c r="D56" s="26"/>
      <c r="E56" s="26"/>
      <c r="F56" s="24"/>
      <c r="G56" s="26"/>
      <c r="H56" s="3"/>
      <c r="I56" s="15"/>
    </row>
    <row r="57" spans="1:13">
      <c r="A57" s="3">
        <v>13</v>
      </c>
      <c r="B57" s="8" t="s">
        <v>26</v>
      </c>
      <c r="C57" s="10"/>
      <c r="D57" s="12"/>
      <c r="E57" s="12"/>
      <c r="F57" s="25"/>
      <c r="G57" s="12"/>
      <c r="H57" s="3"/>
      <c r="I57" s="15"/>
    </row>
    <row r="58" spans="1:13">
      <c r="A58" s="3">
        <v>14</v>
      </c>
      <c r="B58" s="8" t="s">
        <v>27</v>
      </c>
      <c r="C58" s="38">
        <v>2</v>
      </c>
      <c r="D58" s="39" t="s">
        <v>63</v>
      </c>
      <c r="E58" s="38" t="s">
        <v>65</v>
      </c>
      <c r="F58" s="41">
        <v>30</v>
      </c>
      <c r="G58" s="14"/>
      <c r="H58" s="2"/>
      <c r="I58" s="2"/>
    </row>
    <row r="59" spans="1:13">
      <c r="A59" s="3">
        <v>15</v>
      </c>
      <c r="B59" s="8" t="s">
        <v>28</v>
      </c>
      <c r="C59" s="10"/>
      <c r="D59" s="26"/>
      <c r="E59" s="26"/>
      <c r="F59" s="24"/>
      <c r="G59" s="26"/>
      <c r="H59" s="3"/>
      <c r="I59" s="15"/>
    </row>
    <row r="60" spans="1:13">
      <c r="A60" s="3">
        <v>16</v>
      </c>
      <c r="B60" s="8" t="s">
        <v>29</v>
      </c>
      <c r="C60" s="10"/>
      <c r="D60" s="12"/>
      <c r="E60" s="14"/>
      <c r="F60" s="24"/>
      <c r="G60" s="26"/>
      <c r="H60" s="3"/>
      <c r="I60" s="15"/>
    </row>
    <row r="61" spans="1:13">
      <c r="A61" s="3">
        <v>17</v>
      </c>
      <c r="B61" s="8" t="s">
        <v>30</v>
      </c>
      <c r="C61" s="2"/>
      <c r="D61" s="14"/>
      <c r="E61" s="14"/>
      <c r="F61" s="14"/>
      <c r="G61" s="26"/>
      <c r="H61" s="3"/>
      <c r="I61" s="15"/>
    </row>
    <row r="62" spans="1:13">
      <c r="A62" s="3">
        <v>18</v>
      </c>
      <c r="B62" s="8" t="s">
        <v>31</v>
      </c>
      <c r="C62" s="38">
        <v>2</v>
      </c>
      <c r="D62" s="26"/>
      <c r="E62" s="26"/>
      <c r="F62" s="24"/>
      <c r="G62" s="39" t="s">
        <v>63</v>
      </c>
      <c r="H62" s="42" t="s">
        <v>68</v>
      </c>
      <c r="I62" s="43">
        <v>36</v>
      </c>
    </row>
    <row r="63" spans="1:13">
      <c r="A63" s="3">
        <v>19</v>
      </c>
      <c r="B63" s="8" t="s">
        <v>32</v>
      </c>
      <c r="C63" s="10"/>
      <c r="D63" s="26"/>
      <c r="E63" s="26"/>
      <c r="F63" s="24"/>
      <c r="G63" s="26"/>
      <c r="H63" s="3"/>
      <c r="I63" s="15"/>
    </row>
    <row r="64" spans="1:13">
      <c r="A64" s="3">
        <v>20</v>
      </c>
      <c r="B64" s="8" t="s">
        <v>33</v>
      </c>
      <c r="C64" s="10"/>
      <c r="D64" s="12"/>
      <c r="E64" s="12"/>
      <c r="F64" s="25"/>
      <c r="G64" s="12"/>
      <c r="H64" s="3"/>
      <c r="I64" s="15"/>
      <c r="L64" s="27">
        <f>F51+F58+F65+F72</f>
        <v>120</v>
      </c>
    </row>
    <row r="65" spans="1:9">
      <c r="A65" s="3">
        <v>21</v>
      </c>
      <c r="B65" s="8" t="s">
        <v>34</v>
      </c>
      <c r="C65" s="38">
        <v>2</v>
      </c>
      <c r="D65" s="39" t="s">
        <v>63</v>
      </c>
      <c r="E65" s="38" t="s">
        <v>65</v>
      </c>
      <c r="F65" s="41">
        <v>30</v>
      </c>
      <c r="G65" s="12"/>
      <c r="H65" s="3"/>
      <c r="I65" s="15"/>
    </row>
    <row r="66" spans="1:9">
      <c r="A66" s="3">
        <v>22</v>
      </c>
      <c r="B66" s="8" t="s">
        <v>35</v>
      </c>
      <c r="C66" s="10"/>
      <c r="D66" s="26"/>
      <c r="E66" s="26"/>
      <c r="F66" s="24"/>
      <c r="G66" s="26"/>
      <c r="H66" s="3"/>
      <c r="I66" s="15"/>
    </row>
    <row r="67" spans="1:9">
      <c r="A67" s="3">
        <v>23</v>
      </c>
      <c r="B67" s="8" t="s">
        <v>36</v>
      </c>
      <c r="C67" s="10"/>
      <c r="D67" s="12"/>
      <c r="E67" s="14"/>
      <c r="F67" s="24"/>
      <c r="G67" s="26"/>
      <c r="H67" s="3"/>
      <c r="I67" s="15"/>
    </row>
    <row r="68" spans="1:9">
      <c r="A68" s="3">
        <v>24</v>
      </c>
      <c r="B68" s="8" t="s">
        <v>37</v>
      </c>
      <c r="C68" s="2"/>
      <c r="D68" s="14"/>
      <c r="E68" s="14"/>
      <c r="F68" s="14"/>
      <c r="G68" s="26"/>
      <c r="H68" s="3"/>
      <c r="I68" s="15"/>
    </row>
    <row r="69" spans="1:9">
      <c r="A69" s="3">
        <v>25</v>
      </c>
      <c r="B69" s="8" t="s">
        <v>38</v>
      </c>
      <c r="C69" s="38">
        <v>2</v>
      </c>
      <c r="D69" s="26"/>
      <c r="E69" s="26"/>
      <c r="F69" s="24"/>
      <c r="G69" s="39" t="s">
        <v>63</v>
      </c>
      <c r="H69" s="42" t="s">
        <v>68</v>
      </c>
      <c r="I69" s="43">
        <v>36</v>
      </c>
    </row>
    <row r="70" spans="1:9">
      <c r="A70" s="3">
        <v>26</v>
      </c>
      <c r="B70" s="8" t="s">
        <v>39</v>
      </c>
      <c r="C70" s="10"/>
      <c r="D70" s="26"/>
      <c r="E70" s="26"/>
      <c r="F70" s="24"/>
      <c r="G70" s="14"/>
      <c r="H70" s="2"/>
      <c r="I70" s="2"/>
    </row>
    <row r="71" spans="1:9">
      <c r="A71" s="3">
        <v>27</v>
      </c>
      <c r="B71" s="8" t="s">
        <v>40</v>
      </c>
      <c r="C71" s="10"/>
      <c r="D71" s="12"/>
      <c r="E71" s="12"/>
      <c r="F71" s="25"/>
      <c r="G71" s="14"/>
      <c r="H71" s="2"/>
      <c r="I71" s="2"/>
    </row>
    <row r="72" spans="1:9">
      <c r="A72" s="3">
        <v>28</v>
      </c>
      <c r="B72" s="8" t="s">
        <v>41</v>
      </c>
      <c r="C72" s="38">
        <v>2</v>
      </c>
      <c r="D72" s="39" t="s">
        <v>63</v>
      </c>
      <c r="E72" s="38" t="s">
        <v>65</v>
      </c>
      <c r="F72" s="41">
        <v>30</v>
      </c>
      <c r="G72" s="14"/>
      <c r="H72" s="2"/>
      <c r="I72" s="2"/>
    </row>
    <row r="73" spans="1:9">
      <c r="A73" s="3">
        <v>29</v>
      </c>
      <c r="B73" s="8" t="s">
        <v>42</v>
      </c>
      <c r="C73" s="10"/>
      <c r="D73" s="26"/>
      <c r="E73" s="26"/>
      <c r="F73" s="24"/>
      <c r="G73" s="26"/>
      <c r="H73" s="3"/>
      <c r="I73" s="15"/>
    </row>
    <row r="74" spans="1:9">
      <c r="A74" s="3">
        <v>30</v>
      </c>
      <c r="B74" s="8" t="s">
        <v>43</v>
      </c>
      <c r="C74" s="10"/>
      <c r="D74" s="12"/>
      <c r="E74" s="14"/>
      <c r="F74" s="24"/>
      <c r="G74" s="26"/>
      <c r="H74" s="3"/>
      <c r="I74" s="15"/>
    </row>
    <row r="75" spans="1:9">
      <c r="E75" s="21" t="s">
        <v>76</v>
      </c>
      <c r="F75" s="45">
        <v>120</v>
      </c>
      <c r="I75" s="46">
        <v>144</v>
      </c>
    </row>
    <row r="76" spans="1:9">
      <c r="B76" s="19" t="s">
        <v>70</v>
      </c>
      <c r="C76" s="20"/>
      <c r="D76" s="21"/>
      <c r="E76" s="21"/>
      <c r="F76" s="21"/>
      <c r="G76" s="21"/>
      <c r="H76" s="20" t="s">
        <v>71</v>
      </c>
      <c r="I76" s="20"/>
    </row>
    <row r="77" spans="1:9">
      <c r="B77" s="22" t="s">
        <v>72</v>
      </c>
      <c r="C77" s="20"/>
      <c r="D77" s="21"/>
      <c r="E77" s="21"/>
      <c r="F77" s="21"/>
      <c r="G77" s="21"/>
      <c r="H77" s="23" t="s">
        <v>73</v>
      </c>
      <c r="I77" s="20"/>
    </row>
    <row r="79" spans="1:9" ht="18">
      <c r="B79" s="75" t="s">
        <v>24</v>
      </c>
      <c r="C79" s="75"/>
      <c r="D79" s="75"/>
      <c r="E79" s="75"/>
      <c r="F79" s="75"/>
      <c r="G79" s="75"/>
      <c r="H79" s="75"/>
      <c r="I79" s="75"/>
    </row>
    <row r="80" spans="1:9" ht="18.75">
      <c r="B80" s="1"/>
      <c r="C80" s="75" t="s">
        <v>62</v>
      </c>
      <c r="D80" s="75"/>
      <c r="E80" s="75"/>
      <c r="F80" s="75"/>
      <c r="G80" s="75"/>
      <c r="H80" s="75"/>
      <c r="I80" s="75"/>
    </row>
    <row r="81" spans="1:10" ht="18.75">
      <c r="B81" s="1"/>
      <c r="C81" s="18" t="s">
        <v>75</v>
      </c>
      <c r="D81" s="18"/>
      <c r="E81" s="18"/>
      <c r="F81" s="18"/>
      <c r="G81" s="9"/>
      <c r="H81" s="18" t="s">
        <v>78</v>
      </c>
      <c r="I81" s="30"/>
      <c r="J81" s="30"/>
    </row>
    <row r="82" spans="1:10" ht="15" customHeight="1">
      <c r="A82" s="76" t="s">
        <v>0</v>
      </c>
      <c r="B82" s="76" t="s">
        <v>1</v>
      </c>
      <c r="C82" s="73" t="s">
        <v>2</v>
      </c>
      <c r="D82" s="73" t="s">
        <v>69</v>
      </c>
      <c r="E82" s="71" t="s">
        <v>66</v>
      </c>
      <c r="F82" s="72"/>
      <c r="G82" s="73" t="s">
        <v>67</v>
      </c>
      <c r="H82" s="71"/>
      <c r="I82" s="72"/>
    </row>
    <row r="83" spans="1:10">
      <c r="A83" s="77"/>
      <c r="B83" s="77"/>
      <c r="C83" s="74"/>
      <c r="D83" s="74"/>
      <c r="E83" s="5" t="s">
        <v>64</v>
      </c>
      <c r="F83" s="5" t="s">
        <v>3</v>
      </c>
      <c r="G83" s="74"/>
      <c r="H83" s="6" t="s">
        <v>4</v>
      </c>
      <c r="I83" s="6" t="s">
        <v>3</v>
      </c>
    </row>
    <row r="84" spans="1:10">
      <c r="A84" s="3">
        <v>1</v>
      </c>
      <c r="B84" s="7">
        <v>40185</v>
      </c>
      <c r="C84" s="10"/>
      <c r="D84" s="26"/>
      <c r="E84" s="26"/>
      <c r="F84" s="26"/>
      <c r="G84" s="26"/>
      <c r="H84" s="3"/>
      <c r="I84" s="3"/>
    </row>
    <row r="85" spans="1:10">
      <c r="A85" s="3">
        <v>2</v>
      </c>
      <c r="B85" s="7">
        <v>40216</v>
      </c>
      <c r="C85" s="38">
        <v>2</v>
      </c>
      <c r="D85" s="12"/>
      <c r="E85" s="26"/>
      <c r="F85" s="26"/>
      <c r="G85" s="39" t="s">
        <v>63</v>
      </c>
      <c r="H85" s="42" t="s">
        <v>68</v>
      </c>
      <c r="I85" s="15">
        <v>36</v>
      </c>
    </row>
    <row r="86" spans="1:10">
      <c r="A86" s="3">
        <v>3</v>
      </c>
      <c r="B86" s="7">
        <v>40244</v>
      </c>
      <c r="C86" s="2"/>
      <c r="D86" s="14"/>
      <c r="E86" s="14"/>
      <c r="F86" s="26"/>
      <c r="G86" s="26"/>
      <c r="H86" s="3"/>
      <c r="I86" s="15"/>
    </row>
    <row r="87" spans="1:10">
      <c r="A87" s="3">
        <v>4</v>
      </c>
      <c r="B87" s="7">
        <v>40275</v>
      </c>
      <c r="C87" s="10"/>
      <c r="D87" s="12"/>
      <c r="E87" s="26"/>
      <c r="F87" s="26"/>
      <c r="G87" s="12"/>
      <c r="H87" s="3"/>
      <c r="I87" s="15"/>
    </row>
    <row r="88" spans="1:10">
      <c r="A88" s="3">
        <v>5</v>
      </c>
      <c r="B88" s="7">
        <v>40305</v>
      </c>
      <c r="C88" s="38">
        <v>2</v>
      </c>
      <c r="D88" s="39" t="s">
        <v>63</v>
      </c>
      <c r="E88" s="38" t="s">
        <v>65</v>
      </c>
      <c r="F88" s="28">
        <v>30</v>
      </c>
      <c r="G88" s="26"/>
      <c r="H88" s="3"/>
      <c r="I88" s="15"/>
    </row>
    <row r="89" spans="1:10">
      <c r="A89" s="3">
        <v>6</v>
      </c>
      <c r="B89" s="7">
        <v>40336</v>
      </c>
      <c r="C89" s="10"/>
      <c r="D89" s="26"/>
      <c r="E89" s="12"/>
      <c r="F89" s="25"/>
      <c r="G89" s="12"/>
      <c r="H89" s="3"/>
      <c r="I89" s="15"/>
    </row>
    <row r="90" spans="1:10">
      <c r="A90" s="3">
        <v>7</v>
      </c>
      <c r="B90" s="7">
        <v>40366</v>
      </c>
      <c r="C90" s="2"/>
      <c r="D90" s="14"/>
      <c r="E90" s="14"/>
      <c r="F90" s="28"/>
      <c r="G90" s="14"/>
      <c r="H90" s="2"/>
      <c r="I90" s="15"/>
    </row>
    <row r="91" spans="1:10">
      <c r="A91" s="3">
        <v>8</v>
      </c>
      <c r="B91" s="7">
        <v>40397</v>
      </c>
      <c r="C91" s="10"/>
      <c r="D91" s="26"/>
      <c r="E91" s="26"/>
      <c r="F91" s="24"/>
      <c r="G91" s="26"/>
      <c r="H91" s="3"/>
      <c r="I91" s="15"/>
    </row>
    <row r="92" spans="1:10">
      <c r="A92" s="3">
        <v>9</v>
      </c>
      <c r="B92" s="7">
        <v>40428</v>
      </c>
      <c r="C92" s="38">
        <v>2</v>
      </c>
      <c r="D92" s="12"/>
      <c r="E92" s="26"/>
      <c r="F92" s="24"/>
      <c r="G92" s="39" t="s">
        <v>63</v>
      </c>
      <c r="H92" s="42" t="s">
        <v>68</v>
      </c>
      <c r="I92" s="15">
        <v>36</v>
      </c>
    </row>
    <row r="93" spans="1:10">
      <c r="A93" s="3">
        <v>10</v>
      </c>
      <c r="B93" s="7">
        <v>40458</v>
      </c>
      <c r="C93" s="2"/>
      <c r="D93" s="14"/>
      <c r="E93" s="14"/>
      <c r="F93" s="24"/>
      <c r="G93" s="26"/>
      <c r="H93" s="3"/>
      <c r="I93" s="15"/>
    </row>
    <row r="94" spans="1:10">
      <c r="A94" s="3">
        <v>11</v>
      </c>
      <c r="B94" s="7">
        <v>40489</v>
      </c>
      <c r="C94" s="10"/>
      <c r="D94" s="26"/>
      <c r="E94" s="26"/>
      <c r="F94" s="24"/>
      <c r="G94" s="12"/>
      <c r="H94" s="3"/>
      <c r="I94" s="15"/>
    </row>
    <row r="95" spans="1:10">
      <c r="A95" s="3">
        <v>12</v>
      </c>
      <c r="B95" s="7">
        <v>40519</v>
      </c>
      <c r="C95" s="38">
        <v>2</v>
      </c>
      <c r="D95" s="39" t="s">
        <v>63</v>
      </c>
      <c r="E95" s="38" t="s">
        <v>65</v>
      </c>
      <c r="F95" s="24">
        <v>30</v>
      </c>
      <c r="G95" s="26"/>
      <c r="H95" s="3"/>
      <c r="I95" s="15"/>
    </row>
    <row r="96" spans="1:10">
      <c r="A96" s="3">
        <v>13</v>
      </c>
      <c r="B96" s="8" t="s">
        <v>25</v>
      </c>
      <c r="C96" s="10"/>
      <c r="D96" s="12"/>
      <c r="E96" s="12"/>
      <c r="F96" s="25"/>
      <c r="G96" s="12"/>
      <c r="H96" s="3"/>
      <c r="I96" s="15"/>
    </row>
    <row r="97" spans="1:9">
      <c r="A97" s="3">
        <v>14</v>
      </c>
      <c r="B97" s="8" t="s">
        <v>44</v>
      </c>
      <c r="C97" s="2"/>
      <c r="D97" s="14"/>
      <c r="E97" s="14"/>
      <c r="F97" s="28"/>
      <c r="G97" s="14"/>
      <c r="H97" s="2"/>
      <c r="I97" s="15"/>
    </row>
    <row r="98" spans="1:9">
      <c r="A98" s="3">
        <v>15</v>
      </c>
      <c r="B98" s="8" t="s">
        <v>45</v>
      </c>
      <c r="C98" s="10"/>
      <c r="D98" s="26"/>
      <c r="E98" s="26"/>
      <c r="F98" s="24"/>
      <c r="G98" s="26"/>
      <c r="H98" s="3"/>
      <c r="I98" s="15"/>
    </row>
    <row r="99" spans="1:9">
      <c r="A99" s="3">
        <v>16</v>
      </c>
      <c r="B99" s="8" t="s">
        <v>46</v>
      </c>
      <c r="C99" s="38">
        <v>2</v>
      </c>
      <c r="D99" s="12"/>
      <c r="E99" s="26"/>
      <c r="F99" s="24"/>
      <c r="G99" s="39" t="s">
        <v>63</v>
      </c>
      <c r="H99" s="42" t="s">
        <v>68</v>
      </c>
      <c r="I99" s="15">
        <v>36</v>
      </c>
    </row>
    <row r="100" spans="1:9">
      <c r="A100" s="3">
        <v>17</v>
      </c>
      <c r="B100" s="8" t="s">
        <v>47</v>
      </c>
      <c r="C100" s="2"/>
      <c r="D100" s="14"/>
      <c r="E100" s="14"/>
      <c r="F100" s="24"/>
      <c r="G100" s="26"/>
      <c r="H100" s="3"/>
      <c r="I100" s="15"/>
    </row>
    <row r="101" spans="1:9">
      <c r="A101" s="3">
        <v>18</v>
      </c>
      <c r="B101" s="8" t="s">
        <v>48</v>
      </c>
      <c r="C101" s="10"/>
      <c r="D101" s="26"/>
      <c r="E101" s="26"/>
      <c r="F101" s="24"/>
      <c r="G101" s="12"/>
      <c r="H101" s="3"/>
      <c r="I101" s="15"/>
    </row>
    <row r="102" spans="1:9">
      <c r="A102" s="3">
        <v>19</v>
      </c>
      <c r="B102" s="8" t="s">
        <v>49</v>
      </c>
      <c r="C102" s="38">
        <v>2</v>
      </c>
      <c r="D102" s="44" t="s">
        <v>63</v>
      </c>
      <c r="E102" s="38" t="s">
        <v>65</v>
      </c>
      <c r="F102" s="24">
        <v>30</v>
      </c>
      <c r="G102" s="26"/>
      <c r="H102" s="3"/>
      <c r="I102" s="15"/>
    </row>
    <row r="103" spans="1:9">
      <c r="A103" s="3">
        <v>20</v>
      </c>
      <c r="B103" s="8" t="s">
        <v>50</v>
      </c>
      <c r="C103" s="10"/>
      <c r="D103" s="12"/>
      <c r="E103" s="12"/>
      <c r="F103" s="25"/>
      <c r="G103" s="12"/>
      <c r="H103" s="3"/>
      <c r="I103" s="15"/>
    </row>
    <row r="104" spans="1:9">
      <c r="A104" s="3">
        <v>21</v>
      </c>
      <c r="B104" s="8" t="s">
        <v>51</v>
      </c>
      <c r="C104" s="2"/>
      <c r="D104" s="14"/>
      <c r="E104" s="14"/>
      <c r="F104" s="28"/>
      <c r="G104" s="14"/>
      <c r="H104" s="2"/>
      <c r="I104" s="15"/>
    </row>
    <row r="105" spans="1:9">
      <c r="A105" s="3">
        <v>22</v>
      </c>
      <c r="B105" s="8" t="s">
        <v>52</v>
      </c>
      <c r="C105" s="10"/>
      <c r="D105" s="26"/>
      <c r="E105" s="26"/>
      <c r="F105" s="24"/>
      <c r="G105" s="26"/>
      <c r="H105" s="3"/>
      <c r="I105" s="15"/>
    </row>
    <row r="106" spans="1:9">
      <c r="A106" s="3">
        <v>23</v>
      </c>
      <c r="B106" s="8" t="s">
        <v>53</v>
      </c>
      <c r="C106" s="38">
        <v>2</v>
      </c>
      <c r="D106" s="12"/>
      <c r="E106" s="26"/>
      <c r="F106" s="24"/>
      <c r="G106" s="39" t="s">
        <v>63</v>
      </c>
      <c r="H106" s="42" t="s">
        <v>68</v>
      </c>
      <c r="I106" s="15">
        <v>36</v>
      </c>
    </row>
    <row r="107" spans="1:9">
      <c r="A107" s="3">
        <v>24</v>
      </c>
      <c r="B107" s="8" t="s">
        <v>54</v>
      </c>
      <c r="C107" s="2"/>
      <c r="D107" s="14"/>
      <c r="E107" s="14"/>
      <c r="F107" s="24"/>
      <c r="G107" s="26"/>
      <c r="H107" s="3"/>
      <c r="I107" s="15"/>
    </row>
    <row r="108" spans="1:9">
      <c r="A108" s="3">
        <v>25</v>
      </c>
      <c r="B108" s="8" t="s">
        <v>55</v>
      </c>
      <c r="C108" s="10"/>
      <c r="D108" s="26"/>
      <c r="E108" s="26"/>
      <c r="F108" s="24"/>
      <c r="G108" s="12"/>
      <c r="H108" s="3"/>
      <c r="I108" s="15"/>
    </row>
    <row r="109" spans="1:9">
      <c r="A109" s="3">
        <v>26</v>
      </c>
      <c r="B109" s="8" t="s">
        <v>56</v>
      </c>
      <c r="C109" s="38">
        <v>2</v>
      </c>
      <c r="D109" s="44" t="s">
        <v>63</v>
      </c>
      <c r="E109" s="38" t="s">
        <v>65</v>
      </c>
      <c r="F109" s="24">
        <v>30</v>
      </c>
      <c r="G109" s="26"/>
      <c r="H109" s="3"/>
      <c r="I109" s="15"/>
    </row>
    <row r="110" spans="1:9">
      <c r="A110" s="3">
        <v>27</v>
      </c>
      <c r="B110" s="8" t="s">
        <v>57</v>
      </c>
      <c r="C110" s="10"/>
      <c r="D110" s="12"/>
      <c r="E110" s="12"/>
      <c r="F110" s="12"/>
      <c r="G110" s="12"/>
      <c r="H110" s="3"/>
      <c r="I110" s="15"/>
    </row>
    <row r="111" spans="1:9">
      <c r="A111" s="3">
        <v>28</v>
      </c>
      <c r="B111" s="8" t="s">
        <v>58</v>
      </c>
      <c r="C111" s="2"/>
      <c r="D111" s="14"/>
      <c r="E111" s="14"/>
      <c r="F111" s="14"/>
      <c r="G111" s="14"/>
      <c r="H111" s="2"/>
      <c r="I111" s="15"/>
    </row>
    <row r="112" spans="1:9">
      <c r="A112" s="3">
        <v>29</v>
      </c>
      <c r="B112" s="8" t="s">
        <v>59</v>
      </c>
      <c r="C112" s="10"/>
      <c r="D112" s="26"/>
      <c r="E112" s="26"/>
      <c r="F112" s="26"/>
      <c r="G112" s="26"/>
      <c r="H112" s="3"/>
      <c r="I112" s="15"/>
    </row>
    <row r="113" spans="1:9">
      <c r="A113" s="3">
        <v>30</v>
      </c>
      <c r="B113" s="8" t="s">
        <v>60</v>
      </c>
      <c r="C113" s="38">
        <v>2</v>
      </c>
      <c r="D113" s="12"/>
      <c r="E113" s="26"/>
      <c r="F113" s="26"/>
      <c r="G113" s="39" t="s">
        <v>63</v>
      </c>
      <c r="H113" s="42" t="s">
        <v>68</v>
      </c>
      <c r="I113" s="15">
        <v>36</v>
      </c>
    </row>
    <row r="114" spans="1:9">
      <c r="E114" s="13" t="s">
        <v>76</v>
      </c>
      <c r="F114" s="47">
        <f>F109+F102+F95+F88</f>
        <v>120</v>
      </c>
      <c r="I114" s="46">
        <f>I113+I106+I99+I92+I85</f>
        <v>180</v>
      </c>
    </row>
    <row r="115" spans="1:9">
      <c r="B115" s="19" t="s">
        <v>70</v>
      </c>
      <c r="C115" s="20"/>
      <c r="D115" s="21"/>
      <c r="E115" s="21"/>
      <c r="F115" s="21"/>
      <c r="G115" s="21"/>
      <c r="H115" s="20" t="s">
        <v>71</v>
      </c>
      <c r="I115" s="20"/>
    </row>
    <row r="116" spans="1:9">
      <c r="B116" s="22" t="s">
        <v>72</v>
      </c>
      <c r="C116" s="20"/>
      <c r="D116" s="21"/>
      <c r="E116" s="21"/>
      <c r="F116" s="21"/>
      <c r="G116" s="21"/>
      <c r="H116" s="23" t="s">
        <v>73</v>
      </c>
      <c r="I116" s="20"/>
    </row>
  </sheetData>
  <mergeCells count="30">
    <mergeCell ref="A82:A83"/>
    <mergeCell ref="B82:B83"/>
    <mergeCell ref="C82:C83"/>
    <mergeCell ref="A43:A44"/>
    <mergeCell ref="B43:B44"/>
    <mergeCell ref="C43:C44"/>
    <mergeCell ref="A4:A5"/>
    <mergeCell ref="B40:I40"/>
    <mergeCell ref="C41:I41"/>
    <mergeCell ref="H42:I42"/>
    <mergeCell ref="D36:E36"/>
    <mergeCell ref="B1:I1"/>
    <mergeCell ref="C2:I2"/>
    <mergeCell ref="B4:B5"/>
    <mergeCell ref="E4:F4"/>
    <mergeCell ref="H4:I4"/>
    <mergeCell ref="G4:G5"/>
    <mergeCell ref="D4:D5"/>
    <mergeCell ref="H3:I3"/>
    <mergeCell ref="C4:C5"/>
    <mergeCell ref="E43:F43"/>
    <mergeCell ref="G43:G44"/>
    <mergeCell ref="H43:I43"/>
    <mergeCell ref="D82:D83"/>
    <mergeCell ref="E82:F82"/>
    <mergeCell ref="G82:G83"/>
    <mergeCell ref="H82:I82"/>
    <mergeCell ref="B79:I79"/>
    <mergeCell ref="C80:I80"/>
    <mergeCell ref="D43:D44"/>
  </mergeCells>
  <pageMargins left="0.7" right="0.7" top="0.25" bottom="0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32"/>
  <sheetViews>
    <sheetView topLeftCell="A80" workbookViewId="0">
      <selection activeCell="A92" sqref="A92:I132"/>
    </sheetView>
  </sheetViews>
  <sheetFormatPr defaultRowHeight="15"/>
  <cols>
    <col min="1" max="1" width="5.42578125" customWidth="1"/>
    <col min="2" max="2" width="17.42578125" customWidth="1"/>
    <col min="3" max="3" width="12.5703125" customWidth="1"/>
    <col min="9" max="9" width="12.140625" bestFit="1" customWidth="1"/>
  </cols>
  <sheetData>
    <row r="1" spans="1:10" ht="18">
      <c r="B1" s="81" t="s">
        <v>81</v>
      </c>
      <c r="C1" s="81"/>
      <c r="D1" s="81"/>
      <c r="E1" s="81"/>
      <c r="F1" s="81"/>
      <c r="G1" s="81"/>
      <c r="H1" s="81"/>
      <c r="I1" s="81"/>
    </row>
    <row r="2" spans="1:10" ht="18.75" customHeight="1">
      <c r="B2" s="82" t="s">
        <v>80</v>
      </c>
      <c r="C2" s="82"/>
      <c r="D2" s="82"/>
      <c r="E2" s="82"/>
      <c r="F2" s="82"/>
      <c r="G2" s="82"/>
      <c r="H2" s="82"/>
      <c r="I2" s="82"/>
    </row>
    <row r="3" spans="1:10" ht="18">
      <c r="B3" s="48" t="s">
        <v>75</v>
      </c>
      <c r="C3" s="48"/>
      <c r="D3" s="48"/>
      <c r="E3" s="48"/>
      <c r="F3" s="48"/>
      <c r="G3" s="48"/>
      <c r="H3" s="83">
        <v>40726</v>
      </c>
      <c r="I3" s="84"/>
      <c r="J3" s="84"/>
    </row>
    <row r="4" spans="1:10">
      <c r="A4" s="76" t="s">
        <v>0</v>
      </c>
      <c r="B4" s="76" t="s">
        <v>1</v>
      </c>
      <c r="C4" s="73" t="s">
        <v>2</v>
      </c>
      <c r="D4" s="73" t="s">
        <v>69</v>
      </c>
      <c r="E4" s="71" t="s">
        <v>66</v>
      </c>
      <c r="F4" s="72"/>
      <c r="G4" s="73" t="s">
        <v>67</v>
      </c>
      <c r="H4" s="71"/>
      <c r="I4" s="72"/>
    </row>
    <row r="5" spans="1:10">
      <c r="A5" s="77"/>
      <c r="B5" s="77"/>
      <c r="C5" s="74"/>
      <c r="D5" s="74"/>
      <c r="E5" s="5" t="s">
        <v>64</v>
      </c>
      <c r="F5" s="5" t="s">
        <v>3</v>
      </c>
      <c r="G5" s="74"/>
      <c r="H5" s="6" t="s">
        <v>4</v>
      </c>
      <c r="I5" s="6" t="s">
        <v>3</v>
      </c>
    </row>
    <row r="6" spans="1:10">
      <c r="A6" s="3">
        <v>1</v>
      </c>
      <c r="B6" s="7">
        <v>40189</v>
      </c>
      <c r="C6" s="10"/>
      <c r="D6" s="29"/>
      <c r="E6" s="29"/>
      <c r="F6" s="29"/>
      <c r="G6" s="29"/>
      <c r="H6" s="3"/>
      <c r="I6" s="3"/>
    </row>
    <row r="7" spans="1:10">
      <c r="A7" s="3">
        <v>2</v>
      </c>
      <c r="B7" s="7">
        <v>40220</v>
      </c>
      <c r="C7" s="10"/>
      <c r="D7" s="50"/>
      <c r="E7" s="10"/>
      <c r="F7" s="10"/>
      <c r="G7" s="50"/>
      <c r="H7" s="51"/>
      <c r="I7" s="52"/>
    </row>
    <row r="8" spans="1:10">
      <c r="A8" s="3">
        <v>3</v>
      </c>
      <c r="B8" s="7">
        <v>40248</v>
      </c>
      <c r="C8" s="53"/>
      <c r="D8" s="54"/>
      <c r="E8" s="54"/>
      <c r="F8" s="10"/>
      <c r="G8" s="10"/>
      <c r="H8" s="51"/>
      <c r="I8" s="52"/>
    </row>
    <row r="9" spans="1:10">
      <c r="A9" s="3">
        <v>4</v>
      </c>
      <c r="B9" s="7">
        <v>40279</v>
      </c>
      <c r="C9" s="5">
        <v>2</v>
      </c>
      <c r="D9" s="59" t="s">
        <v>133</v>
      </c>
      <c r="E9" s="5" t="s">
        <v>65</v>
      </c>
      <c r="F9" s="57">
        <v>30</v>
      </c>
      <c r="G9" s="50"/>
      <c r="I9" s="52"/>
    </row>
    <row r="10" spans="1:10">
      <c r="A10" s="3">
        <v>5</v>
      </c>
      <c r="B10" s="7">
        <v>40309</v>
      </c>
      <c r="C10" s="10"/>
      <c r="D10" s="50"/>
      <c r="E10" s="10"/>
      <c r="F10" s="55"/>
      <c r="G10" s="10"/>
      <c r="H10" s="51"/>
      <c r="I10" s="52"/>
    </row>
    <row r="11" spans="1:10">
      <c r="A11" s="3">
        <v>6</v>
      </c>
      <c r="B11" s="7">
        <v>40340</v>
      </c>
      <c r="C11" s="10"/>
      <c r="D11" s="10"/>
      <c r="E11" s="50"/>
      <c r="F11" s="56"/>
      <c r="G11" s="50"/>
      <c r="H11" s="51"/>
      <c r="I11" s="52"/>
    </row>
    <row r="12" spans="1:10">
      <c r="A12" s="3">
        <v>7</v>
      </c>
      <c r="B12" s="7">
        <v>40370</v>
      </c>
      <c r="C12" s="53"/>
      <c r="D12" s="54"/>
      <c r="E12" s="54"/>
      <c r="F12" s="55"/>
      <c r="G12" s="54"/>
      <c r="H12" s="53"/>
      <c r="I12" s="52"/>
    </row>
    <row r="13" spans="1:10">
      <c r="A13" s="3">
        <v>8</v>
      </c>
      <c r="B13" s="7">
        <v>40401</v>
      </c>
      <c r="C13" s="5">
        <v>2</v>
      </c>
      <c r="D13" s="10"/>
      <c r="E13" s="10"/>
      <c r="F13" s="57"/>
      <c r="G13" s="59" t="s">
        <v>133</v>
      </c>
      <c r="H13" s="6" t="s">
        <v>68</v>
      </c>
      <c r="I13" s="52">
        <v>36</v>
      </c>
    </row>
    <row r="14" spans="1:10">
      <c r="A14" s="3">
        <v>9</v>
      </c>
      <c r="B14" s="7">
        <v>40432</v>
      </c>
      <c r="C14" s="10"/>
      <c r="D14" s="50"/>
      <c r="E14" s="10"/>
      <c r="F14" s="57"/>
      <c r="G14" s="50"/>
      <c r="H14" s="51"/>
      <c r="I14" s="52"/>
    </row>
    <row r="15" spans="1:10">
      <c r="A15" s="3">
        <v>10</v>
      </c>
      <c r="B15" s="7">
        <v>40462</v>
      </c>
      <c r="C15" s="53"/>
      <c r="D15" s="54"/>
      <c r="E15" s="54"/>
      <c r="F15" s="57"/>
      <c r="G15" s="10"/>
      <c r="H15" s="51"/>
      <c r="I15" s="52"/>
    </row>
    <row r="16" spans="1:10">
      <c r="A16" s="3">
        <v>11</v>
      </c>
      <c r="B16" s="7">
        <v>40493</v>
      </c>
      <c r="C16" s="5">
        <v>2</v>
      </c>
      <c r="D16" s="59" t="s">
        <v>133</v>
      </c>
      <c r="E16" s="5" t="s">
        <v>65</v>
      </c>
      <c r="F16" s="57">
        <v>30</v>
      </c>
      <c r="G16" s="50"/>
      <c r="H16" s="51"/>
      <c r="I16" s="52"/>
    </row>
    <row r="17" spans="1:9">
      <c r="A17" s="3">
        <v>12</v>
      </c>
      <c r="B17" s="7">
        <v>40523</v>
      </c>
      <c r="C17" s="10"/>
      <c r="D17" s="50"/>
      <c r="E17" s="10"/>
      <c r="F17" s="57"/>
      <c r="G17" s="10"/>
      <c r="H17" s="51"/>
      <c r="I17" s="52"/>
    </row>
    <row r="18" spans="1:9">
      <c r="A18" s="3">
        <v>13</v>
      </c>
      <c r="B18" s="8" t="s">
        <v>82</v>
      </c>
      <c r="C18" s="10"/>
      <c r="D18" s="50"/>
      <c r="E18" s="50"/>
      <c r="F18" s="56"/>
      <c r="G18" s="50"/>
      <c r="H18" s="51"/>
      <c r="I18" s="52"/>
    </row>
    <row r="19" spans="1:9">
      <c r="A19" s="3">
        <v>14</v>
      </c>
      <c r="B19" s="8" t="s">
        <v>83</v>
      </c>
      <c r="C19" s="53"/>
      <c r="D19" s="54"/>
      <c r="E19" s="54"/>
      <c r="F19" s="55"/>
      <c r="G19" s="54"/>
      <c r="H19" s="53"/>
      <c r="I19" s="52"/>
    </row>
    <row r="20" spans="1:9">
      <c r="A20" s="3">
        <v>15</v>
      </c>
      <c r="B20" s="8" t="s">
        <v>84</v>
      </c>
      <c r="C20" s="5">
        <v>2</v>
      </c>
      <c r="D20" s="10"/>
      <c r="E20" s="10"/>
      <c r="F20" s="57"/>
      <c r="G20" s="59" t="s">
        <v>133</v>
      </c>
      <c r="H20" s="6" t="s">
        <v>68</v>
      </c>
      <c r="I20" s="52">
        <v>36</v>
      </c>
    </row>
    <row r="21" spans="1:9">
      <c r="A21" s="3">
        <v>16</v>
      </c>
      <c r="B21" s="8" t="s">
        <v>85</v>
      </c>
      <c r="C21" s="10"/>
      <c r="D21" s="50"/>
      <c r="E21" s="10"/>
      <c r="F21" s="57"/>
      <c r="G21" s="50"/>
      <c r="H21" s="51"/>
      <c r="I21" s="52"/>
    </row>
    <row r="22" spans="1:9">
      <c r="A22" s="3">
        <v>17</v>
      </c>
      <c r="B22" s="8" t="s">
        <v>86</v>
      </c>
      <c r="C22" s="53"/>
      <c r="D22" s="54"/>
      <c r="E22" s="54"/>
      <c r="F22" s="57"/>
      <c r="G22" s="10"/>
      <c r="H22" s="51"/>
      <c r="I22" s="52"/>
    </row>
    <row r="23" spans="1:9">
      <c r="A23" s="3">
        <v>18</v>
      </c>
      <c r="B23" s="8" t="s">
        <v>87</v>
      </c>
      <c r="C23" s="5">
        <v>2</v>
      </c>
      <c r="D23" s="59" t="s">
        <v>133</v>
      </c>
      <c r="E23" s="5" t="s">
        <v>65</v>
      </c>
      <c r="F23" s="57">
        <v>30</v>
      </c>
      <c r="G23" s="50"/>
      <c r="H23" s="51"/>
      <c r="I23" s="52"/>
    </row>
    <row r="24" spans="1:9">
      <c r="A24" s="3">
        <v>19</v>
      </c>
      <c r="B24" s="8" t="s">
        <v>88</v>
      </c>
      <c r="C24" s="10"/>
      <c r="D24" s="58"/>
      <c r="E24" s="10"/>
      <c r="F24" s="57"/>
      <c r="G24" s="10"/>
      <c r="H24" s="51"/>
      <c r="I24" s="52"/>
    </row>
    <row r="25" spans="1:9">
      <c r="A25" s="3">
        <v>20</v>
      </c>
      <c r="B25" s="8" t="s">
        <v>89</v>
      </c>
      <c r="C25" s="10"/>
      <c r="D25" s="50"/>
      <c r="E25" s="50"/>
      <c r="F25" s="56"/>
      <c r="G25" s="50"/>
      <c r="H25" s="51"/>
      <c r="I25" s="52"/>
    </row>
    <row r="26" spans="1:9">
      <c r="A26" s="3">
        <v>21</v>
      </c>
      <c r="B26" s="8" t="s">
        <v>90</v>
      </c>
      <c r="C26" s="53"/>
      <c r="D26" s="54"/>
      <c r="E26" s="54"/>
      <c r="F26" s="55"/>
      <c r="G26" s="54"/>
      <c r="H26" s="53"/>
      <c r="I26" s="52"/>
    </row>
    <row r="27" spans="1:9">
      <c r="A27" s="3">
        <v>22</v>
      </c>
      <c r="B27" s="8" t="s">
        <v>91</v>
      </c>
      <c r="C27" s="5">
        <v>2</v>
      </c>
      <c r="D27" s="10"/>
      <c r="E27" s="10"/>
      <c r="F27" s="57"/>
      <c r="G27" s="59" t="s">
        <v>133</v>
      </c>
      <c r="H27" s="6" t="s">
        <v>68</v>
      </c>
      <c r="I27" s="52">
        <v>36</v>
      </c>
    </row>
    <row r="28" spans="1:9">
      <c r="A28" s="3">
        <v>23</v>
      </c>
      <c r="B28" s="8" t="s">
        <v>92</v>
      </c>
      <c r="C28" s="10"/>
      <c r="D28" s="50"/>
      <c r="E28" s="10"/>
      <c r="F28" s="57"/>
      <c r="G28" s="50"/>
      <c r="H28" s="51"/>
      <c r="I28" s="52"/>
    </row>
    <row r="29" spans="1:9">
      <c r="A29" s="3">
        <v>24</v>
      </c>
      <c r="B29" s="8" t="s">
        <v>93</v>
      </c>
      <c r="C29" s="53"/>
      <c r="D29" s="54"/>
      <c r="E29" s="54"/>
      <c r="F29" s="57"/>
      <c r="G29" s="10"/>
      <c r="H29" s="51"/>
      <c r="I29" s="52"/>
    </row>
    <row r="30" spans="1:9">
      <c r="A30" s="3">
        <v>25</v>
      </c>
      <c r="B30" s="8" t="s">
        <v>94</v>
      </c>
      <c r="C30" s="5">
        <v>2</v>
      </c>
      <c r="D30" s="59" t="s">
        <v>133</v>
      </c>
      <c r="E30" s="5" t="s">
        <v>65</v>
      </c>
      <c r="F30" s="57">
        <v>30</v>
      </c>
      <c r="G30" s="50"/>
      <c r="H30" s="51"/>
      <c r="I30" s="52"/>
    </row>
    <row r="31" spans="1:9">
      <c r="A31" s="3">
        <v>26</v>
      </c>
      <c r="B31" s="8" t="s">
        <v>95</v>
      </c>
      <c r="C31" s="10"/>
      <c r="D31" s="58"/>
      <c r="E31" s="10"/>
      <c r="F31" s="57"/>
      <c r="G31" s="10"/>
      <c r="H31" s="51"/>
      <c r="I31" s="52"/>
    </row>
    <row r="32" spans="1:9">
      <c r="A32" s="3">
        <v>27</v>
      </c>
      <c r="B32" s="8" t="s">
        <v>96</v>
      </c>
      <c r="C32" s="10"/>
      <c r="D32" s="50"/>
      <c r="E32" s="50"/>
      <c r="F32" s="56"/>
      <c r="G32" s="50"/>
      <c r="H32" s="51"/>
      <c r="I32" s="52"/>
    </row>
    <row r="33" spans="1:9">
      <c r="A33" s="3">
        <v>28</v>
      </c>
      <c r="B33" s="8" t="s">
        <v>97</v>
      </c>
      <c r="C33" s="53"/>
      <c r="D33" s="54"/>
      <c r="E33" s="54"/>
      <c r="F33" s="55"/>
      <c r="G33" s="54"/>
      <c r="H33" s="53"/>
      <c r="I33" s="52"/>
    </row>
    <row r="34" spans="1:9">
      <c r="A34" s="3">
        <v>29</v>
      </c>
      <c r="B34" s="8" t="s">
        <v>98</v>
      </c>
      <c r="C34" s="5">
        <v>2</v>
      </c>
      <c r="D34" s="10"/>
      <c r="E34" s="10"/>
      <c r="F34" s="57"/>
      <c r="G34" s="59" t="s">
        <v>133</v>
      </c>
      <c r="H34" s="6" t="s">
        <v>68</v>
      </c>
      <c r="I34" s="52">
        <v>36</v>
      </c>
    </row>
    <row r="35" spans="1:9">
      <c r="A35" s="3">
        <v>30</v>
      </c>
      <c r="B35" s="8" t="s">
        <v>99</v>
      </c>
      <c r="C35" s="10"/>
      <c r="D35" s="50"/>
      <c r="E35" s="10"/>
      <c r="F35" s="57"/>
      <c r="G35" s="50"/>
      <c r="H35" s="51"/>
      <c r="I35" s="52"/>
    </row>
    <row r="36" spans="1:9">
      <c r="D36" s="13"/>
      <c r="E36" s="13" t="s">
        <v>76</v>
      </c>
      <c r="F36" s="47">
        <f>F9+F16+F23+F30</f>
        <v>120</v>
      </c>
      <c r="G36" s="13"/>
      <c r="I36" s="46">
        <f>I34+I27+I20+I13</f>
        <v>144</v>
      </c>
    </row>
    <row r="39" spans="1:9">
      <c r="B39" s="19" t="s">
        <v>70</v>
      </c>
      <c r="C39" s="20"/>
      <c r="D39" s="21"/>
      <c r="E39" s="21"/>
      <c r="F39" s="67"/>
      <c r="G39" s="21"/>
      <c r="H39" s="20" t="s">
        <v>71</v>
      </c>
      <c r="I39" s="20"/>
    </row>
    <row r="40" spans="1:9">
      <c r="B40" s="22" t="s">
        <v>72</v>
      </c>
      <c r="C40" s="20"/>
      <c r="D40" s="21"/>
      <c r="E40" s="21"/>
      <c r="F40" s="21"/>
      <c r="G40" s="21"/>
      <c r="H40" s="23" t="s">
        <v>73</v>
      </c>
      <c r="I40" s="20"/>
    </row>
    <row r="41" spans="1:9">
      <c r="B41" s="22"/>
      <c r="C41" s="20"/>
      <c r="D41" s="21"/>
      <c r="E41" s="21"/>
      <c r="F41" s="21"/>
      <c r="G41" s="21"/>
      <c r="H41" s="23"/>
      <c r="I41" s="20"/>
    </row>
    <row r="42" spans="1:9">
      <c r="B42" s="22"/>
      <c r="C42" s="20"/>
      <c r="D42" s="21"/>
      <c r="E42" s="21"/>
      <c r="F42" s="21"/>
      <c r="G42" s="21"/>
      <c r="H42" s="23"/>
      <c r="I42" s="20"/>
    </row>
    <row r="43" spans="1:9">
      <c r="B43" s="22"/>
      <c r="C43" s="20"/>
      <c r="D43" s="21"/>
      <c r="E43" s="21"/>
      <c r="F43" s="21"/>
      <c r="G43" s="21"/>
      <c r="H43" s="23"/>
      <c r="I43" s="20"/>
    </row>
    <row r="44" spans="1:9">
      <c r="B44" s="22"/>
      <c r="C44" s="20"/>
      <c r="D44" s="21"/>
      <c r="E44" s="21"/>
      <c r="F44" s="21"/>
      <c r="G44" s="21"/>
      <c r="H44" s="23"/>
      <c r="I44" s="20"/>
    </row>
    <row r="45" spans="1:9">
      <c r="B45" s="22"/>
      <c r="C45" s="20"/>
      <c r="D45" s="21"/>
      <c r="E45" s="21"/>
      <c r="F45" s="21"/>
      <c r="G45" s="21"/>
      <c r="H45" s="23"/>
      <c r="I45" s="20"/>
    </row>
    <row r="46" spans="1:9">
      <c r="B46" s="22"/>
      <c r="C46" s="20"/>
      <c r="D46" s="21"/>
      <c r="E46" s="21"/>
      <c r="F46" s="21"/>
      <c r="G46" s="21"/>
      <c r="H46" s="23"/>
      <c r="I46" s="20"/>
    </row>
    <row r="48" spans="1:9" ht="18">
      <c r="B48" s="81" t="s">
        <v>81</v>
      </c>
      <c r="C48" s="81"/>
      <c r="D48" s="81"/>
      <c r="E48" s="81"/>
      <c r="F48" s="81"/>
      <c r="G48" s="81"/>
      <c r="H48" s="81"/>
      <c r="I48" s="81"/>
    </row>
    <row r="49" spans="1:10" ht="18">
      <c r="B49" s="82" t="s">
        <v>134</v>
      </c>
      <c r="C49" s="82"/>
      <c r="D49" s="82"/>
      <c r="E49" s="82"/>
      <c r="F49" s="82"/>
      <c r="G49" s="82"/>
      <c r="H49" s="82"/>
      <c r="I49" s="82"/>
    </row>
    <row r="50" spans="1:10" ht="18">
      <c r="B50" s="48" t="s">
        <v>75</v>
      </c>
      <c r="C50" s="48"/>
      <c r="D50" s="48"/>
      <c r="E50" s="48"/>
      <c r="F50" s="48"/>
      <c r="G50" s="48"/>
      <c r="H50" s="48"/>
      <c r="I50" s="68">
        <v>40726</v>
      </c>
      <c r="J50" s="68"/>
    </row>
    <row r="51" spans="1:10">
      <c r="A51" s="76" t="s">
        <v>0</v>
      </c>
      <c r="B51" s="76" t="s">
        <v>1</v>
      </c>
      <c r="C51" s="73" t="s">
        <v>2</v>
      </c>
      <c r="D51" s="73" t="s">
        <v>69</v>
      </c>
      <c r="E51" s="71" t="s">
        <v>66</v>
      </c>
      <c r="F51" s="72"/>
      <c r="G51" s="73" t="s">
        <v>67</v>
      </c>
      <c r="H51" s="71"/>
      <c r="I51" s="72"/>
    </row>
    <row r="52" spans="1:10">
      <c r="A52" s="77"/>
      <c r="B52" s="77"/>
      <c r="C52" s="74"/>
      <c r="D52" s="74"/>
      <c r="E52" s="5" t="s">
        <v>64</v>
      </c>
      <c r="F52" s="5" t="s">
        <v>3</v>
      </c>
      <c r="G52" s="74"/>
      <c r="H52" s="6" t="s">
        <v>4</v>
      </c>
      <c r="I52" s="6" t="s">
        <v>3</v>
      </c>
    </row>
    <row r="53" spans="1:10">
      <c r="A53" s="3">
        <v>1</v>
      </c>
      <c r="B53" s="7">
        <v>40190</v>
      </c>
      <c r="C53" s="10"/>
      <c r="D53" s="29"/>
      <c r="E53" s="29"/>
      <c r="F53" s="29"/>
      <c r="G53" s="29"/>
      <c r="H53" s="3"/>
      <c r="I53" s="3"/>
    </row>
    <row r="54" spans="1:10">
      <c r="A54" s="3">
        <v>2</v>
      </c>
      <c r="B54" s="7">
        <v>40221</v>
      </c>
      <c r="C54" s="10"/>
      <c r="D54" s="50"/>
      <c r="E54" s="10"/>
      <c r="F54" s="10"/>
      <c r="G54" s="50"/>
      <c r="H54" s="51"/>
      <c r="I54" s="52"/>
    </row>
    <row r="55" spans="1:10">
      <c r="A55" s="3">
        <v>3</v>
      </c>
      <c r="B55" s="7">
        <v>40249</v>
      </c>
      <c r="C55" s="33">
        <v>2</v>
      </c>
      <c r="D55" s="63" t="s">
        <v>133</v>
      </c>
      <c r="E55" s="33" t="s">
        <v>65</v>
      </c>
      <c r="F55" s="57">
        <v>30</v>
      </c>
      <c r="G55" s="10"/>
      <c r="H55" s="51"/>
      <c r="I55" s="52"/>
    </row>
    <row r="56" spans="1:10">
      <c r="A56" s="3">
        <v>4</v>
      </c>
      <c r="B56" s="7">
        <v>40280</v>
      </c>
      <c r="C56" s="14"/>
      <c r="D56" s="61"/>
      <c r="E56" s="10"/>
      <c r="F56" s="57"/>
      <c r="G56" s="50"/>
      <c r="H56" s="51"/>
      <c r="I56" s="52"/>
    </row>
    <row r="57" spans="1:10">
      <c r="A57" s="3">
        <v>5</v>
      </c>
      <c r="B57" s="7">
        <v>40310</v>
      </c>
      <c r="C57" s="14"/>
      <c r="D57" s="61"/>
      <c r="E57" s="10"/>
      <c r="F57" s="55"/>
      <c r="G57" s="10"/>
      <c r="H57" s="51"/>
      <c r="I57" s="52"/>
    </row>
    <row r="58" spans="1:10">
      <c r="A58" s="3">
        <v>6</v>
      </c>
      <c r="B58" s="7">
        <v>40341</v>
      </c>
      <c r="C58" s="14"/>
      <c r="D58" s="61"/>
      <c r="E58" s="50"/>
      <c r="F58" s="56"/>
      <c r="G58" s="50"/>
      <c r="H58" s="51"/>
      <c r="I58" s="52"/>
    </row>
    <row r="59" spans="1:10">
      <c r="A59" s="3">
        <v>7</v>
      </c>
      <c r="B59" s="7">
        <v>40371</v>
      </c>
      <c r="C59" s="33">
        <v>2</v>
      </c>
      <c r="D59" s="60"/>
      <c r="E59" s="54"/>
      <c r="F59" s="55"/>
      <c r="G59" s="32" t="s">
        <v>63</v>
      </c>
      <c r="H59" s="62" t="s">
        <v>68</v>
      </c>
      <c r="I59" s="52">
        <v>36</v>
      </c>
    </row>
    <row r="60" spans="1:10">
      <c r="A60" s="3">
        <v>8</v>
      </c>
      <c r="B60" s="7">
        <v>40402</v>
      </c>
      <c r="C60" s="14"/>
      <c r="D60" s="61"/>
      <c r="E60" s="10"/>
      <c r="F60" s="57"/>
      <c r="G60" s="10"/>
      <c r="H60" s="51"/>
      <c r="I60" s="52"/>
    </row>
    <row r="61" spans="1:10">
      <c r="A61" s="3">
        <v>9</v>
      </c>
      <c r="B61" s="7">
        <v>40433</v>
      </c>
      <c r="C61" s="14"/>
      <c r="D61" s="61"/>
      <c r="E61" s="10"/>
      <c r="F61" s="57"/>
      <c r="G61" s="50"/>
      <c r="H61" s="51"/>
      <c r="I61" s="52"/>
    </row>
    <row r="62" spans="1:10">
      <c r="A62" s="3">
        <v>10</v>
      </c>
      <c r="B62" s="7">
        <v>40463</v>
      </c>
      <c r="C62" s="33">
        <v>2</v>
      </c>
      <c r="D62" s="63" t="s">
        <v>133</v>
      </c>
      <c r="E62" s="33" t="s">
        <v>65</v>
      </c>
      <c r="F62" s="57">
        <v>30</v>
      </c>
      <c r="G62" s="10"/>
      <c r="H62" s="51"/>
      <c r="I62" s="52"/>
    </row>
    <row r="63" spans="1:10">
      <c r="A63" s="3">
        <v>11</v>
      </c>
      <c r="B63" s="7">
        <v>40494</v>
      </c>
      <c r="C63" s="14"/>
      <c r="D63" s="61"/>
      <c r="E63" s="10"/>
      <c r="F63" s="57"/>
      <c r="G63" s="50"/>
      <c r="H63" s="51"/>
      <c r="I63" s="52"/>
    </row>
    <row r="64" spans="1:10">
      <c r="A64" s="3">
        <v>12</v>
      </c>
      <c r="B64" s="7">
        <v>40524</v>
      </c>
      <c r="C64" s="14"/>
      <c r="D64" s="61"/>
      <c r="E64" s="10"/>
      <c r="F64" s="57"/>
      <c r="G64" s="10"/>
      <c r="H64" s="51"/>
      <c r="I64" s="52"/>
    </row>
    <row r="65" spans="1:9">
      <c r="A65" s="3">
        <v>13</v>
      </c>
      <c r="B65" s="8" t="s">
        <v>100</v>
      </c>
      <c r="C65" s="14"/>
      <c r="D65" s="61"/>
      <c r="E65" s="50"/>
      <c r="F65" s="56"/>
      <c r="H65" s="51"/>
      <c r="I65" s="52"/>
    </row>
    <row r="66" spans="1:9">
      <c r="A66" s="3">
        <v>14</v>
      </c>
      <c r="B66" s="8" t="s">
        <v>101</v>
      </c>
      <c r="C66" s="33">
        <v>2</v>
      </c>
      <c r="D66" s="60"/>
      <c r="E66" s="54"/>
      <c r="F66" s="55"/>
      <c r="G66" s="32" t="s">
        <v>63</v>
      </c>
      <c r="H66" s="62" t="s">
        <v>68</v>
      </c>
      <c r="I66" s="52">
        <v>36</v>
      </c>
    </row>
    <row r="67" spans="1:9">
      <c r="A67" s="3">
        <v>15</v>
      </c>
      <c r="B67" s="8" t="s">
        <v>102</v>
      </c>
      <c r="C67" s="14"/>
      <c r="D67" s="61"/>
      <c r="E67" s="10"/>
      <c r="F67" s="57"/>
      <c r="G67" s="10"/>
      <c r="H67" s="51"/>
      <c r="I67" s="52"/>
    </row>
    <row r="68" spans="1:9">
      <c r="A68" s="3">
        <v>16</v>
      </c>
      <c r="B68" s="8" t="s">
        <v>103</v>
      </c>
      <c r="C68" s="14"/>
      <c r="D68" s="61"/>
      <c r="E68" s="10"/>
      <c r="F68" s="57"/>
      <c r="G68" s="50"/>
      <c r="H68" s="51"/>
      <c r="I68" s="52"/>
    </row>
    <row r="69" spans="1:9">
      <c r="A69" s="3">
        <v>17</v>
      </c>
      <c r="B69" s="8" t="s">
        <v>135</v>
      </c>
      <c r="C69" s="33">
        <v>2</v>
      </c>
      <c r="D69" s="63" t="s">
        <v>133</v>
      </c>
      <c r="E69" s="33" t="s">
        <v>65</v>
      </c>
      <c r="F69" s="57">
        <v>30</v>
      </c>
      <c r="G69" s="10"/>
      <c r="H69" s="51"/>
      <c r="I69" s="52"/>
    </row>
    <row r="70" spans="1:9">
      <c r="A70" s="3">
        <v>18</v>
      </c>
      <c r="B70" s="8" t="s">
        <v>136</v>
      </c>
      <c r="C70" s="14"/>
      <c r="D70" s="13"/>
      <c r="E70" s="10"/>
      <c r="F70" s="57"/>
      <c r="G70" s="50"/>
      <c r="H70" s="51"/>
      <c r="I70" s="52"/>
    </row>
    <row r="71" spans="1:9">
      <c r="A71" s="3">
        <v>19</v>
      </c>
      <c r="B71" s="8" t="s">
        <v>137</v>
      </c>
      <c r="C71" s="14"/>
      <c r="D71" s="61"/>
      <c r="E71" s="10"/>
      <c r="F71" s="57"/>
      <c r="G71" s="10"/>
      <c r="H71" s="51"/>
      <c r="I71" s="52"/>
    </row>
    <row r="72" spans="1:9">
      <c r="A72" s="3">
        <v>20</v>
      </c>
      <c r="B72" s="8" t="s">
        <v>104</v>
      </c>
      <c r="C72" s="14"/>
      <c r="D72" s="61"/>
      <c r="E72" s="50"/>
      <c r="F72" s="56"/>
      <c r="G72" s="50"/>
      <c r="H72" s="51"/>
      <c r="I72" s="52"/>
    </row>
    <row r="73" spans="1:9">
      <c r="A73" s="3">
        <v>21</v>
      </c>
      <c r="B73" s="8" t="s">
        <v>105</v>
      </c>
      <c r="C73" s="33">
        <v>2</v>
      </c>
      <c r="D73" s="60"/>
      <c r="E73" s="54"/>
      <c r="F73" s="55"/>
      <c r="G73" s="32" t="s">
        <v>63</v>
      </c>
      <c r="H73" s="62" t="s">
        <v>68</v>
      </c>
      <c r="I73" s="52">
        <v>36</v>
      </c>
    </row>
    <row r="74" spans="1:9">
      <c r="A74" s="3">
        <v>22</v>
      </c>
      <c r="B74" s="8" t="s">
        <v>106</v>
      </c>
      <c r="C74" s="14"/>
      <c r="D74" s="61"/>
      <c r="E74" s="10"/>
      <c r="F74" s="57"/>
      <c r="G74" s="10"/>
      <c r="H74" s="51"/>
      <c r="I74" s="52"/>
    </row>
    <row r="75" spans="1:9">
      <c r="A75" s="3">
        <v>23</v>
      </c>
      <c r="B75" s="8" t="s">
        <v>107</v>
      </c>
      <c r="C75" s="14"/>
      <c r="D75" s="61"/>
      <c r="E75" s="10"/>
      <c r="F75" s="57"/>
      <c r="G75" s="50"/>
      <c r="H75" s="51"/>
      <c r="I75" s="52"/>
    </row>
    <row r="76" spans="1:9">
      <c r="A76" s="3">
        <v>24</v>
      </c>
      <c r="B76" s="8" t="s">
        <v>108</v>
      </c>
      <c r="C76" s="33">
        <v>2</v>
      </c>
      <c r="D76" s="63" t="s">
        <v>133</v>
      </c>
      <c r="E76" s="33" t="s">
        <v>65</v>
      </c>
      <c r="F76" s="57">
        <v>30</v>
      </c>
      <c r="G76" s="10"/>
      <c r="H76" s="51"/>
      <c r="I76" s="52"/>
    </row>
    <row r="77" spans="1:9">
      <c r="A77" s="3">
        <v>25</v>
      </c>
      <c r="B77" s="8" t="s">
        <v>109</v>
      </c>
      <c r="C77" s="14"/>
      <c r="D77" s="61"/>
      <c r="E77" s="10"/>
      <c r="F77" s="57"/>
      <c r="G77" s="50"/>
      <c r="H77" s="51"/>
      <c r="I77" s="52"/>
    </row>
    <row r="78" spans="1:9">
      <c r="A78" s="3">
        <v>26</v>
      </c>
      <c r="B78" s="8" t="s">
        <v>110</v>
      </c>
      <c r="C78" s="14"/>
      <c r="D78" s="61"/>
      <c r="E78" s="10"/>
      <c r="F78" s="57"/>
      <c r="G78" s="10"/>
      <c r="H78" s="51"/>
      <c r="I78" s="52"/>
    </row>
    <row r="79" spans="1:9">
      <c r="A79" s="3">
        <v>27</v>
      </c>
      <c r="B79" s="8" t="s">
        <v>111</v>
      </c>
      <c r="C79" s="14"/>
      <c r="D79" s="61"/>
      <c r="E79" s="50"/>
      <c r="F79" s="56"/>
      <c r="G79" s="50"/>
      <c r="H79" s="51"/>
      <c r="I79" s="52"/>
    </row>
    <row r="80" spans="1:9">
      <c r="A80" s="3">
        <v>28</v>
      </c>
      <c r="B80" s="8" t="s">
        <v>113</v>
      </c>
      <c r="C80" s="33">
        <v>2</v>
      </c>
      <c r="D80" s="60"/>
      <c r="E80" s="54"/>
      <c r="F80" s="55"/>
      <c r="G80" s="32" t="s">
        <v>63</v>
      </c>
      <c r="H80" s="62" t="s">
        <v>68</v>
      </c>
      <c r="I80" s="52">
        <v>36</v>
      </c>
    </row>
    <row r="81" spans="1:10">
      <c r="A81" s="3">
        <v>29</v>
      </c>
      <c r="B81" s="8" t="s">
        <v>112</v>
      </c>
      <c r="C81" s="14"/>
      <c r="D81" s="61"/>
      <c r="E81" s="10"/>
      <c r="F81" s="57"/>
      <c r="G81" s="10"/>
      <c r="H81" s="51"/>
      <c r="I81" s="52"/>
    </row>
    <row r="82" spans="1:10">
      <c r="A82" s="3">
        <v>30</v>
      </c>
      <c r="B82" s="8" t="s">
        <v>114</v>
      </c>
      <c r="C82" s="2"/>
      <c r="D82" s="61"/>
      <c r="E82" s="10"/>
      <c r="F82" s="57"/>
      <c r="G82" s="50"/>
      <c r="H82" s="51"/>
      <c r="I82" s="52"/>
    </row>
    <row r="83" spans="1:10">
      <c r="D83" s="13"/>
      <c r="E83" s="13" t="s">
        <v>76</v>
      </c>
      <c r="F83" s="47">
        <f>F76+F69+F62+F55</f>
        <v>120</v>
      </c>
      <c r="G83" s="13"/>
      <c r="I83" s="46">
        <f>I80+I73+I66+I59</f>
        <v>144</v>
      </c>
    </row>
    <row r="85" spans="1:10">
      <c r="B85" s="19" t="s">
        <v>70</v>
      </c>
      <c r="C85" s="20"/>
      <c r="D85" s="21"/>
      <c r="E85" s="21"/>
      <c r="F85" s="21"/>
      <c r="G85" s="21"/>
      <c r="H85" s="20" t="s">
        <v>71</v>
      </c>
      <c r="I85" s="20"/>
    </row>
    <row r="86" spans="1:10">
      <c r="B86" s="22" t="s">
        <v>72</v>
      </c>
      <c r="C86" s="20"/>
      <c r="D86" s="21"/>
      <c r="E86" s="21"/>
      <c r="F86" s="21"/>
      <c r="G86" s="21"/>
      <c r="H86" s="23" t="s">
        <v>73</v>
      </c>
      <c r="I86" s="20"/>
    </row>
    <row r="94" spans="1:10" ht="18">
      <c r="B94" s="81" t="s">
        <v>81</v>
      </c>
      <c r="C94" s="81"/>
      <c r="D94" s="81"/>
      <c r="E94" s="81"/>
      <c r="F94" s="81"/>
      <c r="G94" s="81"/>
      <c r="H94" s="81"/>
      <c r="I94" s="81"/>
    </row>
    <row r="95" spans="1:10" ht="18">
      <c r="B95" s="82" t="s">
        <v>138</v>
      </c>
      <c r="C95" s="82"/>
      <c r="D95" s="82"/>
      <c r="E95" s="82"/>
      <c r="F95" s="82"/>
      <c r="G95" s="82"/>
      <c r="H95" s="82"/>
      <c r="I95" s="82"/>
    </row>
    <row r="96" spans="1:10" ht="18">
      <c r="B96" s="48" t="s">
        <v>75</v>
      </c>
      <c r="C96" s="48"/>
      <c r="D96" s="48"/>
      <c r="E96" s="48"/>
      <c r="F96" s="48"/>
      <c r="G96" s="48"/>
      <c r="H96" s="48"/>
      <c r="I96" s="68">
        <v>40726</v>
      </c>
      <c r="J96" s="68"/>
    </row>
    <row r="97" spans="1:9">
      <c r="A97" s="76" t="s">
        <v>0</v>
      </c>
      <c r="B97" s="76" t="s">
        <v>1</v>
      </c>
      <c r="C97" s="73" t="s">
        <v>2</v>
      </c>
      <c r="D97" s="73" t="s">
        <v>69</v>
      </c>
      <c r="E97" s="71" t="s">
        <v>66</v>
      </c>
      <c r="F97" s="72"/>
      <c r="G97" s="73" t="s">
        <v>67</v>
      </c>
      <c r="H97" s="71"/>
      <c r="I97" s="72"/>
    </row>
    <row r="98" spans="1:9">
      <c r="A98" s="77"/>
      <c r="B98" s="77"/>
      <c r="C98" s="74"/>
      <c r="D98" s="74"/>
      <c r="E98" s="5" t="s">
        <v>64</v>
      </c>
      <c r="F98" s="5" t="s">
        <v>3</v>
      </c>
      <c r="G98" s="74"/>
      <c r="H98" s="6" t="s">
        <v>4</v>
      </c>
      <c r="I98" s="6" t="s">
        <v>3</v>
      </c>
    </row>
    <row r="99" spans="1:9">
      <c r="A99" s="3">
        <v>1</v>
      </c>
      <c r="B99" s="7">
        <v>40544</v>
      </c>
      <c r="C99" s="10"/>
      <c r="D99" s="10"/>
      <c r="E99" s="10"/>
      <c r="F99" s="10"/>
      <c r="G99" s="10"/>
      <c r="H99" s="51"/>
      <c r="I99" s="51"/>
    </row>
    <row r="100" spans="1:9">
      <c r="A100" s="3">
        <v>2</v>
      </c>
      <c r="B100" s="7">
        <v>40575</v>
      </c>
      <c r="C100" s="64">
        <v>2</v>
      </c>
      <c r="D100" s="65" t="s">
        <v>63</v>
      </c>
      <c r="E100" s="5" t="s">
        <v>65</v>
      </c>
      <c r="F100" s="57">
        <v>30</v>
      </c>
      <c r="G100" s="50"/>
      <c r="H100" s="51"/>
      <c r="I100" s="52"/>
    </row>
    <row r="101" spans="1:9">
      <c r="A101" s="3">
        <v>3</v>
      </c>
      <c r="B101" s="7">
        <v>40603</v>
      </c>
      <c r="C101" s="14"/>
      <c r="D101" s="53"/>
      <c r="E101" s="54"/>
      <c r="F101" s="57"/>
      <c r="G101" s="10"/>
      <c r="H101" s="51"/>
      <c r="I101" s="52"/>
    </row>
    <row r="102" spans="1:9">
      <c r="A102" s="3">
        <v>4</v>
      </c>
      <c r="B102" s="7">
        <v>40634</v>
      </c>
      <c r="C102" s="14"/>
      <c r="D102" s="10"/>
      <c r="E102" s="10"/>
      <c r="F102" s="57"/>
      <c r="G102" s="50"/>
      <c r="H102" s="51"/>
      <c r="I102" s="52"/>
    </row>
    <row r="103" spans="1:9">
      <c r="A103" s="3">
        <v>5</v>
      </c>
      <c r="B103" s="7">
        <v>40664</v>
      </c>
      <c r="C103" s="14"/>
      <c r="D103" s="10"/>
      <c r="E103" s="10"/>
      <c r="F103" s="55"/>
      <c r="G103" s="10"/>
      <c r="H103" s="51"/>
      <c r="I103" s="52"/>
    </row>
    <row r="104" spans="1:9">
      <c r="A104" s="3">
        <v>6</v>
      </c>
      <c r="B104" s="7">
        <v>40695</v>
      </c>
      <c r="C104" s="64">
        <v>2</v>
      </c>
      <c r="D104" s="66"/>
      <c r="E104" s="65"/>
      <c r="F104" s="56"/>
      <c r="G104" s="65" t="s">
        <v>63</v>
      </c>
      <c r="H104" s="6" t="s">
        <v>68</v>
      </c>
      <c r="I104" s="52">
        <v>36</v>
      </c>
    </row>
    <row r="105" spans="1:9">
      <c r="A105" s="3">
        <v>7</v>
      </c>
      <c r="B105" s="7">
        <v>40725</v>
      </c>
      <c r="C105" s="14"/>
      <c r="D105" s="53"/>
      <c r="E105" s="54"/>
      <c r="F105" s="55"/>
      <c r="G105" s="54"/>
      <c r="H105" s="53"/>
      <c r="I105" s="52"/>
    </row>
    <row r="106" spans="1:9">
      <c r="A106" s="3">
        <v>8</v>
      </c>
      <c r="B106" s="7">
        <v>40756</v>
      </c>
      <c r="C106" s="14"/>
      <c r="D106" s="10"/>
      <c r="E106" s="10"/>
      <c r="F106" s="57"/>
      <c r="G106" s="10"/>
      <c r="H106" s="51"/>
      <c r="I106" s="52"/>
    </row>
    <row r="107" spans="1:9">
      <c r="A107" s="3">
        <v>9</v>
      </c>
      <c r="B107" s="7">
        <v>40787</v>
      </c>
      <c r="C107" s="64">
        <v>2</v>
      </c>
      <c r="D107" s="65" t="s">
        <v>63</v>
      </c>
      <c r="E107" s="5" t="s">
        <v>65</v>
      </c>
      <c r="F107" s="57">
        <v>30</v>
      </c>
      <c r="G107" s="50"/>
      <c r="H107" s="51"/>
      <c r="I107" s="52"/>
    </row>
    <row r="108" spans="1:9">
      <c r="A108" s="3">
        <v>10</v>
      </c>
      <c r="B108" s="7">
        <v>40817</v>
      </c>
      <c r="C108" s="14"/>
      <c r="D108" s="53"/>
      <c r="E108" s="54"/>
      <c r="F108" s="57"/>
      <c r="G108" s="10"/>
      <c r="H108" s="51"/>
      <c r="I108" s="52"/>
    </row>
    <row r="109" spans="1:9">
      <c r="A109" s="3">
        <v>11</v>
      </c>
      <c r="B109" s="7">
        <v>40848</v>
      </c>
      <c r="C109" s="14"/>
      <c r="D109" s="10"/>
      <c r="E109" s="10"/>
      <c r="F109" s="57"/>
      <c r="G109" s="50"/>
      <c r="H109" s="51"/>
      <c r="I109" s="52"/>
    </row>
    <row r="110" spans="1:9">
      <c r="A110" s="3">
        <v>12</v>
      </c>
      <c r="B110" s="7">
        <v>40878</v>
      </c>
      <c r="C110" s="14"/>
      <c r="D110" s="10"/>
      <c r="E110" s="10"/>
      <c r="F110" s="57"/>
      <c r="G110" s="10"/>
      <c r="H110" s="51"/>
      <c r="I110" s="52"/>
    </row>
    <row r="111" spans="1:9">
      <c r="A111" s="3">
        <v>13</v>
      </c>
      <c r="B111" s="8" t="s">
        <v>115</v>
      </c>
      <c r="C111" s="64">
        <v>2</v>
      </c>
      <c r="D111" s="66"/>
      <c r="E111" s="65"/>
      <c r="F111" s="56"/>
      <c r="G111" s="65" t="s">
        <v>63</v>
      </c>
      <c r="H111" s="6" t="s">
        <v>68</v>
      </c>
      <c r="I111" s="52">
        <v>36</v>
      </c>
    </row>
    <row r="112" spans="1:9">
      <c r="A112" s="3">
        <v>14</v>
      </c>
      <c r="B112" s="8" t="s">
        <v>116</v>
      </c>
      <c r="C112" s="14"/>
      <c r="D112" s="53"/>
      <c r="E112" s="54"/>
      <c r="F112" s="55"/>
      <c r="G112" s="54"/>
      <c r="H112" s="53"/>
      <c r="I112" s="52"/>
    </row>
    <row r="113" spans="1:9">
      <c r="A113" s="3">
        <v>15</v>
      </c>
      <c r="B113" s="8" t="s">
        <v>117</v>
      </c>
      <c r="C113" s="14"/>
      <c r="D113" s="10"/>
      <c r="E113" s="10"/>
      <c r="F113" s="57"/>
      <c r="G113" s="10"/>
      <c r="H113" s="51"/>
      <c r="I113" s="52"/>
    </row>
    <row r="114" spans="1:9">
      <c r="A114" s="3">
        <v>16</v>
      </c>
      <c r="B114" s="8" t="s">
        <v>118</v>
      </c>
      <c r="C114" s="64">
        <v>2</v>
      </c>
      <c r="D114" s="65" t="s">
        <v>63</v>
      </c>
      <c r="E114" s="5" t="s">
        <v>65</v>
      </c>
      <c r="F114" s="57">
        <v>30</v>
      </c>
      <c r="G114" s="50"/>
      <c r="H114" s="51"/>
      <c r="I114" s="52"/>
    </row>
    <row r="115" spans="1:9">
      <c r="A115" s="3">
        <v>17</v>
      </c>
      <c r="B115" s="8" t="s">
        <v>119</v>
      </c>
      <c r="C115" s="14"/>
      <c r="D115" s="53"/>
      <c r="E115" s="54"/>
      <c r="F115" s="57"/>
      <c r="G115" s="10"/>
      <c r="H115" s="51"/>
      <c r="I115" s="52"/>
    </row>
    <row r="116" spans="1:9">
      <c r="A116" s="3">
        <v>18</v>
      </c>
      <c r="B116" s="8" t="s">
        <v>120</v>
      </c>
      <c r="C116" s="14"/>
      <c r="D116" s="10"/>
      <c r="E116" s="10"/>
      <c r="F116" s="57"/>
      <c r="G116" s="50"/>
      <c r="H116" s="51"/>
      <c r="I116" s="52"/>
    </row>
    <row r="117" spans="1:9" ht="15" customHeight="1">
      <c r="A117" s="3">
        <v>19</v>
      </c>
      <c r="B117" s="8" t="s">
        <v>121</v>
      </c>
      <c r="C117" s="14"/>
      <c r="D117" s="10"/>
      <c r="E117" s="10"/>
      <c r="F117" s="57"/>
      <c r="G117" s="10"/>
      <c r="H117" s="51"/>
      <c r="I117" s="52"/>
    </row>
    <row r="118" spans="1:9">
      <c r="A118" s="3">
        <v>20</v>
      </c>
      <c r="B118" s="8" t="s">
        <v>122</v>
      </c>
      <c r="C118" s="64">
        <v>2</v>
      </c>
      <c r="D118" s="66"/>
      <c r="E118" s="65"/>
      <c r="F118" s="56"/>
      <c r="G118" s="65" t="s">
        <v>63</v>
      </c>
      <c r="H118" s="6" t="s">
        <v>68</v>
      </c>
      <c r="I118" s="52">
        <v>36</v>
      </c>
    </row>
    <row r="119" spans="1:9">
      <c r="A119" s="3">
        <v>21</v>
      </c>
      <c r="B119" s="8" t="s">
        <v>123</v>
      </c>
      <c r="C119" s="14"/>
      <c r="D119" s="53"/>
      <c r="E119" s="54"/>
      <c r="F119" s="55"/>
      <c r="G119" s="54"/>
      <c r="H119" s="53"/>
      <c r="I119" s="52"/>
    </row>
    <row r="120" spans="1:9">
      <c r="A120" s="3">
        <v>22</v>
      </c>
      <c r="B120" s="8" t="s">
        <v>124</v>
      </c>
      <c r="C120" s="14"/>
      <c r="D120" s="10"/>
      <c r="E120" s="10"/>
      <c r="F120" s="57"/>
      <c r="G120" s="10"/>
      <c r="H120" s="51"/>
      <c r="I120" s="52"/>
    </row>
    <row r="121" spans="1:9">
      <c r="A121" s="3">
        <v>23</v>
      </c>
      <c r="B121" s="8" t="s">
        <v>125</v>
      </c>
      <c r="C121" s="64">
        <v>2</v>
      </c>
      <c r="D121" s="65" t="s">
        <v>63</v>
      </c>
      <c r="E121" s="5" t="s">
        <v>65</v>
      </c>
      <c r="F121" s="57">
        <v>30</v>
      </c>
      <c r="G121" s="50"/>
      <c r="H121" s="51"/>
      <c r="I121" s="52"/>
    </row>
    <row r="122" spans="1:9">
      <c r="A122" s="3">
        <v>24</v>
      </c>
      <c r="B122" s="8" t="s">
        <v>126</v>
      </c>
      <c r="C122" s="14"/>
      <c r="D122" s="53"/>
      <c r="E122" s="54"/>
      <c r="F122" s="57"/>
      <c r="G122" s="10"/>
      <c r="H122" s="51"/>
      <c r="I122" s="52"/>
    </row>
    <row r="123" spans="1:9">
      <c r="A123" s="3">
        <v>25</v>
      </c>
      <c r="B123" s="8" t="s">
        <v>127</v>
      </c>
      <c r="C123" s="14"/>
      <c r="D123" s="10"/>
      <c r="E123" s="10"/>
      <c r="F123" s="57"/>
      <c r="G123" s="50"/>
      <c r="H123" s="51"/>
      <c r="I123" s="52"/>
    </row>
    <row r="124" spans="1:9">
      <c r="A124" s="3">
        <v>26</v>
      </c>
      <c r="B124" s="8" t="s">
        <v>128</v>
      </c>
      <c r="C124" s="64">
        <v>2</v>
      </c>
      <c r="D124" s="66"/>
      <c r="E124" s="5"/>
      <c r="F124" s="57"/>
      <c r="G124" s="65" t="s">
        <v>63</v>
      </c>
      <c r="H124" s="6" t="s">
        <v>68</v>
      </c>
      <c r="I124" s="52">
        <v>36</v>
      </c>
    </row>
    <row r="125" spans="1:9">
      <c r="A125" s="3">
        <v>27</v>
      </c>
      <c r="B125" s="8" t="s">
        <v>129</v>
      </c>
      <c r="C125" s="14"/>
      <c r="D125" s="10"/>
      <c r="E125" s="50"/>
      <c r="F125" s="56"/>
      <c r="G125" s="50"/>
      <c r="H125" s="51"/>
      <c r="I125" s="52"/>
    </row>
    <row r="126" spans="1:9">
      <c r="A126" s="3">
        <v>28</v>
      </c>
      <c r="B126" s="8" t="s">
        <v>130</v>
      </c>
      <c r="C126" s="14"/>
      <c r="D126" s="53"/>
      <c r="E126" s="54"/>
      <c r="F126" s="55"/>
      <c r="G126" s="54"/>
      <c r="H126" s="53"/>
      <c r="I126" s="52"/>
    </row>
    <row r="127" spans="1:9">
      <c r="A127" s="3">
        <v>29</v>
      </c>
      <c r="B127" s="8" t="s">
        <v>131</v>
      </c>
      <c r="C127" s="14"/>
      <c r="D127" s="10"/>
      <c r="E127" s="10"/>
      <c r="F127" s="57"/>
      <c r="G127" s="10"/>
      <c r="H127" s="51"/>
      <c r="I127" s="52"/>
    </row>
    <row r="128" spans="1:9">
      <c r="A128" s="3">
        <v>30</v>
      </c>
      <c r="B128" s="8" t="s">
        <v>132</v>
      </c>
      <c r="C128" s="64">
        <v>2</v>
      </c>
      <c r="D128" s="65" t="s">
        <v>63</v>
      </c>
      <c r="E128" s="5" t="s">
        <v>65</v>
      </c>
      <c r="F128" s="57">
        <v>30</v>
      </c>
      <c r="G128" s="50"/>
      <c r="H128" s="51"/>
      <c r="I128" s="52"/>
    </row>
    <row r="129" spans="2:9">
      <c r="D129" s="13"/>
      <c r="E129" s="13" t="s">
        <v>76</v>
      </c>
      <c r="F129" s="47">
        <f>F128+F121+F114+F107+F100</f>
        <v>150</v>
      </c>
      <c r="G129" s="13"/>
      <c r="I129" s="46">
        <f>I124+I118+I111+I104</f>
        <v>144</v>
      </c>
    </row>
    <row r="130" spans="2:9">
      <c r="I130" s="20"/>
    </row>
    <row r="131" spans="2:9">
      <c r="B131" s="19" t="s">
        <v>70</v>
      </c>
      <c r="C131" s="20"/>
      <c r="D131" s="21"/>
      <c r="E131" s="21"/>
      <c r="F131" s="21"/>
      <c r="G131" s="21"/>
      <c r="H131" s="20" t="s">
        <v>71</v>
      </c>
    </row>
    <row r="132" spans="2:9">
      <c r="B132" s="22" t="s">
        <v>72</v>
      </c>
      <c r="C132" s="20"/>
      <c r="D132" s="21"/>
      <c r="E132" s="21"/>
      <c r="F132" s="21"/>
      <c r="G132" s="21"/>
      <c r="H132" s="23" t="s">
        <v>73</v>
      </c>
    </row>
  </sheetData>
  <mergeCells count="28">
    <mergeCell ref="B94:I94"/>
    <mergeCell ref="B95:I95"/>
    <mergeCell ref="A97:A98"/>
    <mergeCell ref="B97:B98"/>
    <mergeCell ref="C97:C98"/>
    <mergeCell ref="D97:D98"/>
    <mergeCell ref="E97:F97"/>
    <mergeCell ref="G97:G98"/>
    <mergeCell ref="H97:I97"/>
    <mergeCell ref="B1:I1"/>
    <mergeCell ref="A4:A5"/>
    <mergeCell ref="B4:B5"/>
    <mergeCell ref="C4:C5"/>
    <mergeCell ref="D4:D5"/>
    <mergeCell ref="E4:F4"/>
    <mergeCell ref="G4:G5"/>
    <mergeCell ref="H4:I4"/>
    <mergeCell ref="B2:I2"/>
    <mergeCell ref="H3:J3"/>
    <mergeCell ref="B48:I48"/>
    <mergeCell ref="B49:I49"/>
    <mergeCell ref="A51:A52"/>
    <mergeCell ref="B51:B52"/>
    <mergeCell ref="C51:C52"/>
    <mergeCell ref="D51:D52"/>
    <mergeCell ref="E51:F51"/>
    <mergeCell ref="G51:G52"/>
    <mergeCell ref="H51:I51"/>
  </mergeCells>
  <pageMargins left="0" right="0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11"/>
  <sheetViews>
    <sheetView topLeftCell="A56" workbookViewId="0">
      <selection activeCell="A68" sqref="A68:J112"/>
    </sheetView>
  </sheetViews>
  <sheetFormatPr defaultRowHeight="15"/>
  <cols>
    <col min="2" max="2" width="18.7109375" style="13" customWidth="1"/>
    <col min="9" max="9" width="14.28515625" customWidth="1"/>
  </cols>
  <sheetData>
    <row r="1" spans="1:13" ht="18">
      <c r="B1" s="75" t="s">
        <v>24</v>
      </c>
      <c r="C1" s="75"/>
      <c r="D1" s="75"/>
      <c r="E1" s="75"/>
      <c r="F1" s="75"/>
      <c r="G1" s="75"/>
      <c r="H1" s="75"/>
      <c r="I1" s="75"/>
    </row>
    <row r="2" spans="1:13" ht="18.75">
      <c r="B2" s="70"/>
      <c r="C2" s="75" t="s">
        <v>61</v>
      </c>
      <c r="D2" s="75"/>
      <c r="E2" s="75"/>
      <c r="F2" s="75"/>
      <c r="G2" s="75"/>
      <c r="H2" s="75"/>
      <c r="I2" s="75"/>
    </row>
    <row r="3" spans="1:13" ht="18.75">
      <c r="B3" s="70"/>
      <c r="C3" s="18" t="s">
        <v>75</v>
      </c>
      <c r="D3" s="18"/>
      <c r="E3" s="18"/>
      <c r="F3" s="18"/>
      <c r="G3" s="9"/>
      <c r="H3" s="85" t="s">
        <v>140</v>
      </c>
      <c r="I3" s="85"/>
      <c r="J3" s="30"/>
    </row>
    <row r="4" spans="1:13">
      <c r="A4" s="76" t="s">
        <v>0</v>
      </c>
      <c r="B4" s="76" t="s">
        <v>1</v>
      </c>
      <c r="C4" s="73" t="s">
        <v>2</v>
      </c>
      <c r="D4" s="73" t="s">
        <v>69</v>
      </c>
      <c r="E4" s="71" t="s">
        <v>66</v>
      </c>
      <c r="F4" s="72"/>
      <c r="G4" s="73" t="s">
        <v>67</v>
      </c>
      <c r="H4" s="71"/>
      <c r="I4" s="72"/>
    </row>
    <row r="5" spans="1:13">
      <c r="A5" s="77"/>
      <c r="B5" s="77"/>
      <c r="C5" s="74"/>
      <c r="D5" s="74"/>
      <c r="E5" s="5" t="s">
        <v>64</v>
      </c>
      <c r="F5" s="5" t="s">
        <v>3</v>
      </c>
      <c r="G5" s="74"/>
      <c r="H5" s="6" t="s">
        <v>4</v>
      </c>
      <c r="I5" s="6" t="s">
        <v>3</v>
      </c>
    </row>
    <row r="6" spans="1:13">
      <c r="A6" s="3">
        <v>1</v>
      </c>
      <c r="B6" s="7">
        <v>40549</v>
      </c>
      <c r="C6" s="10"/>
      <c r="D6" s="49"/>
      <c r="E6" s="49"/>
      <c r="F6" s="49"/>
      <c r="G6" s="49"/>
      <c r="H6" s="3"/>
      <c r="I6" s="3"/>
    </row>
    <row r="7" spans="1:13">
      <c r="A7" s="3">
        <v>2</v>
      </c>
      <c r="B7" s="7">
        <v>40580</v>
      </c>
      <c r="C7" s="38">
        <v>2</v>
      </c>
      <c r="D7" s="12"/>
      <c r="E7" s="49"/>
      <c r="F7" s="49"/>
      <c r="G7" s="39" t="s">
        <v>63</v>
      </c>
      <c r="H7" s="42" t="s">
        <v>68</v>
      </c>
      <c r="I7" s="15">
        <v>36</v>
      </c>
    </row>
    <row r="8" spans="1:13">
      <c r="A8" s="3">
        <v>3</v>
      </c>
      <c r="B8" s="7">
        <v>40608</v>
      </c>
      <c r="C8" s="2"/>
      <c r="D8" s="14"/>
      <c r="E8" s="14"/>
      <c r="F8" s="49"/>
      <c r="G8" s="49"/>
      <c r="H8" s="3"/>
      <c r="I8" s="15"/>
    </row>
    <row r="9" spans="1:13">
      <c r="A9" s="3">
        <v>4</v>
      </c>
      <c r="B9" s="7">
        <v>40639</v>
      </c>
      <c r="C9" s="10"/>
      <c r="D9" s="12"/>
      <c r="E9" s="49"/>
      <c r="F9" s="49"/>
      <c r="G9" s="12"/>
      <c r="H9" s="3"/>
      <c r="I9" s="15"/>
    </row>
    <row r="10" spans="1:13">
      <c r="A10" s="3">
        <v>5</v>
      </c>
      <c r="B10" s="7">
        <v>40669</v>
      </c>
      <c r="C10" s="38">
        <v>2</v>
      </c>
      <c r="D10" s="39" t="s">
        <v>63</v>
      </c>
      <c r="E10" s="38" t="s">
        <v>65</v>
      </c>
      <c r="F10" s="28">
        <v>30</v>
      </c>
      <c r="G10" s="49"/>
      <c r="H10" s="3"/>
      <c r="I10" s="15"/>
    </row>
    <row r="11" spans="1:13">
      <c r="A11" s="3">
        <v>6</v>
      </c>
      <c r="B11" s="7">
        <v>40700</v>
      </c>
      <c r="C11" s="10"/>
      <c r="D11" s="49"/>
      <c r="E11" s="12"/>
      <c r="F11" s="25"/>
      <c r="G11" s="12"/>
      <c r="H11" s="3"/>
      <c r="I11" s="15"/>
    </row>
    <row r="12" spans="1:13">
      <c r="A12" s="3">
        <v>7</v>
      </c>
      <c r="B12" s="7">
        <v>40730</v>
      </c>
      <c r="C12" s="2"/>
      <c r="D12" s="14"/>
      <c r="E12" s="14"/>
      <c r="F12" s="28"/>
      <c r="G12" s="14"/>
      <c r="H12" s="2"/>
      <c r="I12" s="15"/>
      <c r="M12" t="s">
        <v>139</v>
      </c>
    </row>
    <row r="13" spans="1:13">
      <c r="A13" s="3">
        <v>8</v>
      </c>
      <c r="B13" s="7">
        <v>40761</v>
      </c>
      <c r="C13" s="10"/>
      <c r="D13" s="49"/>
      <c r="E13" s="49"/>
      <c r="F13" s="24"/>
      <c r="G13" s="49"/>
      <c r="H13" s="3"/>
      <c r="I13" s="15"/>
    </row>
    <row r="14" spans="1:13">
      <c r="A14" s="3">
        <v>9</v>
      </c>
      <c r="B14" s="7">
        <v>40792</v>
      </c>
      <c r="C14" s="38">
        <v>2</v>
      </c>
      <c r="D14" s="12"/>
      <c r="E14" s="49"/>
      <c r="F14" s="24"/>
      <c r="G14" s="39" t="s">
        <v>63</v>
      </c>
      <c r="H14" s="42" t="s">
        <v>68</v>
      </c>
      <c r="I14" s="15">
        <v>36</v>
      </c>
    </row>
    <row r="15" spans="1:13">
      <c r="A15" s="3">
        <v>10</v>
      </c>
      <c r="B15" s="7">
        <v>40822</v>
      </c>
      <c r="C15" s="2"/>
      <c r="D15" s="14"/>
      <c r="E15" s="14"/>
      <c r="F15" s="24"/>
      <c r="G15" s="49"/>
      <c r="H15" s="3"/>
      <c r="I15" s="15"/>
    </row>
    <row r="16" spans="1:13">
      <c r="A16" s="3">
        <v>11</v>
      </c>
      <c r="B16" s="7">
        <v>40853</v>
      </c>
      <c r="C16" s="10"/>
      <c r="D16" s="49"/>
      <c r="E16" s="49"/>
      <c r="F16" s="24"/>
      <c r="G16" s="12"/>
      <c r="H16" s="3"/>
      <c r="I16" s="15"/>
    </row>
    <row r="17" spans="1:9">
      <c r="A17" s="3">
        <v>12</v>
      </c>
      <c r="B17" s="7">
        <v>40883</v>
      </c>
      <c r="C17" s="38">
        <v>2</v>
      </c>
      <c r="D17" s="39" t="s">
        <v>63</v>
      </c>
      <c r="E17" s="38" t="s">
        <v>65</v>
      </c>
      <c r="F17" s="24">
        <v>30</v>
      </c>
      <c r="G17" s="49"/>
      <c r="H17" s="3"/>
      <c r="I17" s="15"/>
    </row>
    <row r="18" spans="1:9">
      <c r="A18" s="3">
        <v>13</v>
      </c>
      <c r="B18" s="8" t="s">
        <v>141</v>
      </c>
      <c r="C18" s="10"/>
      <c r="D18" s="12"/>
      <c r="E18" s="12"/>
      <c r="F18" s="25"/>
      <c r="G18" s="12"/>
      <c r="H18" s="3"/>
      <c r="I18" s="15"/>
    </row>
    <row r="19" spans="1:9">
      <c r="A19" s="3">
        <v>14</v>
      </c>
      <c r="B19" s="8" t="s">
        <v>142</v>
      </c>
      <c r="C19" s="2"/>
      <c r="D19" s="14"/>
      <c r="E19" s="14"/>
      <c r="F19" s="28"/>
      <c r="G19" s="14"/>
      <c r="H19" s="2"/>
      <c r="I19" s="15"/>
    </row>
    <row r="20" spans="1:9">
      <c r="A20" s="3">
        <v>15</v>
      </c>
      <c r="B20" s="8" t="s">
        <v>143</v>
      </c>
      <c r="C20" s="10"/>
      <c r="D20" s="49"/>
      <c r="E20" s="49"/>
      <c r="F20" s="24"/>
      <c r="G20" s="49"/>
      <c r="H20" s="3"/>
      <c r="I20" s="15"/>
    </row>
    <row r="21" spans="1:9">
      <c r="A21" s="3">
        <v>16</v>
      </c>
      <c r="B21" s="8" t="s">
        <v>144</v>
      </c>
      <c r="C21" s="38">
        <v>2</v>
      </c>
      <c r="D21" s="12"/>
      <c r="E21" s="49"/>
      <c r="F21" s="24"/>
      <c r="G21" s="39" t="s">
        <v>63</v>
      </c>
      <c r="H21" s="42" t="s">
        <v>68</v>
      </c>
      <c r="I21" s="15">
        <v>36</v>
      </c>
    </row>
    <row r="22" spans="1:9">
      <c r="A22" s="3">
        <v>17</v>
      </c>
      <c r="B22" s="8" t="s">
        <v>145</v>
      </c>
      <c r="C22" s="2"/>
      <c r="D22" s="14"/>
      <c r="E22" s="14"/>
      <c r="F22" s="24"/>
      <c r="G22" s="49"/>
      <c r="H22" s="3"/>
      <c r="I22" s="15"/>
    </row>
    <row r="23" spans="1:9">
      <c r="A23" s="3">
        <v>18</v>
      </c>
      <c r="B23" s="8" t="s">
        <v>146</v>
      </c>
      <c r="C23" s="10"/>
      <c r="D23" s="49"/>
      <c r="E23" s="49"/>
      <c r="F23" s="24"/>
      <c r="G23" s="12"/>
      <c r="H23" s="3"/>
      <c r="I23" s="15"/>
    </row>
    <row r="24" spans="1:9">
      <c r="A24" s="3">
        <v>19</v>
      </c>
      <c r="B24" s="8" t="s">
        <v>147</v>
      </c>
      <c r="C24" s="38">
        <v>2</v>
      </c>
      <c r="D24" s="44" t="s">
        <v>63</v>
      </c>
      <c r="E24" s="38" t="s">
        <v>65</v>
      </c>
      <c r="F24" s="24">
        <v>30</v>
      </c>
      <c r="G24" s="49"/>
      <c r="H24" s="3"/>
      <c r="I24" s="15"/>
    </row>
    <row r="25" spans="1:9">
      <c r="A25" s="3">
        <v>20</v>
      </c>
      <c r="B25" s="8" t="s">
        <v>148</v>
      </c>
      <c r="C25" s="10"/>
      <c r="D25" s="12"/>
      <c r="E25" s="12"/>
      <c r="F25" s="25"/>
      <c r="G25" s="12"/>
      <c r="H25" s="3"/>
      <c r="I25" s="15"/>
    </row>
    <row r="26" spans="1:9">
      <c r="A26" s="3">
        <v>21</v>
      </c>
      <c r="B26" s="8" t="s">
        <v>149</v>
      </c>
      <c r="C26" s="2"/>
      <c r="D26" s="14"/>
      <c r="E26" s="14"/>
      <c r="F26" s="28"/>
      <c r="G26" s="14"/>
      <c r="H26" s="2"/>
      <c r="I26" s="15"/>
    </row>
    <row r="27" spans="1:9">
      <c r="A27" s="3">
        <v>22</v>
      </c>
      <c r="B27" s="8" t="s">
        <v>150</v>
      </c>
      <c r="C27" s="10"/>
      <c r="D27" s="49"/>
      <c r="E27" s="49"/>
      <c r="F27" s="24"/>
      <c r="G27" s="49"/>
      <c r="H27" s="3"/>
      <c r="I27" s="15"/>
    </row>
    <row r="28" spans="1:9">
      <c r="A28" s="3">
        <v>23</v>
      </c>
      <c r="B28" s="8" t="s">
        <v>151</v>
      </c>
      <c r="C28" s="38">
        <v>2</v>
      </c>
      <c r="D28" s="12"/>
      <c r="E28" s="49"/>
      <c r="F28" s="24"/>
      <c r="G28" s="39" t="s">
        <v>63</v>
      </c>
      <c r="H28" s="42" t="s">
        <v>68</v>
      </c>
      <c r="I28" s="15">
        <v>36</v>
      </c>
    </row>
    <row r="29" spans="1:9">
      <c r="A29" s="3">
        <v>24</v>
      </c>
      <c r="B29" s="8" t="s">
        <v>152</v>
      </c>
      <c r="C29" s="2"/>
      <c r="D29" s="14"/>
      <c r="E29" s="14"/>
      <c r="F29" s="24"/>
      <c r="G29" s="49"/>
      <c r="H29" s="3"/>
      <c r="I29" s="15"/>
    </row>
    <row r="30" spans="1:9">
      <c r="A30" s="3">
        <v>25</v>
      </c>
      <c r="B30" s="8" t="s">
        <v>153</v>
      </c>
      <c r="C30" s="10"/>
      <c r="D30" s="49"/>
      <c r="E30" s="49"/>
      <c r="F30" s="24"/>
      <c r="G30" s="12"/>
      <c r="H30" s="3"/>
      <c r="I30" s="15"/>
    </row>
    <row r="31" spans="1:9">
      <c r="A31" s="3">
        <v>26</v>
      </c>
      <c r="B31" s="8" t="s">
        <v>154</v>
      </c>
      <c r="C31" s="38">
        <v>2</v>
      </c>
      <c r="D31" s="44" t="s">
        <v>63</v>
      </c>
      <c r="E31" s="38" t="s">
        <v>65</v>
      </c>
      <c r="F31" s="24">
        <v>30</v>
      </c>
      <c r="G31" s="49"/>
      <c r="H31" s="3"/>
      <c r="I31" s="15"/>
    </row>
    <row r="32" spans="1:9">
      <c r="A32" s="3">
        <v>27</v>
      </c>
      <c r="B32" s="8" t="s">
        <v>155</v>
      </c>
      <c r="C32" s="10"/>
      <c r="D32" s="12"/>
      <c r="E32" s="12"/>
      <c r="F32" s="12"/>
      <c r="G32" s="12"/>
      <c r="H32" s="3"/>
      <c r="I32" s="15"/>
    </row>
    <row r="33" spans="1:9">
      <c r="A33" s="3">
        <v>28</v>
      </c>
      <c r="B33" s="8" t="s">
        <v>156</v>
      </c>
      <c r="C33" s="2"/>
      <c r="D33" s="14"/>
      <c r="E33" s="14"/>
      <c r="F33" s="14"/>
      <c r="G33" s="14"/>
      <c r="H33" s="2"/>
      <c r="I33" s="15"/>
    </row>
    <row r="34" spans="1:9">
      <c r="A34" s="3">
        <v>29</v>
      </c>
      <c r="B34" s="8" t="s">
        <v>157</v>
      </c>
      <c r="C34" s="10"/>
      <c r="D34" s="49"/>
      <c r="E34" s="49"/>
      <c r="F34" s="49"/>
      <c r="G34" s="49"/>
      <c r="H34" s="3"/>
      <c r="I34" s="15"/>
    </row>
    <row r="35" spans="1:9">
      <c r="A35" s="3">
        <v>30</v>
      </c>
      <c r="B35" s="8" t="s">
        <v>158</v>
      </c>
      <c r="C35" s="38">
        <v>2</v>
      </c>
      <c r="D35" s="12"/>
      <c r="E35" s="49"/>
      <c r="F35" s="49"/>
      <c r="G35" s="39" t="s">
        <v>63</v>
      </c>
      <c r="H35" s="42" t="s">
        <v>68</v>
      </c>
      <c r="I35" s="15">
        <v>36</v>
      </c>
    </row>
    <row r="36" spans="1:9">
      <c r="D36" s="13"/>
      <c r="E36" s="13" t="s">
        <v>76</v>
      </c>
      <c r="F36" s="47">
        <f>F31+F24+F17+F10</f>
        <v>120</v>
      </c>
      <c r="G36" s="13"/>
      <c r="I36" s="46">
        <f>I35+I28+I21+I14+I7</f>
        <v>180</v>
      </c>
    </row>
    <row r="37" spans="1:9">
      <c r="B37" s="19" t="s">
        <v>70</v>
      </c>
      <c r="C37" s="20"/>
      <c r="D37" s="21"/>
      <c r="E37" s="21"/>
      <c r="F37" s="21"/>
      <c r="G37" s="21"/>
      <c r="H37" s="20" t="s">
        <v>71</v>
      </c>
      <c r="I37" s="20"/>
    </row>
    <row r="38" spans="1:9">
      <c r="B38" s="22" t="s">
        <v>72</v>
      </c>
      <c r="C38" s="20"/>
      <c r="D38" s="21"/>
      <c r="E38" s="21"/>
      <c r="F38" s="21"/>
      <c r="G38" s="21"/>
      <c r="H38" s="23" t="s">
        <v>73</v>
      </c>
      <c r="I38" s="20"/>
    </row>
    <row r="70" spans="1:10">
      <c r="A70" s="86" t="s">
        <v>160</v>
      </c>
      <c r="B70" s="87"/>
      <c r="C70" s="88" t="s">
        <v>161</v>
      </c>
      <c r="D70" s="89"/>
      <c r="E70" s="89"/>
      <c r="F70" s="89"/>
      <c r="G70" s="90" t="s">
        <v>162</v>
      </c>
      <c r="H70" s="90"/>
      <c r="I70" s="90"/>
      <c r="J70" s="90"/>
    </row>
    <row r="71" spans="1:10">
      <c r="A71" s="91"/>
      <c r="B71" s="92"/>
      <c r="C71" s="89"/>
      <c r="D71" s="89"/>
      <c r="E71" s="89"/>
      <c r="F71" s="89"/>
      <c r="G71" s="90" t="s">
        <v>165</v>
      </c>
      <c r="H71" s="90"/>
      <c r="I71" s="90"/>
      <c r="J71" s="90"/>
    </row>
    <row r="72" spans="1:10">
      <c r="A72" s="93"/>
      <c r="B72" s="94"/>
      <c r="C72" s="95" t="s">
        <v>164</v>
      </c>
      <c r="D72" s="89"/>
      <c r="E72" s="89"/>
      <c r="F72" s="89"/>
      <c r="G72" s="96" t="s">
        <v>163</v>
      </c>
      <c r="H72" s="96"/>
      <c r="I72" s="96"/>
      <c r="J72" s="96"/>
    </row>
    <row r="73" spans="1:10" ht="31.5" customHeight="1">
      <c r="A73" s="97"/>
      <c r="B73" s="98"/>
      <c r="C73" s="89"/>
      <c r="D73" s="89"/>
      <c r="E73" s="89"/>
      <c r="F73" s="89"/>
      <c r="G73" s="90">
        <v>1</v>
      </c>
      <c r="H73" s="90"/>
      <c r="I73" s="90"/>
      <c r="J73" s="90"/>
    </row>
    <row r="74" spans="1:10" ht="18">
      <c r="B74" s="82" t="s">
        <v>159</v>
      </c>
      <c r="C74" s="82"/>
      <c r="D74" s="82"/>
      <c r="E74" s="82"/>
      <c r="F74" s="82"/>
      <c r="G74" s="82"/>
      <c r="H74" s="82"/>
      <c r="I74" s="82"/>
    </row>
    <row r="75" spans="1:10" ht="18">
      <c r="B75" s="48" t="s">
        <v>75</v>
      </c>
      <c r="C75" s="48"/>
      <c r="D75" s="48"/>
      <c r="E75" s="48"/>
      <c r="F75" s="48"/>
      <c r="G75" s="48"/>
      <c r="H75" s="48"/>
      <c r="I75" s="68" t="s">
        <v>166</v>
      </c>
    </row>
    <row r="76" spans="1:10">
      <c r="A76" s="76" t="s">
        <v>0</v>
      </c>
      <c r="B76" s="76" t="s">
        <v>1</v>
      </c>
      <c r="C76" s="73" t="s">
        <v>2</v>
      </c>
      <c r="D76" s="73" t="s">
        <v>69</v>
      </c>
      <c r="E76" s="71" t="s">
        <v>66</v>
      </c>
      <c r="F76" s="72"/>
      <c r="G76" s="73" t="s">
        <v>67</v>
      </c>
      <c r="H76" s="71"/>
      <c r="I76" s="72"/>
    </row>
    <row r="77" spans="1:10">
      <c r="A77" s="77"/>
      <c r="B77" s="77"/>
      <c r="C77" s="74"/>
      <c r="D77" s="74"/>
      <c r="E77" s="5" t="s">
        <v>64</v>
      </c>
      <c r="F77" s="5" t="s">
        <v>3</v>
      </c>
      <c r="G77" s="74"/>
      <c r="H77" s="6" t="s">
        <v>4</v>
      </c>
      <c r="I77" s="6" t="s">
        <v>3</v>
      </c>
    </row>
    <row r="78" spans="1:10">
      <c r="A78" s="3">
        <v>1</v>
      </c>
      <c r="B78" s="7">
        <v>40549</v>
      </c>
      <c r="C78" s="10"/>
      <c r="D78" s="10"/>
      <c r="E78" s="10"/>
      <c r="F78" s="10"/>
      <c r="G78" s="10"/>
      <c r="H78" s="51"/>
      <c r="I78" s="51"/>
    </row>
    <row r="79" spans="1:10">
      <c r="A79" s="3">
        <v>2</v>
      </c>
      <c r="B79" s="7">
        <v>40580</v>
      </c>
      <c r="C79" s="64">
        <v>2</v>
      </c>
      <c r="D79" s="65" t="s">
        <v>63</v>
      </c>
      <c r="E79" s="5" t="s">
        <v>65</v>
      </c>
      <c r="F79" s="57">
        <v>30</v>
      </c>
      <c r="G79" s="50"/>
      <c r="H79" s="51"/>
      <c r="I79" s="52"/>
    </row>
    <row r="80" spans="1:10">
      <c r="A80" s="3">
        <v>3</v>
      </c>
      <c r="B80" s="7">
        <v>40608</v>
      </c>
      <c r="C80" s="14"/>
      <c r="D80" s="53"/>
      <c r="E80" s="54"/>
      <c r="F80" s="57"/>
      <c r="G80" s="10"/>
      <c r="H80" s="51"/>
      <c r="I80" s="52"/>
    </row>
    <row r="81" spans="1:9">
      <c r="A81" s="3">
        <v>4</v>
      </c>
      <c r="B81" s="7">
        <v>40639</v>
      </c>
      <c r="C81" s="14"/>
      <c r="D81" s="10"/>
      <c r="E81" s="10"/>
      <c r="F81" s="57"/>
      <c r="G81" s="50"/>
      <c r="H81" s="51"/>
      <c r="I81" s="52"/>
    </row>
    <row r="82" spans="1:9">
      <c r="A82" s="3">
        <v>5</v>
      </c>
      <c r="B82" s="7">
        <v>40669</v>
      </c>
      <c r="C82" s="14"/>
      <c r="D82" s="10"/>
      <c r="E82" s="10"/>
      <c r="F82" s="55"/>
      <c r="G82" s="10"/>
      <c r="H82" s="51"/>
      <c r="I82" s="52"/>
    </row>
    <row r="83" spans="1:9">
      <c r="A83" s="3">
        <v>7</v>
      </c>
      <c r="B83" s="7">
        <v>40700</v>
      </c>
      <c r="C83" s="14"/>
      <c r="D83" s="53"/>
      <c r="E83" s="54"/>
      <c r="F83" s="55"/>
      <c r="G83" s="54"/>
      <c r="H83" s="53"/>
      <c r="I83" s="52"/>
    </row>
    <row r="84" spans="1:9">
      <c r="A84" s="3">
        <v>8</v>
      </c>
      <c r="B84" s="7">
        <v>40730</v>
      </c>
      <c r="C84" s="14"/>
      <c r="D84" s="10"/>
      <c r="E84" s="10"/>
      <c r="F84" s="57"/>
      <c r="G84" s="10"/>
      <c r="H84" s="51"/>
      <c r="I84" s="52"/>
    </row>
    <row r="85" spans="1:9">
      <c r="A85" s="3">
        <v>9</v>
      </c>
      <c r="B85" s="7">
        <v>40761</v>
      </c>
      <c r="C85" s="64">
        <v>2</v>
      </c>
      <c r="D85" s="65" t="s">
        <v>63</v>
      </c>
      <c r="E85" s="5" t="s">
        <v>65</v>
      </c>
      <c r="F85" s="57">
        <v>30</v>
      </c>
      <c r="G85" s="50"/>
      <c r="H85" s="51"/>
      <c r="I85" s="52"/>
    </row>
    <row r="86" spans="1:9">
      <c r="A86" s="3">
        <v>10</v>
      </c>
      <c r="B86" s="7">
        <v>40792</v>
      </c>
      <c r="C86" s="14"/>
      <c r="D86" s="53"/>
      <c r="E86" s="54"/>
      <c r="F86" s="57"/>
      <c r="G86" s="10"/>
      <c r="H86" s="51"/>
      <c r="I86" s="52"/>
    </row>
    <row r="87" spans="1:9">
      <c r="A87" s="3">
        <v>11</v>
      </c>
      <c r="B87" s="7">
        <v>40822</v>
      </c>
      <c r="C87" s="14"/>
      <c r="D87" s="10"/>
      <c r="E87" s="10"/>
      <c r="F87" s="57"/>
      <c r="G87" s="50"/>
      <c r="H87" s="51"/>
      <c r="I87" s="52"/>
    </row>
    <row r="88" spans="1:9">
      <c r="A88" s="3">
        <v>12</v>
      </c>
      <c r="B88" s="7">
        <v>40853</v>
      </c>
      <c r="C88" s="14"/>
      <c r="D88" s="10"/>
      <c r="E88" s="10"/>
      <c r="F88" s="57"/>
      <c r="G88" s="10"/>
      <c r="H88" s="51"/>
      <c r="I88" s="52"/>
    </row>
    <row r="89" spans="1:9">
      <c r="A89" s="3">
        <v>13</v>
      </c>
      <c r="B89" s="7">
        <v>40883</v>
      </c>
      <c r="C89" s="64">
        <v>2</v>
      </c>
      <c r="D89" s="66"/>
      <c r="E89" s="65"/>
      <c r="F89" s="56"/>
      <c r="G89" s="65" t="s">
        <v>63</v>
      </c>
      <c r="H89" s="6" t="s">
        <v>68</v>
      </c>
      <c r="I89" s="52">
        <v>36</v>
      </c>
    </row>
    <row r="90" spans="1:9">
      <c r="A90" s="3">
        <v>14</v>
      </c>
      <c r="B90" s="7" t="s">
        <v>167</v>
      </c>
      <c r="C90" s="14"/>
      <c r="D90" s="53"/>
      <c r="E90" s="54"/>
      <c r="F90" s="55"/>
      <c r="G90" s="54"/>
      <c r="H90" s="53"/>
      <c r="I90" s="52"/>
    </row>
    <row r="91" spans="1:9">
      <c r="A91" s="3">
        <v>15</v>
      </c>
      <c r="B91" s="7" t="s">
        <v>168</v>
      </c>
      <c r="C91" s="14"/>
      <c r="D91" s="10"/>
      <c r="E91" s="10"/>
      <c r="F91" s="57"/>
      <c r="G91" s="10"/>
      <c r="H91" s="51"/>
      <c r="I91" s="52"/>
    </row>
    <row r="92" spans="1:9">
      <c r="A92" s="3">
        <v>16</v>
      </c>
      <c r="B92" s="7" t="s">
        <v>169</v>
      </c>
      <c r="C92" s="64">
        <v>2</v>
      </c>
      <c r="D92" s="65" t="s">
        <v>63</v>
      </c>
      <c r="E92" s="5" t="s">
        <v>65</v>
      </c>
      <c r="F92" s="57">
        <v>30</v>
      </c>
      <c r="G92" s="50"/>
      <c r="H92" s="51"/>
      <c r="I92" s="52"/>
    </row>
    <row r="93" spans="1:9">
      <c r="A93" s="3">
        <v>17</v>
      </c>
      <c r="B93" s="7" t="s">
        <v>170</v>
      </c>
      <c r="C93" s="14"/>
      <c r="D93" s="53"/>
      <c r="E93" s="54"/>
      <c r="F93" s="57"/>
      <c r="G93" s="10"/>
      <c r="H93" s="51"/>
      <c r="I93" s="52"/>
    </row>
    <row r="94" spans="1:9">
      <c r="A94" s="3">
        <v>18</v>
      </c>
      <c r="B94" s="7" t="s">
        <v>171</v>
      </c>
      <c r="C94" s="14"/>
      <c r="D94" s="10"/>
      <c r="E94" s="10"/>
      <c r="F94" s="57"/>
      <c r="G94" s="50"/>
      <c r="H94" s="51"/>
      <c r="I94" s="52"/>
    </row>
    <row r="95" spans="1:9">
      <c r="A95" s="3">
        <v>19</v>
      </c>
      <c r="B95" s="7" t="s">
        <v>172</v>
      </c>
      <c r="C95" s="14"/>
      <c r="D95" s="10"/>
      <c r="E95" s="10"/>
      <c r="F95" s="57"/>
      <c r="G95" s="10"/>
      <c r="H95" s="51"/>
      <c r="I95" s="52"/>
    </row>
    <row r="96" spans="1:9">
      <c r="A96" s="3">
        <v>20</v>
      </c>
      <c r="B96" s="7" t="s">
        <v>173</v>
      </c>
      <c r="C96" s="64">
        <v>2</v>
      </c>
      <c r="D96" s="66"/>
      <c r="E96" s="65"/>
      <c r="F96" s="56"/>
      <c r="G96" s="65" t="s">
        <v>63</v>
      </c>
      <c r="H96" s="6" t="s">
        <v>68</v>
      </c>
      <c r="I96" s="52">
        <v>36</v>
      </c>
    </row>
    <row r="97" spans="1:9">
      <c r="A97" s="3">
        <v>21</v>
      </c>
      <c r="B97" s="7" t="s">
        <v>174</v>
      </c>
      <c r="C97" s="14"/>
      <c r="D97" s="53"/>
      <c r="E97" s="54"/>
      <c r="F97" s="55"/>
      <c r="G97" s="54"/>
      <c r="H97" s="53"/>
      <c r="I97" s="52"/>
    </row>
    <row r="98" spans="1:9">
      <c r="A98" s="3">
        <v>22</v>
      </c>
      <c r="B98" s="7" t="s">
        <v>175</v>
      </c>
      <c r="C98" s="14"/>
      <c r="D98" s="10"/>
      <c r="E98" s="10"/>
      <c r="F98" s="57"/>
      <c r="G98" s="10"/>
      <c r="H98" s="51"/>
      <c r="I98" s="52"/>
    </row>
    <row r="99" spans="1:9">
      <c r="A99" s="3">
        <v>23</v>
      </c>
      <c r="B99" s="7" t="s">
        <v>176</v>
      </c>
      <c r="C99" s="64">
        <v>2</v>
      </c>
      <c r="D99" s="65" t="s">
        <v>63</v>
      </c>
      <c r="E99" s="5" t="s">
        <v>65</v>
      </c>
      <c r="F99" s="57">
        <v>30</v>
      </c>
      <c r="G99" s="50"/>
      <c r="H99" s="51"/>
      <c r="I99" s="52"/>
    </row>
    <row r="100" spans="1:9">
      <c r="A100" s="3">
        <v>24</v>
      </c>
      <c r="B100" s="7" t="s">
        <v>177</v>
      </c>
      <c r="C100" s="14"/>
      <c r="D100" s="53"/>
      <c r="E100" s="54"/>
      <c r="F100" s="57"/>
      <c r="G100" s="10"/>
      <c r="H100" s="51"/>
      <c r="I100" s="52"/>
    </row>
    <row r="101" spans="1:9">
      <c r="A101" s="3">
        <v>25</v>
      </c>
      <c r="B101" s="7" t="s">
        <v>178</v>
      </c>
      <c r="C101" s="14"/>
      <c r="D101" s="10"/>
      <c r="E101" s="10"/>
      <c r="F101" s="57"/>
      <c r="G101" s="50"/>
      <c r="H101" s="51"/>
      <c r="I101" s="52"/>
    </row>
    <row r="102" spans="1:9">
      <c r="A102" s="3">
        <v>26</v>
      </c>
      <c r="B102" s="7" t="s">
        <v>179</v>
      </c>
      <c r="C102" s="64">
        <v>2</v>
      </c>
      <c r="D102" s="66"/>
      <c r="E102" s="5"/>
      <c r="F102" s="57"/>
      <c r="G102" s="65" t="s">
        <v>63</v>
      </c>
      <c r="H102" s="6" t="s">
        <v>68</v>
      </c>
      <c r="I102" s="52">
        <v>36</v>
      </c>
    </row>
    <row r="103" spans="1:9">
      <c r="A103" s="3">
        <v>27</v>
      </c>
      <c r="B103" s="7" t="s">
        <v>180</v>
      </c>
      <c r="C103" s="14"/>
      <c r="D103" s="10"/>
      <c r="E103" s="50"/>
      <c r="F103" s="56"/>
      <c r="G103" s="50"/>
      <c r="H103" s="51"/>
      <c r="I103" s="52"/>
    </row>
    <row r="104" spans="1:9">
      <c r="A104" s="3">
        <v>28</v>
      </c>
      <c r="B104" s="7" t="s">
        <v>181</v>
      </c>
      <c r="C104" s="14"/>
      <c r="D104" s="53"/>
      <c r="E104" s="54"/>
      <c r="F104" s="55"/>
      <c r="G104" s="54"/>
      <c r="H104" s="53"/>
      <c r="I104" s="52"/>
    </row>
    <row r="105" spans="1:9">
      <c r="A105" s="3">
        <v>29</v>
      </c>
      <c r="B105" s="7" t="s">
        <v>182</v>
      </c>
      <c r="C105" s="14"/>
      <c r="D105" s="10"/>
      <c r="E105" s="10"/>
      <c r="F105" s="57"/>
      <c r="G105" s="10"/>
      <c r="H105" s="51"/>
      <c r="I105" s="52"/>
    </row>
    <row r="106" spans="1:9">
      <c r="A106" s="3">
        <v>30</v>
      </c>
      <c r="B106" s="7" t="s">
        <v>183</v>
      </c>
      <c r="C106" s="64">
        <v>2</v>
      </c>
      <c r="D106" s="65" t="s">
        <v>63</v>
      </c>
      <c r="E106" s="5" t="s">
        <v>65</v>
      </c>
      <c r="F106" s="57">
        <v>30</v>
      </c>
      <c r="G106" s="50"/>
      <c r="H106" s="51"/>
      <c r="I106" s="52"/>
    </row>
    <row r="107" spans="1:9">
      <c r="A107" s="3"/>
      <c r="B107" s="7" t="s">
        <v>158</v>
      </c>
      <c r="C107" s="64"/>
      <c r="D107" s="65"/>
      <c r="E107" s="5"/>
      <c r="F107" s="57"/>
      <c r="G107" s="50"/>
      <c r="H107" s="51"/>
      <c r="I107" s="52"/>
    </row>
    <row r="108" spans="1:9">
      <c r="B108"/>
      <c r="D108" s="13"/>
      <c r="E108" s="13" t="s">
        <v>76</v>
      </c>
      <c r="F108" s="99">
        <f>F106+F99+F92+F85+F79</f>
        <v>150</v>
      </c>
      <c r="G108" s="13"/>
      <c r="I108" s="100" t="e">
        <f>I102+I96+I89+#REF!</f>
        <v>#REF!</v>
      </c>
    </row>
    <row r="109" spans="1:9">
      <c r="B109"/>
      <c r="I109" s="20"/>
    </row>
    <row r="110" spans="1:9">
      <c r="B110" s="19" t="s">
        <v>70</v>
      </c>
      <c r="C110" s="20"/>
      <c r="D110" s="21"/>
      <c r="E110" s="21"/>
      <c r="F110" s="21"/>
      <c r="G110" s="21"/>
      <c r="H110" s="20" t="s">
        <v>71</v>
      </c>
    </row>
    <row r="111" spans="1:9">
      <c r="B111" s="22" t="s">
        <v>72</v>
      </c>
      <c r="C111" s="20"/>
      <c r="D111" s="21"/>
      <c r="E111" s="21"/>
      <c r="F111" s="21"/>
      <c r="G111" s="21"/>
      <c r="H111" s="23" t="s">
        <v>73</v>
      </c>
    </row>
  </sheetData>
  <mergeCells count="26">
    <mergeCell ref="A70:B71"/>
    <mergeCell ref="C70:F71"/>
    <mergeCell ref="G70:J70"/>
    <mergeCell ref="G71:J71"/>
    <mergeCell ref="A72:B73"/>
    <mergeCell ref="C72:F73"/>
    <mergeCell ref="G72:J72"/>
    <mergeCell ref="G73:J73"/>
    <mergeCell ref="B74:I74"/>
    <mergeCell ref="A76:A77"/>
    <mergeCell ref="B76:B77"/>
    <mergeCell ref="C76:C77"/>
    <mergeCell ref="D76:D77"/>
    <mergeCell ref="E76:F76"/>
    <mergeCell ref="G76:G77"/>
    <mergeCell ref="H76:I76"/>
    <mergeCell ref="B1:I1"/>
    <mergeCell ref="C2:I2"/>
    <mergeCell ref="A4:A5"/>
    <mergeCell ref="B4:B5"/>
    <mergeCell ref="C4:C5"/>
    <mergeCell ref="D4:D5"/>
    <mergeCell ref="E4:F4"/>
    <mergeCell ref="G4:G5"/>
    <mergeCell ref="H4:I4"/>
    <mergeCell ref="H3:I3"/>
  </mergeCells>
  <pageMargins left="0.7" right="0.7" top="0.75" bottom="0.75" header="0.3" footer="0.3"/>
  <legacyDrawing r:id="rId1"/>
  <oleObjects>
    <oleObject progId="PBrush" shapeId="1025" r:id="rId2"/>
  </oleObjects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theme="3" tint="-0.249977111117893"/>
  </sheetPr>
  <dimension ref="A1:Q43"/>
  <sheetViews>
    <sheetView tabSelected="1" topLeftCell="A4" workbookViewId="0">
      <selection activeCell="N29" sqref="N29"/>
    </sheetView>
  </sheetViews>
  <sheetFormatPr defaultRowHeight="15"/>
  <cols>
    <col min="1" max="1" width="6.7109375" customWidth="1"/>
    <col min="2" max="2" width="14.140625" customWidth="1"/>
    <col min="3" max="3" width="9.5703125" customWidth="1"/>
    <col min="4" max="4" width="8.28515625" customWidth="1"/>
    <col min="5" max="5" width="10" customWidth="1"/>
    <col min="6" max="6" width="9" customWidth="1"/>
    <col min="9" max="9" width="10.28515625" customWidth="1"/>
    <col min="10" max="10" width="2.5703125" customWidth="1"/>
  </cols>
  <sheetData>
    <row r="1" spans="1:14">
      <c r="A1" s="86" t="s">
        <v>160</v>
      </c>
      <c r="B1" s="87"/>
      <c r="C1" s="88" t="s">
        <v>161</v>
      </c>
      <c r="D1" s="89"/>
      <c r="E1" s="89"/>
      <c r="F1" s="89"/>
      <c r="G1" s="90" t="s">
        <v>162</v>
      </c>
      <c r="H1" s="90"/>
      <c r="I1" s="90"/>
      <c r="J1" s="90"/>
    </row>
    <row r="2" spans="1:14">
      <c r="A2" s="91"/>
      <c r="B2" s="92"/>
      <c r="C2" s="89"/>
      <c r="D2" s="89"/>
      <c r="E2" s="89"/>
      <c r="F2" s="89"/>
      <c r="G2" s="90" t="s">
        <v>254</v>
      </c>
      <c r="H2" s="90"/>
      <c r="I2" s="90"/>
      <c r="J2" s="90"/>
    </row>
    <row r="3" spans="1:14">
      <c r="A3" s="93"/>
      <c r="B3" s="94"/>
      <c r="C3" s="122" t="s">
        <v>164</v>
      </c>
      <c r="D3" s="102"/>
      <c r="E3" s="102"/>
      <c r="F3" s="103"/>
      <c r="G3" s="96" t="s">
        <v>163</v>
      </c>
      <c r="H3" s="96"/>
      <c r="I3" s="96"/>
      <c r="J3" s="96"/>
    </row>
    <row r="4" spans="1:14" ht="42.75" customHeight="1">
      <c r="A4" s="97"/>
      <c r="B4" s="98"/>
      <c r="C4" s="104"/>
      <c r="D4" s="105"/>
      <c r="E4" s="105"/>
      <c r="F4" s="106"/>
      <c r="G4" s="90">
        <v>1</v>
      </c>
      <c r="H4" s="90"/>
      <c r="I4" s="90"/>
      <c r="J4" s="90"/>
    </row>
    <row r="5" spans="1:14" ht="18">
      <c r="A5" s="119" t="s">
        <v>259</v>
      </c>
      <c r="B5" s="119"/>
      <c r="C5" s="119"/>
      <c r="D5" s="119"/>
      <c r="E5" s="119"/>
      <c r="F5" s="119"/>
      <c r="G5" s="119"/>
      <c r="H5" s="107"/>
      <c r="I5" s="107"/>
    </row>
    <row r="6" spans="1:14" ht="18">
      <c r="A6" s="121" t="s">
        <v>260</v>
      </c>
      <c r="B6" s="121"/>
      <c r="C6" s="121"/>
      <c r="D6" s="121"/>
      <c r="E6" s="121"/>
      <c r="F6" s="121"/>
      <c r="G6" s="121"/>
      <c r="H6" s="148" t="s">
        <v>166</v>
      </c>
      <c r="I6" s="148"/>
    </row>
    <row r="7" spans="1:14">
      <c r="A7" s="76" t="s">
        <v>0</v>
      </c>
      <c r="B7" s="76" t="s">
        <v>1</v>
      </c>
      <c r="C7" s="73" t="s">
        <v>2</v>
      </c>
      <c r="D7" s="73" t="s">
        <v>69</v>
      </c>
      <c r="E7" s="71" t="s">
        <v>66</v>
      </c>
      <c r="F7" s="72"/>
      <c r="G7" s="73" t="s">
        <v>67</v>
      </c>
      <c r="H7" s="71"/>
      <c r="I7" s="72"/>
    </row>
    <row r="8" spans="1:14">
      <c r="A8" s="77"/>
      <c r="B8" s="77"/>
      <c r="C8" s="74"/>
      <c r="D8" s="74"/>
      <c r="E8" s="5" t="s">
        <v>64</v>
      </c>
      <c r="F8" s="5" t="s">
        <v>3</v>
      </c>
      <c r="G8" s="74"/>
      <c r="H8" s="6" t="s">
        <v>4</v>
      </c>
      <c r="I8" s="6" t="s">
        <v>3</v>
      </c>
    </row>
    <row r="9" spans="1:14">
      <c r="A9" s="69">
        <v>1</v>
      </c>
      <c r="B9" s="7">
        <v>40549</v>
      </c>
      <c r="C9" s="10"/>
      <c r="D9" s="10"/>
      <c r="E9" s="10"/>
      <c r="F9" s="10"/>
      <c r="G9" s="10"/>
      <c r="H9" s="51"/>
      <c r="I9" s="51"/>
    </row>
    <row r="10" spans="1:14">
      <c r="A10" s="69">
        <v>2</v>
      </c>
      <c r="B10" s="7">
        <v>40580</v>
      </c>
      <c r="C10" s="64">
        <v>2</v>
      </c>
      <c r="D10" s="50"/>
      <c r="E10" s="10"/>
      <c r="F10" s="57"/>
      <c r="G10" s="65" t="s">
        <v>63</v>
      </c>
      <c r="H10" s="6" t="s">
        <v>264</v>
      </c>
      <c r="I10" s="108">
        <v>46</v>
      </c>
    </row>
    <row r="11" spans="1:14">
      <c r="A11" s="69">
        <v>3</v>
      </c>
      <c r="B11" s="7">
        <v>40608</v>
      </c>
      <c r="C11" s="14"/>
      <c r="D11" s="53"/>
      <c r="E11" s="54"/>
      <c r="F11" s="57"/>
      <c r="G11" s="10"/>
      <c r="H11" s="51"/>
      <c r="I11" s="52"/>
    </row>
    <row r="12" spans="1:14">
      <c r="A12" s="69">
        <v>4</v>
      </c>
      <c r="B12" s="7">
        <v>40639</v>
      </c>
      <c r="C12" s="14"/>
      <c r="D12" s="10"/>
      <c r="E12" s="10"/>
      <c r="F12" s="57"/>
      <c r="G12" s="50"/>
      <c r="H12" s="51"/>
      <c r="I12" s="52"/>
    </row>
    <row r="13" spans="1:14">
      <c r="A13" s="69">
        <v>5</v>
      </c>
      <c r="B13" s="7">
        <v>40669</v>
      </c>
      <c r="C13" s="14"/>
      <c r="D13" s="10"/>
      <c r="E13" s="10"/>
      <c r="F13" s="55"/>
      <c r="G13" s="10"/>
      <c r="H13" s="51"/>
      <c r="I13" s="52"/>
      <c r="N13">
        <f>23*2</f>
        <v>46</v>
      </c>
    </row>
    <row r="14" spans="1:14">
      <c r="A14" s="69">
        <v>6</v>
      </c>
      <c r="B14" s="7">
        <v>40700</v>
      </c>
      <c r="C14" s="64">
        <v>2</v>
      </c>
      <c r="D14" s="65" t="s">
        <v>63</v>
      </c>
      <c r="E14" s="64" t="s">
        <v>265</v>
      </c>
      <c r="F14" s="109">
        <v>40</v>
      </c>
      <c r="G14" s="54"/>
      <c r="H14" s="53"/>
      <c r="I14" s="52"/>
    </row>
    <row r="15" spans="1:14">
      <c r="A15" s="69">
        <v>7</v>
      </c>
      <c r="B15" s="7">
        <v>40730</v>
      </c>
      <c r="C15" s="14"/>
      <c r="D15" s="10"/>
      <c r="E15" s="10"/>
      <c r="F15" s="57"/>
      <c r="G15" s="10"/>
      <c r="H15" s="51"/>
      <c r="I15" s="52"/>
    </row>
    <row r="16" spans="1:14">
      <c r="A16" s="69">
        <v>8</v>
      </c>
      <c r="B16" s="7">
        <v>40761</v>
      </c>
      <c r="C16" s="54"/>
      <c r="D16" s="110"/>
      <c r="E16" s="10"/>
      <c r="F16" s="57"/>
      <c r="G16" s="50"/>
      <c r="H16" s="51"/>
      <c r="I16" s="52"/>
    </row>
    <row r="17" spans="1:16">
      <c r="A17" s="69">
        <v>9</v>
      </c>
      <c r="B17" s="7">
        <v>40792</v>
      </c>
      <c r="C17" s="14"/>
      <c r="D17" s="53"/>
      <c r="E17" s="54"/>
      <c r="F17" s="57"/>
      <c r="G17" s="10"/>
      <c r="H17" s="51"/>
      <c r="I17" s="52"/>
    </row>
    <row r="18" spans="1:16">
      <c r="A18" s="69">
        <v>10</v>
      </c>
      <c r="B18" s="7">
        <v>40822</v>
      </c>
      <c r="C18" s="111">
        <v>2</v>
      </c>
      <c r="D18" s="10"/>
      <c r="E18" s="10"/>
      <c r="F18" s="57"/>
      <c r="G18" s="65" t="s">
        <v>63</v>
      </c>
      <c r="H18" s="6" t="s">
        <v>264</v>
      </c>
      <c r="I18" s="108">
        <v>46</v>
      </c>
    </row>
    <row r="19" spans="1:16">
      <c r="A19" s="69">
        <v>11</v>
      </c>
      <c r="B19" s="7">
        <v>40853</v>
      </c>
      <c r="C19" s="14"/>
      <c r="D19" s="10"/>
      <c r="E19" s="10"/>
      <c r="F19" s="57"/>
      <c r="G19" s="10"/>
      <c r="H19" s="51"/>
      <c r="I19" s="52"/>
      <c r="P19">
        <f>20*2</f>
        <v>40</v>
      </c>
    </row>
    <row r="20" spans="1:16">
      <c r="A20" s="69">
        <v>12</v>
      </c>
      <c r="B20" s="7">
        <v>40883</v>
      </c>
      <c r="C20" s="54"/>
      <c r="D20" s="110"/>
      <c r="E20" s="50"/>
      <c r="F20" s="56"/>
      <c r="G20" s="2"/>
      <c r="H20" s="2"/>
      <c r="I20" s="2"/>
    </row>
    <row r="21" spans="1:16">
      <c r="A21" s="69">
        <v>13</v>
      </c>
      <c r="B21" s="7" t="s">
        <v>167</v>
      </c>
      <c r="C21" s="64">
        <v>2</v>
      </c>
      <c r="D21" s="65" t="s">
        <v>63</v>
      </c>
      <c r="E21" s="64" t="s">
        <v>265</v>
      </c>
      <c r="F21" s="109">
        <v>40</v>
      </c>
      <c r="G21" s="54"/>
      <c r="H21" s="53"/>
      <c r="I21" s="52"/>
    </row>
    <row r="22" spans="1:16">
      <c r="A22" s="69">
        <v>14</v>
      </c>
      <c r="B22" s="7" t="s">
        <v>168</v>
      </c>
      <c r="C22" s="14"/>
      <c r="D22" s="10"/>
      <c r="E22" s="10"/>
      <c r="F22" s="57"/>
      <c r="G22" s="10"/>
      <c r="H22" s="51"/>
      <c r="I22" s="52"/>
    </row>
    <row r="23" spans="1:16">
      <c r="A23" s="69">
        <v>15</v>
      </c>
      <c r="B23" s="7" t="s">
        <v>169</v>
      </c>
      <c r="C23" s="2"/>
      <c r="D23" s="2"/>
      <c r="E23" s="2"/>
      <c r="F23" s="2"/>
      <c r="G23" s="50"/>
      <c r="H23" s="51"/>
      <c r="I23" s="52"/>
    </row>
    <row r="24" spans="1:16">
      <c r="A24" s="69">
        <v>16</v>
      </c>
      <c r="B24" s="7" t="s">
        <v>170</v>
      </c>
      <c r="C24" s="14"/>
      <c r="D24" s="53"/>
      <c r="E24" s="54"/>
      <c r="F24" s="57"/>
      <c r="G24" s="10"/>
      <c r="H24" s="51"/>
      <c r="I24" s="52"/>
    </row>
    <row r="25" spans="1:16">
      <c r="A25" s="69">
        <v>17</v>
      </c>
      <c r="B25" s="7" t="s">
        <v>171</v>
      </c>
      <c r="C25" s="64">
        <v>2</v>
      </c>
      <c r="D25" s="10"/>
      <c r="E25" s="10"/>
      <c r="F25" s="57"/>
      <c r="G25" s="65" t="s">
        <v>63</v>
      </c>
      <c r="H25" s="6" t="s">
        <v>264</v>
      </c>
      <c r="I25" s="108">
        <v>46</v>
      </c>
    </row>
    <row r="26" spans="1:16">
      <c r="A26" s="69">
        <v>18</v>
      </c>
      <c r="B26" s="7" t="s">
        <v>172</v>
      </c>
      <c r="C26" s="14"/>
      <c r="D26" s="10"/>
      <c r="E26" s="10"/>
      <c r="F26" s="57"/>
      <c r="G26" s="10"/>
      <c r="H26" s="51"/>
      <c r="I26" s="52"/>
    </row>
    <row r="27" spans="1:16">
      <c r="A27" s="69">
        <v>19</v>
      </c>
      <c r="B27" s="7" t="s">
        <v>173</v>
      </c>
      <c r="C27" s="2"/>
      <c r="D27" s="53"/>
      <c r="E27" s="50"/>
      <c r="F27" s="56"/>
      <c r="G27" s="2"/>
      <c r="H27" s="2"/>
      <c r="I27" s="2"/>
    </row>
    <row r="28" spans="1:16">
      <c r="A28" s="69">
        <v>20</v>
      </c>
      <c r="B28" s="7" t="s">
        <v>174</v>
      </c>
      <c r="C28" s="64">
        <v>2</v>
      </c>
      <c r="D28" s="65" t="s">
        <v>63</v>
      </c>
      <c r="E28" s="64" t="s">
        <v>265</v>
      </c>
      <c r="F28" s="109">
        <v>40</v>
      </c>
      <c r="G28" s="54"/>
      <c r="H28" s="53"/>
      <c r="I28" s="52"/>
    </row>
    <row r="29" spans="1:16">
      <c r="A29" s="69">
        <v>21</v>
      </c>
      <c r="B29" s="7" t="s">
        <v>175</v>
      </c>
      <c r="C29" s="14"/>
      <c r="D29" s="10"/>
      <c r="E29" s="10"/>
      <c r="F29" s="57"/>
      <c r="G29" s="10"/>
      <c r="H29" s="51"/>
      <c r="I29" s="52"/>
    </row>
    <row r="30" spans="1:16">
      <c r="A30" s="69">
        <v>22</v>
      </c>
      <c r="B30" s="7" t="s">
        <v>176</v>
      </c>
      <c r="C30" s="2"/>
      <c r="D30" s="2"/>
      <c r="E30" s="2"/>
      <c r="F30" s="2"/>
      <c r="G30" s="50"/>
      <c r="H30" s="51"/>
      <c r="I30" s="52"/>
    </row>
    <row r="31" spans="1:16">
      <c r="A31" s="69">
        <v>23</v>
      </c>
      <c r="B31" s="149"/>
      <c r="C31" s="54"/>
      <c r="D31" s="53"/>
      <c r="E31" s="54"/>
      <c r="F31" s="57"/>
      <c r="G31" s="10"/>
      <c r="H31" s="51"/>
      <c r="I31" s="52"/>
    </row>
    <row r="32" spans="1:16">
      <c r="A32" s="69">
        <v>24</v>
      </c>
      <c r="B32" s="149"/>
      <c r="C32" s="54"/>
      <c r="D32" s="10"/>
      <c r="E32" s="10"/>
      <c r="F32" s="57"/>
      <c r="G32" s="50"/>
      <c r="H32" s="51"/>
      <c r="I32" s="52"/>
    </row>
    <row r="33" spans="1:17">
      <c r="A33" s="69">
        <v>25</v>
      </c>
      <c r="B33" s="149"/>
      <c r="C33" s="53"/>
      <c r="D33" s="110"/>
      <c r="E33" s="10"/>
      <c r="F33" s="57"/>
      <c r="G33" s="53"/>
      <c r="H33" s="53"/>
      <c r="I33" s="53"/>
    </row>
    <row r="34" spans="1:17">
      <c r="A34" s="69">
        <v>26</v>
      </c>
      <c r="B34" s="149"/>
      <c r="C34" s="54"/>
      <c r="D34" s="10"/>
      <c r="E34" s="50"/>
      <c r="F34" s="56"/>
      <c r="G34" s="50"/>
      <c r="H34" s="51"/>
      <c r="I34" s="52"/>
      <c r="Q34">
        <v>160</v>
      </c>
    </row>
    <row r="35" spans="1:17">
      <c r="A35" s="69">
        <v>27</v>
      </c>
      <c r="B35" s="149"/>
      <c r="C35" s="54"/>
      <c r="D35" s="50"/>
      <c r="E35" s="54"/>
      <c r="F35" s="55"/>
      <c r="G35" s="54"/>
      <c r="H35" s="53"/>
      <c r="I35" s="52"/>
    </row>
    <row r="36" spans="1:17">
      <c r="A36" s="69">
        <v>28</v>
      </c>
      <c r="B36" s="149"/>
      <c r="C36" s="54"/>
      <c r="D36" s="10"/>
      <c r="E36" s="10"/>
      <c r="F36" s="57"/>
      <c r="G36" s="10"/>
      <c r="H36" s="51"/>
      <c r="I36" s="52"/>
    </row>
    <row r="37" spans="1:17">
      <c r="A37" s="69">
        <v>29</v>
      </c>
      <c r="B37" s="149"/>
      <c r="C37" s="53"/>
      <c r="D37" s="53"/>
      <c r="E37" s="53"/>
      <c r="F37" s="53"/>
      <c r="G37" s="50"/>
      <c r="H37" s="51"/>
      <c r="I37" s="52"/>
    </row>
    <row r="38" spans="1:17">
      <c r="A38" s="69">
        <v>30</v>
      </c>
      <c r="B38" s="149"/>
      <c r="C38" s="54"/>
      <c r="D38" s="50"/>
      <c r="E38" s="10"/>
      <c r="F38" s="57"/>
      <c r="G38" s="50"/>
      <c r="H38" s="51"/>
      <c r="I38" s="52"/>
    </row>
    <row r="39" spans="1:17">
      <c r="D39" s="13"/>
      <c r="E39" s="137" t="s">
        <v>76</v>
      </c>
      <c r="F39" s="138">
        <f>F35+F28+F21+F14</f>
        <v>120</v>
      </c>
      <c r="G39" s="137"/>
      <c r="H39" s="139"/>
      <c r="I39" s="140">
        <f>I32+I25+I18+I10</f>
        <v>138</v>
      </c>
    </row>
    <row r="40" spans="1:17">
      <c r="I40" s="20"/>
    </row>
    <row r="41" spans="1:17">
      <c r="B41" s="19" t="s">
        <v>70</v>
      </c>
      <c r="C41" s="20"/>
      <c r="D41" s="21"/>
      <c r="E41" s="21"/>
      <c r="F41" s="21"/>
      <c r="G41" s="21"/>
      <c r="H41" s="20" t="s">
        <v>71</v>
      </c>
    </row>
    <row r="42" spans="1:17">
      <c r="B42" s="22" t="s">
        <v>72</v>
      </c>
      <c r="C42" s="20"/>
      <c r="D42" s="21"/>
      <c r="E42" s="21"/>
      <c r="F42" s="21"/>
      <c r="G42" s="21"/>
      <c r="H42" s="23" t="s">
        <v>73</v>
      </c>
    </row>
    <row r="43" spans="1:17">
      <c r="B43" s="13"/>
    </row>
  </sheetData>
  <mergeCells count="18">
    <mergeCell ref="A6:G6"/>
    <mergeCell ref="H6:I6"/>
    <mergeCell ref="A7:A8"/>
    <mergeCell ref="B7:B8"/>
    <mergeCell ref="C7:C8"/>
    <mergeCell ref="D7:D8"/>
    <mergeCell ref="E7:F7"/>
    <mergeCell ref="G7:G8"/>
    <mergeCell ref="H7:I7"/>
    <mergeCell ref="A5:G5"/>
    <mergeCell ref="A1:B2"/>
    <mergeCell ref="C1:F2"/>
    <mergeCell ref="G1:J1"/>
    <mergeCell ref="G2:J2"/>
    <mergeCell ref="A3:B4"/>
    <mergeCell ref="C3:F4"/>
    <mergeCell ref="G3:J3"/>
    <mergeCell ref="G4:J4"/>
  </mergeCells>
  <pageMargins left="0.7" right="0.7" top="0.75" bottom="0.75" header="0.3" footer="0.3"/>
  <pageSetup orientation="portrait" r:id="rId1"/>
  <legacyDrawing r:id="rId2"/>
  <oleObjects>
    <oleObject progId="PBrush" shapeId="2049" r:id="rId3"/>
  </oleObjects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theme="6" tint="-0.249977111117893"/>
  </sheetPr>
  <dimension ref="A1:P43"/>
  <sheetViews>
    <sheetView workbookViewId="0">
      <selection activeCell="N19" sqref="N19"/>
    </sheetView>
  </sheetViews>
  <sheetFormatPr defaultRowHeight="15"/>
  <cols>
    <col min="2" max="2" width="15.5703125" customWidth="1"/>
    <col min="9" max="9" width="14" customWidth="1"/>
  </cols>
  <sheetData>
    <row r="1" spans="1:15">
      <c r="A1" s="86" t="s">
        <v>160</v>
      </c>
      <c r="B1" s="87"/>
      <c r="C1" s="88" t="s">
        <v>161</v>
      </c>
      <c r="D1" s="89"/>
      <c r="E1" s="89"/>
      <c r="F1" s="89"/>
      <c r="G1" s="90" t="s">
        <v>162</v>
      </c>
      <c r="H1" s="90"/>
      <c r="I1" s="90"/>
      <c r="J1" s="90"/>
    </row>
    <row r="2" spans="1:15">
      <c r="A2" s="91"/>
      <c r="B2" s="92"/>
      <c r="C2" s="89"/>
      <c r="D2" s="89"/>
      <c r="E2" s="89"/>
      <c r="F2" s="89"/>
      <c r="G2" s="90" t="s">
        <v>254</v>
      </c>
      <c r="H2" s="90"/>
      <c r="I2" s="90"/>
      <c r="J2" s="90"/>
    </row>
    <row r="3" spans="1:15">
      <c r="A3" s="93"/>
      <c r="B3" s="94"/>
      <c r="C3" s="122" t="s">
        <v>164</v>
      </c>
      <c r="D3" s="123"/>
      <c r="E3" s="123"/>
      <c r="F3" s="124"/>
      <c r="G3" s="96" t="s">
        <v>163</v>
      </c>
      <c r="H3" s="96"/>
      <c r="I3" s="96"/>
      <c r="J3" s="96"/>
    </row>
    <row r="4" spans="1:15" ht="35.25" customHeight="1">
      <c r="A4" s="97"/>
      <c r="B4" s="98"/>
      <c r="C4" s="125"/>
      <c r="D4" s="126"/>
      <c r="E4" s="126"/>
      <c r="F4" s="127"/>
      <c r="G4" s="90">
        <v>1</v>
      </c>
      <c r="H4" s="90"/>
      <c r="I4" s="90"/>
      <c r="J4" s="90"/>
    </row>
    <row r="5" spans="1:15" ht="18">
      <c r="A5" s="119" t="s">
        <v>262</v>
      </c>
      <c r="B5" s="119"/>
      <c r="C5" s="119"/>
      <c r="D5" s="119"/>
      <c r="E5" s="119"/>
      <c r="F5" s="119"/>
      <c r="G5" s="119"/>
      <c r="H5" s="107"/>
      <c r="I5" s="107"/>
    </row>
    <row r="6" spans="1:15" ht="18">
      <c r="A6" s="121" t="s">
        <v>263</v>
      </c>
      <c r="B6" s="121"/>
      <c r="C6" s="121"/>
      <c r="D6" s="121"/>
      <c r="E6" s="121"/>
      <c r="F6" s="121"/>
      <c r="G6" s="121"/>
      <c r="H6" s="48"/>
      <c r="I6" s="68" t="s">
        <v>166</v>
      </c>
    </row>
    <row r="7" spans="1:15">
      <c r="A7" s="76" t="s">
        <v>0</v>
      </c>
      <c r="B7" s="76" t="s">
        <v>1</v>
      </c>
      <c r="C7" s="73" t="s">
        <v>2</v>
      </c>
      <c r="D7" s="73" t="s">
        <v>69</v>
      </c>
      <c r="E7" s="71" t="s">
        <v>66</v>
      </c>
      <c r="F7" s="72"/>
      <c r="G7" s="73" t="s">
        <v>67</v>
      </c>
      <c r="H7" s="71"/>
      <c r="I7" s="72"/>
    </row>
    <row r="8" spans="1:15">
      <c r="A8" s="77"/>
      <c r="B8" s="77"/>
      <c r="C8" s="74"/>
      <c r="D8" s="74"/>
      <c r="E8" s="5" t="s">
        <v>64</v>
      </c>
      <c r="F8" s="5" t="s">
        <v>3</v>
      </c>
      <c r="G8" s="74"/>
      <c r="H8" s="6" t="s">
        <v>4</v>
      </c>
      <c r="I8" s="6" t="s">
        <v>3</v>
      </c>
    </row>
    <row r="9" spans="1:15">
      <c r="A9" s="3">
        <v>1</v>
      </c>
      <c r="B9" s="7">
        <v>40550</v>
      </c>
      <c r="C9" s="64">
        <v>2</v>
      </c>
      <c r="D9" s="10"/>
      <c r="E9" s="10"/>
      <c r="F9" s="10"/>
      <c r="G9" s="65" t="s">
        <v>63</v>
      </c>
      <c r="H9" s="6" t="s">
        <v>264</v>
      </c>
      <c r="I9" s="114">
        <v>46</v>
      </c>
    </row>
    <row r="10" spans="1:15">
      <c r="A10" s="3">
        <v>2</v>
      </c>
      <c r="B10" s="7">
        <v>40581</v>
      </c>
      <c r="D10" s="2"/>
      <c r="F10" s="57"/>
      <c r="G10" s="2"/>
      <c r="H10" s="2"/>
    </row>
    <row r="11" spans="1:15">
      <c r="A11" s="3">
        <v>3</v>
      </c>
      <c r="B11" s="7">
        <v>40609</v>
      </c>
      <c r="C11" s="14"/>
      <c r="D11" s="53"/>
      <c r="E11" s="54"/>
      <c r="F11" s="57"/>
      <c r="G11" s="10"/>
      <c r="H11" s="51"/>
      <c r="I11" s="52"/>
    </row>
    <row r="12" spans="1:15">
      <c r="A12" s="3">
        <v>4</v>
      </c>
      <c r="B12" s="7">
        <v>40640</v>
      </c>
      <c r="C12" s="64">
        <v>2</v>
      </c>
      <c r="D12" s="65" t="s">
        <v>63</v>
      </c>
      <c r="E12" s="5" t="s">
        <v>265</v>
      </c>
      <c r="F12" s="129">
        <v>40</v>
      </c>
      <c r="G12" s="50"/>
      <c r="H12" s="51"/>
      <c r="I12" s="52"/>
      <c r="M12">
        <f>46*6</f>
        <v>276</v>
      </c>
    </row>
    <row r="13" spans="1:15">
      <c r="A13" s="3">
        <v>5</v>
      </c>
      <c r="B13" s="7">
        <v>40670</v>
      </c>
      <c r="C13" s="14"/>
      <c r="D13" s="10"/>
      <c r="E13" s="10"/>
      <c r="F13" s="55"/>
      <c r="G13" s="10"/>
      <c r="H13" s="51"/>
      <c r="I13" s="52"/>
    </row>
    <row r="14" spans="1:15">
      <c r="A14" s="3">
        <v>6</v>
      </c>
      <c r="B14" s="7">
        <v>40701</v>
      </c>
      <c r="C14" s="14"/>
      <c r="D14" s="53"/>
      <c r="E14" s="54"/>
      <c r="F14" s="55"/>
      <c r="G14" s="54"/>
      <c r="H14" s="53"/>
      <c r="I14" s="52"/>
      <c r="O14">
        <f>20*2</f>
        <v>40</v>
      </c>
    </row>
    <row r="15" spans="1:15">
      <c r="A15" s="3">
        <v>7</v>
      </c>
      <c r="B15" s="7">
        <v>40731</v>
      </c>
      <c r="C15" s="14"/>
      <c r="D15" s="10"/>
      <c r="E15" s="10"/>
      <c r="F15" s="57"/>
      <c r="G15" s="10"/>
      <c r="H15" s="51"/>
      <c r="I15" s="52"/>
    </row>
    <row r="16" spans="1:15">
      <c r="A16" s="3">
        <v>8</v>
      </c>
      <c r="B16" s="7">
        <v>40762</v>
      </c>
      <c r="C16" s="64">
        <v>2</v>
      </c>
      <c r="D16" s="2"/>
      <c r="E16" s="2"/>
      <c r="F16" s="2"/>
      <c r="G16" s="65" t="s">
        <v>63</v>
      </c>
      <c r="H16" s="6" t="s">
        <v>264</v>
      </c>
      <c r="I16" s="114">
        <v>46</v>
      </c>
    </row>
    <row r="17" spans="1:16">
      <c r="A17" s="3">
        <v>9</v>
      </c>
      <c r="B17" s="7">
        <v>40793</v>
      </c>
      <c r="C17" s="14"/>
      <c r="D17" s="53"/>
      <c r="E17" s="54"/>
      <c r="F17" s="57"/>
      <c r="G17" s="10"/>
      <c r="H17" s="51"/>
      <c r="I17" s="52"/>
    </row>
    <row r="18" spans="1:16">
      <c r="A18" s="3">
        <v>10</v>
      </c>
      <c r="B18" s="7">
        <v>40823</v>
      </c>
      <c r="C18" s="14"/>
      <c r="D18" s="10"/>
      <c r="E18" s="10"/>
      <c r="F18" s="57"/>
      <c r="G18" s="50"/>
      <c r="H18" s="51"/>
      <c r="I18" s="52"/>
      <c r="N18">
        <f>46*5</f>
        <v>230</v>
      </c>
    </row>
    <row r="19" spans="1:16">
      <c r="A19" s="3">
        <v>11</v>
      </c>
      <c r="B19" s="7">
        <v>40854</v>
      </c>
      <c r="C19" s="64">
        <v>2</v>
      </c>
      <c r="D19" s="65" t="s">
        <v>63</v>
      </c>
      <c r="E19" s="5" t="s">
        <v>265</v>
      </c>
      <c r="F19" s="129">
        <v>40</v>
      </c>
      <c r="G19" s="10"/>
      <c r="H19" s="51"/>
      <c r="I19" s="52"/>
      <c r="O19" s="65"/>
      <c r="P19" s="5"/>
    </row>
    <row r="20" spans="1:16">
      <c r="A20" s="3">
        <v>12</v>
      </c>
      <c r="B20" s="7">
        <v>40884</v>
      </c>
      <c r="D20" s="110"/>
      <c r="E20" s="50"/>
      <c r="F20" s="56"/>
      <c r="G20" s="2"/>
      <c r="H20" s="2"/>
      <c r="I20" s="2"/>
    </row>
    <row r="21" spans="1:16">
      <c r="A21" s="3">
        <v>13</v>
      </c>
      <c r="B21" s="7" t="s">
        <v>184</v>
      </c>
      <c r="C21" s="14"/>
      <c r="D21" s="53"/>
      <c r="E21" s="54"/>
      <c r="F21" s="55"/>
      <c r="G21" s="54"/>
      <c r="H21" s="53"/>
      <c r="I21" s="52"/>
    </row>
    <row r="22" spans="1:16">
      <c r="A22" s="3">
        <v>14</v>
      </c>
      <c r="B22" s="7" t="s">
        <v>185</v>
      </c>
      <c r="C22" s="14"/>
      <c r="D22" s="10"/>
      <c r="E22" s="10"/>
      <c r="F22" s="57"/>
      <c r="G22" s="10"/>
      <c r="H22" s="51"/>
      <c r="I22" s="52"/>
    </row>
    <row r="23" spans="1:16">
      <c r="A23" s="3">
        <v>15</v>
      </c>
      <c r="B23" s="7" t="s">
        <v>186</v>
      </c>
      <c r="C23" s="64">
        <v>2</v>
      </c>
      <c r="D23" s="2"/>
      <c r="E23" s="2"/>
      <c r="G23" s="65" t="s">
        <v>63</v>
      </c>
      <c r="H23" s="6" t="s">
        <v>264</v>
      </c>
      <c r="I23" s="114">
        <v>46</v>
      </c>
    </row>
    <row r="24" spans="1:16">
      <c r="A24" s="3">
        <v>16</v>
      </c>
      <c r="B24" s="7" t="s">
        <v>187</v>
      </c>
      <c r="C24" s="14"/>
      <c r="D24" s="53"/>
      <c r="E24" s="54"/>
      <c r="F24" s="57"/>
      <c r="G24" s="10"/>
      <c r="H24" s="51"/>
      <c r="I24" s="52"/>
    </row>
    <row r="25" spans="1:16">
      <c r="A25" s="3">
        <v>17</v>
      </c>
      <c r="B25" s="7" t="s">
        <v>188</v>
      </c>
      <c r="C25" s="14"/>
      <c r="D25" s="10"/>
      <c r="E25" s="10"/>
      <c r="F25" s="57"/>
      <c r="G25" s="50"/>
      <c r="H25" s="51"/>
      <c r="I25" s="52"/>
    </row>
    <row r="26" spans="1:16">
      <c r="A26" s="3">
        <v>18</v>
      </c>
      <c r="B26" s="7" t="s">
        <v>189</v>
      </c>
      <c r="C26" s="64">
        <v>2</v>
      </c>
      <c r="D26" s="65" t="s">
        <v>63</v>
      </c>
      <c r="E26" s="5" t="s">
        <v>265</v>
      </c>
      <c r="F26" s="129">
        <v>40</v>
      </c>
      <c r="G26" s="10"/>
      <c r="H26" s="51"/>
      <c r="I26" s="52"/>
    </row>
    <row r="27" spans="1:16">
      <c r="A27" s="3">
        <v>19</v>
      </c>
      <c r="B27" s="7" t="s">
        <v>190</v>
      </c>
      <c r="C27" s="2"/>
      <c r="D27" s="110"/>
      <c r="E27" s="50"/>
      <c r="F27" s="56"/>
      <c r="L27" s="64">
        <v>2</v>
      </c>
    </row>
    <row r="28" spans="1:16">
      <c r="A28" s="3">
        <v>20</v>
      </c>
      <c r="B28" s="7" t="s">
        <v>191</v>
      </c>
      <c r="C28" s="14"/>
      <c r="D28" s="53"/>
      <c r="E28" s="54"/>
      <c r="F28" s="55"/>
      <c r="G28" s="54"/>
      <c r="H28" s="53"/>
      <c r="I28" s="52"/>
    </row>
    <row r="29" spans="1:16">
      <c r="A29" s="3">
        <v>21</v>
      </c>
      <c r="B29" s="7" t="s">
        <v>192</v>
      </c>
      <c r="C29" s="14"/>
      <c r="D29" s="10"/>
      <c r="E29" s="10"/>
      <c r="F29" s="57"/>
      <c r="G29" s="10"/>
      <c r="H29" s="51"/>
      <c r="I29" s="52"/>
    </row>
    <row r="30" spans="1:16">
      <c r="A30" s="3">
        <v>22</v>
      </c>
      <c r="B30" s="7" t="s">
        <v>193</v>
      </c>
      <c r="C30" s="64">
        <v>2</v>
      </c>
      <c r="D30" s="50"/>
      <c r="E30" s="10"/>
      <c r="F30" s="57"/>
      <c r="G30" s="65" t="s">
        <v>63</v>
      </c>
      <c r="H30" s="6" t="s">
        <v>264</v>
      </c>
      <c r="I30" s="114">
        <v>46</v>
      </c>
    </row>
    <row r="31" spans="1:16">
      <c r="A31" s="3">
        <v>23</v>
      </c>
      <c r="B31" s="7" t="s">
        <v>194</v>
      </c>
      <c r="C31" s="14"/>
      <c r="D31" s="53"/>
      <c r="E31" s="54"/>
      <c r="F31" s="57"/>
      <c r="G31" s="10"/>
      <c r="H31" s="51"/>
      <c r="I31" s="52"/>
    </row>
    <row r="32" spans="1:16">
      <c r="A32" s="3">
        <v>24</v>
      </c>
      <c r="B32" s="7" t="s">
        <v>195</v>
      </c>
      <c r="C32" s="14"/>
      <c r="D32" s="10"/>
      <c r="E32" s="10"/>
      <c r="F32" s="57"/>
      <c r="G32" s="50"/>
      <c r="H32" s="51"/>
      <c r="I32" s="52"/>
    </row>
    <row r="33" spans="1:14">
      <c r="A33" s="3">
        <v>25</v>
      </c>
      <c r="B33" s="7" t="s">
        <v>196</v>
      </c>
      <c r="C33" s="64">
        <v>2</v>
      </c>
      <c r="D33" s="65" t="s">
        <v>63</v>
      </c>
      <c r="E33" s="5" t="s">
        <v>265</v>
      </c>
      <c r="F33" s="129">
        <v>40</v>
      </c>
      <c r="G33" s="50"/>
      <c r="H33" s="51"/>
      <c r="I33" s="52"/>
    </row>
    <row r="34" spans="1:14">
      <c r="A34" s="3">
        <v>26</v>
      </c>
      <c r="B34" s="7" t="s">
        <v>197</v>
      </c>
      <c r="C34" s="14"/>
      <c r="D34" s="10"/>
      <c r="E34" s="50"/>
      <c r="F34" s="56"/>
      <c r="G34" s="50"/>
      <c r="H34" s="51"/>
      <c r="I34" s="52"/>
    </row>
    <row r="35" spans="1:14">
      <c r="A35" s="3">
        <v>27</v>
      </c>
      <c r="B35" s="7" t="s">
        <v>198</v>
      </c>
      <c r="C35" s="14"/>
      <c r="D35" s="53"/>
      <c r="E35" s="54"/>
      <c r="F35" s="55"/>
      <c r="G35" s="54"/>
      <c r="H35" s="53"/>
      <c r="I35" s="52"/>
      <c r="N35">
        <f>23*2</f>
        <v>46</v>
      </c>
    </row>
    <row r="36" spans="1:14">
      <c r="A36" s="3">
        <v>28</v>
      </c>
      <c r="B36" s="7" t="s">
        <v>199</v>
      </c>
      <c r="C36" s="14"/>
      <c r="D36" s="10"/>
      <c r="E36" s="10"/>
      <c r="F36" s="57"/>
      <c r="G36" s="10"/>
      <c r="H36" s="51"/>
      <c r="I36" s="52"/>
    </row>
    <row r="37" spans="1:14">
      <c r="A37" s="3">
        <v>29</v>
      </c>
      <c r="B37" s="7" t="s">
        <v>200</v>
      </c>
      <c r="C37" s="64">
        <v>2</v>
      </c>
      <c r="D37" s="50"/>
      <c r="E37" s="10"/>
      <c r="F37" s="57"/>
      <c r="G37" s="65" t="s">
        <v>63</v>
      </c>
      <c r="H37" s="6" t="s">
        <v>264</v>
      </c>
      <c r="I37" s="114">
        <v>46</v>
      </c>
    </row>
    <row r="38" spans="1:14">
      <c r="A38" s="3">
        <v>30</v>
      </c>
      <c r="B38" s="7" t="s">
        <v>201</v>
      </c>
      <c r="C38" s="54"/>
      <c r="D38" s="50"/>
      <c r="E38" s="10"/>
      <c r="F38" s="57"/>
      <c r="G38" s="50"/>
      <c r="H38" s="51"/>
      <c r="I38" s="52"/>
    </row>
    <row r="39" spans="1:14">
      <c r="D39" s="13"/>
      <c r="E39" s="137" t="s">
        <v>76</v>
      </c>
      <c r="F39" s="138">
        <f>F33+F26+F19+F12</f>
        <v>160</v>
      </c>
      <c r="G39" s="137"/>
      <c r="H39" s="139"/>
      <c r="I39" s="140">
        <f>I37+I30+I23+I16+I9</f>
        <v>230</v>
      </c>
    </row>
    <row r="40" spans="1:14">
      <c r="I40" s="20"/>
    </row>
    <row r="41" spans="1:14">
      <c r="B41" s="19" t="s">
        <v>70</v>
      </c>
      <c r="C41" s="20"/>
      <c r="D41" s="21"/>
      <c r="E41" s="21"/>
      <c r="F41" s="21"/>
      <c r="G41" s="21"/>
      <c r="H41" s="20" t="s">
        <v>71</v>
      </c>
    </row>
    <row r="42" spans="1:14">
      <c r="B42" s="22" t="s">
        <v>72</v>
      </c>
      <c r="C42" s="20"/>
      <c r="D42" s="21"/>
      <c r="E42" s="21"/>
      <c r="F42" s="21"/>
      <c r="G42" s="21"/>
      <c r="H42" s="23" t="s">
        <v>73</v>
      </c>
    </row>
    <row r="43" spans="1:14">
      <c r="B43" s="13"/>
    </row>
  </sheetData>
  <mergeCells count="17">
    <mergeCell ref="H7:I7"/>
    <mergeCell ref="A5:G5"/>
    <mergeCell ref="A6:G6"/>
    <mergeCell ref="A7:A8"/>
    <mergeCell ref="B7:B8"/>
    <mergeCell ref="C7:C8"/>
    <mergeCell ref="D7:D8"/>
    <mergeCell ref="E7:F7"/>
    <mergeCell ref="G7:G8"/>
    <mergeCell ref="A1:B2"/>
    <mergeCell ref="C1:F2"/>
    <mergeCell ref="G1:J1"/>
    <mergeCell ref="G2:J2"/>
    <mergeCell ref="A3:B4"/>
    <mergeCell ref="C3:F4"/>
    <mergeCell ref="G3:J3"/>
    <mergeCell ref="G4:J4"/>
  </mergeCells>
  <pageMargins left="0" right="0" top="0.75" bottom="0.75" header="0.3" footer="0.3"/>
  <pageSetup orientation="portrait" r:id="rId1"/>
  <legacyDrawing r:id="rId2"/>
  <oleObjects>
    <oleObject progId="PBrush" shapeId="3073" r:id="rId3"/>
  </oleObjects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J43"/>
  <sheetViews>
    <sheetView topLeftCell="A22" workbookViewId="0">
      <selection activeCell="M39" sqref="M39"/>
    </sheetView>
  </sheetViews>
  <sheetFormatPr defaultRowHeight="15"/>
  <cols>
    <col min="2" max="2" width="15.5703125" customWidth="1"/>
    <col min="9" max="9" width="13.5703125" customWidth="1"/>
  </cols>
  <sheetData>
    <row r="1" spans="1:10">
      <c r="A1" s="86" t="s">
        <v>160</v>
      </c>
      <c r="B1" s="87"/>
      <c r="C1" s="88" t="s">
        <v>161</v>
      </c>
      <c r="D1" s="89"/>
      <c r="E1" s="89"/>
      <c r="F1" s="89"/>
      <c r="G1" s="90" t="s">
        <v>162</v>
      </c>
      <c r="H1" s="90"/>
      <c r="I1" s="90"/>
      <c r="J1" s="90"/>
    </row>
    <row r="2" spans="1:10">
      <c r="A2" s="91"/>
      <c r="B2" s="92"/>
      <c r="C2" s="89"/>
      <c r="D2" s="89"/>
      <c r="E2" s="89"/>
      <c r="F2" s="89"/>
      <c r="G2" s="90" t="s">
        <v>165</v>
      </c>
      <c r="H2" s="90"/>
      <c r="I2" s="90"/>
      <c r="J2" s="90"/>
    </row>
    <row r="3" spans="1:10">
      <c r="A3" s="93"/>
      <c r="B3" s="94"/>
      <c r="C3" s="101" t="s">
        <v>164</v>
      </c>
      <c r="D3" s="102"/>
      <c r="E3" s="102"/>
      <c r="F3" s="103"/>
      <c r="G3" s="96" t="s">
        <v>163</v>
      </c>
      <c r="H3" s="96"/>
      <c r="I3" s="96"/>
      <c r="J3" s="96"/>
    </row>
    <row r="4" spans="1:10" ht="48" customHeight="1">
      <c r="A4" s="97"/>
      <c r="B4" s="98"/>
      <c r="C4" s="104"/>
      <c r="D4" s="105"/>
      <c r="E4" s="105"/>
      <c r="F4" s="106"/>
      <c r="G4" s="90">
        <v>1</v>
      </c>
      <c r="H4" s="90"/>
      <c r="I4" s="90"/>
      <c r="J4" s="90"/>
    </row>
    <row r="5" spans="1:10" ht="18">
      <c r="A5" s="119" t="s">
        <v>261</v>
      </c>
      <c r="B5" s="119"/>
      <c r="C5" s="119"/>
      <c r="D5" s="119"/>
      <c r="E5" s="119"/>
      <c r="F5" s="119"/>
      <c r="G5" s="119"/>
      <c r="H5" s="107"/>
      <c r="I5" s="107"/>
    </row>
    <row r="6" spans="1:10" ht="18">
      <c r="A6" s="120" t="s">
        <v>258</v>
      </c>
      <c r="B6" s="120"/>
      <c r="C6" s="120"/>
      <c r="D6" s="120"/>
      <c r="E6" s="120"/>
      <c r="F6" s="120"/>
      <c r="G6" s="120"/>
      <c r="H6" s="120"/>
      <c r="I6" s="68" t="s">
        <v>166</v>
      </c>
    </row>
    <row r="7" spans="1:10">
      <c r="A7" s="76" t="s">
        <v>0</v>
      </c>
      <c r="B7" s="76" t="s">
        <v>1</v>
      </c>
      <c r="C7" s="73" t="s">
        <v>2</v>
      </c>
      <c r="D7" s="73" t="s">
        <v>69</v>
      </c>
      <c r="E7" s="71" t="s">
        <v>66</v>
      </c>
      <c r="F7" s="72"/>
      <c r="G7" s="73" t="s">
        <v>67</v>
      </c>
      <c r="H7" s="71"/>
      <c r="I7" s="72"/>
    </row>
    <row r="8" spans="1:10">
      <c r="A8" s="77"/>
      <c r="B8" s="77"/>
      <c r="C8" s="74"/>
      <c r="D8" s="74"/>
      <c r="E8" s="5" t="s">
        <v>64</v>
      </c>
      <c r="F8" s="5" t="s">
        <v>3</v>
      </c>
      <c r="G8" s="74"/>
      <c r="H8" s="6" t="s">
        <v>4</v>
      </c>
      <c r="I8" s="6" t="s">
        <v>3</v>
      </c>
    </row>
    <row r="9" spans="1:10">
      <c r="A9" s="3">
        <v>1</v>
      </c>
      <c r="B9" s="7">
        <v>40551</v>
      </c>
      <c r="C9" s="10"/>
      <c r="D9" s="10"/>
      <c r="E9" s="10"/>
      <c r="F9" s="10"/>
      <c r="G9" s="10"/>
      <c r="H9" s="51"/>
      <c r="I9" s="51"/>
    </row>
    <row r="10" spans="1:10">
      <c r="A10" s="3">
        <v>2</v>
      </c>
      <c r="B10" s="7">
        <v>40582</v>
      </c>
      <c r="C10" s="64">
        <v>2</v>
      </c>
      <c r="D10" s="65" t="s">
        <v>63</v>
      </c>
      <c r="E10" s="5" t="s">
        <v>265</v>
      </c>
      <c r="F10" s="115">
        <v>40</v>
      </c>
      <c r="G10" s="50"/>
      <c r="H10" s="51"/>
      <c r="I10" s="52"/>
    </row>
    <row r="11" spans="1:10">
      <c r="A11" s="3">
        <v>3</v>
      </c>
      <c r="B11" s="7">
        <v>40610</v>
      </c>
      <c r="C11" s="14"/>
      <c r="D11" s="53"/>
      <c r="E11" s="54"/>
      <c r="F11" s="57"/>
      <c r="G11" s="10"/>
      <c r="H11" s="51"/>
      <c r="I11" s="52"/>
    </row>
    <row r="12" spans="1:10">
      <c r="A12" s="3">
        <v>4</v>
      </c>
      <c r="B12" s="7">
        <v>40641</v>
      </c>
      <c r="C12" s="14"/>
      <c r="D12" s="10"/>
      <c r="E12" s="10"/>
      <c r="F12" s="57"/>
      <c r="G12" s="50"/>
      <c r="H12" s="51"/>
      <c r="I12" s="52"/>
    </row>
    <row r="13" spans="1:10">
      <c r="A13" s="3">
        <v>5</v>
      </c>
      <c r="B13" s="7">
        <v>40671</v>
      </c>
      <c r="C13" s="14"/>
      <c r="D13" s="10"/>
      <c r="E13" s="10"/>
      <c r="F13" s="55"/>
      <c r="G13" s="10"/>
      <c r="H13" s="51"/>
      <c r="I13" s="52"/>
    </row>
    <row r="14" spans="1:10">
      <c r="A14" s="3">
        <v>6</v>
      </c>
      <c r="B14" s="7">
        <v>40702</v>
      </c>
      <c r="C14" s="64">
        <v>2</v>
      </c>
      <c r="D14" s="53"/>
      <c r="E14" s="54"/>
      <c r="F14" s="55"/>
      <c r="G14" s="112" t="s">
        <v>63</v>
      </c>
      <c r="H14" s="113" t="s">
        <v>264</v>
      </c>
      <c r="I14" s="114">
        <v>46</v>
      </c>
    </row>
    <row r="15" spans="1:10">
      <c r="A15" s="3">
        <v>7</v>
      </c>
      <c r="B15" s="7">
        <v>40732</v>
      </c>
      <c r="C15" s="14"/>
      <c r="D15" s="10"/>
      <c r="E15" s="10"/>
      <c r="F15" s="57"/>
      <c r="G15" s="10"/>
      <c r="H15" s="51"/>
      <c r="I15" s="52"/>
    </row>
    <row r="16" spans="1:10">
      <c r="A16" s="3">
        <v>8</v>
      </c>
      <c r="B16" s="7">
        <v>40763</v>
      </c>
      <c r="D16" s="50"/>
      <c r="E16" s="10"/>
      <c r="F16" s="57"/>
      <c r="G16" s="50"/>
      <c r="H16" s="51"/>
      <c r="I16" s="52"/>
    </row>
    <row r="17" spans="1:9">
      <c r="A17" s="3">
        <v>9</v>
      </c>
      <c r="B17" s="7">
        <v>40794</v>
      </c>
      <c r="C17" s="64">
        <v>2</v>
      </c>
      <c r="D17" s="65" t="s">
        <v>63</v>
      </c>
      <c r="E17" s="5" t="s">
        <v>265</v>
      </c>
      <c r="F17" s="115">
        <v>40</v>
      </c>
      <c r="G17" s="10"/>
      <c r="H17" s="51"/>
      <c r="I17" s="52"/>
    </row>
    <row r="18" spans="1:9">
      <c r="A18" s="3">
        <v>10</v>
      </c>
      <c r="B18" s="7">
        <v>40824</v>
      </c>
      <c r="C18" s="14"/>
      <c r="D18" s="10"/>
      <c r="E18" s="10"/>
      <c r="F18" s="57"/>
      <c r="G18" s="50"/>
      <c r="H18" s="51"/>
      <c r="I18" s="52"/>
    </row>
    <row r="19" spans="1:9">
      <c r="A19" s="3">
        <v>11</v>
      </c>
      <c r="B19" s="7">
        <v>40855</v>
      </c>
      <c r="C19" s="14"/>
      <c r="D19" s="10"/>
      <c r="E19" s="10"/>
      <c r="F19" s="57"/>
      <c r="G19" s="10"/>
      <c r="H19" s="51"/>
      <c r="I19" s="52"/>
    </row>
    <row r="20" spans="1:9">
      <c r="A20" s="3">
        <v>12</v>
      </c>
      <c r="B20" s="7">
        <v>40885</v>
      </c>
      <c r="C20" s="2"/>
      <c r="D20" s="53"/>
      <c r="E20" s="50"/>
      <c r="F20" s="56"/>
      <c r="G20" s="2"/>
      <c r="H20" s="2"/>
      <c r="I20" s="2"/>
    </row>
    <row r="21" spans="1:9">
      <c r="A21" s="3">
        <v>13</v>
      </c>
      <c r="B21" s="7" t="s">
        <v>202</v>
      </c>
      <c r="C21" s="64">
        <v>2</v>
      </c>
      <c r="D21" s="53"/>
      <c r="E21" s="54"/>
      <c r="F21" s="55"/>
      <c r="G21" s="112" t="s">
        <v>63</v>
      </c>
      <c r="H21" s="113" t="s">
        <v>264</v>
      </c>
      <c r="I21" s="114">
        <v>46</v>
      </c>
    </row>
    <row r="22" spans="1:9">
      <c r="A22" s="3">
        <v>14</v>
      </c>
      <c r="B22" s="7" t="s">
        <v>203</v>
      </c>
      <c r="C22" s="14"/>
      <c r="D22" s="10"/>
      <c r="E22" s="10"/>
      <c r="F22" s="57"/>
      <c r="G22" s="10"/>
      <c r="H22" s="51"/>
      <c r="I22" s="52"/>
    </row>
    <row r="23" spans="1:9">
      <c r="A23" s="3">
        <v>15</v>
      </c>
      <c r="B23" s="7" t="s">
        <v>204</v>
      </c>
      <c r="C23" s="2"/>
      <c r="D23" s="2"/>
      <c r="E23" s="2"/>
      <c r="F23" s="2"/>
      <c r="G23" s="50"/>
      <c r="H23" s="51"/>
      <c r="I23" s="52"/>
    </row>
    <row r="24" spans="1:9">
      <c r="A24" s="3">
        <v>16</v>
      </c>
      <c r="B24" s="7" t="s">
        <v>205</v>
      </c>
      <c r="C24" s="64">
        <v>2</v>
      </c>
      <c r="D24" s="65" t="s">
        <v>63</v>
      </c>
      <c r="E24" s="5" t="s">
        <v>265</v>
      </c>
      <c r="F24" s="115">
        <v>40</v>
      </c>
      <c r="G24" s="10"/>
      <c r="H24" s="51"/>
      <c r="I24" s="52"/>
    </row>
    <row r="25" spans="1:9">
      <c r="A25" s="3">
        <v>17</v>
      </c>
      <c r="B25" s="7" t="s">
        <v>206</v>
      </c>
      <c r="C25" s="14"/>
      <c r="D25" s="10"/>
      <c r="E25" s="10"/>
      <c r="F25" s="57"/>
      <c r="G25" s="50"/>
      <c r="H25" s="51"/>
      <c r="I25" s="52"/>
    </row>
    <row r="26" spans="1:9">
      <c r="A26" s="3">
        <v>18</v>
      </c>
      <c r="B26" s="7" t="s">
        <v>207</v>
      </c>
      <c r="C26" s="14"/>
      <c r="D26" s="10"/>
      <c r="E26" s="10"/>
      <c r="F26" s="57"/>
      <c r="G26" s="10"/>
      <c r="H26" s="51"/>
      <c r="I26" s="52"/>
    </row>
    <row r="27" spans="1:9">
      <c r="A27" s="3">
        <v>19</v>
      </c>
      <c r="B27" s="7" t="s">
        <v>208</v>
      </c>
      <c r="C27" s="2"/>
      <c r="D27" s="53"/>
      <c r="E27" s="50"/>
      <c r="F27" s="56"/>
    </row>
    <row r="28" spans="1:9">
      <c r="A28" s="3">
        <v>20</v>
      </c>
      <c r="B28" s="7" t="s">
        <v>209</v>
      </c>
      <c r="C28" s="64">
        <v>2</v>
      </c>
      <c r="D28" s="53"/>
      <c r="E28" s="54"/>
      <c r="F28" s="55"/>
      <c r="G28" s="65" t="s">
        <v>63</v>
      </c>
      <c r="H28" s="6" t="s">
        <v>264</v>
      </c>
      <c r="I28" s="114">
        <v>46</v>
      </c>
    </row>
    <row r="29" spans="1:9">
      <c r="A29" s="3">
        <v>21</v>
      </c>
      <c r="B29" s="7" t="s">
        <v>210</v>
      </c>
      <c r="C29" s="14"/>
      <c r="D29" s="10"/>
      <c r="E29" s="10"/>
      <c r="F29" s="57"/>
      <c r="G29" s="10"/>
      <c r="H29" s="51"/>
      <c r="I29" s="52"/>
    </row>
    <row r="30" spans="1:9">
      <c r="A30" s="3">
        <v>22</v>
      </c>
      <c r="B30" s="7" t="s">
        <v>211</v>
      </c>
      <c r="G30" s="50"/>
      <c r="H30" s="51"/>
      <c r="I30" s="52"/>
    </row>
    <row r="31" spans="1:9">
      <c r="A31" s="3">
        <v>23</v>
      </c>
      <c r="B31" s="7" t="s">
        <v>212</v>
      </c>
      <c r="C31" s="64">
        <v>2</v>
      </c>
      <c r="D31" s="65" t="s">
        <v>63</v>
      </c>
      <c r="E31" s="5" t="s">
        <v>265</v>
      </c>
      <c r="F31" s="115">
        <v>40</v>
      </c>
      <c r="G31" s="10"/>
      <c r="H31" s="51"/>
      <c r="I31" s="52"/>
    </row>
    <row r="32" spans="1:9">
      <c r="A32" s="3">
        <v>24</v>
      </c>
      <c r="B32" s="7" t="s">
        <v>213</v>
      </c>
      <c r="C32" s="14"/>
      <c r="D32" s="10"/>
      <c r="E32" s="10"/>
      <c r="F32" s="57"/>
      <c r="G32" s="141"/>
      <c r="H32" s="142"/>
      <c r="I32" s="143"/>
    </row>
    <row r="33" spans="1:10">
      <c r="A33" s="3">
        <v>25</v>
      </c>
      <c r="B33" s="7" t="s">
        <v>214</v>
      </c>
      <c r="C33" s="54"/>
      <c r="D33" s="110"/>
      <c r="E33" s="10"/>
      <c r="F33" s="57"/>
      <c r="G33" s="2"/>
      <c r="H33" s="2"/>
      <c r="I33" s="2"/>
      <c r="J33" s="147"/>
    </row>
    <row r="34" spans="1:10">
      <c r="A34" s="3">
        <v>26</v>
      </c>
      <c r="B34" s="7" t="s">
        <v>215</v>
      </c>
      <c r="C34" s="14"/>
      <c r="D34" s="10"/>
      <c r="E34" s="50"/>
      <c r="F34" s="56"/>
      <c r="G34" s="144"/>
      <c r="H34" s="145"/>
      <c r="I34" s="146"/>
    </row>
    <row r="35" spans="1:10">
      <c r="A35" s="3">
        <v>27</v>
      </c>
      <c r="B35" s="7" t="s">
        <v>216</v>
      </c>
      <c r="C35" s="14"/>
      <c r="D35" s="53"/>
      <c r="E35" s="54"/>
      <c r="F35" s="55"/>
      <c r="G35" s="65" t="s">
        <v>63</v>
      </c>
      <c r="H35" s="6" t="s">
        <v>264</v>
      </c>
      <c r="I35" s="114">
        <v>46</v>
      </c>
    </row>
    <row r="36" spans="1:10">
      <c r="A36" s="3">
        <v>28</v>
      </c>
      <c r="B36" s="7" t="s">
        <v>217</v>
      </c>
      <c r="C36" s="14"/>
      <c r="D36" s="10"/>
      <c r="E36" s="10"/>
      <c r="F36" s="57"/>
      <c r="G36" s="10"/>
      <c r="H36" s="51"/>
      <c r="I36" s="52"/>
    </row>
    <row r="37" spans="1:10">
      <c r="A37" s="3">
        <v>29</v>
      </c>
      <c r="B37" s="7" t="s">
        <v>218</v>
      </c>
      <c r="C37" s="2"/>
      <c r="D37" s="2"/>
      <c r="E37" s="2"/>
      <c r="F37" s="2"/>
      <c r="G37" s="50"/>
      <c r="H37" s="51"/>
      <c r="I37" s="52"/>
    </row>
    <row r="38" spans="1:10">
      <c r="A38" s="3">
        <v>30</v>
      </c>
      <c r="B38" s="7" t="s">
        <v>219</v>
      </c>
      <c r="C38" s="64">
        <v>2</v>
      </c>
      <c r="D38" s="65" t="s">
        <v>63</v>
      </c>
      <c r="E38" s="5" t="s">
        <v>265</v>
      </c>
      <c r="F38" s="129">
        <v>40</v>
      </c>
      <c r="G38" s="50"/>
      <c r="H38" s="51"/>
      <c r="I38" s="52"/>
    </row>
    <row r="39" spans="1:10">
      <c r="D39" s="13"/>
      <c r="E39" s="137" t="s">
        <v>76</v>
      </c>
      <c r="F39" s="138">
        <f>F38+F31+F24+F17+F10</f>
        <v>200</v>
      </c>
      <c r="G39" s="137"/>
      <c r="H39" s="139"/>
      <c r="I39" s="140">
        <f>I35+I28+I21+I14</f>
        <v>184</v>
      </c>
    </row>
    <row r="40" spans="1:10">
      <c r="I40" s="20"/>
    </row>
    <row r="41" spans="1:10">
      <c r="B41" s="19" t="s">
        <v>70</v>
      </c>
      <c r="C41" s="20"/>
      <c r="D41" s="21"/>
      <c r="E41" s="21"/>
      <c r="F41" s="21"/>
      <c r="G41" s="21"/>
      <c r="H41" s="20" t="s">
        <v>71</v>
      </c>
    </row>
    <row r="42" spans="1:10">
      <c r="B42" s="22" t="s">
        <v>72</v>
      </c>
      <c r="C42" s="20"/>
      <c r="D42" s="21"/>
      <c r="E42" s="21"/>
      <c r="F42" s="21"/>
      <c r="G42" s="21"/>
      <c r="H42" s="23" t="s">
        <v>73</v>
      </c>
    </row>
    <row r="43" spans="1:10">
      <c r="B43" s="13"/>
    </row>
  </sheetData>
  <mergeCells count="17">
    <mergeCell ref="H7:I7"/>
    <mergeCell ref="A5:G5"/>
    <mergeCell ref="A6:H6"/>
    <mergeCell ref="A7:A8"/>
    <mergeCell ref="B7:B8"/>
    <mergeCell ref="C7:C8"/>
    <mergeCell ref="D7:D8"/>
    <mergeCell ref="E7:F7"/>
    <mergeCell ref="G7:G8"/>
    <mergeCell ref="A1:B2"/>
    <mergeCell ref="C1:F2"/>
    <mergeCell ref="G1:J1"/>
    <mergeCell ref="G2:J2"/>
    <mergeCell ref="A3:B4"/>
    <mergeCell ref="C3:F4"/>
    <mergeCell ref="G3:J3"/>
    <mergeCell ref="G4:J4"/>
  </mergeCells>
  <pageMargins left="0" right="0" top="0.75" bottom="0.75" header="0.3" footer="0.3"/>
  <pageSetup orientation="portrait" r:id="rId1"/>
  <legacyDrawing r:id="rId2"/>
  <oleObjects>
    <oleObject progId="PBrush" shapeId="4097" r:id="rId3"/>
  </oleObjects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7030A0"/>
  </sheetPr>
  <dimension ref="A1:N43"/>
  <sheetViews>
    <sheetView topLeftCell="A13" workbookViewId="0">
      <selection activeCell="M30" sqref="M30"/>
    </sheetView>
  </sheetViews>
  <sheetFormatPr defaultRowHeight="15"/>
  <cols>
    <col min="2" max="2" width="15.5703125" customWidth="1"/>
    <col min="9" max="9" width="13.5703125" customWidth="1"/>
    <col min="10" max="10" width="1.7109375" customWidth="1"/>
  </cols>
  <sheetData>
    <row r="1" spans="1:10">
      <c r="A1" s="86" t="s">
        <v>160</v>
      </c>
      <c r="B1" s="87"/>
      <c r="C1" s="128" t="s">
        <v>161</v>
      </c>
      <c r="D1" s="89"/>
      <c r="E1" s="89"/>
      <c r="F1" s="89"/>
      <c r="G1" s="90" t="s">
        <v>162</v>
      </c>
      <c r="H1" s="90"/>
      <c r="I1" s="90"/>
      <c r="J1" s="90"/>
    </row>
    <row r="2" spans="1:10">
      <c r="A2" s="91"/>
      <c r="B2" s="92"/>
      <c r="C2" s="89"/>
      <c r="D2" s="89"/>
      <c r="E2" s="89"/>
      <c r="F2" s="89"/>
      <c r="G2" s="90" t="s">
        <v>254</v>
      </c>
      <c r="H2" s="90"/>
      <c r="I2" s="90"/>
      <c r="J2" s="90"/>
    </row>
    <row r="3" spans="1:10">
      <c r="A3" s="93"/>
      <c r="B3" s="94"/>
      <c r="C3" s="122" t="s">
        <v>164</v>
      </c>
      <c r="D3" s="123"/>
      <c r="E3" s="123"/>
      <c r="F3" s="124"/>
      <c r="G3" s="96" t="s">
        <v>163</v>
      </c>
      <c r="H3" s="96"/>
      <c r="I3" s="96"/>
      <c r="J3" s="96"/>
    </row>
    <row r="4" spans="1:10" ht="37.5" customHeight="1">
      <c r="A4" s="97"/>
      <c r="B4" s="98"/>
      <c r="C4" s="125"/>
      <c r="D4" s="126"/>
      <c r="E4" s="126"/>
      <c r="F4" s="127"/>
      <c r="G4" s="90">
        <v>1</v>
      </c>
      <c r="H4" s="90"/>
      <c r="I4" s="90"/>
      <c r="J4" s="90"/>
    </row>
    <row r="5" spans="1:10" ht="18">
      <c r="A5" s="116" t="s">
        <v>257</v>
      </c>
      <c r="B5" s="116"/>
      <c r="C5" s="116"/>
      <c r="D5" s="116"/>
      <c r="E5" s="116"/>
      <c r="F5" s="116"/>
      <c r="G5" s="116"/>
      <c r="H5" s="116"/>
      <c r="I5" s="107"/>
    </row>
    <row r="6" spans="1:10" ht="18">
      <c r="A6" s="117" t="s">
        <v>258</v>
      </c>
      <c r="B6" s="117"/>
      <c r="C6" s="117"/>
      <c r="D6" s="117"/>
      <c r="E6" s="117"/>
      <c r="F6" s="117"/>
      <c r="G6" s="117"/>
      <c r="H6" s="118"/>
      <c r="I6" s="68" t="s">
        <v>166</v>
      </c>
    </row>
    <row r="7" spans="1:10">
      <c r="A7" s="76" t="s">
        <v>0</v>
      </c>
      <c r="B7" s="76" t="s">
        <v>1</v>
      </c>
      <c r="C7" s="73" t="s">
        <v>2</v>
      </c>
      <c r="D7" s="73" t="s">
        <v>69</v>
      </c>
      <c r="E7" s="71" t="s">
        <v>66</v>
      </c>
      <c r="F7" s="72"/>
      <c r="G7" s="73" t="s">
        <v>67</v>
      </c>
      <c r="H7" s="71"/>
      <c r="I7" s="72"/>
    </row>
    <row r="8" spans="1:10">
      <c r="A8" s="77"/>
      <c r="B8" s="77"/>
      <c r="C8" s="74"/>
      <c r="D8" s="74"/>
      <c r="E8" s="5" t="s">
        <v>64</v>
      </c>
      <c r="F8" s="5" t="s">
        <v>3</v>
      </c>
      <c r="G8" s="74"/>
      <c r="H8" s="6" t="s">
        <v>4</v>
      </c>
      <c r="I8" s="6" t="s">
        <v>3</v>
      </c>
    </row>
    <row r="9" spans="1:10">
      <c r="A9" s="3">
        <v>1</v>
      </c>
      <c r="B9" s="7">
        <v>40552</v>
      </c>
      <c r="C9" s="10"/>
      <c r="D9" s="10"/>
      <c r="E9" s="10"/>
      <c r="F9" s="10"/>
      <c r="G9" s="10"/>
      <c r="H9" s="51"/>
      <c r="I9" s="51"/>
    </row>
    <row r="10" spans="1:10">
      <c r="A10" s="3">
        <v>2</v>
      </c>
      <c r="B10" s="7">
        <v>40583</v>
      </c>
      <c r="C10" s="110"/>
      <c r="D10" s="50"/>
      <c r="E10" s="10"/>
      <c r="F10" s="57"/>
      <c r="G10" s="50"/>
      <c r="H10" s="51"/>
      <c r="I10" s="52"/>
    </row>
    <row r="11" spans="1:10">
      <c r="A11" s="3">
        <v>3</v>
      </c>
      <c r="B11" s="7">
        <v>40611</v>
      </c>
      <c r="C11" s="14"/>
      <c r="D11" s="53"/>
      <c r="E11" s="54"/>
      <c r="F11" s="57"/>
      <c r="G11" s="10"/>
      <c r="H11" s="51"/>
      <c r="I11" s="52"/>
    </row>
    <row r="12" spans="1:10">
      <c r="A12" s="3">
        <v>4</v>
      </c>
      <c r="B12" s="7">
        <v>40642</v>
      </c>
      <c r="C12" s="64">
        <v>2</v>
      </c>
      <c r="D12" s="10"/>
      <c r="E12" s="10"/>
      <c r="F12" s="57"/>
      <c r="G12" s="65" t="s">
        <v>63</v>
      </c>
      <c r="H12" s="6" t="s">
        <v>264</v>
      </c>
      <c r="I12" s="108">
        <v>46</v>
      </c>
    </row>
    <row r="13" spans="1:10">
      <c r="A13" s="3">
        <v>5</v>
      </c>
      <c r="B13" s="7">
        <v>40672</v>
      </c>
      <c r="C13" s="14"/>
      <c r="D13" s="10"/>
      <c r="E13" s="10"/>
      <c r="F13" s="55"/>
      <c r="G13" s="10"/>
      <c r="H13" s="51"/>
      <c r="I13" s="52"/>
    </row>
    <row r="14" spans="1:10">
      <c r="A14" s="3">
        <v>6</v>
      </c>
      <c r="B14" s="7">
        <v>40703</v>
      </c>
      <c r="C14" s="14"/>
      <c r="D14" s="53"/>
      <c r="E14" s="54"/>
      <c r="F14" s="55"/>
      <c r="G14" s="54"/>
      <c r="H14" s="53"/>
      <c r="I14" s="52"/>
    </row>
    <row r="15" spans="1:10">
      <c r="A15" s="3">
        <v>7</v>
      </c>
      <c r="B15" s="7">
        <v>40733</v>
      </c>
      <c r="C15" s="64">
        <v>2</v>
      </c>
      <c r="D15" s="65" t="s">
        <v>63</v>
      </c>
      <c r="E15" s="5" t="s">
        <v>265</v>
      </c>
      <c r="F15" s="115">
        <v>40</v>
      </c>
      <c r="G15" s="10"/>
      <c r="H15" s="51"/>
      <c r="I15" s="52"/>
    </row>
    <row r="16" spans="1:10">
      <c r="A16" s="3">
        <v>8</v>
      </c>
      <c r="B16" s="7">
        <v>40764</v>
      </c>
      <c r="C16" s="2"/>
      <c r="D16" s="2"/>
      <c r="E16" s="2"/>
      <c r="F16" s="2"/>
      <c r="G16" s="50"/>
      <c r="H16" s="51"/>
      <c r="I16" s="52"/>
    </row>
    <row r="17" spans="1:14">
      <c r="A17" s="3">
        <v>9</v>
      </c>
      <c r="B17" s="7">
        <v>40795</v>
      </c>
      <c r="C17" s="14"/>
      <c r="D17" s="53"/>
      <c r="E17" s="54"/>
      <c r="F17" s="57"/>
      <c r="G17" s="10"/>
      <c r="H17" s="51"/>
      <c r="I17" s="52"/>
    </row>
    <row r="18" spans="1:14">
      <c r="A18" s="3">
        <v>10</v>
      </c>
      <c r="B18" s="7">
        <v>40825</v>
      </c>
      <c r="C18" s="14"/>
      <c r="D18" s="10"/>
      <c r="E18" s="10"/>
      <c r="F18" s="57"/>
      <c r="G18" s="50"/>
      <c r="H18" s="51"/>
      <c r="I18" s="52"/>
    </row>
    <row r="19" spans="1:14">
      <c r="A19" s="3">
        <v>11</v>
      </c>
      <c r="B19" s="7">
        <v>40856</v>
      </c>
      <c r="C19" s="64">
        <v>2</v>
      </c>
      <c r="D19" s="10"/>
      <c r="E19" s="10"/>
      <c r="F19" s="57"/>
      <c r="G19" s="65" t="s">
        <v>63</v>
      </c>
      <c r="H19" s="6" t="s">
        <v>264</v>
      </c>
      <c r="I19" s="108">
        <v>46</v>
      </c>
    </row>
    <row r="20" spans="1:14">
      <c r="A20" s="3">
        <v>12</v>
      </c>
      <c r="B20" s="7">
        <v>40886</v>
      </c>
      <c r="C20" s="54"/>
      <c r="D20" s="110"/>
      <c r="E20" s="50"/>
      <c r="F20" s="56"/>
      <c r="G20" s="2"/>
      <c r="H20" s="2"/>
      <c r="I20" s="2"/>
    </row>
    <row r="21" spans="1:14">
      <c r="A21" s="3">
        <v>13</v>
      </c>
      <c r="B21" s="7" t="s">
        <v>220</v>
      </c>
      <c r="C21" s="14"/>
      <c r="D21" s="53"/>
      <c r="E21" s="54"/>
      <c r="F21" s="55"/>
      <c r="G21" s="54"/>
      <c r="H21" s="53"/>
      <c r="I21" s="52"/>
    </row>
    <row r="22" spans="1:14">
      <c r="A22" s="3">
        <v>14</v>
      </c>
      <c r="B22" s="7" t="s">
        <v>221</v>
      </c>
      <c r="C22" s="64">
        <v>2</v>
      </c>
      <c r="D22" s="65" t="s">
        <v>63</v>
      </c>
      <c r="E22" s="5" t="s">
        <v>265</v>
      </c>
      <c r="F22" s="115">
        <v>40</v>
      </c>
      <c r="G22" s="10"/>
      <c r="H22" s="51"/>
      <c r="I22" s="52"/>
    </row>
    <row r="23" spans="1:14">
      <c r="A23" s="3">
        <v>15</v>
      </c>
      <c r="B23" s="7" t="s">
        <v>222</v>
      </c>
      <c r="C23" s="2"/>
      <c r="D23" s="2"/>
      <c r="E23" s="2"/>
      <c r="F23" s="2"/>
      <c r="G23" s="50"/>
      <c r="H23" s="51"/>
      <c r="I23" s="52"/>
    </row>
    <row r="24" spans="1:14">
      <c r="A24" s="3">
        <v>16</v>
      </c>
      <c r="B24" s="7" t="s">
        <v>223</v>
      </c>
      <c r="C24" s="14"/>
      <c r="D24" s="53"/>
      <c r="E24" s="54"/>
      <c r="F24" s="57"/>
      <c r="G24" s="10"/>
      <c r="H24" s="51"/>
      <c r="I24" s="52"/>
    </row>
    <row r="25" spans="1:14">
      <c r="A25" s="3">
        <v>17</v>
      </c>
      <c r="B25" s="7" t="s">
        <v>224</v>
      </c>
      <c r="C25" s="14"/>
      <c r="D25" s="10"/>
      <c r="E25" s="10"/>
      <c r="F25" s="57"/>
      <c r="G25" s="50"/>
      <c r="H25" s="51"/>
      <c r="I25" s="52"/>
    </row>
    <row r="26" spans="1:14">
      <c r="A26" s="3">
        <v>18</v>
      </c>
      <c r="B26" s="7" t="s">
        <v>225</v>
      </c>
      <c r="C26" s="64">
        <v>2</v>
      </c>
      <c r="D26" s="10"/>
      <c r="E26" s="10"/>
      <c r="F26" s="57"/>
      <c r="G26" s="65" t="s">
        <v>63</v>
      </c>
      <c r="H26" s="6" t="s">
        <v>264</v>
      </c>
      <c r="I26" s="108">
        <v>46</v>
      </c>
      <c r="N26">
        <f>20*2</f>
        <v>40</v>
      </c>
    </row>
    <row r="27" spans="1:14">
      <c r="A27" s="3">
        <v>19</v>
      </c>
      <c r="B27" s="7" t="s">
        <v>226</v>
      </c>
      <c r="C27" s="2"/>
      <c r="D27" s="53"/>
      <c r="E27" s="50"/>
      <c r="F27" s="56"/>
      <c r="G27" s="2"/>
      <c r="H27" s="2"/>
      <c r="I27" s="2"/>
    </row>
    <row r="28" spans="1:14">
      <c r="A28" s="3">
        <v>20</v>
      </c>
      <c r="B28" s="7" t="s">
        <v>227</v>
      </c>
      <c r="C28" s="14"/>
      <c r="D28" s="53"/>
      <c r="E28" s="54"/>
      <c r="F28" s="55"/>
      <c r="G28" s="54"/>
      <c r="H28" s="53"/>
      <c r="I28" s="52"/>
    </row>
    <row r="29" spans="1:14">
      <c r="A29" s="3">
        <v>21</v>
      </c>
      <c r="B29" s="7" t="s">
        <v>228</v>
      </c>
      <c r="C29" s="64">
        <v>2</v>
      </c>
      <c r="D29" s="65" t="s">
        <v>63</v>
      </c>
      <c r="E29" s="5" t="s">
        <v>265</v>
      </c>
      <c r="F29" s="115">
        <v>40</v>
      </c>
      <c r="G29" s="10"/>
      <c r="H29" s="51"/>
      <c r="I29" s="52"/>
    </row>
    <row r="30" spans="1:14">
      <c r="A30" s="3">
        <v>22</v>
      </c>
      <c r="B30" s="7" t="s">
        <v>229</v>
      </c>
      <c r="C30" s="2"/>
      <c r="D30" s="2"/>
      <c r="E30" s="2"/>
      <c r="F30" s="2"/>
      <c r="G30" s="50"/>
      <c r="H30" s="51"/>
      <c r="I30" s="52"/>
    </row>
    <row r="31" spans="1:14">
      <c r="A31" s="3">
        <v>23</v>
      </c>
      <c r="B31" s="7" t="s">
        <v>230</v>
      </c>
      <c r="C31" s="14"/>
      <c r="D31" s="53"/>
      <c r="E31" s="54"/>
      <c r="F31" s="57"/>
      <c r="G31" s="10"/>
      <c r="H31" s="51"/>
      <c r="I31" s="52"/>
    </row>
    <row r="32" spans="1:14">
      <c r="A32" s="3">
        <v>24</v>
      </c>
      <c r="B32" s="7" t="s">
        <v>231</v>
      </c>
      <c r="C32" s="14"/>
      <c r="D32" s="10"/>
      <c r="E32" s="10"/>
      <c r="F32" s="57"/>
      <c r="G32" s="50"/>
      <c r="H32" s="51"/>
      <c r="I32" s="52"/>
    </row>
    <row r="33" spans="1:9">
      <c r="A33" s="3">
        <v>25</v>
      </c>
      <c r="B33" s="7" t="s">
        <v>232</v>
      </c>
      <c r="C33" s="64">
        <v>2</v>
      </c>
      <c r="D33" s="110"/>
      <c r="E33" s="10"/>
      <c r="F33" s="57"/>
      <c r="G33" s="65" t="s">
        <v>63</v>
      </c>
      <c r="H33" s="6" t="s">
        <v>264</v>
      </c>
      <c r="I33" s="108">
        <v>46</v>
      </c>
    </row>
    <row r="34" spans="1:9">
      <c r="A34" s="3">
        <v>26</v>
      </c>
      <c r="B34" s="7" t="s">
        <v>233</v>
      </c>
      <c r="C34" s="14"/>
      <c r="D34" s="10"/>
      <c r="E34" s="50"/>
      <c r="F34" s="56"/>
      <c r="G34" s="50"/>
      <c r="H34" s="51"/>
      <c r="I34" s="52"/>
    </row>
    <row r="35" spans="1:9">
      <c r="A35" s="3">
        <v>27</v>
      </c>
      <c r="B35" s="7" t="s">
        <v>234</v>
      </c>
      <c r="C35" s="14"/>
      <c r="D35" s="53"/>
      <c r="E35" s="54"/>
      <c r="F35" s="55"/>
      <c r="G35" s="54"/>
      <c r="H35" s="53"/>
      <c r="I35" s="52"/>
    </row>
    <row r="36" spans="1:9">
      <c r="A36" s="3">
        <v>28</v>
      </c>
      <c r="B36" s="7" t="s">
        <v>235</v>
      </c>
      <c r="C36" s="64">
        <v>2</v>
      </c>
      <c r="D36" s="65" t="s">
        <v>63</v>
      </c>
      <c r="E36" s="5" t="s">
        <v>265</v>
      </c>
      <c r="F36" s="115">
        <v>40</v>
      </c>
      <c r="G36" s="10"/>
      <c r="H36" s="51"/>
      <c r="I36" s="52"/>
    </row>
    <row r="37" spans="1:9">
      <c r="A37" s="3">
        <v>29</v>
      </c>
      <c r="B37" s="7" t="s">
        <v>236</v>
      </c>
      <c r="C37" s="2"/>
      <c r="D37" s="2"/>
      <c r="E37" s="2"/>
      <c r="G37" s="50"/>
      <c r="H37" s="51"/>
      <c r="I37" s="52"/>
    </row>
    <row r="38" spans="1:9">
      <c r="A38" s="3">
        <v>30</v>
      </c>
      <c r="B38" s="7" t="s">
        <v>237</v>
      </c>
      <c r="C38" s="54"/>
      <c r="D38" s="50"/>
      <c r="E38" s="10"/>
      <c r="F38" s="57"/>
      <c r="G38" s="50"/>
      <c r="H38" s="51"/>
      <c r="I38" s="52"/>
    </row>
    <row r="39" spans="1:9">
      <c r="D39" s="13"/>
      <c r="E39" s="137" t="s">
        <v>76</v>
      </c>
      <c r="F39" s="138">
        <f>F36+F29+F22+F15</f>
        <v>160</v>
      </c>
      <c r="G39" s="137"/>
      <c r="H39" s="139"/>
      <c r="I39" s="140">
        <f>I33+I26+I19+I12</f>
        <v>184</v>
      </c>
    </row>
    <row r="40" spans="1:9">
      <c r="E40" s="139"/>
      <c r="F40" s="139"/>
      <c r="G40" s="139"/>
      <c r="H40" s="139"/>
      <c r="I40" s="139"/>
    </row>
    <row r="41" spans="1:9">
      <c r="B41" s="19" t="s">
        <v>70</v>
      </c>
      <c r="C41" s="20"/>
      <c r="D41" s="21"/>
      <c r="E41" s="21"/>
      <c r="F41" s="21"/>
      <c r="G41" s="21"/>
      <c r="H41" s="20" t="s">
        <v>71</v>
      </c>
    </row>
    <row r="42" spans="1:9">
      <c r="B42" s="22" t="s">
        <v>72</v>
      </c>
      <c r="C42" s="20"/>
      <c r="D42" s="21"/>
      <c r="E42" s="21"/>
      <c r="F42" s="21"/>
      <c r="G42" s="21"/>
      <c r="H42" s="23" t="s">
        <v>73</v>
      </c>
    </row>
    <row r="43" spans="1:9">
      <c r="B43" s="13"/>
    </row>
  </sheetData>
  <mergeCells count="17">
    <mergeCell ref="H7:I7"/>
    <mergeCell ref="A5:H5"/>
    <mergeCell ref="A6:G6"/>
    <mergeCell ref="A7:A8"/>
    <mergeCell ref="B7:B8"/>
    <mergeCell ref="C7:C8"/>
    <mergeCell ref="D7:D8"/>
    <mergeCell ref="E7:F7"/>
    <mergeCell ref="G7:G8"/>
    <mergeCell ref="A1:B2"/>
    <mergeCell ref="C1:F2"/>
    <mergeCell ref="G1:J1"/>
    <mergeCell ref="G2:J2"/>
    <mergeCell ref="A3:B4"/>
    <mergeCell ref="C3:F4"/>
    <mergeCell ref="G3:J3"/>
    <mergeCell ref="G4:J4"/>
  </mergeCells>
  <pageMargins left="0" right="0" top="0.75" bottom="0.75" header="0.3" footer="0.3"/>
  <pageSetup orientation="portrait" r:id="rId1"/>
  <legacyDrawing r:id="rId2"/>
  <oleObjects>
    <oleObject progId="PBrush" shapeId="5121" r:id="rId3"/>
  </oleObjects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00B0F0"/>
  </sheetPr>
  <dimension ref="A1:R56"/>
  <sheetViews>
    <sheetView topLeftCell="A10" workbookViewId="0">
      <selection activeCell="P51" sqref="P51"/>
    </sheetView>
  </sheetViews>
  <sheetFormatPr defaultRowHeight="15"/>
  <cols>
    <col min="2" max="2" width="15.5703125" customWidth="1"/>
    <col min="4" max="4" width="8.5703125" customWidth="1"/>
    <col min="9" max="9" width="13.5703125" customWidth="1"/>
    <col min="10" max="10" width="1.7109375" customWidth="1"/>
  </cols>
  <sheetData>
    <row r="1" spans="1:18">
      <c r="A1" s="86" t="s">
        <v>160</v>
      </c>
      <c r="B1" s="87"/>
      <c r="C1" s="88" t="s">
        <v>161</v>
      </c>
      <c r="D1" s="89"/>
      <c r="E1" s="89"/>
      <c r="F1" s="89"/>
      <c r="G1" s="90" t="s">
        <v>162</v>
      </c>
      <c r="H1" s="90"/>
      <c r="I1" s="90"/>
      <c r="J1" s="90"/>
    </row>
    <row r="2" spans="1:18">
      <c r="A2" s="91"/>
      <c r="B2" s="92"/>
      <c r="C2" s="89"/>
      <c r="D2" s="89"/>
      <c r="E2" s="89"/>
      <c r="F2" s="89"/>
      <c r="G2" s="90" t="s">
        <v>254</v>
      </c>
      <c r="H2" s="90"/>
      <c r="I2" s="90"/>
      <c r="J2" s="90"/>
    </row>
    <row r="3" spans="1:18">
      <c r="A3" s="93"/>
      <c r="B3" s="94"/>
      <c r="C3" s="122" t="s">
        <v>164</v>
      </c>
      <c r="D3" s="123"/>
      <c r="E3" s="123"/>
      <c r="F3" s="124"/>
      <c r="G3" s="96" t="s">
        <v>163</v>
      </c>
      <c r="H3" s="96"/>
      <c r="I3" s="96"/>
      <c r="J3" s="96"/>
    </row>
    <row r="4" spans="1:18" ht="45.75" customHeight="1">
      <c r="A4" s="97"/>
      <c r="B4" s="98"/>
      <c r="C4" s="125"/>
      <c r="D4" s="126"/>
      <c r="E4" s="126"/>
      <c r="F4" s="127"/>
      <c r="G4" s="90">
        <v>1</v>
      </c>
      <c r="H4" s="90"/>
      <c r="I4" s="90"/>
      <c r="J4" s="90"/>
    </row>
    <row r="5" spans="1:18" ht="18">
      <c r="A5" s="134" t="s">
        <v>255</v>
      </c>
      <c r="B5" s="134"/>
      <c r="C5" s="134"/>
      <c r="D5" s="134"/>
      <c r="E5" s="135"/>
      <c r="F5" s="135"/>
      <c r="G5" s="135"/>
      <c r="H5" s="107"/>
      <c r="I5" s="107"/>
    </row>
    <row r="6" spans="1:18" ht="18">
      <c r="A6" s="136" t="s">
        <v>256</v>
      </c>
      <c r="B6" s="136"/>
      <c r="C6" s="136"/>
      <c r="D6" s="136"/>
      <c r="E6" s="136"/>
      <c r="F6" s="136"/>
      <c r="G6" s="136"/>
      <c r="H6" s="48"/>
      <c r="I6" s="68" t="s">
        <v>166</v>
      </c>
    </row>
    <row r="7" spans="1:18">
      <c r="A7" s="76" t="s">
        <v>0</v>
      </c>
      <c r="B7" s="76" t="s">
        <v>1</v>
      </c>
      <c r="C7" s="73" t="s">
        <v>2</v>
      </c>
      <c r="D7" s="73" t="s">
        <v>69</v>
      </c>
      <c r="E7" s="71" t="s">
        <v>66</v>
      </c>
      <c r="F7" s="72"/>
      <c r="G7" s="73" t="s">
        <v>67</v>
      </c>
      <c r="H7" s="71"/>
      <c r="I7" s="72"/>
    </row>
    <row r="8" spans="1:18">
      <c r="A8" s="77"/>
      <c r="B8" s="77"/>
      <c r="C8" s="74"/>
      <c r="D8" s="74"/>
      <c r="E8" s="5" t="s">
        <v>64</v>
      </c>
      <c r="F8" s="5" t="s">
        <v>3</v>
      </c>
      <c r="G8" s="74"/>
      <c r="H8" s="6" t="s">
        <v>4</v>
      </c>
      <c r="I8" s="6" t="s">
        <v>3</v>
      </c>
    </row>
    <row r="9" spans="1:18">
      <c r="A9" s="3">
        <v>1</v>
      </c>
      <c r="B9" s="7">
        <v>40553</v>
      </c>
      <c r="C9" s="10"/>
      <c r="D9" s="10"/>
      <c r="E9" s="10"/>
      <c r="F9" s="10"/>
      <c r="G9" s="10"/>
      <c r="H9" s="51"/>
      <c r="I9" s="51"/>
      <c r="O9" s="64">
        <v>2</v>
      </c>
      <c r="P9" s="65" t="s">
        <v>63</v>
      </c>
      <c r="Q9" s="5" t="s">
        <v>65</v>
      </c>
      <c r="R9" s="57">
        <v>30</v>
      </c>
    </row>
    <row r="10" spans="1:18">
      <c r="A10" s="3">
        <v>2</v>
      </c>
      <c r="B10" s="7">
        <v>40584</v>
      </c>
      <c r="C10" s="64">
        <v>2</v>
      </c>
      <c r="D10" s="2"/>
      <c r="E10" s="2"/>
      <c r="F10" s="2"/>
      <c r="G10" s="65" t="s">
        <v>63</v>
      </c>
      <c r="H10" s="6" t="s">
        <v>264</v>
      </c>
      <c r="I10" s="108">
        <v>46</v>
      </c>
    </row>
    <row r="11" spans="1:18">
      <c r="A11" s="3">
        <v>3</v>
      </c>
      <c r="B11" s="7">
        <v>40612</v>
      </c>
      <c r="C11" s="14"/>
      <c r="D11" s="53"/>
      <c r="E11" s="54"/>
      <c r="F11" s="57"/>
      <c r="G11" s="10"/>
      <c r="H11" s="51"/>
      <c r="I11" s="52"/>
    </row>
    <row r="12" spans="1:18">
      <c r="A12" s="3">
        <v>4</v>
      </c>
      <c r="B12" s="7">
        <v>40643</v>
      </c>
      <c r="C12" s="14"/>
      <c r="D12" s="10"/>
      <c r="E12" s="10"/>
      <c r="F12" s="57"/>
      <c r="G12" s="50"/>
      <c r="H12" s="51"/>
      <c r="I12" s="52"/>
    </row>
    <row r="13" spans="1:18">
      <c r="A13" s="3">
        <v>5</v>
      </c>
      <c r="B13" s="7">
        <v>40673</v>
      </c>
      <c r="C13" s="64">
        <v>2</v>
      </c>
      <c r="D13" s="65" t="s">
        <v>63</v>
      </c>
      <c r="E13" s="5" t="s">
        <v>265</v>
      </c>
      <c r="F13" s="115">
        <v>40</v>
      </c>
      <c r="G13" s="10"/>
      <c r="H13" s="51"/>
      <c r="I13" s="52"/>
    </row>
    <row r="14" spans="1:18">
      <c r="A14" s="3">
        <v>6</v>
      </c>
      <c r="B14" s="7">
        <v>40704</v>
      </c>
      <c r="C14" s="14"/>
      <c r="D14" s="53"/>
      <c r="E14" s="54"/>
      <c r="F14" s="55"/>
      <c r="G14" s="54"/>
      <c r="H14" s="53"/>
      <c r="I14" s="52"/>
    </row>
    <row r="15" spans="1:18">
      <c r="A15" s="3">
        <v>7</v>
      </c>
      <c r="B15" s="7">
        <v>40734</v>
      </c>
      <c r="C15" s="14"/>
      <c r="D15" s="10"/>
      <c r="E15" s="10"/>
      <c r="F15" s="57"/>
      <c r="G15" s="10"/>
      <c r="H15" s="51"/>
      <c r="I15" s="52"/>
    </row>
    <row r="16" spans="1:18">
      <c r="A16" s="3">
        <v>8</v>
      </c>
      <c r="B16" s="7">
        <v>40765</v>
      </c>
      <c r="C16" s="2"/>
      <c r="D16" s="2"/>
      <c r="E16" s="2"/>
      <c r="F16" s="2"/>
      <c r="G16" s="50"/>
      <c r="H16" s="51"/>
      <c r="I16" s="52"/>
    </row>
    <row r="17" spans="1:18">
      <c r="A17" s="3">
        <v>9</v>
      </c>
      <c r="B17" s="7">
        <v>40796</v>
      </c>
      <c r="C17" s="64">
        <v>2</v>
      </c>
      <c r="D17" s="53"/>
      <c r="E17" s="54"/>
      <c r="F17" s="57"/>
      <c r="G17" s="65" t="s">
        <v>63</v>
      </c>
      <c r="H17" s="6" t="s">
        <v>264</v>
      </c>
      <c r="I17" s="108">
        <v>46</v>
      </c>
      <c r="O17" s="64">
        <v>2</v>
      </c>
      <c r="P17" s="65" t="s">
        <v>63</v>
      </c>
      <c r="Q17" s="5" t="s">
        <v>65</v>
      </c>
      <c r="R17" s="57">
        <v>30</v>
      </c>
    </row>
    <row r="18" spans="1:18">
      <c r="A18" s="3">
        <v>10</v>
      </c>
      <c r="B18" s="7">
        <v>40826</v>
      </c>
      <c r="C18" s="14"/>
      <c r="D18" s="10"/>
      <c r="E18" s="10"/>
      <c r="F18" s="57"/>
      <c r="G18" s="50"/>
      <c r="H18" s="51"/>
      <c r="I18" s="52"/>
    </row>
    <row r="19" spans="1:18">
      <c r="A19" s="3">
        <v>11</v>
      </c>
      <c r="B19" s="7">
        <v>40857</v>
      </c>
      <c r="C19" s="14"/>
      <c r="D19" s="10"/>
      <c r="E19" s="10"/>
      <c r="F19" s="57"/>
      <c r="G19" s="10"/>
      <c r="H19" s="51"/>
      <c r="I19" s="52"/>
    </row>
    <row r="20" spans="1:18">
      <c r="A20" s="3">
        <v>12</v>
      </c>
      <c r="B20" s="7">
        <v>40887</v>
      </c>
      <c r="C20" s="64">
        <v>2</v>
      </c>
      <c r="D20" s="65" t="s">
        <v>63</v>
      </c>
      <c r="E20" s="5" t="s">
        <v>265</v>
      </c>
      <c r="F20" s="115">
        <v>40</v>
      </c>
      <c r="G20" s="2"/>
      <c r="H20" s="2"/>
      <c r="I20" s="2"/>
    </row>
    <row r="21" spans="1:18">
      <c r="A21" s="3">
        <v>13</v>
      </c>
      <c r="B21" s="7" t="s">
        <v>238</v>
      </c>
      <c r="C21" s="14"/>
      <c r="D21" s="53"/>
      <c r="E21" s="54"/>
      <c r="F21" s="55"/>
      <c r="G21" s="54"/>
      <c r="H21" s="53"/>
      <c r="I21" s="52"/>
    </row>
    <row r="22" spans="1:18">
      <c r="A22" s="3">
        <v>14</v>
      </c>
      <c r="B22" s="7" t="s">
        <v>239</v>
      </c>
      <c r="C22" s="14"/>
      <c r="D22" s="10"/>
      <c r="E22" s="10"/>
      <c r="F22" s="57"/>
      <c r="G22" s="10"/>
      <c r="H22" s="51"/>
      <c r="I22" s="52"/>
    </row>
    <row r="23" spans="1:18">
      <c r="A23" s="3">
        <v>15</v>
      </c>
      <c r="B23" s="7" t="s">
        <v>240</v>
      </c>
      <c r="C23" s="2"/>
      <c r="D23" s="2"/>
      <c r="E23" s="2"/>
      <c r="F23" s="2"/>
      <c r="G23" s="50"/>
      <c r="H23" s="51"/>
      <c r="I23" s="52"/>
    </row>
    <row r="24" spans="1:18">
      <c r="A24" s="3">
        <v>16</v>
      </c>
      <c r="B24" s="7" t="s">
        <v>241</v>
      </c>
      <c r="C24" s="64">
        <v>2</v>
      </c>
      <c r="D24" s="53"/>
      <c r="E24" s="54"/>
      <c r="F24" s="57"/>
      <c r="G24" s="65" t="s">
        <v>63</v>
      </c>
      <c r="H24" s="6" t="s">
        <v>264</v>
      </c>
      <c r="I24" s="108">
        <v>46</v>
      </c>
    </row>
    <row r="25" spans="1:18">
      <c r="A25" s="3">
        <v>17</v>
      </c>
      <c r="B25" s="7" t="s">
        <v>242</v>
      </c>
      <c r="C25" s="14"/>
      <c r="D25" s="10"/>
      <c r="E25" s="10"/>
      <c r="F25" s="57"/>
      <c r="G25" s="50"/>
      <c r="H25" s="51"/>
      <c r="I25" s="52"/>
    </row>
    <row r="26" spans="1:18">
      <c r="A26" s="3">
        <v>18</v>
      </c>
      <c r="B26" s="7" t="s">
        <v>243</v>
      </c>
      <c r="C26" s="14"/>
      <c r="D26" s="10"/>
      <c r="E26" s="10"/>
      <c r="F26" s="57"/>
      <c r="G26" s="10"/>
      <c r="H26" s="51"/>
      <c r="I26" s="52"/>
      <c r="N26" s="65" t="s">
        <v>63</v>
      </c>
      <c r="O26" s="6" t="s">
        <v>68</v>
      </c>
      <c r="P26" s="52">
        <v>36</v>
      </c>
    </row>
    <row r="27" spans="1:18">
      <c r="A27" s="3">
        <v>19</v>
      </c>
      <c r="B27" s="7" t="s">
        <v>244</v>
      </c>
      <c r="C27" s="64">
        <v>2</v>
      </c>
      <c r="D27" s="65" t="s">
        <v>63</v>
      </c>
      <c r="E27" s="5" t="s">
        <v>265</v>
      </c>
      <c r="F27" s="115">
        <v>40</v>
      </c>
      <c r="G27" s="2"/>
      <c r="H27" s="2"/>
      <c r="I27" s="2"/>
    </row>
    <row r="28" spans="1:18">
      <c r="A28" s="3">
        <v>20</v>
      </c>
      <c r="B28" s="7" t="s">
        <v>166</v>
      </c>
      <c r="C28" s="14"/>
      <c r="D28" s="53"/>
      <c r="E28" s="54"/>
      <c r="F28" s="55"/>
      <c r="G28" s="54"/>
      <c r="H28" s="53"/>
      <c r="I28" s="52"/>
    </row>
    <row r="29" spans="1:18">
      <c r="A29" s="3">
        <v>21</v>
      </c>
      <c r="B29" s="7" t="s">
        <v>245</v>
      </c>
      <c r="C29" s="14"/>
      <c r="D29" s="10"/>
      <c r="E29" s="10"/>
      <c r="F29" s="57"/>
      <c r="G29" s="10"/>
      <c r="H29" s="51"/>
      <c r="I29" s="52"/>
    </row>
    <row r="30" spans="1:18">
      <c r="A30" s="3">
        <v>22</v>
      </c>
      <c r="B30" s="7" t="s">
        <v>246</v>
      </c>
      <c r="C30" s="54"/>
      <c r="D30" s="50"/>
      <c r="E30" s="10"/>
      <c r="F30" s="57"/>
      <c r="G30" s="50"/>
      <c r="H30" s="51"/>
      <c r="I30" s="52"/>
    </row>
    <row r="31" spans="1:18">
      <c r="A31" s="3">
        <v>23</v>
      </c>
      <c r="B31" s="7" t="s">
        <v>247</v>
      </c>
      <c r="C31" s="64">
        <v>2</v>
      </c>
      <c r="D31" s="53"/>
      <c r="E31" s="54"/>
      <c r="F31" s="57"/>
      <c r="G31" s="65" t="s">
        <v>63</v>
      </c>
      <c r="H31" s="6" t="s">
        <v>264</v>
      </c>
      <c r="I31" s="108">
        <v>46</v>
      </c>
    </row>
    <row r="32" spans="1:18">
      <c r="A32" s="3">
        <v>24</v>
      </c>
      <c r="B32" s="7" t="s">
        <v>248</v>
      </c>
      <c r="C32" s="14"/>
      <c r="D32" s="10"/>
      <c r="E32" s="10"/>
      <c r="F32" s="57"/>
      <c r="G32" s="50"/>
      <c r="H32" s="51"/>
      <c r="I32" s="52"/>
    </row>
    <row r="33" spans="1:14">
      <c r="A33" s="3">
        <v>25</v>
      </c>
      <c r="B33" s="7" t="s">
        <v>249</v>
      </c>
      <c r="C33" s="54"/>
      <c r="D33" s="110"/>
      <c r="E33" s="10"/>
      <c r="F33" s="57"/>
      <c r="I33" s="2"/>
    </row>
    <row r="34" spans="1:14">
      <c r="A34" s="3">
        <v>26</v>
      </c>
      <c r="B34" s="7" t="s">
        <v>250</v>
      </c>
      <c r="C34" s="64">
        <v>2</v>
      </c>
      <c r="D34" s="65" t="s">
        <v>63</v>
      </c>
      <c r="E34" s="5" t="s">
        <v>265</v>
      </c>
      <c r="F34" s="115">
        <v>40</v>
      </c>
      <c r="G34" s="50"/>
      <c r="H34" s="51"/>
      <c r="I34" s="52"/>
    </row>
    <row r="35" spans="1:14">
      <c r="A35" s="3">
        <v>27</v>
      </c>
      <c r="B35" s="7" t="s">
        <v>251</v>
      </c>
      <c r="C35" s="14"/>
      <c r="D35" s="53"/>
      <c r="E35" s="54"/>
      <c r="F35" s="55"/>
      <c r="G35" s="54"/>
      <c r="H35" s="53"/>
      <c r="I35" s="52"/>
    </row>
    <row r="36" spans="1:14">
      <c r="A36" s="3">
        <v>28</v>
      </c>
      <c r="B36" s="7" t="s">
        <v>252</v>
      </c>
      <c r="C36" s="14"/>
      <c r="D36" s="10"/>
      <c r="E36" s="10"/>
      <c r="F36" s="57"/>
      <c r="G36" s="10"/>
      <c r="H36" s="51"/>
      <c r="I36" s="52"/>
    </row>
    <row r="37" spans="1:14">
      <c r="A37" s="3">
        <v>29</v>
      </c>
      <c r="B37" s="7" t="s">
        <v>266</v>
      </c>
      <c r="C37" s="54"/>
      <c r="D37" s="50"/>
      <c r="E37" s="10"/>
      <c r="F37" s="57"/>
      <c r="G37" s="50"/>
      <c r="H37" s="51"/>
      <c r="I37" s="52"/>
    </row>
    <row r="38" spans="1:14">
      <c r="A38" s="3">
        <v>30</v>
      </c>
      <c r="B38" s="7" t="s">
        <v>253</v>
      </c>
      <c r="C38" s="64">
        <v>2</v>
      </c>
      <c r="D38" s="50"/>
      <c r="E38" s="10"/>
      <c r="F38" s="57"/>
      <c r="G38" s="65" t="s">
        <v>63</v>
      </c>
      <c r="H38" s="6" t="s">
        <v>264</v>
      </c>
      <c r="I38" s="108">
        <v>46</v>
      </c>
    </row>
    <row r="39" spans="1:14">
      <c r="D39" s="13"/>
      <c r="E39" s="13" t="s">
        <v>76</v>
      </c>
      <c r="F39" s="130">
        <f>F34+F27+F20+F13</f>
        <v>160</v>
      </c>
      <c r="G39" s="131"/>
      <c r="H39" s="132"/>
      <c r="I39" s="133">
        <f>I38+I31+I24+I17+I10</f>
        <v>230</v>
      </c>
    </row>
    <row r="40" spans="1:14">
      <c r="I40" s="20"/>
    </row>
    <row r="41" spans="1:14">
      <c r="B41" s="19" t="s">
        <v>70</v>
      </c>
      <c r="C41" s="20"/>
      <c r="D41" s="21"/>
      <c r="E41" s="21"/>
      <c r="F41" s="21"/>
      <c r="G41" s="21"/>
      <c r="H41" s="20" t="s">
        <v>71</v>
      </c>
    </row>
    <row r="42" spans="1:14">
      <c r="B42" s="22" t="s">
        <v>72</v>
      </c>
      <c r="C42" s="20"/>
      <c r="D42" s="21"/>
      <c r="E42" s="21"/>
      <c r="F42" s="21"/>
      <c r="G42" s="21"/>
      <c r="H42" s="23" t="s">
        <v>73</v>
      </c>
    </row>
    <row r="43" spans="1:14">
      <c r="B43" s="13"/>
    </row>
    <row r="46" spans="1:14">
      <c r="N46">
        <v>160</v>
      </c>
    </row>
    <row r="47" spans="1:14">
      <c r="N47">
        <v>184</v>
      </c>
    </row>
    <row r="48" spans="1:14">
      <c r="N48">
        <v>160</v>
      </c>
    </row>
    <row r="49" spans="14:14">
      <c r="N49">
        <v>230</v>
      </c>
    </row>
    <row r="50" spans="14:14">
      <c r="N50">
        <v>150</v>
      </c>
    </row>
    <row r="51" spans="14:14">
      <c r="N51">
        <v>144</v>
      </c>
    </row>
    <row r="52" spans="14:14">
      <c r="N52">
        <v>160</v>
      </c>
    </row>
    <row r="53" spans="14:14">
      <c r="N53">
        <v>184</v>
      </c>
    </row>
    <row r="54" spans="14:14">
      <c r="N54">
        <v>160</v>
      </c>
    </row>
    <row r="55" spans="14:14">
      <c r="N55">
        <v>230</v>
      </c>
    </row>
    <row r="56" spans="14:14">
      <c r="N56">
        <f>SUM(N46:N55)</f>
        <v>1762</v>
      </c>
    </row>
  </sheetData>
  <mergeCells count="16">
    <mergeCell ref="H7:I7"/>
    <mergeCell ref="A6:G6"/>
    <mergeCell ref="A7:A8"/>
    <mergeCell ref="B7:B8"/>
    <mergeCell ref="C7:C8"/>
    <mergeCell ref="D7:D8"/>
    <mergeCell ref="E7:F7"/>
    <mergeCell ref="G7:G8"/>
    <mergeCell ref="A1:B2"/>
    <mergeCell ref="C1:F2"/>
    <mergeCell ref="G1:J1"/>
    <mergeCell ref="G2:J2"/>
    <mergeCell ref="A3:B4"/>
    <mergeCell ref="C3:F4"/>
    <mergeCell ref="G3:J3"/>
    <mergeCell ref="G4:J4"/>
  </mergeCells>
  <pageMargins left="0" right="0" top="0.75" bottom="0.75" header="0.3" footer="0.3"/>
  <pageSetup orientation="portrait" r:id="rId1"/>
  <legacyDrawing r:id="rId2"/>
  <oleObjects>
    <oleObject progId="PBrush" shapeId="614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Sheet2</vt:lpstr>
      <vt:lpstr>Sheet3</vt:lpstr>
      <vt:lpstr>Sheet4</vt:lpstr>
      <vt:lpstr>የየካቲት ወር </vt:lpstr>
      <vt:lpstr>መጋቢት</vt:lpstr>
      <vt:lpstr>ሚያዝያ</vt:lpstr>
      <vt:lpstr>ግንቦት</vt:lpstr>
      <vt:lpstr>ስኔ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Mekedes Mesfin</dc:creator>
  <cp:lastModifiedBy>Mekedes Mesfin</cp:lastModifiedBy>
  <cp:lastPrinted>2019-06-27T12:00:41Z</cp:lastPrinted>
  <dcterms:created xsi:type="dcterms:W3CDTF">2018-04-24T11:13:13Z</dcterms:created>
  <dcterms:modified xsi:type="dcterms:W3CDTF">2019-06-27T12:02:30Z</dcterms:modified>
</cp:coreProperties>
</file>