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 activeTab="1"/>
  </bookViews>
  <sheets>
    <sheet name="final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M17" i="2"/>
  <c r="K17"/>
  <c r="I17"/>
  <c r="G17"/>
  <c r="E17"/>
  <c r="N16"/>
  <c r="L16"/>
  <c r="F16"/>
  <c r="N15"/>
  <c r="L15"/>
  <c r="L17" s="1"/>
  <c r="J15"/>
  <c r="H15"/>
  <c r="F15"/>
  <c r="N14"/>
  <c r="L14"/>
  <c r="H14"/>
  <c r="F14"/>
  <c r="N13"/>
  <c r="N17" s="1"/>
  <c r="L13"/>
  <c r="J13"/>
  <c r="J17" s="1"/>
  <c r="H13"/>
  <c r="H17" s="1"/>
  <c r="F13"/>
  <c r="F17" s="1"/>
</calcChain>
</file>

<file path=xl/sharedStrings.xml><?xml version="1.0" encoding="utf-8"?>
<sst xmlns="http://schemas.openxmlformats.org/spreadsheetml/2006/main" count="66" uniqueCount="31">
  <si>
    <t>Meash 110*40</t>
  </si>
  <si>
    <t>Meash 110*81</t>
  </si>
  <si>
    <t>Sticker 100*40</t>
  </si>
  <si>
    <t>Sticker 110*81</t>
  </si>
  <si>
    <t xml:space="preserve">Esayas Advertising </t>
  </si>
  <si>
    <t>Mykey Advertising and Printing Press</t>
  </si>
  <si>
    <t>Dawit  Begashaw Pringing  &amp; Advertizing</t>
  </si>
  <si>
    <t>Adulian Advertising &amp; Promotion PlC</t>
  </si>
  <si>
    <t>Quantity</t>
  </si>
  <si>
    <t>Orgnization Name</t>
  </si>
  <si>
    <t xml:space="preserve">Description Unit </t>
  </si>
  <si>
    <t>No</t>
  </si>
  <si>
    <r>
      <t xml:space="preserve">   </t>
    </r>
    <r>
      <rPr>
        <u val="double"/>
        <sz val="14"/>
        <color theme="1"/>
        <rFont val="Baskerville Old Face"/>
        <family val="1"/>
      </rPr>
      <t>Comparison of Sticker and Meash Price</t>
    </r>
  </si>
  <si>
    <t>Issue No.</t>
  </si>
  <si>
    <t>OF/HRAD/009</t>
  </si>
  <si>
    <t>Document No</t>
  </si>
  <si>
    <t xml:space="preserve">FORMAT </t>
  </si>
  <si>
    <t>አሰር ኮንስትራክሽን ኃ.የተ.የግ.ማ
ASER CONSTRUCTION P.L.C</t>
  </si>
  <si>
    <t>List of Price</t>
  </si>
  <si>
    <t>Price</t>
  </si>
  <si>
    <t>Rank</t>
  </si>
  <si>
    <t>Date: 11/6/2019</t>
  </si>
  <si>
    <t>Performa Comprise Sheet</t>
  </si>
  <si>
    <t>Manu Advertising Business P.L.C</t>
  </si>
  <si>
    <t>Unit Price</t>
  </si>
  <si>
    <t>Total Prices</t>
  </si>
  <si>
    <t>Total Price</t>
  </si>
  <si>
    <t>3</t>
  </si>
  <si>
    <t>Total</t>
  </si>
  <si>
    <t>Dawit  Begashaw Priniting  &amp; Advertizing</t>
  </si>
  <si>
    <t xml:space="preserve">አሰር ኮንስትራክሽን ኃ.የተ.የግ.ማ
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</si>
</sst>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i/>
      <sz val="12"/>
      <color theme="1"/>
      <name val="NSimSun"/>
      <family val="3"/>
    </font>
    <font>
      <sz val="12"/>
      <color theme="1"/>
      <name val="Perpetua"/>
      <family val="1"/>
    </font>
    <font>
      <sz val="10"/>
      <color theme="1"/>
      <name val="Palatino Linotype"/>
      <family val="1"/>
    </font>
    <font>
      <sz val="10"/>
      <color theme="1"/>
      <name val="Perpetua"/>
      <family val="1"/>
    </font>
    <font>
      <sz val="11"/>
      <color theme="1"/>
      <name val="Perpetua"/>
      <family val="1"/>
    </font>
    <font>
      <sz val="14"/>
      <color theme="1"/>
      <name val="Baskerville Old Face"/>
      <family val="1"/>
    </font>
    <font>
      <sz val="11"/>
      <color theme="1"/>
      <name val="Baskerville Old Face"/>
      <family val="1"/>
    </font>
    <font>
      <u val="double"/>
      <sz val="14"/>
      <color theme="1"/>
      <name val="Baskerville Old Face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entury Gothic"/>
      <family val="2"/>
    </font>
    <font>
      <sz val="10"/>
      <color theme="1"/>
      <name val="Times New Roman"/>
      <family val="1"/>
    </font>
    <font>
      <b/>
      <sz val="12"/>
      <color theme="1"/>
      <name val="Perpetua"/>
      <family val="1"/>
    </font>
    <font>
      <sz val="9"/>
      <color theme="1"/>
      <name val="Palatino Linotype"/>
      <family val="1"/>
    </font>
    <font>
      <sz val="9"/>
      <color theme="1"/>
      <name val="Perpetua"/>
      <family val="1"/>
    </font>
    <font>
      <i/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Border="1"/>
    <xf numFmtId="49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0" fontId="10" fillId="2" borderId="2" xfId="0" applyFont="1" applyFill="1" applyBorder="1" applyAlignment="1">
      <alignment horizontal="center" wrapText="1"/>
    </xf>
    <xf numFmtId="4" fontId="0" fillId="0" borderId="0" xfId="0" applyNumberFormat="1"/>
    <xf numFmtId="0" fontId="9" fillId="2" borderId="0" xfId="0" applyFont="1" applyFill="1" applyBorder="1" applyAlignment="1">
      <alignment horizontal="center" vertical="center"/>
    </xf>
    <xf numFmtId="0" fontId="12" fillId="3" borderId="2" xfId="0" applyFont="1" applyFill="1" applyBorder="1" applyAlignment="1"/>
    <xf numFmtId="0" fontId="12" fillId="3" borderId="9" xfId="0" applyFont="1" applyFill="1" applyBorder="1" applyAlignment="1"/>
    <xf numFmtId="0" fontId="12" fillId="3" borderId="1" xfId="0" applyFont="1" applyFill="1" applyBorder="1"/>
    <xf numFmtId="0" fontId="6" fillId="0" borderId="0" xfId="0" applyFont="1" applyBorder="1" applyAlignment="1"/>
    <xf numFmtId="0" fontId="10" fillId="2" borderId="0" xfId="0" applyFont="1" applyFill="1" applyBorder="1" applyAlignment="1">
      <alignment horizontal="center" wrapText="1"/>
    </xf>
    <xf numFmtId="0" fontId="7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2" borderId="0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vertical="center"/>
    </xf>
    <xf numFmtId="0" fontId="15" fillId="0" borderId="1" xfId="0" applyFont="1" applyBorder="1" applyAlignment="1">
      <alignment horizontal="center"/>
    </xf>
    <xf numFmtId="4" fontId="15" fillId="0" borderId="1" xfId="0" applyNumberFormat="1" applyFont="1" applyFill="1" applyBorder="1" applyAlignment="1">
      <alignment horizontal="center"/>
    </xf>
    <xf numFmtId="4" fontId="15" fillId="0" borderId="1" xfId="0" applyNumberFormat="1" applyFont="1" applyBorder="1" applyAlignment="1">
      <alignment horizontal="center"/>
    </xf>
    <xf numFmtId="4" fontId="15" fillId="4" borderId="1" xfId="0" applyNumberFormat="1" applyFont="1" applyFill="1" applyBorder="1" applyAlignment="1">
      <alignment horizontal="center"/>
    </xf>
    <xf numFmtId="4" fontId="15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4" borderId="1" xfId="0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wrapText="1"/>
    </xf>
    <xf numFmtId="0" fontId="18" fillId="4" borderId="13" xfId="0" applyFont="1" applyFill="1" applyBorder="1" applyAlignment="1">
      <alignment horizontal="center" vertical="center"/>
    </xf>
    <xf numFmtId="4" fontId="19" fillId="4" borderId="1" xfId="0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wrapText="1"/>
    </xf>
    <xf numFmtId="4" fontId="21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wrapText="1"/>
    </xf>
    <xf numFmtId="0" fontId="12" fillId="2" borderId="7" xfId="0" applyFont="1" applyFill="1" applyBorder="1" applyAlignment="1">
      <alignment horizontal="center" wrapText="1"/>
    </xf>
    <xf numFmtId="0" fontId="12" fillId="2" borderId="6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wrapText="1"/>
    </xf>
    <xf numFmtId="0" fontId="0" fillId="0" borderId="1" xfId="0" applyBorder="1"/>
    <xf numFmtId="0" fontId="10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4" fontId="15" fillId="2" borderId="1" xfId="0" applyNumberFormat="1" applyFont="1" applyFill="1" applyBorder="1" applyAlignment="1">
      <alignment horizontal="center"/>
    </xf>
    <xf numFmtId="4" fontId="0" fillId="2" borderId="1" xfId="0" applyNumberFormat="1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Border="1" applyAlignme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oleObject" Target="../embeddings/oleObject2.bin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18"/>
  <sheetViews>
    <sheetView workbookViewId="0">
      <selection activeCell="R11" sqref="R11"/>
    </sheetView>
  </sheetViews>
  <sheetFormatPr defaultRowHeight="15"/>
  <cols>
    <col min="1" max="1" width="4.28515625" customWidth="1"/>
    <col min="2" max="2" width="13.42578125" customWidth="1"/>
    <col min="3" max="3" width="7.5703125" customWidth="1"/>
    <col min="4" max="4" width="7.140625" customWidth="1"/>
    <col min="5" max="5" width="7.42578125" customWidth="1"/>
    <col min="6" max="6" width="8.42578125" customWidth="1"/>
    <col min="7" max="7" width="12.42578125" customWidth="1"/>
    <col min="8" max="8" width="10.7109375" customWidth="1"/>
    <col min="9" max="9" width="11.42578125" customWidth="1"/>
    <col min="10" max="10" width="12.85546875" customWidth="1"/>
    <col min="11" max="11" width="10.7109375" customWidth="1"/>
    <col min="12" max="12" width="9.85546875" customWidth="1"/>
    <col min="13" max="13" width="9.42578125" customWidth="1"/>
  </cols>
  <sheetData>
    <row r="2" spans="1:14" ht="4.5" customHeight="1"/>
    <row r="3" spans="1:14" ht="30" customHeight="1">
      <c r="A3" s="82" t="s">
        <v>30</v>
      </c>
      <c r="B3" s="83"/>
      <c r="C3" s="84"/>
      <c r="D3" s="76" t="s">
        <v>16</v>
      </c>
      <c r="E3" s="77"/>
      <c r="F3" s="77"/>
      <c r="G3" s="77"/>
      <c r="H3" s="77"/>
      <c r="I3" s="78"/>
      <c r="J3" s="5"/>
      <c r="K3" s="57" t="s">
        <v>15</v>
      </c>
      <c r="L3" s="57"/>
      <c r="M3" s="57"/>
      <c r="N3" s="1"/>
    </row>
    <row r="4" spans="1:14" ht="15" customHeight="1">
      <c r="A4" s="85"/>
      <c r="B4" s="86"/>
      <c r="C4" s="87"/>
      <c r="D4" s="79"/>
      <c r="E4" s="80"/>
      <c r="F4" s="80"/>
      <c r="G4" s="80"/>
      <c r="H4" s="80"/>
      <c r="I4" s="81"/>
      <c r="J4" s="5"/>
      <c r="K4" s="57" t="s">
        <v>14</v>
      </c>
      <c r="L4" s="57"/>
      <c r="M4" s="57"/>
      <c r="N4" s="1"/>
    </row>
    <row r="5" spans="1:14" ht="15" customHeight="1">
      <c r="A5" s="58"/>
      <c r="B5" s="58"/>
      <c r="C5" s="58"/>
      <c r="D5" s="59" t="s">
        <v>22</v>
      </c>
      <c r="E5" s="60"/>
      <c r="F5" s="60"/>
      <c r="G5" s="60"/>
      <c r="H5" s="60"/>
      <c r="I5" s="60"/>
      <c r="J5" s="16"/>
      <c r="K5" s="61" t="s">
        <v>13</v>
      </c>
      <c r="L5" s="61"/>
      <c r="M5" s="61"/>
      <c r="N5" s="1"/>
    </row>
    <row r="6" spans="1:14" ht="46.5" customHeight="1">
      <c r="A6" s="58"/>
      <c r="B6" s="58"/>
      <c r="C6" s="58"/>
      <c r="D6" s="60"/>
      <c r="E6" s="60"/>
      <c r="F6" s="60"/>
      <c r="G6" s="60"/>
      <c r="H6" s="60"/>
      <c r="I6" s="60"/>
      <c r="J6" s="16"/>
      <c r="K6" s="57">
        <v>1</v>
      </c>
      <c r="L6" s="57"/>
      <c r="M6" s="57"/>
      <c r="N6" s="1"/>
    </row>
    <row r="7" spans="1:14" ht="10.5" customHeight="1">
      <c r="A7" s="15"/>
      <c r="B7" s="15"/>
      <c r="C7" s="15"/>
      <c r="D7" s="1"/>
      <c r="E7" s="1"/>
      <c r="F7" s="1"/>
      <c r="G7" s="1"/>
      <c r="H7" s="1"/>
      <c r="I7" s="1"/>
      <c r="J7" s="1"/>
      <c r="K7" s="7"/>
      <c r="L7" s="7"/>
      <c r="M7" s="7"/>
      <c r="N7" s="1"/>
    </row>
    <row r="8" spans="1:14" ht="18.75">
      <c r="A8" s="11" t="s">
        <v>12</v>
      </c>
      <c r="B8" s="11"/>
      <c r="C8" s="11"/>
      <c r="D8" s="11"/>
      <c r="E8" s="11"/>
      <c r="F8" s="11"/>
      <c r="G8" s="12"/>
      <c r="H8" s="12"/>
      <c r="I8" s="12"/>
      <c r="J8" s="12"/>
      <c r="K8" s="7"/>
      <c r="L8" s="7"/>
      <c r="M8" s="7"/>
      <c r="N8" s="1"/>
    </row>
    <row r="9" spans="1:14" ht="23.25" customHeight="1">
      <c r="A9" s="62" t="s">
        <v>21</v>
      </c>
      <c r="B9" s="62"/>
      <c r="C9" s="1"/>
      <c r="D9" s="1"/>
      <c r="E9" s="1"/>
      <c r="F9" s="1"/>
      <c r="G9" s="11"/>
      <c r="H9" s="11"/>
      <c r="I9" s="11"/>
      <c r="J9" s="11"/>
      <c r="K9" s="11"/>
      <c r="L9" s="11"/>
      <c r="M9" s="13"/>
      <c r="N9" s="1"/>
    </row>
    <row r="10" spans="1:14" ht="18.75">
      <c r="A10" s="71" t="s">
        <v>11</v>
      </c>
      <c r="B10" s="42" t="s">
        <v>10</v>
      </c>
      <c r="C10" s="43"/>
      <c r="D10" s="68" t="s">
        <v>9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</row>
    <row r="11" spans="1:14" ht="48.75" customHeight="1">
      <c r="A11" s="72"/>
      <c r="B11" s="44"/>
      <c r="C11" s="45"/>
      <c r="D11" s="69" t="s">
        <v>8</v>
      </c>
      <c r="E11" s="63"/>
      <c r="F11" s="64"/>
      <c r="G11" s="63"/>
      <c r="H11" s="64"/>
      <c r="I11" s="63"/>
      <c r="J11" s="64"/>
      <c r="K11" s="63"/>
      <c r="L11" s="64"/>
      <c r="M11" s="67"/>
      <c r="N11" s="67"/>
    </row>
    <row r="12" spans="1:14" ht="18.75" customHeight="1">
      <c r="A12" s="73"/>
      <c r="B12" s="46"/>
      <c r="C12" s="47"/>
      <c r="D12" s="70"/>
      <c r="E12" s="14" t="s">
        <v>24</v>
      </c>
      <c r="F12" s="14" t="s">
        <v>25</v>
      </c>
      <c r="G12" s="17" t="s">
        <v>24</v>
      </c>
      <c r="H12" s="17" t="s">
        <v>26</v>
      </c>
      <c r="I12" s="14" t="s">
        <v>24</v>
      </c>
      <c r="J12" s="14" t="s">
        <v>26</v>
      </c>
      <c r="K12" s="14" t="s">
        <v>24</v>
      </c>
      <c r="L12" s="14" t="s">
        <v>26</v>
      </c>
      <c r="M12" s="14" t="s">
        <v>24</v>
      </c>
      <c r="N12" s="14" t="s">
        <v>26</v>
      </c>
    </row>
    <row r="13" spans="1:14" ht="19.5" customHeight="1">
      <c r="A13" s="3">
        <v>1</v>
      </c>
      <c r="B13" s="38"/>
      <c r="C13" s="39"/>
      <c r="D13" s="4"/>
      <c r="E13" s="25"/>
      <c r="F13" s="25"/>
      <c r="G13" s="74"/>
      <c r="H13" s="74"/>
      <c r="I13" s="27"/>
      <c r="J13" s="27"/>
      <c r="K13" s="25"/>
      <c r="L13" s="25"/>
      <c r="M13" s="25"/>
      <c r="N13" s="23"/>
    </row>
    <row r="14" spans="1:14" ht="33" customHeight="1">
      <c r="A14" s="3">
        <v>2</v>
      </c>
      <c r="B14" s="38"/>
      <c r="C14" s="39"/>
      <c r="D14" s="2"/>
      <c r="E14" s="27"/>
      <c r="F14" s="25"/>
      <c r="G14" s="74"/>
      <c r="H14" s="74"/>
      <c r="I14" s="27"/>
      <c r="J14" s="27"/>
      <c r="K14" s="25"/>
      <c r="L14" s="25"/>
      <c r="M14" s="25"/>
      <c r="N14" s="23"/>
    </row>
    <row r="15" spans="1:14" ht="16.5">
      <c r="A15" s="3">
        <v>3</v>
      </c>
      <c r="B15" s="40"/>
      <c r="C15" s="41"/>
      <c r="D15" s="2"/>
      <c r="E15" s="25"/>
      <c r="F15" s="25"/>
      <c r="G15" s="74"/>
      <c r="H15" s="74"/>
      <c r="I15" s="27"/>
      <c r="J15" s="27"/>
      <c r="K15" s="25"/>
      <c r="L15" s="25"/>
      <c r="M15" s="25"/>
      <c r="N15" s="23"/>
    </row>
    <row r="16" spans="1:14" ht="16.5">
      <c r="A16" s="3">
        <v>4</v>
      </c>
      <c r="B16" s="90"/>
      <c r="C16" s="90"/>
      <c r="D16" s="2"/>
      <c r="E16" s="25"/>
      <c r="F16" s="25"/>
      <c r="G16" s="74"/>
      <c r="H16" s="74"/>
      <c r="I16" s="27"/>
      <c r="J16" s="27"/>
      <c r="K16" s="25"/>
      <c r="L16" s="25"/>
      <c r="M16" s="25"/>
      <c r="N16" s="23"/>
    </row>
    <row r="17" spans="3:14">
      <c r="C17" s="89"/>
      <c r="D17" s="88"/>
      <c r="E17" s="28"/>
      <c r="F17" s="28"/>
      <c r="G17" s="75"/>
      <c r="H17" s="75"/>
      <c r="I17" s="28"/>
      <c r="J17" s="28"/>
      <c r="K17" s="28"/>
      <c r="L17" s="28"/>
      <c r="M17" s="28"/>
      <c r="N17" s="24"/>
    </row>
    <row r="18" spans="3:14">
      <c r="M18" s="6"/>
    </row>
  </sheetData>
  <mergeCells count="22">
    <mergeCell ref="D11:D12"/>
    <mergeCell ref="A10:A12"/>
    <mergeCell ref="B10:C12"/>
    <mergeCell ref="A3:C4"/>
    <mergeCell ref="D3:I4"/>
    <mergeCell ref="K3:M3"/>
    <mergeCell ref="K4:M4"/>
    <mergeCell ref="A5:C6"/>
    <mergeCell ref="D5:I6"/>
    <mergeCell ref="K5:M5"/>
    <mergeCell ref="K6:M6"/>
    <mergeCell ref="A9:B9"/>
    <mergeCell ref="E11:F11"/>
    <mergeCell ref="G11:H11"/>
    <mergeCell ref="I11:J11"/>
    <mergeCell ref="K11:L11"/>
    <mergeCell ref="M11:N11"/>
    <mergeCell ref="D10:N10"/>
    <mergeCell ref="B13:C13"/>
    <mergeCell ref="B14:C14"/>
    <mergeCell ref="B15:C15"/>
    <mergeCell ref="B16:C16"/>
  </mergeCells>
  <pageMargins left="0" right="0" top="0.75" bottom="0.75" header="0.3" footer="0.3"/>
  <pageSetup orientation="landscape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3:N22"/>
  <sheetViews>
    <sheetView tabSelected="1" workbookViewId="0">
      <selection activeCell="R16" sqref="R16"/>
    </sheetView>
  </sheetViews>
  <sheetFormatPr defaultRowHeight="15"/>
  <cols>
    <col min="1" max="1" width="4.28515625" customWidth="1"/>
    <col min="2" max="2" width="13.42578125" customWidth="1"/>
    <col min="3" max="3" width="4.28515625" customWidth="1"/>
    <col min="4" max="4" width="7.140625" customWidth="1"/>
    <col min="5" max="5" width="7.42578125" customWidth="1"/>
    <col min="6" max="6" width="8.42578125" customWidth="1"/>
    <col min="7" max="7" width="12.42578125" customWidth="1"/>
    <col min="8" max="8" width="10.7109375" customWidth="1"/>
    <col min="9" max="9" width="11.42578125" customWidth="1"/>
    <col min="10" max="10" width="12.85546875" customWidth="1"/>
    <col min="11" max="11" width="10.7109375" customWidth="1"/>
    <col min="12" max="12" width="9.85546875" customWidth="1"/>
    <col min="13" max="13" width="9.42578125" customWidth="1"/>
  </cols>
  <sheetData>
    <row r="3" spans="1:14">
      <c r="A3" s="48" t="s">
        <v>17</v>
      </c>
      <c r="B3" s="49"/>
      <c r="C3" s="50"/>
      <c r="D3" s="54" t="s">
        <v>16</v>
      </c>
      <c r="E3" s="55"/>
      <c r="F3" s="55"/>
      <c r="G3" s="55"/>
      <c r="H3" s="56"/>
      <c r="I3" s="56"/>
      <c r="J3" s="5"/>
      <c r="K3" s="57" t="s">
        <v>15</v>
      </c>
      <c r="L3" s="57"/>
      <c r="M3" s="57"/>
      <c r="N3" s="1"/>
    </row>
    <row r="4" spans="1:14">
      <c r="A4" s="51"/>
      <c r="B4" s="52"/>
      <c r="C4" s="53"/>
      <c r="D4" s="55"/>
      <c r="E4" s="55"/>
      <c r="F4" s="55"/>
      <c r="G4" s="55"/>
      <c r="H4" s="56"/>
      <c r="I4" s="56"/>
      <c r="J4" s="5"/>
      <c r="K4" s="57" t="s">
        <v>14</v>
      </c>
      <c r="L4" s="57"/>
      <c r="M4" s="57"/>
      <c r="N4" s="1"/>
    </row>
    <row r="5" spans="1:14">
      <c r="A5" s="58"/>
      <c r="B5" s="58"/>
      <c r="C5" s="58"/>
      <c r="D5" s="59" t="s">
        <v>22</v>
      </c>
      <c r="E5" s="60"/>
      <c r="F5" s="60"/>
      <c r="G5" s="60"/>
      <c r="H5" s="60"/>
      <c r="I5" s="60"/>
      <c r="J5" s="16"/>
      <c r="K5" s="61" t="s">
        <v>13</v>
      </c>
      <c r="L5" s="61"/>
      <c r="M5" s="61"/>
      <c r="N5" s="1"/>
    </row>
    <row r="6" spans="1:14">
      <c r="A6" s="58"/>
      <c r="B6" s="58"/>
      <c r="C6" s="58"/>
      <c r="D6" s="60"/>
      <c r="E6" s="60"/>
      <c r="F6" s="60"/>
      <c r="G6" s="60"/>
      <c r="H6" s="60"/>
      <c r="I6" s="60"/>
      <c r="J6" s="16"/>
      <c r="K6" s="57">
        <v>1</v>
      </c>
      <c r="L6" s="57"/>
      <c r="M6" s="57"/>
      <c r="N6" s="1"/>
    </row>
    <row r="7" spans="1:14">
      <c r="A7" s="15"/>
      <c r="B7" s="15"/>
      <c r="C7" s="15"/>
      <c r="D7" s="1"/>
      <c r="E7" s="1"/>
      <c r="F7" s="1"/>
      <c r="G7" s="1"/>
      <c r="H7" s="1"/>
      <c r="I7" s="1"/>
      <c r="J7" s="1"/>
      <c r="K7" s="7"/>
      <c r="L7" s="7"/>
      <c r="M7" s="7"/>
      <c r="N7" s="1"/>
    </row>
    <row r="8" spans="1:14" ht="18.75">
      <c r="A8" s="11" t="s">
        <v>12</v>
      </c>
      <c r="B8" s="11"/>
      <c r="C8" s="11"/>
      <c r="D8" s="11"/>
      <c r="E8" s="11"/>
      <c r="F8" s="11"/>
      <c r="G8" s="12"/>
      <c r="H8" s="12"/>
      <c r="I8" s="12"/>
      <c r="J8" s="12"/>
      <c r="K8" s="7"/>
      <c r="L8" s="7"/>
      <c r="M8" s="7"/>
      <c r="N8" s="1"/>
    </row>
    <row r="9" spans="1:14" ht="18.75">
      <c r="A9" s="62" t="s">
        <v>21</v>
      </c>
      <c r="B9" s="62"/>
      <c r="C9" s="1"/>
      <c r="D9" s="1"/>
      <c r="E9" s="1"/>
      <c r="F9" s="1"/>
      <c r="G9" s="11"/>
      <c r="H9" s="11"/>
      <c r="I9" s="11"/>
      <c r="J9" s="11"/>
      <c r="K9" s="11"/>
      <c r="L9" s="11"/>
      <c r="M9" s="13"/>
      <c r="N9" s="1"/>
    </row>
    <row r="10" spans="1:14" ht="18.75">
      <c r="A10" s="71" t="s">
        <v>11</v>
      </c>
      <c r="B10" s="42" t="s">
        <v>10</v>
      </c>
      <c r="C10" s="43"/>
      <c r="D10" s="68" t="s">
        <v>9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</row>
    <row r="11" spans="1:14">
      <c r="A11" s="72"/>
      <c r="B11" s="44"/>
      <c r="C11" s="45"/>
      <c r="D11" s="69" t="s">
        <v>8</v>
      </c>
      <c r="E11" s="63" t="s">
        <v>7</v>
      </c>
      <c r="F11" s="64"/>
      <c r="G11" s="65" t="s">
        <v>29</v>
      </c>
      <c r="H11" s="66"/>
      <c r="I11" s="63" t="s">
        <v>5</v>
      </c>
      <c r="J11" s="64"/>
      <c r="K11" s="63" t="s">
        <v>4</v>
      </c>
      <c r="L11" s="64"/>
      <c r="M11" s="67" t="s">
        <v>23</v>
      </c>
      <c r="N11" s="67"/>
    </row>
    <row r="12" spans="1:14" ht="30">
      <c r="A12" s="73"/>
      <c r="B12" s="46"/>
      <c r="C12" s="47"/>
      <c r="D12" s="70"/>
      <c r="E12" s="14" t="s">
        <v>24</v>
      </c>
      <c r="F12" s="14" t="s">
        <v>25</v>
      </c>
      <c r="G12" s="21" t="s">
        <v>24</v>
      </c>
      <c r="H12" s="21" t="s">
        <v>26</v>
      </c>
      <c r="I12" s="14" t="s">
        <v>24</v>
      </c>
      <c r="J12" s="14" t="s">
        <v>26</v>
      </c>
      <c r="K12" s="14" t="s">
        <v>24</v>
      </c>
      <c r="L12" s="14" t="s">
        <v>26</v>
      </c>
      <c r="M12" s="14" t="s">
        <v>24</v>
      </c>
      <c r="N12" s="14" t="s">
        <v>26</v>
      </c>
    </row>
    <row r="13" spans="1:14" ht="16.5">
      <c r="A13" s="3">
        <v>1</v>
      </c>
      <c r="B13" s="38" t="s">
        <v>3</v>
      </c>
      <c r="C13" s="39"/>
      <c r="D13" s="4" t="s">
        <v>27</v>
      </c>
      <c r="E13" s="25">
        <v>150</v>
      </c>
      <c r="F13" s="25">
        <f>E13*3</f>
        <v>450</v>
      </c>
      <c r="G13" s="26">
        <v>160.38</v>
      </c>
      <c r="H13" s="26">
        <f>G13*3</f>
        <v>481.14</v>
      </c>
      <c r="I13" s="27">
        <v>250</v>
      </c>
      <c r="J13" s="27">
        <f>I13*3</f>
        <v>750</v>
      </c>
      <c r="K13" s="25">
        <v>745</v>
      </c>
      <c r="L13" s="25">
        <f>K13*3</f>
        <v>2235</v>
      </c>
      <c r="M13" s="25">
        <v>445</v>
      </c>
      <c r="N13" s="23">
        <f>M13*3</f>
        <v>1335</v>
      </c>
    </row>
    <row r="14" spans="1:14" ht="16.5">
      <c r="A14" s="3">
        <v>2</v>
      </c>
      <c r="B14" s="38" t="s">
        <v>2</v>
      </c>
      <c r="C14" s="39"/>
      <c r="D14" s="2" t="s">
        <v>27</v>
      </c>
      <c r="E14" s="27">
        <v>70</v>
      </c>
      <c r="F14" s="25">
        <f t="shared" ref="F14:F16" si="0">E14*3</f>
        <v>210</v>
      </c>
      <c r="G14" s="26">
        <v>72</v>
      </c>
      <c r="H14" s="26">
        <f t="shared" ref="H14:H15" si="1">G14*3</f>
        <v>216</v>
      </c>
      <c r="I14" s="27"/>
      <c r="J14" s="27"/>
      <c r="K14" s="25">
        <v>340</v>
      </c>
      <c r="L14" s="25">
        <f t="shared" ref="L14:L16" si="2">K14*3</f>
        <v>1020</v>
      </c>
      <c r="M14" s="25"/>
      <c r="N14" s="23">
        <f t="shared" ref="N14:N16" si="3">M14*3</f>
        <v>0</v>
      </c>
    </row>
    <row r="15" spans="1:14" ht="16.5">
      <c r="A15" s="3">
        <v>3</v>
      </c>
      <c r="B15" s="40" t="s">
        <v>1</v>
      </c>
      <c r="C15" s="41"/>
      <c r="D15" s="2" t="s">
        <v>27</v>
      </c>
      <c r="E15" s="25">
        <v>300</v>
      </c>
      <c r="F15" s="25">
        <f t="shared" si="0"/>
        <v>900</v>
      </c>
      <c r="G15" s="26">
        <v>267.3</v>
      </c>
      <c r="H15" s="26">
        <f t="shared" si="1"/>
        <v>801.90000000000009</v>
      </c>
      <c r="I15" s="27">
        <v>350</v>
      </c>
      <c r="J15" s="27">
        <f t="shared" ref="J15" si="4">I15*3</f>
        <v>1050</v>
      </c>
      <c r="K15" s="25">
        <v>350</v>
      </c>
      <c r="L15" s="25">
        <f t="shared" si="2"/>
        <v>1050</v>
      </c>
      <c r="M15" s="25">
        <v>445</v>
      </c>
      <c r="N15" s="23">
        <f t="shared" si="3"/>
        <v>1335</v>
      </c>
    </row>
    <row r="16" spans="1:14" ht="16.5">
      <c r="A16" s="3">
        <v>4</v>
      </c>
      <c r="B16" s="40" t="s">
        <v>0</v>
      </c>
      <c r="C16" s="41"/>
      <c r="D16" s="2" t="s">
        <v>27</v>
      </c>
      <c r="E16" s="25">
        <v>140</v>
      </c>
      <c r="F16" s="25">
        <f t="shared" si="0"/>
        <v>420</v>
      </c>
      <c r="G16" s="26"/>
      <c r="H16" s="26"/>
      <c r="I16" s="27"/>
      <c r="J16" s="27"/>
      <c r="K16" s="25">
        <v>150</v>
      </c>
      <c r="L16" s="25">
        <f t="shared" si="2"/>
        <v>450</v>
      </c>
      <c r="M16" s="25">
        <v>200</v>
      </c>
      <c r="N16" s="23">
        <f t="shared" si="3"/>
        <v>600</v>
      </c>
    </row>
    <row r="17" spans="3:14">
      <c r="C17" s="37" t="s">
        <v>28</v>
      </c>
      <c r="D17" s="37"/>
      <c r="E17" s="28">
        <f t="shared" ref="E17:N17" si="5">SUM(E13:E16)</f>
        <v>660</v>
      </c>
      <c r="F17" s="28">
        <f t="shared" si="5"/>
        <v>1980</v>
      </c>
      <c r="G17" s="29">
        <f t="shared" si="5"/>
        <v>499.68</v>
      </c>
      <c r="H17" s="29">
        <f t="shared" si="5"/>
        <v>1499.04</v>
      </c>
      <c r="I17" s="28">
        <f t="shared" si="5"/>
        <v>600</v>
      </c>
      <c r="J17" s="28">
        <f t="shared" si="5"/>
        <v>1800</v>
      </c>
      <c r="K17" s="28">
        <f t="shared" si="5"/>
        <v>1585</v>
      </c>
      <c r="L17" s="28">
        <f t="shared" si="5"/>
        <v>4755</v>
      </c>
      <c r="M17" s="28">
        <f t="shared" si="5"/>
        <v>1090</v>
      </c>
      <c r="N17" s="24">
        <f t="shared" si="5"/>
        <v>3270</v>
      </c>
    </row>
    <row r="18" spans="3:14">
      <c r="M18" s="6"/>
    </row>
    <row r="19" spans="3:14" ht="16.5">
      <c r="G19" s="8" t="s">
        <v>18</v>
      </c>
      <c r="H19" s="22" t="s">
        <v>8</v>
      </c>
      <c r="I19" s="9" t="s">
        <v>19</v>
      </c>
      <c r="J19" s="9" t="s">
        <v>25</v>
      </c>
      <c r="K19" s="10" t="s">
        <v>20</v>
      </c>
      <c r="L19" s="20"/>
    </row>
    <row r="20" spans="3:14" ht="57">
      <c r="G20" s="30" t="s">
        <v>6</v>
      </c>
      <c r="H20" s="31">
        <v>3</v>
      </c>
      <c r="I20" s="32">
        <v>449.68</v>
      </c>
      <c r="J20" s="32">
        <v>1499</v>
      </c>
      <c r="K20" s="33">
        <v>1</v>
      </c>
      <c r="L20" s="18"/>
    </row>
    <row r="21" spans="3:14" ht="57">
      <c r="G21" s="34" t="s">
        <v>5</v>
      </c>
      <c r="H21" s="34">
        <v>3</v>
      </c>
      <c r="I21" s="35">
        <v>600</v>
      </c>
      <c r="J21" s="35">
        <v>1800</v>
      </c>
      <c r="K21" s="36">
        <v>2</v>
      </c>
      <c r="L21" s="19"/>
    </row>
    <row r="22" spans="3:14" ht="42.75">
      <c r="G22" s="34" t="s">
        <v>7</v>
      </c>
      <c r="H22" s="34">
        <v>3</v>
      </c>
      <c r="I22" s="35">
        <v>660</v>
      </c>
      <c r="J22" s="35">
        <v>1980</v>
      </c>
      <c r="K22" s="36">
        <v>3</v>
      </c>
      <c r="L22" s="19"/>
    </row>
  </sheetData>
  <mergeCells count="23">
    <mergeCell ref="A3:C4"/>
    <mergeCell ref="D3:I4"/>
    <mergeCell ref="K3:M3"/>
    <mergeCell ref="K4:M4"/>
    <mergeCell ref="A5:C6"/>
    <mergeCell ref="D5:I6"/>
    <mergeCell ref="K5:M5"/>
    <mergeCell ref="K6:M6"/>
    <mergeCell ref="A9:B9"/>
    <mergeCell ref="A10:A12"/>
    <mergeCell ref="B10:C12"/>
    <mergeCell ref="D10:N10"/>
    <mergeCell ref="D11:D12"/>
    <mergeCell ref="E11:F11"/>
    <mergeCell ref="G11:H11"/>
    <mergeCell ref="I11:J11"/>
    <mergeCell ref="K11:L11"/>
    <mergeCell ref="M11:N11"/>
    <mergeCell ref="B13:C13"/>
    <mergeCell ref="B14:C14"/>
    <mergeCell ref="B15:C15"/>
    <mergeCell ref="B16:C16"/>
    <mergeCell ref="C17:D17"/>
  </mergeCells>
  <pageMargins left="0.7" right="0.7" top="0.75" bottom="0.75" header="0.3" footer="0.3"/>
  <legacyDrawing r:id="rId1"/>
  <oleObjects>
    <oleObject progId="PBrush" shapeId="2049" r:id="rId2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Mekedes Mesfin</dc:creator>
  <cp:lastModifiedBy>Mekedes Mesfin</cp:lastModifiedBy>
  <cp:lastPrinted>2019-08-16T05:23:20Z</cp:lastPrinted>
  <dcterms:created xsi:type="dcterms:W3CDTF">2019-06-11T08:04:30Z</dcterms:created>
  <dcterms:modified xsi:type="dcterms:W3CDTF">2019-08-16T09:47:36Z</dcterms:modified>
</cp:coreProperties>
</file>