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-120" yWindow="-120" windowWidth="20730" windowHeight="11160" firstSheet="3" activeTab="3"/>
  </bookViews>
  <sheets>
    <sheet name="Sheet4" sheetId="4" r:id="rId1"/>
    <sheet name="Sheet1" sheetId="1" r:id="rId2"/>
    <sheet name="megabit1-6-16" sheetId="2" r:id="rId3"/>
    <sheet name="2011" sheetId="7" r:id="rId4"/>
  </sheets>
  <calcPr calcId="12451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9" i="7"/>
  <c r="H76" i="2" l="1"/>
  <c r="H69"/>
  <c r="G72"/>
  <c r="G73" s="1"/>
  <c r="J722" i="1"/>
  <c r="J714"/>
  <c r="G74" i="2" l="1"/>
  <c r="F52"/>
  <c r="F9"/>
  <c r="G16"/>
  <c r="H764" i="1"/>
  <c r="B711"/>
  <c r="C708"/>
  <c r="C711" s="1"/>
  <c r="E723"/>
  <c r="E692"/>
  <c r="E717"/>
  <c r="E701"/>
  <c r="I750"/>
  <c r="I752" s="1"/>
  <c r="J753" s="1"/>
  <c r="H755"/>
  <c r="F686"/>
  <c r="F649"/>
  <c r="I639"/>
  <c r="I632"/>
  <c r="L622"/>
  <c r="K618"/>
  <c r="K610"/>
  <c r="I624"/>
  <c r="H639"/>
  <c r="H610"/>
  <c r="H606"/>
  <c r="H627"/>
  <c r="F554"/>
  <c r="J597"/>
  <c r="F598"/>
  <c r="H507"/>
  <c r="J519"/>
  <c r="F511"/>
  <c r="I511"/>
  <c r="H463"/>
  <c r="F461"/>
  <c r="M462"/>
  <c r="M455"/>
  <c r="N445"/>
  <c r="K443"/>
  <c r="F427"/>
  <c r="H423"/>
  <c r="I424" s="1"/>
  <c r="I369"/>
  <c r="I370" s="1"/>
  <c r="C379"/>
  <c r="D378"/>
  <c r="E377"/>
  <c r="H418"/>
  <c r="H411"/>
  <c r="F366"/>
  <c r="F367" s="1"/>
  <c r="K639" l="1"/>
  <c r="G463"/>
  <c r="L389"/>
  <c r="I396"/>
  <c r="G393"/>
  <c r="I390"/>
  <c r="G386"/>
  <c r="G375"/>
  <c r="G355"/>
  <c r="G345"/>
  <c r="F377"/>
  <c r="I329"/>
  <c r="J332"/>
  <c r="F330"/>
  <c r="F287" l="1"/>
  <c r="F244" l="1"/>
  <c r="F200" l="1"/>
  <c r="L167"/>
  <c r="L170" s="1"/>
  <c r="I176"/>
  <c r="F148"/>
  <c r="G130"/>
  <c r="J107"/>
  <c r="F107"/>
  <c r="F59"/>
  <c r="F11"/>
</calcChain>
</file>

<file path=xl/sharedStrings.xml><?xml version="1.0" encoding="utf-8"?>
<sst xmlns="http://schemas.openxmlformats.org/spreadsheetml/2006/main" count="518" uniqueCount="192">
  <si>
    <t xml:space="preserve">                                     ASER CONSTRUCTION PLC</t>
  </si>
  <si>
    <t xml:space="preserve">                               UN CLAIMED  SALARY FORM  DAILY LABOURERS PAYROLL</t>
  </si>
  <si>
    <t>NO</t>
  </si>
  <si>
    <t>NAME</t>
  </si>
  <si>
    <t>DATE</t>
  </si>
  <si>
    <t>CPVNO</t>
  </si>
  <si>
    <t>PROJECT</t>
  </si>
  <si>
    <t>AMOUNT</t>
  </si>
  <si>
    <t xml:space="preserve">Alem </t>
  </si>
  <si>
    <t>Abity   Ayele</t>
  </si>
  <si>
    <t>01/01/2008--15/01/2008</t>
  </si>
  <si>
    <t>Atiklit Tera</t>
  </si>
  <si>
    <t>Abtamu Muche</t>
  </si>
  <si>
    <t>Badu  Eimushu</t>
  </si>
  <si>
    <t>Mitiku Mekonnen</t>
  </si>
  <si>
    <t>Yosef Feyisa</t>
  </si>
  <si>
    <t>Mesfin Mengist</t>
  </si>
  <si>
    <t xml:space="preserve">Mexco </t>
  </si>
  <si>
    <t>mululwrk</t>
  </si>
  <si>
    <t>Asechu  Kefyalew</t>
  </si>
  <si>
    <t>Koye Fech</t>
  </si>
  <si>
    <t>Belste Nurie</t>
  </si>
  <si>
    <t>Girma Gutema</t>
  </si>
  <si>
    <t>Birhanu Samual</t>
  </si>
  <si>
    <t>Crusher</t>
  </si>
  <si>
    <t>FerezerShiferaw</t>
  </si>
  <si>
    <t>Niguse Beresa</t>
  </si>
  <si>
    <t>Tibebu Efrian</t>
  </si>
  <si>
    <t>Bole Arabsa</t>
  </si>
  <si>
    <t>Mehamed  Tesiso</t>
  </si>
  <si>
    <t>TOTAL</t>
  </si>
  <si>
    <t>CASHIER NAME------------------</t>
  </si>
  <si>
    <t xml:space="preserve">                         RECEIVED NAME----------------------</t>
  </si>
  <si>
    <t>Deres Yimer</t>
  </si>
  <si>
    <t>Kuleche Seboka</t>
  </si>
  <si>
    <t>Azmeraw Asrat</t>
  </si>
  <si>
    <t>Dadi Debela</t>
  </si>
  <si>
    <t>Fesha Asmamaw</t>
  </si>
  <si>
    <t>Sisay Megensa</t>
  </si>
  <si>
    <t>Tadem Tanga</t>
  </si>
  <si>
    <t>Aserat mekonne</t>
  </si>
  <si>
    <t>Betkle Aera</t>
  </si>
  <si>
    <t>Muhudin Mehidi</t>
  </si>
  <si>
    <t>BNDB</t>
  </si>
  <si>
    <t>የጥቅምት ወር 10/02/2008--16/2/2008 ደምዛቸው ን ያልወሰዱ ሰራተኞች</t>
  </si>
  <si>
    <t>Habtamu Mekonene</t>
  </si>
  <si>
    <t>Merdasa Kebede</t>
  </si>
  <si>
    <t>Tariku Grema</t>
  </si>
  <si>
    <t>01/02/2008--15/02/2008</t>
  </si>
  <si>
    <t>16/01/2008--30/01/2008</t>
  </si>
  <si>
    <t xml:space="preserve">የመስከረም  ወር ደምዛቸውን ያልወሰዱ ሰራተኞች </t>
  </si>
  <si>
    <t>Total</t>
  </si>
  <si>
    <t>16/02/2008--30/02/2008</t>
  </si>
  <si>
    <t>Melaku Kasahun</t>
  </si>
  <si>
    <t>Awoke Abebaw</t>
  </si>
  <si>
    <t>Bol Arabsa</t>
  </si>
  <si>
    <t>Mehammed Ademo</t>
  </si>
  <si>
    <t>Semer Berhe</t>
  </si>
  <si>
    <t>Baching Plan</t>
  </si>
  <si>
    <t>Daemes Meka</t>
  </si>
  <si>
    <t>Gulema Gemechu</t>
  </si>
  <si>
    <t>Selam Berhanu</t>
  </si>
  <si>
    <t>Semachew Semlash</t>
  </si>
  <si>
    <t>Tekle Abreha</t>
  </si>
  <si>
    <t>የጥቅምት ወር 15/02/2008--30/2/2008 ደምዛቸው ን ያልወሰዱ ሰራተኞች</t>
  </si>
  <si>
    <t xml:space="preserve">       UNCLAIMED  WAGE FORM DAILY labourers Paroll                           </t>
  </si>
  <si>
    <t>Abebe Geetahun</t>
  </si>
  <si>
    <t xml:space="preserve">       UNCLAIMED Salary From Employees Payroll                   </t>
  </si>
  <si>
    <t>01/02/2008--30/02/2008</t>
  </si>
  <si>
    <t>Tesfaye Getu</t>
  </si>
  <si>
    <t>Tewodros Abebe</t>
  </si>
  <si>
    <t>PAID</t>
  </si>
  <si>
    <t>01/03/2008 TO15/03/2008</t>
  </si>
  <si>
    <t>Atikilt Tera</t>
  </si>
  <si>
    <t>Yeka Abado</t>
  </si>
  <si>
    <t>Gashaw Ayele</t>
  </si>
  <si>
    <t>Gashero Tura</t>
  </si>
  <si>
    <t>Leta Kediro</t>
  </si>
  <si>
    <t>Biruk Alemayew</t>
  </si>
  <si>
    <t>Seng Tera</t>
  </si>
  <si>
    <t>Andegena Addisu</t>
  </si>
  <si>
    <t>Ahemed Seid</t>
  </si>
  <si>
    <t>Meganagha</t>
  </si>
  <si>
    <t>Hanok Shimeles</t>
  </si>
  <si>
    <t>Tesfahun Yamane</t>
  </si>
  <si>
    <t>husen Yimer</t>
  </si>
  <si>
    <t>AbatyehunMeseret</t>
  </si>
  <si>
    <t>16/03/2008To30/03/2008</t>
  </si>
  <si>
    <t>YekaAbado</t>
  </si>
  <si>
    <t>AhimedAyalew</t>
  </si>
  <si>
    <t>Habitamu Muche</t>
  </si>
  <si>
    <t>Getu Dero</t>
  </si>
  <si>
    <t>Demeke Desta</t>
  </si>
  <si>
    <t>Meresa Mengesha</t>
  </si>
  <si>
    <t>Alemayehu Abate</t>
  </si>
  <si>
    <t>Baching</t>
  </si>
  <si>
    <t>yeka Abado</t>
  </si>
  <si>
    <t>total chek</t>
  </si>
  <si>
    <t>fuel</t>
  </si>
  <si>
    <t>loding unloding</t>
  </si>
  <si>
    <t>Additional</t>
  </si>
  <si>
    <t>Salary Adustment</t>
  </si>
  <si>
    <t>date 01/01/2016</t>
  </si>
  <si>
    <t>Abdis  Laleso</t>
  </si>
  <si>
    <t>01/04/2008--15/04/2008</t>
  </si>
  <si>
    <t>koye Fech</t>
  </si>
  <si>
    <t>Amare Chkole</t>
  </si>
  <si>
    <t>Asmamaw Abe</t>
  </si>
  <si>
    <t>Getu Atiso</t>
  </si>
  <si>
    <t>Diro Daba</t>
  </si>
  <si>
    <t>Mekash  Seid</t>
  </si>
  <si>
    <t>Admasu Meseret</t>
  </si>
  <si>
    <t>Alene Mekuria</t>
  </si>
  <si>
    <t>Endris Muhuye</t>
  </si>
  <si>
    <t>Kedir Wole</t>
  </si>
  <si>
    <t>Seifu Tadesse</t>
  </si>
  <si>
    <t>Shambel Delelegn</t>
  </si>
  <si>
    <t>Atikilet tera</t>
  </si>
  <si>
    <t>H o</t>
  </si>
  <si>
    <t>Biretukan Denberu</t>
  </si>
  <si>
    <t>Ho</t>
  </si>
  <si>
    <t>Debaseu Muli</t>
  </si>
  <si>
    <t>Bethle</t>
  </si>
  <si>
    <t>16/4/2008--30/4/2008</t>
  </si>
  <si>
    <t>16/4/2008--30/4/2013</t>
  </si>
  <si>
    <t>Birhanu Alegagn</t>
  </si>
  <si>
    <t xml:space="preserve">Central Work </t>
  </si>
  <si>
    <t>01/05/2008--15/05/2008</t>
  </si>
  <si>
    <t>Azemeraw Aserate</t>
  </si>
  <si>
    <t>Gashaw Berara</t>
  </si>
  <si>
    <t>Husen Ali</t>
  </si>
  <si>
    <t>Ebrahim Ahimed</t>
  </si>
  <si>
    <t>Tadesse  Ashgire</t>
  </si>
  <si>
    <t>Aspalt Plant</t>
  </si>
  <si>
    <t>Genene Momo</t>
  </si>
  <si>
    <t xml:space="preserve">Central </t>
  </si>
  <si>
    <t>TAOTAL</t>
  </si>
  <si>
    <t>ከታሀሳስ 26/04/2008 እስከጥር 15/05/2008 ድረስደሞዛቸውን ያልወሰዱ ሰራተኞች</t>
  </si>
  <si>
    <t>Lamerot Akilu</t>
  </si>
  <si>
    <t>26/04/08--15/05/08</t>
  </si>
  <si>
    <t>Meazaw  Tesefa</t>
  </si>
  <si>
    <t xml:space="preserve">Bethle  </t>
  </si>
  <si>
    <t>Samuyil Derssa</t>
  </si>
  <si>
    <t>Sineworki Anidwalem</t>
  </si>
  <si>
    <t>16/05/08---30/05/08</t>
  </si>
  <si>
    <t>ከጥር  16/05/2008 እስከጥር 30/05/2008 ድረስደሞዛቸውን ያልወሰዱ ሰራተኞች</t>
  </si>
  <si>
    <t>bach</t>
  </si>
  <si>
    <t>plat</t>
  </si>
  <si>
    <t>central</t>
  </si>
  <si>
    <t>crusher</t>
  </si>
  <si>
    <t>koye</t>
  </si>
  <si>
    <t>ከየካቲት 01/6/2008 እስከየካቲት15/6/2008 ድረስደሞዛቸውን ያልወሰዱ ሰራተኞች</t>
  </si>
  <si>
    <t>01/06/2008-15/06/2008</t>
  </si>
  <si>
    <t>Birhanu Mekonen</t>
  </si>
  <si>
    <t>Chala Lema</t>
  </si>
  <si>
    <t>Emebet Weyis</t>
  </si>
  <si>
    <t>Tesfaye Kilito</t>
  </si>
  <si>
    <t>Kpye Fech</t>
  </si>
  <si>
    <t>Gezachew Taf</t>
  </si>
  <si>
    <t>Tigist Mekonnen</t>
  </si>
  <si>
    <t>Bachining</t>
  </si>
  <si>
    <t>Mulugeta Welde</t>
  </si>
  <si>
    <t>16/6/2008--30/6/2008</t>
  </si>
  <si>
    <t>Endegea Adisu</t>
  </si>
  <si>
    <t xml:space="preserve">Meganagha </t>
  </si>
  <si>
    <t>centeral</t>
  </si>
  <si>
    <t xml:space="preserve">Kpye </t>
  </si>
  <si>
    <t>Batching</t>
  </si>
  <si>
    <t>Kufa Uluka</t>
  </si>
  <si>
    <t xml:space="preserve"> Central Work</t>
  </si>
  <si>
    <t xml:space="preserve">Alebes Teshome </t>
  </si>
  <si>
    <t xml:space="preserve">Habtamu Mamo </t>
  </si>
  <si>
    <t xml:space="preserve">Tadese Haile </t>
  </si>
  <si>
    <t>Tesfaye Tadese</t>
  </si>
  <si>
    <t>01/07/08-15/07/08</t>
  </si>
  <si>
    <t>16/07/2008--30/07/2008</t>
  </si>
  <si>
    <t>Alemayehu Asefa</t>
  </si>
  <si>
    <t>Adamu Abera</t>
  </si>
  <si>
    <t>CPV.NO</t>
  </si>
  <si>
    <t xml:space="preserve">TOTAL </t>
  </si>
  <si>
    <t>አሰር ኮንሰትራክሽንኃ.የተ.የግ.ማ</t>
  </si>
  <si>
    <t>Document No</t>
  </si>
  <si>
    <t>ASER CONSTRUCTION P.L.C</t>
  </si>
  <si>
    <t>Issue .No</t>
  </si>
  <si>
    <t>Un claimed Salary</t>
  </si>
  <si>
    <t>OF/FAD/053</t>
  </si>
  <si>
    <t>No</t>
  </si>
  <si>
    <t xml:space="preserve">                 Signature------------------</t>
  </si>
  <si>
    <t>CASHER NAME -------------------------------</t>
  </si>
  <si>
    <t xml:space="preserve">       RECEIVED NAME--------------------------</t>
  </si>
  <si>
    <t xml:space="preserve">                       Signature------------------------</t>
  </si>
  <si>
    <t>Form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</si>
</sst>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3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rgb="FFFF0000"/>
      <name val="Calibri"/>
      <family val="2"/>
    </font>
    <font>
      <i/>
      <sz val="16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4"/>
      <color rgb="FF0070C0"/>
      <name val="Calibri"/>
      <family val="2"/>
      <scheme val="minor"/>
    </font>
    <font>
      <sz val="14"/>
      <color rgb="FF0070C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4"/>
      <color theme="1"/>
      <name val="Ge'ez-1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74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3" fontId="0" fillId="0" borderId="0" xfId="1" applyFon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/>
    </xf>
    <xf numFmtId="43" fontId="1" fillId="0" borderId="0" xfId="0" applyNumberFormat="1" applyFont="1"/>
    <xf numFmtId="0" fontId="1" fillId="0" borderId="1" xfId="0" applyFont="1" applyBorder="1"/>
    <xf numFmtId="43" fontId="1" fillId="0" borderId="1" xfId="1" applyFont="1" applyBorder="1"/>
    <xf numFmtId="43" fontId="1" fillId="0" borderId="1" xfId="0" applyNumberFormat="1" applyFont="1" applyBorder="1"/>
    <xf numFmtId="0" fontId="5" fillId="0" borderId="1" xfId="0" applyFont="1" applyBorder="1"/>
    <xf numFmtId="43" fontId="4" fillId="0" borderId="1" xfId="1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43" fontId="0" fillId="0" borderId="0" xfId="0" applyNumberFormat="1"/>
    <xf numFmtId="0" fontId="6" fillId="0" borderId="0" xfId="0" applyFont="1"/>
    <xf numFmtId="0" fontId="8" fillId="0" borderId="0" xfId="0" applyFont="1"/>
    <xf numFmtId="43" fontId="8" fillId="0" borderId="0" xfId="1" applyFont="1"/>
    <xf numFmtId="43" fontId="9" fillId="0" borderId="0" xfId="1" applyFont="1"/>
    <xf numFmtId="0" fontId="11" fillId="0" borderId="0" xfId="0" applyFont="1"/>
    <xf numFmtId="43" fontId="12" fillId="0" borderId="1" xfId="1" applyFont="1" applyBorder="1"/>
    <xf numFmtId="0" fontId="13" fillId="0" borderId="0" xfId="2" applyFont="1" applyAlignment="1" applyProtection="1"/>
    <xf numFmtId="0" fontId="14" fillId="0" borderId="0" xfId="0" applyFont="1"/>
    <xf numFmtId="0" fontId="15" fillId="0" borderId="0" xfId="0" applyFont="1"/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vertical="top"/>
    </xf>
    <xf numFmtId="0" fontId="17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43" fontId="15" fillId="0" borderId="1" xfId="0" applyNumberFormat="1" applyFont="1" applyBorder="1"/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43" fontId="18" fillId="0" borderId="1" xfId="1" applyFont="1" applyBorder="1"/>
    <xf numFmtId="0" fontId="15" fillId="0" borderId="1" xfId="0" applyFont="1" applyBorder="1"/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43" fontId="19" fillId="0" borderId="1" xfId="1" applyFont="1" applyBorder="1"/>
    <xf numFmtId="0" fontId="2" fillId="0" borderId="1" xfId="0" applyFont="1" applyBorder="1"/>
    <xf numFmtId="0" fontId="2" fillId="0" borderId="1" xfId="0" applyFont="1" applyBorder="1" applyAlignment="1">
      <alignment vertical="top"/>
    </xf>
    <xf numFmtId="43" fontId="17" fillId="0" borderId="1" xfId="1" applyFont="1" applyBorder="1"/>
    <xf numFmtId="0" fontId="16" fillId="0" borderId="2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2" xfId="0" applyFont="1" applyBorder="1" applyAlignment="1">
      <alignment horizontal="left"/>
    </xf>
    <xf numFmtId="0" fontId="16" fillId="0" borderId="0" xfId="0" applyFont="1" applyAlignment="1">
      <alignment horizontal="left"/>
    </xf>
    <xf numFmtId="43" fontId="5" fillId="0" borderId="1" xfId="1" applyFont="1" applyBorder="1"/>
    <xf numFmtId="43" fontId="18" fillId="0" borderId="1" xfId="0" applyNumberFormat="1" applyFont="1" applyBorder="1"/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43" fontId="2" fillId="0" borderId="1" xfId="1" applyFont="1" applyBorder="1"/>
    <xf numFmtId="0" fontId="20" fillId="0" borderId="0" xfId="0" applyFont="1" applyAlignment="1">
      <alignment horizontal="left"/>
    </xf>
    <xf numFmtId="0" fontId="20" fillId="0" borderId="1" xfId="0" applyFont="1" applyBorder="1"/>
    <xf numFmtId="0" fontId="21" fillId="0" borderId="0" xfId="0" applyFont="1" applyAlignment="1">
      <alignment horizontal="left" vertical="top"/>
    </xf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20" fillId="0" borderId="0" xfId="0" applyFont="1"/>
    <xf numFmtId="0" fontId="21" fillId="0" borderId="0" xfId="0" applyFont="1" applyAlignment="1">
      <alignment horizontal="center"/>
    </xf>
    <xf numFmtId="0" fontId="21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/>
    <xf numFmtId="0" fontId="7" fillId="0" borderId="0" xfId="0" applyFont="1"/>
    <xf numFmtId="0" fontId="2" fillId="0" borderId="0" xfId="0" applyFont="1"/>
    <xf numFmtId="43" fontId="2" fillId="0" borderId="0" xfId="1" applyFont="1"/>
    <xf numFmtId="0" fontId="19" fillId="0" borderId="3" xfId="0" applyFont="1" applyBorder="1"/>
    <xf numFmtId="0" fontId="1" fillId="0" borderId="1" xfId="0" applyFont="1" applyBorder="1" applyAlignment="1">
      <alignment horizontal="left"/>
    </xf>
    <xf numFmtId="0" fontId="1" fillId="2" borderId="1" xfId="0" applyFont="1" applyFill="1" applyBorder="1"/>
    <xf numFmtId="43" fontId="11" fillId="0" borderId="0" xfId="0" applyNumberFormat="1" applyFont="1"/>
    <xf numFmtId="43" fontId="11" fillId="0" borderId="0" xfId="1" applyFont="1"/>
    <xf numFmtId="43" fontId="8" fillId="0" borderId="0" xfId="0" applyNumberFormat="1" applyFont="1"/>
    <xf numFmtId="43" fontId="22" fillId="0" borderId="0" xfId="1" applyFont="1"/>
    <xf numFmtId="43" fontId="0" fillId="3" borderId="0" xfId="0" applyNumberFormat="1" applyFill="1"/>
    <xf numFmtId="0" fontId="0" fillId="0" borderId="0" xfId="0" applyAlignment="1">
      <alignment horizontal="right"/>
    </xf>
    <xf numFmtId="0" fontId="24" fillId="0" borderId="1" xfId="0" applyFont="1" applyBorder="1"/>
    <xf numFmtId="14" fontId="24" fillId="0" borderId="1" xfId="0" applyNumberFormat="1" applyFont="1" applyBorder="1"/>
    <xf numFmtId="0" fontId="24" fillId="0" borderId="1" xfId="0" applyFont="1" applyBorder="1" applyAlignment="1">
      <alignment horizontal="center"/>
    </xf>
    <xf numFmtId="43" fontId="24" fillId="0" borderId="1" xfId="1" applyFont="1" applyBorder="1"/>
    <xf numFmtId="0" fontId="23" fillId="0" borderId="1" xfId="0" applyFont="1" applyBorder="1" applyAlignment="1">
      <alignment horizontal="left" vertical="top"/>
    </xf>
    <xf numFmtId="43" fontId="23" fillId="0" borderId="1" xfId="1" applyFont="1" applyBorder="1" applyAlignment="1">
      <alignment horizontal="left" vertical="top"/>
    </xf>
    <xf numFmtId="43" fontId="24" fillId="0" borderId="1" xfId="1" applyFont="1" applyBorder="1" applyAlignment="1">
      <alignment horizontal="right"/>
    </xf>
    <xf numFmtId="43" fontId="24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top"/>
    </xf>
    <xf numFmtId="0" fontId="18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 vertical="top"/>
    </xf>
    <xf numFmtId="43" fontId="6" fillId="0" borderId="1" xfId="1" applyFont="1" applyBorder="1"/>
    <xf numFmtId="43" fontId="25" fillId="0" borderId="1" xfId="0" applyNumberFormat="1" applyFont="1" applyBorder="1"/>
    <xf numFmtId="0" fontId="26" fillId="0" borderId="1" xfId="0" applyFont="1" applyBorder="1"/>
    <xf numFmtId="0" fontId="27" fillId="0" borderId="0" xfId="0" applyFont="1" applyAlignment="1">
      <alignment horizontal="left" vertical="top"/>
    </xf>
    <xf numFmtId="0" fontId="27" fillId="0" borderId="2" xfId="0" applyFont="1" applyBorder="1" applyAlignment="1">
      <alignment horizontal="left" vertical="top"/>
    </xf>
    <xf numFmtId="0" fontId="0" fillId="3" borderId="0" xfId="0" applyFill="1"/>
    <xf numFmtId="0" fontId="27" fillId="0" borderId="4" xfId="0" applyFont="1" applyBorder="1" applyAlignment="1">
      <alignment horizontal="left" vertical="top"/>
    </xf>
    <xf numFmtId="0" fontId="18" fillId="0" borderId="6" xfId="0" applyFont="1" applyBorder="1" applyAlignment="1">
      <alignment horizontal="left"/>
    </xf>
    <xf numFmtId="0" fontId="18" fillId="0" borderId="7" xfId="0" applyFont="1" applyBorder="1" applyAlignment="1">
      <alignment horizontal="left" vertical="top"/>
    </xf>
    <xf numFmtId="0" fontId="18" fillId="0" borderId="5" xfId="0" applyFont="1" applyBorder="1" applyAlignment="1">
      <alignment horizontal="left"/>
    </xf>
    <xf numFmtId="0" fontId="28" fillId="0" borderId="1" xfId="0" applyFont="1" applyBorder="1"/>
    <xf numFmtId="0" fontId="29" fillId="0" borderId="1" xfId="0" applyFont="1" applyBorder="1"/>
    <xf numFmtId="0" fontId="18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43" fontId="0" fillId="0" borderId="1" xfId="1" applyFont="1" applyBorder="1"/>
    <xf numFmtId="43" fontId="0" fillId="0" borderId="1" xfId="0" applyNumberFormat="1" applyBorder="1"/>
    <xf numFmtId="0" fontId="0" fillId="0" borderId="8" xfId="0" applyBorder="1"/>
    <xf numFmtId="0" fontId="28" fillId="0" borderId="0" xfId="0" applyFont="1"/>
    <xf numFmtId="0" fontId="29" fillId="0" borderId="7" xfId="0" applyFont="1" applyBorder="1"/>
    <xf numFmtId="43" fontId="1" fillId="0" borderId="0" xfId="1" applyFont="1"/>
    <xf numFmtId="0" fontId="0" fillId="0" borderId="3" xfId="0" applyBorder="1"/>
    <xf numFmtId="43" fontId="0" fillId="0" borderId="0" xfId="1" applyFont="1" applyAlignment="1">
      <alignment horizontal="left"/>
    </xf>
    <xf numFmtId="0" fontId="0" fillId="0" borderId="1" xfId="0" applyBorder="1" applyAlignment="1">
      <alignment horizontal="center"/>
    </xf>
    <xf numFmtId="43" fontId="11" fillId="0" borderId="1" xfId="1" applyFont="1" applyBorder="1"/>
    <xf numFmtId="0" fontId="0" fillId="0" borderId="0" xfId="1" applyNumberFormat="1" applyFont="1"/>
    <xf numFmtId="0" fontId="0" fillId="0" borderId="0" xfId="1" applyNumberFormat="1" applyFont="1" applyAlignment="1">
      <alignment horizontal="left"/>
    </xf>
    <xf numFmtId="43" fontId="21" fillId="0" borderId="1" xfId="1" applyFont="1" applyBorder="1"/>
    <xf numFmtId="0" fontId="1" fillId="0" borderId="1" xfId="1" applyNumberFormat="1" applyFont="1" applyBorder="1" applyAlignment="1">
      <alignment horizontal="left"/>
    </xf>
    <xf numFmtId="0" fontId="30" fillId="0" borderId="1" xfId="1" applyNumberFormat="1" applyFont="1" applyBorder="1" applyAlignment="1">
      <alignment horizontal="left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2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11" fillId="0" borderId="1" xfId="1" applyNumberFormat="1" applyFont="1" applyBorder="1" applyAlignment="1">
      <alignment horizontal="left"/>
    </xf>
    <xf numFmtId="0" fontId="11" fillId="0" borderId="1" xfId="0" applyFont="1" applyBorder="1"/>
    <xf numFmtId="0" fontId="31" fillId="0" borderId="1" xfId="0" applyFont="1" applyBorder="1"/>
    <xf numFmtId="0" fontId="32" fillId="0" borderId="0" xfId="0" applyFont="1"/>
    <xf numFmtId="0" fontId="0" fillId="0" borderId="20" xfId="0" applyBorder="1"/>
    <xf numFmtId="0" fontId="0" fillId="0" borderId="21" xfId="0" applyBorder="1"/>
    <xf numFmtId="0" fontId="0" fillId="0" borderId="16" xfId="0" applyBorder="1"/>
    <xf numFmtId="0" fontId="0" fillId="0" borderId="17" xfId="0" applyBorder="1"/>
    <xf numFmtId="0" fontId="33" fillId="0" borderId="11" xfId="0" applyFont="1" applyBorder="1" applyAlignment="1"/>
    <xf numFmtId="0" fontId="2" fillId="0" borderId="16" xfId="0" applyFont="1" applyBorder="1" applyAlignment="1"/>
    <xf numFmtId="0" fontId="34" fillId="0" borderId="1" xfId="0" applyFont="1" applyBorder="1" applyAlignment="1">
      <alignment horizontal="center"/>
    </xf>
    <xf numFmtId="0" fontId="34" fillId="0" borderId="16" xfId="0" applyFont="1" applyBorder="1" applyAlignment="1"/>
    <xf numFmtId="0" fontId="34" fillId="0" borderId="19" xfId="0" applyFont="1" applyBorder="1"/>
    <xf numFmtId="0" fontId="34" fillId="0" borderId="11" xfId="0" applyFont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5" fillId="0" borderId="0" xfId="0" applyFont="1"/>
    <xf numFmtId="0" fontId="35" fillId="0" borderId="0" xfId="0" applyFont="1" applyBorder="1"/>
    <xf numFmtId="0" fontId="34" fillId="0" borderId="0" xfId="0" applyFont="1" applyBorder="1" applyAlignment="1">
      <alignment vertical="center"/>
    </xf>
    <xf numFmtId="0" fontId="35" fillId="0" borderId="16" xfId="0" applyFont="1" applyBorder="1"/>
    <xf numFmtId="0" fontId="35" fillId="0" borderId="19" xfId="0" applyFont="1" applyBorder="1"/>
    <xf numFmtId="0" fontId="34" fillId="0" borderId="19" xfId="0" applyFont="1" applyBorder="1" applyAlignment="1">
      <alignment vertical="center"/>
    </xf>
    <xf numFmtId="0" fontId="34" fillId="0" borderId="8" xfId="0" applyFont="1" applyBorder="1" applyAlignment="1">
      <alignment horizontal="center"/>
    </xf>
    <xf numFmtId="43" fontId="35" fillId="0" borderId="8" xfId="1" applyFont="1" applyBorder="1"/>
    <xf numFmtId="0" fontId="34" fillId="0" borderId="9" xfId="0" applyFont="1" applyBorder="1" applyAlignment="1">
      <alignment horizontal="center"/>
    </xf>
    <xf numFmtId="0" fontId="34" fillId="0" borderId="10" xfId="0" applyFont="1" applyBorder="1" applyAlignment="1">
      <alignment horizontal="center"/>
    </xf>
    <xf numFmtId="43" fontId="35" fillId="0" borderId="15" xfId="1" applyFont="1" applyBorder="1"/>
    <xf numFmtId="0" fontId="36" fillId="0" borderId="15" xfId="0" applyFont="1" applyBorder="1" applyAlignment="1">
      <alignment horizontal="left"/>
    </xf>
    <xf numFmtId="0" fontId="34" fillId="0" borderId="15" xfId="0" applyFont="1" applyBorder="1" applyAlignment="1">
      <alignment horizontal="left"/>
    </xf>
    <xf numFmtId="0" fontId="36" fillId="0" borderId="13" xfId="0" applyFont="1" applyBorder="1" applyAlignment="1">
      <alignment horizontal="left"/>
    </xf>
    <xf numFmtId="0" fontId="36" fillId="0" borderId="18" xfId="0" applyFont="1" applyBorder="1" applyAlignment="1">
      <alignment horizontal="left"/>
    </xf>
    <xf numFmtId="0" fontId="34" fillId="0" borderId="1" xfId="0" applyFont="1" applyBorder="1"/>
    <xf numFmtId="0" fontId="35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7" fillId="0" borderId="0" xfId="0" applyFont="1"/>
    <xf numFmtId="0" fontId="38" fillId="0" borderId="0" xfId="0" applyFont="1" applyAlignment="1">
      <alignment horizontal="left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8" fillId="0" borderId="0" xfId="0" applyFont="1"/>
    <xf numFmtId="0" fontId="33" fillId="0" borderId="13" xfId="0" applyFont="1" applyBorder="1" applyAlignment="1"/>
    <xf numFmtId="0" fontId="2" fillId="0" borderId="18" xfId="0" applyFont="1" applyBorder="1" applyAlignment="1"/>
    <xf numFmtId="0" fontId="34" fillId="0" borderId="17" xfId="0" applyFont="1" applyBorder="1"/>
    <xf numFmtId="0" fontId="34" fillId="0" borderId="1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34637</xdr:rowOff>
    </xdr:from>
    <xdr:to>
      <xdr:col>1</xdr:col>
      <xdr:colOff>981076</xdr:colOff>
      <xdr:row>4</xdr:row>
      <xdr:rowOff>142876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" y="663287"/>
          <a:ext cx="1295400" cy="63211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15" sqref="C15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4"/>
  <sheetViews>
    <sheetView topLeftCell="A698" workbookViewId="0">
      <selection activeCell="B721" sqref="B721"/>
    </sheetView>
  </sheetViews>
  <sheetFormatPr defaultRowHeight="15"/>
  <cols>
    <col min="1" max="1" width="5.140625" customWidth="1"/>
    <col min="2" max="2" width="20.28515625" customWidth="1"/>
    <col min="3" max="3" width="21.140625" customWidth="1"/>
    <col min="4" max="4" width="7.28515625" customWidth="1"/>
    <col min="5" max="5" width="14.42578125" customWidth="1"/>
    <col min="6" max="6" width="15" customWidth="1"/>
    <col min="7" max="7" width="11.42578125" customWidth="1"/>
    <col min="8" max="8" width="18" customWidth="1"/>
    <col min="9" max="9" width="21.28515625" customWidth="1"/>
    <col min="10" max="10" width="12.42578125" customWidth="1"/>
    <col min="11" max="11" width="11.7109375" customWidth="1"/>
    <col min="12" max="13" width="10.5703125" customWidth="1"/>
    <col min="14" max="14" width="12.42578125" customWidth="1"/>
  </cols>
  <sheetData>
    <row r="1" spans="1:7">
      <c r="C1">
        <v>2008</v>
      </c>
      <c r="F1" t="s">
        <v>8</v>
      </c>
    </row>
    <row r="2" spans="1:7" ht="18.75">
      <c r="A2" s="5"/>
      <c r="B2" s="7" t="s">
        <v>0</v>
      </c>
      <c r="C2" s="7"/>
      <c r="D2" s="7"/>
      <c r="E2" s="7"/>
      <c r="F2" s="7"/>
      <c r="G2" s="16"/>
    </row>
    <row r="3" spans="1:7" ht="18.75">
      <c r="A3" s="5"/>
      <c r="B3" s="18" t="s">
        <v>1</v>
      </c>
      <c r="C3" s="18"/>
      <c r="D3" s="18"/>
      <c r="E3" s="18"/>
      <c r="F3" s="18"/>
      <c r="G3" s="6"/>
    </row>
    <row r="4" spans="1:7">
      <c r="A4" s="9" t="s">
        <v>2</v>
      </c>
      <c r="B4" s="17" t="s">
        <v>3</v>
      </c>
      <c r="C4" s="17" t="s">
        <v>4</v>
      </c>
      <c r="D4" s="9" t="s">
        <v>5</v>
      </c>
      <c r="E4" s="17" t="s">
        <v>6</v>
      </c>
      <c r="F4" s="17" t="s">
        <v>7</v>
      </c>
    </row>
    <row r="5" spans="1:7">
      <c r="A5" s="1">
        <v>1</v>
      </c>
      <c r="B5" s="9" t="s">
        <v>9</v>
      </c>
      <c r="C5" s="9" t="s">
        <v>10</v>
      </c>
      <c r="D5" s="17">
        <v>1448</v>
      </c>
      <c r="E5" s="9" t="s">
        <v>11</v>
      </c>
      <c r="F5" s="10">
        <v>364.31</v>
      </c>
    </row>
    <row r="6" spans="1:7">
      <c r="A6" s="1">
        <v>2</v>
      </c>
      <c r="B6" s="9" t="s">
        <v>12</v>
      </c>
      <c r="C6" s="9" t="s">
        <v>10</v>
      </c>
      <c r="D6" s="17">
        <v>1448</v>
      </c>
      <c r="E6" s="9" t="s">
        <v>11</v>
      </c>
      <c r="F6" s="10">
        <v>402.84</v>
      </c>
    </row>
    <row r="7" spans="1:7">
      <c r="A7" s="1">
        <v>3</v>
      </c>
      <c r="B7" s="9" t="s">
        <v>13</v>
      </c>
      <c r="C7" s="9" t="s">
        <v>10</v>
      </c>
      <c r="D7" s="17">
        <v>1448</v>
      </c>
      <c r="E7" s="9" t="s">
        <v>11</v>
      </c>
      <c r="F7" s="10">
        <v>242.25</v>
      </c>
    </row>
    <row r="8" spans="1:7">
      <c r="A8" s="1">
        <v>4</v>
      </c>
      <c r="B8" s="9" t="s">
        <v>14</v>
      </c>
      <c r="C8" s="9" t="s">
        <v>10</v>
      </c>
      <c r="D8" s="17">
        <v>1448</v>
      </c>
      <c r="E8" s="9" t="s">
        <v>11</v>
      </c>
      <c r="F8" s="10">
        <v>330</v>
      </c>
    </row>
    <row r="9" spans="1:7">
      <c r="A9" s="1">
        <v>5</v>
      </c>
      <c r="B9" s="9" t="s">
        <v>15</v>
      </c>
      <c r="C9" s="9" t="s">
        <v>10</v>
      </c>
      <c r="D9" s="17">
        <v>1448</v>
      </c>
      <c r="E9" s="9" t="s">
        <v>11</v>
      </c>
      <c r="F9" s="10">
        <v>177</v>
      </c>
    </row>
    <row r="10" spans="1:7">
      <c r="A10" s="1">
        <v>6</v>
      </c>
      <c r="B10" s="9" t="s">
        <v>16</v>
      </c>
      <c r="C10" s="9" t="s">
        <v>10</v>
      </c>
      <c r="D10" s="17">
        <v>1448</v>
      </c>
      <c r="E10" s="9" t="s">
        <v>17</v>
      </c>
      <c r="F10" s="10">
        <v>171.09</v>
      </c>
    </row>
    <row r="11" spans="1:7" ht="23.25">
      <c r="A11" s="1"/>
      <c r="B11" s="12" t="s">
        <v>30</v>
      </c>
      <c r="C11" s="9"/>
      <c r="D11" s="9"/>
      <c r="E11" s="9"/>
      <c r="F11" s="13">
        <f>SUM(F5:F10)</f>
        <v>1687.49</v>
      </c>
    </row>
    <row r="12" spans="1:7">
      <c r="F12" s="4"/>
    </row>
    <row r="13" spans="1:7">
      <c r="F13" s="4"/>
    </row>
    <row r="15" spans="1:7">
      <c r="B15" s="14"/>
      <c r="C15" s="14"/>
      <c r="D15" s="15"/>
      <c r="E15" s="14"/>
    </row>
    <row r="23" spans="2:5">
      <c r="B23" s="14" t="s">
        <v>31</v>
      </c>
      <c r="C23" s="14"/>
      <c r="D23" s="15" t="s">
        <v>32</v>
      </c>
      <c r="E23" s="14"/>
    </row>
    <row r="47" spans="1:6">
      <c r="E47" s="14" t="s">
        <v>18</v>
      </c>
    </row>
    <row r="48" spans="1:6" ht="18.75">
      <c r="A48" s="5"/>
      <c r="B48" s="7" t="s">
        <v>0</v>
      </c>
      <c r="C48" s="7"/>
      <c r="D48" s="7"/>
      <c r="E48" s="7"/>
      <c r="F48" s="7"/>
    </row>
    <row r="49" spans="1:6" ht="18.75">
      <c r="A49" s="46"/>
      <c r="B49" s="47" t="s">
        <v>1</v>
      </c>
      <c r="C49" s="47"/>
      <c r="D49" s="47"/>
      <c r="E49" s="47"/>
      <c r="F49" s="47"/>
    </row>
    <row r="50" spans="1:6">
      <c r="A50" s="9" t="s">
        <v>2</v>
      </c>
      <c r="B50" s="3" t="s">
        <v>3</v>
      </c>
      <c r="C50" s="3" t="s">
        <v>4</v>
      </c>
      <c r="D50" s="2" t="s">
        <v>5</v>
      </c>
      <c r="E50" s="3" t="s">
        <v>6</v>
      </c>
      <c r="F50" s="3" t="s">
        <v>7</v>
      </c>
    </row>
    <row r="51" spans="1:6">
      <c r="A51" s="9">
        <v>1</v>
      </c>
      <c r="B51" s="31" t="s">
        <v>19</v>
      </c>
      <c r="C51" s="31" t="s">
        <v>10</v>
      </c>
      <c r="D51" s="32">
        <v>1447</v>
      </c>
      <c r="E51" s="31" t="s">
        <v>20</v>
      </c>
      <c r="F51" s="48">
        <v>159</v>
      </c>
    </row>
    <row r="52" spans="1:6">
      <c r="A52" s="9">
        <v>2</v>
      </c>
      <c r="B52" s="31" t="s">
        <v>21</v>
      </c>
      <c r="C52" s="31" t="s">
        <v>10</v>
      </c>
      <c r="D52" s="32">
        <v>1447</v>
      </c>
      <c r="E52" s="31" t="s">
        <v>20</v>
      </c>
      <c r="F52" s="48">
        <v>1223.55</v>
      </c>
    </row>
    <row r="53" spans="1:6">
      <c r="A53" s="9">
        <v>3</v>
      </c>
      <c r="B53" s="31" t="s">
        <v>22</v>
      </c>
      <c r="C53" s="31" t="s">
        <v>10</v>
      </c>
      <c r="D53" s="32">
        <v>1447</v>
      </c>
      <c r="E53" s="31" t="s">
        <v>20</v>
      </c>
      <c r="F53" s="48">
        <v>354.19</v>
      </c>
    </row>
    <row r="54" spans="1:6">
      <c r="A54" s="9">
        <v>4</v>
      </c>
      <c r="B54" s="31" t="s">
        <v>23</v>
      </c>
      <c r="C54" s="31" t="s">
        <v>10</v>
      </c>
      <c r="D54" s="32">
        <v>1447</v>
      </c>
      <c r="E54" s="31" t="s">
        <v>24</v>
      </c>
      <c r="F54" s="48">
        <v>175.1</v>
      </c>
    </row>
    <row r="55" spans="1:6">
      <c r="A55" s="9">
        <v>5</v>
      </c>
      <c r="B55" s="31" t="s">
        <v>25</v>
      </c>
      <c r="C55" s="31" t="s">
        <v>10</v>
      </c>
      <c r="D55" s="32">
        <v>1447</v>
      </c>
      <c r="E55" s="31" t="s">
        <v>24</v>
      </c>
      <c r="F55" s="48">
        <v>461.91</v>
      </c>
    </row>
    <row r="56" spans="1:6">
      <c r="A56" s="9">
        <v>6</v>
      </c>
      <c r="B56" s="31" t="s">
        <v>26</v>
      </c>
      <c r="C56" s="31" t="s">
        <v>10</v>
      </c>
      <c r="D56" s="32">
        <v>1447</v>
      </c>
      <c r="E56" s="31" t="s">
        <v>24</v>
      </c>
      <c r="F56" s="48">
        <v>160.55000000000001</v>
      </c>
    </row>
    <row r="57" spans="1:6">
      <c r="A57" s="9">
        <v>7</v>
      </c>
      <c r="B57" s="31" t="s">
        <v>27</v>
      </c>
      <c r="C57" s="31" t="s">
        <v>10</v>
      </c>
      <c r="D57" s="32">
        <v>1447</v>
      </c>
      <c r="E57" s="31" t="s">
        <v>28</v>
      </c>
      <c r="F57" s="48">
        <v>120</v>
      </c>
    </row>
    <row r="58" spans="1:6">
      <c r="A58" s="9">
        <v>8</v>
      </c>
      <c r="B58" s="31" t="s">
        <v>29</v>
      </c>
      <c r="C58" s="31" t="s">
        <v>10</v>
      </c>
      <c r="D58" s="32">
        <v>1447</v>
      </c>
      <c r="E58" s="31" t="s">
        <v>28</v>
      </c>
      <c r="F58" s="48">
        <v>120</v>
      </c>
    </row>
    <row r="59" spans="1:6">
      <c r="A59" s="9"/>
      <c r="B59" s="9" t="s">
        <v>30</v>
      </c>
      <c r="C59" s="9"/>
      <c r="D59" s="9"/>
      <c r="E59" s="9"/>
      <c r="F59" s="11">
        <f>SUM(F51:F58)</f>
        <v>2774.3</v>
      </c>
    </row>
    <row r="60" spans="1:6">
      <c r="F60" s="8"/>
    </row>
    <row r="65" spans="2:5">
      <c r="B65" s="14" t="s">
        <v>31</v>
      </c>
      <c r="C65" s="14"/>
      <c r="D65" s="15" t="s">
        <v>32</v>
      </c>
      <c r="E65" s="14"/>
    </row>
    <row r="76" spans="2:5" ht="14.25" customHeight="1"/>
    <row r="94" spans="1:6">
      <c r="A94" s="24" t="s">
        <v>50</v>
      </c>
      <c r="B94" s="24"/>
      <c r="C94" s="24"/>
    </row>
    <row r="95" spans="1:6" ht="18.75">
      <c r="A95" s="29"/>
      <c r="B95" s="30" t="s">
        <v>0</v>
      </c>
      <c r="C95" s="30"/>
      <c r="D95" s="30"/>
      <c r="E95" s="30"/>
      <c r="F95" s="30"/>
    </row>
    <row r="96" spans="1:6" ht="18.75">
      <c r="A96" s="29"/>
      <c r="B96" s="30" t="s">
        <v>1</v>
      </c>
      <c r="C96" s="30"/>
      <c r="D96" s="30"/>
      <c r="E96" s="30"/>
      <c r="F96" s="30"/>
    </row>
    <row r="97" spans="1:10">
      <c r="A97" s="31" t="s">
        <v>2</v>
      </c>
      <c r="B97" s="32" t="s">
        <v>3</v>
      </c>
      <c r="C97" s="32" t="s">
        <v>4</v>
      </c>
      <c r="D97" s="31" t="s">
        <v>5</v>
      </c>
      <c r="E97" s="32" t="s">
        <v>6</v>
      </c>
      <c r="F97" s="32" t="s">
        <v>7</v>
      </c>
    </row>
    <row r="98" spans="1:10" ht="15.75">
      <c r="A98" s="34">
        <v>1</v>
      </c>
      <c r="B98" s="39" t="s">
        <v>33</v>
      </c>
      <c r="C98" s="39" t="s">
        <v>49</v>
      </c>
      <c r="D98" s="40">
        <v>1677</v>
      </c>
      <c r="E98" s="39" t="s">
        <v>24</v>
      </c>
      <c r="F98" s="41">
        <v>733.61</v>
      </c>
      <c r="H98" t="s">
        <v>43</v>
      </c>
    </row>
    <row r="99" spans="1:10" ht="15.75">
      <c r="A99" s="34">
        <v>2</v>
      </c>
      <c r="B99" s="39" t="s">
        <v>34</v>
      </c>
      <c r="C99" s="39" t="s">
        <v>49</v>
      </c>
      <c r="D99" s="40">
        <v>1677</v>
      </c>
      <c r="E99" s="39" t="s">
        <v>24</v>
      </c>
      <c r="F99" s="41">
        <v>601.33000000000004</v>
      </c>
    </row>
    <row r="100" spans="1:10" s="21" customFormat="1" ht="15.75">
      <c r="A100" s="42">
        <v>3</v>
      </c>
      <c r="B100" s="43" t="s">
        <v>35</v>
      </c>
      <c r="C100" s="43" t="s">
        <v>49</v>
      </c>
      <c r="D100" s="44">
        <v>1677</v>
      </c>
      <c r="E100" s="43" t="s">
        <v>20</v>
      </c>
      <c r="F100" s="45">
        <v>148</v>
      </c>
      <c r="H100" s="26"/>
    </row>
    <row r="101" spans="1:10" ht="15.75">
      <c r="A101" s="34">
        <v>4</v>
      </c>
      <c r="B101" s="39" t="s">
        <v>36</v>
      </c>
      <c r="C101" s="39" t="s">
        <v>49</v>
      </c>
      <c r="D101" s="40">
        <v>1677</v>
      </c>
      <c r="E101" s="39" t="s">
        <v>20</v>
      </c>
      <c r="F101" s="41">
        <v>117.94</v>
      </c>
    </row>
    <row r="102" spans="1:10" ht="15.75">
      <c r="A102" s="34">
        <v>5</v>
      </c>
      <c r="B102" s="39" t="s">
        <v>37</v>
      </c>
      <c r="C102" s="39" t="s">
        <v>49</v>
      </c>
      <c r="D102" s="40">
        <v>1677</v>
      </c>
      <c r="E102" s="39" t="s">
        <v>20</v>
      </c>
      <c r="F102" s="41">
        <v>128.88</v>
      </c>
    </row>
    <row r="103" spans="1:10" ht="15.75">
      <c r="A103" s="34">
        <v>6</v>
      </c>
      <c r="B103" s="39" t="s">
        <v>38</v>
      </c>
      <c r="C103" s="39" t="s">
        <v>49</v>
      </c>
      <c r="D103" s="40">
        <v>1677</v>
      </c>
      <c r="E103" s="39" t="s">
        <v>20</v>
      </c>
      <c r="F103" s="41">
        <v>247.67</v>
      </c>
    </row>
    <row r="104" spans="1:10" ht="15.75">
      <c r="A104" s="34">
        <v>7</v>
      </c>
      <c r="B104" s="39" t="s">
        <v>39</v>
      </c>
      <c r="C104" s="39" t="s">
        <v>49</v>
      </c>
      <c r="D104" s="40">
        <v>1677</v>
      </c>
      <c r="E104" s="39" t="s">
        <v>20</v>
      </c>
      <c r="F104" s="41">
        <v>123.83</v>
      </c>
    </row>
    <row r="105" spans="1:10" ht="15.75">
      <c r="A105" s="34">
        <v>8</v>
      </c>
      <c r="B105" s="39" t="s">
        <v>40</v>
      </c>
      <c r="C105" s="39" t="s">
        <v>49</v>
      </c>
      <c r="D105" s="40">
        <v>1677</v>
      </c>
      <c r="E105" s="39" t="s">
        <v>41</v>
      </c>
      <c r="F105" s="41">
        <v>127.5</v>
      </c>
      <c r="J105" s="21"/>
    </row>
    <row r="106" spans="1:10" ht="15.75">
      <c r="A106" s="34">
        <v>9</v>
      </c>
      <c r="B106" s="39" t="s">
        <v>42</v>
      </c>
      <c r="C106" s="39" t="s">
        <v>49</v>
      </c>
      <c r="D106" s="40">
        <v>1677</v>
      </c>
      <c r="E106" s="39" t="s">
        <v>41</v>
      </c>
      <c r="F106" s="41">
        <v>127.5</v>
      </c>
      <c r="J106" s="21">
        <v>24562.5</v>
      </c>
    </row>
    <row r="107" spans="1:10" ht="15.75">
      <c r="A107" s="34"/>
      <c r="B107" s="39" t="s">
        <v>30</v>
      </c>
      <c r="C107" s="39"/>
      <c r="D107" s="39"/>
      <c r="E107" s="39"/>
      <c r="F107" s="41">
        <f>SUM(F98:F106)</f>
        <v>2356.2600000000002</v>
      </c>
      <c r="J107">
        <f>SUM(J105:J106)</f>
        <v>24562.5</v>
      </c>
    </row>
    <row r="112" spans="1:10">
      <c r="B112" s="14" t="s">
        <v>31</v>
      </c>
      <c r="C112" s="14"/>
      <c r="D112" s="15" t="s">
        <v>32</v>
      </c>
      <c r="E112" s="14"/>
    </row>
    <row r="117" spans="7:7">
      <c r="G117" s="4"/>
    </row>
    <row r="118" spans="7:7">
      <c r="G118" s="4"/>
    </row>
    <row r="119" spans="7:7">
      <c r="G119" s="4"/>
    </row>
    <row r="120" spans="7:7">
      <c r="G120" s="4"/>
    </row>
    <row r="121" spans="7:7">
      <c r="G121" s="4"/>
    </row>
    <row r="122" spans="7:7">
      <c r="G122" s="4"/>
    </row>
    <row r="123" spans="7:7">
      <c r="G123" s="22"/>
    </row>
    <row r="124" spans="7:7">
      <c r="G124" s="22"/>
    </row>
    <row r="125" spans="7:7">
      <c r="G125" s="22"/>
    </row>
    <row r="126" spans="7:7">
      <c r="G126" s="22"/>
    </row>
    <row r="127" spans="7:7">
      <c r="G127" s="22"/>
    </row>
    <row r="128" spans="7:7">
      <c r="G128" s="22"/>
    </row>
    <row r="129" spans="1:9">
      <c r="G129" s="22"/>
    </row>
    <row r="130" spans="1:9">
      <c r="G130" s="19">
        <f>SUM(G117:G129)</f>
        <v>0</v>
      </c>
    </row>
    <row r="139" spans="1:9" ht="21">
      <c r="B139" s="27" t="s">
        <v>44</v>
      </c>
      <c r="C139" s="27"/>
      <c r="D139" s="27"/>
      <c r="E139" s="27"/>
      <c r="F139" s="28"/>
    </row>
    <row r="141" spans="1:9" ht="18.75">
      <c r="A141" s="29"/>
      <c r="B141" s="30" t="s">
        <v>0</v>
      </c>
      <c r="C141" s="30"/>
      <c r="D141" s="30"/>
      <c r="E141" s="30"/>
      <c r="F141" s="30"/>
    </row>
    <row r="142" spans="1:9" ht="18.75">
      <c r="A142" s="29"/>
      <c r="B142" s="30" t="s">
        <v>1</v>
      </c>
      <c r="C142" s="30"/>
      <c r="D142" s="30"/>
      <c r="E142" s="30"/>
      <c r="F142" s="30"/>
      <c r="I142" s="4">
        <v>153</v>
      </c>
    </row>
    <row r="143" spans="1:9">
      <c r="A143" s="31" t="s">
        <v>2</v>
      </c>
      <c r="B143" s="32" t="s">
        <v>3</v>
      </c>
      <c r="C143" s="32" t="s">
        <v>4</v>
      </c>
      <c r="D143" s="31" t="s">
        <v>5</v>
      </c>
      <c r="E143" s="32" t="s">
        <v>6</v>
      </c>
      <c r="F143" s="32" t="s">
        <v>7</v>
      </c>
      <c r="I143" s="4">
        <v>1535</v>
      </c>
    </row>
    <row r="144" spans="1:9">
      <c r="A144" s="31">
        <v>1</v>
      </c>
      <c r="B144" s="33" t="s">
        <v>33</v>
      </c>
      <c r="C144" s="32" t="s">
        <v>48</v>
      </c>
      <c r="D144" s="32">
        <v>1914</v>
      </c>
      <c r="E144" s="32" t="s">
        <v>24</v>
      </c>
      <c r="F144" s="25">
        <v>214.97</v>
      </c>
      <c r="I144" s="4">
        <v>241.97</v>
      </c>
    </row>
    <row r="145" spans="1:9">
      <c r="A145" s="34">
        <v>2</v>
      </c>
      <c r="B145" s="34" t="s">
        <v>45</v>
      </c>
      <c r="C145" s="32" t="s">
        <v>48</v>
      </c>
      <c r="D145" s="32">
        <v>1914</v>
      </c>
      <c r="E145" s="32" t="s">
        <v>24</v>
      </c>
      <c r="F145" s="25">
        <v>238.45</v>
      </c>
      <c r="I145" s="4">
        <v>86.41</v>
      </c>
    </row>
    <row r="146" spans="1:9">
      <c r="A146" s="34">
        <v>3</v>
      </c>
      <c r="B146" s="34" t="s">
        <v>46</v>
      </c>
      <c r="C146" s="32" t="s">
        <v>48</v>
      </c>
      <c r="D146" s="32">
        <v>1914</v>
      </c>
      <c r="E146" s="32" t="s">
        <v>24</v>
      </c>
      <c r="F146" s="25">
        <v>259.41000000000003</v>
      </c>
      <c r="I146" s="4">
        <v>376.05</v>
      </c>
    </row>
    <row r="147" spans="1:9">
      <c r="A147" s="34">
        <v>4</v>
      </c>
      <c r="B147" s="34" t="s">
        <v>47</v>
      </c>
      <c r="C147" s="32" t="s">
        <v>48</v>
      </c>
      <c r="D147" s="32">
        <v>1914</v>
      </c>
      <c r="E147" s="35" t="s">
        <v>20</v>
      </c>
      <c r="F147" s="25">
        <v>616.47</v>
      </c>
      <c r="I147" s="4">
        <v>1649.88</v>
      </c>
    </row>
    <row r="148" spans="1:9">
      <c r="A148" s="34"/>
      <c r="B148" s="34" t="s">
        <v>51</v>
      </c>
      <c r="C148" s="34"/>
      <c r="D148" s="34"/>
      <c r="E148" s="34"/>
      <c r="F148" s="36">
        <f>SUM(F144:F147)</f>
        <v>1329.3</v>
      </c>
      <c r="I148" s="4">
        <v>98.75</v>
      </c>
    </row>
    <row r="149" spans="1:9">
      <c r="I149" s="4">
        <v>816.48</v>
      </c>
    </row>
    <row r="150" spans="1:9">
      <c r="I150" s="4">
        <v>214.97</v>
      </c>
    </row>
    <row r="151" spans="1:9">
      <c r="I151" s="4">
        <v>1436</v>
      </c>
    </row>
    <row r="152" spans="1:9">
      <c r="I152" s="4">
        <v>1853.5</v>
      </c>
    </row>
    <row r="153" spans="1:9">
      <c r="B153" s="37" t="s">
        <v>31</v>
      </c>
      <c r="C153" s="37"/>
      <c r="D153" s="38" t="s">
        <v>32</v>
      </c>
      <c r="E153" s="37"/>
      <c r="I153" s="4">
        <v>649.14</v>
      </c>
    </row>
    <row r="154" spans="1:9">
      <c r="I154" s="4">
        <v>1414.13</v>
      </c>
    </row>
    <row r="155" spans="1:9">
      <c r="I155" s="4">
        <v>1274.25</v>
      </c>
    </row>
    <row r="156" spans="1:9">
      <c r="I156" s="4">
        <v>900.5</v>
      </c>
    </row>
    <row r="157" spans="1:9">
      <c r="I157" s="4">
        <v>1119.4100000000001</v>
      </c>
    </row>
    <row r="158" spans="1:9">
      <c r="I158" s="4">
        <v>703.8</v>
      </c>
    </row>
    <row r="159" spans="1:9">
      <c r="I159" s="4">
        <v>320.74</v>
      </c>
    </row>
    <row r="160" spans="1:9">
      <c r="I160" s="4">
        <v>1231.08</v>
      </c>
    </row>
    <row r="161" spans="9:12">
      <c r="I161" s="4">
        <v>1571.78</v>
      </c>
    </row>
    <row r="162" spans="9:12">
      <c r="I162" s="4">
        <v>852.81</v>
      </c>
    </row>
    <row r="163" spans="9:12">
      <c r="I163" s="4">
        <v>69.39</v>
      </c>
    </row>
    <row r="164" spans="9:12">
      <c r="I164" s="4">
        <v>111</v>
      </c>
    </row>
    <row r="165" spans="9:12">
      <c r="I165" s="4">
        <v>1165.7</v>
      </c>
      <c r="L165" s="4">
        <v>850</v>
      </c>
    </row>
    <row r="166" spans="9:12">
      <c r="I166" s="4">
        <v>1314.22</v>
      </c>
      <c r="L166" s="4">
        <v>360</v>
      </c>
    </row>
    <row r="167" spans="9:12">
      <c r="I167" s="4">
        <v>202.31</v>
      </c>
      <c r="L167" s="4">
        <f>SUM(L164:L166)</f>
        <v>1210</v>
      </c>
    </row>
    <row r="168" spans="9:12">
      <c r="I168" s="4">
        <v>210.75</v>
      </c>
      <c r="L168" s="4">
        <v>200</v>
      </c>
    </row>
    <row r="169" spans="9:12">
      <c r="I169" s="4">
        <v>1546.69</v>
      </c>
      <c r="L169" s="4">
        <v>600</v>
      </c>
    </row>
    <row r="170" spans="9:12">
      <c r="I170" s="4">
        <v>1900.45</v>
      </c>
      <c r="L170" s="19">
        <f>SUM(L167:L169)</f>
        <v>2010</v>
      </c>
    </row>
    <row r="171" spans="9:12">
      <c r="I171" s="4">
        <v>138.75</v>
      </c>
    </row>
    <row r="172" spans="9:12">
      <c r="I172" s="4">
        <v>176.91</v>
      </c>
    </row>
    <row r="173" spans="9:12">
      <c r="I173" s="4">
        <v>535.30999999999995</v>
      </c>
    </row>
    <row r="174" spans="9:12">
      <c r="I174" s="4">
        <v>2054.3000000000002</v>
      </c>
    </row>
    <row r="175" spans="9:12">
      <c r="I175" s="4">
        <v>873.06</v>
      </c>
      <c r="L175" s="4">
        <v>20000</v>
      </c>
    </row>
    <row r="176" spans="9:12">
      <c r="I176" s="19">
        <f>SUM(I142:I175)</f>
        <v>28798.490000000005</v>
      </c>
      <c r="L176" s="4">
        <v>6400</v>
      </c>
    </row>
    <row r="177" spans="1:14">
      <c r="L177" s="4">
        <v>2500</v>
      </c>
    </row>
    <row r="178" spans="1:14">
      <c r="L178" s="4"/>
    </row>
    <row r="179" spans="1:14">
      <c r="L179" s="4"/>
    </row>
    <row r="186" spans="1:14" ht="21">
      <c r="B186" s="27" t="s">
        <v>64</v>
      </c>
      <c r="C186" s="27"/>
      <c r="D186" s="27"/>
      <c r="E186" s="27"/>
      <c r="F186" s="28"/>
    </row>
    <row r="187" spans="1:14" ht="18.75">
      <c r="A187" s="52"/>
      <c r="B187" s="50" t="s">
        <v>0</v>
      </c>
      <c r="C187" s="50"/>
      <c r="D187" s="50"/>
      <c r="E187" s="50"/>
      <c r="F187" s="50"/>
    </row>
    <row r="188" spans="1:14" ht="18.75">
      <c r="A188" s="51"/>
      <c r="B188" s="49" t="s">
        <v>65</v>
      </c>
      <c r="C188" s="49"/>
      <c r="D188" s="49"/>
      <c r="E188" s="49"/>
      <c r="F188" s="49"/>
      <c r="L188" s="30"/>
      <c r="M188" s="30"/>
      <c r="N188" s="30"/>
    </row>
    <row r="189" spans="1:14" ht="18.75">
      <c r="A189" s="55" t="s">
        <v>2</v>
      </c>
      <c r="B189" s="56" t="s">
        <v>3</v>
      </c>
      <c r="C189" s="56" t="s">
        <v>4</v>
      </c>
      <c r="D189" s="55" t="s">
        <v>5</v>
      </c>
      <c r="E189" s="56" t="s">
        <v>6</v>
      </c>
      <c r="F189" s="56" t="s">
        <v>7</v>
      </c>
    </row>
    <row r="190" spans="1:14" s="21" customFormat="1" ht="15.75">
      <c r="A190" s="42">
        <v>1</v>
      </c>
      <c r="B190" s="43" t="s">
        <v>53</v>
      </c>
      <c r="C190" s="43" t="s">
        <v>52</v>
      </c>
      <c r="D190" s="44">
        <v>2184</v>
      </c>
      <c r="E190" s="43" t="s">
        <v>24</v>
      </c>
      <c r="F190" s="45">
        <v>320.74</v>
      </c>
      <c r="G190" s="75" t="s">
        <v>71</v>
      </c>
    </row>
    <row r="191" spans="1:14" ht="15.75">
      <c r="A191" s="34">
        <v>2</v>
      </c>
      <c r="B191" s="39" t="s">
        <v>54</v>
      </c>
      <c r="C191" s="39" t="s">
        <v>52</v>
      </c>
      <c r="D191" s="40">
        <v>2184</v>
      </c>
      <c r="E191" s="39" t="s">
        <v>55</v>
      </c>
      <c r="F191" s="41">
        <v>241.97</v>
      </c>
    </row>
    <row r="192" spans="1:14" ht="15.75">
      <c r="A192" s="34">
        <v>3</v>
      </c>
      <c r="B192" s="39" t="s">
        <v>56</v>
      </c>
      <c r="C192" s="39" t="s">
        <v>52</v>
      </c>
      <c r="D192" s="40">
        <v>2184</v>
      </c>
      <c r="E192" s="39" t="s">
        <v>55</v>
      </c>
      <c r="F192" s="41">
        <v>214.97</v>
      </c>
    </row>
    <row r="193" spans="1:6" ht="15.75">
      <c r="A193" s="34">
        <v>4</v>
      </c>
      <c r="B193" s="39" t="s">
        <v>57</v>
      </c>
      <c r="C193" s="39" t="s">
        <v>52</v>
      </c>
      <c r="D193" s="40">
        <v>2184</v>
      </c>
      <c r="E193" s="39" t="s">
        <v>58</v>
      </c>
      <c r="F193" s="41">
        <v>153</v>
      </c>
    </row>
    <row r="194" spans="1:6" ht="15.75">
      <c r="A194" s="34">
        <v>5</v>
      </c>
      <c r="B194" s="39" t="s">
        <v>66</v>
      </c>
      <c r="C194" s="39" t="s">
        <v>52</v>
      </c>
      <c r="D194" s="40">
        <v>2184</v>
      </c>
      <c r="E194" s="39" t="s">
        <v>20</v>
      </c>
      <c r="F194" s="41">
        <v>1231.08</v>
      </c>
    </row>
    <row r="195" spans="1:6" ht="15.75">
      <c r="A195" s="34">
        <v>6</v>
      </c>
      <c r="B195" s="39" t="s">
        <v>59</v>
      </c>
      <c r="C195" s="39" t="s">
        <v>52</v>
      </c>
      <c r="D195" s="40">
        <v>2184</v>
      </c>
      <c r="E195" s="39" t="s">
        <v>20</v>
      </c>
      <c r="F195" s="41">
        <v>111</v>
      </c>
    </row>
    <row r="196" spans="1:6" ht="15.75">
      <c r="A196" s="34">
        <v>7</v>
      </c>
      <c r="B196" s="39" t="s">
        <v>60</v>
      </c>
      <c r="C196" s="39" t="s">
        <v>52</v>
      </c>
      <c r="D196" s="40">
        <v>2184</v>
      </c>
      <c r="E196" s="39" t="s">
        <v>20</v>
      </c>
      <c r="F196" s="41">
        <v>202.31</v>
      </c>
    </row>
    <row r="197" spans="1:6" ht="15.75">
      <c r="A197" s="34">
        <v>8</v>
      </c>
      <c r="B197" s="39" t="s">
        <v>61</v>
      </c>
      <c r="C197" s="39" t="s">
        <v>52</v>
      </c>
      <c r="D197" s="40">
        <v>2184</v>
      </c>
      <c r="E197" s="39" t="s">
        <v>20</v>
      </c>
      <c r="F197" s="41">
        <v>138.75</v>
      </c>
    </row>
    <row r="198" spans="1:6" ht="15.75">
      <c r="A198" s="34">
        <v>9</v>
      </c>
      <c r="B198" s="39" t="s">
        <v>62</v>
      </c>
      <c r="C198" s="39" t="s">
        <v>52</v>
      </c>
      <c r="D198" s="40">
        <v>2184</v>
      </c>
      <c r="E198" s="39" t="s">
        <v>20</v>
      </c>
      <c r="F198" s="41">
        <v>176.91</v>
      </c>
    </row>
    <row r="199" spans="1:6" ht="15.75">
      <c r="A199" s="34">
        <v>10</v>
      </c>
      <c r="B199" s="39" t="s">
        <v>63</v>
      </c>
      <c r="C199" s="39" t="s">
        <v>52</v>
      </c>
      <c r="D199" s="40">
        <v>2184</v>
      </c>
      <c r="E199" s="39" t="s">
        <v>20</v>
      </c>
      <c r="F199" s="41">
        <v>873.06</v>
      </c>
    </row>
    <row r="200" spans="1:6" ht="15.75">
      <c r="A200" s="34"/>
      <c r="B200" s="39" t="s">
        <v>30</v>
      </c>
      <c r="C200" s="34"/>
      <c r="D200" s="34"/>
      <c r="E200" s="34"/>
      <c r="F200" s="54">
        <f>SUM(F190:F199)</f>
        <v>3663.79</v>
      </c>
    </row>
    <row r="207" spans="1:6">
      <c r="B207" s="37" t="s">
        <v>31</v>
      </c>
      <c r="C207" s="37"/>
      <c r="D207" s="38" t="s">
        <v>32</v>
      </c>
      <c r="E207" s="37"/>
    </row>
    <row r="230" spans="1:6" ht="21">
      <c r="A230" s="61"/>
      <c r="B230" s="63"/>
      <c r="C230" s="63"/>
      <c r="D230" s="63"/>
      <c r="E230" s="63"/>
      <c r="F230" s="63"/>
    </row>
    <row r="231" spans="1:6" ht="21">
      <c r="A231" s="61"/>
      <c r="B231" s="63"/>
      <c r="C231" s="63"/>
      <c r="D231" s="63"/>
      <c r="E231" s="63"/>
      <c r="F231" s="63"/>
    </row>
    <row r="232" spans="1:6" ht="21">
      <c r="A232" s="66"/>
      <c r="B232" s="67"/>
      <c r="C232" s="67"/>
      <c r="D232" s="68"/>
      <c r="E232" s="67"/>
      <c r="F232" s="67"/>
    </row>
    <row r="233" spans="1:6" ht="15.75">
      <c r="A233" s="20"/>
      <c r="B233" s="69"/>
      <c r="C233" s="69"/>
      <c r="D233" s="70"/>
      <c r="E233" s="69"/>
      <c r="F233" s="71"/>
    </row>
    <row r="234" spans="1:6" ht="15.75">
      <c r="A234" s="20"/>
      <c r="B234" s="69"/>
      <c r="C234" s="69"/>
      <c r="D234" s="70"/>
      <c r="E234" s="69"/>
      <c r="F234" s="71"/>
    </row>
    <row r="235" spans="1:6" ht="18.75">
      <c r="A235" s="72"/>
      <c r="B235" s="73"/>
      <c r="C235" s="73"/>
      <c r="D235" s="73"/>
      <c r="E235" s="73"/>
      <c r="F235" s="74"/>
    </row>
    <row r="236" spans="1:6">
      <c r="F236" s="4"/>
    </row>
    <row r="237" spans="1:6">
      <c r="F237" s="4"/>
    </row>
    <row r="238" spans="1:6">
      <c r="F238" s="4"/>
    </row>
    <row r="239" spans="1:6" ht="21">
      <c r="A239" s="61"/>
      <c r="B239" s="63" t="s">
        <v>0</v>
      </c>
      <c r="C239" s="63"/>
      <c r="D239" s="63"/>
      <c r="E239" s="63"/>
      <c r="F239" s="63"/>
    </row>
    <row r="240" spans="1:6" ht="21">
      <c r="A240" s="61"/>
      <c r="B240" s="63" t="s">
        <v>67</v>
      </c>
      <c r="C240" s="63"/>
      <c r="D240" s="63"/>
      <c r="E240" s="63"/>
      <c r="F240" s="63"/>
    </row>
    <row r="241" spans="1:9" ht="21">
      <c r="A241" s="62" t="s">
        <v>2</v>
      </c>
      <c r="B241" s="64" t="s">
        <v>3</v>
      </c>
      <c r="C241" s="64" t="s">
        <v>4</v>
      </c>
      <c r="D241" s="65" t="s">
        <v>5</v>
      </c>
      <c r="E241" s="64" t="s">
        <v>6</v>
      </c>
      <c r="F241" s="64" t="s">
        <v>7</v>
      </c>
    </row>
    <row r="242" spans="1:9" ht="15.75">
      <c r="A242" s="57">
        <v>1</v>
      </c>
      <c r="B242" s="12" t="s">
        <v>69</v>
      </c>
      <c r="C242" s="12" t="s">
        <v>68</v>
      </c>
      <c r="D242" s="58">
        <v>2214</v>
      </c>
      <c r="E242" s="12" t="s">
        <v>28</v>
      </c>
      <c r="F242" s="53">
        <v>6809.88</v>
      </c>
    </row>
    <row r="243" spans="1:9" ht="15.75">
      <c r="A243" s="57">
        <v>2</v>
      </c>
      <c r="B243" s="12" t="s">
        <v>70</v>
      </c>
      <c r="C243" s="12" t="s">
        <v>68</v>
      </c>
      <c r="D243" s="58">
        <v>2214</v>
      </c>
      <c r="E243" s="12" t="s">
        <v>28</v>
      </c>
      <c r="F243" s="53">
        <v>4203.1899999999996</v>
      </c>
    </row>
    <row r="244" spans="1:9" ht="18.75">
      <c r="A244" s="59"/>
      <c r="B244" s="46" t="s">
        <v>51</v>
      </c>
      <c r="C244" s="46"/>
      <c r="D244" s="46"/>
      <c r="E244" s="46"/>
      <c r="F244" s="60">
        <f>SUM(F242:F243)</f>
        <v>11013.07</v>
      </c>
    </row>
    <row r="246" spans="1:9">
      <c r="B246" s="37"/>
      <c r="C246" s="37"/>
      <c r="D246" s="38"/>
      <c r="E246" s="37"/>
    </row>
    <row r="250" spans="1:9">
      <c r="B250" s="37" t="s">
        <v>31</v>
      </c>
      <c r="C250" s="37"/>
      <c r="D250" s="38" t="s">
        <v>32</v>
      </c>
      <c r="E250" s="37"/>
    </row>
    <row r="255" spans="1:9">
      <c r="I255">
        <v>1152.5</v>
      </c>
    </row>
    <row r="256" spans="1:9">
      <c r="I256">
        <v>1724</v>
      </c>
    </row>
    <row r="257" spans="2:9">
      <c r="I257">
        <v>94.53</v>
      </c>
    </row>
    <row r="258" spans="2:9">
      <c r="I258">
        <v>1225.28</v>
      </c>
    </row>
    <row r="259" spans="2:9">
      <c r="I259">
        <v>243.94</v>
      </c>
    </row>
    <row r="260" spans="2:9">
      <c r="I260">
        <v>959.26</v>
      </c>
    </row>
    <row r="261" spans="2:9">
      <c r="I261">
        <v>338.44</v>
      </c>
    </row>
    <row r="262" spans="2:9">
      <c r="I262">
        <v>1575.5</v>
      </c>
    </row>
    <row r="263" spans="2:9">
      <c r="I263">
        <v>1065.77</v>
      </c>
    </row>
    <row r="264" spans="2:9">
      <c r="I264">
        <v>2113.91</v>
      </c>
    </row>
    <row r="265" spans="2:9">
      <c r="I265">
        <v>1655.5</v>
      </c>
    </row>
    <row r="266" spans="2:9">
      <c r="I266">
        <v>1267.25</v>
      </c>
    </row>
    <row r="267" spans="2:9">
      <c r="I267">
        <v>77.13</v>
      </c>
    </row>
    <row r="268" spans="2:9">
      <c r="I268">
        <v>243.94</v>
      </c>
    </row>
    <row r="269" spans="2:9">
      <c r="I269">
        <v>1010.66</v>
      </c>
    </row>
    <row r="270" spans="2:9">
      <c r="I270">
        <v>905.8</v>
      </c>
    </row>
    <row r="271" spans="2:9">
      <c r="I271">
        <v>992.06</v>
      </c>
    </row>
    <row r="272" spans="2:9" ht="21">
      <c r="B272" s="27"/>
      <c r="C272" s="27"/>
      <c r="D272" s="27"/>
      <c r="E272" s="27"/>
      <c r="F272" s="28"/>
      <c r="I272">
        <v>940</v>
      </c>
    </row>
    <row r="273" spans="1:9" ht="21">
      <c r="B273" s="27"/>
      <c r="C273" s="27"/>
      <c r="D273" s="27"/>
      <c r="E273" s="27"/>
      <c r="F273" s="28"/>
    </row>
    <row r="274" spans="1:9" ht="21">
      <c r="B274" s="27"/>
      <c r="C274" s="27"/>
      <c r="D274" s="27"/>
      <c r="E274" s="27"/>
      <c r="F274" s="28"/>
    </row>
    <row r="275" spans="1:9" ht="18.75">
      <c r="A275" s="52"/>
      <c r="B275" s="50" t="s">
        <v>0</v>
      </c>
      <c r="C275" s="50"/>
      <c r="D275" s="50"/>
      <c r="E275" s="50"/>
      <c r="F275" s="50"/>
      <c r="I275">
        <v>838</v>
      </c>
    </row>
    <row r="276" spans="1:9" ht="18.75">
      <c r="A276" s="51"/>
      <c r="B276" s="49" t="s">
        <v>65</v>
      </c>
      <c r="C276" s="49"/>
      <c r="D276" s="49"/>
      <c r="E276" s="49"/>
      <c r="F276" s="49"/>
      <c r="I276">
        <v>2151.48</v>
      </c>
    </row>
    <row r="277" spans="1:9" ht="18.75">
      <c r="A277" s="55" t="s">
        <v>2</v>
      </c>
      <c r="B277" s="56" t="s">
        <v>3</v>
      </c>
      <c r="C277" s="56" t="s">
        <v>4</v>
      </c>
      <c r="D277" s="55" t="s">
        <v>5</v>
      </c>
      <c r="E277" s="56" t="s">
        <v>6</v>
      </c>
      <c r="F277" s="56" t="s">
        <v>7</v>
      </c>
      <c r="I277">
        <v>827.11</v>
      </c>
    </row>
    <row r="278" spans="1:9">
      <c r="A278" s="31">
        <v>1</v>
      </c>
      <c r="B278" s="76" t="s">
        <v>85</v>
      </c>
      <c r="C278" s="17" t="s">
        <v>72</v>
      </c>
      <c r="D278" s="17">
        <v>2457</v>
      </c>
      <c r="E278" s="9" t="s">
        <v>73</v>
      </c>
      <c r="F278" s="10">
        <v>1797</v>
      </c>
    </row>
    <row r="279" spans="1:9">
      <c r="A279" s="1">
        <v>2</v>
      </c>
      <c r="B279" s="9" t="s">
        <v>75</v>
      </c>
      <c r="C279" s="9" t="s">
        <v>72</v>
      </c>
      <c r="D279" s="17">
        <v>2457</v>
      </c>
      <c r="E279" s="9" t="s">
        <v>74</v>
      </c>
      <c r="F279" s="10">
        <v>57.81</v>
      </c>
      <c r="I279">
        <v>1487.75</v>
      </c>
    </row>
    <row r="280" spans="1:9">
      <c r="A280" s="1">
        <v>3</v>
      </c>
      <c r="B280" s="9" t="s">
        <v>76</v>
      </c>
      <c r="C280" s="9" t="s">
        <v>72</v>
      </c>
      <c r="D280" s="17">
        <v>2457</v>
      </c>
      <c r="E280" s="9" t="s">
        <v>74</v>
      </c>
      <c r="F280" s="10">
        <v>171.09</v>
      </c>
      <c r="I280">
        <v>334.22</v>
      </c>
    </row>
    <row r="281" spans="1:9">
      <c r="A281" s="1">
        <v>4</v>
      </c>
      <c r="B281" s="9" t="s">
        <v>77</v>
      </c>
      <c r="C281" s="9" t="s">
        <v>72</v>
      </c>
      <c r="D281" s="17">
        <v>2457</v>
      </c>
      <c r="E281" s="9" t="s">
        <v>74</v>
      </c>
      <c r="F281" s="10">
        <v>490.31</v>
      </c>
      <c r="I281">
        <v>758.05</v>
      </c>
    </row>
    <row r="282" spans="1:9">
      <c r="A282" s="1">
        <v>5</v>
      </c>
      <c r="B282" s="9" t="s">
        <v>78</v>
      </c>
      <c r="C282" s="9" t="s">
        <v>72</v>
      </c>
      <c r="D282" s="17">
        <v>2457</v>
      </c>
      <c r="E282" s="9" t="s">
        <v>79</v>
      </c>
      <c r="F282" s="10">
        <v>755.13</v>
      </c>
      <c r="I282">
        <v>240</v>
      </c>
    </row>
    <row r="283" spans="1:9">
      <c r="A283" s="1">
        <v>6</v>
      </c>
      <c r="B283" s="9" t="s">
        <v>80</v>
      </c>
      <c r="C283" s="9" t="s">
        <v>72</v>
      </c>
      <c r="D283" s="17">
        <v>2457</v>
      </c>
      <c r="E283" s="9" t="s">
        <v>79</v>
      </c>
      <c r="F283" s="10">
        <v>243.94</v>
      </c>
      <c r="I283">
        <v>600</v>
      </c>
    </row>
    <row r="284" spans="1:9">
      <c r="A284" s="1">
        <v>7</v>
      </c>
      <c r="B284" s="9" t="s">
        <v>81</v>
      </c>
      <c r="C284" s="9" t="s">
        <v>72</v>
      </c>
      <c r="D284" s="17">
        <v>2457</v>
      </c>
      <c r="E284" s="9" t="s">
        <v>82</v>
      </c>
      <c r="F284" s="10">
        <v>94.53</v>
      </c>
      <c r="I284">
        <v>600</v>
      </c>
    </row>
    <row r="285" spans="1:9">
      <c r="A285" s="1">
        <v>8</v>
      </c>
      <c r="B285" s="9" t="s">
        <v>83</v>
      </c>
      <c r="C285" s="9" t="s">
        <v>72</v>
      </c>
      <c r="D285" s="17">
        <v>2457</v>
      </c>
      <c r="E285" s="9" t="s">
        <v>82</v>
      </c>
      <c r="F285" s="10">
        <v>338.44</v>
      </c>
      <c r="I285">
        <v>195</v>
      </c>
    </row>
    <row r="286" spans="1:9">
      <c r="A286" s="1">
        <v>9</v>
      </c>
      <c r="B286" s="9" t="s">
        <v>84</v>
      </c>
      <c r="C286" s="9" t="s">
        <v>72</v>
      </c>
      <c r="D286" s="17">
        <v>2457</v>
      </c>
      <c r="E286" s="9" t="s">
        <v>82</v>
      </c>
      <c r="F286" s="10">
        <v>2013.91</v>
      </c>
      <c r="I286">
        <v>195</v>
      </c>
    </row>
    <row r="287" spans="1:9">
      <c r="A287" s="1"/>
      <c r="B287" s="9" t="s">
        <v>30</v>
      </c>
      <c r="C287" s="9"/>
      <c r="D287" s="9"/>
      <c r="E287" s="9"/>
      <c r="F287" s="11">
        <f>SUM(F278:F286)</f>
        <v>5962.1600000000008</v>
      </c>
      <c r="I287">
        <v>420</v>
      </c>
    </row>
    <row r="288" spans="1:9">
      <c r="I288">
        <v>240</v>
      </c>
    </row>
    <row r="289" spans="2:9">
      <c r="I289">
        <v>240</v>
      </c>
    </row>
    <row r="290" spans="2:9">
      <c r="I290">
        <v>240</v>
      </c>
    </row>
    <row r="291" spans="2:9">
      <c r="I291">
        <v>600</v>
      </c>
    </row>
    <row r="293" spans="2:9">
      <c r="B293" s="37" t="s">
        <v>31</v>
      </c>
      <c r="C293" s="37"/>
      <c r="D293" s="38" t="s">
        <v>32</v>
      </c>
      <c r="E293" s="37"/>
    </row>
    <row r="316" spans="1:6">
      <c r="F316" s="4">
        <v>3001.5</v>
      </c>
    </row>
    <row r="317" spans="1:6">
      <c r="F317" s="4">
        <v>3279.25</v>
      </c>
    </row>
    <row r="318" spans="1:6">
      <c r="F318" s="4">
        <v>8682.5</v>
      </c>
    </row>
    <row r="319" spans="1:6">
      <c r="F319" s="4">
        <v>10319.4</v>
      </c>
    </row>
    <row r="320" spans="1:6" ht="18.75">
      <c r="A320" s="52"/>
      <c r="B320" s="50" t="s">
        <v>0</v>
      </c>
      <c r="C320" s="50"/>
      <c r="D320" s="50"/>
      <c r="E320" s="50"/>
      <c r="F320" s="50"/>
    </row>
    <row r="321" spans="1:10" ht="18.75">
      <c r="A321" s="51"/>
      <c r="B321" s="49" t="s">
        <v>65</v>
      </c>
      <c r="C321" s="49"/>
      <c r="D321" s="49"/>
      <c r="E321" s="49"/>
      <c r="F321" s="49"/>
    </row>
    <row r="322" spans="1:10" ht="18.75">
      <c r="A322" s="55" t="s">
        <v>2</v>
      </c>
      <c r="B322" s="56" t="s">
        <v>3</v>
      </c>
      <c r="C322" s="56" t="s">
        <v>4</v>
      </c>
      <c r="D322" s="55" t="s">
        <v>5</v>
      </c>
      <c r="E322" s="56" t="s">
        <v>6</v>
      </c>
      <c r="F322" s="56" t="s">
        <v>7</v>
      </c>
    </row>
    <row r="323" spans="1:10">
      <c r="A323" s="1">
        <v>1</v>
      </c>
      <c r="B323" s="9" t="s">
        <v>86</v>
      </c>
      <c r="C323" s="9" t="s">
        <v>87</v>
      </c>
      <c r="D323" s="17">
        <v>2750</v>
      </c>
      <c r="E323" s="77" t="s">
        <v>88</v>
      </c>
      <c r="F323" s="10">
        <v>804.05</v>
      </c>
    </row>
    <row r="324" spans="1:10">
      <c r="A324" s="1">
        <v>2</v>
      </c>
      <c r="B324" s="9" t="s">
        <v>89</v>
      </c>
      <c r="C324" s="9" t="s">
        <v>87</v>
      </c>
      <c r="D324" s="17">
        <v>2750</v>
      </c>
      <c r="E324" s="77" t="s">
        <v>88</v>
      </c>
      <c r="F324" s="10">
        <v>450.94</v>
      </c>
    </row>
    <row r="325" spans="1:10">
      <c r="A325" s="1">
        <v>3</v>
      </c>
      <c r="B325" s="9" t="s">
        <v>90</v>
      </c>
      <c r="C325" s="9" t="s">
        <v>87</v>
      </c>
      <c r="D325" s="17">
        <v>2750</v>
      </c>
      <c r="E325" s="77" t="s">
        <v>73</v>
      </c>
      <c r="F325" s="10">
        <v>1290.77</v>
      </c>
      <c r="I325" s="4">
        <v>10000</v>
      </c>
      <c r="J325" s="4">
        <v>927.25</v>
      </c>
    </row>
    <row r="326" spans="1:10">
      <c r="A326" s="1">
        <v>4</v>
      </c>
      <c r="B326" s="9" t="s">
        <v>91</v>
      </c>
      <c r="C326" s="9" t="s">
        <v>87</v>
      </c>
      <c r="D326" s="17">
        <v>2750</v>
      </c>
      <c r="E326" s="77" t="s">
        <v>24</v>
      </c>
      <c r="F326" s="10">
        <v>150.74</v>
      </c>
      <c r="I326" s="4">
        <v>1000</v>
      </c>
      <c r="J326" s="4">
        <v>1195</v>
      </c>
    </row>
    <row r="327" spans="1:10">
      <c r="A327" s="1">
        <v>5</v>
      </c>
      <c r="B327" s="9" t="s">
        <v>92</v>
      </c>
      <c r="C327" s="9" t="s">
        <v>87</v>
      </c>
      <c r="D327" s="17">
        <v>2750</v>
      </c>
      <c r="E327" s="77" t="s">
        <v>28</v>
      </c>
      <c r="F327" s="10">
        <v>560.16999999999996</v>
      </c>
      <c r="I327" s="4">
        <v>4900</v>
      </c>
      <c r="J327" s="4">
        <v>1063.72</v>
      </c>
    </row>
    <row r="328" spans="1:10">
      <c r="A328" s="1">
        <v>6</v>
      </c>
      <c r="B328" s="9" t="s">
        <v>93</v>
      </c>
      <c r="C328" s="9" t="s">
        <v>87</v>
      </c>
      <c r="D328" s="17">
        <v>2750</v>
      </c>
      <c r="E328" s="77" t="s">
        <v>28</v>
      </c>
      <c r="F328" s="10">
        <v>655</v>
      </c>
      <c r="I328" s="4">
        <v>466.87</v>
      </c>
      <c r="J328" s="4">
        <v>1029</v>
      </c>
    </row>
    <row r="329" spans="1:10">
      <c r="A329" s="1">
        <v>7</v>
      </c>
      <c r="B329" s="9" t="s">
        <v>94</v>
      </c>
      <c r="C329" s="9" t="s">
        <v>87</v>
      </c>
      <c r="D329" s="17">
        <v>2750</v>
      </c>
      <c r="E329" s="77" t="s">
        <v>20</v>
      </c>
      <c r="F329" s="10">
        <v>863.19</v>
      </c>
      <c r="I329" s="19">
        <f>SUM(I325:I328)</f>
        <v>16366.87</v>
      </c>
      <c r="J329" s="4">
        <v>1176</v>
      </c>
    </row>
    <row r="330" spans="1:10">
      <c r="A330" s="1"/>
      <c r="B330" s="9" t="s">
        <v>30</v>
      </c>
      <c r="C330" s="1"/>
      <c r="D330" s="1"/>
      <c r="E330" s="1"/>
      <c r="F330" s="10">
        <f>SUM(F323:F329)</f>
        <v>4774.8600000000006</v>
      </c>
      <c r="J330" s="4">
        <v>2940</v>
      </c>
    </row>
    <row r="331" spans="1:10">
      <c r="F331" s="4"/>
      <c r="J331" s="4">
        <v>2940</v>
      </c>
    </row>
    <row r="332" spans="1:10">
      <c r="F332" s="4"/>
      <c r="J332" s="19">
        <f>SUM(J325:J331)</f>
        <v>11270.970000000001</v>
      </c>
    </row>
    <row r="333" spans="1:10">
      <c r="F333" s="4"/>
    </row>
    <row r="334" spans="1:10">
      <c r="F334" s="4"/>
      <c r="G334" s="4"/>
    </row>
    <row r="335" spans="1:10">
      <c r="F335" s="4"/>
      <c r="G335" s="4"/>
    </row>
    <row r="336" spans="1:10">
      <c r="B336" s="37" t="s">
        <v>31</v>
      </c>
      <c r="C336" s="37"/>
      <c r="D336" s="38" t="s">
        <v>32</v>
      </c>
      <c r="E336" s="37"/>
      <c r="F336" s="4"/>
      <c r="G336" s="4"/>
    </row>
    <row r="337" spans="6:8">
      <c r="F337" s="4"/>
      <c r="G337" s="4"/>
    </row>
    <row r="338" spans="6:8">
      <c r="F338" s="4"/>
      <c r="G338" s="4"/>
    </row>
    <row r="339" spans="6:8">
      <c r="F339" s="4"/>
      <c r="G339" s="4"/>
    </row>
    <row r="340" spans="6:8">
      <c r="F340" s="4"/>
      <c r="G340" s="4"/>
    </row>
    <row r="341" spans="6:8">
      <c r="F341" s="4"/>
      <c r="G341" s="4"/>
    </row>
    <row r="342" spans="6:8">
      <c r="F342" s="4"/>
      <c r="G342" s="4"/>
    </row>
    <row r="343" spans="6:8">
      <c r="F343" s="4"/>
      <c r="G343" s="4">
        <v>880.5</v>
      </c>
    </row>
    <row r="344" spans="6:8">
      <c r="F344" s="4"/>
      <c r="G344" s="4">
        <v>393</v>
      </c>
    </row>
    <row r="345" spans="6:8">
      <c r="F345" s="4"/>
      <c r="G345" s="79">
        <f>SUM(G343:G344)</f>
        <v>1273.5</v>
      </c>
      <c r="H345" t="s">
        <v>95</v>
      </c>
    </row>
    <row r="346" spans="6:8">
      <c r="F346" s="4"/>
    </row>
    <row r="347" spans="6:8">
      <c r="F347" s="4"/>
      <c r="G347" s="4">
        <v>138.75</v>
      </c>
    </row>
    <row r="348" spans="6:8">
      <c r="F348" s="4"/>
      <c r="G348" s="4">
        <v>381.19</v>
      </c>
    </row>
    <row r="349" spans="6:8">
      <c r="F349" s="4"/>
      <c r="G349" s="4">
        <v>597.75</v>
      </c>
    </row>
    <row r="350" spans="6:8">
      <c r="F350" s="4"/>
      <c r="G350" s="4">
        <v>138.75</v>
      </c>
    </row>
    <row r="351" spans="6:8">
      <c r="F351" s="4"/>
      <c r="G351" s="4">
        <v>138.75</v>
      </c>
    </row>
    <row r="352" spans="6:8">
      <c r="F352" s="4"/>
      <c r="G352" s="4">
        <v>138.75</v>
      </c>
    </row>
    <row r="353" spans="5:9">
      <c r="F353" s="4"/>
      <c r="G353" s="4">
        <v>69.38</v>
      </c>
    </row>
    <row r="354" spans="5:9">
      <c r="F354" s="4"/>
      <c r="G354" s="4">
        <v>643.83000000000004</v>
      </c>
    </row>
    <row r="355" spans="5:9">
      <c r="F355" s="4"/>
      <c r="G355" s="22">
        <f>SUM(G347:G354)</f>
        <v>2247.15</v>
      </c>
    </row>
    <row r="356" spans="5:9">
      <c r="F356" s="4"/>
      <c r="G356" s="78"/>
      <c r="H356" t="s">
        <v>20</v>
      </c>
    </row>
    <row r="357" spans="5:9">
      <c r="F357" s="4"/>
    </row>
    <row r="358" spans="5:9">
      <c r="F358" s="4"/>
      <c r="G358" s="4"/>
    </row>
    <row r="359" spans="5:9">
      <c r="F359" s="4"/>
      <c r="G359" s="4"/>
    </row>
    <row r="360" spans="5:9">
      <c r="F360" s="4"/>
      <c r="G360" s="4"/>
    </row>
    <row r="361" spans="5:9">
      <c r="F361" s="4"/>
      <c r="G361" s="22"/>
    </row>
    <row r="362" spans="5:9">
      <c r="F362" s="4"/>
    </row>
    <row r="363" spans="5:9">
      <c r="F363" s="4">
        <v>1273.5</v>
      </c>
      <c r="G363" s="4"/>
    </row>
    <row r="364" spans="5:9">
      <c r="F364" s="4">
        <v>2247.15</v>
      </c>
      <c r="G364" s="4"/>
      <c r="I364" s="4">
        <v>138.75</v>
      </c>
    </row>
    <row r="365" spans="5:9">
      <c r="F365" s="4">
        <v>7302.39</v>
      </c>
      <c r="G365" s="4">
        <v>115.63</v>
      </c>
      <c r="I365" s="4">
        <v>115.63</v>
      </c>
    </row>
    <row r="366" spans="5:9">
      <c r="E366">
        <v>10751.32</v>
      </c>
      <c r="F366" s="22">
        <f>SUM(F363:F365)</f>
        <v>10823.04</v>
      </c>
      <c r="G366" s="4">
        <v>637.19000000000005</v>
      </c>
      <c r="I366" s="4">
        <v>69.39</v>
      </c>
    </row>
    <row r="367" spans="5:9">
      <c r="F367" s="4">
        <f>F366-E366</f>
        <v>71.720000000001164</v>
      </c>
      <c r="G367" s="4">
        <v>397.22</v>
      </c>
      <c r="I367" s="4">
        <v>138.19</v>
      </c>
    </row>
    <row r="368" spans="5:9">
      <c r="F368" s="4"/>
      <c r="G368" s="4">
        <v>223.13</v>
      </c>
      <c r="I368" s="4">
        <v>12</v>
      </c>
    </row>
    <row r="369" spans="3:9">
      <c r="F369" s="4"/>
      <c r="G369" s="4">
        <v>1069.6300000000001</v>
      </c>
      <c r="H369" s="4">
        <v>425</v>
      </c>
      <c r="I369" s="80">
        <f>SUM(I364:I368)</f>
        <v>473.96</v>
      </c>
    </row>
    <row r="370" spans="3:9">
      <c r="F370" s="4"/>
      <c r="G370" s="4">
        <v>833.75</v>
      </c>
      <c r="I370" s="19">
        <f>I369-H369</f>
        <v>48.95999999999998</v>
      </c>
    </row>
    <row r="371" spans="3:9">
      <c r="F371" s="4"/>
      <c r="G371" s="4">
        <v>912.38</v>
      </c>
    </row>
    <row r="372" spans="3:9">
      <c r="F372" s="4"/>
      <c r="G372" s="4">
        <v>912.38</v>
      </c>
    </row>
    <row r="373" spans="3:9">
      <c r="F373" s="4"/>
      <c r="G373" s="4">
        <v>676.5</v>
      </c>
    </row>
    <row r="374" spans="3:9">
      <c r="F374" s="4">
        <v>1273.5</v>
      </c>
      <c r="G374" s="81">
        <v>1108.94</v>
      </c>
    </row>
    <row r="375" spans="3:9">
      <c r="E375" s="4">
        <v>9900</v>
      </c>
      <c r="F375" s="4">
        <v>2247.15</v>
      </c>
      <c r="G375" s="22">
        <f>SUM(G365:G374)</f>
        <v>6886.75</v>
      </c>
    </row>
    <row r="376" spans="3:9">
      <c r="E376" s="4">
        <v>82</v>
      </c>
      <c r="F376" s="4">
        <v>6886.75</v>
      </c>
      <c r="G376" s="80"/>
      <c r="H376" t="s">
        <v>96</v>
      </c>
    </row>
    <row r="377" spans="3:9">
      <c r="E377" s="19">
        <f>SUM(E375:E376)</f>
        <v>9982</v>
      </c>
      <c r="F377" s="80">
        <f>SUM(F373:F376)</f>
        <v>10407.4</v>
      </c>
    </row>
    <row r="378" spans="3:9">
      <c r="D378" s="19">
        <f>C377-D377</f>
        <v>0</v>
      </c>
      <c r="E378" s="4">
        <v>330</v>
      </c>
      <c r="F378" s="19">
        <v>330</v>
      </c>
    </row>
    <row r="379" spans="3:9">
      <c r="C379" s="19">
        <f>B378-C378</f>
        <v>0</v>
      </c>
      <c r="E379" s="4">
        <v>95.4</v>
      </c>
      <c r="F379" s="19"/>
    </row>
    <row r="382" spans="3:9" ht="18.75">
      <c r="G382" s="73" t="s">
        <v>102</v>
      </c>
      <c r="H382" s="73"/>
    </row>
    <row r="383" spans="3:9">
      <c r="G383" s="4">
        <v>987</v>
      </c>
    </row>
    <row r="384" spans="3:9">
      <c r="G384" s="4">
        <v>700</v>
      </c>
    </row>
    <row r="385" spans="6:13">
      <c r="G385" s="4">
        <v>600</v>
      </c>
      <c r="L385" s="4">
        <v>2287</v>
      </c>
    </row>
    <row r="386" spans="6:13">
      <c r="G386" s="80">
        <f>SUM(G383:G385)</f>
        <v>2287</v>
      </c>
      <c r="H386" t="s">
        <v>98</v>
      </c>
      <c r="L386" s="4">
        <v>1272.6300000000001</v>
      </c>
    </row>
    <row r="387" spans="6:13">
      <c r="I387" s="4">
        <v>155</v>
      </c>
      <c r="L387" s="4">
        <v>655</v>
      </c>
    </row>
    <row r="388" spans="6:13">
      <c r="I388" s="4">
        <v>250</v>
      </c>
      <c r="L388" s="4">
        <v>742.38</v>
      </c>
    </row>
    <row r="389" spans="6:13">
      <c r="I389" s="4">
        <v>250</v>
      </c>
      <c r="L389" s="82">
        <f>SUM(L385:L388)</f>
        <v>4957.01</v>
      </c>
      <c r="M389" t="s">
        <v>97</v>
      </c>
    </row>
    <row r="390" spans="6:13">
      <c r="G390" s="4">
        <v>759.69</v>
      </c>
      <c r="I390" s="82">
        <f>SUM(I387:I389)</f>
        <v>655</v>
      </c>
      <c r="J390" t="s">
        <v>99</v>
      </c>
    </row>
    <row r="391" spans="6:13">
      <c r="G391" s="4">
        <v>313.04000000000002</v>
      </c>
    </row>
    <row r="392" spans="6:13">
      <c r="G392" s="4">
        <v>199.9</v>
      </c>
    </row>
    <row r="393" spans="6:13">
      <c r="F393" t="s">
        <v>100</v>
      </c>
      <c r="G393" s="82">
        <f>SUM(G390:G392)</f>
        <v>1272.6300000000001</v>
      </c>
      <c r="I393" s="4">
        <v>250</v>
      </c>
    </row>
    <row r="394" spans="6:13">
      <c r="I394" s="4">
        <v>240.38</v>
      </c>
    </row>
    <row r="395" spans="6:13">
      <c r="I395" s="4">
        <v>252</v>
      </c>
    </row>
    <row r="396" spans="6:13">
      <c r="I396" s="80">
        <f>SUM(I393:I395)</f>
        <v>742.38</v>
      </c>
      <c r="J396" t="s">
        <v>101</v>
      </c>
    </row>
    <row r="406" spans="1:8">
      <c r="H406" s="4">
        <v>637</v>
      </c>
    </row>
    <row r="407" spans="1:8">
      <c r="H407" s="4">
        <v>261.33</v>
      </c>
    </row>
    <row r="408" spans="1:8">
      <c r="H408" s="4">
        <v>277.33</v>
      </c>
    </row>
    <row r="409" spans="1:8">
      <c r="H409" s="4">
        <v>406.3</v>
      </c>
    </row>
    <row r="410" spans="1:8">
      <c r="H410" s="4">
        <v>1183</v>
      </c>
    </row>
    <row r="411" spans="1:8">
      <c r="H411" s="80">
        <f>SUM(H406:H410)</f>
        <v>2764.96</v>
      </c>
    </row>
    <row r="412" spans="1:8" ht="18.75">
      <c r="A412" s="52"/>
      <c r="B412" s="50" t="s">
        <v>0</v>
      </c>
      <c r="C412" s="50"/>
      <c r="D412" s="50"/>
      <c r="E412" s="50"/>
      <c r="F412" s="50"/>
    </row>
    <row r="413" spans="1:8" ht="18.75">
      <c r="A413" s="51"/>
      <c r="B413" s="49" t="s">
        <v>65</v>
      </c>
      <c r="C413" s="49"/>
      <c r="D413" s="49"/>
      <c r="E413" s="49"/>
      <c r="F413" s="49"/>
      <c r="H413" s="4">
        <v>1526.27</v>
      </c>
    </row>
    <row r="414" spans="1:8" ht="18.75">
      <c r="A414" s="55" t="s">
        <v>2</v>
      </c>
      <c r="B414" s="56" t="s">
        <v>3</v>
      </c>
      <c r="C414" s="56" t="s">
        <v>4</v>
      </c>
      <c r="D414" s="55" t="s">
        <v>5</v>
      </c>
      <c r="E414" s="56" t="s">
        <v>6</v>
      </c>
      <c r="F414" s="56" t="s">
        <v>7</v>
      </c>
      <c r="H414" s="4">
        <v>900.9</v>
      </c>
    </row>
    <row r="415" spans="1:8" ht="15.75">
      <c r="A415" s="58">
        <v>1</v>
      </c>
      <c r="B415" s="84" t="s">
        <v>103</v>
      </c>
      <c r="C415" s="85" t="s">
        <v>104</v>
      </c>
      <c r="D415" s="86">
        <v>3034</v>
      </c>
      <c r="E415" s="84" t="s">
        <v>105</v>
      </c>
      <c r="F415" s="87">
        <v>138.75</v>
      </c>
      <c r="H415" s="4">
        <v>2940</v>
      </c>
    </row>
    <row r="416" spans="1:8" ht="15.75">
      <c r="A416" s="58">
        <v>2</v>
      </c>
      <c r="B416" s="84" t="s">
        <v>106</v>
      </c>
      <c r="C416" s="85" t="s">
        <v>104</v>
      </c>
      <c r="D416" s="86">
        <v>3034</v>
      </c>
      <c r="E416" s="84" t="s">
        <v>105</v>
      </c>
      <c r="F416" s="87">
        <v>597.75</v>
      </c>
      <c r="H416" s="4">
        <v>4895</v>
      </c>
    </row>
    <row r="417" spans="1:9" ht="15.75">
      <c r="A417" s="58">
        <v>3</v>
      </c>
      <c r="B417" s="84" t="s">
        <v>107</v>
      </c>
      <c r="C417" s="85" t="s">
        <v>104</v>
      </c>
      <c r="D417" s="86">
        <v>3034</v>
      </c>
      <c r="E417" s="84" t="s">
        <v>105</v>
      </c>
      <c r="F417" s="87">
        <v>138.75</v>
      </c>
      <c r="H417" s="4">
        <v>1456</v>
      </c>
    </row>
    <row r="418" spans="1:9" ht="15.75">
      <c r="A418" s="58">
        <v>4</v>
      </c>
      <c r="B418" s="84" t="s">
        <v>108</v>
      </c>
      <c r="C418" s="85" t="s">
        <v>104</v>
      </c>
      <c r="D418" s="86">
        <v>3034</v>
      </c>
      <c r="E418" s="84" t="s">
        <v>105</v>
      </c>
      <c r="F418" s="87">
        <v>138.75</v>
      </c>
      <c r="H418" s="80">
        <f>SUM(H413:H417)</f>
        <v>11718.17</v>
      </c>
    </row>
    <row r="419" spans="1:9" ht="15.75">
      <c r="A419" s="40">
        <v>5</v>
      </c>
      <c r="B419" s="88" t="s">
        <v>109</v>
      </c>
      <c r="C419" s="85" t="s">
        <v>104</v>
      </c>
      <c r="D419" s="86">
        <v>3034</v>
      </c>
      <c r="E419" s="84" t="s">
        <v>95</v>
      </c>
      <c r="F419" s="89">
        <v>880</v>
      </c>
    </row>
    <row r="420" spans="1:9" ht="15.75">
      <c r="A420" s="92">
        <v>6</v>
      </c>
      <c r="B420" s="84" t="s">
        <v>110</v>
      </c>
      <c r="C420" s="85" t="s">
        <v>104</v>
      </c>
      <c r="D420" s="86">
        <v>3034</v>
      </c>
      <c r="E420" s="88" t="s">
        <v>74</v>
      </c>
      <c r="F420" s="90">
        <v>223.13</v>
      </c>
      <c r="H420" s="4">
        <v>880</v>
      </c>
    </row>
    <row r="421" spans="1:9" ht="15.75">
      <c r="A421" s="92">
        <v>7</v>
      </c>
      <c r="B421" s="84" t="s">
        <v>111</v>
      </c>
      <c r="C421" s="85" t="s">
        <v>104</v>
      </c>
      <c r="D421" s="86">
        <v>3034</v>
      </c>
      <c r="E421" s="88" t="s">
        <v>74</v>
      </c>
      <c r="F421" s="90">
        <v>1069.6300000000001</v>
      </c>
      <c r="H421" s="4">
        <v>1657.83</v>
      </c>
    </row>
    <row r="422" spans="1:9" ht="15.75">
      <c r="A422" s="92">
        <v>8</v>
      </c>
      <c r="B422" s="84" t="s">
        <v>112</v>
      </c>
      <c r="C422" s="85" t="s">
        <v>104</v>
      </c>
      <c r="D422" s="86">
        <v>3034</v>
      </c>
      <c r="E422" s="88" t="s">
        <v>74</v>
      </c>
      <c r="F422" s="90">
        <v>833.75</v>
      </c>
      <c r="H422" s="4">
        <v>6753.12</v>
      </c>
    </row>
    <row r="423" spans="1:9" ht="15.75">
      <c r="A423" s="92">
        <v>9</v>
      </c>
      <c r="B423" s="84" t="s">
        <v>113</v>
      </c>
      <c r="C423" s="85" t="s">
        <v>104</v>
      </c>
      <c r="D423" s="86">
        <v>3034</v>
      </c>
      <c r="E423" s="88" t="s">
        <v>74</v>
      </c>
      <c r="F423" s="90">
        <v>912.38</v>
      </c>
      <c r="H423" s="80">
        <f>SUM(H420:H422)</f>
        <v>9290.9500000000007</v>
      </c>
      <c r="I423" s="4">
        <v>9272</v>
      </c>
    </row>
    <row r="424" spans="1:9" ht="15.75">
      <c r="A424" s="92">
        <v>10</v>
      </c>
      <c r="B424" s="84" t="s">
        <v>114</v>
      </c>
      <c r="C424" s="85" t="s">
        <v>104</v>
      </c>
      <c r="D424" s="86">
        <v>3034</v>
      </c>
      <c r="E424" s="88" t="s">
        <v>74</v>
      </c>
      <c r="F424" s="90">
        <v>912.38</v>
      </c>
      <c r="I424" s="19">
        <f>H423-I423</f>
        <v>18.950000000000728</v>
      </c>
    </row>
    <row r="425" spans="1:9" ht="15.75">
      <c r="A425" s="92">
        <v>11</v>
      </c>
      <c r="B425" s="84" t="s">
        <v>115</v>
      </c>
      <c r="C425" s="85" t="s">
        <v>104</v>
      </c>
      <c r="D425" s="86">
        <v>3034</v>
      </c>
      <c r="E425" s="88" t="s">
        <v>74</v>
      </c>
      <c r="F425" s="90">
        <v>676.5</v>
      </c>
    </row>
    <row r="426" spans="1:9" ht="15.75">
      <c r="A426" s="92">
        <v>12</v>
      </c>
      <c r="B426" s="84" t="s">
        <v>116</v>
      </c>
      <c r="C426" s="85" t="s">
        <v>104</v>
      </c>
      <c r="D426" s="86">
        <v>3034</v>
      </c>
      <c r="E426" s="88" t="s">
        <v>74</v>
      </c>
      <c r="F426" s="90">
        <v>1108.94</v>
      </c>
    </row>
    <row r="427" spans="1:9" ht="15.75">
      <c r="A427" s="92"/>
      <c r="B427" s="1"/>
      <c r="C427" s="1" t="s">
        <v>30</v>
      </c>
      <c r="D427" s="1"/>
      <c r="E427" s="1"/>
      <c r="F427" s="91">
        <f>SUM(F415:F426)</f>
        <v>7630.7100000000009</v>
      </c>
    </row>
    <row r="428" spans="1:9">
      <c r="F428" s="83"/>
    </row>
    <row r="429" spans="1:9">
      <c r="F429" s="83"/>
    </row>
    <row r="430" spans="1:9">
      <c r="F430" s="21"/>
      <c r="H430" s="4"/>
    </row>
    <row r="431" spans="1:9">
      <c r="H431" s="4"/>
    </row>
    <row r="432" spans="1:9">
      <c r="H432" s="19"/>
    </row>
    <row r="434" spans="2:14">
      <c r="K434" s="4">
        <v>9760.36</v>
      </c>
    </row>
    <row r="435" spans="2:14">
      <c r="B435" s="37" t="s">
        <v>31</v>
      </c>
      <c r="C435" s="37"/>
      <c r="D435" s="38" t="s">
        <v>32</v>
      </c>
      <c r="E435" s="37"/>
      <c r="F435" s="4"/>
      <c r="K435" s="4">
        <v>1212.5</v>
      </c>
    </row>
    <row r="436" spans="2:14">
      <c r="K436" s="4">
        <v>1025</v>
      </c>
    </row>
    <row r="437" spans="2:14">
      <c r="K437" s="4">
        <v>727.5</v>
      </c>
    </row>
    <row r="438" spans="2:14">
      <c r="K438" s="4">
        <v>727.5</v>
      </c>
    </row>
    <row r="439" spans="2:14">
      <c r="K439" s="4">
        <v>897.5</v>
      </c>
    </row>
    <row r="440" spans="2:14">
      <c r="K440" s="4">
        <v>1639.42</v>
      </c>
    </row>
    <row r="441" spans="2:14">
      <c r="K441" s="4">
        <v>1317.5</v>
      </c>
    </row>
    <row r="442" spans="2:14">
      <c r="K442" s="4">
        <v>1212.5</v>
      </c>
      <c r="L442" s="4"/>
      <c r="N442" s="4">
        <v>668.75</v>
      </c>
    </row>
    <row r="443" spans="2:14">
      <c r="K443" s="80">
        <f>SUM(K434:K442)</f>
        <v>18519.78</v>
      </c>
      <c r="L443" s="4"/>
      <c r="N443" s="4">
        <v>619</v>
      </c>
    </row>
    <row r="444" spans="2:14">
      <c r="L444" s="4"/>
      <c r="N444" s="4">
        <v>905</v>
      </c>
    </row>
    <row r="445" spans="2:14">
      <c r="L445" s="4"/>
      <c r="N445" s="19">
        <f>SUM(N442:N444)</f>
        <v>2192.75</v>
      </c>
    </row>
    <row r="446" spans="2:14">
      <c r="L446" s="4"/>
    </row>
    <row r="447" spans="2:14">
      <c r="L447" s="4"/>
    </row>
    <row r="448" spans="2:14">
      <c r="J448" s="4">
        <v>363.25</v>
      </c>
      <c r="L448" s="4"/>
    </row>
    <row r="449" spans="1:14">
      <c r="H449" s="4">
        <v>3919.9</v>
      </c>
      <c r="J449" s="4"/>
      <c r="K449" t="s">
        <v>117</v>
      </c>
      <c r="L449" s="4"/>
    </row>
    <row r="450" spans="1:14">
      <c r="H450" s="4">
        <v>2940</v>
      </c>
      <c r="J450" s="4">
        <v>1089.3900000000001</v>
      </c>
      <c r="L450" s="4"/>
    </row>
    <row r="451" spans="1:14">
      <c r="J451" s="4">
        <v>55.78</v>
      </c>
      <c r="L451" s="4"/>
    </row>
    <row r="452" spans="1:14">
      <c r="J452" s="4">
        <v>389.63</v>
      </c>
    </row>
    <row r="453" spans="1:14">
      <c r="J453" s="4"/>
      <c r="K453" t="s">
        <v>82</v>
      </c>
    </row>
    <row r="454" spans="1:14">
      <c r="J454" s="4">
        <v>931</v>
      </c>
    </row>
    <row r="455" spans="1:14" ht="23.25">
      <c r="A455" s="93"/>
      <c r="B455" s="100" t="s">
        <v>0</v>
      </c>
      <c r="C455" s="100"/>
      <c r="D455" s="100"/>
      <c r="E455" s="100"/>
      <c r="F455" s="94"/>
      <c r="J455" s="4">
        <v>650</v>
      </c>
      <c r="K455" t="s">
        <v>118</v>
      </c>
      <c r="M455" s="19" t="e">
        <f>SUM(#REF!)</f>
        <v>#REF!</v>
      </c>
      <c r="N455" s="4">
        <v>198</v>
      </c>
    </row>
    <row r="456" spans="1:14" ht="23.25">
      <c r="A456" s="95"/>
      <c r="B456" s="101" t="s">
        <v>65</v>
      </c>
      <c r="C456" s="101"/>
      <c r="D456" s="101"/>
      <c r="E456" s="101"/>
      <c r="F456" s="96"/>
      <c r="J456" s="4">
        <v>74.53</v>
      </c>
      <c r="N456" s="4">
        <v>810</v>
      </c>
    </row>
    <row r="457" spans="1:14" ht="15.75">
      <c r="A457" s="39" t="s">
        <v>2</v>
      </c>
      <c r="B457" s="92" t="s">
        <v>3</v>
      </c>
      <c r="C457" s="92" t="s">
        <v>4</v>
      </c>
      <c r="D457" s="57" t="s">
        <v>5</v>
      </c>
      <c r="E457" s="92" t="s">
        <v>6</v>
      </c>
      <c r="F457" s="92" t="s">
        <v>7</v>
      </c>
      <c r="J457" s="4">
        <v>74.53</v>
      </c>
      <c r="N457" s="4">
        <v>990</v>
      </c>
    </row>
    <row r="458" spans="1:14" ht="15.75">
      <c r="A458" s="57">
        <v>1</v>
      </c>
      <c r="B458" s="99" t="s">
        <v>119</v>
      </c>
      <c r="C458" s="57" t="s">
        <v>123</v>
      </c>
      <c r="D458" s="92">
        <v>3094</v>
      </c>
      <c r="E458" s="57" t="s">
        <v>120</v>
      </c>
      <c r="F458" s="97">
        <v>408</v>
      </c>
    </row>
    <row r="459" spans="1:14" ht="15.75">
      <c r="A459" s="57">
        <v>2</v>
      </c>
      <c r="B459" s="99" t="s">
        <v>125</v>
      </c>
      <c r="C459" s="57" t="s">
        <v>123</v>
      </c>
      <c r="D459" s="92">
        <v>3094</v>
      </c>
      <c r="E459" s="57" t="s">
        <v>126</v>
      </c>
      <c r="F459" s="97">
        <v>385</v>
      </c>
    </row>
    <row r="460" spans="1:14" ht="15.75">
      <c r="A460" s="57">
        <v>3</v>
      </c>
      <c r="B460" s="99" t="s">
        <v>121</v>
      </c>
      <c r="C460" s="57" t="s">
        <v>124</v>
      </c>
      <c r="D460" s="92">
        <v>3094</v>
      </c>
      <c r="E460" s="57" t="s">
        <v>122</v>
      </c>
      <c r="F460" s="97">
        <v>393</v>
      </c>
      <c r="H460" s="4">
        <v>27.5</v>
      </c>
      <c r="M460" s="4">
        <v>897.5</v>
      </c>
    </row>
    <row r="461" spans="1:14" ht="15.75">
      <c r="A461" s="57"/>
      <c r="B461" s="57"/>
      <c r="C461" s="12" t="s">
        <v>51</v>
      </c>
      <c r="D461" s="57"/>
      <c r="E461" s="57"/>
      <c r="F461" s="98">
        <f>SUM(F458:F460)</f>
        <v>1186</v>
      </c>
      <c r="H461" s="4">
        <v>1000</v>
      </c>
      <c r="M461" s="4">
        <v>1212.5</v>
      </c>
    </row>
    <row r="462" spans="1:14" ht="15.75">
      <c r="A462" s="20"/>
      <c r="B462" s="20"/>
      <c r="C462" s="20"/>
      <c r="D462" s="20"/>
      <c r="E462" s="20"/>
      <c r="F462" s="20"/>
      <c r="H462" s="4">
        <v>75</v>
      </c>
      <c r="M462" s="19">
        <f>SUM(M460:M461)</f>
        <v>2110</v>
      </c>
    </row>
    <row r="463" spans="1:14">
      <c r="G463" s="19">
        <f>F461-H463</f>
        <v>83.5</v>
      </c>
      <c r="H463" s="4">
        <f>SUM(H460:H462)</f>
        <v>1102.5</v>
      </c>
    </row>
    <row r="466" spans="2:13">
      <c r="B466" s="37" t="s">
        <v>31</v>
      </c>
      <c r="C466" s="37"/>
      <c r="D466" s="38" t="s">
        <v>32</v>
      </c>
      <c r="E466" s="37"/>
      <c r="F466" s="4"/>
    </row>
    <row r="467" spans="2:13">
      <c r="F467" s="4"/>
      <c r="L467" s="4">
        <v>680</v>
      </c>
      <c r="M467" s="4">
        <v>3528</v>
      </c>
    </row>
    <row r="468" spans="2:13">
      <c r="F468" s="4"/>
      <c r="I468">
        <v>1000</v>
      </c>
      <c r="L468" s="4">
        <v>1792</v>
      </c>
      <c r="M468" s="4">
        <v>6859.99</v>
      </c>
    </row>
    <row r="469" spans="2:13">
      <c r="F469" s="80"/>
      <c r="G469" s="4">
        <v>3672</v>
      </c>
      <c r="L469" s="4">
        <v>1344</v>
      </c>
      <c r="M469" s="4">
        <v>16758</v>
      </c>
    </row>
    <row r="470" spans="2:13">
      <c r="F470" s="19"/>
      <c r="L470" s="4">
        <v>507</v>
      </c>
      <c r="M470" s="4">
        <v>18619.900000000001</v>
      </c>
    </row>
    <row r="500" spans="1:10">
      <c r="A500" s="1"/>
      <c r="B500" s="31"/>
      <c r="C500" s="31"/>
      <c r="D500" s="31"/>
      <c r="E500" s="31"/>
      <c r="F500" s="1"/>
    </row>
    <row r="501" spans="1:10" ht="18.75">
      <c r="A501" s="1"/>
      <c r="B501" s="107" t="s">
        <v>137</v>
      </c>
      <c r="C501" s="107"/>
      <c r="D501" s="107"/>
      <c r="E501" s="107"/>
      <c r="F501" s="108"/>
    </row>
    <row r="502" spans="1:10" ht="23.25">
      <c r="A502" s="109"/>
      <c r="B502" s="110" t="s">
        <v>0</v>
      </c>
      <c r="C502" s="110"/>
      <c r="D502" s="110"/>
      <c r="E502" s="110"/>
      <c r="F502" s="111"/>
    </row>
    <row r="503" spans="1:10" ht="23.25">
      <c r="A503" s="109"/>
      <c r="B503" s="110" t="s">
        <v>65</v>
      </c>
      <c r="C503" s="110"/>
      <c r="D503" s="110"/>
      <c r="E503" s="110"/>
      <c r="F503" s="111"/>
    </row>
    <row r="504" spans="1:10" ht="15.75">
      <c r="A504" s="39" t="s">
        <v>2</v>
      </c>
      <c r="B504" s="58" t="s">
        <v>3</v>
      </c>
      <c r="C504" s="58" t="s">
        <v>4</v>
      </c>
      <c r="D504" s="12" t="s">
        <v>5</v>
      </c>
      <c r="E504" s="58" t="s">
        <v>6</v>
      </c>
      <c r="F504" s="58" t="s">
        <v>7</v>
      </c>
      <c r="H504" s="4">
        <v>69.38</v>
      </c>
      <c r="J504" s="102"/>
    </row>
    <row r="505" spans="1:10">
      <c r="A505" s="1">
        <v>1</v>
      </c>
      <c r="B505" s="31" t="s">
        <v>128</v>
      </c>
      <c r="C505" s="31" t="s">
        <v>127</v>
      </c>
      <c r="D505" s="32">
        <v>3464</v>
      </c>
      <c r="E505" s="31" t="s">
        <v>20</v>
      </c>
      <c r="F505" s="48">
        <v>111.56</v>
      </c>
      <c r="H505" s="4">
        <v>30</v>
      </c>
    </row>
    <row r="506" spans="1:10">
      <c r="A506" s="1">
        <v>2</v>
      </c>
      <c r="B506" s="31" t="s">
        <v>129</v>
      </c>
      <c r="C506" s="31" t="s">
        <v>127</v>
      </c>
      <c r="D506" s="32">
        <v>3464</v>
      </c>
      <c r="E506" s="31" t="s">
        <v>20</v>
      </c>
      <c r="F506" s="48">
        <v>1905</v>
      </c>
      <c r="H506" s="4">
        <v>30</v>
      </c>
    </row>
    <row r="507" spans="1:10">
      <c r="A507" s="1">
        <v>3</v>
      </c>
      <c r="B507" s="31" t="s">
        <v>130</v>
      </c>
      <c r="C507" s="31" t="s">
        <v>127</v>
      </c>
      <c r="D507" s="32">
        <v>3464</v>
      </c>
      <c r="E507" s="31" t="s">
        <v>20</v>
      </c>
      <c r="F507" s="48">
        <v>231</v>
      </c>
      <c r="H507" s="80">
        <f>SUM(H504:H506)</f>
        <v>129.38</v>
      </c>
    </row>
    <row r="508" spans="1:10">
      <c r="A508" s="1">
        <v>4</v>
      </c>
      <c r="B508" s="31" t="s">
        <v>131</v>
      </c>
      <c r="C508" s="31" t="s">
        <v>127</v>
      </c>
      <c r="D508" s="32">
        <v>3464</v>
      </c>
      <c r="E508" s="31" t="s">
        <v>74</v>
      </c>
      <c r="F508" s="48">
        <v>30</v>
      </c>
      <c r="I508" s="4">
        <v>500</v>
      </c>
    </row>
    <row r="509" spans="1:10">
      <c r="A509" s="1">
        <v>5</v>
      </c>
      <c r="B509" s="31" t="s">
        <v>132</v>
      </c>
      <c r="C509" s="31" t="s">
        <v>127</v>
      </c>
      <c r="D509" s="32">
        <v>3464</v>
      </c>
      <c r="E509" s="31" t="s">
        <v>133</v>
      </c>
      <c r="F509" s="48">
        <v>125</v>
      </c>
      <c r="I509" s="4">
        <v>5</v>
      </c>
    </row>
    <row r="510" spans="1:10">
      <c r="A510" s="1">
        <v>6</v>
      </c>
      <c r="B510" s="31" t="s">
        <v>134</v>
      </c>
      <c r="C510" s="31" t="s">
        <v>127</v>
      </c>
      <c r="D510" s="32">
        <v>3464</v>
      </c>
      <c r="E510" s="31" t="s">
        <v>135</v>
      </c>
      <c r="F510" s="48">
        <v>456</v>
      </c>
      <c r="I510" s="4">
        <v>74</v>
      </c>
    </row>
    <row r="511" spans="1:10">
      <c r="A511" s="1"/>
      <c r="B511" s="1"/>
      <c r="C511" s="1" t="s">
        <v>136</v>
      </c>
      <c r="D511" s="1"/>
      <c r="E511" s="1"/>
      <c r="F511" s="10">
        <f>SUM(F505:F510)</f>
        <v>2858.56</v>
      </c>
      <c r="I511" s="19">
        <f>SUM(I508:I510)</f>
        <v>579</v>
      </c>
    </row>
    <row r="512" spans="1:10">
      <c r="A512" s="1"/>
      <c r="B512" s="1"/>
      <c r="C512" s="1"/>
      <c r="D512" s="1"/>
      <c r="E512" s="1"/>
      <c r="F512" s="112"/>
      <c r="G512" s="19"/>
    </row>
    <row r="513" spans="1:11">
      <c r="A513" s="1"/>
      <c r="B513" s="1"/>
      <c r="C513" s="1"/>
      <c r="D513" s="1"/>
      <c r="E513" s="1"/>
      <c r="F513" s="113"/>
    </row>
    <row r="514" spans="1:11">
      <c r="A514" s="1"/>
      <c r="B514" s="1"/>
      <c r="C514" s="1"/>
      <c r="D514" s="1"/>
      <c r="E514" s="1"/>
      <c r="F514" s="1"/>
    </row>
    <row r="515" spans="1:11">
      <c r="A515" s="1"/>
      <c r="B515" s="1"/>
      <c r="C515" s="1"/>
      <c r="D515" s="1"/>
      <c r="E515" s="1"/>
      <c r="F515" s="1"/>
      <c r="J515" s="4">
        <v>2250</v>
      </c>
      <c r="K515" s="4"/>
    </row>
    <row r="516" spans="1:11">
      <c r="A516" s="1"/>
      <c r="B516" s="1"/>
      <c r="C516" s="1"/>
      <c r="D516" s="1"/>
      <c r="E516" s="1"/>
      <c r="F516" s="1"/>
      <c r="J516" s="4">
        <v>500</v>
      </c>
      <c r="K516" s="4"/>
    </row>
    <row r="517" spans="1:11">
      <c r="A517" s="1"/>
      <c r="B517" s="31"/>
      <c r="C517" s="31"/>
      <c r="D517" s="32"/>
      <c r="E517" s="31"/>
      <c r="F517" s="1"/>
      <c r="J517" s="4">
        <v>260</v>
      </c>
      <c r="K517" s="4"/>
    </row>
    <row r="518" spans="1:11">
      <c r="A518" s="1"/>
      <c r="B518" s="1"/>
      <c r="C518" s="1"/>
      <c r="D518" s="1"/>
      <c r="E518" s="1"/>
      <c r="F518" s="1"/>
      <c r="J518" s="4">
        <v>10</v>
      </c>
      <c r="K518" s="4"/>
    </row>
    <row r="519" spans="1:11">
      <c r="A519" s="114"/>
      <c r="B519" s="114"/>
      <c r="C519" s="114"/>
      <c r="D519" s="114"/>
      <c r="E519" s="114"/>
      <c r="F519" s="114"/>
      <c r="J519" s="4">
        <f>SUM(J515:J518)</f>
        <v>3020</v>
      </c>
      <c r="K519" s="19"/>
    </row>
    <row r="520" spans="1:11">
      <c r="J520" s="4"/>
    </row>
    <row r="521" spans="1:11">
      <c r="J521" s="4"/>
    </row>
    <row r="522" spans="1:11">
      <c r="B522" s="37" t="s">
        <v>31</v>
      </c>
      <c r="C522" s="37"/>
      <c r="D522" s="38" t="s">
        <v>32</v>
      </c>
      <c r="E522" s="37"/>
    </row>
    <row r="544" spans="1:6">
      <c r="A544" s="118"/>
      <c r="B544" s="118"/>
      <c r="C544" s="118"/>
      <c r="D544" s="118"/>
      <c r="E544" s="118"/>
      <c r="F544" s="118"/>
    </row>
    <row r="548" spans="1:6" ht="18.75">
      <c r="A548" s="1"/>
      <c r="B548" s="107" t="s">
        <v>137</v>
      </c>
      <c r="C548" s="107"/>
      <c r="D548" s="107"/>
      <c r="E548" s="107"/>
      <c r="F548" s="108"/>
    </row>
    <row r="549" spans="1:6" ht="23.25">
      <c r="A549" s="109"/>
      <c r="B549" s="110" t="s">
        <v>0</v>
      </c>
      <c r="C549" s="110"/>
      <c r="D549" s="110"/>
      <c r="E549" s="110"/>
      <c r="F549" s="111"/>
    </row>
    <row r="550" spans="1:6" ht="23.25">
      <c r="A550" s="109"/>
      <c r="B550" s="110" t="s">
        <v>65</v>
      </c>
      <c r="C550" s="110"/>
      <c r="D550" s="110"/>
      <c r="E550" s="110"/>
      <c r="F550" s="111"/>
    </row>
    <row r="551" spans="1:6" ht="15.75">
      <c r="A551" s="39" t="s">
        <v>2</v>
      </c>
      <c r="B551" s="58" t="s">
        <v>3</v>
      </c>
      <c r="C551" s="58" t="s">
        <v>4</v>
      </c>
      <c r="D551" s="12" t="s">
        <v>5</v>
      </c>
      <c r="E551" s="58" t="s">
        <v>6</v>
      </c>
      <c r="F551" s="58" t="s">
        <v>7</v>
      </c>
    </row>
    <row r="552" spans="1:6">
      <c r="A552" s="1">
        <v>1</v>
      </c>
      <c r="B552" s="1" t="s">
        <v>138</v>
      </c>
      <c r="C552" s="1" t="s">
        <v>139</v>
      </c>
      <c r="D552" s="1">
        <v>3492</v>
      </c>
      <c r="E552" s="1" t="s">
        <v>24</v>
      </c>
      <c r="F552" s="1">
        <v>86.41</v>
      </c>
    </row>
    <row r="553" spans="1:6">
      <c r="A553" s="1">
        <v>2</v>
      </c>
      <c r="B553" s="1" t="s">
        <v>140</v>
      </c>
      <c r="C553" s="1" t="s">
        <v>139</v>
      </c>
      <c r="D553" s="1">
        <v>3492</v>
      </c>
      <c r="E553" s="1" t="s">
        <v>24</v>
      </c>
      <c r="F553" s="1">
        <v>318.75</v>
      </c>
    </row>
    <row r="554" spans="1:6">
      <c r="A554" s="1"/>
      <c r="B554" s="1"/>
      <c r="C554" s="1" t="s">
        <v>30</v>
      </c>
      <c r="D554" s="1"/>
      <c r="E554" s="1"/>
      <c r="F554" s="1">
        <f>SUM(F552:F553)</f>
        <v>405.15999999999997</v>
      </c>
    </row>
    <row r="574" spans="2:5">
      <c r="B574" s="37" t="s">
        <v>31</v>
      </c>
      <c r="C574" s="37"/>
      <c r="D574" s="38" t="s">
        <v>32</v>
      </c>
      <c r="E574" s="37"/>
    </row>
    <row r="592" spans="2:6" ht="18.75">
      <c r="B592" s="115" t="s">
        <v>145</v>
      </c>
      <c r="C592" s="115"/>
      <c r="D592" s="115"/>
      <c r="E592" s="115"/>
      <c r="F592" s="116"/>
    </row>
    <row r="593" spans="1:11" ht="23.25">
      <c r="A593" s="104"/>
      <c r="B593" s="100" t="s">
        <v>0</v>
      </c>
      <c r="C593" s="100"/>
      <c r="D593" s="100"/>
      <c r="E593" s="100"/>
      <c r="F593" s="105"/>
    </row>
    <row r="594" spans="1:11" ht="23.25">
      <c r="A594" s="106"/>
      <c r="B594" s="103" t="s">
        <v>65</v>
      </c>
      <c r="C594" s="101"/>
      <c r="D594" s="101"/>
      <c r="E594" s="101"/>
      <c r="F594" s="96"/>
    </row>
    <row r="595" spans="1:11" ht="15.75">
      <c r="A595" s="39" t="s">
        <v>2</v>
      </c>
      <c r="B595" s="58" t="s">
        <v>3</v>
      </c>
      <c r="C595" s="58" t="s">
        <v>4</v>
      </c>
      <c r="D595" s="12" t="s">
        <v>5</v>
      </c>
      <c r="E595" s="58" t="s">
        <v>6</v>
      </c>
      <c r="F595" s="58" t="s">
        <v>7</v>
      </c>
    </row>
    <row r="596" spans="1:11">
      <c r="A596">
        <v>7</v>
      </c>
      <c r="B596" s="14" t="s">
        <v>142</v>
      </c>
      <c r="C596" s="14" t="s">
        <v>144</v>
      </c>
      <c r="D596" s="15">
        <v>3781</v>
      </c>
      <c r="E596" s="14" t="s">
        <v>141</v>
      </c>
      <c r="F596" s="117">
        <v>357</v>
      </c>
      <c r="J596" s="4">
        <v>960</v>
      </c>
    </row>
    <row r="597" spans="1:11">
      <c r="A597">
        <v>8</v>
      </c>
      <c r="B597" s="14" t="s">
        <v>143</v>
      </c>
      <c r="C597" s="14" t="s">
        <v>144</v>
      </c>
      <c r="D597" s="15">
        <v>3781</v>
      </c>
      <c r="E597" s="14" t="s">
        <v>141</v>
      </c>
      <c r="F597" s="117">
        <v>153</v>
      </c>
      <c r="H597" s="19">
        <v>1000</v>
      </c>
      <c r="J597" s="19">
        <f>SUM(J596:J596)</f>
        <v>960</v>
      </c>
    </row>
    <row r="598" spans="1:11">
      <c r="F598" s="80">
        <f>SUM(F596:F597)</f>
        <v>510</v>
      </c>
      <c r="H598">
        <v>100</v>
      </c>
    </row>
    <row r="599" spans="1:11">
      <c r="H599">
        <v>100</v>
      </c>
    </row>
    <row r="602" spans="1:11">
      <c r="I602" t="s">
        <v>150</v>
      </c>
    </row>
    <row r="603" spans="1:11">
      <c r="H603" t="s">
        <v>147</v>
      </c>
      <c r="I603" s="4"/>
    </row>
    <row r="604" spans="1:11">
      <c r="H604" s="4"/>
      <c r="I604" s="4">
        <v>686.33</v>
      </c>
    </row>
    <row r="605" spans="1:11">
      <c r="H605" s="4">
        <v>159.41999999999999</v>
      </c>
      <c r="I605" s="4"/>
      <c r="K605" s="4">
        <v>1201.42</v>
      </c>
    </row>
    <row r="606" spans="1:11">
      <c r="H606" s="21">
        <f>SUM(H604:H605)</f>
        <v>159.41999999999999</v>
      </c>
      <c r="I606" s="4">
        <v>967.89</v>
      </c>
      <c r="K606" s="4">
        <v>1655.55</v>
      </c>
    </row>
    <row r="607" spans="1:11">
      <c r="H607" t="s">
        <v>148</v>
      </c>
      <c r="I607" s="4"/>
      <c r="K607" s="4">
        <v>9860.8799999999992</v>
      </c>
    </row>
    <row r="608" spans="1:11">
      <c r="H608" s="4"/>
      <c r="I608" s="4"/>
      <c r="K608" s="4">
        <v>17140.400000000001</v>
      </c>
    </row>
    <row r="609" spans="8:12">
      <c r="H609" s="4"/>
      <c r="I609" s="4">
        <v>576.94000000000005</v>
      </c>
      <c r="K609" s="4">
        <v>4450.09</v>
      </c>
    </row>
    <row r="610" spans="8:12">
      <c r="H610" s="80">
        <f>SUM(H608:H609)</f>
        <v>0</v>
      </c>
      <c r="I610" s="4"/>
      <c r="K610" s="80">
        <f>SUM(K605:K609)</f>
        <v>34308.339999999997</v>
      </c>
    </row>
    <row r="611" spans="8:12">
      <c r="I611" s="4"/>
    </row>
    <row r="612" spans="8:12">
      <c r="I612" s="4">
        <v>286.60000000000002</v>
      </c>
      <c r="K612" s="4">
        <v>20000</v>
      </c>
    </row>
    <row r="613" spans="8:12">
      <c r="H613" t="s">
        <v>146</v>
      </c>
      <c r="I613" s="4"/>
      <c r="K613" s="4">
        <v>5000</v>
      </c>
    </row>
    <row r="614" spans="8:12">
      <c r="H614" s="4"/>
      <c r="I614" s="4">
        <v>814.09</v>
      </c>
      <c r="K614" s="4">
        <v>7400</v>
      </c>
    </row>
    <row r="615" spans="8:12">
      <c r="H615" s="4"/>
      <c r="I615" s="4">
        <v>724.31</v>
      </c>
      <c r="K615" s="4">
        <v>1000</v>
      </c>
    </row>
    <row r="616" spans="8:12">
      <c r="H616" s="4">
        <v>1462.5</v>
      </c>
      <c r="I616" s="4"/>
      <c r="K616" s="4">
        <v>500</v>
      </c>
    </row>
    <row r="617" spans="8:12">
      <c r="H617" s="4">
        <v>231</v>
      </c>
      <c r="I617" s="4"/>
      <c r="K617" s="4">
        <v>550</v>
      </c>
    </row>
    <row r="618" spans="8:12">
      <c r="H618" s="4"/>
      <c r="I618" s="4">
        <v>277.24</v>
      </c>
      <c r="K618" s="19">
        <f>SUM(K612:K617)</f>
        <v>34450</v>
      </c>
    </row>
    <row r="619" spans="8:12">
      <c r="H619" s="4"/>
      <c r="I619" s="4">
        <v>150.28</v>
      </c>
      <c r="L619">
        <v>141.66</v>
      </c>
    </row>
    <row r="620" spans="8:12">
      <c r="H620" s="4"/>
      <c r="I620" s="4">
        <v>693.45</v>
      </c>
      <c r="L620">
        <v>100</v>
      </c>
    </row>
    <row r="621" spans="8:12">
      <c r="H621" s="4"/>
      <c r="I621" s="4">
        <v>1440.25</v>
      </c>
      <c r="K621" s="4"/>
      <c r="L621">
        <v>2</v>
      </c>
    </row>
    <row r="622" spans="8:12">
      <c r="H622" s="4">
        <v>330</v>
      </c>
      <c r="I622" s="4"/>
      <c r="L622" s="21">
        <f>SUM(L619:L621)</f>
        <v>243.66</v>
      </c>
    </row>
    <row r="623" spans="8:12">
      <c r="H623" s="4">
        <v>821</v>
      </c>
      <c r="I623" s="4"/>
      <c r="K623" s="19"/>
    </row>
    <row r="624" spans="8:12">
      <c r="H624" s="4"/>
      <c r="I624" s="80">
        <f>SUM(I603:I623)</f>
        <v>6617.3799999999992</v>
      </c>
    </row>
    <row r="625" spans="1:11">
      <c r="H625" s="4"/>
    </row>
    <row r="626" spans="1:11">
      <c r="H626" s="4">
        <v>190.5</v>
      </c>
    </row>
    <row r="627" spans="1:11">
      <c r="H627" s="80">
        <f>SUM(H614:H626)</f>
        <v>3035</v>
      </c>
      <c r="I627" s="4"/>
    </row>
    <row r="628" spans="1:11">
      <c r="H628" t="s">
        <v>149</v>
      </c>
      <c r="I628" s="4">
        <v>159.41999999999999</v>
      </c>
    </row>
    <row r="629" spans="1:11">
      <c r="H629" s="19">
        <v>659.5</v>
      </c>
      <c r="I629" s="4">
        <v>3554</v>
      </c>
    </row>
    <row r="630" spans="1:11">
      <c r="H630" s="19">
        <v>772.55</v>
      </c>
      <c r="I630" s="4">
        <v>2621.79</v>
      </c>
    </row>
    <row r="631" spans="1:11">
      <c r="H631" s="19">
        <v>130</v>
      </c>
      <c r="I631" s="4">
        <v>6617.76</v>
      </c>
    </row>
    <row r="632" spans="1:11">
      <c r="H632" s="19">
        <v>798.9</v>
      </c>
      <c r="I632" s="4">
        <f>SUM(I628:I631)</f>
        <v>12952.970000000001</v>
      </c>
    </row>
    <row r="633" spans="1:11">
      <c r="H633" s="19"/>
      <c r="I633" s="4"/>
    </row>
    <row r="634" spans="1:11">
      <c r="H634" s="19"/>
      <c r="I634" s="4"/>
    </row>
    <row r="635" spans="1:11">
      <c r="H635" s="19">
        <v>150.84</v>
      </c>
      <c r="I635" s="4">
        <v>10000</v>
      </c>
      <c r="K635" s="4"/>
    </row>
    <row r="636" spans="1:11">
      <c r="H636" s="19"/>
      <c r="I636" s="19">
        <v>2400</v>
      </c>
      <c r="J636" s="19"/>
    </row>
    <row r="637" spans="1:11">
      <c r="H637" s="19">
        <v>110</v>
      </c>
      <c r="I637" s="4">
        <v>100</v>
      </c>
    </row>
    <row r="638" spans="1:11" ht="18.75">
      <c r="B638" s="115" t="s">
        <v>151</v>
      </c>
      <c r="C638" s="115"/>
      <c r="D638" s="115"/>
      <c r="E638" s="115"/>
      <c r="F638" s="116"/>
      <c r="H638" s="19"/>
      <c r="I638" s="19">
        <v>80</v>
      </c>
      <c r="J638" s="19"/>
    </row>
    <row r="639" spans="1:11" ht="23.25">
      <c r="A639" s="104"/>
      <c r="B639" s="100" t="s">
        <v>0</v>
      </c>
      <c r="C639" s="100"/>
      <c r="D639" s="100"/>
      <c r="E639" s="100"/>
      <c r="F639" s="94"/>
      <c r="H639" s="80">
        <f>SUM(H629:H638)</f>
        <v>2621.79</v>
      </c>
      <c r="I639" s="19">
        <f>SUM(I635:I638)</f>
        <v>12580</v>
      </c>
      <c r="K639" s="19">
        <f>I632-I639</f>
        <v>372.97000000000116</v>
      </c>
    </row>
    <row r="640" spans="1:11" ht="23.25">
      <c r="A640" s="106"/>
      <c r="B640" s="103" t="s">
        <v>65</v>
      </c>
      <c r="C640" s="101"/>
      <c r="D640" s="101"/>
      <c r="E640" s="101"/>
      <c r="F640" s="96"/>
    </row>
    <row r="641" spans="1:12" ht="15.75">
      <c r="A641" s="39" t="s">
        <v>2</v>
      </c>
      <c r="B641" s="58" t="s">
        <v>3</v>
      </c>
      <c r="C641" s="58" t="s">
        <v>4</v>
      </c>
      <c r="D641" s="12" t="s">
        <v>5</v>
      </c>
      <c r="E641" s="58" t="s">
        <v>6</v>
      </c>
      <c r="F641" s="58" t="s">
        <v>7</v>
      </c>
    </row>
    <row r="642" spans="1:12">
      <c r="A642" s="120">
        <v>1</v>
      </c>
      <c r="B642" s="76" t="s">
        <v>153</v>
      </c>
      <c r="C642" s="9" t="s">
        <v>152</v>
      </c>
      <c r="D642" s="17">
        <v>4030</v>
      </c>
      <c r="E642" s="9" t="s">
        <v>24</v>
      </c>
      <c r="F642" s="10">
        <v>659.5</v>
      </c>
      <c r="J642" s="4"/>
      <c r="L642" s="4"/>
    </row>
    <row r="643" spans="1:12">
      <c r="A643" s="120">
        <v>2</v>
      </c>
      <c r="B643" s="76" t="s">
        <v>154</v>
      </c>
      <c r="C643" s="9" t="s">
        <v>152</v>
      </c>
      <c r="D643" s="17">
        <v>4030</v>
      </c>
      <c r="E643" s="9" t="s">
        <v>24</v>
      </c>
      <c r="F643" s="10">
        <v>772.55</v>
      </c>
      <c r="J643" s="4"/>
      <c r="L643" s="4"/>
    </row>
    <row r="644" spans="1:12">
      <c r="A644" s="120">
        <v>3</v>
      </c>
      <c r="B644" s="76" t="s">
        <v>155</v>
      </c>
      <c r="C644" s="9" t="s">
        <v>152</v>
      </c>
      <c r="D644" s="17">
        <v>4030</v>
      </c>
      <c r="E644" s="9" t="s">
        <v>24</v>
      </c>
      <c r="F644" s="10">
        <v>130</v>
      </c>
      <c r="I644" s="4"/>
      <c r="J644" s="4"/>
      <c r="L644" s="4"/>
    </row>
    <row r="645" spans="1:12">
      <c r="A645" s="120">
        <v>4</v>
      </c>
      <c r="B645" s="76" t="s">
        <v>156</v>
      </c>
      <c r="C645" s="9" t="s">
        <v>152</v>
      </c>
      <c r="D645" s="17">
        <v>4030</v>
      </c>
      <c r="E645" s="9" t="s">
        <v>24</v>
      </c>
      <c r="F645" s="10">
        <v>150.84</v>
      </c>
      <c r="I645" s="4"/>
      <c r="J645" s="4"/>
      <c r="L645" s="4"/>
    </row>
    <row r="646" spans="1:12">
      <c r="A646" s="120">
        <v>6</v>
      </c>
      <c r="B646" s="76" t="s">
        <v>158</v>
      </c>
      <c r="C646" s="9" t="s">
        <v>152</v>
      </c>
      <c r="D646" s="17">
        <v>4030</v>
      </c>
      <c r="E646" s="9" t="s">
        <v>157</v>
      </c>
      <c r="F646" s="10">
        <v>277.24</v>
      </c>
      <c r="I646" s="4"/>
    </row>
    <row r="647" spans="1:12">
      <c r="A647" s="120">
        <v>7</v>
      </c>
      <c r="B647" s="76" t="s">
        <v>159</v>
      </c>
      <c r="C647" s="9" t="s">
        <v>152</v>
      </c>
      <c r="D647" s="17">
        <v>4030</v>
      </c>
      <c r="E647" s="9" t="s">
        <v>157</v>
      </c>
      <c r="F647" s="10">
        <v>686.33</v>
      </c>
      <c r="H647" s="19"/>
      <c r="I647" s="119"/>
    </row>
    <row r="648" spans="1:12">
      <c r="A648" s="120">
        <v>8</v>
      </c>
      <c r="B648" s="76" t="s">
        <v>161</v>
      </c>
      <c r="C648" s="9" t="s">
        <v>152</v>
      </c>
      <c r="D648" s="17">
        <v>4030</v>
      </c>
      <c r="E648" s="9" t="s">
        <v>160</v>
      </c>
      <c r="F648" s="10">
        <v>330</v>
      </c>
      <c r="I648" s="4"/>
    </row>
    <row r="649" spans="1:12">
      <c r="A649" s="120"/>
      <c r="B649" s="76"/>
      <c r="C649" s="9" t="s">
        <v>51</v>
      </c>
      <c r="D649" s="9"/>
      <c r="E649" s="9"/>
      <c r="F649" s="121">
        <f>SUM(F642:F648)</f>
        <v>3006.46</v>
      </c>
      <c r="I649" s="4"/>
    </row>
    <row r="650" spans="1:12">
      <c r="B650" s="16"/>
      <c r="I650" s="4"/>
    </row>
    <row r="651" spans="1:12">
      <c r="B651" s="16"/>
    </row>
    <row r="655" spans="1:12">
      <c r="B655" s="37" t="s">
        <v>31</v>
      </c>
      <c r="C655" s="37"/>
      <c r="D655" s="38" t="s">
        <v>32</v>
      </c>
      <c r="E655" s="37"/>
    </row>
    <row r="682" spans="1:6" ht="23.25">
      <c r="A682" s="104"/>
      <c r="B682" s="100" t="s">
        <v>0</v>
      </c>
      <c r="C682" s="100"/>
      <c r="D682" s="100"/>
      <c r="E682" s="100"/>
      <c r="F682" s="94"/>
    </row>
    <row r="683" spans="1:6" ht="23.25">
      <c r="A683" s="106"/>
      <c r="B683" s="103" t="s">
        <v>65</v>
      </c>
      <c r="C683" s="101"/>
      <c r="D683" s="101"/>
      <c r="E683" s="101"/>
      <c r="F683" s="96"/>
    </row>
    <row r="684" spans="1:6" ht="15.75">
      <c r="A684" s="39" t="s">
        <v>2</v>
      </c>
      <c r="B684" s="58" t="s">
        <v>3</v>
      </c>
      <c r="C684" s="58" t="s">
        <v>4</v>
      </c>
      <c r="D684" s="12" t="s">
        <v>5</v>
      </c>
      <c r="E684" s="58" t="s">
        <v>6</v>
      </c>
      <c r="F684" s="58" t="s">
        <v>7</v>
      </c>
    </row>
    <row r="685" spans="1:6">
      <c r="A685">
        <v>1</v>
      </c>
      <c r="B685" s="1" t="s">
        <v>163</v>
      </c>
      <c r="C685" s="1" t="s">
        <v>162</v>
      </c>
      <c r="D685" s="120">
        <v>4330</v>
      </c>
      <c r="E685" s="1" t="s">
        <v>164</v>
      </c>
      <c r="F685" s="112">
        <v>492.98</v>
      </c>
    </row>
    <row r="686" spans="1:6">
      <c r="B686" s="1"/>
      <c r="C686" s="9" t="s">
        <v>51</v>
      </c>
      <c r="D686" s="1"/>
      <c r="E686" s="1"/>
      <c r="F686" s="113">
        <f>SUM(F685:F685)</f>
        <v>492.98</v>
      </c>
    </row>
    <row r="690" spans="2:9">
      <c r="B690" s="37" t="s">
        <v>31</v>
      </c>
      <c r="D690" s="37"/>
      <c r="E690" s="38" t="s">
        <v>32</v>
      </c>
      <c r="F690" s="37"/>
    </row>
    <row r="691" spans="2:9">
      <c r="B691" s="37"/>
      <c r="C691" s="37"/>
      <c r="D691" s="38"/>
      <c r="E691" s="37"/>
    </row>
    <row r="692" spans="2:9">
      <c r="E692">
        <f>SUM(C694)</f>
        <v>0</v>
      </c>
    </row>
    <row r="695" spans="2:9">
      <c r="I695" s="4"/>
    </row>
    <row r="696" spans="2:9">
      <c r="E696" s="21">
        <v>973.8</v>
      </c>
      <c r="F696" t="s">
        <v>167</v>
      </c>
    </row>
    <row r="699" spans="2:9">
      <c r="E699">
        <v>501</v>
      </c>
    </row>
    <row r="700" spans="2:9">
      <c r="E700">
        <v>710.5</v>
      </c>
    </row>
    <row r="701" spans="2:9">
      <c r="E701" s="22">
        <f>SUM(E699:E700)</f>
        <v>1211.5</v>
      </c>
      <c r="F701" t="s">
        <v>165</v>
      </c>
    </row>
    <row r="702" spans="2:9">
      <c r="E702">
        <v>281.39999999999998</v>
      </c>
    </row>
    <row r="703" spans="2:9">
      <c r="E703">
        <v>69.38</v>
      </c>
    </row>
    <row r="704" spans="2:9">
      <c r="B704" s="4">
        <v>4900</v>
      </c>
      <c r="C704" s="4">
        <v>973.8</v>
      </c>
      <c r="E704">
        <v>367.77</v>
      </c>
    </row>
    <row r="705" spans="2:10">
      <c r="B705" s="4">
        <v>5000</v>
      </c>
      <c r="C705" s="4">
        <v>1211.5</v>
      </c>
      <c r="E705">
        <v>988.48</v>
      </c>
    </row>
    <row r="706" spans="2:10">
      <c r="B706" s="4">
        <v>50</v>
      </c>
      <c r="C706" s="4">
        <v>8973.84</v>
      </c>
      <c r="E706">
        <v>208.78</v>
      </c>
    </row>
    <row r="707" spans="2:10">
      <c r="B707" s="4">
        <v>1000</v>
      </c>
      <c r="C707" s="4">
        <v>1024.5</v>
      </c>
      <c r="E707">
        <v>1456.25</v>
      </c>
    </row>
    <row r="708" spans="2:10">
      <c r="B708" s="4">
        <v>1000</v>
      </c>
      <c r="C708" s="19">
        <f>SUM(C704:C707)</f>
        <v>12183.64</v>
      </c>
      <c r="E708">
        <v>121.41</v>
      </c>
      <c r="J708" s="4">
        <v>1650</v>
      </c>
    </row>
    <row r="709" spans="2:10">
      <c r="B709" s="4">
        <v>30</v>
      </c>
      <c r="E709">
        <v>69.38</v>
      </c>
      <c r="J709" s="4">
        <v>1350</v>
      </c>
    </row>
    <row r="710" spans="2:10">
      <c r="B710" s="4">
        <v>33</v>
      </c>
      <c r="E710">
        <v>202.31</v>
      </c>
      <c r="J710" s="4">
        <v>1950</v>
      </c>
    </row>
    <row r="711" spans="2:10">
      <c r="B711" s="19">
        <f>SUM(B704:B710)</f>
        <v>12013</v>
      </c>
      <c r="C711" s="19">
        <f>C708-B711</f>
        <v>170.63999999999942</v>
      </c>
      <c r="E711">
        <v>1122.75</v>
      </c>
      <c r="J711" s="4">
        <v>2025</v>
      </c>
    </row>
    <row r="712" spans="2:10">
      <c r="E712">
        <v>941.86</v>
      </c>
      <c r="J712" s="4">
        <v>1950</v>
      </c>
    </row>
    <row r="713" spans="2:10">
      <c r="E713">
        <v>176.3</v>
      </c>
      <c r="J713" s="4">
        <v>1125</v>
      </c>
    </row>
    <row r="714" spans="2:10">
      <c r="E714">
        <v>244.56</v>
      </c>
      <c r="J714" s="4">
        <f>SUM(J708:J713)</f>
        <v>10050</v>
      </c>
    </row>
    <row r="715" spans="2:10">
      <c r="E715">
        <v>686.33</v>
      </c>
    </row>
    <row r="716" spans="2:10">
      <c r="E716">
        <v>2036.88</v>
      </c>
      <c r="J716" s="4">
        <v>2940</v>
      </c>
    </row>
    <row r="717" spans="2:10">
      <c r="E717" s="21">
        <f>SUM(E702:E716)</f>
        <v>8973.84</v>
      </c>
      <c r="F717" t="s">
        <v>166</v>
      </c>
      <c r="J717" s="4">
        <v>2940</v>
      </c>
    </row>
    <row r="718" spans="2:10">
      <c r="E718">
        <v>65</v>
      </c>
      <c r="J718" s="4">
        <v>1499.4</v>
      </c>
    </row>
    <row r="719" spans="2:10">
      <c r="E719">
        <v>231</v>
      </c>
      <c r="J719" s="4">
        <v>195</v>
      </c>
    </row>
    <row r="720" spans="2:10">
      <c r="E720">
        <v>60</v>
      </c>
      <c r="J720" s="4">
        <v>224</v>
      </c>
    </row>
    <row r="721" spans="5:10">
      <c r="E721">
        <v>60</v>
      </c>
      <c r="J721" s="4">
        <v>2940</v>
      </c>
    </row>
    <row r="722" spans="5:10">
      <c r="E722">
        <v>608.5</v>
      </c>
      <c r="J722" s="19">
        <f>SUM(J716:J721)</f>
        <v>10738.4</v>
      </c>
    </row>
    <row r="723" spans="5:10">
      <c r="E723" s="21">
        <f>SUM(E718:E722)</f>
        <v>1024.5</v>
      </c>
      <c r="F723" t="s">
        <v>149</v>
      </c>
    </row>
    <row r="748" spans="8:10">
      <c r="H748" s="4">
        <v>546</v>
      </c>
      <c r="I748" s="4">
        <v>10000</v>
      </c>
    </row>
    <row r="749" spans="8:10">
      <c r="H749" s="4">
        <v>700</v>
      </c>
      <c r="I749" s="4">
        <v>2925</v>
      </c>
    </row>
    <row r="750" spans="8:10">
      <c r="H750" s="4">
        <v>200</v>
      </c>
      <c r="I750" s="19">
        <f>SUM(I748:I749)</f>
        <v>12925</v>
      </c>
    </row>
    <row r="751" spans="8:10">
      <c r="H751" s="4">
        <v>2800</v>
      </c>
      <c r="I751" s="4">
        <v>7026</v>
      </c>
    </row>
    <row r="752" spans="8:10">
      <c r="H752" s="4">
        <v>900</v>
      </c>
      <c r="I752" s="19">
        <f>SUM(I750:I751)</f>
        <v>19951</v>
      </c>
      <c r="J752" s="4">
        <v>20000</v>
      </c>
    </row>
    <row r="753" spans="8:10">
      <c r="H753" s="4">
        <v>900</v>
      </c>
      <c r="J753" s="19">
        <f>J752-I752</f>
        <v>49</v>
      </c>
    </row>
    <row r="754" spans="8:10">
      <c r="H754" s="4">
        <v>980</v>
      </c>
    </row>
    <row r="755" spans="8:10">
      <c r="H755" s="4">
        <f>SUM(H748:H754)</f>
        <v>7026</v>
      </c>
    </row>
    <row r="761" spans="8:10">
      <c r="H761">
        <v>900</v>
      </c>
    </row>
    <row r="762" spans="8:10">
      <c r="H762">
        <v>225</v>
      </c>
    </row>
    <row r="763" spans="8:10">
      <c r="H763">
        <v>1500</v>
      </c>
    </row>
    <row r="764" spans="8:10">
      <c r="H764">
        <f>SUM(H761:H763)</f>
        <v>2625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5"/>
  <sheetViews>
    <sheetView topLeftCell="A37" workbookViewId="0">
      <selection activeCell="H71" sqref="H71:H75"/>
    </sheetView>
  </sheetViews>
  <sheetFormatPr defaultRowHeight="15"/>
  <cols>
    <col min="1" max="1" width="4.28515625" customWidth="1"/>
    <col min="2" max="2" width="17.28515625" customWidth="1"/>
    <col min="3" max="3" width="21.7109375" customWidth="1"/>
    <col min="4" max="4" width="7.85546875" customWidth="1"/>
    <col min="5" max="5" width="13.140625" customWidth="1"/>
    <col min="6" max="6" width="16" customWidth="1"/>
    <col min="7" max="7" width="41.42578125" customWidth="1"/>
    <col min="8" max="8" width="12.28515625" customWidth="1"/>
    <col min="10" max="10" width="12.42578125" customWidth="1"/>
  </cols>
  <sheetData>
    <row r="1" spans="1:7" ht="24" customHeight="1">
      <c r="A1" s="104"/>
      <c r="B1" s="127" t="s">
        <v>0</v>
      </c>
      <c r="C1" s="127"/>
      <c r="D1" s="127"/>
      <c r="E1" s="127"/>
      <c r="F1" s="127"/>
      <c r="G1" s="23"/>
    </row>
    <row r="2" spans="1:7" ht="32.25" customHeight="1">
      <c r="A2" s="106"/>
      <c r="B2" s="128" t="s">
        <v>65</v>
      </c>
      <c r="C2" s="129"/>
      <c r="D2" s="129"/>
      <c r="E2" s="129"/>
      <c r="F2" s="129"/>
      <c r="G2" s="23"/>
    </row>
    <row r="3" spans="1:7" ht="17.25" customHeight="1">
      <c r="A3" s="39" t="s">
        <v>2</v>
      </c>
      <c r="B3" s="58" t="s">
        <v>3</v>
      </c>
      <c r="C3" s="58" t="s">
        <v>4</v>
      </c>
      <c r="D3" s="12" t="s">
        <v>5</v>
      </c>
      <c r="E3" s="58" t="s">
        <v>6</v>
      </c>
      <c r="F3" s="58" t="s">
        <v>7</v>
      </c>
      <c r="G3" s="23"/>
    </row>
    <row r="4" spans="1:7" s="21" customFormat="1" ht="15" customHeight="1">
      <c r="A4" s="131">
        <v>1</v>
      </c>
      <c r="B4" s="132" t="s">
        <v>168</v>
      </c>
      <c r="C4" s="132" t="s">
        <v>174</v>
      </c>
      <c r="D4" s="133">
        <v>4626</v>
      </c>
      <c r="E4" s="132" t="s">
        <v>169</v>
      </c>
      <c r="F4" s="121">
        <v>501</v>
      </c>
      <c r="G4" s="134"/>
    </row>
    <row r="5" spans="1:7" s="21" customFormat="1" ht="15.75">
      <c r="A5" s="131">
        <v>2</v>
      </c>
      <c r="B5" s="132" t="s">
        <v>170</v>
      </c>
      <c r="C5" s="132" t="s">
        <v>174</v>
      </c>
      <c r="D5" s="133">
        <v>4626</v>
      </c>
      <c r="E5" s="132" t="s">
        <v>20</v>
      </c>
      <c r="F5" s="121">
        <v>281.39999999999998</v>
      </c>
    </row>
    <row r="6" spans="1:7" ht="15.75">
      <c r="A6" s="125">
        <v>3</v>
      </c>
      <c r="B6" s="9" t="s">
        <v>171</v>
      </c>
      <c r="C6" s="9" t="s">
        <v>174</v>
      </c>
      <c r="D6" s="12">
        <v>4626</v>
      </c>
      <c r="E6" s="9" t="s">
        <v>20</v>
      </c>
      <c r="F6" s="10">
        <v>208.78</v>
      </c>
    </row>
    <row r="7" spans="1:7" ht="15.75">
      <c r="A7" s="126">
        <v>4</v>
      </c>
      <c r="B7" s="9" t="s">
        <v>172</v>
      </c>
      <c r="C7" s="9" t="s">
        <v>174</v>
      </c>
      <c r="D7" s="12">
        <v>4626</v>
      </c>
      <c r="E7" s="9" t="s">
        <v>20</v>
      </c>
      <c r="F7" s="10">
        <v>176.3</v>
      </c>
    </row>
    <row r="8" spans="1:7" ht="15.75">
      <c r="A8" s="125">
        <v>5</v>
      </c>
      <c r="B8" s="9" t="s">
        <v>173</v>
      </c>
      <c r="C8" s="9" t="s">
        <v>174</v>
      </c>
      <c r="D8" s="12">
        <v>4626</v>
      </c>
      <c r="E8" s="9" t="s">
        <v>20</v>
      </c>
      <c r="F8" s="10">
        <v>244.45</v>
      </c>
    </row>
    <row r="9" spans="1:7" ht="21">
      <c r="A9" s="125"/>
      <c r="B9" s="9"/>
      <c r="C9" s="124" t="s">
        <v>51</v>
      </c>
      <c r="D9" s="9"/>
      <c r="E9" s="9"/>
      <c r="F9" s="10">
        <f>SUM(F4:F8)</f>
        <v>1411.93</v>
      </c>
    </row>
    <row r="10" spans="1:7">
      <c r="A10" s="123"/>
      <c r="F10" s="4"/>
    </row>
    <row r="11" spans="1:7">
      <c r="A11" s="123"/>
      <c r="F11" s="4"/>
    </row>
    <row r="12" spans="1:7">
      <c r="A12" s="122"/>
      <c r="F12" s="19"/>
      <c r="G12">
        <v>5800</v>
      </c>
    </row>
    <row r="13" spans="1:7">
      <c r="A13" s="122"/>
      <c r="G13">
        <v>1000</v>
      </c>
    </row>
    <row r="14" spans="1:7">
      <c r="A14" s="122"/>
      <c r="F14" s="19"/>
      <c r="G14">
        <v>795</v>
      </c>
    </row>
    <row r="15" spans="1:7">
      <c r="A15" s="4"/>
      <c r="B15" s="37" t="s">
        <v>31</v>
      </c>
      <c r="D15" s="37"/>
      <c r="E15" s="38" t="s">
        <v>32</v>
      </c>
      <c r="F15" s="37"/>
      <c r="G15">
        <v>16</v>
      </c>
    </row>
    <row r="16" spans="1:7">
      <c r="A16" s="4"/>
      <c r="B16" s="37"/>
      <c r="C16" s="37"/>
      <c r="D16" s="38"/>
      <c r="E16" s="37"/>
      <c r="G16">
        <f>SUM(G12:G15)</f>
        <v>7611</v>
      </c>
    </row>
    <row r="17" spans="1:1">
      <c r="A17" s="4"/>
    </row>
    <row r="18" spans="1:1">
      <c r="A18" s="19"/>
    </row>
    <row r="20" spans="1:1">
      <c r="A20" s="19"/>
    </row>
    <row r="21" spans="1:1">
      <c r="A21" s="19"/>
    </row>
    <row r="22" spans="1:1">
      <c r="A22" s="19"/>
    </row>
    <row r="23" spans="1:1">
      <c r="A23" s="19"/>
    </row>
    <row r="24" spans="1:1">
      <c r="A24" s="19"/>
    </row>
    <row r="25" spans="1:1">
      <c r="A25" s="19"/>
    </row>
    <row r="26" spans="1:1">
      <c r="A26" s="19"/>
    </row>
    <row r="27" spans="1:1">
      <c r="A27" s="19"/>
    </row>
    <row r="28" spans="1:1">
      <c r="A28" s="19"/>
    </row>
    <row r="29" spans="1:1">
      <c r="A29" s="19"/>
    </row>
    <row r="30" spans="1:1">
      <c r="A30" s="19"/>
    </row>
    <row r="31" spans="1:1">
      <c r="A31" s="19"/>
    </row>
    <row r="32" spans="1:1">
      <c r="A32" s="19"/>
    </row>
    <row r="33" spans="1:6">
      <c r="A33" s="19"/>
    </row>
    <row r="34" spans="1:6">
      <c r="A34" s="19"/>
    </row>
    <row r="35" spans="1:6">
      <c r="A35" s="19"/>
    </row>
    <row r="36" spans="1:6">
      <c r="A36" s="19"/>
    </row>
    <row r="37" spans="1:6">
      <c r="A37" s="19"/>
    </row>
    <row r="38" spans="1:6">
      <c r="A38" s="19"/>
    </row>
    <row r="39" spans="1:6">
      <c r="A39" s="19"/>
    </row>
    <row r="40" spans="1:6">
      <c r="A40" s="19"/>
    </row>
    <row r="41" spans="1:6">
      <c r="A41" s="19"/>
    </row>
    <row r="42" spans="1:6">
      <c r="A42" s="19"/>
    </row>
    <row r="43" spans="1:6">
      <c r="A43" s="19"/>
    </row>
    <row r="44" spans="1:6">
      <c r="A44" s="19"/>
      <c r="B44" s="4"/>
    </row>
    <row r="47" spans="1:6" ht="21">
      <c r="A47" s="104"/>
      <c r="B47" s="127" t="s">
        <v>0</v>
      </c>
      <c r="C47" s="127"/>
      <c r="D47" s="127"/>
      <c r="E47" s="127"/>
      <c r="F47" s="127"/>
    </row>
    <row r="48" spans="1:6" ht="21">
      <c r="A48" s="106"/>
      <c r="B48" s="128" t="s">
        <v>65</v>
      </c>
      <c r="C48" s="129"/>
      <c r="D48" s="129"/>
      <c r="E48" s="129"/>
      <c r="F48" s="129"/>
    </row>
    <row r="49" spans="1:8" ht="15.75">
      <c r="A49" s="39" t="s">
        <v>2</v>
      </c>
      <c r="B49" s="58" t="s">
        <v>3</v>
      </c>
      <c r="C49" s="58" t="s">
        <v>4</v>
      </c>
      <c r="D49" s="12" t="s">
        <v>5</v>
      </c>
      <c r="E49" s="58" t="s">
        <v>6</v>
      </c>
      <c r="F49" s="58" t="s">
        <v>7</v>
      </c>
    </row>
    <row r="50" spans="1:8">
      <c r="A50">
        <v>1</v>
      </c>
      <c r="B50" t="s">
        <v>176</v>
      </c>
      <c r="C50" t="s">
        <v>175</v>
      </c>
      <c r="D50">
        <v>4881</v>
      </c>
      <c r="E50" t="s">
        <v>122</v>
      </c>
      <c r="F50" s="4">
        <v>799</v>
      </c>
    </row>
    <row r="51" spans="1:8">
      <c r="A51">
        <v>2</v>
      </c>
      <c r="B51" t="s">
        <v>177</v>
      </c>
      <c r="C51" t="s">
        <v>175</v>
      </c>
      <c r="D51">
        <v>4881</v>
      </c>
      <c r="E51" t="s">
        <v>122</v>
      </c>
      <c r="F51" s="4">
        <v>796</v>
      </c>
    </row>
    <row r="52" spans="1:8">
      <c r="F52" s="19">
        <f>SUM(F50:F51)</f>
        <v>1595</v>
      </c>
    </row>
    <row r="54" spans="1:8">
      <c r="H54" s="4"/>
    </row>
    <row r="55" spans="1:8">
      <c r="G55" s="4"/>
      <c r="H55" s="4"/>
    </row>
    <row r="56" spans="1:8">
      <c r="G56" s="4"/>
      <c r="H56" s="4"/>
    </row>
    <row r="57" spans="1:8">
      <c r="F57" s="19"/>
      <c r="G57" s="4"/>
      <c r="H57" s="4"/>
    </row>
    <row r="58" spans="1:8">
      <c r="G58" s="4"/>
      <c r="H58" s="4"/>
    </row>
    <row r="59" spans="1:8">
      <c r="B59" s="37" t="s">
        <v>31</v>
      </c>
      <c r="D59" s="37"/>
      <c r="E59" s="38" t="s">
        <v>32</v>
      </c>
      <c r="F59" s="37"/>
      <c r="G59" s="4"/>
      <c r="H59" s="4"/>
    </row>
    <row r="60" spans="1:8">
      <c r="G60" s="4"/>
      <c r="H60" s="4">
        <v>328</v>
      </c>
    </row>
    <row r="61" spans="1:8">
      <c r="G61" s="4"/>
      <c r="H61" s="4">
        <v>61</v>
      </c>
    </row>
    <row r="62" spans="1:8">
      <c r="G62" s="4"/>
      <c r="H62" s="4">
        <v>75</v>
      </c>
    </row>
    <row r="63" spans="1:8">
      <c r="G63" s="4"/>
      <c r="H63" s="4">
        <v>105</v>
      </c>
    </row>
    <row r="64" spans="1:8">
      <c r="G64" s="4"/>
      <c r="H64" s="4">
        <v>39</v>
      </c>
    </row>
    <row r="65" spans="5:10">
      <c r="G65" s="4"/>
      <c r="H65" s="4">
        <v>7.97</v>
      </c>
    </row>
    <row r="66" spans="5:10">
      <c r="G66" s="4"/>
      <c r="H66" s="4">
        <v>7.97</v>
      </c>
      <c r="J66" s="4"/>
    </row>
    <row r="67" spans="5:10">
      <c r="G67" s="4"/>
      <c r="H67" s="4">
        <v>30</v>
      </c>
      <c r="J67" s="4"/>
    </row>
    <row r="68" spans="5:10">
      <c r="F68" s="4"/>
      <c r="G68" s="4"/>
      <c r="H68" s="4">
        <v>247</v>
      </c>
      <c r="J68" s="4"/>
    </row>
    <row r="69" spans="5:10">
      <c r="F69" s="4"/>
      <c r="G69" s="4"/>
      <c r="H69" s="19">
        <f>SUM(H60:H68)</f>
        <v>900.94</v>
      </c>
      <c r="J69" s="4"/>
    </row>
    <row r="70" spans="5:10">
      <c r="F70" s="4"/>
      <c r="G70" s="19"/>
      <c r="J70" s="19"/>
    </row>
    <row r="71" spans="5:10">
      <c r="F71" s="4"/>
      <c r="G71" s="19"/>
      <c r="H71" s="19">
        <v>2940</v>
      </c>
    </row>
    <row r="72" spans="5:10">
      <c r="F72" s="4"/>
      <c r="G72" s="80">
        <f>SUM(G70:G71)</f>
        <v>0</v>
      </c>
      <c r="H72" s="19">
        <v>2940</v>
      </c>
    </row>
    <row r="73" spans="5:10">
      <c r="F73" s="4"/>
      <c r="G73" s="19">
        <f>G72-F74</f>
        <v>0</v>
      </c>
      <c r="H73" s="19">
        <v>2940</v>
      </c>
    </row>
    <row r="74" spans="5:10">
      <c r="F74" s="19"/>
      <c r="G74" s="19">
        <f>G72-F74</f>
        <v>0</v>
      </c>
      <c r="H74" s="19">
        <v>2940</v>
      </c>
    </row>
    <row r="75" spans="5:10">
      <c r="H75" s="19">
        <v>1176</v>
      </c>
    </row>
    <row r="76" spans="5:10">
      <c r="H76" s="19">
        <f>SUM(H71:H75)</f>
        <v>12936</v>
      </c>
    </row>
    <row r="77" spans="5:10">
      <c r="J77" s="4"/>
    </row>
    <row r="78" spans="5:10">
      <c r="E78" s="4"/>
      <c r="F78" s="4"/>
      <c r="J78" s="4"/>
    </row>
    <row r="79" spans="5:10">
      <c r="E79" s="4"/>
      <c r="F79" s="4"/>
      <c r="J79" s="4"/>
    </row>
    <row r="80" spans="5:10">
      <c r="J80" s="19"/>
    </row>
    <row r="85" spans="8:8">
      <c r="H85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>
      <selection activeCell="H14" sqref="H14"/>
    </sheetView>
  </sheetViews>
  <sheetFormatPr defaultRowHeight="15"/>
  <cols>
    <col min="1" max="1" width="4.7109375" customWidth="1"/>
    <col min="2" max="2" width="28" customWidth="1"/>
    <col min="3" max="3" width="27" customWidth="1"/>
    <col min="4" max="4" width="14.5703125" customWidth="1"/>
    <col min="5" max="5" width="20.5703125" customWidth="1"/>
    <col min="6" max="6" width="18" customWidth="1"/>
    <col min="7" max="7" width="14.42578125" customWidth="1"/>
    <col min="8" max="8" width="26.5703125" customWidth="1"/>
    <col min="11" max="11" width="9.5703125" bestFit="1" customWidth="1"/>
    <col min="13" max="13" width="9.5703125" bestFit="1" customWidth="1"/>
  </cols>
  <sheetData>
    <row r="1" spans="1:6" s="73" customFormat="1" ht="24.75" customHeight="1" thickBot="1">
      <c r="A1" s="139" t="s">
        <v>180</v>
      </c>
      <c r="B1" s="170"/>
      <c r="C1" s="144" t="s">
        <v>191</v>
      </c>
      <c r="D1" s="145"/>
      <c r="E1" s="146"/>
      <c r="F1" s="158" t="s">
        <v>181</v>
      </c>
    </row>
    <row r="2" spans="1:6" s="73" customFormat="1" ht="24.75" customHeight="1" thickBot="1">
      <c r="A2" s="140" t="s">
        <v>182</v>
      </c>
      <c r="B2" s="171"/>
      <c r="C2" s="142"/>
      <c r="D2" s="143"/>
      <c r="E2" s="172"/>
      <c r="F2" s="159" t="s">
        <v>185</v>
      </c>
    </row>
    <row r="3" spans="1:6" ht="21.75" customHeight="1" thickBot="1">
      <c r="A3" s="135"/>
      <c r="B3" s="136"/>
      <c r="C3" s="144" t="s">
        <v>184</v>
      </c>
      <c r="D3" s="145"/>
      <c r="E3" s="146"/>
      <c r="F3" s="158" t="s">
        <v>183</v>
      </c>
    </row>
    <row r="4" spans="1:6" ht="19.5" customHeight="1">
      <c r="A4" s="135"/>
      <c r="B4" s="136"/>
      <c r="C4" s="147"/>
      <c r="D4" s="148"/>
      <c r="E4" s="149"/>
      <c r="F4" s="160">
        <v>1</v>
      </c>
    </row>
    <row r="5" spans="1:6" ht="15.75" customHeight="1" thickBot="1">
      <c r="A5" s="137"/>
      <c r="B5" s="138"/>
      <c r="C5" s="150"/>
      <c r="D5" s="151"/>
      <c r="E5" s="152"/>
      <c r="F5" s="161"/>
    </row>
    <row r="6" spans="1:6" ht="15.75" customHeight="1">
      <c r="C6" s="147"/>
      <c r="D6" s="147"/>
      <c r="E6" s="147"/>
      <c r="F6" s="147"/>
    </row>
    <row r="7" spans="1:6" ht="34.5" customHeight="1">
      <c r="A7" s="173" t="s">
        <v>186</v>
      </c>
      <c r="B7" s="141" t="s">
        <v>3</v>
      </c>
      <c r="C7" s="141" t="s">
        <v>4</v>
      </c>
      <c r="D7" s="141" t="s">
        <v>178</v>
      </c>
      <c r="E7" s="141" t="s">
        <v>6</v>
      </c>
      <c r="F7" s="141" t="s">
        <v>7</v>
      </c>
    </row>
    <row r="8" spans="1:6" ht="32.25" customHeight="1" thickBot="1">
      <c r="A8" s="141">
        <v>1</v>
      </c>
      <c r="B8" s="162"/>
      <c r="C8" s="141"/>
      <c r="D8" s="153"/>
      <c r="E8" s="153"/>
      <c r="F8" s="154"/>
    </row>
    <row r="9" spans="1:6" ht="32.25" customHeight="1" thickBot="1">
      <c r="A9" s="163"/>
      <c r="B9" s="147"/>
      <c r="C9" s="147"/>
      <c r="D9" s="155" t="s">
        <v>179</v>
      </c>
      <c r="E9" s="156"/>
      <c r="F9" s="157">
        <f>SUM(F8)</f>
        <v>0</v>
      </c>
    </row>
    <row r="10" spans="1:6" ht="15.75">
      <c r="A10" s="130"/>
      <c r="C10" s="147"/>
      <c r="D10" s="147"/>
      <c r="E10" s="147"/>
      <c r="F10" s="147"/>
    </row>
    <row r="11" spans="1:6">
      <c r="A11" s="130"/>
    </row>
    <row r="12" spans="1:6">
      <c r="A12" s="130"/>
    </row>
    <row r="13" spans="1:6">
      <c r="A13" s="130"/>
    </row>
    <row r="14" spans="1:6">
      <c r="A14" s="130"/>
    </row>
    <row r="15" spans="1:6">
      <c r="A15" s="130"/>
    </row>
    <row r="16" spans="1:6">
      <c r="A16" s="130"/>
    </row>
    <row r="17" spans="1:7">
      <c r="A17" s="130"/>
    </row>
    <row r="18" spans="1:7">
      <c r="A18" s="130"/>
    </row>
    <row r="19" spans="1:7">
      <c r="A19" s="130"/>
    </row>
    <row r="20" spans="1:7">
      <c r="A20" s="164"/>
      <c r="B20" s="165"/>
      <c r="C20" s="165"/>
      <c r="D20" s="165"/>
      <c r="E20" s="165"/>
      <c r="F20" s="165"/>
      <c r="G20" s="165"/>
    </row>
    <row r="21" spans="1:7" ht="32.25" customHeight="1">
      <c r="A21" s="166" t="s">
        <v>188</v>
      </c>
      <c r="B21" s="166"/>
      <c r="C21" s="166"/>
      <c r="D21" s="167" t="s">
        <v>189</v>
      </c>
      <c r="E21" s="167"/>
      <c r="F21" s="167"/>
      <c r="G21" s="165"/>
    </row>
    <row r="22" spans="1:7" ht="17.25" customHeight="1">
      <c r="A22" s="164"/>
      <c r="B22" s="168"/>
      <c r="C22" s="168"/>
      <c r="D22" s="168"/>
      <c r="E22" s="168"/>
      <c r="F22" s="168"/>
      <c r="G22" s="165"/>
    </row>
    <row r="23" spans="1:7">
      <c r="A23" s="164"/>
      <c r="B23" s="169" t="s">
        <v>190</v>
      </c>
      <c r="C23" s="169"/>
      <c r="D23" s="169"/>
      <c r="E23" s="169" t="s">
        <v>187</v>
      </c>
      <c r="F23" s="169"/>
      <c r="G23" s="165"/>
    </row>
    <row r="24" spans="1:7">
      <c r="A24" s="164"/>
      <c r="B24" s="165"/>
      <c r="C24" s="165"/>
      <c r="D24" s="165"/>
      <c r="E24" s="165"/>
      <c r="F24" s="165"/>
      <c r="G24" s="165"/>
    </row>
    <row r="25" spans="1:7">
      <c r="A25" s="164"/>
      <c r="B25" s="165"/>
      <c r="C25" s="165"/>
      <c r="D25" s="165"/>
      <c r="E25" s="165"/>
      <c r="F25" s="165"/>
      <c r="G25" s="165"/>
    </row>
    <row r="26" spans="1:7">
      <c r="A26" s="164"/>
      <c r="B26" s="165"/>
      <c r="C26" s="165"/>
      <c r="D26" s="165"/>
      <c r="E26" s="165"/>
      <c r="F26" s="165"/>
      <c r="G26" s="165"/>
    </row>
    <row r="27" spans="1:7">
      <c r="A27" s="130"/>
    </row>
    <row r="28" spans="1:7">
      <c r="A28" s="130"/>
    </row>
    <row r="29" spans="1:7">
      <c r="A29" s="130"/>
    </row>
  </sheetData>
  <mergeCells count="6">
    <mergeCell ref="C1:E1"/>
    <mergeCell ref="A21:C21"/>
    <mergeCell ref="D21:F21"/>
    <mergeCell ref="F4:F5"/>
    <mergeCell ref="C3:E3"/>
    <mergeCell ref="D9:E9"/>
  </mergeCells>
  <pageMargins left="0.7" right="0.18" top="0.75" bottom="0.75" header="0.3" footer="0.3"/>
  <pageSetup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megabit1-6-16</vt:lpstr>
      <vt:lpstr>2011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Kelemwa</dc:creator>
  <cp:lastModifiedBy>Mekedes Mesfin</cp:lastModifiedBy>
  <cp:lastPrinted>2019-07-23T11:59:12Z</cp:lastPrinted>
  <dcterms:created xsi:type="dcterms:W3CDTF">2015-10-05T08:26:34Z</dcterms:created>
  <dcterms:modified xsi:type="dcterms:W3CDTF">2019-07-23T12:06:09Z</dcterms:modified>
</cp:coreProperties>
</file>