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embeddings/oleObject3.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firstSheet="1" activeTab="1"/>
  </bookViews>
  <sheets>
    <sheet name="3-06741 final (2)" sheetId="11" state="hidden" r:id="rId1"/>
    <sheet name="3-06741 final" sheetId="7" r:id="rId2"/>
    <sheet name="3-10917" sheetId="8" state="hidden" r:id="rId3"/>
    <sheet name="3-10917 Yekatit" sheetId="6" state="hidden" r:id="rId4"/>
  </sheets>
  <definedNames>
    <definedName name="_xlnm.Print_Titles" localSheetId="1">'3-06741 final'!$1:$9</definedName>
  </definedNames>
  <calcPr calcId="124519"/>
</workbook>
</file>

<file path=xl/calcChain.xml><?xml version="1.0" encoding="utf-8"?>
<calcChain xmlns="http://schemas.openxmlformats.org/spreadsheetml/2006/main">
  <c r="G8" i="11"/>
  <c r="G9" s="1"/>
  <c r="G11" s="1"/>
  <c r="G8" i="8" l="1"/>
  <c r="G9" s="1"/>
  <c r="G11" s="1"/>
  <c r="G16" i="7"/>
  <c r="G17" s="1"/>
  <c r="G18" s="1"/>
  <c r="H8" i="6"/>
  <c r="F8"/>
  <c r="J9"/>
  <c r="J7" l="1"/>
  <c r="J8" l="1"/>
  <c r="J10" s="1"/>
</calcChain>
</file>

<file path=xl/sharedStrings.xml><?xml version="1.0" encoding="utf-8"?>
<sst xmlns="http://schemas.openxmlformats.org/spreadsheetml/2006/main" count="106" uniqueCount="68">
  <si>
    <t>Aser Construction P.l.c</t>
  </si>
  <si>
    <t>Lesse Name:- Aser Construction p.l.c</t>
  </si>
  <si>
    <t>Total</t>
  </si>
  <si>
    <t>Date</t>
  </si>
  <si>
    <t>Plate Number</t>
  </si>
  <si>
    <t>No of Trips</t>
  </si>
  <si>
    <t>Size</t>
  </si>
  <si>
    <t>Qty</t>
  </si>
  <si>
    <t>Agreed Rate Per pipe</t>
  </si>
  <si>
    <t>Total Amount of Fuel</t>
  </si>
  <si>
    <t>Net Pay after Fuel Deduction</t>
  </si>
  <si>
    <t>Approved By:-______________</t>
  </si>
  <si>
    <t>Autorized By:-______________</t>
  </si>
  <si>
    <t>Payment of high bed and No of Trips Transported Concrete Pipe For koka-Adulala Project</t>
  </si>
  <si>
    <t>Ø90</t>
  </si>
  <si>
    <t>Prepared By:-_____________</t>
  </si>
  <si>
    <t>From Hamle 01 ,2008- Hamle 30,2008</t>
  </si>
  <si>
    <t>3-10917</t>
  </si>
  <si>
    <t>Inters Store Transfer Voucher</t>
  </si>
  <si>
    <t>Inters Store Transfer Receving  Voucher</t>
  </si>
  <si>
    <t>Lessor Name:-  United Freight Transport Association</t>
  </si>
  <si>
    <t>Agreement Date:-22/10/2008</t>
  </si>
  <si>
    <t>Agreement No:- አሰኮ/1218/2008</t>
  </si>
  <si>
    <t>G.C</t>
  </si>
  <si>
    <t>581512</t>
  </si>
  <si>
    <t>3-06741</t>
  </si>
  <si>
    <t>Payment of high bed and No of Trips Transported Concrete Pipe</t>
  </si>
  <si>
    <t>Lessor Name:-  Buna Cross Border Level3-A Freight Transport Owners Association</t>
  </si>
  <si>
    <t>Agreement No:- አሰኮ/2019/2010</t>
  </si>
  <si>
    <t>Agreement Date:- 03/07/2010</t>
  </si>
  <si>
    <t>Number of Trips</t>
  </si>
  <si>
    <t>Place of Delivary</t>
  </si>
  <si>
    <t>From Ayre Tena (China Camp) To Kality Yeshi total</t>
  </si>
  <si>
    <t>Approved By:-____________________</t>
  </si>
  <si>
    <t>Autorized By:-__________________</t>
  </si>
  <si>
    <t>12</t>
  </si>
  <si>
    <t>2,3,5,6,7,8,9,10,12,16</t>
  </si>
  <si>
    <t>Transported Recodr Sheet For Borrow Material Number</t>
  </si>
  <si>
    <t>581512,  546891  ,581514,  580952,  557196,  580751,  580765,  583598,  580753,  555568,  555552,   562207</t>
  </si>
  <si>
    <t>From Hidar 02 ,2010- Hidar 16 ,2010</t>
  </si>
  <si>
    <t>Agreement Date:- 11/06/2010</t>
  </si>
  <si>
    <t>15,17,18</t>
  </si>
  <si>
    <t>3</t>
  </si>
  <si>
    <t>From Megabit 15 ,2010- Megabit 18,2010</t>
  </si>
  <si>
    <t>WHT 2%</t>
  </si>
  <si>
    <t>Month ___________________</t>
  </si>
  <si>
    <t>Date _____________________</t>
  </si>
  <si>
    <t>S/N</t>
  </si>
  <si>
    <t>Plate No</t>
  </si>
  <si>
    <t>Loading Area</t>
  </si>
  <si>
    <t>Unloading Area</t>
  </si>
  <si>
    <t>Agreed Rate Per Trip/Unit</t>
  </si>
  <si>
    <t>Amount</t>
  </si>
  <si>
    <t>Lessee Name:- Aser Construction p.l.c</t>
  </si>
  <si>
    <t xml:space="preserve">አሰር ኮንስትራሽን ኃ/የተ/የግ/ማህበር                                                                                     ASER CONSTRUCTION PLC </t>
  </si>
  <si>
    <t xml:space="preserve">Doc No </t>
  </si>
  <si>
    <t>Issue No</t>
  </si>
  <si>
    <t>Form</t>
  </si>
  <si>
    <t>OF/EAD/020</t>
  </si>
  <si>
    <t xml:space="preserve"> Rented High bed/Lowbed  Payment Request</t>
  </si>
  <si>
    <t>Contract Date ________________</t>
  </si>
  <si>
    <t xml:space="preserve">Contract No _________________ </t>
  </si>
  <si>
    <t>Prepared BY</t>
  </si>
  <si>
    <t>Checked BY</t>
  </si>
  <si>
    <t>Approved BY</t>
  </si>
  <si>
    <t>Name _______________</t>
  </si>
  <si>
    <t>Sign __________________</t>
  </si>
  <si>
    <t xml:space="preserve">Leasers Name:-______________________  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</si>
</sst>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4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2" fillId="0" borderId="0" xfId="0" applyFont="1"/>
    <xf numFmtId="0" fontId="2" fillId="0" borderId="0" xfId="0" applyFont="1" applyBorder="1"/>
    <xf numFmtId="0" fontId="5" fillId="0" borderId="6" xfId="0" applyFont="1" applyBorder="1" applyAlignment="1"/>
    <xf numFmtId="0" fontId="3" fillId="0" borderId="0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/>
    <xf numFmtId="0" fontId="2" fillId="0" borderId="0" xfId="0" applyFont="1" applyBorder="1" applyAlignment="1"/>
    <xf numFmtId="0" fontId="2" fillId="0" borderId="1" xfId="0" applyFont="1" applyBorder="1" applyAlignment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4" fontId="3" fillId="0" borderId="7" xfId="0" applyNumberFormat="1" applyFont="1" applyFill="1" applyBorder="1"/>
    <xf numFmtId="4" fontId="3" fillId="0" borderId="10" xfId="0" applyNumberFormat="1" applyFont="1" applyFill="1" applyBorder="1"/>
    <xf numFmtId="0" fontId="4" fillId="0" borderId="6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49" fontId="4" fillId="0" borderId="6" xfId="0" applyNumberFormat="1" applyFont="1" applyFill="1" applyBorder="1" applyAlignment="1">
      <alignment horizontal="center"/>
    </xf>
    <xf numFmtId="49" fontId="2" fillId="0" borderId="6" xfId="0" applyNumberFormat="1" applyFont="1" applyFill="1" applyBorder="1" applyAlignment="1">
      <alignment horizontal="center"/>
    </xf>
    <xf numFmtId="4" fontId="2" fillId="0" borderId="7" xfId="0" applyNumberFormat="1" applyFont="1" applyFill="1" applyBorder="1"/>
    <xf numFmtId="0" fontId="2" fillId="0" borderId="0" xfId="0" applyFont="1" applyFill="1"/>
    <xf numFmtId="4" fontId="0" fillId="0" borderId="0" xfId="0" applyNumberFormat="1"/>
    <xf numFmtId="0" fontId="2" fillId="0" borderId="0" xfId="0" applyFont="1" applyFill="1" applyBorder="1" applyAlignment="1"/>
    <xf numFmtId="0" fontId="2" fillId="0" borderId="1" xfId="0" applyFont="1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11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6" xfId="0" applyFont="1" applyFill="1" applyBorder="1" applyAlignment="1"/>
    <xf numFmtId="0" fontId="2" fillId="0" borderId="6" xfId="0" applyFont="1" applyFill="1" applyBorder="1"/>
    <xf numFmtId="4" fontId="5" fillId="0" borderId="6" xfId="0" applyNumberFormat="1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14" fontId="2" fillId="0" borderId="13" xfId="0" applyNumberFormat="1" applyFont="1" applyFill="1" applyBorder="1" applyAlignment="1">
      <alignment horizontal="center"/>
    </xf>
    <xf numFmtId="14" fontId="2" fillId="0" borderId="5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wrapText="1"/>
    </xf>
    <xf numFmtId="4" fontId="2" fillId="0" borderId="7" xfId="0" applyNumberFormat="1" applyFont="1" applyFill="1" applyBorder="1" applyAlignment="1">
      <alignment horizontal="right"/>
    </xf>
    <xf numFmtId="4" fontId="5" fillId="0" borderId="6" xfId="0" applyNumberFormat="1" applyFont="1" applyFill="1" applyBorder="1" applyAlignment="1">
      <alignment horizontal="right"/>
    </xf>
    <xf numFmtId="4" fontId="3" fillId="0" borderId="7" xfId="0" applyNumberFormat="1" applyFont="1" applyFill="1" applyBorder="1" applyAlignment="1">
      <alignment horizontal="right"/>
    </xf>
    <xf numFmtId="4" fontId="3" fillId="0" borderId="10" xfId="0" applyNumberFormat="1" applyFont="1" applyFill="1" applyBorder="1" applyAlignment="1">
      <alignment horizontal="right"/>
    </xf>
    <xf numFmtId="0" fontId="2" fillId="0" borderId="11" xfId="0" applyFont="1" applyFill="1" applyBorder="1" applyAlignment="1">
      <alignment horizontal="center" wrapText="1"/>
    </xf>
    <xf numFmtId="14" fontId="2" fillId="0" borderId="5" xfId="0" applyNumberFormat="1" applyFont="1" applyFill="1" applyBorder="1" applyAlignment="1">
      <alignment horizontal="center" wrapText="1"/>
    </xf>
    <xf numFmtId="49" fontId="2" fillId="0" borderId="11" xfId="0" applyNumberFormat="1" applyFont="1" applyFill="1" applyBorder="1" applyAlignment="1">
      <alignment horizontal="center" wrapText="1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center" wrapText="1"/>
    </xf>
    <xf numFmtId="0" fontId="2" fillId="0" borderId="20" xfId="0" applyFont="1" applyBorder="1" applyAlignment="1">
      <alignment horizontal="center"/>
    </xf>
    <xf numFmtId="14" fontId="2" fillId="0" borderId="21" xfId="0" applyNumberFormat="1" applyFont="1" applyFill="1" applyBorder="1" applyAlignment="1">
      <alignment horizontal="center" wrapText="1"/>
    </xf>
    <xf numFmtId="0" fontId="2" fillId="0" borderId="22" xfId="0" applyFont="1" applyFill="1" applyBorder="1" applyAlignment="1">
      <alignment horizontal="center"/>
    </xf>
    <xf numFmtId="0" fontId="2" fillId="0" borderId="22" xfId="0" applyFont="1" applyFill="1" applyBorder="1" applyAlignment="1">
      <alignment horizontal="center" wrapText="1"/>
    </xf>
    <xf numFmtId="49" fontId="2" fillId="0" borderId="22" xfId="0" applyNumberFormat="1" applyFont="1" applyFill="1" applyBorder="1" applyAlignment="1">
      <alignment horizontal="center" wrapText="1"/>
    </xf>
    <xf numFmtId="49" fontId="4" fillId="0" borderId="22" xfId="0" applyNumberFormat="1" applyFont="1" applyFill="1" applyBorder="1" applyAlignment="1">
      <alignment horizontal="center"/>
    </xf>
    <xf numFmtId="4" fontId="2" fillId="0" borderId="23" xfId="0" applyNumberFormat="1" applyFont="1" applyFill="1" applyBorder="1" applyAlignment="1">
      <alignment horizontal="right"/>
    </xf>
    <xf numFmtId="4" fontId="5" fillId="0" borderId="23" xfId="0" applyNumberFormat="1" applyFont="1" applyFill="1" applyBorder="1" applyAlignment="1">
      <alignment horizontal="right"/>
    </xf>
    <xf numFmtId="4" fontId="3" fillId="0" borderId="23" xfId="0" applyNumberFormat="1" applyFont="1" applyFill="1" applyBorder="1" applyAlignment="1">
      <alignment horizontal="right"/>
    </xf>
    <xf numFmtId="4" fontId="3" fillId="0" borderId="26" xfId="0" applyNumberFormat="1" applyFont="1" applyFill="1" applyBorder="1" applyAlignment="1">
      <alignment horizontal="right"/>
    </xf>
    <xf numFmtId="0" fontId="1" fillId="0" borderId="8" xfId="0" applyFont="1" applyBorder="1" applyAlignment="1">
      <alignment horizontal="right"/>
    </xf>
    <xf numFmtId="0" fontId="1" fillId="0" borderId="9" xfId="0" applyFont="1" applyBorder="1" applyAlignment="1">
      <alignment horizontal="right"/>
    </xf>
    <xf numFmtId="0" fontId="3" fillId="0" borderId="0" xfId="0" applyFont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left" wrapText="1"/>
    </xf>
    <xf numFmtId="0" fontId="5" fillId="0" borderId="16" xfId="0" applyFont="1" applyFill="1" applyBorder="1" applyAlignment="1">
      <alignment horizontal="right"/>
    </xf>
    <xf numFmtId="0" fontId="5" fillId="0" borderId="17" xfId="0" applyFont="1" applyFill="1" applyBorder="1" applyAlignment="1">
      <alignment horizontal="right"/>
    </xf>
    <xf numFmtId="0" fontId="5" fillId="0" borderId="14" xfId="0" applyFont="1" applyFill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5" fillId="0" borderId="17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3" fillId="0" borderId="22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right"/>
    </xf>
    <xf numFmtId="0" fontId="5" fillId="0" borderId="22" xfId="0" applyFont="1" applyFill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7" fillId="0" borderId="27" xfId="0" applyFont="1" applyBorder="1" applyAlignment="1">
      <alignment horizontal="left" vertical="top"/>
    </xf>
    <xf numFmtId="0" fontId="7" fillId="0" borderId="33" xfId="0" applyFont="1" applyBorder="1" applyAlignment="1">
      <alignment horizontal="left" vertical="top"/>
    </xf>
    <xf numFmtId="0" fontId="2" fillId="0" borderId="27" xfId="0" applyFont="1" applyBorder="1" applyAlignment="1">
      <alignment horizontal="center" vertical="top"/>
    </xf>
    <xf numFmtId="0" fontId="2" fillId="0" borderId="33" xfId="0" applyFont="1" applyBorder="1" applyAlignment="1">
      <alignment horizontal="center" vertical="top"/>
    </xf>
    <xf numFmtId="0" fontId="7" fillId="0" borderId="27" xfId="0" applyFont="1" applyBorder="1" applyAlignment="1">
      <alignment horizontal="left"/>
    </xf>
    <xf numFmtId="0" fontId="7" fillId="0" borderId="33" xfId="0" applyFont="1" applyBorder="1" applyAlignment="1">
      <alignment horizontal="left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3" fillId="0" borderId="34" xfId="0" applyFont="1" applyBorder="1" applyAlignment="1">
      <alignment horizontal="center" wrapText="1"/>
    </xf>
    <xf numFmtId="0" fontId="3" fillId="0" borderId="35" xfId="0" applyFont="1" applyBorder="1" applyAlignment="1">
      <alignment horizontal="center" wrapText="1"/>
    </xf>
    <xf numFmtId="0" fontId="3" fillId="0" borderId="36" xfId="0" applyFont="1" applyBorder="1" applyAlignment="1">
      <alignment horizontal="center" wrapText="1"/>
    </xf>
    <xf numFmtId="0" fontId="3" fillId="0" borderId="37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32" xfId="0" applyFont="1" applyBorder="1" applyAlignment="1">
      <alignment horizontal="center" wrapText="1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4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2" fillId="0" borderId="2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5" fillId="0" borderId="6" xfId="0" applyFont="1" applyFill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3" fillId="0" borderId="24" xfId="0" applyFont="1" applyBorder="1" applyAlignment="1">
      <alignment horizontal="right"/>
    </xf>
    <xf numFmtId="0" fontId="3" fillId="0" borderId="25" xfId="0" applyFont="1" applyBorder="1" applyAlignment="1">
      <alignment horizontal="right"/>
    </xf>
    <xf numFmtId="0" fontId="8" fillId="0" borderId="0" xfId="0" applyFont="1"/>
    <xf numFmtId="4" fontId="8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openxmlformats.org/officeDocument/2006/relationships/oleObject" Target="../embeddings/oleObject3.bin"/><Relationship Id="rId4" Type="http://schemas.openxmlformats.org/officeDocument/2006/relationships/oleObject" Target="../embeddings/oleObject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H17"/>
  <sheetViews>
    <sheetView workbookViewId="0">
      <selection activeCell="D8" sqref="D8"/>
    </sheetView>
  </sheetViews>
  <sheetFormatPr defaultRowHeight="15"/>
  <cols>
    <col min="1" max="1" width="19" customWidth="1"/>
    <col min="2" max="2" width="13.140625" bestFit="1" customWidth="1"/>
    <col min="3" max="3" width="21.7109375" customWidth="1"/>
    <col min="4" max="4" width="29.28515625" customWidth="1"/>
    <col min="5" max="5" width="14.28515625" customWidth="1"/>
    <col min="6" max="6" width="13.85546875" customWidth="1"/>
    <col min="7" max="7" width="18.5703125" customWidth="1"/>
  </cols>
  <sheetData>
    <row r="1" spans="1:8" s="1" customFormat="1" ht="15.75">
      <c r="A1" s="57" t="s">
        <v>0</v>
      </c>
      <c r="B1" s="57"/>
      <c r="C1" s="57"/>
      <c r="D1" s="57"/>
      <c r="E1" s="57"/>
      <c r="F1" s="57"/>
      <c r="G1" s="57"/>
    </row>
    <row r="2" spans="1:8" s="1" customFormat="1" ht="15.75">
      <c r="A2" s="57" t="s">
        <v>26</v>
      </c>
      <c r="B2" s="57"/>
      <c r="C2" s="57"/>
      <c r="D2" s="57"/>
      <c r="E2" s="57"/>
      <c r="F2" s="57"/>
      <c r="G2" s="57"/>
    </row>
    <row r="3" spans="1:8" s="1" customFormat="1" ht="15.75">
      <c r="A3" s="58" t="s">
        <v>43</v>
      </c>
      <c r="B3" s="58"/>
      <c r="C3" s="58"/>
      <c r="D3" s="58"/>
      <c r="E3" s="58"/>
      <c r="F3" s="58"/>
      <c r="G3" s="58"/>
    </row>
    <row r="4" spans="1:8" s="1" customFormat="1" ht="15.75">
      <c r="A4" s="59" t="s">
        <v>27</v>
      </c>
      <c r="B4" s="59"/>
      <c r="C4" s="59"/>
      <c r="D4" s="59"/>
      <c r="E4" s="59"/>
    </row>
    <row r="5" spans="1:8" s="1" customFormat="1" ht="15.75">
      <c r="A5" s="59"/>
      <c r="B5" s="59"/>
      <c r="C5" s="59"/>
      <c r="D5" s="59"/>
      <c r="E5" s="59"/>
      <c r="F5" s="23" t="s">
        <v>29</v>
      </c>
    </row>
    <row r="6" spans="1:8" s="1" customFormat="1" ht="19.5" customHeight="1">
      <c r="A6" s="1" t="s">
        <v>1</v>
      </c>
      <c r="F6" s="24" t="s">
        <v>28</v>
      </c>
    </row>
    <row r="7" spans="1:8" s="1" customFormat="1" ht="41.25" customHeight="1">
      <c r="A7" s="9" t="s">
        <v>3</v>
      </c>
      <c r="B7" s="10" t="s">
        <v>4</v>
      </c>
      <c r="C7" s="10" t="s">
        <v>31</v>
      </c>
      <c r="D7" s="11" t="s">
        <v>37</v>
      </c>
      <c r="E7" s="11" t="s">
        <v>30</v>
      </c>
      <c r="F7" s="11" t="s">
        <v>8</v>
      </c>
      <c r="G7" s="12" t="s">
        <v>2</v>
      </c>
    </row>
    <row r="8" spans="1:8" s="1" customFormat="1" ht="47.25">
      <c r="A8" s="33" t="s">
        <v>41</v>
      </c>
      <c r="B8" s="26" t="s">
        <v>25</v>
      </c>
      <c r="C8" s="39" t="s">
        <v>32</v>
      </c>
      <c r="D8" s="41"/>
      <c r="E8" s="18" t="s">
        <v>42</v>
      </c>
      <c r="F8" s="34">
        <v>3000</v>
      </c>
      <c r="G8" s="35">
        <f>F8*E8</f>
        <v>9000</v>
      </c>
      <c r="H8" s="21"/>
    </row>
    <row r="9" spans="1:8" s="1" customFormat="1" ht="15.75">
      <c r="A9" s="60" t="s">
        <v>2</v>
      </c>
      <c r="B9" s="61"/>
      <c r="C9" s="61"/>
      <c r="D9" s="61"/>
      <c r="E9" s="61"/>
      <c r="F9" s="62"/>
      <c r="G9" s="36">
        <f>SUM(G8:G8)</f>
        <v>9000</v>
      </c>
    </row>
    <row r="10" spans="1:8" ht="15.75">
      <c r="A10" s="63" t="s">
        <v>9</v>
      </c>
      <c r="B10" s="64"/>
      <c r="C10" s="64"/>
      <c r="D10" s="64"/>
      <c r="E10" s="64"/>
      <c r="F10" s="65"/>
      <c r="G10" s="37">
        <v>0</v>
      </c>
    </row>
    <row r="11" spans="1:8" ht="15.75">
      <c r="A11" s="55" t="s">
        <v>10</v>
      </c>
      <c r="B11" s="56"/>
      <c r="C11" s="56"/>
      <c r="D11" s="56"/>
      <c r="E11" s="56"/>
      <c r="F11" s="56"/>
      <c r="G11" s="38">
        <f>G9-G10</f>
        <v>9000</v>
      </c>
    </row>
    <row r="14" spans="1:8">
      <c r="A14" t="s">
        <v>15</v>
      </c>
      <c r="C14" t="s">
        <v>33</v>
      </c>
      <c r="F14" t="s">
        <v>34</v>
      </c>
    </row>
    <row r="17" spans="7:7">
      <c r="G17" s="22"/>
    </row>
  </sheetData>
  <mergeCells count="7">
    <mergeCell ref="A11:F11"/>
    <mergeCell ref="A1:G1"/>
    <mergeCell ref="A2:G2"/>
    <mergeCell ref="A3:G3"/>
    <mergeCell ref="A4:E5"/>
    <mergeCell ref="A9:F9"/>
    <mergeCell ref="A10:F10"/>
  </mergeCells>
  <pageMargins left="0.16" right="0.42" top="0.83" bottom="0.75" header="0.3" footer="0.3"/>
  <pageSetup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H25"/>
  <sheetViews>
    <sheetView tabSelected="1" workbookViewId="0">
      <selection activeCell="I15" sqref="I15"/>
    </sheetView>
  </sheetViews>
  <sheetFormatPr defaultRowHeight="15"/>
  <cols>
    <col min="1" max="1" width="10" customWidth="1"/>
    <col min="2" max="2" width="13.140625" bestFit="1" customWidth="1"/>
    <col min="3" max="3" width="24.42578125" customWidth="1"/>
    <col min="4" max="4" width="25.85546875" customWidth="1"/>
    <col min="5" max="5" width="20.85546875" customWidth="1"/>
    <col min="6" max="6" width="19" customWidth="1"/>
    <col min="7" max="7" width="18.5703125" customWidth="1"/>
  </cols>
  <sheetData>
    <row r="1" spans="1:8" s="1" customFormat="1" ht="15.75" customHeight="1">
      <c r="A1" s="79" t="s">
        <v>54</v>
      </c>
      <c r="B1" s="80"/>
      <c r="C1" s="81"/>
      <c r="D1" s="91" t="s">
        <v>57</v>
      </c>
      <c r="E1" s="92"/>
      <c r="F1" s="71" t="s">
        <v>55</v>
      </c>
      <c r="G1" s="72"/>
    </row>
    <row r="2" spans="1:8" s="1" customFormat="1" ht="15.75">
      <c r="A2" s="82"/>
      <c r="B2" s="83"/>
      <c r="C2" s="84"/>
      <c r="D2" s="93"/>
      <c r="E2" s="94"/>
      <c r="F2" s="73" t="s">
        <v>58</v>
      </c>
      <c r="G2" s="74"/>
    </row>
    <row r="3" spans="1:8" s="1" customFormat="1" ht="15.75" customHeight="1">
      <c r="A3" s="85"/>
      <c r="B3" s="86"/>
      <c r="C3" s="87"/>
      <c r="D3" s="95" t="s">
        <v>59</v>
      </c>
      <c r="E3" s="96"/>
      <c r="F3" s="75" t="s">
        <v>56</v>
      </c>
      <c r="G3" s="76"/>
    </row>
    <row r="4" spans="1:8" s="1" customFormat="1" ht="47.25" customHeight="1">
      <c r="A4" s="88"/>
      <c r="B4" s="89"/>
      <c r="C4" s="90"/>
      <c r="D4" s="97"/>
      <c r="E4" s="98"/>
      <c r="F4" s="77">
        <v>1</v>
      </c>
      <c r="G4" s="78"/>
    </row>
    <row r="5" spans="1:8" s="1" customFormat="1" ht="15.75">
      <c r="A5" s="66"/>
      <c r="B5" s="66"/>
      <c r="C5" s="66"/>
      <c r="D5" s="66"/>
      <c r="E5" s="66"/>
      <c r="F5" s="66"/>
      <c r="G5" s="66"/>
    </row>
    <row r="6" spans="1:8" s="1" customFormat="1" ht="15.75">
      <c r="A6" s="23" t="s">
        <v>67</v>
      </c>
      <c r="B6" s="23"/>
      <c r="C6" s="23"/>
      <c r="D6" s="23"/>
      <c r="E6" s="23"/>
      <c r="F6" s="23" t="s">
        <v>60</v>
      </c>
    </row>
    <row r="7" spans="1:8" s="1" customFormat="1" ht="15.75">
      <c r="A7" s="1" t="s">
        <v>53</v>
      </c>
      <c r="F7" s="23" t="s">
        <v>61</v>
      </c>
    </row>
    <row r="8" spans="1:8" s="1" customFormat="1" ht="15.75">
      <c r="A8" s="1" t="s">
        <v>45</v>
      </c>
    </row>
    <row r="9" spans="1:8" s="1" customFormat="1" ht="19.5" customHeight="1" thickBot="1">
      <c r="A9" s="1" t="s">
        <v>46</v>
      </c>
    </row>
    <row r="10" spans="1:8" s="1" customFormat="1" ht="41.25" customHeight="1" thickTop="1">
      <c r="A10" s="42" t="s">
        <v>47</v>
      </c>
      <c r="B10" s="43" t="s">
        <v>48</v>
      </c>
      <c r="C10" s="43" t="s">
        <v>49</v>
      </c>
      <c r="D10" s="44" t="s">
        <v>50</v>
      </c>
      <c r="E10" s="44" t="s">
        <v>30</v>
      </c>
      <c r="F10" s="44" t="s">
        <v>51</v>
      </c>
      <c r="G10" s="45" t="s">
        <v>52</v>
      </c>
    </row>
    <row r="11" spans="1:8" s="1" customFormat="1" ht="21" customHeight="1">
      <c r="A11" s="46"/>
      <c r="B11" s="47"/>
      <c r="C11" s="48"/>
      <c r="D11" s="49"/>
      <c r="E11" s="50"/>
      <c r="F11" s="48"/>
      <c r="G11" s="51"/>
      <c r="H11" s="21"/>
    </row>
    <row r="12" spans="1:8" s="1" customFormat="1" ht="21" customHeight="1">
      <c r="A12" s="46"/>
      <c r="B12" s="47"/>
      <c r="C12" s="48"/>
      <c r="D12" s="49"/>
      <c r="E12" s="50"/>
      <c r="F12" s="48"/>
      <c r="G12" s="51"/>
      <c r="H12" s="21"/>
    </row>
    <row r="13" spans="1:8" s="1" customFormat="1" ht="21" customHeight="1">
      <c r="A13" s="46"/>
      <c r="B13" s="47"/>
      <c r="C13" s="48"/>
      <c r="D13" s="49"/>
      <c r="E13" s="50"/>
      <c r="F13" s="48"/>
      <c r="G13" s="51"/>
      <c r="H13" s="21"/>
    </row>
    <row r="14" spans="1:8" s="1" customFormat="1" ht="21" customHeight="1">
      <c r="A14" s="46"/>
      <c r="B14" s="47"/>
      <c r="C14" s="48"/>
      <c r="D14" s="49"/>
      <c r="E14" s="50"/>
      <c r="F14" s="48"/>
      <c r="G14" s="51"/>
      <c r="H14" s="21"/>
    </row>
    <row r="15" spans="1:8" s="1" customFormat="1" ht="21" customHeight="1">
      <c r="A15" s="46"/>
      <c r="B15" s="47"/>
      <c r="C15" s="48"/>
      <c r="D15" s="49"/>
      <c r="E15" s="50"/>
      <c r="F15" s="48"/>
      <c r="G15" s="51"/>
      <c r="H15" s="21"/>
    </row>
    <row r="16" spans="1:8" s="1" customFormat="1" ht="15.75">
      <c r="A16" s="67" t="s">
        <v>2</v>
      </c>
      <c r="B16" s="68"/>
      <c r="C16" s="68"/>
      <c r="D16" s="68"/>
      <c r="E16" s="68"/>
      <c r="F16" s="68"/>
      <c r="G16" s="52">
        <f>SUM(G11:G11)</f>
        <v>0</v>
      </c>
    </row>
    <row r="17" spans="1:7" ht="15.75">
      <c r="A17" s="69" t="s">
        <v>44</v>
      </c>
      <c r="B17" s="70"/>
      <c r="C17" s="70"/>
      <c r="D17" s="70"/>
      <c r="E17" s="70"/>
      <c r="F17" s="70"/>
      <c r="G17" s="53">
        <f>G16*0.02</f>
        <v>0</v>
      </c>
    </row>
    <row r="18" spans="1:7" ht="16.5" thickBot="1">
      <c r="A18" s="108" t="s">
        <v>10</v>
      </c>
      <c r="B18" s="109"/>
      <c r="C18" s="109"/>
      <c r="D18" s="109"/>
      <c r="E18" s="109"/>
      <c r="F18" s="109"/>
      <c r="G18" s="54">
        <f>G11-G17</f>
        <v>0</v>
      </c>
    </row>
    <row r="19" spans="1:7" ht="15.75" thickTop="1">
      <c r="A19" s="110"/>
      <c r="B19" s="110"/>
      <c r="C19" s="110"/>
      <c r="D19" s="110"/>
      <c r="E19" s="110"/>
      <c r="F19" s="110"/>
      <c r="G19" s="110"/>
    </row>
    <row r="20" spans="1:7">
      <c r="A20" s="110" t="s">
        <v>62</v>
      </c>
      <c r="B20" s="110"/>
      <c r="C20" s="110"/>
      <c r="D20" s="110" t="s">
        <v>63</v>
      </c>
      <c r="E20" s="110"/>
      <c r="F20" s="110" t="s">
        <v>64</v>
      </c>
      <c r="G20" s="110"/>
    </row>
    <row r="21" spans="1:7">
      <c r="A21" s="110" t="s">
        <v>65</v>
      </c>
      <c r="B21" s="110"/>
      <c r="C21" s="110"/>
      <c r="D21" s="110" t="s">
        <v>65</v>
      </c>
      <c r="E21" s="110"/>
      <c r="F21" s="110" t="s">
        <v>65</v>
      </c>
      <c r="G21" s="110"/>
    </row>
    <row r="22" spans="1:7">
      <c r="A22" s="110" t="s">
        <v>66</v>
      </c>
      <c r="B22" s="110"/>
      <c r="C22" s="110"/>
      <c r="D22" s="110" t="s">
        <v>66</v>
      </c>
      <c r="E22" s="110"/>
      <c r="F22" s="110" t="s">
        <v>66</v>
      </c>
      <c r="G22" s="110"/>
    </row>
    <row r="23" spans="1:7">
      <c r="A23" s="110"/>
      <c r="B23" s="110"/>
      <c r="C23" s="110"/>
      <c r="D23" s="110"/>
      <c r="E23" s="110"/>
      <c r="F23" s="110"/>
      <c r="G23" s="111"/>
    </row>
    <row r="24" spans="1:7">
      <c r="A24" s="110"/>
      <c r="B24" s="110"/>
      <c r="C24" s="110"/>
      <c r="D24" s="110"/>
      <c r="E24" s="110"/>
      <c r="F24" s="110"/>
      <c r="G24" s="110"/>
    </row>
    <row r="25" spans="1:7">
      <c r="A25" s="110"/>
      <c r="B25" s="110"/>
      <c r="C25" s="110"/>
      <c r="D25" s="110"/>
      <c r="E25" s="110"/>
      <c r="F25" s="110"/>
      <c r="G25" s="110"/>
    </row>
  </sheetData>
  <mergeCells count="12">
    <mergeCell ref="A5:G5"/>
    <mergeCell ref="A18:F18"/>
    <mergeCell ref="A16:F16"/>
    <mergeCell ref="A17:F17"/>
    <mergeCell ref="F1:G1"/>
    <mergeCell ref="F2:G2"/>
    <mergeCell ref="F3:G3"/>
    <mergeCell ref="F4:G4"/>
    <mergeCell ref="A1:C2"/>
    <mergeCell ref="A3:C4"/>
    <mergeCell ref="D1:E2"/>
    <mergeCell ref="D3:E4"/>
  </mergeCells>
  <pageMargins left="0.16" right="0.42" top="0.35" bottom="0.36" header="0.3" footer="0.3"/>
  <pageSetup orientation="landscape" r:id="rId1"/>
  <headerFooter>
    <oddFooter>&amp;RPage &amp;P of &amp;N</oddFooter>
  </headerFooter>
  <legacyDrawing r:id="rId2"/>
  <oleObjects>
    <oleObject progId="PBrush" shapeId="1025" r:id="rId3"/>
    <oleObject progId="PBrush" shapeId="1026" r:id="rId4"/>
    <oleObject progId="PBrush" shapeId="1027" r:id="rId5"/>
  </oleObjec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0000"/>
  </sheetPr>
  <dimension ref="A1:H17"/>
  <sheetViews>
    <sheetView workbookViewId="0">
      <selection activeCell="A8" sqref="A8"/>
    </sheetView>
  </sheetViews>
  <sheetFormatPr defaultRowHeight="15"/>
  <cols>
    <col min="1" max="1" width="19" customWidth="1"/>
    <col min="2" max="2" width="13.140625" bestFit="1" customWidth="1"/>
    <col min="3" max="3" width="22.85546875" customWidth="1"/>
    <col min="4" max="4" width="30.5703125" customWidth="1"/>
    <col min="5" max="5" width="11.140625" customWidth="1"/>
    <col min="6" max="6" width="15" customWidth="1"/>
    <col min="7" max="7" width="18.5703125" customWidth="1"/>
  </cols>
  <sheetData>
    <row r="1" spans="1:8" s="1" customFormat="1" ht="15.75">
      <c r="A1" s="57" t="s">
        <v>0</v>
      </c>
      <c r="B1" s="57"/>
      <c r="C1" s="57"/>
      <c r="D1" s="57"/>
      <c r="E1" s="57"/>
      <c r="F1" s="57"/>
      <c r="G1" s="57"/>
    </row>
    <row r="2" spans="1:8" s="1" customFormat="1" ht="15.75">
      <c r="A2" s="57" t="s">
        <v>26</v>
      </c>
      <c r="B2" s="57"/>
      <c r="C2" s="57"/>
      <c r="D2" s="57"/>
      <c r="E2" s="57"/>
      <c r="F2" s="57"/>
      <c r="G2" s="57"/>
    </row>
    <row r="3" spans="1:8" s="1" customFormat="1" ht="15.75">
      <c r="A3" s="58" t="s">
        <v>39</v>
      </c>
      <c r="B3" s="58"/>
      <c r="C3" s="58"/>
      <c r="D3" s="58"/>
      <c r="E3" s="58"/>
      <c r="F3" s="58"/>
      <c r="G3" s="58"/>
    </row>
    <row r="4" spans="1:8" s="1" customFormat="1" ht="15.75">
      <c r="A4" s="59" t="s">
        <v>20</v>
      </c>
      <c r="B4" s="59"/>
      <c r="C4" s="59"/>
      <c r="D4" s="59"/>
      <c r="E4" s="59"/>
    </row>
    <row r="5" spans="1:8" s="1" customFormat="1" ht="15.75">
      <c r="A5" s="59"/>
      <c r="B5" s="59"/>
      <c r="C5" s="59"/>
      <c r="D5" s="59"/>
      <c r="E5" s="59"/>
      <c r="F5" s="23" t="s">
        <v>40</v>
      </c>
    </row>
    <row r="6" spans="1:8" s="1" customFormat="1" ht="19.5" customHeight="1">
      <c r="A6" s="1" t="s">
        <v>1</v>
      </c>
      <c r="F6" s="24" t="s">
        <v>22</v>
      </c>
    </row>
    <row r="7" spans="1:8" s="1" customFormat="1" ht="47.25" customHeight="1">
      <c r="A7" s="9" t="s">
        <v>3</v>
      </c>
      <c r="B7" s="10" t="s">
        <v>4</v>
      </c>
      <c r="C7" s="10" t="s">
        <v>31</v>
      </c>
      <c r="D7" s="11" t="s">
        <v>37</v>
      </c>
      <c r="E7" s="11" t="s">
        <v>30</v>
      </c>
      <c r="F7" s="11" t="s">
        <v>8</v>
      </c>
      <c r="G7" s="12" t="s">
        <v>2</v>
      </c>
    </row>
    <row r="8" spans="1:8" s="1" customFormat="1" ht="60.75" customHeight="1">
      <c r="A8" s="40" t="s">
        <v>36</v>
      </c>
      <c r="B8" s="26" t="s">
        <v>17</v>
      </c>
      <c r="C8" s="39" t="s">
        <v>32</v>
      </c>
      <c r="D8" s="41" t="s">
        <v>38</v>
      </c>
      <c r="E8" s="18" t="s">
        <v>35</v>
      </c>
      <c r="F8" s="34">
        <v>3000</v>
      </c>
      <c r="G8" s="35">
        <f>F8*E8</f>
        <v>36000</v>
      </c>
      <c r="H8" s="21"/>
    </row>
    <row r="9" spans="1:8" s="1" customFormat="1" ht="15.75">
      <c r="A9" s="60" t="s">
        <v>2</v>
      </c>
      <c r="B9" s="61"/>
      <c r="C9" s="61"/>
      <c r="D9" s="61"/>
      <c r="E9" s="61"/>
      <c r="F9" s="62"/>
      <c r="G9" s="36">
        <f>SUM(G8:G8)</f>
        <v>36000</v>
      </c>
    </row>
    <row r="10" spans="1:8" ht="15.75">
      <c r="A10" s="63" t="s">
        <v>9</v>
      </c>
      <c r="B10" s="64"/>
      <c r="C10" s="64"/>
      <c r="D10" s="64"/>
      <c r="E10" s="64"/>
      <c r="F10" s="65"/>
      <c r="G10" s="37">
        <v>0</v>
      </c>
    </row>
    <row r="11" spans="1:8" ht="15.75">
      <c r="A11" s="55" t="s">
        <v>10</v>
      </c>
      <c r="B11" s="56"/>
      <c r="C11" s="56"/>
      <c r="D11" s="56"/>
      <c r="E11" s="56"/>
      <c r="F11" s="56"/>
      <c r="G11" s="38">
        <f>G9-G10</f>
        <v>36000</v>
      </c>
    </row>
    <row r="14" spans="1:8">
      <c r="A14" t="s">
        <v>15</v>
      </c>
      <c r="C14" t="s">
        <v>33</v>
      </c>
      <c r="F14" t="s">
        <v>34</v>
      </c>
    </row>
    <row r="17" spans="7:7">
      <c r="G17" s="22"/>
    </row>
  </sheetData>
  <mergeCells count="7">
    <mergeCell ref="A11:F11"/>
    <mergeCell ref="A1:G1"/>
    <mergeCell ref="A2:G2"/>
    <mergeCell ref="A3:G3"/>
    <mergeCell ref="A4:E5"/>
    <mergeCell ref="A9:F9"/>
    <mergeCell ref="A10:F10"/>
  </mergeCells>
  <pageMargins left="0.16" right="0.42" top="0.83" bottom="0.75" header="0.3" footer="0.3"/>
  <pageSetup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FF0000"/>
  </sheetPr>
  <dimension ref="A1:K16"/>
  <sheetViews>
    <sheetView workbookViewId="0">
      <selection activeCell="A4" sqref="A4"/>
    </sheetView>
  </sheetViews>
  <sheetFormatPr defaultRowHeight="15"/>
  <cols>
    <col min="1" max="2" width="14.28515625" customWidth="1"/>
    <col min="3" max="3" width="12.85546875" customWidth="1"/>
    <col min="4" max="4" width="22.42578125" customWidth="1"/>
    <col min="5" max="5" width="11.85546875" customWidth="1"/>
    <col min="6" max="6" width="13.85546875" customWidth="1"/>
    <col min="7" max="7" width="12" customWidth="1"/>
    <col min="8" max="8" width="13" customWidth="1"/>
    <col min="10" max="10" width="11.28515625" customWidth="1"/>
  </cols>
  <sheetData>
    <row r="1" spans="1:11" s="1" customFormat="1" ht="15.75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</row>
    <row r="2" spans="1:11" s="1" customFormat="1" ht="15.75">
      <c r="A2" s="57" t="s">
        <v>13</v>
      </c>
      <c r="B2" s="57"/>
      <c r="C2" s="57"/>
      <c r="D2" s="57"/>
      <c r="E2" s="57"/>
      <c r="F2" s="57"/>
      <c r="G2" s="57"/>
      <c r="H2" s="57"/>
      <c r="I2" s="57"/>
      <c r="J2" s="57"/>
    </row>
    <row r="3" spans="1:11" s="1" customFormat="1" ht="15.75">
      <c r="A3" s="58" t="s">
        <v>16</v>
      </c>
      <c r="B3" s="58"/>
      <c r="C3" s="58"/>
      <c r="D3" s="58"/>
      <c r="E3" s="58"/>
      <c r="F3" s="58"/>
      <c r="G3" s="58"/>
      <c r="H3" s="58"/>
      <c r="I3" s="58"/>
      <c r="J3" s="58"/>
    </row>
    <row r="4" spans="1:11" s="1" customFormat="1" ht="15.75">
      <c r="A4" s="21" t="s">
        <v>20</v>
      </c>
      <c r="B4" s="21"/>
      <c r="E4" s="2"/>
      <c r="F4" s="4"/>
      <c r="G4" s="23" t="s">
        <v>21</v>
      </c>
      <c r="H4" s="7"/>
      <c r="I4" s="6"/>
    </row>
    <row r="5" spans="1:11" s="1" customFormat="1" ht="19.5" customHeight="1">
      <c r="A5" s="1" t="s">
        <v>1</v>
      </c>
      <c r="E5" s="2"/>
      <c r="F5" s="5"/>
      <c r="G5" s="24" t="s">
        <v>22</v>
      </c>
      <c r="H5" s="8"/>
      <c r="I5" s="6"/>
    </row>
    <row r="6" spans="1:11" s="1" customFormat="1" ht="52.5" customHeight="1">
      <c r="A6" s="9" t="s">
        <v>3</v>
      </c>
      <c r="B6" s="31" t="s">
        <v>23</v>
      </c>
      <c r="C6" s="10" t="s">
        <v>4</v>
      </c>
      <c r="D6" s="11" t="s">
        <v>19</v>
      </c>
      <c r="E6" s="11" t="s">
        <v>18</v>
      </c>
      <c r="F6" s="10" t="s">
        <v>5</v>
      </c>
      <c r="G6" s="25" t="s">
        <v>6</v>
      </c>
      <c r="H6" s="10" t="s">
        <v>7</v>
      </c>
      <c r="I6" s="11" t="s">
        <v>8</v>
      </c>
      <c r="J6" s="12" t="s">
        <v>2</v>
      </c>
    </row>
    <row r="7" spans="1:11" s="1" customFormat="1" ht="15.75">
      <c r="A7" s="33">
        <v>40243</v>
      </c>
      <c r="B7" s="32"/>
      <c r="C7" s="26" t="s">
        <v>17</v>
      </c>
      <c r="D7" s="18"/>
      <c r="E7" s="19" t="s">
        <v>24</v>
      </c>
      <c r="F7" s="17">
        <v>1</v>
      </c>
      <c r="G7" s="16" t="s">
        <v>14</v>
      </c>
      <c r="H7" s="17">
        <v>17</v>
      </c>
      <c r="I7" s="34">
        <v>400</v>
      </c>
      <c r="J7" s="20">
        <f t="shared" ref="J7" si="0">I7*H7</f>
        <v>6800</v>
      </c>
      <c r="K7" s="21"/>
    </row>
    <row r="8" spans="1:11" s="1" customFormat="1" ht="15.75">
      <c r="A8" s="102" t="s">
        <v>2</v>
      </c>
      <c r="B8" s="103"/>
      <c r="C8" s="104"/>
      <c r="D8" s="104"/>
      <c r="E8" s="104"/>
      <c r="F8" s="27">
        <f>SUM(F7:F7)</f>
        <v>1</v>
      </c>
      <c r="G8" s="28"/>
      <c r="H8" s="27">
        <f>SUM(H7:H7)</f>
        <v>17</v>
      </c>
      <c r="I8" s="29"/>
      <c r="J8" s="30">
        <f>SUM(J7:J7)</f>
        <v>6800</v>
      </c>
    </row>
    <row r="9" spans="1:11" ht="15.75">
      <c r="A9" s="105" t="s">
        <v>9</v>
      </c>
      <c r="B9" s="106"/>
      <c r="C9" s="107"/>
      <c r="D9" s="107"/>
      <c r="E9" s="107"/>
      <c r="F9" s="3"/>
      <c r="G9" s="3"/>
      <c r="H9" s="13"/>
      <c r="I9" s="13"/>
      <c r="J9" s="14">
        <f>I9*H9</f>
        <v>0</v>
      </c>
    </row>
    <row r="10" spans="1:11" ht="15.75">
      <c r="A10" s="99" t="s">
        <v>10</v>
      </c>
      <c r="B10" s="100"/>
      <c r="C10" s="101"/>
      <c r="D10" s="101"/>
      <c r="E10" s="101"/>
      <c r="F10" s="101"/>
      <c r="G10" s="101"/>
      <c r="H10" s="101"/>
      <c r="I10" s="101"/>
      <c r="J10" s="15">
        <f>J8-J9</f>
        <v>6800</v>
      </c>
    </row>
    <row r="13" spans="1:11">
      <c r="A13" t="s">
        <v>15</v>
      </c>
      <c r="E13" t="s">
        <v>11</v>
      </c>
      <c r="H13" t="s">
        <v>12</v>
      </c>
    </row>
    <row r="16" spans="1:11">
      <c r="J16" s="22"/>
    </row>
  </sheetData>
  <sortState ref="A7:I17">
    <sortCondition ref="A7:A17"/>
  </sortState>
  <mergeCells count="6">
    <mergeCell ref="A10:I10"/>
    <mergeCell ref="A1:J1"/>
    <mergeCell ref="A2:J2"/>
    <mergeCell ref="A3:J3"/>
    <mergeCell ref="A8:E8"/>
    <mergeCell ref="A9:E9"/>
  </mergeCells>
  <pageMargins left="0.7" right="0.7" top="0.75" bottom="0.75" header="0.3" footer="0.3"/>
  <pageSetup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3-06741 final (2)</vt:lpstr>
      <vt:lpstr>3-06741 final</vt:lpstr>
      <vt:lpstr>3-10917</vt:lpstr>
      <vt:lpstr>3-10917 Yekatit</vt:lpstr>
      <vt:lpstr>'3-06741 final'!Print_Titles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2019-07-22T08:46:32Z</dcterms:modified>
</cp:coreProperties>
</file>