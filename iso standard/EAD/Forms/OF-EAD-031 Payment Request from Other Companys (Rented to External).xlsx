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2" activeTab="2"/>
  </bookViews>
  <sheets>
    <sheet name="3-06741 final (2)" sheetId="11" state="hidden" r:id="rId1"/>
    <sheet name="0617 " sheetId="13" state="hidden" r:id="rId2"/>
    <sheet name="external rented" sheetId="12" r:id="rId3"/>
    <sheet name="3-10917" sheetId="8" state="hidden" r:id="rId4"/>
    <sheet name="3-10917 Yekatit" sheetId="6" state="hidden" r:id="rId5"/>
  </sheets>
  <calcPr calcId="124519"/>
</workbook>
</file>

<file path=xl/calcChain.xml><?xml version="1.0" encoding="utf-8"?>
<calcChain xmlns="http://schemas.openxmlformats.org/spreadsheetml/2006/main">
  <c r="E8" i="13"/>
  <c r="D8"/>
  <c r="G8" i="11"/>
  <c r="G9" s="1"/>
  <c r="G11" s="1"/>
  <c r="H8" i="13" l="1"/>
  <c r="H9" s="1"/>
  <c r="H15" i="12"/>
  <c r="G8" i="8"/>
  <c r="G9" s="1"/>
  <c r="G11" s="1"/>
  <c r="H8" i="6"/>
  <c r="F8"/>
  <c r="J9"/>
  <c r="J7" l="1"/>
  <c r="J8" l="1"/>
  <c r="J10" s="1"/>
</calcChain>
</file>

<file path=xl/comments1.xml><?xml version="1.0" encoding="utf-8"?>
<comments xmlns="http://schemas.openxmlformats.org/spreadsheetml/2006/main">
  <authors>
    <author>Author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3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<sst xmlns="http://schemas.openxmlformats.org/spreadsheetml/2006/main" count="118" uniqueCount="75">
  <si>
    <t>Aser Construction P.l.c</t>
  </si>
  <si>
    <t>Lesse Name:- Aser Construction p.l.c</t>
  </si>
  <si>
    <t>Total</t>
  </si>
  <si>
    <t>Date</t>
  </si>
  <si>
    <t>Plate Number</t>
  </si>
  <si>
    <t>No of Trips</t>
  </si>
  <si>
    <t>Size</t>
  </si>
  <si>
    <t>Qty</t>
  </si>
  <si>
    <t>Agreed Rate Per pipe</t>
  </si>
  <si>
    <t>Total Amount of Fuel</t>
  </si>
  <si>
    <t>Net Pay after Fuel Deduction</t>
  </si>
  <si>
    <t>Approved By:-______________</t>
  </si>
  <si>
    <t>Autorized By:-______________</t>
  </si>
  <si>
    <t>Payment of high bed and No of Trips Transported Concrete Pipe For koka-Adulala Project</t>
  </si>
  <si>
    <t>Ø90</t>
  </si>
  <si>
    <t>Prepared By:-_____________</t>
  </si>
  <si>
    <t>From Hamle 01 ,2008- Hamle 30,2008</t>
  </si>
  <si>
    <t>3-10917</t>
  </si>
  <si>
    <t>Inters Store Transfer Voucher</t>
  </si>
  <si>
    <t>Inters Store Transfer Receving  Voucher</t>
  </si>
  <si>
    <t>Lessor Name:-  United Freight Transport Association</t>
  </si>
  <si>
    <t>Agreement Date:-22/10/2008</t>
  </si>
  <si>
    <t>Agreement No:- አሰኮ/1218/2008</t>
  </si>
  <si>
    <t>G.C</t>
  </si>
  <si>
    <t>581512</t>
  </si>
  <si>
    <t>3-06741</t>
  </si>
  <si>
    <t>Payment of high bed and No of Trips Transported Concrete Pipe</t>
  </si>
  <si>
    <t>Lessor Name:-  Buna Cross Border Level3-A Freight Transport Owners Association</t>
  </si>
  <si>
    <t>Agreement No:- አሰኮ/2019/2010</t>
  </si>
  <si>
    <t>Agreement Date:- 03/07/2010</t>
  </si>
  <si>
    <t>Number of Trips</t>
  </si>
  <si>
    <t>Place of Delivary</t>
  </si>
  <si>
    <t>From Ayre Tena (China Camp) To Kality Yeshi total</t>
  </si>
  <si>
    <t>Approved By:-____________________</t>
  </si>
  <si>
    <t>Autorized By:-__________________</t>
  </si>
  <si>
    <t>12</t>
  </si>
  <si>
    <t>2,3,5,6,7,8,9,10,12,16</t>
  </si>
  <si>
    <t>Transported Recodr Sheet For Borrow Material Number</t>
  </si>
  <si>
    <t>581512,  546891  ,581514,  580952,  557196,  580751,  580765,  583598,  580753,  555568,  555552,   562207</t>
  </si>
  <si>
    <t>From Hidar 02 ,2010- Hidar 16 ,2010</t>
  </si>
  <si>
    <t>Agreement Date:- 11/06/2010</t>
  </si>
  <si>
    <t>15,17,18</t>
  </si>
  <si>
    <t>3</t>
  </si>
  <si>
    <t>From Megabit 15 ,2010- Megabit 18,2010</t>
  </si>
  <si>
    <t>Checked By:-____________________</t>
  </si>
  <si>
    <t>Approved by:-_____________________</t>
  </si>
  <si>
    <t>Lessor Name:-  Addis Ababa City Road Authority</t>
  </si>
  <si>
    <t>Double Drum Roller Payment Request</t>
  </si>
  <si>
    <t>Agreement Date:- 18/05/2011</t>
  </si>
  <si>
    <t xml:space="preserve">Agreement No:- </t>
  </si>
  <si>
    <t>21/03/2011 up to 18/04/2011</t>
  </si>
  <si>
    <t>Place of  work</t>
  </si>
  <si>
    <t>6 kilo &amp; Germen Embassy</t>
  </si>
  <si>
    <t>Aggred rate For Operational Hour</t>
  </si>
  <si>
    <t>Aggred rate For Idel Hour</t>
  </si>
  <si>
    <t>Total Operational hour</t>
  </si>
  <si>
    <t>Total Idel Hour</t>
  </si>
  <si>
    <t xml:space="preserve">Grand Total </t>
  </si>
  <si>
    <t>Cm-0617</t>
  </si>
  <si>
    <t>Grand Total</t>
  </si>
  <si>
    <t>From 23/04/2011 up to 30/05/2011</t>
  </si>
  <si>
    <t xml:space="preserve">Agreement Date:- </t>
  </si>
  <si>
    <t xml:space="preserve">Lessor Name:- </t>
  </si>
  <si>
    <t>Amount</t>
  </si>
  <si>
    <t xml:space="preserve">Lessee Name:- </t>
  </si>
  <si>
    <t>Month _________________</t>
  </si>
  <si>
    <t>Payment Request from Other Companys (Rented to External)</t>
  </si>
  <si>
    <t>Date ____________ to ______________</t>
  </si>
  <si>
    <t>Equipment Type</t>
  </si>
  <si>
    <t>Plate No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</si>
  <si>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</si>
  <si>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</si>
  <si>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</si>
  <si>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</si>
  <si>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OF/EAD/031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</si>
</sst>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Border="1"/>
    <xf numFmtId="0" fontId="5" fillId="0" borderId="6" xfId="0" applyFont="1" applyBorder="1" applyAlignment="1"/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" fontId="3" fillId="0" borderId="7" xfId="0" applyNumberFormat="1" applyFont="1" applyFill="1" applyBorder="1"/>
    <xf numFmtId="4" fontId="3" fillId="0" borderId="10" xfId="0" applyNumberFormat="1" applyFont="1" applyFill="1" applyBorder="1"/>
    <xf numFmtId="0" fontId="4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center"/>
    </xf>
    <xf numFmtId="4" fontId="2" fillId="0" borderId="7" xfId="0" applyNumberFormat="1" applyFont="1" applyFill="1" applyBorder="1"/>
    <xf numFmtId="0" fontId="2" fillId="0" borderId="0" xfId="0" applyFont="1" applyFill="1"/>
    <xf numFmtId="4" fontId="0" fillId="0" borderId="0" xfId="0" applyNumberFormat="1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/>
    <xf numFmtId="0" fontId="2" fillId="0" borderId="6" xfId="0" applyFont="1" applyFill="1" applyBorder="1"/>
    <xf numFmtId="4" fontId="5" fillId="0" borderId="6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2" fillId="0" borderId="13" xfId="0" applyNumberFormat="1" applyFont="1" applyFill="1" applyBorder="1" applyAlignment="1">
      <alignment horizontal="center"/>
    </xf>
    <xf numFmtId="14" fontId="2" fillId="0" borderId="5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4" fontId="2" fillId="0" borderId="7" xfId="0" applyNumberFormat="1" applyFont="1" applyFill="1" applyBorder="1" applyAlignment="1">
      <alignment horizontal="right"/>
    </xf>
    <xf numFmtId="4" fontId="5" fillId="0" borderId="6" xfId="0" applyNumberFormat="1" applyFont="1" applyFill="1" applyBorder="1" applyAlignment="1">
      <alignment horizontal="right"/>
    </xf>
    <xf numFmtId="4" fontId="3" fillId="0" borderId="7" xfId="0" applyNumberFormat="1" applyFont="1" applyFill="1" applyBorder="1" applyAlignment="1">
      <alignment horizontal="right"/>
    </xf>
    <xf numFmtId="4" fontId="3" fillId="0" borderId="10" xfId="0" applyNumberFormat="1" applyFont="1" applyFill="1" applyBorder="1" applyAlignment="1">
      <alignment horizontal="right"/>
    </xf>
    <xf numFmtId="0" fontId="2" fillId="0" borderId="11" xfId="0" applyFont="1" applyFill="1" applyBorder="1" applyAlignment="1">
      <alignment horizontal="center" wrapText="1"/>
    </xf>
    <xf numFmtId="14" fontId="2" fillId="0" borderId="5" xfId="0" applyNumberFormat="1" applyFont="1" applyFill="1" applyBorder="1" applyAlignment="1">
      <alignment horizontal="center" wrapText="1"/>
    </xf>
    <xf numFmtId="49" fontId="2" fillId="0" borderId="11" xfId="0" applyNumberFormat="1" applyFont="1" applyFill="1" applyBorder="1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0" fontId="2" fillId="0" borderId="18" xfId="0" applyFont="1" applyFill="1" applyBorder="1" applyAlignment="1">
      <alignment horizontal="center" wrapText="1"/>
    </xf>
    <xf numFmtId="4" fontId="2" fillId="0" borderId="18" xfId="0" applyNumberFormat="1" applyFont="1" applyFill="1" applyBorder="1" applyAlignment="1">
      <alignment horizontal="right"/>
    </xf>
    <xf numFmtId="14" fontId="2" fillId="0" borderId="18" xfId="0" applyNumberFormat="1" applyFont="1" applyFill="1" applyBorder="1" applyAlignment="1">
      <alignment horizontal="center" wrapText="1"/>
    </xf>
    <xf numFmtId="0" fontId="6" fillId="0" borderId="0" xfId="0" applyFont="1"/>
    <xf numFmtId="0" fontId="2" fillId="2" borderId="18" xfId="0" applyFont="1" applyFill="1" applyBorder="1" applyAlignment="1">
      <alignment horizontal="center" wrapText="1"/>
    </xf>
    <xf numFmtId="4" fontId="2" fillId="0" borderId="19" xfId="0" applyNumberFormat="1" applyFont="1" applyBorder="1"/>
    <xf numFmtId="4" fontId="2" fillId="0" borderId="18" xfId="0" applyNumberFormat="1" applyFont="1" applyFill="1" applyBorder="1" applyAlignment="1">
      <alignment horizontal="center" wrapText="1"/>
    </xf>
    <xf numFmtId="0" fontId="8" fillId="0" borderId="0" xfId="0" applyFont="1"/>
    <xf numFmtId="49" fontId="8" fillId="0" borderId="0" xfId="0" applyNumberFormat="1" applyFont="1"/>
    <xf numFmtId="4" fontId="8" fillId="0" borderId="0" xfId="0" applyNumberFormat="1" applyFont="1"/>
    <xf numFmtId="2" fontId="8" fillId="0" borderId="0" xfId="0" applyNumberFormat="1" applyFont="1"/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5" fillId="0" borderId="16" xfId="0" applyFont="1" applyFill="1" applyBorder="1" applyAlignment="1">
      <alignment horizontal="right"/>
    </xf>
    <xf numFmtId="0" fontId="5" fillId="0" borderId="17" xfId="0" applyFont="1" applyFill="1" applyBorder="1" applyAlignment="1">
      <alignment horizontal="right"/>
    </xf>
    <xf numFmtId="0" fontId="5" fillId="0" borderId="14" xfId="0" applyFont="1" applyFill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9" fillId="0" borderId="21" xfId="0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 vertical="top" wrapText="1"/>
    </xf>
    <xf numFmtId="0" fontId="10" fillId="0" borderId="33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0" fillId="0" borderId="38" xfId="0" applyFont="1" applyBorder="1" applyAlignment="1">
      <alignment horizontal="center" vertical="top" wrapText="1"/>
    </xf>
    <xf numFmtId="0" fontId="3" fillId="0" borderId="1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2.xml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D8" sqref="D8"/>
    </sheetView>
  </sheetViews>
  <sheetFormatPr defaultRowHeight="15"/>
  <cols>
    <col min="1" max="1" width="19" customWidth="1"/>
    <col min="2" max="2" width="13.140625" bestFit="1" customWidth="1"/>
    <col min="3" max="3" width="21.7109375" customWidth="1"/>
    <col min="4" max="4" width="29.28515625" customWidth="1"/>
    <col min="5" max="5" width="14.28515625" customWidth="1"/>
    <col min="6" max="6" width="13.85546875" customWidth="1"/>
    <col min="7" max="7" width="18.5703125" customWidth="1"/>
  </cols>
  <sheetData>
    <row r="1" spans="1:8" s="1" customFormat="1" ht="15.75">
      <c r="A1" s="57" t="s">
        <v>0</v>
      </c>
      <c r="B1" s="57"/>
      <c r="C1" s="57"/>
      <c r="D1" s="57"/>
      <c r="E1" s="57"/>
      <c r="F1" s="57"/>
      <c r="G1" s="57"/>
    </row>
    <row r="2" spans="1:8" s="1" customFormat="1" ht="15.75">
      <c r="A2" s="57" t="s">
        <v>26</v>
      </c>
      <c r="B2" s="57"/>
      <c r="C2" s="57"/>
      <c r="D2" s="57"/>
      <c r="E2" s="57"/>
      <c r="F2" s="57"/>
      <c r="G2" s="57"/>
    </row>
    <row r="3" spans="1:8" s="1" customFormat="1" ht="15.75">
      <c r="A3" s="58" t="s">
        <v>43</v>
      </c>
      <c r="B3" s="58"/>
      <c r="C3" s="58"/>
      <c r="D3" s="58"/>
      <c r="E3" s="58"/>
      <c r="F3" s="58"/>
      <c r="G3" s="58"/>
    </row>
    <row r="4" spans="1:8" s="1" customFormat="1" ht="15.75">
      <c r="A4" s="59" t="s">
        <v>27</v>
      </c>
      <c r="B4" s="59"/>
      <c r="C4" s="59"/>
      <c r="D4" s="59"/>
      <c r="E4" s="59"/>
    </row>
    <row r="5" spans="1:8" s="1" customFormat="1" ht="15.75">
      <c r="A5" s="59"/>
      <c r="B5" s="59"/>
      <c r="C5" s="59"/>
      <c r="D5" s="59"/>
      <c r="E5" s="59"/>
      <c r="F5" s="23" t="s">
        <v>29</v>
      </c>
    </row>
    <row r="6" spans="1:8" s="1" customFormat="1" ht="19.5" customHeight="1">
      <c r="A6" s="1" t="s">
        <v>1</v>
      </c>
      <c r="F6" s="24" t="s">
        <v>28</v>
      </c>
    </row>
    <row r="7" spans="1:8" s="1" customFormat="1" ht="41.25" customHeight="1">
      <c r="A7" s="9" t="s">
        <v>3</v>
      </c>
      <c r="B7" s="10" t="s">
        <v>4</v>
      </c>
      <c r="C7" s="10" t="s">
        <v>31</v>
      </c>
      <c r="D7" s="11" t="s">
        <v>37</v>
      </c>
      <c r="E7" s="11" t="s">
        <v>30</v>
      </c>
      <c r="F7" s="11" t="s">
        <v>8</v>
      </c>
      <c r="G7" s="12" t="s">
        <v>2</v>
      </c>
    </row>
    <row r="8" spans="1:8" s="1" customFormat="1" ht="47.25">
      <c r="A8" s="33" t="s">
        <v>41</v>
      </c>
      <c r="B8" s="26" t="s">
        <v>25</v>
      </c>
      <c r="C8" s="39" t="s">
        <v>32</v>
      </c>
      <c r="D8" s="41"/>
      <c r="E8" s="18" t="s">
        <v>42</v>
      </c>
      <c r="F8" s="34">
        <v>3000</v>
      </c>
      <c r="G8" s="35">
        <f>F8*E8</f>
        <v>9000</v>
      </c>
      <c r="H8" s="21"/>
    </row>
    <row r="9" spans="1:8" s="1" customFormat="1" ht="15.75">
      <c r="A9" s="60" t="s">
        <v>2</v>
      </c>
      <c r="B9" s="61"/>
      <c r="C9" s="61"/>
      <c r="D9" s="61"/>
      <c r="E9" s="61"/>
      <c r="F9" s="62"/>
      <c r="G9" s="36">
        <f>SUM(G8:G8)</f>
        <v>9000</v>
      </c>
    </row>
    <row r="10" spans="1:8" ht="15.75">
      <c r="A10" s="63" t="s">
        <v>9</v>
      </c>
      <c r="B10" s="64"/>
      <c r="C10" s="64"/>
      <c r="D10" s="64"/>
      <c r="E10" s="64"/>
      <c r="F10" s="65"/>
      <c r="G10" s="37">
        <v>0</v>
      </c>
    </row>
    <row r="11" spans="1:8" ht="15.75">
      <c r="A11" s="55" t="s">
        <v>10</v>
      </c>
      <c r="B11" s="56"/>
      <c r="C11" s="56"/>
      <c r="D11" s="56"/>
      <c r="E11" s="56"/>
      <c r="F11" s="56"/>
      <c r="G11" s="38">
        <f>G9-G10</f>
        <v>9000</v>
      </c>
    </row>
    <row r="14" spans="1:8">
      <c r="A14" t="s">
        <v>15</v>
      </c>
      <c r="C14" t="s">
        <v>33</v>
      </c>
      <c r="F14" t="s">
        <v>34</v>
      </c>
    </row>
    <row r="17" spans="7:7">
      <c r="G17" s="22"/>
    </row>
  </sheetData>
  <mergeCells count="7">
    <mergeCell ref="A11:F11"/>
    <mergeCell ref="A1:G1"/>
    <mergeCell ref="A2:G2"/>
    <mergeCell ref="A3:G3"/>
    <mergeCell ref="A4:E5"/>
    <mergeCell ref="A9:F9"/>
    <mergeCell ref="A10:F10"/>
  </mergeCells>
  <pageMargins left="0.16" right="0.42" top="0.83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M20"/>
  <sheetViews>
    <sheetView workbookViewId="0">
      <selection activeCell="D18" sqref="D18"/>
    </sheetView>
  </sheetViews>
  <sheetFormatPr defaultRowHeight="15"/>
  <cols>
    <col min="1" max="1" width="14.85546875" customWidth="1"/>
    <col min="2" max="2" width="22.7109375" customWidth="1"/>
    <col min="3" max="3" width="16.28515625" customWidth="1"/>
    <col min="4" max="4" width="16.5703125" customWidth="1"/>
    <col min="5" max="5" width="12.42578125" customWidth="1"/>
    <col min="6" max="6" width="15.5703125" customWidth="1"/>
    <col min="7" max="7" width="15.85546875" customWidth="1"/>
    <col min="8" max="8" width="15.7109375" customWidth="1"/>
  </cols>
  <sheetData>
    <row r="1" spans="1:11" s="1" customFormat="1" ht="15.75">
      <c r="A1" s="57" t="s">
        <v>0</v>
      </c>
      <c r="B1" s="57"/>
      <c r="C1" s="57"/>
      <c r="D1" s="57"/>
      <c r="E1" s="57"/>
      <c r="F1" s="57"/>
      <c r="G1" s="57"/>
      <c r="H1" s="57"/>
    </row>
    <row r="2" spans="1:11" s="1" customFormat="1" ht="15.75">
      <c r="A2" s="57" t="s">
        <v>47</v>
      </c>
      <c r="B2" s="57"/>
      <c r="C2" s="57"/>
      <c r="D2" s="57"/>
      <c r="E2" s="57"/>
      <c r="F2" s="57"/>
      <c r="G2" s="57"/>
      <c r="H2" s="57"/>
    </row>
    <row r="3" spans="1:11" s="1" customFormat="1" ht="15.75">
      <c r="A3" s="58" t="s">
        <v>60</v>
      </c>
      <c r="B3" s="58"/>
      <c r="C3" s="58"/>
      <c r="D3" s="58"/>
      <c r="E3" s="58"/>
      <c r="F3" s="58"/>
      <c r="G3" s="58"/>
      <c r="H3" s="58"/>
    </row>
    <row r="4" spans="1:11" s="1" customFormat="1" ht="15.75">
      <c r="A4" s="59" t="s">
        <v>46</v>
      </c>
      <c r="B4" s="59"/>
      <c r="C4" s="59"/>
      <c r="D4" s="59"/>
      <c r="E4" s="59"/>
      <c r="F4" s="59"/>
    </row>
    <row r="5" spans="1:11" s="1" customFormat="1" ht="15.75">
      <c r="A5" s="59"/>
      <c r="B5" s="59"/>
      <c r="C5" s="59"/>
      <c r="D5" s="59"/>
      <c r="E5" s="59"/>
      <c r="F5" s="59"/>
      <c r="G5" s="23" t="s">
        <v>48</v>
      </c>
    </row>
    <row r="6" spans="1:11" s="1" customFormat="1" ht="19.5" customHeight="1">
      <c r="A6" s="1" t="s">
        <v>1</v>
      </c>
      <c r="G6" s="24" t="s">
        <v>49</v>
      </c>
    </row>
    <row r="7" spans="1:11" s="1" customFormat="1" ht="43.5" customHeight="1">
      <c r="A7" s="48" t="s">
        <v>4</v>
      </c>
      <c r="B7" s="48" t="s">
        <v>3</v>
      </c>
      <c r="C7" s="48" t="s">
        <v>51</v>
      </c>
      <c r="D7" s="48" t="s">
        <v>55</v>
      </c>
      <c r="E7" s="48" t="s">
        <v>56</v>
      </c>
      <c r="F7" s="48" t="s">
        <v>53</v>
      </c>
      <c r="G7" s="48" t="s">
        <v>54</v>
      </c>
      <c r="H7" s="48" t="s">
        <v>57</v>
      </c>
    </row>
    <row r="8" spans="1:11" s="1" customFormat="1" ht="31.5">
      <c r="A8" s="46" t="s">
        <v>58</v>
      </c>
      <c r="B8" s="46" t="s">
        <v>50</v>
      </c>
      <c r="C8" s="44" t="s">
        <v>52</v>
      </c>
      <c r="D8" s="44">
        <f>8+12+10.5+9+9.5+8.5+6.5+10.5+6+6+7+7+9+8.5+12+6.5+6+9+7+8+9.5+11.5+9.5+8+12</f>
        <v>217</v>
      </c>
      <c r="E8" s="44">
        <f>4+4+4+4+4</f>
        <v>20</v>
      </c>
      <c r="F8" s="50">
        <v>1211</v>
      </c>
      <c r="G8" s="50">
        <v>1211</v>
      </c>
      <c r="H8" s="45">
        <f>(F8*D8)+(G8*E8)</f>
        <v>287007</v>
      </c>
      <c r="I8" s="21"/>
    </row>
    <row r="9" spans="1:11" ht="19.5" customHeight="1">
      <c r="A9" s="1"/>
      <c r="B9" s="1"/>
      <c r="C9" s="1"/>
      <c r="D9" s="1"/>
      <c r="E9" s="1"/>
      <c r="F9" s="66" t="s">
        <v>59</v>
      </c>
      <c r="G9" s="66"/>
      <c r="H9" s="49">
        <f>SUM(H8:H8)</f>
        <v>287007</v>
      </c>
      <c r="I9" s="1"/>
    </row>
    <row r="10" spans="1:11" ht="15.75">
      <c r="A10" s="1"/>
      <c r="B10" s="1"/>
      <c r="C10" s="1"/>
      <c r="D10" s="1"/>
      <c r="E10" s="1"/>
      <c r="F10" s="1"/>
      <c r="G10" s="1"/>
      <c r="H10" s="1"/>
      <c r="I10" s="1"/>
    </row>
    <row r="11" spans="1:11" ht="15.75">
      <c r="A11" s="1" t="s">
        <v>15</v>
      </c>
      <c r="B11" s="1"/>
      <c r="C11" s="1" t="s">
        <v>44</v>
      </c>
      <c r="D11" s="1"/>
      <c r="F11" s="1" t="s">
        <v>45</v>
      </c>
      <c r="H11" s="1"/>
      <c r="I11" s="1"/>
      <c r="J11" s="42"/>
    </row>
    <row r="12" spans="1:11" ht="18.75">
      <c r="A12" s="47"/>
      <c r="B12" s="47"/>
      <c r="C12" s="47"/>
      <c r="D12" s="47"/>
      <c r="E12" s="47"/>
      <c r="F12" s="47"/>
      <c r="G12" s="47"/>
      <c r="H12" s="47"/>
      <c r="I12" s="47"/>
      <c r="J12" s="42"/>
      <c r="K12" s="42"/>
    </row>
    <row r="13" spans="1:11" ht="18.75">
      <c r="A13" s="47"/>
      <c r="B13" s="47"/>
      <c r="C13" s="47"/>
      <c r="D13" s="47"/>
      <c r="E13" s="47"/>
      <c r="F13" s="47"/>
      <c r="G13" s="47"/>
      <c r="H13" s="47"/>
      <c r="I13" s="47"/>
      <c r="J13" s="42"/>
    </row>
    <row r="14" spans="1:11">
      <c r="H14" s="22"/>
      <c r="J14" s="42"/>
    </row>
    <row r="17" spans="9:13">
      <c r="K17" s="42"/>
      <c r="L17" s="42"/>
    </row>
    <row r="18" spans="9:13">
      <c r="I18" s="43"/>
      <c r="J18" s="43"/>
      <c r="K18" s="43"/>
      <c r="L18" s="43"/>
      <c r="M18" s="43"/>
    </row>
    <row r="19" spans="9:13">
      <c r="I19" s="43"/>
      <c r="J19" s="43"/>
      <c r="K19" s="43"/>
      <c r="L19" s="43"/>
      <c r="M19" s="43"/>
    </row>
    <row r="20" spans="9:13">
      <c r="I20" s="43"/>
      <c r="J20" s="43"/>
      <c r="K20" s="43"/>
      <c r="L20" s="43"/>
      <c r="M20" s="43"/>
    </row>
  </sheetData>
  <mergeCells count="5">
    <mergeCell ref="A1:H1"/>
    <mergeCell ref="A2:H2"/>
    <mergeCell ref="A3:H3"/>
    <mergeCell ref="A4:F5"/>
    <mergeCell ref="F9:G9"/>
  </mergeCells>
  <pageMargins left="0.16" right="0.42" top="0.83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M25"/>
  <sheetViews>
    <sheetView tabSelected="1" workbookViewId="0">
      <selection activeCell="L16" sqref="L16"/>
    </sheetView>
  </sheetViews>
  <sheetFormatPr defaultRowHeight="15"/>
  <cols>
    <col min="1" max="1" width="14.85546875" style="51" customWidth="1"/>
    <col min="2" max="2" width="22.7109375" style="51" customWidth="1"/>
    <col min="3" max="3" width="16.28515625" style="51" customWidth="1"/>
    <col min="4" max="4" width="16.5703125" style="51" customWidth="1"/>
    <col min="5" max="5" width="12.42578125" style="51" customWidth="1"/>
    <col min="6" max="6" width="15.5703125" style="51" customWidth="1"/>
    <col min="7" max="7" width="15.85546875" style="51" customWidth="1"/>
    <col min="8" max="8" width="15.7109375" style="51" customWidth="1"/>
    <col min="9" max="16384" width="9.140625" style="51"/>
  </cols>
  <sheetData>
    <row r="1" spans="1:9" s="1" customFormat="1" ht="15.75">
      <c r="A1" s="67" t="s">
        <v>70</v>
      </c>
      <c r="B1" s="68"/>
      <c r="C1" s="81" t="s">
        <v>71</v>
      </c>
      <c r="D1" s="82"/>
      <c r="E1" s="82"/>
      <c r="F1" s="83"/>
      <c r="G1" s="73" t="s">
        <v>72</v>
      </c>
      <c r="H1" s="74"/>
    </row>
    <row r="2" spans="1:9" s="1" customFormat="1" ht="15.75">
      <c r="A2" s="69"/>
      <c r="B2" s="70"/>
      <c r="C2" s="84"/>
      <c r="D2" s="85"/>
      <c r="E2" s="85"/>
      <c r="F2" s="86"/>
      <c r="G2" s="75" t="s">
        <v>74</v>
      </c>
      <c r="H2" s="76"/>
    </row>
    <row r="3" spans="1:9" s="1" customFormat="1" ht="15.75" customHeight="1">
      <c r="A3" s="69"/>
      <c r="B3" s="70"/>
      <c r="C3" s="87" t="s">
        <v>66</v>
      </c>
      <c r="D3" s="88"/>
      <c r="E3" s="88"/>
      <c r="F3" s="89"/>
      <c r="G3" s="77" t="s">
        <v>73</v>
      </c>
      <c r="H3" s="78"/>
    </row>
    <row r="4" spans="1:9" s="1" customFormat="1" ht="50.25" customHeight="1">
      <c r="A4" s="71"/>
      <c r="B4" s="72"/>
      <c r="C4" s="90"/>
      <c r="D4" s="91"/>
      <c r="E4" s="91"/>
      <c r="F4" s="92"/>
      <c r="G4" s="79">
        <v>1</v>
      </c>
      <c r="H4" s="80"/>
    </row>
    <row r="5" spans="1:9" s="1" customFormat="1" ht="15.75">
      <c r="A5" s="93"/>
      <c r="B5" s="93"/>
      <c r="C5" s="93"/>
      <c r="D5" s="93"/>
      <c r="E5" s="93"/>
      <c r="F5" s="93"/>
      <c r="G5" s="93"/>
      <c r="H5" s="93"/>
    </row>
    <row r="6" spans="1:9" s="1" customFormat="1" ht="15.75">
      <c r="A6" s="59" t="s">
        <v>62</v>
      </c>
      <c r="B6" s="59"/>
      <c r="C6" s="59"/>
      <c r="D6" s="59"/>
      <c r="E6" s="59"/>
      <c r="F6" s="59"/>
    </row>
    <row r="7" spans="1:9" s="1" customFormat="1" ht="15.75">
      <c r="A7" s="59"/>
      <c r="B7" s="59"/>
      <c r="C7" s="59"/>
      <c r="D7" s="59"/>
      <c r="E7" s="59"/>
      <c r="F7" s="59"/>
      <c r="G7" s="23" t="s">
        <v>61</v>
      </c>
    </row>
    <row r="8" spans="1:9" s="1" customFormat="1" ht="19.5" customHeight="1">
      <c r="A8" s="1" t="s">
        <v>64</v>
      </c>
      <c r="G8" s="24" t="s">
        <v>49</v>
      </c>
    </row>
    <row r="9" spans="1:9" s="1" customFormat="1" ht="19.5" customHeight="1">
      <c r="A9" s="1" t="s">
        <v>65</v>
      </c>
      <c r="G9" s="24"/>
    </row>
    <row r="10" spans="1:9" s="1" customFormat="1" ht="19.5" customHeight="1">
      <c r="A10" s="1" t="s">
        <v>67</v>
      </c>
      <c r="G10" s="24"/>
    </row>
    <row r="11" spans="1:9" s="1" customFormat="1" ht="19.5" customHeight="1">
      <c r="G11" s="24"/>
    </row>
    <row r="12" spans="1:9" s="1" customFormat="1" ht="43.5" customHeight="1">
      <c r="A12" s="48" t="s">
        <v>68</v>
      </c>
      <c r="B12" s="48" t="s">
        <v>69</v>
      </c>
      <c r="C12" s="48" t="s">
        <v>51</v>
      </c>
      <c r="D12" s="48" t="s">
        <v>55</v>
      </c>
      <c r="E12" s="48" t="s">
        <v>56</v>
      </c>
      <c r="F12" s="48" t="s">
        <v>53</v>
      </c>
      <c r="G12" s="48" t="s">
        <v>54</v>
      </c>
      <c r="H12" s="48" t="s">
        <v>63</v>
      </c>
    </row>
    <row r="13" spans="1:9" s="1" customFormat="1" ht="15.75">
      <c r="A13" s="46"/>
      <c r="B13" s="46"/>
      <c r="C13" s="44"/>
      <c r="D13" s="44"/>
      <c r="E13" s="44"/>
      <c r="F13" s="50"/>
      <c r="G13" s="50"/>
      <c r="H13" s="45"/>
      <c r="I13" s="21"/>
    </row>
    <row r="14" spans="1:9" s="1" customFormat="1" ht="15.75">
      <c r="A14" s="46"/>
      <c r="B14" s="46"/>
      <c r="C14" s="44"/>
      <c r="D14" s="44"/>
      <c r="E14" s="44"/>
      <c r="F14" s="50"/>
      <c r="G14" s="50"/>
      <c r="H14" s="45"/>
      <c r="I14" s="21"/>
    </row>
    <row r="15" spans="1:9" ht="19.5" customHeight="1">
      <c r="A15" s="1"/>
      <c r="B15" s="1"/>
      <c r="C15" s="1"/>
      <c r="D15" s="1"/>
      <c r="E15" s="1"/>
      <c r="F15" s="66" t="s">
        <v>59</v>
      </c>
      <c r="G15" s="66"/>
      <c r="H15" s="49">
        <f>SUM(H13:H14)</f>
        <v>0</v>
      </c>
      <c r="I15" s="1"/>
    </row>
    <row r="16" spans="1:9" ht="15.75">
      <c r="A16" s="1"/>
      <c r="B16" s="1"/>
      <c r="C16" s="1"/>
      <c r="D16" s="1"/>
      <c r="E16" s="1"/>
      <c r="F16" s="1"/>
      <c r="G16" s="1"/>
      <c r="H16" s="1"/>
      <c r="I16" s="1"/>
    </row>
    <row r="17" spans="1:13" ht="18.75">
      <c r="A17" s="47"/>
      <c r="B17" s="47"/>
      <c r="C17" s="47"/>
      <c r="D17" s="47"/>
      <c r="E17" s="47"/>
      <c r="F17" s="47"/>
      <c r="G17" s="47"/>
      <c r="H17" s="47"/>
      <c r="I17" s="47"/>
      <c r="J17" s="52"/>
      <c r="K17" s="52"/>
    </row>
    <row r="18" spans="1:13" ht="18.75">
      <c r="A18" s="47"/>
      <c r="B18" s="47"/>
      <c r="C18" s="47"/>
      <c r="D18" s="47"/>
      <c r="E18" s="47"/>
      <c r="F18" s="47"/>
      <c r="G18" s="47"/>
      <c r="H18" s="47"/>
      <c r="I18" s="47"/>
      <c r="J18" s="52"/>
    </row>
    <row r="19" spans="1:13">
      <c r="H19" s="53"/>
      <c r="J19" s="52"/>
    </row>
    <row r="22" spans="1:13">
      <c r="K22" s="52"/>
      <c r="L22" s="52"/>
    </row>
    <row r="23" spans="1:13">
      <c r="I23" s="54"/>
      <c r="J23" s="54"/>
      <c r="K23" s="54"/>
      <c r="L23" s="54"/>
      <c r="M23" s="54"/>
    </row>
    <row r="24" spans="1:13">
      <c r="I24" s="54"/>
      <c r="J24" s="54"/>
      <c r="K24" s="54"/>
      <c r="L24" s="54"/>
      <c r="M24" s="54"/>
    </row>
    <row r="25" spans="1:13">
      <c r="I25" s="54"/>
      <c r="J25" s="54"/>
      <c r="K25" s="54"/>
      <c r="L25" s="54"/>
      <c r="M25" s="54"/>
    </row>
  </sheetData>
  <mergeCells count="11">
    <mergeCell ref="F15:G15"/>
    <mergeCell ref="A1:B2"/>
    <mergeCell ref="A3:B4"/>
    <mergeCell ref="G1:H1"/>
    <mergeCell ref="G2:H2"/>
    <mergeCell ref="G3:H3"/>
    <mergeCell ref="G4:H4"/>
    <mergeCell ref="C1:F2"/>
    <mergeCell ref="C3:F4"/>
    <mergeCell ref="A5:H5"/>
    <mergeCell ref="A6:F7"/>
  </mergeCells>
  <pageMargins left="0.16" right="0.42" top="0.83" bottom="0.24" header="0.3" footer="0.3"/>
  <pageSetup orientation="landscape" r:id="rId1"/>
  <headerFooter>
    <oddFooter>&amp;RPage &amp;P of  &amp;N</oddFooter>
  </headerFooter>
  <legacyDrawing r:id="rId2"/>
  <oleObjects>
    <oleObject progId="PBrush" shapeId="1026" r:id="rId3"/>
    <oleObject progId="PBrush" shapeId="1027" r:id="rId4"/>
    <oleObject progId="PBrush" shapeId="1028" r:id="rId5"/>
  </oleObjec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A8" sqref="A8"/>
    </sheetView>
  </sheetViews>
  <sheetFormatPr defaultRowHeight="15"/>
  <cols>
    <col min="1" max="1" width="19" customWidth="1"/>
    <col min="2" max="2" width="13.140625" bestFit="1" customWidth="1"/>
    <col min="3" max="3" width="22.85546875" customWidth="1"/>
    <col min="4" max="4" width="30.5703125" customWidth="1"/>
    <col min="5" max="5" width="11.140625" customWidth="1"/>
    <col min="6" max="6" width="15" customWidth="1"/>
    <col min="7" max="7" width="18.5703125" customWidth="1"/>
  </cols>
  <sheetData>
    <row r="1" spans="1:8" s="1" customFormat="1" ht="15.75">
      <c r="A1" s="57" t="s">
        <v>0</v>
      </c>
      <c r="B1" s="57"/>
      <c r="C1" s="57"/>
      <c r="D1" s="57"/>
      <c r="E1" s="57"/>
      <c r="F1" s="57"/>
      <c r="G1" s="57"/>
    </row>
    <row r="2" spans="1:8" s="1" customFormat="1" ht="15.75">
      <c r="A2" s="57" t="s">
        <v>26</v>
      </c>
      <c r="B2" s="57"/>
      <c r="C2" s="57"/>
      <c r="D2" s="57"/>
      <c r="E2" s="57"/>
      <c r="F2" s="57"/>
      <c r="G2" s="57"/>
    </row>
    <row r="3" spans="1:8" s="1" customFormat="1" ht="15.75">
      <c r="A3" s="58" t="s">
        <v>39</v>
      </c>
      <c r="B3" s="58"/>
      <c r="C3" s="58"/>
      <c r="D3" s="58"/>
      <c r="E3" s="58"/>
      <c r="F3" s="58"/>
      <c r="G3" s="58"/>
    </row>
    <row r="4" spans="1:8" s="1" customFormat="1" ht="15.75">
      <c r="A4" s="59" t="s">
        <v>20</v>
      </c>
      <c r="B4" s="59"/>
      <c r="C4" s="59"/>
      <c r="D4" s="59"/>
      <c r="E4" s="59"/>
    </row>
    <row r="5" spans="1:8" s="1" customFormat="1" ht="15.75">
      <c r="A5" s="59"/>
      <c r="B5" s="59"/>
      <c r="C5" s="59"/>
      <c r="D5" s="59"/>
      <c r="E5" s="59"/>
      <c r="F5" s="23" t="s">
        <v>40</v>
      </c>
    </row>
    <row r="6" spans="1:8" s="1" customFormat="1" ht="19.5" customHeight="1">
      <c r="A6" s="1" t="s">
        <v>1</v>
      </c>
      <c r="F6" s="24" t="s">
        <v>22</v>
      </c>
    </row>
    <row r="7" spans="1:8" s="1" customFormat="1" ht="47.25" customHeight="1">
      <c r="A7" s="9" t="s">
        <v>3</v>
      </c>
      <c r="B7" s="10" t="s">
        <v>4</v>
      </c>
      <c r="C7" s="10" t="s">
        <v>31</v>
      </c>
      <c r="D7" s="11" t="s">
        <v>37</v>
      </c>
      <c r="E7" s="11" t="s">
        <v>30</v>
      </c>
      <c r="F7" s="11" t="s">
        <v>8</v>
      </c>
      <c r="G7" s="12" t="s">
        <v>2</v>
      </c>
    </row>
    <row r="8" spans="1:8" s="1" customFormat="1" ht="60.75" customHeight="1">
      <c r="A8" s="40" t="s">
        <v>36</v>
      </c>
      <c r="B8" s="26" t="s">
        <v>17</v>
      </c>
      <c r="C8" s="39" t="s">
        <v>32</v>
      </c>
      <c r="D8" s="41" t="s">
        <v>38</v>
      </c>
      <c r="E8" s="18" t="s">
        <v>35</v>
      </c>
      <c r="F8" s="34">
        <v>3000</v>
      </c>
      <c r="G8" s="35">
        <f>F8*E8</f>
        <v>36000</v>
      </c>
      <c r="H8" s="21"/>
    </row>
    <row r="9" spans="1:8" s="1" customFormat="1" ht="15.75">
      <c r="A9" s="60" t="s">
        <v>2</v>
      </c>
      <c r="B9" s="61"/>
      <c r="C9" s="61"/>
      <c r="D9" s="61"/>
      <c r="E9" s="61"/>
      <c r="F9" s="62"/>
      <c r="G9" s="36">
        <f>SUM(G8:G8)</f>
        <v>36000</v>
      </c>
    </row>
    <row r="10" spans="1:8" ht="15.75">
      <c r="A10" s="63" t="s">
        <v>9</v>
      </c>
      <c r="B10" s="64"/>
      <c r="C10" s="64"/>
      <c r="D10" s="64"/>
      <c r="E10" s="64"/>
      <c r="F10" s="65"/>
      <c r="G10" s="37">
        <v>0</v>
      </c>
    </row>
    <row r="11" spans="1:8" ht="15.75">
      <c r="A11" s="55" t="s">
        <v>10</v>
      </c>
      <c r="B11" s="56"/>
      <c r="C11" s="56"/>
      <c r="D11" s="56"/>
      <c r="E11" s="56"/>
      <c r="F11" s="56"/>
      <c r="G11" s="38">
        <f>G9-G10</f>
        <v>36000</v>
      </c>
    </row>
    <row r="14" spans="1:8">
      <c r="A14" t="s">
        <v>15</v>
      </c>
      <c r="C14" t="s">
        <v>33</v>
      </c>
      <c r="F14" t="s">
        <v>34</v>
      </c>
    </row>
    <row r="17" spans="7:7">
      <c r="G17" s="22"/>
    </row>
  </sheetData>
  <mergeCells count="7">
    <mergeCell ref="A11:F11"/>
    <mergeCell ref="A1:G1"/>
    <mergeCell ref="A2:G2"/>
    <mergeCell ref="A3:G3"/>
    <mergeCell ref="A4:E5"/>
    <mergeCell ref="A9:F9"/>
    <mergeCell ref="A10:F10"/>
  </mergeCells>
  <pageMargins left="0.16" right="0.42" top="0.83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K16"/>
  <sheetViews>
    <sheetView workbookViewId="0">
      <selection activeCell="A4" sqref="A4"/>
    </sheetView>
  </sheetViews>
  <sheetFormatPr defaultRowHeight="15"/>
  <cols>
    <col min="1" max="2" width="14.28515625" customWidth="1"/>
    <col min="3" max="3" width="12.85546875" customWidth="1"/>
    <col min="4" max="4" width="22.42578125" customWidth="1"/>
    <col min="5" max="5" width="11.85546875" customWidth="1"/>
    <col min="6" max="6" width="13.85546875" customWidth="1"/>
    <col min="7" max="7" width="12" customWidth="1"/>
    <col min="8" max="8" width="13" customWidth="1"/>
    <col min="10" max="10" width="11.28515625" customWidth="1"/>
  </cols>
  <sheetData>
    <row r="1" spans="1:11" s="1" customFormat="1" ht="15.7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s="1" customFormat="1" ht="15.75">
      <c r="A2" s="57" t="s">
        <v>13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s="1" customFormat="1" ht="15.75">
      <c r="A3" s="58" t="s">
        <v>16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s="1" customFormat="1" ht="15.75">
      <c r="A4" s="21" t="s">
        <v>20</v>
      </c>
      <c r="B4" s="21"/>
      <c r="E4" s="2"/>
      <c r="F4" s="4"/>
      <c r="G4" s="23" t="s">
        <v>21</v>
      </c>
      <c r="H4" s="7"/>
      <c r="I4" s="6"/>
    </row>
    <row r="5" spans="1:11" s="1" customFormat="1" ht="19.5" customHeight="1">
      <c r="A5" s="1" t="s">
        <v>1</v>
      </c>
      <c r="E5" s="2"/>
      <c r="F5" s="5"/>
      <c r="G5" s="24" t="s">
        <v>22</v>
      </c>
      <c r="H5" s="8"/>
      <c r="I5" s="6"/>
    </row>
    <row r="6" spans="1:11" s="1" customFormat="1" ht="52.5" customHeight="1">
      <c r="A6" s="9" t="s">
        <v>3</v>
      </c>
      <c r="B6" s="31" t="s">
        <v>23</v>
      </c>
      <c r="C6" s="10" t="s">
        <v>4</v>
      </c>
      <c r="D6" s="11" t="s">
        <v>19</v>
      </c>
      <c r="E6" s="11" t="s">
        <v>18</v>
      </c>
      <c r="F6" s="10" t="s">
        <v>5</v>
      </c>
      <c r="G6" s="25" t="s">
        <v>6</v>
      </c>
      <c r="H6" s="10" t="s">
        <v>7</v>
      </c>
      <c r="I6" s="11" t="s">
        <v>8</v>
      </c>
      <c r="J6" s="12" t="s">
        <v>2</v>
      </c>
    </row>
    <row r="7" spans="1:11" s="1" customFormat="1" ht="15.75">
      <c r="A7" s="33">
        <v>40243</v>
      </c>
      <c r="B7" s="32"/>
      <c r="C7" s="26" t="s">
        <v>17</v>
      </c>
      <c r="D7" s="18"/>
      <c r="E7" s="19" t="s">
        <v>24</v>
      </c>
      <c r="F7" s="17">
        <v>1</v>
      </c>
      <c r="G7" s="16" t="s">
        <v>14</v>
      </c>
      <c r="H7" s="17">
        <v>17</v>
      </c>
      <c r="I7" s="34">
        <v>400</v>
      </c>
      <c r="J7" s="20">
        <f t="shared" ref="J7" si="0">I7*H7</f>
        <v>6800</v>
      </c>
      <c r="K7" s="21"/>
    </row>
    <row r="8" spans="1:11" s="1" customFormat="1" ht="15.75">
      <c r="A8" s="97" t="s">
        <v>2</v>
      </c>
      <c r="B8" s="98"/>
      <c r="C8" s="99"/>
      <c r="D8" s="99"/>
      <c r="E8" s="99"/>
      <c r="F8" s="27">
        <f>SUM(F7:F7)</f>
        <v>1</v>
      </c>
      <c r="G8" s="28"/>
      <c r="H8" s="27">
        <f>SUM(H7:H7)</f>
        <v>17</v>
      </c>
      <c r="I8" s="29"/>
      <c r="J8" s="30">
        <f>SUM(J7:J7)</f>
        <v>6800</v>
      </c>
    </row>
    <row r="9" spans="1:11" ht="15.75">
      <c r="A9" s="100" t="s">
        <v>9</v>
      </c>
      <c r="B9" s="101"/>
      <c r="C9" s="102"/>
      <c r="D9" s="102"/>
      <c r="E9" s="102"/>
      <c r="F9" s="3"/>
      <c r="G9" s="3"/>
      <c r="H9" s="13"/>
      <c r="I9" s="13"/>
      <c r="J9" s="14">
        <f>I9*H9</f>
        <v>0</v>
      </c>
    </row>
    <row r="10" spans="1:11" ht="15.75">
      <c r="A10" s="94" t="s">
        <v>10</v>
      </c>
      <c r="B10" s="95"/>
      <c r="C10" s="96"/>
      <c r="D10" s="96"/>
      <c r="E10" s="96"/>
      <c r="F10" s="96"/>
      <c r="G10" s="96"/>
      <c r="H10" s="96"/>
      <c r="I10" s="96"/>
      <c r="J10" s="15">
        <f>J8-J9</f>
        <v>6800</v>
      </c>
    </row>
    <row r="13" spans="1:11">
      <c r="A13" t="s">
        <v>15</v>
      </c>
      <c r="E13" t="s">
        <v>11</v>
      </c>
      <c r="H13" t="s">
        <v>12</v>
      </c>
    </row>
    <row r="16" spans="1:11">
      <c r="J16" s="22"/>
    </row>
  </sheetData>
  <sortState ref="A7:I17">
    <sortCondition ref="A7:A17"/>
  </sortState>
  <mergeCells count="6">
    <mergeCell ref="A10:I10"/>
    <mergeCell ref="A1:J1"/>
    <mergeCell ref="A2:J2"/>
    <mergeCell ref="A3:J3"/>
    <mergeCell ref="A8:E8"/>
    <mergeCell ref="A9:E9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3-06741 final (2)</vt:lpstr>
      <vt:lpstr>0617 </vt:lpstr>
      <vt:lpstr>external rented</vt:lpstr>
      <vt:lpstr>3-10917</vt:lpstr>
      <vt:lpstr>3-10917 Yekatit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2019-07-22T10:24:56Z</dcterms:modified>
</cp:coreProperties>
</file>