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20730" windowHeight="11760"/>
  </bookViews>
  <sheets>
    <sheet name="Cost Break Down" sheetId="2" r:id="rId1"/>
  </sheets>
  <definedNames>
    <definedName name="_xlnm.Print_Area" localSheetId="0">'Cost Break Down'!$A$1:$P$41</definedName>
    <definedName name="_xlnm.Print_Titles" localSheetId="0">'Cost Break Down'!$1:$4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2"/>
  <c r="N27" s="1"/>
  <c r="J27" l="1"/>
  <c r="P19"/>
  <c r="K19"/>
  <c r="F19"/>
  <c r="P18"/>
  <c r="K18"/>
  <c r="F18"/>
  <c r="P17"/>
  <c r="P25" s="1"/>
  <c r="K17"/>
  <c r="K25" s="1"/>
  <c r="F17"/>
  <c r="F25" s="1"/>
  <c r="E29" s="1"/>
  <c r="K29" l="1"/>
  <c r="P29"/>
  <c r="K33" l="1"/>
  <c r="K34" s="1"/>
  <c r="K36" s="1"/>
</calcChain>
</file>

<file path=xl/sharedStrings.xml><?xml version="1.0" encoding="utf-8"?>
<sst xmlns="http://schemas.openxmlformats.org/spreadsheetml/2006/main" count="65" uniqueCount="60">
  <si>
    <t>ASER CONSTRUCTION P.L.C</t>
  </si>
  <si>
    <t>Form</t>
  </si>
  <si>
    <t xml:space="preserve">Doc no              </t>
  </si>
  <si>
    <t>OF/EGD/001</t>
  </si>
  <si>
    <t>Out put per day</t>
  </si>
  <si>
    <t>Hr. per day</t>
  </si>
  <si>
    <t xml:space="preserve"> hr</t>
  </si>
  <si>
    <t>Performance Rate/Hr</t>
  </si>
  <si>
    <t>CONSULTANT:-</t>
  </si>
  <si>
    <t>CONTRACTOR:-</t>
  </si>
  <si>
    <t>ASER CONSTRUCTION PLC</t>
  </si>
  <si>
    <t>UNIT</t>
  </si>
  <si>
    <t>Unit</t>
  </si>
  <si>
    <t>Remark:</t>
  </si>
  <si>
    <t>Normal time</t>
  </si>
  <si>
    <t>MATERIAL COST (1.01)</t>
  </si>
  <si>
    <t>LABOUR COST (1.02)</t>
  </si>
  <si>
    <t>EQUIPEMENT COST (1.03)</t>
  </si>
  <si>
    <t>Type of Material</t>
  </si>
  <si>
    <t>Qty.*</t>
  </si>
  <si>
    <t>U.Price</t>
  </si>
  <si>
    <t>Additionl Cost**</t>
  </si>
  <si>
    <t>T.Cost</t>
  </si>
  <si>
    <t>Labor By Trade</t>
  </si>
  <si>
    <t>No</t>
  </si>
  <si>
    <t>UF</t>
  </si>
  <si>
    <t>Indexed wage/hr***</t>
  </si>
  <si>
    <t>Hourly Cost</t>
  </si>
  <si>
    <t>Type of Equ't</t>
  </si>
  <si>
    <t>Rental  /hr ****</t>
  </si>
  <si>
    <t>SubTotal (1.01)</t>
  </si>
  <si>
    <t>Total (1.02)</t>
  </si>
  <si>
    <t>Total (1.03)</t>
  </si>
  <si>
    <t>Total of (1.02)</t>
  </si>
  <si>
    <t>=</t>
  </si>
  <si>
    <t>Total of (1.03)</t>
  </si>
  <si>
    <t xml:space="preserve">  =</t>
  </si>
  <si>
    <t>Hourly Out Put</t>
  </si>
  <si>
    <t>A = Direct Material Unit Cost</t>
  </si>
  <si>
    <t>B = Direct Man Power Unit Cost</t>
  </si>
  <si>
    <t>C = Direct Equipment Unit Cost</t>
  </si>
  <si>
    <t>Direct Unit Cost=</t>
  </si>
  <si>
    <t xml:space="preserve">   A + B  +  C =</t>
  </si>
  <si>
    <t xml:space="preserve">Total Unit Rate before VAT = </t>
  </si>
  <si>
    <t>Birr/unit</t>
  </si>
  <si>
    <t>UF.Utilization factor</t>
  </si>
  <si>
    <t>*Inclusive of waste</t>
  </si>
  <si>
    <t>** Inclusive of transportation ,loading/unloading cost ,sieving and other costs</t>
  </si>
  <si>
    <t>*** Inclusive benefits,travel subsides and cost of overtime related targeted output</t>
  </si>
  <si>
    <t>**** rate includes rental rate,fuel and lubricants.</t>
  </si>
  <si>
    <t xml:space="preserve">Cost Break Down </t>
  </si>
  <si>
    <r>
      <t>m</t>
    </r>
    <r>
      <rPr>
        <i/>
        <vertAlign val="superscript"/>
        <sz val="11"/>
        <rFont val="Times New Roman"/>
        <family val="1"/>
      </rPr>
      <t>2</t>
    </r>
  </si>
  <si>
    <r>
      <t>m</t>
    </r>
    <r>
      <rPr>
        <i/>
        <vertAlign val="superscript"/>
        <sz val="11"/>
        <rFont val="Times New Roman"/>
        <family val="1"/>
      </rPr>
      <t>2</t>
    </r>
    <r>
      <rPr>
        <i/>
        <sz val="11"/>
        <rFont val="Times New Roman"/>
        <family val="1"/>
      </rPr>
      <t>/ hr</t>
    </r>
  </si>
  <si>
    <r>
      <t xml:space="preserve">Over Head &amp; Profit=         </t>
    </r>
    <r>
      <rPr>
        <i/>
        <sz val="11"/>
        <rFont val="Times New Roman"/>
        <family val="1"/>
      </rPr>
      <t xml:space="preserve">  35%(A+B+C)=</t>
    </r>
  </si>
  <si>
    <r>
      <rPr>
        <i/>
        <u/>
        <sz val="11"/>
        <rFont val="Times New Roman"/>
        <family val="1"/>
      </rPr>
      <t>Note</t>
    </r>
    <r>
      <rPr>
        <i/>
        <sz val="11"/>
        <rFont val="Times New Roman"/>
        <family val="1"/>
      </rPr>
      <t>:-</t>
    </r>
  </si>
  <si>
    <t>PROJECT:-</t>
  </si>
  <si>
    <t>LOCATION:-</t>
  </si>
  <si>
    <t>CLIENT:-</t>
  </si>
  <si>
    <t>ITEM OF WORK :-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</si>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</sst>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0"/>
      <color rgb="FFFF0000"/>
      <name val="Times New Roman"/>
      <family val="1"/>
    </font>
    <font>
      <i/>
      <vertAlign val="superscript"/>
      <sz val="11"/>
      <name val="Times New Roman"/>
      <family val="1"/>
    </font>
    <font>
      <b/>
      <i/>
      <sz val="10"/>
      <color indexed="20"/>
      <name val="Times New Roman"/>
      <family val="1"/>
    </font>
    <font>
      <b/>
      <i/>
      <sz val="9"/>
      <name val="Times New Roman"/>
      <family val="1"/>
    </font>
    <font>
      <b/>
      <i/>
      <sz val="10"/>
      <name val="Times New Roman"/>
      <family val="1"/>
    </font>
    <font>
      <b/>
      <i/>
      <u/>
      <sz val="10"/>
      <name val="Times New Roman"/>
      <family val="1"/>
    </font>
    <font>
      <i/>
      <sz val="11"/>
      <color theme="1"/>
      <name val="Times New Roman"/>
      <family val="1"/>
    </font>
    <font>
      <i/>
      <sz val="10"/>
      <color indexed="10"/>
      <name val="Times New Roman"/>
      <family val="1"/>
    </font>
    <font>
      <i/>
      <sz val="9"/>
      <name val="Times New Roman"/>
      <family val="1"/>
    </font>
    <font>
      <i/>
      <sz val="12"/>
      <name val="Times New Roman"/>
      <family val="1"/>
    </font>
    <font>
      <i/>
      <sz val="9"/>
      <color theme="1"/>
      <name val="Times New Roman"/>
      <family val="1"/>
    </font>
    <font>
      <i/>
      <sz val="10"/>
      <color indexed="12"/>
      <name val="Times New Roman"/>
      <family val="1"/>
    </font>
    <font>
      <i/>
      <sz val="10"/>
      <color indexed="14"/>
      <name val="Times New Roman"/>
      <family val="1"/>
    </font>
    <font>
      <i/>
      <u/>
      <sz val="10"/>
      <name val="Times New Roman"/>
      <family val="1"/>
    </font>
    <font>
      <i/>
      <sz val="10"/>
      <color indexed="37"/>
      <name val="Times New Roman"/>
      <family val="1"/>
    </font>
    <font>
      <i/>
      <u/>
      <sz val="11"/>
      <name val="Times New Roman"/>
      <family val="1"/>
    </font>
    <font>
      <b/>
      <i/>
      <u val="double"/>
      <sz val="10"/>
      <name val="Times New Roman"/>
      <family val="1"/>
    </font>
    <font>
      <i/>
      <sz val="10"/>
      <color theme="1"/>
      <name val="Times New Roman"/>
      <family val="1"/>
    </font>
    <font>
      <i/>
      <sz val="10"/>
      <color theme="0"/>
      <name val="Times New Roman"/>
      <family val="1"/>
    </font>
    <font>
      <b/>
      <i/>
      <u val="double"/>
      <sz val="9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43" fontId="4" fillId="0" borderId="0" xfId="1" applyFont="1"/>
    <xf numFmtId="43" fontId="0" fillId="0" borderId="0" xfId="1" applyFont="1"/>
    <xf numFmtId="43" fontId="5" fillId="0" borderId="0" xfId="1" applyFont="1" applyFill="1"/>
    <xf numFmtId="43" fontId="6" fillId="0" borderId="9" xfId="1" applyFont="1" applyFill="1" applyBorder="1" applyAlignment="1">
      <alignment horizontal="left"/>
    </xf>
    <xf numFmtId="43" fontId="5" fillId="0" borderId="9" xfId="1" applyFont="1" applyFill="1" applyBorder="1" applyAlignment="1">
      <alignment horizontal="center"/>
    </xf>
    <xf numFmtId="43" fontId="5" fillId="0" borderId="9" xfId="1" applyFont="1" applyFill="1" applyBorder="1"/>
    <xf numFmtId="43" fontId="5" fillId="0" borderId="0" xfId="1" applyFont="1" applyFill="1" applyAlignment="1">
      <alignment horizontal="center"/>
    </xf>
    <xf numFmtId="43" fontId="5" fillId="0" borderId="0" xfId="1" applyFont="1" applyFill="1" applyAlignment="1"/>
    <xf numFmtId="43" fontId="6" fillId="0" borderId="0" xfId="1" applyFont="1" applyFill="1" applyAlignment="1"/>
    <xf numFmtId="43" fontId="7" fillId="0" borderId="9" xfId="1" applyFont="1" applyFill="1" applyBorder="1" applyAlignment="1"/>
    <xf numFmtId="43" fontId="6" fillId="0" borderId="0" xfId="1" applyFont="1" applyFill="1" applyAlignment="1">
      <alignment horizontal="left"/>
    </xf>
    <xf numFmtId="43" fontId="9" fillId="0" borderId="10" xfId="1" applyFont="1" applyFill="1" applyBorder="1" applyAlignment="1"/>
    <xf numFmtId="43" fontId="5" fillId="0" borderId="10" xfId="1" applyFont="1" applyFill="1" applyBorder="1" applyAlignment="1">
      <alignment horizontal="left"/>
    </xf>
    <xf numFmtId="43" fontId="5" fillId="0" borderId="10" xfId="1" applyFont="1" applyFill="1" applyBorder="1" applyAlignment="1">
      <alignment horizontal="center"/>
    </xf>
    <xf numFmtId="43" fontId="5" fillId="0" borderId="10" xfId="1" applyFont="1" applyFill="1" applyBorder="1"/>
    <xf numFmtId="43" fontId="10" fillId="0" borderId="10" xfId="1" applyFont="1" applyFill="1" applyBorder="1" applyAlignment="1">
      <alignment horizontal="left"/>
    </xf>
    <xf numFmtId="43" fontId="5" fillId="0" borderId="10" xfId="1" applyFont="1" applyFill="1" applyBorder="1" applyAlignment="1">
      <alignment horizontal="right"/>
    </xf>
    <xf numFmtId="43" fontId="6" fillId="0" borderId="0" xfId="1" applyFont="1" applyFill="1" applyBorder="1" applyAlignment="1">
      <alignment horizontal="left"/>
    </xf>
    <xf numFmtId="43" fontId="5" fillId="0" borderId="0" xfId="1" applyFont="1" applyFill="1" applyBorder="1"/>
    <xf numFmtId="43" fontId="5" fillId="0" borderId="0" xfId="1" applyFont="1" applyFill="1" applyBorder="1" applyAlignment="1">
      <alignment horizontal="left"/>
    </xf>
    <xf numFmtId="43" fontId="5" fillId="0" borderId="0" xfId="1" applyFont="1" applyFill="1" applyBorder="1" applyAlignment="1">
      <alignment horizontal="center"/>
    </xf>
    <xf numFmtId="43" fontId="11" fillId="0" borderId="10" xfId="1" applyFont="1" applyFill="1" applyBorder="1" applyAlignment="1">
      <alignment horizontal="left"/>
    </xf>
    <xf numFmtId="43" fontId="11" fillId="0" borderId="0" xfId="1" applyFont="1" applyFill="1" applyBorder="1" applyAlignment="1">
      <alignment horizontal="right"/>
    </xf>
    <xf numFmtId="43" fontId="12" fillId="0" borderId="0" xfId="1" applyFont="1" applyFill="1" applyBorder="1"/>
    <xf numFmtId="43" fontId="11" fillId="0" borderId="0" xfId="1" applyFont="1" applyFill="1"/>
    <xf numFmtId="43" fontId="5" fillId="0" borderId="1" xfId="1" applyFont="1" applyFill="1" applyBorder="1" applyAlignment="1">
      <alignment horizontal="center"/>
    </xf>
    <xf numFmtId="43" fontId="5" fillId="0" borderId="2" xfId="1" applyFont="1" applyFill="1" applyBorder="1" applyAlignment="1">
      <alignment horizontal="center"/>
    </xf>
    <xf numFmtId="43" fontId="5" fillId="0" borderId="14" xfId="1" applyFont="1" applyFill="1" applyBorder="1" applyAlignment="1">
      <alignment horizontal="center" wrapText="1"/>
    </xf>
    <xf numFmtId="43" fontId="5" fillId="0" borderId="3" xfId="1" applyFont="1" applyFill="1" applyBorder="1" applyAlignment="1">
      <alignment horizontal="center"/>
    </xf>
    <xf numFmtId="43" fontId="5" fillId="0" borderId="2" xfId="1" applyFont="1" applyFill="1" applyBorder="1" applyAlignment="1">
      <alignment horizontal="center" wrapText="1"/>
    </xf>
    <xf numFmtId="43" fontId="5" fillId="0" borderId="3" xfId="1" applyFont="1" applyFill="1" applyBorder="1" applyAlignment="1">
      <alignment horizontal="center" wrapText="1"/>
    </xf>
    <xf numFmtId="43" fontId="13" fillId="0" borderId="15" xfId="1" applyFont="1" applyFill="1" applyBorder="1" applyAlignment="1"/>
    <xf numFmtId="43" fontId="5" fillId="0" borderId="16" xfId="1" applyFont="1" applyFill="1" applyBorder="1" applyAlignment="1">
      <alignment horizontal="center"/>
    </xf>
    <xf numFmtId="43" fontId="5" fillId="0" borderId="17" xfId="1" applyFont="1" applyFill="1" applyBorder="1" applyAlignment="1">
      <alignment horizontal="center"/>
    </xf>
    <xf numFmtId="43" fontId="14" fillId="0" borderId="18" xfId="1" applyFont="1" applyFill="1" applyBorder="1" applyAlignment="1">
      <alignment horizontal="center"/>
    </xf>
    <xf numFmtId="43" fontId="13" fillId="0" borderId="15" xfId="1" applyFont="1" applyFill="1" applyBorder="1" applyAlignment="1">
      <alignment horizontal="left"/>
    </xf>
    <xf numFmtId="43" fontId="5" fillId="0" borderId="19" xfId="1" applyFont="1" applyFill="1" applyBorder="1" applyAlignment="1">
      <alignment horizontal="center"/>
    </xf>
    <xf numFmtId="43" fontId="13" fillId="0" borderId="19" xfId="1" applyFont="1" applyFill="1" applyBorder="1" applyAlignment="1">
      <alignment horizontal="center"/>
    </xf>
    <xf numFmtId="43" fontId="14" fillId="0" borderId="20" xfId="1" applyFont="1" applyFill="1" applyBorder="1" applyAlignment="1">
      <alignment horizontal="center"/>
    </xf>
    <xf numFmtId="43" fontId="13" fillId="0" borderId="21" xfId="1" applyFont="1" applyFill="1" applyBorder="1" applyAlignment="1">
      <alignment horizontal="left"/>
    </xf>
    <xf numFmtId="43" fontId="5" fillId="0" borderId="22" xfId="1" applyFont="1" applyFill="1" applyBorder="1" applyAlignment="1">
      <alignment horizontal="center"/>
    </xf>
    <xf numFmtId="43" fontId="14" fillId="0" borderId="23" xfId="1" applyFont="1" applyFill="1" applyBorder="1" applyAlignment="1">
      <alignment horizontal="center"/>
    </xf>
    <xf numFmtId="43" fontId="5" fillId="0" borderId="15" xfId="1" applyFont="1" applyFill="1" applyBorder="1"/>
    <xf numFmtId="43" fontId="13" fillId="0" borderId="19" xfId="1" applyFont="1" applyFill="1" applyBorder="1" applyAlignment="1"/>
    <xf numFmtId="43" fontId="6" fillId="0" borderId="15" xfId="1" applyFont="1" applyFill="1" applyBorder="1" applyAlignment="1"/>
    <xf numFmtId="43" fontId="15" fillId="0" borderId="19" xfId="1" applyFont="1" applyFill="1" applyBorder="1" applyAlignment="1">
      <alignment horizontal="center"/>
    </xf>
    <xf numFmtId="43" fontId="5" fillId="0" borderId="23" xfId="1" applyFont="1" applyFill="1" applyBorder="1" applyAlignment="1">
      <alignment horizontal="center"/>
    </xf>
    <xf numFmtId="43" fontId="16" fillId="0" borderId="15" xfId="1" applyFont="1" applyFill="1" applyBorder="1" applyAlignment="1">
      <alignment horizontal="left" vertical="center" wrapText="1"/>
    </xf>
    <xf numFmtId="43" fontId="17" fillId="0" borderId="19" xfId="1" applyFont="1" applyFill="1" applyBorder="1" applyAlignment="1">
      <alignment horizontal="center"/>
    </xf>
    <xf numFmtId="43" fontId="5" fillId="0" borderId="24" xfId="1" applyFont="1" applyFill="1" applyBorder="1"/>
    <xf numFmtId="43" fontId="5" fillId="0" borderId="18" xfId="1" applyFont="1" applyFill="1" applyBorder="1" applyAlignment="1">
      <alignment horizontal="center"/>
    </xf>
    <xf numFmtId="43" fontId="14" fillId="0" borderId="25" xfId="1" applyFont="1" applyFill="1" applyBorder="1" applyAlignment="1">
      <alignment horizontal="center"/>
    </xf>
    <xf numFmtId="43" fontId="5" fillId="0" borderId="26" xfId="1" applyFont="1" applyFill="1" applyBorder="1"/>
    <xf numFmtId="43" fontId="5" fillId="0" borderId="27" xfId="1" applyFont="1" applyFill="1" applyBorder="1" applyAlignment="1">
      <alignment horizontal="center"/>
    </xf>
    <xf numFmtId="43" fontId="5" fillId="0" borderId="11" xfId="1" applyFont="1" applyFill="1" applyBorder="1" applyAlignment="1">
      <alignment horizontal="centerContinuous"/>
    </xf>
    <xf numFmtId="43" fontId="5" fillId="0" borderId="12" xfId="1" applyFont="1" applyFill="1" applyBorder="1" applyAlignment="1">
      <alignment horizontal="center"/>
    </xf>
    <xf numFmtId="43" fontId="18" fillId="0" borderId="28" xfId="1" applyFont="1" applyFill="1" applyBorder="1" applyAlignment="1">
      <alignment horizontal="center"/>
    </xf>
    <xf numFmtId="43" fontId="19" fillId="0" borderId="9" xfId="1" applyFont="1" applyFill="1" applyBorder="1" applyAlignment="1">
      <alignment horizontal="center"/>
    </xf>
    <xf numFmtId="43" fontId="20" fillId="0" borderId="0" xfId="1" applyFont="1" applyFill="1"/>
    <xf numFmtId="43" fontId="5" fillId="0" borderId="0" xfId="1" applyFont="1" applyFill="1" applyAlignment="1">
      <alignment horizontal="center"/>
    </xf>
    <xf numFmtId="43" fontId="6" fillId="0" borderId="0" xfId="1" applyFont="1" applyFill="1" applyAlignment="1">
      <alignment horizontal="center"/>
    </xf>
    <xf numFmtId="43" fontId="5" fillId="0" borderId="0" xfId="1" applyFont="1" applyFill="1" applyAlignment="1">
      <alignment horizontal="left"/>
    </xf>
    <xf numFmtId="43" fontId="15" fillId="0" borderId="0" xfId="1" applyFont="1" applyFill="1" applyAlignment="1"/>
    <xf numFmtId="43" fontId="6" fillId="0" borderId="0" xfId="1" applyFont="1" applyFill="1"/>
    <xf numFmtId="43" fontId="11" fillId="0" borderId="0" xfId="1" applyFont="1" applyFill="1" applyAlignment="1">
      <alignment horizontal="left"/>
    </xf>
    <xf numFmtId="43" fontId="21" fillId="0" borderId="0" xfId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43" fontId="5" fillId="0" borderId="0" xfId="1" applyFont="1" applyFill="1" applyAlignment="1">
      <alignment horizontal="center"/>
    </xf>
    <xf numFmtId="43" fontId="5" fillId="0" borderId="0" xfId="1" applyFont="1" applyFill="1" applyAlignment="1">
      <alignment horizontal="left" indent="1"/>
    </xf>
    <xf numFmtId="43" fontId="23" fillId="0" borderId="0" xfId="1" applyFont="1" applyFill="1" applyAlignment="1">
      <alignment horizontal="center"/>
    </xf>
    <xf numFmtId="43" fontId="5" fillId="0" borderId="0" xfId="1" applyFont="1" applyFill="1" applyAlignment="1">
      <alignment horizontal="right"/>
    </xf>
    <xf numFmtId="43" fontId="24" fillId="0" borderId="0" xfId="1" applyFont="1" applyFill="1"/>
    <xf numFmtId="43" fontId="25" fillId="0" borderId="10" xfId="1" applyFont="1" applyFill="1" applyBorder="1" applyAlignment="1"/>
    <xf numFmtId="43" fontId="25" fillId="0" borderId="9" xfId="1" applyFont="1" applyFill="1" applyBorder="1" applyAlignment="1">
      <alignment horizontal="center"/>
    </xf>
    <xf numFmtId="43" fontId="25" fillId="0" borderId="29" xfId="1" applyFont="1" applyFill="1" applyBorder="1" applyAlignment="1">
      <alignment horizontal="center"/>
    </xf>
    <xf numFmtId="43" fontId="25" fillId="0" borderId="12" xfId="1" applyFont="1" applyFill="1" applyBorder="1" applyAlignment="1">
      <alignment horizontal="center"/>
    </xf>
    <xf numFmtId="43" fontId="25" fillId="0" borderId="0" xfId="1" applyFont="1" applyFill="1" applyBorder="1" applyAlignment="1">
      <alignment horizontal="center"/>
    </xf>
    <xf numFmtId="43" fontId="26" fillId="0" borderId="0" xfId="1" applyFont="1" applyFill="1" applyAlignment="1">
      <alignment horizontal="center"/>
    </xf>
    <xf numFmtId="43" fontId="5" fillId="0" borderId="0" xfId="1" quotePrefix="1" applyFont="1" applyFill="1" applyBorder="1" applyAlignment="1">
      <alignment horizontal="center" vertical="center"/>
    </xf>
    <xf numFmtId="43" fontId="25" fillId="0" borderId="0" xfId="1" applyFont="1" applyFill="1" applyBorder="1" applyAlignment="1">
      <alignment horizontal="center" vertical="center"/>
    </xf>
    <xf numFmtId="43" fontId="5" fillId="0" borderId="0" xfId="1" applyFont="1" applyFill="1" applyAlignment="1">
      <alignment horizontal="center" vertical="center"/>
    </xf>
    <xf numFmtId="43" fontId="25" fillId="0" borderId="0" xfId="1" applyFont="1" applyFill="1" applyAlignment="1">
      <alignment horizontal="center" vertical="center"/>
    </xf>
    <xf numFmtId="43" fontId="5" fillId="0" borderId="0" xfId="1" applyFont="1" applyFill="1" applyAlignment="1">
      <alignment horizontal="center"/>
    </xf>
    <xf numFmtId="43" fontId="5" fillId="0" borderId="0" xfId="1" applyFont="1" applyFill="1" applyBorder="1" applyAlignment="1">
      <alignment horizontal="center"/>
    </xf>
    <xf numFmtId="43" fontId="5" fillId="0" borderId="11" xfId="1" applyFont="1" applyFill="1" applyBorder="1" applyAlignment="1">
      <alignment horizontal="center"/>
    </xf>
    <xf numFmtId="43" fontId="5" fillId="0" borderId="12" xfId="1" applyFont="1" applyFill="1" applyBorder="1" applyAlignment="1">
      <alignment horizontal="center"/>
    </xf>
    <xf numFmtId="43" fontId="5" fillId="0" borderId="13" xfId="1" applyFont="1" applyFill="1" applyBorder="1" applyAlignment="1">
      <alignment horizontal="center"/>
    </xf>
    <xf numFmtId="43" fontId="2" fillId="0" borderId="1" xfId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43" fontId="2" fillId="0" borderId="5" xfId="1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 vertical="center"/>
    </xf>
    <xf numFmtId="43" fontId="4" fillId="0" borderId="4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43" fontId="4" fillId="0" borderId="7" xfId="1" applyFont="1" applyBorder="1" applyAlignment="1">
      <alignment horizontal="center"/>
    </xf>
    <xf numFmtId="43" fontId="4" fillId="0" borderId="8" xfId="1" applyFont="1" applyBorder="1" applyAlignment="1">
      <alignment horizontal="center"/>
    </xf>
    <xf numFmtId="43" fontId="2" fillId="0" borderId="8" xfId="1" applyFont="1" applyBorder="1" applyAlignment="1">
      <alignment horizontal="center" vertical="center" wrapText="1"/>
    </xf>
    <xf numFmtId="165" fontId="3" fillId="0" borderId="30" xfId="1" applyNumberFormat="1" applyFont="1" applyBorder="1" applyAlignment="1">
      <alignment horizontal="center" vertical="center"/>
    </xf>
    <xf numFmtId="165" fontId="3" fillId="0" borderId="31" xfId="1" applyNumberFormat="1" applyFont="1" applyBorder="1" applyAlignment="1">
      <alignment horizontal="center" vertical="center"/>
    </xf>
    <xf numFmtId="165" fontId="3" fillId="0" borderId="32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view="pageBreakPreview" zoomScaleNormal="100" zoomScaleSheetLayoutView="100" workbookViewId="0">
      <selection activeCell="L19" sqref="L19"/>
    </sheetView>
  </sheetViews>
  <sheetFormatPr defaultRowHeight="15"/>
  <cols>
    <col min="1" max="1" width="16.140625" style="2" customWidth="1"/>
    <col min="2" max="2" width="7.85546875" style="2" customWidth="1"/>
    <col min="3" max="3" width="8.140625" style="2" customWidth="1"/>
    <col min="4" max="4" width="9.140625" style="2"/>
    <col min="5" max="5" width="8.5703125" style="2" customWidth="1"/>
    <col min="6" max="6" width="9.140625" style="2"/>
    <col min="7" max="7" width="14.7109375" style="2" customWidth="1"/>
    <col min="8" max="8" width="5.28515625" style="2" customWidth="1"/>
    <col min="9" max="9" width="6" style="2" customWidth="1"/>
    <col min="10" max="10" width="7.85546875" style="2" customWidth="1"/>
    <col min="11" max="11" width="9.140625" style="2"/>
    <col min="12" max="12" width="14.42578125" style="2" customWidth="1"/>
    <col min="13" max="13" width="4.28515625" style="2" customWidth="1"/>
    <col min="14" max="14" width="4.140625" style="2" customWidth="1"/>
    <col min="15" max="15" width="8.85546875" style="2" customWidth="1"/>
    <col min="16" max="16" width="9.85546875" style="2" customWidth="1"/>
    <col min="17" max="16384" width="9.140625" style="2"/>
  </cols>
  <sheetData>
    <row r="1" spans="1:17" s="1" customFormat="1" ht="15" customHeight="1">
      <c r="A1" s="88" t="s">
        <v>0</v>
      </c>
      <c r="B1" s="89"/>
      <c r="C1" s="89"/>
      <c r="D1" s="89" t="s">
        <v>1</v>
      </c>
      <c r="E1" s="89"/>
      <c r="F1" s="89"/>
      <c r="G1" s="89"/>
      <c r="H1" s="89"/>
      <c r="I1" s="89"/>
      <c r="J1" s="89"/>
      <c r="K1" s="89"/>
      <c r="L1" s="89"/>
      <c r="M1" s="89"/>
      <c r="N1" s="92" t="s">
        <v>2</v>
      </c>
      <c r="O1" s="92"/>
      <c r="P1" s="93"/>
    </row>
    <row r="2" spans="1:17" s="1" customFormat="1" ht="15" customHeight="1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4" t="s">
        <v>3</v>
      </c>
      <c r="O2" s="94"/>
      <c r="P2" s="95"/>
    </row>
    <row r="3" spans="1:17" s="1" customFormat="1" ht="15" customHeight="1">
      <c r="A3" s="96"/>
      <c r="B3" s="97"/>
      <c r="C3" s="97"/>
      <c r="D3" s="91" t="s">
        <v>50</v>
      </c>
      <c r="E3" s="91"/>
      <c r="F3" s="91"/>
      <c r="G3" s="91"/>
      <c r="H3" s="91"/>
      <c r="I3" s="91"/>
      <c r="J3" s="91"/>
      <c r="K3" s="91"/>
      <c r="L3" s="91"/>
      <c r="M3" s="91"/>
      <c r="N3" s="94" t="s">
        <v>59</v>
      </c>
      <c r="O3" s="94"/>
      <c r="P3" s="95"/>
    </row>
    <row r="4" spans="1:17" s="1" customFormat="1" ht="15.75" customHeight="1" thickBot="1">
      <c r="A4" s="98"/>
      <c r="B4" s="99"/>
      <c r="C4" s="99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>
        <v>1</v>
      </c>
      <c r="O4" s="102"/>
      <c r="P4" s="103"/>
    </row>
    <row r="5" spans="1:17" s="1" customFormat="1"/>
    <row r="6" spans="1:17" s="3" customFormat="1" ht="18">
      <c r="A6" s="3" t="s">
        <v>55</v>
      </c>
      <c r="B6" s="4"/>
      <c r="C6" s="5"/>
      <c r="D6" s="5"/>
      <c r="E6" s="5"/>
      <c r="F6" s="5"/>
      <c r="G6" s="6"/>
      <c r="H6" s="7"/>
      <c r="I6" s="7"/>
      <c r="J6" s="8"/>
      <c r="L6" s="9" t="s">
        <v>4</v>
      </c>
      <c r="O6" s="10">
        <v>0</v>
      </c>
      <c r="P6" s="11" t="s">
        <v>51</v>
      </c>
    </row>
    <row r="7" spans="1:17" s="3" customFormat="1">
      <c r="A7" s="3" t="s">
        <v>56</v>
      </c>
      <c r="B7" s="4"/>
      <c r="C7" s="5"/>
      <c r="D7" s="5"/>
      <c r="E7" s="5"/>
      <c r="F7" s="5"/>
      <c r="G7" s="6"/>
      <c r="H7" s="7"/>
      <c r="I7" s="7"/>
      <c r="J7" s="8"/>
      <c r="L7" s="8" t="s">
        <v>5</v>
      </c>
      <c r="O7" s="73">
        <v>8</v>
      </c>
      <c r="P7" s="11" t="s">
        <v>6</v>
      </c>
    </row>
    <row r="8" spans="1:17" s="3" customFormat="1" ht="18">
      <c r="A8" s="3" t="s">
        <v>57</v>
      </c>
      <c r="B8" s="4"/>
      <c r="C8" s="5"/>
      <c r="D8" s="5"/>
      <c r="E8" s="5"/>
      <c r="F8" s="5"/>
      <c r="G8" s="6"/>
      <c r="H8" s="7"/>
      <c r="I8" s="7"/>
      <c r="J8" s="8"/>
      <c r="L8" s="9" t="s">
        <v>7</v>
      </c>
      <c r="O8" s="12">
        <f>O6/O7</f>
        <v>0</v>
      </c>
      <c r="P8" s="11" t="s">
        <v>52</v>
      </c>
    </row>
    <row r="9" spans="1:17" s="3" customFormat="1">
      <c r="A9" s="3" t="s">
        <v>8</v>
      </c>
      <c r="B9" s="4"/>
      <c r="C9" s="5"/>
      <c r="D9" s="5"/>
      <c r="E9" s="5"/>
      <c r="F9" s="5"/>
      <c r="G9" s="6"/>
      <c r="H9" s="7"/>
      <c r="I9" s="7"/>
      <c r="J9" s="7"/>
      <c r="P9" s="7"/>
    </row>
    <row r="10" spans="1:17" s="3" customFormat="1">
      <c r="A10" s="3" t="s">
        <v>9</v>
      </c>
      <c r="B10" s="4" t="s">
        <v>10</v>
      </c>
      <c r="C10" s="13"/>
      <c r="D10" s="14"/>
      <c r="E10" s="14"/>
      <c r="F10" s="14"/>
      <c r="G10" s="15"/>
      <c r="H10" s="7"/>
      <c r="I10" s="7"/>
      <c r="J10" s="7"/>
      <c r="K10" s="7"/>
      <c r="M10" s="7"/>
      <c r="N10" s="7"/>
      <c r="O10" s="7"/>
      <c r="P10" s="7"/>
    </row>
    <row r="11" spans="1:17" s="3" customFormat="1">
      <c r="A11" s="3" t="s">
        <v>58</v>
      </c>
      <c r="B11" s="5"/>
      <c r="C11" s="16"/>
      <c r="D11" s="14"/>
      <c r="E11" s="14"/>
      <c r="F11" s="17"/>
      <c r="G11" s="6"/>
      <c r="H11" s="7"/>
      <c r="I11" s="7"/>
      <c r="J11" s="7"/>
      <c r="K11" s="18"/>
      <c r="L11" s="19"/>
      <c r="M11" s="84"/>
      <c r="N11" s="84"/>
      <c r="O11" s="20"/>
      <c r="P11" s="21"/>
    </row>
    <row r="12" spans="1:17" s="3" customFormat="1">
      <c r="B12" s="14"/>
      <c r="C12" s="22"/>
      <c r="D12" s="14"/>
      <c r="E12" s="14"/>
      <c r="F12" s="17"/>
      <c r="G12" s="15"/>
      <c r="H12" s="7"/>
      <c r="I12" s="7"/>
      <c r="J12" s="7"/>
      <c r="K12" s="18"/>
      <c r="L12" s="19"/>
      <c r="M12" s="84"/>
      <c r="N12" s="84"/>
      <c r="O12" s="20"/>
      <c r="P12" s="21"/>
    </row>
    <row r="13" spans="1:17" s="3" customFormat="1" ht="13.5">
      <c r="A13" s="3" t="s">
        <v>11</v>
      </c>
      <c r="B13" s="5" t="s">
        <v>12</v>
      </c>
      <c r="C13" s="20"/>
      <c r="D13" s="21"/>
      <c r="E13" s="21"/>
      <c r="F13" s="23" t="s">
        <v>13</v>
      </c>
      <c r="G13" s="24" t="s">
        <v>14</v>
      </c>
      <c r="H13" s="7"/>
      <c r="I13" s="7"/>
      <c r="J13" s="7"/>
      <c r="K13" s="21"/>
      <c r="L13" s="19"/>
      <c r="M13" s="21"/>
      <c r="N13" s="21"/>
      <c r="O13" s="21"/>
      <c r="P13" s="21"/>
    </row>
    <row r="14" spans="1:17" s="3" customFormat="1" ht="14.25" thickBot="1">
      <c r="B14" s="7"/>
      <c r="C14" s="7"/>
      <c r="D14" s="7"/>
      <c r="E14" s="7"/>
      <c r="F14" s="7"/>
      <c r="G14" s="25"/>
      <c r="H14" s="7"/>
      <c r="I14" s="7"/>
      <c r="J14" s="7"/>
      <c r="K14" s="7"/>
      <c r="M14" s="7"/>
      <c r="N14" s="7"/>
      <c r="O14" s="7"/>
      <c r="P14" s="7"/>
    </row>
    <row r="15" spans="1:17" s="3" customFormat="1" ht="13.5" thickBot="1">
      <c r="A15" s="85" t="s">
        <v>15</v>
      </c>
      <c r="B15" s="86"/>
      <c r="C15" s="86"/>
      <c r="D15" s="86"/>
      <c r="E15" s="86"/>
      <c r="F15" s="87"/>
      <c r="G15" s="85" t="s">
        <v>16</v>
      </c>
      <c r="H15" s="86"/>
      <c r="I15" s="86"/>
      <c r="J15" s="86"/>
      <c r="K15" s="87"/>
      <c r="L15" s="85" t="s">
        <v>17</v>
      </c>
      <c r="M15" s="86"/>
      <c r="N15" s="86"/>
      <c r="O15" s="86"/>
      <c r="P15" s="87"/>
    </row>
    <row r="16" spans="1:17" s="3" customFormat="1" ht="38.25">
      <c r="A16" s="26" t="s">
        <v>18</v>
      </c>
      <c r="B16" s="27" t="s">
        <v>12</v>
      </c>
      <c r="C16" s="27" t="s">
        <v>19</v>
      </c>
      <c r="D16" s="27" t="s">
        <v>20</v>
      </c>
      <c r="E16" s="28" t="s">
        <v>21</v>
      </c>
      <c r="F16" s="29" t="s">
        <v>22</v>
      </c>
      <c r="G16" s="26" t="s">
        <v>23</v>
      </c>
      <c r="H16" s="27" t="s">
        <v>24</v>
      </c>
      <c r="I16" s="27" t="s">
        <v>25</v>
      </c>
      <c r="J16" s="30" t="s">
        <v>26</v>
      </c>
      <c r="K16" s="30" t="s">
        <v>27</v>
      </c>
      <c r="L16" s="26" t="s">
        <v>28</v>
      </c>
      <c r="M16" s="27" t="s">
        <v>24</v>
      </c>
      <c r="N16" s="27" t="s">
        <v>25</v>
      </c>
      <c r="O16" s="30" t="s">
        <v>29</v>
      </c>
      <c r="P16" s="31" t="s">
        <v>27</v>
      </c>
      <c r="Q16" s="19"/>
    </row>
    <row r="17" spans="1:16" s="3" customFormat="1">
      <c r="A17" s="32"/>
      <c r="B17" s="33"/>
      <c r="C17" s="33"/>
      <c r="D17" s="34"/>
      <c r="E17" s="34"/>
      <c r="F17" s="35">
        <f>C17*(D17+E17)</f>
        <v>0</v>
      </c>
      <c r="G17" s="36"/>
      <c r="H17" s="37"/>
      <c r="I17" s="37"/>
      <c r="J17" s="38"/>
      <c r="K17" s="39">
        <f>(H17*I17*J17)</f>
        <v>0</v>
      </c>
      <c r="L17" s="40"/>
      <c r="M17" s="41"/>
      <c r="N17" s="41"/>
      <c r="O17" s="41"/>
      <c r="P17" s="39">
        <f>M17*N17*O17</f>
        <v>0</v>
      </c>
    </row>
    <row r="18" spans="1:16" s="3" customFormat="1">
      <c r="A18" s="32"/>
      <c r="B18" s="37"/>
      <c r="C18" s="37"/>
      <c r="D18" s="37"/>
      <c r="E18" s="37"/>
      <c r="F18" s="42">
        <f t="shared" ref="F18:F19" si="0">C18*(D18+E18)</f>
        <v>0</v>
      </c>
      <c r="G18" s="36"/>
      <c r="H18" s="37"/>
      <c r="I18" s="37"/>
      <c r="J18" s="38"/>
      <c r="K18" s="39">
        <f>(H18*I18*J18)</f>
        <v>0</v>
      </c>
      <c r="L18" s="36"/>
      <c r="M18" s="37"/>
      <c r="N18" s="37"/>
      <c r="O18" s="37"/>
      <c r="P18" s="39">
        <f t="shared" ref="P18:P19" si="1">M18*N18*O18</f>
        <v>0</v>
      </c>
    </row>
    <row r="19" spans="1:16" s="3" customFormat="1">
      <c r="A19" s="32"/>
      <c r="B19" s="37"/>
      <c r="C19" s="37"/>
      <c r="D19" s="37"/>
      <c r="E19" s="37"/>
      <c r="F19" s="42">
        <f t="shared" si="0"/>
        <v>0</v>
      </c>
      <c r="G19" s="36"/>
      <c r="H19" s="37"/>
      <c r="I19" s="37"/>
      <c r="J19" s="38"/>
      <c r="K19" s="39">
        <f>(H19*I19*J19)</f>
        <v>0</v>
      </c>
      <c r="L19" s="43"/>
      <c r="M19" s="37"/>
      <c r="N19" s="37"/>
      <c r="O19" s="37"/>
      <c r="P19" s="39">
        <f t="shared" si="1"/>
        <v>0</v>
      </c>
    </row>
    <row r="20" spans="1:16" s="3" customFormat="1">
      <c r="A20" s="44"/>
      <c r="B20" s="37"/>
      <c r="C20" s="37"/>
      <c r="D20" s="37"/>
      <c r="E20" s="37"/>
      <c r="F20" s="42"/>
      <c r="G20" s="36"/>
      <c r="H20" s="37"/>
      <c r="I20" s="37"/>
      <c r="J20" s="38"/>
      <c r="K20" s="39"/>
      <c r="L20" s="43"/>
      <c r="M20" s="37"/>
      <c r="N20" s="37"/>
      <c r="O20" s="37"/>
      <c r="P20" s="39"/>
    </row>
    <row r="21" spans="1:16" s="3" customFormat="1">
      <c r="A21" s="45"/>
      <c r="B21" s="37"/>
      <c r="C21" s="46"/>
      <c r="D21" s="46"/>
      <c r="E21" s="47"/>
      <c r="F21" s="42"/>
      <c r="G21" s="36"/>
      <c r="H21" s="37"/>
      <c r="I21" s="37"/>
      <c r="J21" s="38"/>
      <c r="K21" s="39"/>
      <c r="L21" s="43"/>
      <c r="M21" s="37"/>
      <c r="N21" s="37"/>
      <c r="O21" s="37"/>
      <c r="P21" s="39"/>
    </row>
    <row r="22" spans="1:16" s="3" customFormat="1" ht="15.75">
      <c r="A22" s="48"/>
      <c r="B22" s="37"/>
      <c r="C22" s="46"/>
      <c r="D22" s="46"/>
      <c r="E22" s="47"/>
      <c r="F22" s="42"/>
      <c r="G22" s="36"/>
      <c r="H22" s="49"/>
      <c r="I22" s="37"/>
      <c r="J22" s="38"/>
      <c r="K22" s="39"/>
      <c r="L22" s="43"/>
      <c r="M22" s="37"/>
      <c r="N22" s="37"/>
      <c r="O22" s="37"/>
      <c r="P22" s="39"/>
    </row>
    <row r="23" spans="1:16" s="3" customFormat="1">
      <c r="A23" s="43"/>
      <c r="B23" s="37"/>
      <c r="C23" s="46"/>
      <c r="D23" s="46"/>
      <c r="E23" s="47"/>
      <c r="F23" s="42"/>
      <c r="G23" s="36"/>
      <c r="H23" s="49"/>
      <c r="I23" s="37"/>
      <c r="J23" s="38"/>
      <c r="K23" s="39"/>
      <c r="L23" s="43"/>
      <c r="M23" s="37"/>
      <c r="N23" s="37"/>
      <c r="O23" s="37"/>
      <c r="P23" s="39"/>
    </row>
    <row r="24" spans="1:16" s="3" customFormat="1" ht="13.5" thickBot="1">
      <c r="A24" s="50"/>
      <c r="B24" s="41"/>
      <c r="C24" s="41"/>
      <c r="D24" s="41"/>
      <c r="E24" s="51"/>
      <c r="F24" s="52"/>
      <c r="G24" s="53"/>
      <c r="H24" s="54"/>
      <c r="I24" s="54"/>
      <c r="J24" s="54"/>
      <c r="K24" s="52"/>
      <c r="L24" s="53"/>
      <c r="M24" s="54"/>
      <c r="N24" s="54"/>
      <c r="O24" s="54"/>
      <c r="P24" s="52"/>
    </row>
    <row r="25" spans="1:16" s="3" customFormat="1" ht="13.5" thickBot="1">
      <c r="A25" s="55" t="s">
        <v>30</v>
      </c>
      <c r="B25" s="56"/>
      <c r="C25" s="56"/>
      <c r="D25" s="56"/>
      <c r="E25" s="56"/>
      <c r="F25" s="57">
        <f>SUM(F17:F24)</f>
        <v>0</v>
      </c>
      <c r="G25" s="55" t="s">
        <v>31</v>
      </c>
      <c r="H25" s="56"/>
      <c r="I25" s="56"/>
      <c r="J25" s="56"/>
      <c r="K25" s="57">
        <f>SUM(K17:K24)</f>
        <v>0</v>
      </c>
      <c r="L25" s="55" t="s">
        <v>32</v>
      </c>
      <c r="M25" s="56"/>
      <c r="N25" s="56"/>
      <c r="O25" s="56"/>
      <c r="P25" s="57">
        <f>SUM(P17:P24)</f>
        <v>0</v>
      </c>
    </row>
    <row r="26" spans="1:16" s="3" customFormat="1" ht="12.75">
      <c r="A26" s="19"/>
      <c r="B26" s="21"/>
      <c r="C26" s="21"/>
      <c r="D26" s="21"/>
      <c r="E26" s="21"/>
      <c r="F26" s="21"/>
      <c r="G26" s="19"/>
      <c r="H26" s="21"/>
      <c r="I26" s="21"/>
      <c r="J26" s="21"/>
      <c r="K26" s="21"/>
      <c r="L26" s="19"/>
      <c r="M26" s="7"/>
      <c r="N26" s="7"/>
      <c r="O26" s="7"/>
      <c r="P26" s="7"/>
    </row>
    <row r="27" spans="1:16" s="3" customFormat="1" ht="12.75">
      <c r="A27" s="19"/>
      <c r="B27" s="21"/>
      <c r="C27" s="21"/>
      <c r="D27" s="21"/>
      <c r="E27" s="21"/>
      <c r="F27" s="21"/>
      <c r="G27" s="6" t="s">
        <v>33</v>
      </c>
      <c r="H27" s="21"/>
      <c r="I27" s="79" t="s">
        <v>34</v>
      </c>
      <c r="J27" s="80" t="e">
        <f>K25/O8</f>
        <v>#DIV/0!</v>
      </c>
      <c r="K27" s="21"/>
      <c r="L27" s="6" t="s">
        <v>35</v>
      </c>
      <c r="M27" s="81" t="s">
        <v>36</v>
      </c>
      <c r="N27" s="82" t="e">
        <f>P25/O8</f>
        <v>#DIV/0!</v>
      </c>
      <c r="O27" s="82"/>
      <c r="P27" s="7"/>
    </row>
    <row r="28" spans="1:16" s="3" customFormat="1" ht="12.75">
      <c r="A28" s="19"/>
      <c r="B28" s="21"/>
      <c r="C28" s="21"/>
      <c r="D28" s="21"/>
      <c r="E28" s="21"/>
      <c r="F28" s="21"/>
      <c r="G28" s="19" t="s">
        <v>37</v>
      </c>
      <c r="H28" s="21"/>
      <c r="I28" s="79"/>
      <c r="J28" s="80"/>
      <c r="K28" s="21"/>
      <c r="L28" s="19" t="s">
        <v>37</v>
      </c>
      <c r="M28" s="81"/>
      <c r="N28" s="82"/>
      <c r="O28" s="82"/>
      <c r="P28" s="7"/>
    </row>
    <row r="29" spans="1:16" s="3" customFormat="1" ht="12.75">
      <c r="A29" s="19" t="s">
        <v>38</v>
      </c>
      <c r="B29" s="21"/>
      <c r="C29" s="21"/>
      <c r="E29" s="58">
        <f>(F25)</f>
        <v>0</v>
      </c>
      <c r="F29" s="21"/>
      <c r="G29" s="19" t="s">
        <v>39</v>
      </c>
      <c r="H29" s="7"/>
      <c r="I29" s="7"/>
      <c r="J29" s="21"/>
      <c r="K29" s="74" t="e">
        <f>(J27)</f>
        <v>#DIV/0!</v>
      </c>
      <c r="L29" s="3" t="s">
        <v>40</v>
      </c>
      <c r="M29" s="7"/>
      <c r="N29" s="7"/>
      <c r="O29" s="7"/>
      <c r="P29" s="74" t="e">
        <f>(N27)</f>
        <v>#DIV/0!</v>
      </c>
    </row>
    <row r="30" spans="1:16" s="3" customFormat="1" ht="12.75">
      <c r="A30" s="19"/>
      <c r="B30" s="21"/>
      <c r="C30" s="21"/>
      <c r="D30" s="21"/>
      <c r="E30" s="21"/>
      <c r="F30" s="21"/>
      <c r="G30" s="19"/>
      <c r="H30" s="21"/>
      <c r="I30" s="7"/>
      <c r="J30" s="21"/>
      <c r="K30" s="21"/>
      <c r="M30" s="7"/>
      <c r="N30" s="7"/>
      <c r="O30" s="7"/>
      <c r="P30" s="21"/>
    </row>
    <row r="31" spans="1:16" s="3" customFormat="1" ht="12.75">
      <c r="A31" s="19"/>
      <c r="B31" s="21"/>
      <c r="C31" s="21"/>
      <c r="D31" s="21"/>
      <c r="E31" s="21"/>
      <c r="F31" s="21"/>
      <c r="G31" s="19"/>
      <c r="H31" s="21"/>
      <c r="I31" s="60"/>
      <c r="J31" s="21"/>
      <c r="K31" s="21"/>
      <c r="M31" s="60"/>
      <c r="N31" s="60"/>
      <c r="O31" s="60"/>
      <c r="P31" s="21"/>
    </row>
    <row r="32" spans="1:16" s="3" customFormat="1" ht="12.75">
      <c r="A32" s="59"/>
      <c r="B32" s="7"/>
      <c r="C32" s="7"/>
      <c r="D32" s="7"/>
      <c r="E32" s="7"/>
      <c r="F32" s="7"/>
      <c r="H32" s="7"/>
      <c r="I32" s="7"/>
      <c r="J32" s="7"/>
      <c r="K32" s="7"/>
      <c r="M32" s="7"/>
      <c r="N32" s="7"/>
      <c r="O32" s="7"/>
      <c r="P32" s="7"/>
    </row>
    <row r="33" spans="1:16" s="3" customFormat="1" ht="13.5" thickBot="1">
      <c r="B33" s="7"/>
      <c r="C33" s="7"/>
      <c r="D33" s="7"/>
      <c r="E33" s="7"/>
      <c r="F33" s="7"/>
      <c r="G33" s="3" t="s">
        <v>41</v>
      </c>
      <c r="H33" s="83" t="s">
        <v>42</v>
      </c>
      <c r="I33" s="83"/>
      <c r="J33" s="83"/>
      <c r="K33" s="75" t="e">
        <f>E29+K29+P29</f>
        <v>#DIV/0!</v>
      </c>
      <c r="M33" s="7"/>
      <c r="N33" s="7"/>
      <c r="O33" s="7"/>
      <c r="P33" s="7"/>
    </row>
    <row r="34" spans="1:16" s="3" customFormat="1" ht="15.75" thickBot="1">
      <c r="D34" s="61"/>
      <c r="E34" s="61"/>
      <c r="F34" s="61"/>
      <c r="G34" s="3" t="s">
        <v>53</v>
      </c>
      <c r="H34" s="62"/>
      <c r="I34" s="63"/>
      <c r="J34" s="7"/>
      <c r="K34" s="76" t="e">
        <f>K33*0.35</f>
        <v>#DIV/0!</v>
      </c>
      <c r="M34" s="7"/>
      <c r="N34" s="7"/>
      <c r="O34" s="7"/>
      <c r="P34" s="7"/>
    </row>
    <row r="35" spans="1:16" s="3" customFormat="1" ht="9.75" customHeight="1">
      <c r="D35" s="61"/>
      <c r="E35" s="61"/>
      <c r="F35" s="61"/>
      <c r="H35" s="62"/>
      <c r="I35" s="63"/>
      <c r="J35" s="68"/>
      <c r="K35" s="77"/>
      <c r="M35" s="68"/>
      <c r="N35" s="68"/>
      <c r="O35" s="68"/>
      <c r="P35" s="68"/>
    </row>
    <row r="36" spans="1:16" s="3" customFormat="1">
      <c r="A36" s="64" t="s">
        <v>54</v>
      </c>
      <c r="B36" s="9"/>
      <c r="C36" s="61"/>
      <c r="D36" s="64"/>
      <c r="E36" s="64"/>
      <c r="F36" s="64"/>
      <c r="G36" s="65" t="s">
        <v>43</v>
      </c>
      <c r="H36" s="7"/>
      <c r="J36" s="7"/>
      <c r="K36" s="78" t="e">
        <f>K34+K33</f>
        <v>#DIV/0!</v>
      </c>
      <c r="L36" s="3" t="s">
        <v>44</v>
      </c>
    </row>
    <row r="37" spans="1:16" s="3" customFormat="1" ht="13.5">
      <c r="A37" s="69" t="s">
        <v>45</v>
      </c>
      <c r="B37" s="68"/>
      <c r="G37" s="65"/>
      <c r="H37" s="68"/>
      <c r="J37" s="68"/>
      <c r="K37" s="70"/>
      <c r="M37" s="71"/>
      <c r="N37" s="70"/>
      <c r="P37" s="19"/>
    </row>
    <row r="38" spans="1:16" s="3" customFormat="1" ht="12.75">
      <c r="A38" s="69" t="s">
        <v>46</v>
      </c>
      <c r="B38" s="68"/>
      <c r="H38" s="67"/>
      <c r="I38" s="20"/>
      <c r="J38" s="19"/>
      <c r="K38" s="66"/>
      <c r="L38" s="19"/>
      <c r="O38" s="19"/>
      <c r="P38" s="19"/>
    </row>
    <row r="39" spans="1:16" s="3" customFormat="1" ht="12.75">
      <c r="A39" s="69" t="s">
        <v>47</v>
      </c>
      <c r="B39" s="68"/>
      <c r="H39" s="68"/>
      <c r="I39" s="68"/>
      <c r="K39" s="68"/>
      <c r="L39" s="68"/>
      <c r="O39" s="19"/>
      <c r="P39" s="19"/>
    </row>
    <row r="40" spans="1:16" s="3" customFormat="1" ht="12.75">
      <c r="A40" s="69" t="s">
        <v>48</v>
      </c>
      <c r="B40" s="68"/>
      <c r="H40" s="68"/>
      <c r="I40" s="68"/>
      <c r="K40" s="68"/>
      <c r="L40" s="68"/>
      <c r="O40" s="19"/>
      <c r="P40" s="19"/>
    </row>
    <row r="41" spans="1:16" s="72" customFormat="1" ht="12.75">
      <c r="A41" s="69" t="s">
        <v>49</v>
      </c>
      <c r="B41" s="68"/>
      <c r="C41" s="3"/>
    </row>
  </sheetData>
  <mergeCells count="18">
    <mergeCell ref="A1:C2"/>
    <mergeCell ref="D1:M2"/>
    <mergeCell ref="N1:P1"/>
    <mergeCell ref="N2:P2"/>
    <mergeCell ref="A3:C4"/>
    <mergeCell ref="D3:M4"/>
    <mergeCell ref="N3:P3"/>
    <mergeCell ref="N4:P4"/>
    <mergeCell ref="M11:N11"/>
    <mergeCell ref="M12:N12"/>
    <mergeCell ref="A15:F15"/>
    <mergeCell ref="G15:K15"/>
    <mergeCell ref="L15:P15"/>
    <mergeCell ref="I27:I28"/>
    <mergeCell ref="J27:J28"/>
    <mergeCell ref="M27:M28"/>
    <mergeCell ref="N27:O28"/>
    <mergeCell ref="H33:J33"/>
  </mergeCells>
  <pageMargins left="0.7" right="0.7" top="0.75" bottom="0.75" header="0.3" footer="0.3"/>
  <pageSetup scale="85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Cost Break Down</vt:lpstr>
      <vt:lpstr>'Cost Break Down'!Print_Area</vt:lpstr>
      <vt:lpstr>'Cost Break Down'!Print_Titles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2019-04-17T17:24:37Z</dcterms:modified>
</cp:coreProperties>
</file>