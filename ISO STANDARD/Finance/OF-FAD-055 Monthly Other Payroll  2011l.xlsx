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activeTab="1"/>
  </bookViews>
  <sheets>
    <sheet name="Ot" sheetId="2" r:id="rId1"/>
    <sheet name="Salary" sheetId="5" r:id="rId2"/>
    <sheet name="Takel" sheetId="14" r:id="rId3"/>
  </sheets>
  <definedNames>
    <definedName name="_xlnm.Print_Area" localSheetId="1">Salary!$A$1:$R$27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11" i="5"/>
  <c r="A12" s="1"/>
  <c r="A13" s="1"/>
  <c r="A14" s="1"/>
  <c r="A15" s="1"/>
  <c r="A16" s="1"/>
  <c r="A17" s="1"/>
  <c r="A18" s="1"/>
  <c r="A19" s="1"/>
  <c r="A20" s="1"/>
  <c r="A21" s="1"/>
  <c r="A22" s="1"/>
  <c r="M1634" i="2" l="1"/>
  <c r="I1634" l="1"/>
  <c r="J1634"/>
  <c r="K1634"/>
  <c r="L1634"/>
  <c r="D1634"/>
  <c r="F27" i="14" l="1"/>
  <c r="G27" l="1"/>
  <c r="G28" s="1"/>
  <c r="F28"/>
  <c r="H27"/>
  <c r="H28" s="1"/>
  <c r="I27" l="1"/>
  <c r="I28" s="1"/>
  <c r="H15"/>
  <c r="G15"/>
  <c r="G14"/>
  <c r="G5" l="1"/>
  <c r="G4"/>
  <c r="H5"/>
  <c r="H23" i="5" l="1"/>
  <c r="M23"/>
  <c r="D1635" i="2"/>
  <c r="I1635" s="1"/>
  <c r="D1631"/>
  <c r="K1631" s="1"/>
  <c r="D1632"/>
  <c r="I1632" s="1"/>
  <c r="D1633"/>
  <c r="K1633" s="1"/>
  <c r="R23" i="5"/>
  <c r="I22"/>
  <c r="F22"/>
  <c r="N22" s="1"/>
  <c r="I21"/>
  <c r="F21"/>
  <c r="O21" s="1"/>
  <c r="I20"/>
  <c r="F20"/>
  <c r="O20" s="1"/>
  <c r="F19"/>
  <c r="N19" s="1"/>
  <c r="F18"/>
  <c r="K18" s="1"/>
  <c r="F17"/>
  <c r="N17" s="1"/>
  <c r="F16"/>
  <c r="O16" s="1"/>
  <c r="F15"/>
  <c r="O15" s="1"/>
  <c r="F14"/>
  <c r="N14" s="1"/>
  <c r="F13"/>
  <c r="K13" s="1"/>
  <c r="F12"/>
  <c r="O12" s="1"/>
  <c r="F11"/>
  <c r="J11" s="1"/>
  <c r="F10"/>
  <c r="N10" s="1"/>
  <c r="D1581" i="2"/>
  <c r="L1581" s="1"/>
  <c r="D1582"/>
  <c r="J1582" s="1"/>
  <c r="D1583"/>
  <c r="K1583" s="1"/>
  <c r="D1580"/>
  <c r="I1580" s="1"/>
  <c r="N18" i="5" l="1"/>
  <c r="I23"/>
  <c r="K22"/>
  <c r="O17"/>
  <c r="J15"/>
  <c r="L15" s="1"/>
  <c r="J18"/>
  <c r="L18" s="1"/>
  <c r="J13"/>
  <c r="L13" s="1"/>
  <c r="O22"/>
  <c r="O14"/>
  <c r="O19"/>
  <c r="O11"/>
  <c r="N11"/>
  <c r="O18"/>
  <c r="F23"/>
  <c r="O10"/>
  <c r="N15"/>
  <c r="N20"/>
  <c r="N16"/>
  <c r="N12"/>
  <c r="N21"/>
  <c r="N13"/>
  <c r="O13"/>
  <c r="J22"/>
  <c r="L22" s="1"/>
  <c r="P22" s="1"/>
  <c r="J19"/>
  <c r="L19" s="1"/>
  <c r="P19" s="1"/>
  <c r="Q19" s="1"/>
  <c r="K1581" i="2"/>
  <c r="I1633"/>
  <c r="I1581"/>
  <c r="J1633"/>
  <c r="J21" i="5"/>
  <c r="L21" s="1"/>
  <c r="K15"/>
  <c r="K10"/>
  <c r="K11"/>
  <c r="J10"/>
  <c r="L10" s="1"/>
  <c r="L11"/>
  <c r="K21"/>
  <c r="K19"/>
  <c r="L1635" i="2"/>
  <c r="L1633"/>
  <c r="L1632"/>
  <c r="J1631"/>
  <c r="L1631"/>
  <c r="J1635"/>
  <c r="J1632"/>
  <c r="K1635"/>
  <c r="K1632"/>
  <c r="I1631"/>
  <c r="I1583"/>
  <c r="L1582"/>
  <c r="J1583"/>
  <c r="L1583"/>
  <c r="K1582"/>
  <c r="I1582"/>
  <c r="J1581"/>
  <c r="P18" i="5" l="1"/>
  <c r="Q18" s="1"/>
  <c r="P11"/>
  <c r="Q11" s="1"/>
  <c r="P13"/>
  <c r="Q13" s="1"/>
  <c r="N23"/>
  <c r="O23"/>
  <c r="P10"/>
  <c r="P21"/>
  <c r="Q21" s="1"/>
  <c r="P15"/>
  <c r="Q15" s="1"/>
  <c r="Q22"/>
  <c r="M1581" i="2"/>
  <c r="M1633"/>
  <c r="M1631"/>
  <c r="M1635"/>
  <c r="M1632"/>
  <c r="M1583"/>
  <c r="M1582"/>
  <c r="J17" i="5" l="1"/>
  <c r="L17" s="1"/>
  <c r="P17" s="1"/>
  <c r="Q17" s="1"/>
  <c r="K16"/>
  <c r="M1636" i="2"/>
  <c r="Q10" i="5"/>
  <c r="J16" l="1"/>
  <c r="L16" s="1"/>
  <c r="P16" s="1"/>
  <c r="Q16" s="1"/>
  <c r="K17"/>
  <c r="J20"/>
  <c r="L20" s="1"/>
  <c r="P20" s="1"/>
  <c r="Q20" s="1"/>
  <c r="K20"/>
  <c r="K12"/>
  <c r="J12"/>
  <c r="J14"/>
  <c r="L14" s="1"/>
  <c r="P14" s="1"/>
  <c r="Q14" s="1"/>
  <c r="K14"/>
  <c r="G23"/>
  <c r="D1623" i="2"/>
  <c r="J1623" s="1"/>
  <c r="O1619"/>
  <c r="D1612"/>
  <c r="L1612" s="1"/>
  <c r="O1608"/>
  <c r="O1597"/>
  <c r="D1601"/>
  <c r="K1601" s="1"/>
  <c r="K23" i="5" l="1"/>
  <c r="L12"/>
  <c r="P12" s="1"/>
  <c r="Q12" s="1"/>
  <c r="J23"/>
  <c r="I1623" i="2"/>
  <c r="K1612"/>
  <c r="J1601"/>
  <c r="I1601"/>
  <c r="I1612"/>
  <c r="L1623"/>
  <c r="K1623"/>
  <c r="J1612"/>
  <c r="L1601"/>
  <c r="D1592"/>
  <c r="J1592" s="1"/>
  <c r="L23" i="5" l="1"/>
  <c r="M1612" i="2"/>
  <c r="I1592"/>
  <c r="M1601"/>
  <c r="M1623"/>
  <c r="L1592"/>
  <c r="K1592"/>
  <c r="Q23" i="5" l="1"/>
  <c r="P23"/>
  <c r="M1592" i="2"/>
  <c r="K1580" l="1"/>
  <c r="J1580"/>
  <c r="L1580"/>
  <c r="M1580" l="1"/>
  <c r="D1555"/>
  <c r="K1555" s="1"/>
  <c r="D1554"/>
  <c r="I1554" s="1"/>
  <c r="D1553"/>
  <c r="K1553" s="1"/>
  <c r="D1571"/>
  <c r="L1571" s="1"/>
  <c r="D1570"/>
  <c r="J1570" s="1"/>
  <c r="D1569"/>
  <c r="L1569" s="1"/>
  <c r="I1553" l="1"/>
  <c r="M1585"/>
  <c r="I1555"/>
  <c r="K1571"/>
  <c r="J1569"/>
  <c r="J1571"/>
  <c r="I1569"/>
  <c r="I1571"/>
  <c r="J1553"/>
  <c r="J1555"/>
  <c r="K1569"/>
  <c r="I1570"/>
  <c r="L1554"/>
  <c r="K1554"/>
  <c r="L1553"/>
  <c r="J1554"/>
  <c r="L1555"/>
  <c r="L1570"/>
  <c r="K1570"/>
  <c r="M1569" l="1"/>
  <c r="M1555"/>
  <c r="M1571"/>
  <c r="M1554"/>
  <c r="M1553"/>
  <c r="M1570"/>
  <c r="D1528"/>
  <c r="K1528" s="1"/>
  <c r="D1529"/>
  <c r="I1529" s="1"/>
  <c r="D1527"/>
  <c r="K1527" s="1"/>
  <c r="I1528" l="1"/>
  <c r="J1527"/>
  <c r="L1528"/>
  <c r="M1573"/>
  <c r="I1527"/>
  <c r="J1529"/>
  <c r="L1529"/>
  <c r="K1529"/>
  <c r="J1528"/>
  <c r="L1527"/>
  <c r="D1562"/>
  <c r="K1562" s="1"/>
  <c r="M1529" l="1"/>
  <c r="M1528"/>
  <c r="I1562"/>
  <c r="M1527"/>
  <c r="J1562"/>
  <c r="L1562"/>
  <c r="D1546"/>
  <c r="K1546" s="1"/>
  <c r="I1546" l="1"/>
  <c r="M1530"/>
  <c r="M1562"/>
  <c r="L1546"/>
  <c r="J1546"/>
  <c r="M1546" l="1"/>
  <c r="D1544" l="1"/>
  <c r="D1545" l="1"/>
  <c r="I1545" s="1"/>
  <c r="D481" l="1"/>
  <c r="D725"/>
  <c r="K725" s="1"/>
  <c r="C718"/>
  <c r="D718" s="1"/>
  <c r="L718" s="1"/>
  <c r="D711"/>
  <c r="J711" s="1"/>
  <c r="D703"/>
  <c r="L703" s="1"/>
  <c r="D695"/>
  <c r="J695" s="1"/>
  <c r="D688"/>
  <c r="K688" s="1"/>
  <c r="D1448"/>
  <c r="L1448" s="1"/>
  <c r="D1434"/>
  <c r="K1434" s="1"/>
  <c r="I711" l="1"/>
  <c r="J725"/>
  <c r="I1448"/>
  <c r="I725"/>
  <c r="I695"/>
  <c r="L725"/>
  <c r="K718"/>
  <c r="J718"/>
  <c r="I718"/>
  <c r="L711"/>
  <c r="K711"/>
  <c r="K703"/>
  <c r="J703"/>
  <c r="I703"/>
  <c r="L695"/>
  <c r="K695"/>
  <c r="J688"/>
  <c r="I688"/>
  <c r="L688"/>
  <c r="K1448"/>
  <c r="J1448"/>
  <c r="J1434"/>
  <c r="I1434"/>
  <c r="L1434"/>
  <c r="M725" l="1"/>
  <c r="M1448"/>
  <c r="M688"/>
  <c r="M703"/>
  <c r="M711"/>
  <c r="M718"/>
  <c r="M695"/>
  <c r="M1434"/>
  <c r="J1545"/>
  <c r="J1544"/>
  <c r="I1544"/>
  <c r="L1545"/>
  <c r="K1545"/>
  <c r="L1544"/>
  <c r="K1544"/>
  <c r="M1544" l="1"/>
  <c r="M1545"/>
  <c r="D1518" l="1"/>
  <c r="K1518" s="1"/>
  <c r="D1495"/>
  <c r="K1495" s="1"/>
  <c r="I1495" l="1"/>
  <c r="J1495"/>
  <c r="J1518"/>
  <c r="I1518"/>
  <c r="L1518"/>
  <c r="L1495"/>
  <c r="M1495" l="1"/>
  <c r="M1518"/>
  <c r="D1469" l="1"/>
  <c r="J1469" s="1"/>
  <c r="D1441"/>
  <c r="K1441" s="1"/>
  <c r="D1427"/>
  <c r="L1427" s="1"/>
  <c r="D1378"/>
  <c r="L1378" s="1"/>
  <c r="I1441" l="1"/>
  <c r="J1427"/>
  <c r="L1469"/>
  <c r="K1427"/>
  <c r="J1441"/>
  <c r="K1469"/>
  <c r="I1469"/>
  <c r="L1441"/>
  <c r="I1427"/>
  <c r="K1378"/>
  <c r="J1378"/>
  <c r="I1378"/>
  <c r="M1441" l="1"/>
  <c r="M1427"/>
  <c r="M1469"/>
  <c r="M1378"/>
  <c r="D1352" l="1"/>
  <c r="K1352" s="1"/>
  <c r="I1352" l="1"/>
  <c r="J1352"/>
  <c r="L1352"/>
  <c r="M1352" l="1"/>
  <c r="D1328" l="1"/>
  <c r="L1328" s="1"/>
  <c r="D1304"/>
  <c r="J1304" s="1"/>
  <c r="D1280"/>
  <c r="K1280" s="1"/>
  <c r="J1280" l="1"/>
  <c r="I1280"/>
  <c r="K1328"/>
  <c r="J1328"/>
  <c r="I1328"/>
  <c r="I1304"/>
  <c r="L1304"/>
  <c r="K1304"/>
  <c r="L1280"/>
  <c r="M1280" l="1"/>
  <c r="M1328"/>
  <c r="M1304"/>
  <c r="D1241" l="1"/>
  <c r="J1241" s="1"/>
  <c r="D1210"/>
  <c r="K1210" s="1"/>
  <c r="D1186"/>
  <c r="K1186" s="1"/>
  <c r="I1186" l="1"/>
  <c r="I1241"/>
  <c r="J1210"/>
  <c r="J1186"/>
  <c r="I1210"/>
  <c r="L1241"/>
  <c r="K1241"/>
  <c r="L1210"/>
  <c r="L1186"/>
  <c r="M1241" l="1"/>
  <c r="M1210"/>
  <c r="M1186"/>
  <c r="D1161" l="1"/>
  <c r="K1161" s="1"/>
  <c r="D1131"/>
  <c r="K1131" s="1"/>
  <c r="D1109"/>
  <c r="K1109" s="1"/>
  <c r="J1109" l="1"/>
  <c r="I1109"/>
  <c r="I1161"/>
  <c r="J1161"/>
  <c r="L1161"/>
  <c r="J1131"/>
  <c r="I1131"/>
  <c r="L1131"/>
  <c r="L1109"/>
  <c r="M1109" l="1"/>
  <c r="M1131"/>
  <c r="M1161"/>
  <c r="D1074" l="1"/>
  <c r="L1074" s="1"/>
  <c r="D1047"/>
  <c r="K1047" s="1"/>
  <c r="I1074" l="1"/>
  <c r="I1047"/>
  <c r="J1047"/>
  <c r="K1074"/>
  <c r="J1074"/>
  <c r="L1047"/>
  <c r="M1047" l="1"/>
  <c r="M1074"/>
  <c r="D1025"/>
  <c r="I1025" s="1"/>
  <c r="D1005"/>
  <c r="L1005" s="1"/>
  <c r="K1005" s="1"/>
  <c r="D973"/>
  <c r="K973" s="1"/>
  <c r="J973" s="1"/>
  <c r="D947"/>
  <c r="I947" s="1"/>
  <c r="D907"/>
  <c r="I907" s="1"/>
  <c r="D873"/>
  <c r="L873" s="1"/>
  <c r="K873" s="1"/>
  <c r="D843"/>
  <c r="I843" s="1"/>
  <c r="D817"/>
  <c r="I817" s="1"/>
  <c r="D784"/>
  <c r="I784" s="1"/>
  <c r="D757"/>
  <c r="J757" s="1"/>
  <c r="I757" s="1"/>
  <c r="D756"/>
  <c r="K756" s="1"/>
  <c r="J756" s="1"/>
  <c r="D680"/>
  <c r="L680" s="1"/>
  <c r="D657"/>
  <c r="J657" s="1"/>
  <c r="I657" s="1"/>
  <c r="D626"/>
  <c r="J626" s="1"/>
  <c r="D601"/>
  <c r="K601" s="1"/>
  <c r="D577"/>
  <c r="I577" s="1"/>
  <c r="D550"/>
  <c r="I550" s="1"/>
  <c r="L657" l="1"/>
  <c r="K657"/>
  <c r="I756"/>
  <c r="J873"/>
  <c r="K577"/>
  <c r="J907"/>
  <c r="J577"/>
  <c r="I626"/>
  <c r="J843"/>
  <c r="I873"/>
  <c r="K947"/>
  <c r="I1005"/>
  <c r="J601"/>
  <c r="K680"/>
  <c r="L817"/>
  <c r="K817" s="1"/>
  <c r="J947"/>
  <c r="I601"/>
  <c r="J680"/>
  <c r="I680" s="1"/>
  <c r="M680" s="1"/>
  <c r="J817"/>
  <c r="L843"/>
  <c r="K843" s="1"/>
  <c r="I973"/>
  <c r="L550"/>
  <c r="K550" s="1"/>
  <c r="L626"/>
  <c r="J550"/>
  <c r="K626"/>
  <c r="L756"/>
  <c r="L757"/>
  <c r="J784"/>
  <c r="L973"/>
  <c r="L1025"/>
  <c r="K1025" s="1"/>
  <c r="L784"/>
  <c r="K784" s="1"/>
  <c r="K757"/>
  <c r="K907"/>
  <c r="J1005"/>
  <c r="J1025"/>
  <c r="M843" l="1"/>
  <c r="M657"/>
  <c r="M784"/>
  <c r="M1005"/>
  <c r="M873"/>
  <c r="M757"/>
  <c r="M756"/>
  <c r="M550"/>
  <c r="M817"/>
  <c r="M1025"/>
  <c r="M626"/>
  <c r="M973"/>
  <c r="D529"/>
  <c r="I529" s="1"/>
  <c r="K529" l="1"/>
  <c r="J529"/>
  <c r="L529"/>
  <c r="D512"/>
  <c r="K512" s="1"/>
  <c r="J512" s="1"/>
  <c r="D498"/>
  <c r="K498" s="1"/>
  <c r="J481"/>
  <c r="D456"/>
  <c r="I456" s="1"/>
  <c r="D436"/>
  <c r="J436" s="1"/>
  <c r="D412"/>
  <c r="I412" s="1"/>
  <c r="D391"/>
  <c r="L391" s="1"/>
  <c r="K391" s="1"/>
  <c r="D349"/>
  <c r="K349" s="1"/>
  <c r="J349" s="1"/>
  <c r="D318"/>
  <c r="K318" s="1"/>
  <c r="J318" s="1"/>
  <c r="D259"/>
  <c r="I259" s="1"/>
  <c r="D258"/>
  <c r="I258" s="1"/>
  <c r="D257"/>
  <c r="J257" s="1"/>
  <c r="D256"/>
  <c r="J256" s="1"/>
  <c r="D255"/>
  <c r="L255" s="1"/>
  <c r="D254"/>
  <c r="J254" s="1"/>
  <c r="I254" s="1"/>
  <c r="D253"/>
  <c r="K253" s="1"/>
  <c r="D236"/>
  <c r="K236" s="1"/>
  <c r="I349" l="1"/>
  <c r="I512"/>
  <c r="I255"/>
  <c r="I253"/>
  <c r="M529"/>
  <c r="I257"/>
  <c r="J498"/>
  <c r="K256"/>
  <c r="L318"/>
  <c r="L436"/>
  <c r="K436" s="1"/>
  <c r="K481"/>
  <c r="I256"/>
  <c r="K257"/>
  <c r="I318"/>
  <c r="L349"/>
  <c r="M349" s="1"/>
  <c r="I436"/>
  <c r="I481"/>
  <c r="K255"/>
  <c r="L512"/>
  <c r="M512" s="1"/>
  <c r="J236"/>
  <c r="K258"/>
  <c r="J258" s="1"/>
  <c r="M258" s="1"/>
  <c r="K259"/>
  <c r="J259" s="1"/>
  <c r="M259" s="1"/>
  <c r="J391"/>
  <c r="J412"/>
  <c r="I236"/>
  <c r="L254"/>
  <c r="J255"/>
  <c r="L256"/>
  <c r="I391"/>
  <c r="L456"/>
  <c r="K456" s="1"/>
  <c r="I498"/>
  <c r="L236"/>
  <c r="K254"/>
  <c r="J456"/>
  <c r="J253"/>
  <c r="L412"/>
  <c r="K412" s="1"/>
  <c r="D190"/>
  <c r="I190" s="1"/>
  <c r="D166"/>
  <c r="L166" s="1"/>
  <c r="M318" l="1"/>
  <c r="K166"/>
  <c r="M391"/>
  <c r="M255"/>
  <c r="M436"/>
  <c r="I166"/>
  <c r="K190"/>
  <c r="J190" s="1"/>
  <c r="M256"/>
  <c r="M412"/>
  <c r="M254"/>
  <c r="L190"/>
  <c r="M190" s="1"/>
  <c r="M236"/>
  <c r="M456"/>
  <c r="J166"/>
  <c r="D144"/>
  <c r="I144" s="1"/>
  <c r="M166" l="1"/>
  <c r="J144"/>
  <c r="L144"/>
  <c r="K144" s="1"/>
  <c r="D97"/>
  <c r="I97" s="1"/>
  <c r="D49"/>
  <c r="D7"/>
  <c r="J7" s="1"/>
  <c r="I7" s="1"/>
  <c r="D6"/>
  <c r="J6" s="1"/>
  <c r="D5"/>
  <c r="L5" s="1"/>
  <c r="M144" l="1"/>
  <c r="L6"/>
  <c r="K6" s="1"/>
  <c r="I6"/>
  <c r="K5"/>
  <c r="J5"/>
  <c r="I5" s="1"/>
  <c r="L7"/>
  <c r="L49"/>
  <c r="J97"/>
  <c r="L97"/>
  <c r="K97" s="1"/>
  <c r="K7"/>
  <c r="M7" s="1"/>
  <c r="K49"/>
  <c r="J49" s="1"/>
  <c r="I49"/>
  <c r="M6" l="1"/>
  <c r="M97"/>
  <c r="M5"/>
  <c r="M49"/>
  <c r="L481" l="1"/>
  <c r="M481" s="1"/>
  <c r="L601"/>
  <c r="M601" s="1"/>
  <c r="L253"/>
  <c r="M253" s="1"/>
  <c r="L257"/>
  <c r="M257" s="1"/>
  <c r="L498"/>
  <c r="M498" s="1"/>
  <c r="L577"/>
  <c r="M577" s="1"/>
  <c r="L907"/>
  <c r="M907" s="1"/>
  <c r="L947"/>
  <c r="M947" s="1"/>
</calcChain>
</file>

<file path=xl/sharedStrings.xml><?xml version="1.0" encoding="utf-8"?>
<sst xmlns="http://schemas.openxmlformats.org/spreadsheetml/2006/main" count="1645" uniqueCount="188">
  <si>
    <t>Monthly</t>
  </si>
  <si>
    <t>No.of</t>
  </si>
  <si>
    <t>Profesional</t>
  </si>
  <si>
    <t>DEDUCTION</t>
  </si>
  <si>
    <t>No.</t>
  </si>
  <si>
    <t xml:space="preserve">work. </t>
  </si>
  <si>
    <t>Salary</t>
  </si>
  <si>
    <t>Over</t>
  </si>
  <si>
    <t>Transport</t>
  </si>
  <si>
    <t>/Project/</t>
  </si>
  <si>
    <t>Gross</t>
  </si>
  <si>
    <t xml:space="preserve">Taxable </t>
  </si>
  <si>
    <t xml:space="preserve">Income </t>
  </si>
  <si>
    <t>Loan /</t>
  </si>
  <si>
    <t>Total</t>
  </si>
  <si>
    <t>Net</t>
  </si>
  <si>
    <t xml:space="preserve">            NAME</t>
  </si>
  <si>
    <t>Occupation</t>
  </si>
  <si>
    <t>days</t>
  </si>
  <si>
    <t>Earned</t>
  </si>
  <si>
    <t>Time</t>
  </si>
  <si>
    <t>Allowance</t>
  </si>
  <si>
    <t>Earning</t>
  </si>
  <si>
    <t>Tax</t>
  </si>
  <si>
    <t xml:space="preserve">
Others</t>
  </si>
  <si>
    <t>Deduc.</t>
  </si>
  <si>
    <t>Pay</t>
  </si>
  <si>
    <t xml:space="preserve">                                           TOTAL</t>
  </si>
  <si>
    <t>PREPARED BY</t>
  </si>
  <si>
    <t xml:space="preserve"> APPROVED BY </t>
  </si>
  <si>
    <t xml:space="preserve">      Name __________________________</t>
  </si>
  <si>
    <t>Signature _______________________</t>
  </si>
  <si>
    <t xml:space="preserve">      Signature _______________________</t>
  </si>
  <si>
    <t>Guard</t>
  </si>
  <si>
    <t>Anteneh Demelash</t>
  </si>
  <si>
    <t>ASER COSNTRUCTION PLC</t>
  </si>
  <si>
    <t>PROJECT SUMMIT II</t>
  </si>
  <si>
    <t>No</t>
  </si>
  <si>
    <t>NAME</t>
  </si>
  <si>
    <t>DAILY</t>
  </si>
  <si>
    <t>RATE</t>
  </si>
  <si>
    <t>REGU</t>
  </si>
  <si>
    <t>TOTAL</t>
  </si>
  <si>
    <t>WAGE</t>
  </si>
  <si>
    <t>LAR</t>
  </si>
  <si>
    <t>NIGHT</t>
  </si>
  <si>
    <t>SUNDAY</t>
  </si>
  <si>
    <t>HOLIDAY</t>
  </si>
  <si>
    <t>PAYMENT</t>
  </si>
  <si>
    <t>FOR THE MONTH OF SENE 2005</t>
  </si>
  <si>
    <t>Fund (7%)</t>
  </si>
  <si>
    <t>Tesfaye Getu</t>
  </si>
  <si>
    <t>Tesfehun G/zeher</t>
  </si>
  <si>
    <t>Ashenafi Kifle</t>
  </si>
  <si>
    <t>G/Selase G/Hawariate</t>
  </si>
  <si>
    <t>Aman Newaye</t>
  </si>
  <si>
    <t>Gizachew Mirutse</t>
  </si>
  <si>
    <t>Ayalew Aliyu</t>
  </si>
  <si>
    <t>Dereje Mekonon</t>
  </si>
  <si>
    <t>Worku W/senbet</t>
  </si>
  <si>
    <t>Gezahegn Addisu</t>
  </si>
  <si>
    <t>Kemal Wssen</t>
  </si>
  <si>
    <t>Dereje Mekonnen</t>
  </si>
  <si>
    <t>G/Silasse G/Hawarit</t>
  </si>
  <si>
    <t>Mesfin Demisse</t>
  </si>
  <si>
    <t>Alemayehu Legesse</t>
  </si>
  <si>
    <t>Girma Haile</t>
  </si>
  <si>
    <t>Birhanu Asefa</t>
  </si>
  <si>
    <t>Wondmagegn Bereket</t>
  </si>
  <si>
    <t>Mesfin Mekonen</t>
  </si>
  <si>
    <t>FOR THE MONTH OF hedar 2005</t>
  </si>
  <si>
    <t>PROJECT mexco</t>
  </si>
  <si>
    <t>Zelalem Desta</t>
  </si>
  <si>
    <t>FOR THE MONTH OF TIR 2005</t>
  </si>
  <si>
    <t>Bekele Gebre</t>
  </si>
  <si>
    <t>Mulugeta Tanga</t>
  </si>
  <si>
    <t>Demelash Goshme</t>
  </si>
  <si>
    <t>Kibret Wubet</t>
  </si>
  <si>
    <t>Tadesse Molla</t>
  </si>
  <si>
    <t>Mihreteab Zerihun</t>
  </si>
  <si>
    <t>Sintayehu Habtamu</t>
  </si>
  <si>
    <t>Nebiyu Birhanu</t>
  </si>
  <si>
    <t>Alemayehu Serbesa</t>
  </si>
  <si>
    <t>Henok Hailu</t>
  </si>
  <si>
    <t>Yonass Kassaye</t>
  </si>
  <si>
    <t>Siferew Bahiru</t>
  </si>
  <si>
    <t>Aseresagn Serawit</t>
  </si>
  <si>
    <t>Mohamed Sedi</t>
  </si>
  <si>
    <t>Getnet Diress</t>
  </si>
  <si>
    <t>H/Mariam Aynalem</t>
  </si>
  <si>
    <t>Nebiy Beyene</t>
  </si>
  <si>
    <t>Kechin Tsige</t>
  </si>
  <si>
    <t>Eshetu Belachew</t>
  </si>
  <si>
    <t>Kindu Asnake</t>
  </si>
  <si>
    <t>Tesema Lisanu</t>
  </si>
  <si>
    <t>H/Mariam Demisse</t>
  </si>
  <si>
    <t>Ephrem Asefa</t>
  </si>
  <si>
    <t>Robera Ddejene</t>
  </si>
  <si>
    <t>Alemseged Gebyehu</t>
  </si>
  <si>
    <t>Tezazu Tassew</t>
  </si>
  <si>
    <t>Endalkachew Shemeles</t>
  </si>
  <si>
    <t>Abeta Yimame</t>
  </si>
  <si>
    <t>Geletaw Tsegaye</t>
  </si>
  <si>
    <t>Tesfaye Mengistu</t>
  </si>
  <si>
    <t>Wondimagegn H/Mariam</t>
  </si>
  <si>
    <t>Birhanu Demisse</t>
  </si>
  <si>
    <t>Gebreyohannes Kinfe</t>
  </si>
  <si>
    <t>Eshetu Hawaz Birhanu</t>
  </si>
  <si>
    <t>Clering</t>
  </si>
  <si>
    <t>Yitayihal Hailu</t>
  </si>
  <si>
    <t>Lulseged Barsisa Gudisa</t>
  </si>
  <si>
    <t>Ali Abegaze Yimer</t>
  </si>
  <si>
    <t>Birhanu Haftu Hagos</t>
  </si>
  <si>
    <t xml:space="preserve">Wondwossen W/mariam </t>
  </si>
  <si>
    <t xml:space="preserve">Roman Gugsa </t>
  </si>
  <si>
    <t>Signature</t>
  </si>
  <si>
    <t>Amare Chane</t>
  </si>
  <si>
    <t>Dagem Abrham</t>
  </si>
  <si>
    <t>Siyoum Bekele</t>
  </si>
  <si>
    <t>Hanna Bekele</t>
  </si>
  <si>
    <t>Bezabih Getachew</t>
  </si>
  <si>
    <t>Pention</t>
  </si>
  <si>
    <t xml:space="preserve">Wederi Tesfaye </t>
  </si>
  <si>
    <t>Abiyot Hunde</t>
  </si>
  <si>
    <t>Tefferi Tadesse G/hiwot</t>
  </si>
  <si>
    <t>Hana Feleke</t>
  </si>
  <si>
    <t>Berihun Legas Tadeg</t>
  </si>
  <si>
    <t>Abay Muluye</t>
  </si>
  <si>
    <t>Chala Gemechu Debela</t>
  </si>
  <si>
    <t>Ayalnesh Alemu</t>
  </si>
  <si>
    <t xml:space="preserve">Dejene Alemayehu </t>
  </si>
  <si>
    <t xml:space="preserve">Abaye </t>
  </si>
  <si>
    <t>FOR THE MONTH OF Tikemet</t>
  </si>
  <si>
    <t>Name Alem Abera</t>
  </si>
  <si>
    <t>Cle.&amp; Mes.</t>
  </si>
  <si>
    <t>Fund (11%)</t>
  </si>
  <si>
    <t>Mesay Nedaw Brare</t>
  </si>
  <si>
    <t>Mesfin Sentayew Meshesha</t>
  </si>
  <si>
    <t>Amare Gelassa Degefa</t>
  </si>
  <si>
    <t>Dawit Asmelash</t>
  </si>
  <si>
    <t>Almaz Dubere</t>
  </si>
  <si>
    <t>Clening</t>
  </si>
  <si>
    <t>FisehaWorku</t>
  </si>
  <si>
    <t>Alemaz Dubera</t>
  </si>
  <si>
    <t>Yasin Shunke Derecho</t>
  </si>
  <si>
    <t>Mekides Admasu</t>
  </si>
  <si>
    <t>Slas G/Medhn</t>
  </si>
  <si>
    <t>Emebet Mamo Bishaw</t>
  </si>
  <si>
    <t>Reception</t>
  </si>
  <si>
    <t>Kebede Meskela Bedasa</t>
  </si>
  <si>
    <t>lakew abebe</t>
  </si>
  <si>
    <t xml:space="preserve">            CHECKED BY</t>
  </si>
  <si>
    <t xml:space="preserve">                                                                              Aser Construction PLC</t>
  </si>
  <si>
    <t>NO</t>
  </si>
  <si>
    <t>Name</t>
  </si>
  <si>
    <t>Takele Demeke</t>
  </si>
  <si>
    <t>Work  Title</t>
  </si>
  <si>
    <t>Compu.Tech</t>
  </si>
  <si>
    <t xml:space="preserve">Daily Wage </t>
  </si>
  <si>
    <t>Total Work Days</t>
  </si>
  <si>
    <t>30,</t>
  </si>
  <si>
    <t>Total Daliy Wage</t>
  </si>
  <si>
    <t>WHT</t>
  </si>
  <si>
    <t xml:space="preserve">Net Earning </t>
  </si>
  <si>
    <t xml:space="preserve">                                              Computer Techinical Assitance For Yekatit,2011</t>
  </si>
  <si>
    <t xml:space="preserve"> Prepared BY -  Kelemua Endaylalu          Checked By  -  Goitom Tariku                          Approved By___________________</t>
  </si>
  <si>
    <t xml:space="preserve">    Signature _______________                    Signature _______________                            Signature ___________________</t>
  </si>
  <si>
    <t xml:space="preserve"> Prepared BY -  Kelemua Endaylalu                Checked By  -  Goitom Tariku                               Approved By___________________</t>
  </si>
  <si>
    <t xml:space="preserve">    Signature _______________                         Signature _______________                                      Signature ___________________</t>
  </si>
  <si>
    <t xml:space="preserve">                                                                               Payment of Law Fee</t>
  </si>
  <si>
    <t>Gebreamlak Geregiorgis</t>
  </si>
  <si>
    <t>Law</t>
  </si>
  <si>
    <t xml:space="preserve">Vat </t>
  </si>
  <si>
    <t>Month</t>
  </si>
  <si>
    <t>Total Fee</t>
  </si>
  <si>
    <t>Attorney Fee Per Month</t>
  </si>
  <si>
    <t xml:space="preserve">                                              Computer Techinical Assitance For Miazia/,2011</t>
  </si>
  <si>
    <t>Tin No</t>
  </si>
  <si>
    <t>0004914565</t>
  </si>
  <si>
    <t>Daily Salary</t>
  </si>
  <si>
    <t>አሰር ኮንሰትራክሽንኃ.የተ.የግ.ማ</t>
  </si>
  <si>
    <t>Document No</t>
  </si>
  <si>
    <t>ASER CONSTRUCTION P.L.C</t>
  </si>
  <si>
    <t>FORM</t>
  </si>
  <si>
    <t>OF/FAD/057</t>
  </si>
  <si>
    <t>Issue .No</t>
  </si>
  <si>
    <t>PAYROLL FOR CONTRAT EMPLOYEES</t>
  </si>
  <si>
    <t xml:space="preserve">                       FOR THE MONTH OF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</si>
</sst>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Ge'ez-1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81">
    <xf numFmtId="0" fontId="0" fillId="0" borderId="0" xfId="0"/>
    <xf numFmtId="0" fontId="5" fillId="0" borderId="6" xfId="3" applyFont="1" applyBorder="1" applyAlignment="1">
      <alignment horizontal="center"/>
    </xf>
    <xf numFmtId="43" fontId="5" fillId="3" borderId="7" xfId="1" applyFont="1" applyFill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3" fillId="3" borderId="7" xfId="3" applyFont="1" applyFill="1" applyBorder="1"/>
    <xf numFmtId="43" fontId="6" fillId="3" borderId="7" xfId="1" applyFont="1" applyFill="1" applyBorder="1" applyAlignment="1">
      <alignment horizontal="center"/>
    </xf>
    <xf numFmtId="0" fontId="6" fillId="0" borderId="6" xfId="3" applyFont="1" applyBorder="1" applyAlignment="1">
      <alignment horizontal="center"/>
    </xf>
    <xf numFmtId="0" fontId="6" fillId="0" borderId="7" xfId="3" applyFont="1" applyBorder="1" applyAlignment="1">
      <alignment horizontal="center"/>
    </xf>
    <xf numFmtId="0" fontId="6" fillId="3" borderId="7" xfId="3" applyFont="1" applyFill="1" applyBorder="1"/>
    <xf numFmtId="0" fontId="6" fillId="3" borderId="7" xfId="2" applyFont="1" applyFill="1" applyBorder="1"/>
    <xf numFmtId="43" fontId="3" fillId="3" borderId="7" xfId="1" applyFont="1" applyFill="1" applyBorder="1" applyAlignment="1">
      <alignment horizontal="center"/>
    </xf>
    <xf numFmtId="0" fontId="3" fillId="0" borderId="8" xfId="5" applyFont="1" applyBorder="1" applyAlignment="1">
      <alignment horizontal="center"/>
    </xf>
    <xf numFmtId="0" fontId="3" fillId="0" borderId="7" xfId="5" applyFont="1" applyBorder="1" applyAlignment="1">
      <alignment horizontal="center"/>
    </xf>
    <xf numFmtId="0" fontId="3" fillId="0" borderId="8" xfId="5" applyFont="1" applyBorder="1"/>
    <xf numFmtId="0" fontId="3" fillId="0" borderId="9" xfId="5" applyFont="1" applyBorder="1" applyAlignment="1">
      <alignment horizontal="center"/>
    </xf>
    <xf numFmtId="0" fontId="3" fillId="0" borderId="10" xfId="5" applyFont="1" applyBorder="1" applyAlignment="1">
      <alignment horizontal="center"/>
    </xf>
    <xf numFmtId="0" fontId="3" fillId="0" borderId="11" xfId="5" applyFont="1" applyBorder="1"/>
    <xf numFmtId="0" fontId="3" fillId="0" borderId="12" xfId="5" applyFont="1" applyBorder="1" applyAlignment="1">
      <alignment horizontal="center"/>
    </xf>
    <xf numFmtId="0" fontId="3" fillId="0" borderId="12" xfId="5" applyFont="1" applyBorder="1"/>
    <xf numFmtId="0" fontId="3" fillId="0" borderId="13" xfId="5" applyFont="1" applyBorder="1" applyAlignment="1">
      <alignment horizontal="center"/>
    </xf>
    <xf numFmtId="0" fontId="3" fillId="0" borderId="14" xfId="5" applyFont="1" applyBorder="1" applyAlignment="1">
      <alignment horizontal="center"/>
    </xf>
    <xf numFmtId="43" fontId="3" fillId="0" borderId="7" xfId="1" applyFont="1" applyBorder="1"/>
    <xf numFmtId="0" fontId="3" fillId="0" borderId="7" xfId="5" applyFont="1" applyBorder="1"/>
    <xf numFmtId="0" fontId="3" fillId="0" borderId="15" xfId="5" applyFont="1" applyBorder="1"/>
    <xf numFmtId="43" fontId="3" fillId="0" borderId="16" xfId="1" applyFont="1" applyBorder="1"/>
    <xf numFmtId="0" fontId="0" fillId="0" borderId="7" xfId="0" applyBorder="1"/>
    <xf numFmtId="0" fontId="5" fillId="0" borderId="0" xfId="3" applyFont="1" applyAlignment="1">
      <alignment horizontal="center"/>
    </xf>
    <xf numFmtId="0" fontId="3" fillId="3" borderId="0" xfId="3" applyFont="1" applyFill="1"/>
    <xf numFmtId="43" fontId="3" fillId="0" borderId="0" xfId="1" applyFont="1"/>
    <xf numFmtId="0" fontId="3" fillId="0" borderId="0" xfId="5" applyFont="1" applyAlignment="1">
      <alignment horizontal="center"/>
    </xf>
    <xf numFmtId="0" fontId="3" fillId="0" borderId="0" xfId="5" applyFont="1"/>
    <xf numFmtId="43" fontId="5" fillId="3" borderId="0" xfId="1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43" fontId="0" fillId="0" borderId="7" xfId="1" applyFont="1" applyBorder="1"/>
    <xf numFmtId="0" fontId="0" fillId="0" borderId="11" xfId="0" applyBorder="1"/>
    <xf numFmtId="43" fontId="3" fillId="0" borderId="11" xfId="1" applyFont="1" applyBorder="1"/>
    <xf numFmtId="43" fontId="3" fillId="0" borderId="17" xfId="1" applyFont="1" applyBorder="1"/>
    <xf numFmtId="0" fontId="6" fillId="3" borderId="7" xfId="3" applyFont="1" applyFill="1" applyBorder="1" applyAlignment="1">
      <alignment horizontal="left"/>
    </xf>
    <xf numFmtId="43" fontId="0" fillId="0" borderId="0" xfId="0" applyNumberFormat="1"/>
    <xf numFmtId="43" fontId="6" fillId="0" borderId="12" xfId="1" applyFont="1" applyBorder="1" applyAlignment="1">
      <alignment horizontal="center"/>
    </xf>
    <xf numFmtId="43" fontId="6" fillId="0" borderId="7" xfId="1" applyFont="1" applyBorder="1"/>
    <xf numFmtId="0" fontId="3" fillId="3" borderId="12" xfId="3" applyFont="1" applyFill="1" applyBorder="1" applyAlignment="1">
      <alignment horizontal="left"/>
    </xf>
    <xf numFmtId="0" fontId="9" fillId="3" borderId="7" xfId="0" applyFont="1" applyFill="1" applyBorder="1"/>
    <xf numFmtId="0" fontId="9" fillId="3" borderId="8" xfId="0" applyFont="1" applyFill="1" applyBorder="1"/>
    <xf numFmtId="43" fontId="6" fillId="0" borderId="8" xfId="1" applyFont="1" applyBorder="1"/>
    <xf numFmtId="0" fontId="15" fillId="0" borderId="0" xfId="0" applyFont="1"/>
    <xf numFmtId="43" fontId="15" fillId="0" borderId="7" xfId="1" applyFont="1" applyBorder="1"/>
    <xf numFmtId="0" fontId="16" fillId="0" borderId="0" xfId="0" applyFont="1"/>
    <xf numFmtId="43" fontId="7" fillId="0" borderId="7" xfId="1" applyFont="1" applyBorder="1"/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10" fillId="3" borderId="7" xfId="0" applyFont="1" applyFill="1" applyBorder="1"/>
    <xf numFmtId="0" fontId="10" fillId="0" borderId="8" xfId="0" applyFont="1" applyBorder="1"/>
    <xf numFmtId="0" fontId="10" fillId="0" borderId="7" xfId="2" applyFont="1" applyBorder="1"/>
    <xf numFmtId="0" fontId="8" fillId="0" borderId="0" xfId="3" applyFont="1"/>
    <xf numFmtId="0" fontId="10" fillId="0" borderId="7" xfId="2" applyFont="1" applyBorder="1" applyAlignment="1">
      <alignment wrapText="1"/>
    </xf>
    <xf numFmtId="0" fontId="17" fillId="0" borderId="0" xfId="3" applyFont="1" applyAlignment="1">
      <alignment horizontal="center"/>
    </xf>
    <xf numFmtId="0" fontId="19" fillId="0" borderId="0" xfId="3" applyFont="1"/>
    <xf numFmtId="43" fontId="8" fillId="0" borderId="0" xfId="3" applyNumberFormat="1" applyFont="1"/>
    <xf numFmtId="0" fontId="7" fillId="0" borderId="0" xfId="3" applyFont="1"/>
    <xf numFmtId="0" fontId="16" fillId="0" borderId="0" xfId="3" applyFont="1"/>
    <xf numFmtId="43" fontId="16" fillId="0" borderId="0" xfId="3" applyNumberFormat="1" applyFont="1"/>
    <xf numFmtId="0" fontId="6" fillId="0" borderId="0" xfId="3" applyFont="1"/>
    <xf numFmtId="0" fontId="18" fillId="0" borderId="7" xfId="4" applyFont="1" applyBorder="1" applyAlignment="1">
      <alignment horizontal="center"/>
    </xf>
    <xf numFmtId="43" fontId="18" fillId="0" borderId="7" xfId="1" applyFont="1" applyBorder="1"/>
    <xf numFmtId="0" fontId="15" fillId="0" borderId="7" xfId="0" applyFont="1" applyBorder="1" applyAlignment="1">
      <alignment horizontal="center"/>
    </xf>
    <xf numFmtId="43" fontId="18" fillId="0" borderId="7" xfId="1" applyFont="1" applyBorder="1" applyAlignment="1">
      <alignment horizontal="center"/>
    </xf>
    <xf numFmtId="0" fontId="15" fillId="3" borderId="7" xfId="0" applyFont="1" applyFill="1" applyBorder="1"/>
    <xf numFmtId="0" fontId="15" fillId="3" borderId="8" xfId="0" applyFont="1" applyFill="1" applyBorder="1"/>
    <xf numFmtId="0" fontId="15" fillId="0" borderId="8" xfId="0" applyFont="1" applyBorder="1"/>
    <xf numFmtId="43" fontId="18" fillId="0" borderId="8" xfId="1" applyFont="1" applyBorder="1"/>
    <xf numFmtId="2" fontId="15" fillId="0" borderId="8" xfId="0" applyNumberFormat="1" applyFont="1" applyBorder="1"/>
    <xf numFmtId="43" fontId="15" fillId="0" borderId="8" xfId="1" applyFont="1" applyBorder="1"/>
    <xf numFmtId="0" fontId="15" fillId="0" borderId="0" xfId="0" applyFont="1" applyAlignment="1">
      <alignment horizontal="center"/>
    </xf>
    <xf numFmtId="0" fontId="4" fillId="2" borderId="1" xfId="3" applyFont="1" applyFill="1" applyBorder="1"/>
    <xf numFmtId="0" fontId="4" fillId="2" borderId="1" xfId="3" applyFont="1" applyFill="1" applyBorder="1" applyAlignment="1">
      <alignment horizontal="left"/>
    </xf>
    <xf numFmtId="0" fontId="4" fillId="2" borderId="5" xfId="3" applyFont="1" applyFill="1" applyBorder="1"/>
    <xf numFmtId="0" fontId="4" fillId="2" borderId="1" xfId="3" applyFont="1" applyFill="1" applyBorder="1" applyAlignment="1">
      <alignment horizontal="center" wrapText="1"/>
    </xf>
    <xf numFmtId="0" fontId="4" fillId="2" borderId="22" xfId="3" applyFont="1" applyFill="1" applyBorder="1" applyAlignment="1">
      <alignment horizontal="center"/>
    </xf>
    <xf numFmtId="43" fontId="18" fillId="0" borderId="18" xfId="1" applyFont="1" applyBorder="1"/>
    <xf numFmtId="0" fontId="18" fillId="3" borderId="7" xfId="4" applyFont="1" applyFill="1" applyBorder="1" applyAlignment="1">
      <alignment horizontal="center"/>
    </xf>
    <xf numFmtId="43" fontId="18" fillId="3" borderId="7" xfId="1" applyFont="1" applyFill="1" applyBorder="1"/>
    <xf numFmtId="0" fontId="15" fillId="3" borderId="7" xfId="0" applyFont="1" applyFill="1" applyBorder="1" applyAlignment="1">
      <alignment horizontal="center"/>
    </xf>
    <xf numFmtId="43" fontId="15" fillId="3" borderId="7" xfId="1" applyFont="1" applyFill="1" applyBorder="1"/>
    <xf numFmtId="43" fontId="15" fillId="3" borderId="8" xfId="0" applyNumberFormat="1" applyFont="1" applyFill="1" applyBorder="1"/>
    <xf numFmtId="2" fontId="15" fillId="3" borderId="7" xfId="0" applyNumberFormat="1" applyFont="1" applyFill="1" applyBorder="1"/>
    <xf numFmtId="43" fontId="15" fillId="3" borderId="7" xfId="0" applyNumberFormat="1" applyFont="1" applyFill="1" applyBorder="1"/>
    <xf numFmtId="43" fontId="18" fillId="3" borderId="7" xfId="1" applyFont="1" applyFill="1" applyBorder="1" applyAlignment="1">
      <alignment horizontal="center"/>
    </xf>
    <xf numFmtId="0" fontId="15" fillId="3" borderId="0" xfId="0" applyFont="1" applyFill="1"/>
    <xf numFmtId="43" fontId="18" fillId="3" borderId="8" xfId="1" applyFont="1" applyFill="1" applyBorder="1"/>
    <xf numFmtId="2" fontId="15" fillId="3" borderId="8" xfId="0" applyNumberFormat="1" applyFont="1" applyFill="1" applyBorder="1"/>
    <xf numFmtId="43" fontId="15" fillId="3" borderId="8" xfId="1" applyFont="1" applyFill="1" applyBorder="1"/>
    <xf numFmtId="0" fontId="15" fillId="3" borderId="0" xfId="0" applyFont="1" applyFill="1" applyAlignment="1">
      <alignment horizontal="left"/>
    </xf>
    <xf numFmtId="0" fontId="18" fillId="0" borderId="8" xfId="0" applyFont="1" applyBorder="1"/>
    <xf numFmtId="0" fontId="15" fillId="0" borderId="8" xfId="0" applyFont="1" applyBorder="1" applyAlignment="1">
      <alignment horizontal="center"/>
    </xf>
    <xf numFmtId="0" fontId="4" fillId="3" borderId="12" xfId="3" applyFont="1" applyFill="1" applyBorder="1" applyAlignment="1">
      <alignment horizontal="center"/>
    </xf>
    <xf numFmtId="0" fontId="10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43" fontId="9" fillId="0" borderId="7" xfId="0" applyNumberFormat="1" applyFont="1" applyBorder="1"/>
    <xf numFmtId="43" fontId="16" fillId="0" borderId="7" xfId="0" applyNumberFormat="1" applyFont="1" applyBorder="1"/>
    <xf numFmtId="43" fontId="16" fillId="0" borderId="12" xfId="0" applyNumberFormat="1" applyFont="1" applyBorder="1"/>
    <xf numFmtId="0" fontId="21" fillId="0" borderId="0" xfId="0" applyFont="1" applyAlignment="1">
      <alignment horizontal="center"/>
    </xf>
    <xf numFmtId="43" fontId="16" fillId="0" borderId="0" xfId="0" applyNumberFormat="1" applyFont="1"/>
    <xf numFmtId="43" fontId="0" fillId="0" borderId="7" xfId="1" applyFont="1" applyBorder="1" applyAlignment="1">
      <alignment horizontal="center"/>
    </xf>
    <xf numFmtId="43" fontId="0" fillId="0" borderId="7" xfId="0" applyNumberFormat="1" applyBorder="1" applyAlignment="1">
      <alignment horizontal="center"/>
    </xf>
    <xf numFmtId="0" fontId="0" fillId="0" borderId="7" xfId="0" applyBorder="1" applyAlignment="1">
      <alignment wrapText="1"/>
    </xf>
    <xf numFmtId="43" fontId="13" fillId="0" borderId="7" xfId="0" applyNumberFormat="1" applyFont="1" applyBorder="1" applyAlignment="1">
      <alignment horizontal="right"/>
    </xf>
    <xf numFmtId="43" fontId="0" fillId="0" borderId="7" xfId="0" applyNumberFormat="1" applyBorder="1"/>
    <xf numFmtId="0" fontId="15" fillId="0" borderId="7" xfId="0" applyFont="1" applyBorder="1" applyAlignment="1">
      <alignment horizontal="center" wrapText="1"/>
    </xf>
    <xf numFmtId="0" fontId="15" fillId="0" borderId="7" xfId="0" applyFont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wrapText="1"/>
    </xf>
    <xf numFmtId="49" fontId="0" fillId="0" borderId="7" xfId="0" applyNumberFormat="1" applyBorder="1"/>
    <xf numFmtId="0" fontId="4" fillId="2" borderId="1" xfId="3" applyFont="1" applyFill="1" applyBorder="1" applyAlignment="1">
      <alignment horizontal="center"/>
    </xf>
    <xf numFmtId="0" fontId="4" fillId="2" borderId="5" xfId="3" applyFont="1" applyFill="1" applyBorder="1" applyAlignment="1">
      <alignment horizontal="center"/>
    </xf>
    <xf numFmtId="0" fontId="23" fillId="0" borderId="24" xfId="0" applyFont="1" applyBorder="1"/>
    <xf numFmtId="0" fontId="0" fillId="0" borderId="24" xfId="0" applyBorder="1"/>
    <xf numFmtId="0" fontId="0" fillId="0" borderId="19" xfId="0" applyBorder="1"/>
    <xf numFmtId="0" fontId="0" fillId="0" borderId="21" xfId="0" applyBorder="1"/>
    <xf numFmtId="0" fontId="0" fillId="0" borderId="0" xfId="0" applyBorder="1"/>
    <xf numFmtId="0" fontId="24" fillId="0" borderId="29" xfId="0" applyFont="1" applyBorder="1" applyAlignment="1">
      <alignment vertical="center"/>
    </xf>
    <xf numFmtId="0" fontId="0" fillId="0" borderId="29" xfId="0" applyBorder="1"/>
    <xf numFmtId="0" fontId="0" fillId="0" borderId="27" xfId="0" applyBorder="1"/>
    <xf numFmtId="0" fontId="0" fillId="0" borderId="28" xfId="0" applyBorder="1"/>
    <xf numFmtId="0" fontId="10" fillId="0" borderId="24" xfId="0" applyFont="1" applyBorder="1"/>
    <xf numFmtId="0" fontId="10" fillId="0" borderId="0" xfId="0" applyFont="1" applyBorder="1"/>
    <xf numFmtId="0" fontId="10" fillId="0" borderId="19" xfId="0" applyFont="1" applyBorder="1"/>
    <xf numFmtId="0" fontId="15" fillId="3" borderId="12" xfId="2" applyFont="1" applyFill="1" applyBorder="1"/>
    <xf numFmtId="0" fontId="18" fillId="3" borderId="12" xfId="4" applyFont="1" applyFill="1" applyBorder="1" applyAlignment="1">
      <alignment horizontal="center"/>
    </xf>
    <xf numFmtId="43" fontId="18" fillId="3" borderId="12" xfId="1" applyFont="1" applyFill="1" applyBorder="1"/>
    <xf numFmtId="0" fontId="15" fillId="3" borderId="12" xfId="0" applyFont="1" applyFill="1" applyBorder="1" applyAlignment="1">
      <alignment horizontal="center"/>
    </xf>
    <xf numFmtId="43" fontId="15" fillId="3" borderId="12" xfId="1" applyFont="1" applyFill="1" applyBorder="1"/>
    <xf numFmtId="43" fontId="15" fillId="3" borderId="11" xfId="0" applyNumberFormat="1" applyFont="1" applyFill="1" applyBorder="1"/>
    <xf numFmtId="2" fontId="15" fillId="3" borderId="12" xfId="0" applyNumberFormat="1" applyFont="1" applyFill="1" applyBorder="1"/>
    <xf numFmtId="0" fontId="15" fillId="3" borderId="12" xfId="0" applyFont="1" applyFill="1" applyBorder="1"/>
    <xf numFmtId="43" fontId="15" fillId="3" borderId="12" xfId="0" applyNumberFormat="1" applyFont="1" applyFill="1" applyBorder="1"/>
    <xf numFmtId="43" fontId="18" fillId="3" borderId="12" xfId="1" applyFont="1" applyFill="1" applyBorder="1" applyAlignment="1">
      <alignment horizontal="center"/>
    </xf>
    <xf numFmtId="0" fontId="4" fillId="2" borderId="30" xfId="3" applyFont="1" applyFill="1" applyBorder="1" applyAlignment="1">
      <alignment horizontal="center"/>
    </xf>
    <xf numFmtId="0" fontId="4" fillId="2" borderId="30" xfId="3" applyFont="1" applyFill="1" applyBorder="1"/>
    <xf numFmtId="0" fontId="4" fillId="2" borderId="30" xfId="3" applyFont="1" applyFill="1" applyBorder="1" applyAlignment="1">
      <alignment horizontal="center" wrapText="1"/>
    </xf>
    <xf numFmtId="0" fontId="4" fillId="2" borderId="30" xfId="3" applyFont="1" applyFill="1" applyBorder="1" applyAlignment="1">
      <alignment horizontal="left"/>
    </xf>
    <xf numFmtId="0" fontId="4" fillId="0" borderId="0" xfId="3" applyFont="1" applyBorder="1"/>
    <xf numFmtId="43" fontId="8" fillId="0" borderId="0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4" fillId="0" borderId="31" xfId="3" applyFont="1" applyBorder="1"/>
    <xf numFmtId="0" fontId="4" fillId="0" borderId="32" xfId="3" applyFont="1" applyBorder="1"/>
    <xf numFmtId="43" fontId="8" fillId="0" borderId="32" xfId="1" applyFont="1" applyBorder="1" applyAlignment="1">
      <alignment horizontal="center"/>
    </xf>
    <xf numFmtId="43" fontId="4" fillId="0" borderId="33" xfId="1" applyFont="1" applyBorder="1" applyAlignment="1">
      <alignment horizontal="center"/>
    </xf>
    <xf numFmtId="0" fontId="3" fillId="0" borderId="8" xfId="5" applyFont="1" applyBorder="1" applyAlignment="1">
      <alignment horizontal="center"/>
    </xf>
    <xf numFmtId="0" fontId="3" fillId="0" borderId="12" xfId="5" applyFont="1" applyBorder="1" applyAlignment="1">
      <alignment horizontal="center"/>
    </xf>
    <xf numFmtId="0" fontId="3" fillId="0" borderId="0" xfId="5" applyFont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14" fillId="3" borderId="29" xfId="0" applyFont="1" applyFill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4" fillId="2" borderId="5" xfId="3" applyFont="1" applyFill="1" applyBorder="1" applyAlignment="1">
      <alignment horizontal="center"/>
    </xf>
    <xf numFmtId="0" fontId="4" fillId="2" borderId="2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4" fillId="2" borderId="5" xfId="3" applyFont="1" applyFill="1" applyBorder="1" applyAlignment="1">
      <alignment horizontal="center" wrapText="1"/>
    </xf>
    <xf numFmtId="0" fontId="4" fillId="2" borderId="30" xfId="3" applyFont="1" applyFill="1" applyBorder="1" applyAlignment="1">
      <alignment horizontal="center" wrapText="1"/>
    </xf>
    <xf numFmtId="0" fontId="17" fillId="0" borderId="0" xfId="3" applyFont="1" applyAlignment="1">
      <alignment horizontal="center"/>
    </xf>
    <xf numFmtId="0" fontId="8" fillId="0" borderId="0" xfId="3" applyFont="1" applyBorder="1" applyAlignment="1">
      <alignment horizontal="center"/>
    </xf>
    <xf numFmtId="0" fontId="17" fillId="0" borderId="0" xfId="3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 indent="1"/>
    </xf>
    <xf numFmtId="0" fontId="20" fillId="0" borderId="25" xfId="0" applyFont="1" applyBorder="1" applyAlignment="1">
      <alignment horizontal="left" indent="1"/>
    </xf>
    <xf numFmtId="0" fontId="21" fillId="0" borderId="7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12" fillId="0" borderId="25" xfId="0" applyFont="1" applyBorder="1" applyAlignment="1">
      <alignment horizontal="left" indent="1"/>
    </xf>
  </cellXfs>
  <cellStyles count="6">
    <cellStyle name="Comma" xfId="1" builtinId="3"/>
    <cellStyle name="Normal" xfId="0" builtinId="0"/>
    <cellStyle name="Normal_Aser H.Off." xfId="4"/>
    <cellStyle name="Normal_Sheet1" xfId="3"/>
    <cellStyle name="Normal_Sheet2" xfId="5"/>
    <cellStyle name="Normal_Sheet4" xfId="2"/>
  </cellStyles>
  <dxfs count="0"/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34635</xdr:rowOff>
    </xdr:from>
    <xdr:to>
      <xdr:col>3</xdr:col>
      <xdr:colOff>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21468"/>
          <a:ext cx="2550583" cy="65328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36"/>
  <sheetViews>
    <sheetView topLeftCell="A1596" workbookViewId="0">
      <selection activeCell="P1634" sqref="P1634"/>
    </sheetView>
  </sheetViews>
  <sheetFormatPr defaultRowHeight="15"/>
  <cols>
    <col min="1" max="1" width="6.42578125" customWidth="1"/>
    <col min="2" max="2" width="21.85546875" customWidth="1"/>
    <col min="3" max="3" width="10.85546875" customWidth="1"/>
    <col min="9" max="9" width="9.28515625" customWidth="1"/>
    <col min="10" max="10" width="12.140625" customWidth="1"/>
    <col min="11" max="11" width="9.42578125" customWidth="1"/>
    <col min="13" max="13" width="11.5703125" customWidth="1"/>
    <col min="16" max="16" width="9.5703125" bestFit="1" customWidth="1"/>
  </cols>
  <sheetData>
    <row r="1" spans="1:13">
      <c r="A1" t="s">
        <v>35</v>
      </c>
      <c r="I1" t="s">
        <v>49</v>
      </c>
    </row>
    <row r="2" spans="1:13">
      <c r="A2" t="s">
        <v>36</v>
      </c>
    </row>
    <row r="3" spans="1:13">
      <c r="A3" s="149" t="s">
        <v>37</v>
      </c>
      <c r="B3" s="11" t="s">
        <v>38</v>
      </c>
      <c r="C3" s="12" t="s">
        <v>39</v>
      </c>
      <c r="D3" s="11" t="s">
        <v>40</v>
      </c>
      <c r="E3" s="11" t="s">
        <v>41</v>
      </c>
      <c r="F3" s="13"/>
      <c r="G3" s="13"/>
      <c r="H3" s="14"/>
      <c r="I3" s="15" t="s">
        <v>41</v>
      </c>
      <c r="J3" s="13"/>
      <c r="K3" s="13"/>
      <c r="L3" s="11"/>
      <c r="M3" s="16" t="s">
        <v>42</v>
      </c>
    </row>
    <row r="4" spans="1:13">
      <c r="A4" s="150"/>
      <c r="B4" s="17"/>
      <c r="C4" s="12" t="s">
        <v>43</v>
      </c>
      <c r="D4" s="17"/>
      <c r="E4" s="17" t="s">
        <v>44</v>
      </c>
      <c r="F4" s="18" t="s">
        <v>45</v>
      </c>
      <c r="G4" s="18" t="s">
        <v>46</v>
      </c>
      <c r="H4" s="19" t="s">
        <v>47</v>
      </c>
      <c r="I4" s="20" t="s">
        <v>44</v>
      </c>
      <c r="J4" s="18" t="s">
        <v>45</v>
      </c>
      <c r="K4" s="18" t="s">
        <v>46</v>
      </c>
      <c r="L4" s="17" t="s">
        <v>47</v>
      </c>
      <c r="M4" s="18" t="s">
        <v>48</v>
      </c>
    </row>
    <row r="5" spans="1:13" ht="21" customHeight="1">
      <c r="A5" s="1">
        <v>1</v>
      </c>
      <c r="B5" s="4" t="s">
        <v>34</v>
      </c>
      <c r="C5" s="10">
        <v>1600</v>
      </c>
      <c r="D5" s="21">
        <f>C5/208</f>
        <v>7.6923076923076925</v>
      </c>
      <c r="E5" s="22">
        <v>45</v>
      </c>
      <c r="F5" s="22"/>
      <c r="G5" s="22">
        <v>16</v>
      </c>
      <c r="H5" s="23"/>
      <c r="I5" s="24">
        <f>D5*E5*1.25</f>
        <v>432.69230769230774</v>
      </c>
      <c r="J5" s="21">
        <f>D5*F5*1.5</f>
        <v>0</v>
      </c>
      <c r="K5" s="21">
        <f>D5*G5*2</f>
        <v>246.15384615384616</v>
      </c>
      <c r="L5" s="21">
        <f>D5*H5*2.5</f>
        <v>0</v>
      </c>
      <c r="M5" s="21">
        <f>I5+J5+K5+L5</f>
        <v>678.84615384615392</v>
      </c>
    </row>
    <row r="6" spans="1:13">
      <c r="A6" s="3">
        <v>1</v>
      </c>
      <c r="B6" s="4" t="s">
        <v>52</v>
      </c>
      <c r="C6" s="25">
        <v>5000</v>
      </c>
      <c r="D6" s="21">
        <f>C6/208</f>
        <v>24.03846153846154</v>
      </c>
      <c r="E6" s="25">
        <v>32</v>
      </c>
      <c r="F6" s="25"/>
      <c r="G6" s="25">
        <v>16</v>
      </c>
      <c r="H6" s="25">
        <v>9.5</v>
      </c>
      <c r="I6" s="24">
        <f>D6*E6*1.25</f>
        <v>961.53846153846166</v>
      </c>
      <c r="J6" s="21">
        <f>D6*F6*1.5</f>
        <v>0</v>
      </c>
      <c r="K6" s="21">
        <f>D6*G6*2</f>
        <v>769.23076923076928</v>
      </c>
      <c r="L6" s="21">
        <f>D6*H6*2.5</f>
        <v>570.91346153846166</v>
      </c>
      <c r="M6" s="21">
        <f>I6+J6+K6+L6</f>
        <v>2301.6826923076924</v>
      </c>
    </row>
    <row r="7" spans="1:13">
      <c r="A7" s="1">
        <v>1</v>
      </c>
      <c r="B7" s="4" t="s">
        <v>53</v>
      </c>
      <c r="C7" s="25">
        <v>4200</v>
      </c>
      <c r="D7" s="21">
        <f>C7/208</f>
        <v>20.192307692307693</v>
      </c>
      <c r="E7" s="25">
        <v>33.5</v>
      </c>
      <c r="F7" s="25"/>
      <c r="G7" s="25">
        <v>8</v>
      </c>
      <c r="H7" s="25"/>
      <c r="I7" s="24">
        <f>D7*E7*1.25</f>
        <v>845.55288461538464</v>
      </c>
      <c r="J7" s="21">
        <f>D7*F7*1.5</f>
        <v>0</v>
      </c>
      <c r="K7" s="21">
        <f>D7*G7*2</f>
        <v>323.07692307692309</v>
      </c>
      <c r="L7" s="21">
        <f>D7*H7*2.5</f>
        <v>0</v>
      </c>
      <c r="M7" s="21">
        <f>I7+J7+K7+L7</f>
        <v>1168.6298076923076</v>
      </c>
    </row>
    <row r="8" spans="1:13">
      <c r="A8" s="26"/>
      <c r="B8" s="27"/>
      <c r="D8" s="28"/>
      <c r="I8" s="28"/>
      <c r="J8" s="28"/>
      <c r="K8" s="28"/>
      <c r="L8" s="28"/>
      <c r="M8" s="28"/>
    </row>
    <row r="9" spans="1:13">
      <c r="A9" s="26"/>
      <c r="B9" s="27"/>
      <c r="D9" s="28"/>
      <c r="I9" s="28"/>
      <c r="J9" s="28"/>
      <c r="K9" s="28"/>
      <c r="L9" s="28"/>
      <c r="M9" s="28"/>
    </row>
    <row r="10" spans="1:13">
      <c r="A10" s="26"/>
      <c r="B10" s="27"/>
      <c r="D10" s="28"/>
      <c r="I10" s="28"/>
      <c r="J10" s="28"/>
      <c r="K10" s="28"/>
      <c r="L10" s="28"/>
      <c r="M10" s="28"/>
    </row>
    <row r="11" spans="1:13">
      <c r="A11" s="26"/>
      <c r="B11" s="27"/>
      <c r="D11" s="28"/>
      <c r="I11" s="28"/>
      <c r="J11" s="28"/>
      <c r="K11" s="28"/>
      <c r="L11" s="28"/>
      <c r="M11" s="28"/>
    </row>
    <row r="12" spans="1:13">
      <c r="A12" s="26"/>
      <c r="B12" s="27"/>
      <c r="D12" s="28"/>
      <c r="I12" s="28"/>
      <c r="J12" s="28"/>
      <c r="K12" s="28"/>
      <c r="L12" s="28"/>
      <c r="M12" s="28"/>
    </row>
    <row r="13" spans="1:13">
      <c r="A13" s="26"/>
      <c r="B13" s="27"/>
      <c r="D13" s="28"/>
      <c r="I13" s="28"/>
      <c r="J13" s="28"/>
      <c r="K13" s="28"/>
      <c r="L13" s="28"/>
      <c r="M13" s="28"/>
    </row>
    <row r="14" spans="1:13">
      <c r="A14" s="26"/>
      <c r="B14" s="27"/>
      <c r="D14" s="28"/>
      <c r="I14" s="28"/>
      <c r="J14" s="28"/>
      <c r="K14" s="28"/>
      <c r="L14" s="28"/>
      <c r="M14" s="28"/>
    </row>
    <row r="15" spans="1:13">
      <c r="A15" s="26"/>
      <c r="B15" s="27"/>
      <c r="D15" s="28"/>
      <c r="I15" s="28"/>
      <c r="J15" s="28"/>
      <c r="K15" s="28"/>
      <c r="L15" s="28"/>
      <c r="M15" s="28"/>
    </row>
    <row r="16" spans="1:13">
      <c r="A16" s="26"/>
      <c r="B16" s="27"/>
      <c r="D16" s="28"/>
      <c r="I16" s="28"/>
      <c r="J16" s="28"/>
      <c r="K16" s="28"/>
      <c r="L16" s="28"/>
      <c r="M16" s="28"/>
    </row>
    <row r="17" spans="1:13" ht="18" customHeight="1">
      <c r="A17" s="26"/>
      <c r="B17" s="27"/>
      <c r="D17" s="28"/>
      <c r="I17" s="28"/>
      <c r="J17" s="28"/>
      <c r="K17" s="28"/>
      <c r="L17" s="28"/>
      <c r="M17" s="28"/>
    </row>
    <row r="18" spans="1:13" ht="18" customHeight="1">
      <c r="A18" s="26"/>
      <c r="B18" s="27"/>
      <c r="D18" s="28"/>
      <c r="I18" s="28"/>
      <c r="J18" s="28"/>
      <c r="K18" s="28"/>
      <c r="L18" s="28"/>
      <c r="M18" s="28"/>
    </row>
    <row r="19" spans="1:13" ht="18" customHeight="1">
      <c r="A19" s="26"/>
      <c r="B19" s="27"/>
      <c r="D19" s="28"/>
      <c r="I19" s="28"/>
      <c r="J19" s="28"/>
      <c r="K19" s="28"/>
      <c r="L19" s="28"/>
      <c r="M19" s="28"/>
    </row>
    <row r="20" spans="1:13" ht="18" customHeight="1">
      <c r="A20" s="26"/>
      <c r="B20" s="27"/>
      <c r="D20" s="28"/>
      <c r="I20" s="28"/>
      <c r="J20" s="28"/>
      <c r="K20" s="28"/>
      <c r="L20" s="28"/>
      <c r="M20" s="28"/>
    </row>
    <row r="21" spans="1:13" ht="18" customHeight="1">
      <c r="A21" s="26"/>
      <c r="B21" s="27"/>
      <c r="D21" s="28"/>
      <c r="I21" s="28"/>
      <c r="J21" s="28"/>
      <c r="K21" s="28"/>
      <c r="L21" s="28"/>
      <c r="M21" s="28"/>
    </row>
    <row r="22" spans="1:13" ht="18" customHeight="1">
      <c r="A22" s="26"/>
      <c r="B22" s="27"/>
      <c r="D22" s="28"/>
      <c r="I22" s="28"/>
      <c r="J22" s="28"/>
      <c r="K22" s="28"/>
      <c r="L22" s="28"/>
      <c r="M22" s="28"/>
    </row>
    <row r="23" spans="1:13" ht="18" customHeight="1">
      <c r="A23" s="26"/>
      <c r="B23" s="27"/>
      <c r="D23" s="28"/>
      <c r="I23" s="28"/>
      <c r="J23" s="28"/>
      <c r="K23" s="28"/>
      <c r="L23" s="28"/>
      <c r="M23" s="28"/>
    </row>
    <row r="24" spans="1:13" ht="18" customHeight="1">
      <c r="A24" s="26"/>
      <c r="B24" s="27"/>
      <c r="D24" s="28"/>
      <c r="I24" s="28"/>
      <c r="J24" s="28"/>
      <c r="K24" s="28"/>
      <c r="L24" s="28"/>
      <c r="M24" s="28"/>
    </row>
    <row r="25" spans="1:13" ht="18" customHeight="1">
      <c r="A25" s="26"/>
      <c r="B25" s="27"/>
      <c r="D25" s="28"/>
      <c r="I25" s="28"/>
      <c r="J25" s="28"/>
      <c r="K25" s="28"/>
      <c r="L25" s="28"/>
      <c r="M25" s="28"/>
    </row>
    <row r="26" spans="1:13" ht="18" customHeight="1">
      <c r="A26" s="26"/>
      <c r="B26" s="27"/>
      <c r="D26" s="28"/>
      <c r="I26" s="28"/>
      <c r="J26" s="28"/>
      <c r="K26" s="28"/>
      <c r="L26" s="28"/>
      <c r="M26" s="28"/>
    </row>
    <row r="27" spans="1:13" ht="18" customHeight="1">
      <c r="A27" s="26"/>
      <c r="B27" s="27"/>
      <c r="D27" s="28"/>
      <c r="I27" s="28"/>
      <c r="J27" s="28"/>
      <c r="K27" s="28"/>
      <c r="L27" s="28"/>
      <c r="M27" s="28"/>
    </row>
    <row r="28" spans="1:13">
      <c r="A28" s="26"/>
      <c r="B28" s="27"/>
      <c r="D28" s="28"/>
      <c r="I28" s="28"/>
      <c r="J28" s="28"/>
      <c r="K28" s="28"/>
      <c r="L28" s="28"/>
      <c r="M28" s="28"/>
    </row>
    <row r="29" spans="1:13">
      <c r="A29" s="26"/>
      <c r="B29" s="27"/>
      <c r="D29" s="28"/>
      <c r="I29" s="28"/>
      <c r="J29" s="28"/>
      <c r="K29" s="28"/>
      <c r="L29" s="28"/>
      <c r="M29" s="28"/>
    </row>
    <row r="30" spans="1:13">
      <c r="A30" s="26"/>
      <c r="B30" s="27"/>
      <c r="D30" s="28"/>
      <c r="I30" s="28"/>
      <c r="J30" s="28"/>
      <c r="K30" s="28"/>
      <c r="L30" s="28"/>
      <c r="M30" s="28"/>
    </row>
    <row r="31" spans="1:13">
      <c r="A31" s="26"/>
      <c r="B31" s="27"/>
      <c r="D31" s="28"/>
      <c r="I31" s="28"/>
      <c r="J31" s="28"/>
      <c r="K31" s="28"/>
      <c r="L31" s="28"/>
      <c r="M31" s="28"/>
    </row>
    <row r="32" spans="1:13">
      <c r="A32" s="26"/>
      <c r="B32" s="27"/>
      <c r="D32" s="28"/>
      <c r="I32" s="28"/>
      <c r="J32" s="28"/>
      <c r="K32" s="28"/>
      <c r="L32" s="28"/>
      <c r="M32" s="28"/>
    </row>
    <row r="33" spans="1:13">
      <c r="A33" s="26"/>
      <c r="B33" s="27"/>
      <c r="D33" s="28"/>
      <c r="I33" s="28"/>
      <c r="J33" s="28"/>
      <c r="K33" s="28"/>
      <c r="L33" s="28"/>
      <c r="M33" s="28"/>
    </row>
    <row r="34" spans="1:13">
      <c r="A34" s="26"/>
      <c r="B34" s="27"/>
      <c r="D34" s="28"/>
      <c r="I34" s="28"/>
      <c r="J34" s="28"/>
      <c r="K34" s="28"/>
      <c r="L34" s="28"/>
      <c r="M34" s="28"/>
    </row>
    <row r="35" spans="1:13">
      <c r="A35" s="26"/>
      <c r="B35" s="27"/>
      <c r="D35" s="28"/>
      <c r="I35" s="28"/>
      <c r="J35" s="28"/>
      <c r="K35" s="28"/>
      <c r="L35" s="28"/>
      <c r="M35" s="28"/>
    </row>
    <row r="36" spans="1:13">
      <c r="A36" s="26"/>
      <c r="B36" s="27"/>
      <c r="D36" s="28"/>
      <c r="I36" s="28"/>
      <c r="J36" s="28"/>
      <c r="K36" s="28"/>
      <c r="L36" s="28"/>
      <c r="M36" s="28"/>
    </row>
    <row r="37" spans="1:13">
      <c r="A37" s="26"/>
      <c r="B37" s="27"/>
      <c r="D37" s="28"/>
      <c r="I37" s="28"/>
      <c r="J37" s="28"/>
      <c r="K37" s="28"/>
      <c r="L37" s="28"/>
      <c r="M37" s="28"/>
    </row>
    <row r="38" spans="1:13">
      <c r="A38" s="26"/>
      <c r="B38" s="27"/>
      <c r="D38" s="28"/>
      <c r="I38" s="28"/>
      <c r="J38" s="28"/>
      <c r="K38" s="28"/>
      <c r="L38" s="28"/>
      <c r="M38" s="28"/>
    </row>
    <row r="39" spans="1:13">
      <c r="A39" s="26"/>
      <c r="B39" s="27"/>
      <c r="D39" s="28"/>
      <c r="I39" s="28"/>
      <c r="J39" s="28"/>
      <c r="K39" s="28"/>
      <c r="L39" s="28"/>
      <c r="M39" s="28"/>
    </row>
    <row r="40" spans="1:13">
      <c r="A40" s="26"/>
      <c r="B40" s="27"/>
      <c r="D40" s="28"/>
      <c r="I40" s="28"/>
      <c r="J40" s="28"/>
      <c r="K40" s="28"/>
      <c r="L40" s="28"/>
      <c r="M40" s="28"/>
    </row>
    <row r="41" spans="1:13">
      <c r="A41" s="26"/>
      <c r="B41" s="27"/>
      <c r="D41" s="28"/>
      <c r="I41" s="28"/>
      <c r="J41" s="28"/>
      <c r="K41" s="28"/>
      <c r="L41" s="28"/>
      <c r="M41" s="28"/>
    </row>
    <row r="45" spans="1:13">
      <c r="A45" t="s">
        <v>35</v>
      </c>
      <c r="I45" t="s">
        <v>49</v>
      </c>
    </row>
    <row r="46" spans="1:13">
      <c r="A46" t="s">
        <v>36</v>
      </c>
    </row>
    <row r="47" spans="1:13">
      <c r="A47" s="149" t="s">
        <v>37</v>
      </c>
      <c r="B47" s="11" t="s">
        <v>38</v>
      </c>
      <c r="C47" s="12" t="s">
        <v>39</v>
      </c>
      <c r="D47" s="11" t="s">
        <v>40</v>
      </c>
      <c r="E47" s="11" t="s">
        <v>41</v>
      </c>
      <c r="F47" s="13"/>
      <c r="G47" s="13"/>
      <c r="H47" s="14"/>
      <c r="I47" s="15" t="s">
        <v>41</v>
      </c>
      <c r="J47" s="13"/>
      <c r="K47" s="13"/>
      <c r="L47" s="11"/>
      <c r="M47" s="16" t="s">
        <v>42</v>
      </c>
    </row>
    <row r="48" spans="1:13">
      <c r="A48" s="150"/>
      <c r="B48" s="17"/>
      <c r="C48" s="12" t="s">
        <v>43</v>
      </c>
      <c r="D48" s="17"/>
      <c r="E48" s="17" t="s">
        <v>44</v>
      </c>
      <c r="F48" s="18" t="s">
        <v>45</v>
      </c>
      <c r="G48" s="18" t="s">
        <v>46</v>
      </c>
      <c r="H48" s="19" t="s">
        <v>47</v>
      </c>
      <c r="I48" s="20" t="s">
        <v>44</v>
      </c>
      <c r="J48" s="18" t="s">
        <v>45</v>
      </c>
      <c r="K48" s="18" t="s">
        <v>46</v>
      </c>
      <c r="L48" s="17" t="s">
        <v>47</v>
      </c>
      <c r="M48" s="18" t="s">
        <v>48</v>
      </c>
    </row>
    <row r="49" spans="1:13">
      <c r="A49" s="1">
        <v>1</v>
      </c>
      <c r="B49" s="4" t="s">
        <v>54</v>
      </c>
      <c r="C49" s="2">
        <v>6500</v>
      </c>
      <c r="D49" s="21">
        <f>C49/208</f>
        <v>31.25</v>
      </c>
      <c r="E49" s="22">
        <v>18</v>
      </c>
      <c r="F49" s="22"/>
      <c r="G49" s="22">
        <v>8</v>
      </c>
      <c r="H49" s="23"/>
      <c r="I49" s="24">
        <f>D49*E49*1.25</f>
        <v>703.125</v>
      </c>
      <c r="J49" s="21">
        <f>D49*F49*1.5</f>
        <v>0</v>
      </c>
      <c r="K49" s="21">
        <f>D49*G49*2</f>
        <v>500</v>
      </c>
      <c r="L49" s="21">
        <f>D49*H49*2.5</f>
        <v>0</v>
      </c>
      <c r="M49" s="21">
        <f>I49+J49+K49+L49</f>
        <v>1203.125</v>
      </c>
    </row>
    <row r="92" spans="1:13" ht="17.25" customHeight="1"/>
    <row r="93" spans="1:13">
      <c r="A93" t="s">
        <v>35</v>
      </c>
      <c r="I93" t="s">
        <v>49</v>
      </c>
    </row>
    <row r="94" spans="1:13">
      <c r="A94" t="s">
        <v>36</v>
      </c>
    </row>
    <row r="95" spans="1:13">
      <c r="A95" s="149" t="s">
        <v>37</v>
      </c>
      <c r="B95" s="11" t="s">
        <v>38</v>
      </c>
      <c r="C95" s="12" t="s">
        <v>39</v>
      </c>
      <c r="D95" s="11" t="s">
        <v>40</v>
      </c>
      <c r="E95" s="11" t="s">
        <v>41</v>
      </c>
      <c r="F95" s="13"/>
      <c r="G95" s="13"/>
      <c r="H95" s="14"/>
      <c r="I95" s="15" t="s">
        <v>41</v>
      </c>
      <c r="J95" s="13"/>
      <c r="K95" s="13"/>
      <c r="L95" s="11"/>
      <c r="M95" s="16" t="s">
        <v>42</v>
      </c>
    </row>
    <row r="96" spans="1:13">
      <c r="A96" s="150"/>
      <c r="B96" s="17"/>
      <c r="C96" s="12" t="s">
        <v>43</v>
      </c>
      <c r="D96" s="17"/>
      <c r="E96" s="17" t="s">
        <v>44</v>
      </c>
      <c r="F96" s="18" t="s">
        <v>45</v>
      </c>
      <c r="G96" s="18" t="s">
        <v>46</v>
      </c>
      <c r="H96" s="19" t="s">
        <v>47</v>
      </c>
      <c r="I96" s="20" t="s">
        <v>44</v>
      </c>
      <c r="J96" s="18" t="s">
        <v>45</v>
      </c>
      <c r="K96" s="18" t="s">
        <v>46</v>
      </c>
      <c r="L96" s="17" t="s">
        <v>47</v>
      </c>
      <c r="M96" s="18" t="s">
        <v>48</v>
      </c>
    </row>
    <row r="97" spans="1:13">
      <c r="A97" s="1">
        <v>1</v>
      </c>
      <c r="B97" s="4" t="s">
        <v>55</v>
      </c>
      <c r="C97" s="2">
        <v>6500</v>
      </c>
      <c r="D97" s="21">
        <f>C97/208</f>
        <v>31.25</v>
      </c>
      <c r="E97" s="22">
        <v>14</v>
      </c>
      <c r="F97" s="22"/>
      <c r="G97" s="22"/>
      <c r="H97" s="23"/>
      <c r="I97" s="24">
        <f>D97*E97*1.25</f>
        <v>546.875</v>
      </c>
      <c r="J97" s="21">
        <f>D97*F97*1.5</f>
        <v>0</v>
      </c>
      <c r="K97" s="21">
        <f>D97*G97*2</f>
        <v>0</v>
      </c>
      <c r="L97" s="21">
        <f>D97*H97*2.5</f>
        <v>0</v>
      </c>
      <c r="M97" s="21">
        <f>I97+J97+K97+L97</f>
        <v>546.875</v>
      </c>
    </row>
    <row r="139" spans="1:13" ht="17.25" customHeight="1"/>
    <row r="140" spans="1:13">
      <c r="A140" t="s">
        <v>35</v>
      </c>
      <c r="I140" t="s">
        <v>49</v>
      </c>
    </row>
    <row r="141" spans="1:13">
      <c r="A141" t="s">
        <v>36</v>
      </c>
    </row>
    <row r="142" spans="1:13">
      <c r="A142" s="149" t="s">
        <v>37</v>
      </c>
      <c r="B142" s="11" t="s">
        <v>38</v>
      </c>
      <c r="C142" s="12" t="s">
        <v>39</v>
      </c>
      <c r="D142" s="11" t="s">
        <v>40</v>
      </c>
      <c r="E142" s="11" t="s">
        <v>41</v>
      </c>
      <c r="F142" s="13"/>
      <c r="G142" s="13"/>
      <c r="H142" s="14"/>
      <c r="I142" s="15" t="s">
        <v>41</v>
      </c>
      <c r="J142" s="13"/>
      <c r="K142" s="13"/>
      <c r="L142" s="11"/>
      <c r="M142" s="16" t="s">
        <v>42</v>
      </c>
    </row>
    <row r="143" spans="1:13">
      <c r="A143" s="150"/>
      <c r="B143" s="17"/>
      <c r="C143" s="12" t="s">
        <v>43</v>
      </c>
      <c r="D143" s="17"/>
      <c r="E143" s="17" t="s">
        <v>44</v>
      </c>
      <c r="F143" s="18" t="s">
        <v>45</v>
      </c>
      <c r="G143" s="18" t="s">
        <v>46</v>
      </c>
      <c r="H143" s="19" t="s">
        <v>47</v>
      </c>
      <c r="I143" s="20" t="s">
        <v>44</v>
      </c>
      <c r="J143" s="18" t="s">
        <v>45</v>
      </c>
      <c r="K143" s="18" t="s">
        <v>46</v>
      </c>
      <c r="L143" s="17" t="s">
        <v>47</v>
      </c>
      <c r="M143" s="18" t="s">
        <v>48</v>
      </c>
    </row>
    <row r="144" spans="1:13">
      <c r="A144" s="1">
        <v>1</v>
      </c>
      <c r="B144" s="4" t="s">
        <v>57</v>
      </c>
      <c r="C144" s="2">
        <v>7000</v>
      </c>
      <c r="D144" s="21">
        <f>C144/208</f>
        <v>33.653846153846153</v>
      </c>
      <c r="E144" s="22">
        <v>23</v>
      </c>
      <c r="F144" s="22"/>
      <c r="G144" s="22">
        <v>32</v>
      </c>
      <c r="H144" s="23">
        <v>8</v>
      </c>
      <c r="I144" s="24">
        <f>D144*E144*1.25</f>
        <v>967.54807692307691</v>
      </c>
      <c r="J144" s="21">
        <f>D144*F144*1.5</f>
        <v>0</v>
      </c>
      <c r="K144" s="21">
        <f>D144*G144*2</f>
        <v>2153.8461538461538</v>
      </c>
      <c r="L144" s="21">
        <f>D144*H144*2.5</f>
        <v>673.07692307692309</v>
      </c>
      <c r="M144" s="21">
        <f>I144+J144+K144+L144</f>
        <v>3794.4711538461534</v>
      </c>
    </row>
    <row r="162" spans="1:13">
      <c r="A162" t="s">
        <v>35</v>
      </c>
      <c r="I162" t="s">
        <v>49</v>
      </c>
    </row>
    <row r="163" spans="1:13">
      <c r="A163" t="s">
        <v>36</v>
      </c>
    </row>
    <row r="164" spans="1:13">
      <c r="A164" s="149" t="s">
        <v>37</v>
      </c>
      <c r="B164" s="11" t="s">
        <v>38</v>
      </c>
      <c r="C164" s="12" t="s">
        <v>39</v>
      </c>
      <c r="D164" s="11" t="s">
        <v>40</v>
      </c>
      <c r="E164" s="11" t="s">
        <v>41</v>
      </c>
      <c r="F164" s="13"/>
      <c r="G164" s="13"/>
      <c r="H164" s="14"/>
      <c r="I164" s="15" t="s">
        <v>41</v>
      </c>
      <c r="J164" s="13"/>
      <c r="K164" s="13"/>
      <c r="L164" s="11"/>
      <c r="M164" s="16" t="s">
        <v>42</v>
      </c>
    </row>
    <row r="165" spans="1:13">
      <c r="A165" s="150"/>
      <c r="B165" s="17"/>
      <c r="C165" s="12" t="s">
        <v>43</v>
      </c>
      <c r="D165" s="17"/>
      <c r="E165" s="17" t="s">
        <v>44</v>
      </c>
      <c r="F165" s="18" t="s">
        <v>45</v>
      </c>
      <c r="G165" s="18" t="s">
        <v>46</v>
      </c>
      <c r="H165" s="19" t="s">
        <v>47</v>
      </c>
      <c r="I165" s="20" t="s">
        <v>44</v>
      </c>
      <c r="J165" s="18" t="s">
        <v>45</v>
      </c>
      <c r="K165" s="18" t="s">
        <v>46</v>
      </c>
      <c r="L165" s="17" t="s">
        <v>47</v>
      </c>
      <c r="M165" s="18" t="s">
        <v>48</v>
      </c>
    </row>
    <row r="166" spans="1:13">
      <c r="A166" s="6">
        <v>1</v>
      </c>
      <c r="B166" s="8" t="s">
        <v>66</v>
      </c>
      <c r="C166" s="5">
        <v>10200</v>
      </c>
      <c r="D166" s="21">
        <f>C166/208</f>
        <v>49.03846153846154</v>
      </c>
      <c r="E166" s="22">
        <v>26</v>
      </c>
      <c r="F166" s="22"/>
      <c r="G166" s="22">
        <v>32</v>
      </c>
      <c r="H166" s="23"/>
      <c r="I166" s="24">
        <f>D166*E166*1.25</f>
        <v>1593.75</v>
      </c>
      <c r="J166" s="21">
        <f>D166*F166*1.5</f>
        <v>0</v>
      </c>
      <c r="K166" s="21">
        <f>D166*G166*2</f>
        <v>3138.4615384615386</v>
      </c>
      <c r="L166" s="21">
        <f>D166*H166*2.5</f>
        <v>0</v>
      </c>
      <c r="M166" s="21">
        <f>I166+J166+K166+L166</f>
        <v>4732.211538461539</v>
      </c>
    </row>
    <row r="185" spans="1:13" ht="17.25" customHeight="1"/>
    <row r="186" spans="1:13">
      <c r="A186" t="s">
        <v>35</v>
      </c>
      <c r="I186" t="s">
        <v>49</v>
      </c>
    </row>
    <row r="187" spans="1:13">
      <c r="A187" t="s">
        <v>36</v>
      </c>
    </row>
    <row r="188" spans="1:13">
      <c r="A188" s="149" t="s">
        <v>37</v>
      </c>
      <c r="B188" s="11" t="s">
        <v>38</v>
      </c>
      <c r="C188" s="12" t="s">
        <v>39</v>
      </c>
      <c r="D188" s="11" t="s">
        <v>40</v>
      </c>
      <c r="E188" s="11" t="s">
        <v>41</v>
      </c>
      <c r="F188" s="13"/>
      <c r="G188" s="13"/>
      <c r="H188" s="14"/>
      <c r="I188" s="15" t="s">
        <v>41</v>
      </c>
      <c r="J188" s="13"/>
      <c r="K188" s="13"/>
      <c r="L188" s="11"/>
      <c r="M188" s="16" t="s">
        <v>42</v>
      </c>
    </row>
    <row r="189" spans="1:13">
      <c r="A189" s="150"/>
      <c r="B189" s="17"/>
      <c r="C189" s="12" t="s">
        <v>43</v>
      </c>
      <c r="D189" s="17"/>
      <c r="E189" s="17" t="s">
        <v>44</v>
      </c>
      <c r="F189" s="18" t="s">
        <v>45</v>
      </c>
      <c r="G189" s="18" t="s">
        <v>46</v>
      </c>
      <c r="H189" s="19" t="s">
        <v>47</v>
      </c>
      <c r="I189" s="20" t="s">
        <v>44</v>
      </c>
      <c r="J189" s="18" t="s">
        <v>45</v>
      </c>
      <c r="K189" s="18" t="s">
        <v>46</v>
      </c>
      <c r="L189" s="17" t="s">
        <v>47</v>
      </c>
      <c r="M189" s="18" t="s">
        <v>48</v>
      </c>
    </row>
    <row r="190" spans="1:13">
      <c r="A190" s="1">
        <v>1</v>
      </c>
      <c r="B190" s="4" t="s">
        <v>58</v>
      </c>
      <c r="C190" s="2">
        <v>1400</v>
      </c>
      <c r="D190" s="21">
        <f>C190/208</f>
        <v>6.7307692307692308</v>
      </c>
      <c r="E190" s="22">
        <v>38</v>
      </c>
      <c r="F190" s="22"/>
      <c r="G190" s="22">
        <v>19</v>
      </c>
      <c r="H190" s="23">
        <v>8</v>
      </c>
      <c r="I190" s="24">
        <f>D190*E190*1.25</f>
        <v>319.71153846153845</v>
      </c>
      <c r="J190" s="21">
        <f>D190*F190*1.5</f>
        <v>0</v>
      </c>
      <c r="K190" s="21">
        <f>D190*G190*2</f>
        <v>255.76923076923077</v>
      </c>
      <c r="L190" s="21">
        <f>D190*H190*2.5</f>
        <v>134.61538461538461</v>
      </c>
      <c r="M190" s="21">
        <f>I190+J190+K190+L190</f>
        <v>710.09615384615392</v>
      </c>
    </row>
    <row r="193" spans="1:15">
      <c r="O193">
        <v>35.5</v>
      </c>
    </row>
    <row r="194" spans="1:15">
      <c r="O194">
        <v>13</v>
      </c>
    </row>
    <row r="199" spans="1:15">
      <c r="A199" s="151"/>
      <c r="B199" s="29"/>
      <c r="C199" s="29"/>
      <c r="D199" s="29"/>
      <c r="E199" s="29"/>
      <c r="F199" s="30"/>
      <c r="G199" s="30"/>
      <c r="H199" s="29"/>
      <c r="I199" s="29"/>
      <c r="J199" s="30"/>
      <c r="K199" s="30"/>
      <c r="L199" s="29"/>
      <c r="M199" s="30"/>
    </row>
    <row r="200" spans="1:15">
      <c r="A200" s="151"/>
      <c r="B200" s="29"/>
      <c r="C200" s="29"/>
      <c r="D200" s="29"/>
      <c r="E200" s="29"/>
      <c r="F200" s="30"/>
      <c r="G200" s="30"/>
      <c r="H200" s="29"/>
      <c r="I200" s="29"/>
      <c r="J200" s="30"/>
      <c r="K200" s="30"/>
      <c r="L200" s="29"/>
      <c r="M200" s="30"/>
    </row>
    <row r="201" spans="1:15">
      <c r="A201" s="26"/>
      <c r="B201" s="27"/>
      <c r="C201" s="31"/>
      <c r="D201" s="28"/>
      <c r="E201" s="30"/>
      <c r="F201" s="30"/>
      <c r="G201" s="30"/>
      <c r="H201" s="30"/>
      <c r="I201" s="28"/>
      <c r="J201" s="28"/>
      <c r="K201" s="28"/>
      <c r="L201" s="28"/>
      <c r="M201" s="28"/>
    </row>
    <row r="231" spans="1:13" ht="17.25" customHeight="1"/>
    <row r="232" spans="1:13">
      <c r="A232" t="s">
        <v>35</v>
      </c>
      <c r="I232" t="s">
        <v>49</v>
      </c>
    </row>
    <row r="233" spans="1:13">
      <c r="A233" t="s">
        <v>36</v>
      </c>
    </row>
    <row r="234" spans="1:13">
      <c r="A234" s="149" t="s">
        <v>37</v>
      </c>
      <c r="B234" s="11" t="s">
        <v>38</v>
      </c>
      <c r="C234" s="12" t="s">
        <v>39</v>
      </c>
      <c r="D234" s="11" t="s">
        <v>40</v>
      </c>
      <c r="E234" s="11" t="s">
        <v>41</v>
      </c>
      <c r="F234" s="13"/>
      <c r="G234" s="13"/>
      <c r="H234" s="14"/>
      <c r="I234" s="15" t="s">
        <v>41</v>
      </c>
      <c r="J234" s="13"/>
      <c r="K234" s="13"/>
      <c r="L234" s="11"/>
      <c r="M234" s="16" t="s">
        <v>42</v>
      </c>
    </row>
    <row r="235" spans="1:13">
      <c r="A235" s="150"/>
      <c r="B235" s="17"/>
      <c r="C235" s="12" t="s">
        <v>43</v>
      </c>
      <c r="D235" s="17"/>
      <c r="E235" s="17" t="s">
        <v>44</v>
      </c>
      <c r="F235" s="18" t="s">
        <v>45</v>
      </c>
      <c r="G235" s="18" t="s">
        <v>46</v>
      </c>
      <c r="H235" s="19" t="s">
        <v>47</v>
      </c>
      <c r="I235" s="20" t="s">
        <v>44</v>
      </c>
      <c r="J235" s="18" t="s">
        <v>45</v>
      </c>
      <c r="K235" s="18" t="s">
        <v>46</v>
      </c>
      <c r="L235" s="17" t="s">
        <v>47</v>
      </c>
      <c r="M235" s="18" t="s">
        <v>48</v>
      </c>
    </row>
    <row r="236" spans="1:13">
      <c r="A236" s="1">
        <v>1</v>
      </c>
      <c r="B236" s="4" t="s">
        <v>53</v>
      </c>
      <c r="C236" s="2">
        <v>4200</v>
      </c>
      <c r="D236" s="21">
        <f>C236/208</f>
        <v>20.192307692307693</v>
      </c>
      <c r="E236" s="22">
        <v>3</v>
      </c>
      <c r="F236" s="22"/>
      <c r="G236" s="22">
        <v>8</v>
      </c>
      <c r="H236" s="23"/>
      <c r="I236" s="24">
        <f>D236*E236*1.25</f>
        <v>75.721153846153854</v>
      </c>
      <c r="J236" s="21">
        <f>D236*F236*1.5</f>
        <v>0</v>
      </c>
      <c r="K236" s="21">
        <f>D236*G236*2</f>
        <v>323.07692307692309</v>
      </c>
      <c r="L236" s="21">
        <f>D236*H236*2.5</f>
        <v>0</v>
      </c>
      <c r="M236" s="21">
        <f>I236+J236+K236+L236</f>
        <v>398.79807692307696</v>
      </c>
    </row>
    <row r="248" spans="1:13" ht="17.25" customHeight="1"/>
    <row r="249" spans="1:13">
      <c r="A249" t="s">
        <v>35</v>
      </c>
      <c r="I249" t="s">
        <v>49</v>
      </c>
    </row>
    <row r="250" spans="1:13">
      <c r="A250" t="s">
        <v>36</v>
      </c>
    </row>
    <row r="251" spans="1:13">
      <c r="A251" s="149" t="s">
        <v>37</v>
      </c>
      <c r="B251" s="11" t="s">
        <v>38</v>
      </c>
      <c r="C251" s="12" t="s">
        <v>39</v>
      </c>
      <c r="D251" s="11" t="s">
        <v>40</v>
      </c>
      <c r="E251" s="11" t="s">
        <v>41</v>
      </c>
      <c r="F251" s="13"/>
      <c r="G251" s="13"/>
      <c r="H251" s="14"/>
      <c r="I251" s="15" t="s">
        <v>41</v>
      </c>
      <c r="J251" s="13"/>
      <c r="K251" s="13"/>
      <c r="L251" s="11"/>
      <c r="M251" s="16" t="s">
        <v>42</v>
      </c>
    </row>
    <row r="252" spans="1:13">
      <c r="A252" s="150"/>
      <c r="B252" s="17"/>
      <c r="C252" s="12" t="s">
        <v>43</v>
      </c>
      <c r="D252" s="17"/>
      <c r="E252" s="17" t="s">
        <v>44</v>
      </c>
      <c r="F252" s="18" t="s">
        <v>45</v>
      </c>
      <c r="G252" s="18" t="s">
        <v>46</v>
      </c>
      <c r="H252" s="19" t="s">
        <v>47</v>
      </c>
      <c r="I252" s="20" t="s">
        <v>44</v>
      </c>
      <c r="J252" s="18" t="s">
        <v>45</v>
      </c>
      <c r="K252" s="18" t="s">
        <v>46</v>
      </c>
      <c r="L252" s="17" t="s">
        <v>47</v>
      </c>
      <c r="M252" s="18" t="s">
        <v>48</v>
      </c>
    </row>
    <row r="253" spans="1:13">
      <c r="A253" s="1">
        <v>1</v>
      </c>
      <c r="B253" s="4" t="s">
        <v>59</v>
      </c>
      <c r="C253" s="2">
        <v>2000</v>
      </c>
      <c r="D253" s="21">
        <f>C253/208</f>
        <v>9.615384615384615</v>
      </c>
      <c r="E253" s="22"/>
      <c r="F253" s="22"/>
      <c r="G253" s="22">
        <v>8</v>
      </c>
      <c r="H253" s="23"/>
      <c r="I253" s="24">
        <f>D253*E253*1.25</f>
        <v>0</v>
      </c>
      <c r="J253" s="21">
        <f t="shared" ref="J253:J259" si="0">D253*F253*1.5</f>
        <v>0</v>
      </c>
      <c r="K253" s="21">
        <f>D253*G253*2</f>
        <v>153.84615384615384</v>
      </c>
      <c r="L253" s="21">
        <f>D253*H253*2.5</f>
        <v>0</v>
      </c>
      <c r="M253" s="21">
        <f>I253+J253+K253+L253</f>
        <v>153.84615384615384</v>
      </c>
    </row>
    <row r="254" spans="1:13">
      <c r="A254" s="25"/>
      <c r="B254" s="4" t="s">
        <v>60</v>
      </c>
      <c r="C254" s="25">
        <v>1200</v>
      </c>
      <c r="D254" s="21">
        <f t="shared" ref="D254:D259" si="1">C254/208</f>
        <v>5.7692307692307692</v>
      </c>
      <c r="E254" s="25">
        <v>29</v>
      </c>
      <c r="F254" s="25"/>
      <c r="G254" s="25">
        <v>20</v>
      </c>
      <c r="H254" s="25"/>
      <c r="I254" s="24">
        <f t="shared" ref="I254:I259" si="2">D254*E254*1.25</f>
        <v>209.13461538461536</v>
      </c>
      <c r="J254" s="21">
        <f t="shared" si="0"/>
        <v>0</v>
      </c>
      <c r="K254" s="21">
        <f t="shared" ref="K254:K259" si="3">D254*G254*2</f>
        <v>230.76923076923077</v>
      </c>
      <c r="L254" s="21">
        <f>D254*H254*2.5</f>
        <v>0</v>
      </c>
      <c r="M254" s="21">
        <f t="shared" ref="M254:M259" si="4">I254+J254+K254+L254</f>
        <v>439.90384615384613</v>
      </c>
    </row>
    <row r="255" spans="1:13">
      <c r="A255" s="25"/>
      <c r="B255" s="4" t="s">
        <v>56</v>
      </c>
      <c r="C255" s="25">
        <v>6000</v>
      </c>
      <c r="D255" s="21">
        <f t="shared" si="1"/>
        <v>28.846153846153847</v>
      </c>
      <c r="E255" s="25">
        <v>19</v>
      </c>
      <c r="F255" s="25"/>
      <c r="G255" s="25"/>
      <c r="H255" s="25"/>
      <c r="I255" s="24">
        <f t="shared" si="2"/>
        <v>685.09615384615381</v>
      </c>
      <c r="J255" s="21">
        <f t="shared" si="0"/>
        <v>0</v>
      </c>
      <c r="K255" s="21">
        <f t="shared" si="3"/>
        <v>0</v>
      </c>
      <c r="L255" s="21">
        <f>D255*H255*2.5</f>
        <v>0</v>
      </c>
      <c r="M255" s="21">
        <f t="shared" si="4"/>
        <v>685.09615384615381</v>
      </c>
    </row>
    <row r="256" spans="1:13">
      <c r="A256" s="25"/>
      <c r="B256" s="4" t="s">
        <v>61</v>
      </c>
      <c r="C256" s="25">
        <v>1600</v>
      </c>
      <c r="D256" s="21">
        <f t="shared" si="1"/>
        <v>7.6923076923076925</v>
      </c>
      <c r="E256" s="25">
        <v>7</v>
      </c>
      <c r="F256" s="25"/>
      <c r="G256" s="25">
        <v>9.5</v>
      </c>
      <c r="H256" s="25"/>
      <c r="I256" s="24">
        <f t="shared" si="2"/>
        <v>67.307692307692307</v>
      </c>
      <c r="J256" s="21">
        <f t="shared" si="0"/>
        <v>0</v>
      </c>
      <c r="K256" s="21">
        <f t="shared" si="3"/>
        <v>146.15384615384616</v>
      </c>
      <c r="L256" s="21">
        <f>D256*H256*2.5</f>
        <v>0</v>
      </c>
      <c r="M256" s="21">
        <f t="shared" si="4"/>
        <v>213.46153846153845</v>
      </c>
    </row>
    <row r="257" spans="1:13">
      <c r="A257" s="25"/>
      <c r="B257" s="8" t="s">
        <v>62</v>
      </c>
      <c r="C257" s="25">
        <v>4500</v>
      </c>
      <c r="D257" s="34">
        <f t="shared" si="1"/>
        <v>21.634615384615383</v>
      </c>
      <c r="E257" s="34"/>
      <c r="F257" s="34"/>
      <c r="G257" s="34">
        <v>8</v>
      </c>
      <c r="H257" s="34">
        <v>8</v>
      </c>
      <c r="I257" s="24">
        <f t="shared" si="2"/>
        <v>0</v>
      </c>
      <c r="J257" s="34">
        <f t="shared" si="0"/>
        <v>0</v>
      </c>
      <c r="K257" s="34">
        <f t="shared" si="3"/>
        <v>346.15384615384613</v>
      </c>
      <c r="L257" s="34">
        <f>D257*H257*2.5</f>
        <v>432.69230769230768</v>
      </c>
      <c r="M257" s="21">
        <f t="shared" si="4"/>
        <v>778.84615384615381</v>
      </c>
    </row>
    <row r="258" spans="1:13">
      <c r="A258" s="25"/>
      <c r="B258" s="8" t="s">
        <v>63</v>
      </c>
      <c r="C258" s="25">
        <v>6500</v>
      </c>
      <c r="D258" s="25">
        <f t="shared" si="1"/>
        <v>31.25</v>
      </c>
      <c r="E258" s="25">
        <v>29</v>
      </c>
      <c r="F258" s="25"/>
      <c r="G258" s="25">
        <v>14.5</v>
      </c>
      <c r="H258" s="25"/>
      <c r="I258" s="24">
        <f t="shared" si="2"/>
        <v>1132.8125</v>
      </c>
      <c r="J258" s="25">
        <f t="shared" si="0"/>
        <v>0</v>
      </c>
      <c r="K258" s="25">
        <f t="shared" si="3"/>
        <v>906.25</v>
      </c>
      <c r="L258" s="25"/>
      <c r="M258" s="21">
        <f t="shared" si="4"/>
        <v>2039.0625</v>
      </c>
    </row>
    <row r="259" spans="1:13">
      <c r="B259" s="8" t="s">
        <v>65</v>
      </c>
      <c r="C259" s="35">
        <v>2000</v>
      </c>
      <c r="D259" s="36">
        <f t="shared" si="1"/>
        <v>9.615384615384615</v>
      </c>
      <c r="E259" s="35">
        <v>8</v>
      </c>
      <c r="G259" s="35">
        <v>8.5</v>
      </c>
      <c r="I259" s="37">
        <f t="shared" si="2"/>
        <v>96.153846153846146</v>
      </c>
      <c r="J259" s="36">
        <f t="shared" si="0"/>
        <v>0</v>
      </c>
      <c r="K259" s="36">
        <f t="shared" si="3"/>
        <v>163.46153846153845</v>
      </c>
      <c r="M259" s="36">
        <f t="shared" si="4"/>
        <v>259.61538461538458</v>
      </c>
    </row>
    <row r="314" spans="1:13">
      <c r="A314" t="s">
        <v>35</v>
      </c>
      <c r="I314" t="s">
        <v>49</v>
      </c>
    </row>
    <row r="315" spans="1:13" ht="16.899999999999999" customHeight="1">
      <c r="A315" t="s">
        <v>36</v>
      </c>
    </row>
    <row r="316" spans="1:13">
      <c r="A316" s="149" t="s">
        <v>37</v>
      </c>
      <c r="B316" s="11" t="s">
        <v>38</v>
      </c>
      <c r="C316" s="12" t="s">
        <v>39</v>
      </c>
      <c r="D316" s="11" t="s">
        <v>40</v>
      </c>
      <c r="E316" s="11" t="s">
        <v>41</v>
      </c>
      <c r="F316" s="13"/>
      <c r="G316" s="13"/>
      <c r="H316" s="14"/>
      <c r="I316" s="15" t="s">
        <v>41</v>
      </c>
      <c r="J316" s="13"/>
      <c r="K316" s="13"/>
      <c r="L316" s="11"/>
      <c r="M316" s="16" t="s">
        <v>42</v>
      </c>
    </row>
    <row r="317" spans="1:13">
      <c r="A317" s="150"/>
      <c r="B317" s="17"/>
      <c r="C317" s="12" t="s">
        <v>43</v>
      </c>
      <c r="D317" s="17"/>
      <c r="E317" s="17" t="s">
        <v>44</v>
      </c>
      <c r="F317" s="18" t="s">
        <v>45</v>
      </c>
      <c r="G317" s="18" t="s">
        <v>46</v>
      </c>
      <c r="H317" s="19" t="s">
        <v>47</v>
      </c>
      <c r="I317" s="20" t="s">
        <v>44</v>
      </c>
      <c r="J317" s="18" t="s">
        <v>45</v>
      </c>
      <c r="K317" s="18" t="s">
        <v>46</v>
      </c>
      <c r="L317" s="17" t="s">
        <v>47</v>
      </c>
      <c r="M317" s="18" t="s">
        <v>48</v>
      </c>
    </row>
    <row r="318" spans="1:13">
      <c r="A318" s="6">
        <v>1</v>
      </c>
      <c r="B318" s="8" t="s">
        <v>64</v>
      </c>
      <c r="C318" s="5">
        <v>1700</v>
      </c>
      <c r="D318" s="21">
        <f>C318/208</f>
        <v>8.1730769230769234</v>
      </c>
      <c r="E318" s="22">
        <v>24.5</v>
      </c>
      <c r="F318" s="22"/>
      <c r="G318" s="22">
        <v>9.5</v>
      </c>
      <c r="H318" s="23"/>
      <c r="I318" s="24">
        <f>D318*E318*1.25</f>
        <v>250.30048076923077</v>
      </c>
      <c r="J318" s="21">
        <f>D318*F318*1.5</f>
        <v>0</v>
      </c>
      <c r="K318" s="21">
        <f>D318*G318*2</f>
        <v>155.28846153846155</v>
      </c>
      <c r="L318" s="21">
        <f>D318*H318*2.5</f>
        <v>0</v>
      </c>
      <c r="M318" s="21">
        <f>I318+J318+K318+L318</f>
        <v>405.58894230769232</v>
      </c>
    </row>
    <row r="346" spans="1:13" ht="16.899999999999999" customHeight="1">
      <c r="A346" t="s">
        <v>36</v>
      </c>
    </row>
    <row r="347" spans="1:13">
      <c r="A347" s="149" t="s">
        <v>37</v>
      </c>
      <c r="B347" s="11" t="s">
        <v>38</v>
      </c>
      <c r="C347" s="12" t="s">
        <v>39</v>
      </c>
      <c r="D347" s="11" t="s">
        <v>40</v>
      </c>
      <c r="E347" s="11" t="s">
        <v>41</v>
      </c>
      <c r="F347" s="13"/>
      <c r="G347" s="13"/>
      <c r="H347" s="14"/>
      <c r="I347" s="15" t="s">
        <v>41</v>
      </c>
      <c r="J347" s="13"/>
      <c r="K347" s="13"/>
      <c r="L347" s="11"/>
      <c r="M347" s="16" t="s">
        <v>42</v>
      </c>
    </row>
    <row r="348" spans="1:13">
      <c r="A348" s="150"/>
      <c r="B348" s="17"/>
      <c r="C348" s="12" t="s">
        <v>43</v>
      </c>
      <c r="D348" s="17"/>
      <c r="E348" s="17" t="s">
        <v>44</v>
      </c>
      <c r="F348" s="18" t="s">
        <v>45</v>
      </c>
      <c r="G348" s="18" t="s">
        <v>46</v>
      </c>
      <c r="H348" s="19" t="s">
        <v>47</v>
      </c>
      <c r="I348" s="20" t="s">
        <v>44</v>
      </c>
      <c r="J348" s="18" t="s">
        <v>45</v>
      </c>
      <c r="K348" s="18" t="s">
        <v>46</v>
      </c>
      <c r="L348" s="17" t="s">
        <v>47</v>
      </c>
      <c r="M348" s="18" t="s">
        <v>48</v>
      </c>
    </row>
    <row r="349" spans="1:13">
      <c r="A349" s="6">
        <v>1</v>
      </c>
      <c r="B349" s="8" t="s">
        <v>67</v>
      </c>
      <c r="C349" s="5">
        <v>6500</v>
      </c>
      <c r="D349" s="21">
        <f>C349/208</f>
        <v>31.25</v>
      </c>
      <c r="E349" s="22">
        <v>39.299999999999997</v>
      </c>
      <c r="F349" s="22"/>
      <c r="G349" s="22">
        <v>24</v>
      </c>
      <c r="H349" s="23"/>
      <c r="I349" s="24">
        <f>D349*E349*1.25</f>
        <v>1535.15625</v>
      </c>
      <c r="J349" s="21">
        <f>D349*F349*1.5</f>
        <v>0</v>
      </c>
      <c r="K349" s="21">
        <f>D349*G349*2</f>
        <v>1500</v>
      </c>
      <c r="L349" s="21">
        <f>D349*H349*2.5</f>
        <v>0</v>
      </c>
      <c r="M349" s="21">
        <f>I349+J349+K349+L349</f>
        <v>3035.15625</v>
      </c>
    </row>
    <row r="385" spans="1:13" ht="13.9" customHeight="1"/>
    <row r="387" spans="1:13">
      <c r="A387" t="s">
        <v>35</v>
      </c>
      <c r="I387" t="s">
        <v>49</v>
      </c>
    </row>
    <row r="388" spans="1:13" ht="16.899999999999999" customHeight="1">
      <c r="A388" t="s">
        <v>36</v>
      </c>
    </row>
    <row r="389" spans="1:13">
      <c r="A389" s="149" t="s">
        <v>37</v>
      </c>
      <c r="B389" s="11" t="s">
        <v>38</v>
      </c>
      <c r="C389" s="12" t="s">
        <v>39</v>
      </c>
      <c r="D389" s="11" t="s">
        <v>40</v>
      </c>
      <c r="E389" s="11" t="s">
        <v>41</v>
      </c>
      <c r="F389" s="13"/>
      <c r="G389" s="13"/>
      <c r="H389" s="14"/>
      <c r="I389" s="15" t="s">
        <v>41</v>
      </c>
      <c r="J389" s="13"/>
      <c r="K389" s="13"/>
      <c r="L389" s="11"/>
      <c r="M389" s="16" t="s">
        <v>42</v>
      </c>
    </row>
    <row r="390" spans="1:13">
      <c r="A390" s="150"/>
      <c r="B390" s="17"/>
      <c r="C390" s="12" t="s">
        <v>43</v>
      </c>
      <c r="D390" s="17"/>
      <c r="E390" s="17" t="s">
        <v>44</v>
      </c>
      <c r="F390" s="18" t="s">
        <v>45</v>
      </c>
      <c r="G390" s="18" t="s">
        <v>46</v>
      </c>
      <c r="H390" s="19" t="s">
        <v>47</v>
      </c>
      <c r="I390" s="20" t="s">
        <v>44</v>
      </c>
      <c r="J390" s="18" t="s">
        <v>45</v>
      </c>
      <c r="K390" s="18" t="s">
        <v>46</v>
      </c>
      <c r="L390" s="17" t="s">
        <v>47</v>
      </c>
      <c r="M390" s="18" t="s">
        <v>48</v>
      </c>
    </row>
    <row r="391" spans="1:13">
      <c r="A391" s="6">
        <v>1</v>
      </c>
      <c r="B391" s="8" t="s">
        <v>68</v>
      </c>
      <c r="C391" s="5">
        <v>2000</v>
      </c>
      <c r="D391" s="21">
        <f>C391/208</f>
        <v>9.615384615384615</v>
      </c>
      <c r="E391" s="22">
        <v>14.5</v>
      </c>
      <c r="F391" s="22"/>
      <c r="G391" s="22">
        <v>19</v>
      </c>
      <c r="H391" s="23"/>
      <c r="I391" s="24">
        <f>D391*E391*1.25</f>
        <v>174.27884615384613</v>
      </c>
      <c r="J391" s="21">
        <f>D391*F391*1.5</f>
        <v>0</v>
      </c>
      <c r="K391" s="21">
        <f>D391*G391*2</f>
        <v>365.38461538461536</v>
      </c>
      <c r="L391" s="21">
        <f>D391*H391*2.5</f>
        <v>0</v>
      </c>
      <c r="M391" s="21">
        <f>I391+J391+K391+L391</f>
        <v>539.66346153846143</v>
      </c>
    </row>
    <row r="406" spans="1:13" ht="13.9" customHeight="1"/>
    <row r="408" spans="1:13">
      <c r="A408" t="s">
        <v>35</v>
      </c>
      <c r="I408" t="s">
        <v>70</v>
      </c>
    </row>
    <row r="409" spans="1:13" ht="16.899999999999999" customHeight="1">
      <c r="A409" t="s">
        <v>71</v>
      </c>
    </row>
    <row r="410" spans="1:13">
      <c r="A410" s="149" t="s">
        <v>37</v>
      </c>
      <c r="B410" s="11" t="s">
        <v>38</v>
      </c>
      <c r="C410" s="12" t="s">
        <v>39</v>
      </c>
      <c r="D410" s="11" t="s">
        <v>40</v>
      </c>
      <c r="E410" s="11" t="s">
        <v>41</v>
      </c>
      <c r="F410" s="13"/>
      <c r="G410" s="13"/>
      <c r="H410" s="14"/>
      <c r="I410" s="15" t="s">
        <v>41</v>
      </c>
      <c r="J410" s="13"/>
      <c r="K410" s="13"/>
      <c r="L410" s="11"/>
      <c r="M410" s="16" t="s">
        <v>42</v>
      </c>
    </row>
    <row r="411" spans="1:13">
      <c r="A411" s="150"/>
      <c r="B411" s="17"/>
      <c r="C411" s="12" t="s">
        <v>43</v>
      </c>
      <c r="D411" s="17"/>
      <c r="E411" s="17" t="s">
        <v>44</v>
      </c>
      <c r="F411" s="18" t="s">
        <v>45</v>
      </c>
      <c r="G411" s="18" t="s">
        <v>46</v>
      </c>
      <c r="H411" s="19" t="s">
        <v>47</v>
      </c>
      <c r="I411" s="20" t="s">
        <v>44</v>
      </c>
      <c r="J411" s="18" t="s">
        <v>45</v>
      </c>
      <c r="K411" s="18" t="s">
        <v>46</v>
      </c>
      <c r="L411" s="17" t="s">
        <v>47</v>
      </c>
      <c r="M411" s="18" t="s">
        <v>48</v>
      </c>
    </row>
    <row r="412" spans="1:13">
      <c r="A412" s="6">
        <v>1</v>
      </c>
      <c r="B412" s="8" t="s">
        <v>69</v>
      </c>
      <c r="C412" s="5">
        <v>5000</v>
      </c>
      <c r="D412" s="21">
        <f>C412/208</f>
        <v>24.03846153846154</v>
      </c>
      <c r="E412" s="22">
        <v>20</v>
      </c>
      <c r="F412" s="22"/>
      <c r="G412" s="22"/>
      <c r="H412" s="23">
        <v>12</v>
      </c>
      <c r="I412" s="24">
        <f>D412*E412*1.25</f>
        <v>600.96153846153857</v>
      </c>
      <c r="J412" s="21">
        <f>D412*F412*1.5</f>
        <v>0</v>
      </c>
      <c r="K412" s="21">
        <f>D412*G412*2</f>
        <v>0</v>
      </c>
      <c r="L412" s="21">
        <f>D412*H412*2.5</f>
        <v>721.15384615384619</v>
      </c>
      <c r="M412" s="21">
        <f>I412+J412+K412+L412</f>
        <v>1322.1153846153848</v>
      </c>
    </row>
    <row r="432" spans="1:9">
      <c r="A432" t="s">
        <v>35</v>
      </c>
      <c r="I432" t="s">
        <v>73</v>
      </c>
    </row>
    <row r="433" spans="1:13" ht="16.899999999999999" customHeight="1">
      <c r="A433" t="s">
        <v>71</v>
      </c>
    </row>
    <row r="434" spans="1:13">
      <c r="A434" s="149" t="s">
        <v>37</v>
      </c>
      <c r="B434" s="11" t="s">
        <v>38</v>
      </c>
      <c r="C434" s="12" t="s">
        <v>39</v>
      </c>
      <c r="D434" s="11" t="s">
        <v>40</v>
      </c>
      <c r="E434" s="11" t="s">
        <v>41</v>
      </c>
      <c r="F434" s="13"/>
      <c r="G434" s="13"/>
      <c r="H434" s="14"/>
      <c r="I434" s="15" t="s">
        <v>41</v>
      </c>
      <c r="J434" s="13"/>
      <c r="K434" s="13"/>
      <c r="L434" s="11"/>
      <c r="M434" s="16" t="s">
        <v>42</v>
      </c>
    </row>
    <row r="435" spans="1:13">
      <c r="A435" s="150"/>
      <c r="B435" s="17"/>
      <c r="C435" s="12" t="s">
        <v>43</v>
      </c>
      <c r="D435" s="17"/>
      <c r="E435" s="17" t="s">
        <v>44</v>
      </c>
      <c r="F435" s="18" t="s">
        <v>45</v>
      </c>
      <c r="G435" s="18" t="s">
        <v>46</v>
      </c>
      <c r="H435" s="19" t="s">
        <v>47</v>
      </c>
      <c r="I435" s="20" t="s">
        <v>44</v>
      </c>
      <c r="J435" s="18" t="s">
        <v>45</v>
      </c>
      <c r="K435" s="18" t="s">
        <v>46</v>
      </c>
      <c r="L435" s="17" t="s">
        <v>47</v>
      </c>
      <c r="M435" s="18" t="s">
        <v>48</v>
      </c>
    </row>
    <row r="436" spans="1:13">
      <c r="A436" s="6">
        <v>1</v>
      </c>
      <c r="B436" s="8" t="s">
        <v>72</v>
      </c>
      <c r="C436" s="5">
        <v>1400</v>
      </c>
      <c r="D436" s="21">
        <f>C436/208</f>
        <v>6.7307692307692308</v>
      </c>
      <c r="E436" s="22">
        <v>10</v>
      </c>
      <c r="F436" s="22"/>
      <c r="G436" s="22">
        <v>8.5</v>
      </c>
      <c r="H436" s="23">
        <v>8</v>
      </c>
      <c r="I436" s="24">
        <f>D436*E436*1.25</f>
        <v>84.134615384615387</v>
      </c>
      <c r="J436" s="21">
        <f>D436*F436*1.5</f>
        <v>0</v>
      </c>
      <c r="K436" s="21">
        <f>D436*G436*2</f>
        <v>114.42307692307692</v>
      </c>
      <c r="L436" s="21">
        <f>D436*H436*2.5</f>
        <v>134.61538461538461</v>
      </c>
      <c r="M436" s="21">
        <f>I436+J436+K436+L436</f>
        <v>333.17307692307691</v>
      </c>
    </row>
    <row r="452" spans="1:13">
      <c r="A452" t="s">
        <v>35</v>
      </c>
      <c r="I452" t="s">
        <v>73</v>
      </c>
    </row>
    <row r="453" spans="1:13" ht="16.899999999999999" customHeight="1">
      <c r="A453" t="s">
        <v>71</v>
      </c>
    </row>
    <row r="454" spans="1:13">
      <c r="A454" s="149" t="s">
        <v>37</v>
      </c>
      <c r="B454" s="11" t="s">
        <v>38</v>
      </c>
      <c r="C454" s="12" t="s">
        <v>39</v>
      </c>
      <c r="D454" s="11" t="s">
        <v>40</v>
      </c>
      <c r="E454" s="11" t="s">
        <v>41</v>
      </c>
      <c r="F454" s="13"/>
      <c r="G454" s="13"/>
      <c r="H454" s="14"/>
      <c r="I454" s="15" t="s">
        <v>41</v>
      </c>
      <c r="J454" s="13"/>
      <c r="K454" s="13"/>
      <c r="L454" s="11"/>
      <c r="M454" s="16" t="s">
        <v>42</v>
      </c>
    </row>
    <row r="455" spans="1:13">
      <c r="A455" s="150"/>
      <c r="B455" s="17"/>
      <c r="C455" s="12" t="s">
        <v>43</v>
      </c>
      <c r="D455" s="17"/>
      <c r="E455" s="17" t="s">
        <v>44</v>
      </c>
      <c r="F455" s="18" t="s">
        <v>45</v>
      </c>
      <c r="G455" s="18" t="s">
        <v>46</v>
      </c>
      <c r="H455" s="19" t="s">
        <v>47</v>
      </c>
      <c r="I455" s="20" t="s">
        <v>44</v>
      </c>
      <c r="J455" s="18" t="s">
        <v>45</v>
      </c>
      <c r="K455" s="18" t="s">
        <v>46</v>
      </c>
      <c r="L455" s="17" t="s">
        <v>47</v>
      </c>
      <c r="M455" s="18" t="s">
        <v>48</v>
      </c>
    </row>
    <row r="456" spans="1:13">
      <c r="A456" s="6">
        <v>1</v>
      </c>
      <c r="B456" s="8" t="s">
        <v>75</v>
      </c>
      <c r="C456" s="5">
        <v>1200</v>
      </c>
      <c r="D456" s="21">
        <f>C456/208</f>
        <v>5.7692307692307692</v>
      </c>
      <c r="E456" s="22">
        <v>102</v>
      </c>
      <c r="F456" s="22"/>
      <c r="G456" s="22">
        <v>28.2</v>
      </c>
      <c r="H456" s="23"/>
      <c r="I456" s="24">
        <f>D456*E456*1.25</f>
        <v>735.57692307692309</v>
      </c>
      <c r="J456" s="21">
        <f>D456*F456*1.5</f>
        <v>0</v>
      </c>
      <c r="K456" s="21">
        <f>D456*G456*2</f>
        <v>325.38461538461536</v>
      </c>
      <c r="L456" s="21">
        <f>D456*H456*2.5</f>
        <v>0</v>
      </c>
      <c r="M456" s="21">
        <f>I456+J456+K456+L456</f>
        <v>1060.9615384615386</v>
      </c>
    </row>
    <row r="477" spans="1:13">
      <c r="A477" t="s">
        <v>35</v>
      </c>
      <c r="I477" t="s">
        <v>73</v>
      </c>
    </row>
    <row r="478" spans="1:13" ht="16.899999999999999" customHeight="1">
      <c r="A478" t="s">
        <v>71</v>
      </c>
    </row>
    <row r="479" spans="1:13">
      <c r="A479" s="149" t="s">
        <v>37</v>
      </c>
      <c r="B479" s="11" t="s">
        <v>38</v>
      </c>
      <c r="C479" s="12" t="s">
        <v>39</v>
      </c>
      <c r="D479" s="11" t="s">
        <v>40</v>
      </c>
      <c r="E479" s="11" t="s">
        <v>41</v>
      </c>
      <c r="F479" s="13"/>
      <c r="G479" s="13"/>
      <c r="H479" s="14"/>
      <c r="I479" s="15" t="s">
        <v>41</v>
      </c>
      <c r="J479" s="13"/>
      <c r="K479" s="13"/>
      <c r="L479" s="11"/>
      <c r="M479" s="16" t="s">
        <v>42</v>
      </c>
    </row>
    <row r="480" spans="1:13">
      <c r="A480" s="150"/>
      <c r="B480" s="17"/>
      <c r="C480" s="12" t="s">
        <v>43</v>
      </c>
      <c r="D480" s="17"/>
      <c r="E480" s="17" t="s">
        <v>44</v>
      </c>
      <c r="F480" s="18" t="s">
        <v>45</v>
      </c>
      <c r="G480" s="18" t="s">
        <v>46</v>
      </c>
      <c r="H480" s="19" t="s">
        <v>47</v>
      </c>
      <c r="I480" s="20" t="s">
        <v>44</v>
      </c>
      <c r="J480" s="18" t="s">
        <v>45</v>
      </c>
      <c r="K480" s="18" t="s">
        <v>46</v>
      </c>
      <c r="L480" s="17" t="s">
        <v>47</v>
      </c>
      <c r="M480" s="18" t="s">
        <v>48</v>
      </c>
    </row>
    <row r="481" spans="1:13">
      <c r="A481" s="6">
        <v>1</v>
      </c>
      <c r="B481" s="8" t="s">
        <v>76</v>
      </c>
      <c r="C481" s="5">
        <v>2000</v>
      </c>
      <c r="D481" s="21">
        <f>C481/208</f>
        <v>9.615384615384615</v>
      </c>
      <c r="E481" s="22">
        <v>41.5</v>
      </c>
      <c r="F481" s="22"/>
      <c r="G481" s="22">
        <v>18.5</v>
      </c>
      <c r="H481" s="23"/>
      <c r="I481" s="24">
        <f>D481*E481*1.25</f>
        <v>498.79807692307691</v>
      </c>
      <c r="J481" s="21">
        <f>D481*F481*1.5</f>
        <v>0</v>
      </c>
      <c r="K481" s="21">
        <f>D481*G481*2</f>
        <v>355.76923076923077</v>
      </c>
      <c r="L481" s="21">
        <f>D481*H481*2.5</f>
        <v>0</v>
      </c>
      <c r="M481" s="21">
        <f>I481+J481+K481+L481</f>
        <v>854.56730769230762</v>
      </c>
    </row>
    <row r="494" spans="1:13">
      <c r="A494" t="s">
        <v>35</v>
      </c>
      <c r="I494" t="s">
        <v>73</v>
      </c>
    </row>
    <row r="495" spans="1:13" ht="16.899999999999999" customHeight="1">
      <c r="A495" t="s">
        <v>71</v>
      </c>
    </row>
    <row r="496" spans="1:13">
      <c r="A496" s="149" t="s">
        <v>37</v>
      </c>
      <c r="B496" s="11" t="s">
        <v>38</v>
      </c>
      <c r="C496" s="12" t="s">
        <v>39</v>
      </c>
      <c r="D496" s="11" t="s">
        <v>40</v>
      </c>
      <c r="E496" s="11" t="s">
        <v>41</v>
      </c>
      <c r="F496" s="13"/>
      <c r="G496" s="13"/>
      <c r="H496" s="14"/>
      <c r="I496" s="15" t="s">
        <v>41</v>
      </c>
      <c r="J496" s="13"/>
      <c r="K496" s="13"/>
      <c r="L496" s="11"/>
      <c r="M496" s="16" t="s">
        <v>42</v>
      </c>
    </row>
    <row r="497" spans="1:13">
      <c r="A497" s="150"/>
      <c r="B497" s="17"/>
      <c r="C497" s="12" t="s">
        <v>43</v>
      </c>
      <c r="D497" s="17"/>
      <c r="E497" s="17" t="s">
        <v>44</v>
      </c>
      <c r="F497" s="18" t="s">
        <v>45</v>
      </c>
      <c r="G497" s="18" t="s">
        <v>46</v>
      </c>
      <c r="H497" s="19" t="s">
        <v>47</v>
      </c>
      <c r="I497" s="20" t="s">
        <v>44</v>
      </c>
      <c r="J497" s="18" t="s">
        <v>45</v>
      </c>
      <c r="K497" s="18" t="s">
        <v>46</v>
      </c>
      <c r="L497" s="17" t="s">
        <v>47</v>
      </c>
      <c r="M497" s="18" t="s">
        <v>48</v>
      </c>
    </row>
    <row r="498" spans="1:13">
      <c r="A498" s="6">
        <v>1</v>
      </c>
      <c r="B498" s="8" t="s">
        <v>77</v>
      </c>
      <c r="C498" s="5">
        <v>11026</v>
      </c>
      <c r="D498" s="21">
        <f>C498/208</f>
        <v>53.009615384615387</v>
      </c>
      <c r="E498" s="22">
        <v>36</v>
      </c>
      <c r="F498" s="22"/>
      <c r="G498" s="22">
        <v>32</v>
      </c>
      <c r="H498" s="23">
        <v>10</v>
      </c>
      <c r="I498" s="24">
        <f>D498*E498*1.25</f>
        <v>2385.4326923076924</v>
      </c>
      <c r="J498" s="21">
        <f>D498*F498*1.5</f>
        <v>0</v>
      </c>
      <c r="K498" s="21">
        <f>D498*G498*2</f>
        <v>3392.6153846153848</v>
      </c>
      <c r="L498" s="21">
        <f>D498*H498*2.5</f>
        <v>1325.2403846153845</v>
      </c>
      <c r="M498" s="21">
        <f>I498+J498+K498+L498</f>
        <v>7103.2884615384619</v>
      </c>
    </row>
    <row r="499" spans="1:13">
      <c r="B499" s="8" t="s">
        <v>77</v>
      </c>
    </row>
    <row r="508" spans="1:13">
      <c r="A508" t="s">
        <v>35</v>
      </c>
      <c r="I508" t="s">
        <v>73</v>
      </c>
    </row>
    <row r="509" spans="1:13" ht="16.899999999999999" customHeight="1">
      <c r="A509" t="s">
        <v>71</v>
      </c>
    </row>
    <row r="510" spans="1:13">
      <c r="A510" s="149" t="s">
        <v>37</v>
      </c>
      <c r="B510" s="11" t="s">
        <v>38</v>
      </c>
      <c r="C510" s="12" t="s">
        <v>39</v>
      </c>
      <c r="D510" s="11" t="s">
        <v>40</v>
      </c>
      <c r="E510" s="11" t="s">
        <v>41</v>
      </c>
      <c r="F510" s="13"/>
      <c r="G510" s="13"/>
      <c r="H510" s="14"/>
      <c r="I510" s="15" t="s">
        <v>41</v>
      </c>
      <c r="J510" s="13"/>
      <c r="K510" s="13"/>
      <c r="L510" s="11"/>
      <c r="M510" s="16" t="s">
        <v>42</v>
      </c>
    </row>
    <row r="511" spans="1:13">
      <c r="A511" s="150"/>
      <c r="B511" s="17"/>
      <c r="C511" s="12" t="s">
        <v>43</v>
      </c>
      <c r="D511" s="17"/>
      <c r="E511" s="17" t="s">
        <v>44</v>
      </c>
      <c r="F511" s="18" t="s">
        <v>45</v>
      </c>
      <c r="G511" s="18" t="s">
        <v>46</v>
      </c>
      <c r="H511" s="19" t="s">
        <v>47</v>
      </c>
      <c r="I511" s="20" t="s">
        <v>44</v>
      </c>
      <c r="J511" s="18" t="s">
        <v>45</v>
      </c>
      <c r="K511" s="18" t="s">
        <v>46</v>
      </c>
      <c r="L511" s="17" t="s">
        <v>47</v>
      </c>
      <c r="M511" s="18" t="s">
        <v>48</v>
      </c>
    </row>
    <row r="512" spans="1:13">
      <c r="A512" s="6">
        <v>1</v>
      </c>
      <c r="B512" s="8" t="s">
        <v>78</v>
      </c>
      <c r="C512" s="5">
        <v>3000</v>
      </c>
      <c r="D512" s="21">
        <f>C512/208</f>
        <v>14.423076923076923</v>
      </c>
      <c r="E512" s="22">
        <v>34.5</v>
      </c>
      <c r="F512" s="22"/>
      <c r="G512" s="22"/>
      <c r="H512" s="23"/>
      <c r="I512" s="24">
        <f>D512*E512*1.25</f>
        <v>621.99519230769238</v>
      </c>
      <c r="J512" s="21">
        <f>D512*F512*1.5</f>
        <v>0</v>
      </c>
      <c r="K512" s="21">
        <f>D512*G512*2</f>
        <v>0</v>
      </c>
      <c r="L512" s="21">
        <f>D512*H512*2.5</f>
        <v>0</v>
      </c>
      <c r="M512" s="21">
        <f>I512+J512+K512+L512</f>
        <v>621.99519230769238</v>
      </c>
    </row>
    <row r="525" spans="1:13">
      <c r="A525" t="s">
        <v>35</v>
      </c>
      <c r="I525" t="s">
        <v>73</v>
      </c>
    </row>
    <row r="526" spans="1:13" ht="16.899999999999999" customHeight="1">
      <c r="A526" t="s">
        <v>71</v>
      </c>
    </row>
    <row r="527" spans="1:13">
      <c r="A527" s="149" t="s">
        <v>37</v>
      </c>
      <c r="B527" s="11" t="s">
        <v>38</v>
      </c>
      <c r="C527" s="12" t="s">
        <v>39</v>
      </c>
      <c r="D527" s="11" t="s">
        <v>40</v>
      </c>
      <c r="E527" s="11" t="s">
        <v>41</v>
      </c>
      <c r="F527" s="13"/>
      <c r="G527" s="13"/>
      <c r="H527" s="14"/>
      <c r="I527" s="15" t="s">
        <v>41</v>
      </c>
      <c r="J527" s="13"/>
      <c r="K527" s="13"/>
      <c r="L527" s="11"/>
      <c r="M527" s="16" t="s">
        <v>42</v>
      </c>
    </row>
    <row r="528" spans="1:13">
      <c r="A528" s="150"/>
      <c r="B528" s="17"/>
      <c r="C528" s="12" t="s">
        <v>43</v>
      </c>
      <c r="D528" s="17"/>
      <c r="E528" s="17" t="s">
        <v>44</v>
      </c>
      <c r="F528" s="18" t="s">
        <v>45</v>
      </c>
      <c r="G528" s="18" t="s">
        <v>46</v>
      </c>
      <c r="H528" s="19" t="s">
        <v>47</v>
      </c>
      <c r="I528" s="20" t="s">
        <v>44</v>
      </c>
      <c r="J528" s="18" t="s">
        <v>45</v>
      </c>
      <c r="K528" s="18" t="s">
        <v>46</v>
      </c>
      <c r="L528" s="17" t="s">
        <v>47</v>
      </c>
      <c r="M528" s="18" t="s">
        <v>48</v>
      </c>
    </row>
    <row r="529" spans="1:13">
      <c r="A529" s="6">
        <v>1</v>
      </c>
      <c r="B529" s="8" t="s">
        <v>79</v>
      </c>
      <c r="C529" s="5">
        <v>1200</v>
      </c>
      <c r="D529" s="21">
        <f>C529/208</f>
        <v>5.7692307692307692</v>
      </c>
      <c r="E529" s="22">
        <v>114.5</v>
      </c>
      <c r="F529" s="22"/>
      <c r="G529" s="22">
        <v>18</v>
      </c>
      <c r="H529" s="23"/>
      <c r="I529" s="24">
        <f>D529*E529*1.25</f>
        <v>825.72115384615381</v>
      </c>
      <c r="J529" s="21">
        <f>D529*F529*1.5</f>
        <v>0</v>
      </c>
      <c r="K529" s="21">
        <f>D529*G529*2</f>
        <v>207.69230769230768</v>
      </c>
      <c r="L529" s="21">
        <f>D529*H529*2.5</f>
        <v>0</v>
      </c>
      <c r="M529" s="21">
        <f>I529+J529+K529+L529</f>
        <v>1033.4134615384614</v>
      </c>
    </row>
    <row r="546" spans="1:13">
      <c r="A546" t="s">
        <v>35</v>
      </c>
      <c r="I546" t="s">
        <v>73</v>
      </c>
    </row>
    <row r="547" spans="1:13" ht="16.899999999999999" customHeight="1">
      <c r="A547" t="s">
        <v>71</v>
      </c>
    </row>
    <row r="548" spans="1:13">
      <c r="A548" s="149" t="s">
        <v>37</v>
      </c>
      <c r="B548" s="11" t="s">
        <v>38</v>
      </c>
      <c r="C548" s="12" t="s">
        <v>39</v>
      </c>
      <c r="D548" s="11" t="s">
        <v>40</v>
      </c>
      <c r="E548" s="11" t="s">
        <v>41</v>
      </c>
      <c r="F548" s="13"/>
      <c r="G548" s="13"/>
      <c r="H548" s="14"/>
      <c r="I548" s="15" t="s">
        <v>41</v>
      </c>
      <c r="J548" s="13"/>
      <c r="K548" s="13"/>
      <c r="L548" s="11"/>
      <c r="M548" s="16" t="s">
        <v>42</v>
      </c>
    </row>
    <row r="549" spans="1:13">
      <c r="A549" s="150"/>
      <c r="B549" s="17"/>
      <c r="C549" s="12" t="s">
        <v>43</v>
      </c>
      <c r="D549" s="17"/>
      <c r="E549" s="17" t="s">
        <v>44</v>
      </c>
      <c r="F549" s="18" t="s">
        <v>45</v>
      </c>
      <c r="G549" s="18" t="s">
        <v>46</v>
      </c>
      <c r="H549" s="19" t="s">
        <v>47</v>
      </c>
      <c r="I549" s="20" t="s">
        <v>44</v>
      </c>
      <c r="J549" s="18" t="s">
        <v>45</v>
      </c>
      <c r="K549" s="18" t="s">
        <v>46</v>
      </c>
      <c r="L549" s="17" t="s">
        <v>47</v>
      </c>
      <c r="M549" s="18" t="s">
        <v>48</v>
      </c>
    </row>
    <row r="550" spans="1:13">
      <c r="A550" s="6">
        <v>1</v>
      </c>
      <c r="B550" s="8" t="s">
        <v>80</v>
      </c>
      <c r="C550" s="5">
        <v>1200</v>
      </c>
      <c r="D550" s="21">
        <f>C550/208</f>
        <v>5.7692307692307692</v>
      </c>
      <c r="E550" s="22">
        <v>12</v>
      </c>
      <c r="F550" s="22"/>
      <c r="G550" s="22">
        <v>10.5</v>
      </c>
      <c r="H550" s="23"/>
      <c r="I550" s="24">
        <f>D550*E550*1.25</f>
        <v>86.538461538461533</v>
      </c>
      <c r="J550" s="21">
        <f>D550*F550*1.5</f>
        <v>0</v>
      </c>
      <c r="K550" s="21">
        <f>D550*G550*2</f>
        <v>121.15384615384615</v>
      </c>
      <c r="L550" s="21">
        <f>D550*H550*2.5</f>
        <v>0</v>
      </c>
      <c r="M550" s="21">
        <f>I550+J550+K550+L550</f>
        <v>207.69230769230768</v>
      </c>
    </row>
    <row r="572" spans="1:13" ht="18" customHeight="1"/>
    <row r="573" spans="1:13">
      <c r="A573" t="s">
        <v>35</v>
      </c>
      <c r="I573" t="s">
        <v>73</v>
      </c>
    </row>
    <row r="574" spans="1:13" ht="16.899999999999999" customHeight="1">
      <c r="A574" t="s">
        <v>71</v>
      </c>
    </row>
    <row r="575" spans="1:13">
      <c r="A575" s="149" t="s">
        <v>37</v>
      </c>
      <c r="B575" s="11" t="s">
        <v>38</v>
      </c>
      <c r="C575" s="12" t="s">
        <v>39</v>
      </c>
      <c r="D575" s="11" t="s">
        <v>40</v>
      </c>
      <c r="E575" s="11" t="s">
        <v>41</v>
      </c>
      <c r="F575" s="13"/>
      <c r="G575" s="13"/>
      <c r="H575" s="14"/>
      <c r="I575" s="15" t="s">
        <v>41</v>
      </c>
      <c r="J575" s="13"/>
      <c r="K575" s="13"/>
      <c r="L575" s="11"/>
      <c r="M575" s="16" t="s">
        <v>42</v>
      </c>
    </row>
    <row r="576" spans="1:13">
      <c r="A576" s="150"/>
      <c r="B576" s="17"/>
      <c r="C576" s="12" t="s">
        <v>43</v>
      </c>
      <c r="D576" s="17"/>
      <c r="E576" s="17" t="s">
        <v>44</v>
      </c>
      <c r="F576" s="18" t="s">
        <v>45</v>
      </c>
      <c r="G576" s="18" t="s">
        <v>46</v>
      </c>
      <c r="H576" s="19" t="s">
        <v>47</v>
      </c>
      <c r="I576" s="20" t="s">
        <v>44</v>
      </c>
      <c r="J576" s="18" t="s">
        <v>45</v>
      </c>
      <c r="K576" s="18" t="s">
        <v>46</v>
      </c>
      <c r="L576" s="17" t="s">
        <v>47</v>
      </c>
      <c r="M576" s="18" t="s">
        <v>48</v>
      </c>
    </row>
    <row r="577" spans="1:13">
      <c r="A577" s="6">
        <v>1</v>
      </c>
      <c r="B577" s="8" t="s">
        <v>81</v>
      </c>
      <c r="C577" s="5">
        <v>1200</v>
      </c>
      <c r="D577" s="21">
        <f>C577/208</f>
        <v>5.7692307692307692</v>
      </c>
      <c r="E577" s="22">
        <v>3</v>
      </c>
      <c r="F577" s="22">
        <v>7.5</v>
      </c>
      <c r="G577" s="22"/>
      <c r="H577" s="23"/>
      <c r="I577" s="24">
        <f>D577*E577*1.25</f>
        <v>21.634615384615383</v>
      </c>
      <c r="J577" s="21">
        <f>D577*F577*1.5</f>
        <v>64.903846153846146</v>
      </c>
      <c r="K577" s="21">
        <f>D577*G577*2</f>
        <v>0</v>
      </c>
      <c r="L577" s="21">
        <f>D577*H577*2.5</f>
        <v>0</v>
      </c>
      <c r="M577" s="21">
        <f>I577+J577+K577+L577</f>
        <v>86.538461538461533</v>
      </c>
    </row>
    <row r="596" spans="1:13" ht="18" customHeight="1"/>
    <row r="597" spans="1:13">
      <c r="A597" t="s">
        <v>35</v>
      </c>
      <c r="I597" t="s">
        <v>73</v>
      </c>
    </row>
    <row r="598" spans="1:13" ht="16.899999999999999" customHeight="1">
      <c r="A598" t="s">
        <v>71</v>
      </c>
    </row>
    <row r="599" spans="1:13">
      <c r="A599" s="149" t="s">
        <v>37</v>
      </c>
      <c r="B599" s="11" t="s">
        <v>38</v>
      </c>
      <c r="C599" s="12" t="s">
        <v>39</v>
      </c>
      <c r="D599" s="11" t="s">
        <v>40</v>
      </c>
      <c r="E599" s="11" t="s">
        <v>41</v>
      </c>
      <c r="F599" s="13"/>
      <c r="G599" s="13"/>
      <c r="H599" s="14"/>
      <c r="I599" s="15" t="s">
        <v>41</v>
      </c>
      <c r="J599" s="13"/>
      <c r="K599" s="13"/>
      <c r="L599" s="11"/>
      <c r="M599" s="16" t="s">
        <v>42</v>
      </c>
    </row>
    <row r="600" spans="1:13">
      <c r="A600" s="150"/>
      <c r="B600" s="17"/>
      <c r="C600" s="12" t="s">
        <v>43</v>
      </c>
      <c r="D600" s="17"/>
      <c r="E600" s="17" t="s">
        <v>44</v>
      </c>
      <c r="F600" s="18" t="s">
        <v>45</v>
      </c>
      <c r="G600" s="18" t="s">
        <v>46</v>
      </c>
      <c r="H600" s="19" t="s">
        <v>47</v>
      </c>
      <c r="I600" s="20" t="s">
        <v>44</v>
      </c>
      <c r="J600" s="18" t="s">
        <v>45</v>
      </c>
      <c r="K600" s="18" t="s">
        <v>46</v>
      </c>
      <c r="L600" s="17" t="s">
        <v>47</v>
      </c>
      <c r="M600" s="18" t="s">
        <v>48</v>
      </c>
    </row>
    <row r="601" spans="1:13">
      <c r="A601" s="6">
        <v>1</v>
      </c>
      <c r="B601" s="8" t="s">
        <v>82</v>
      </c>
      <c r="C601" s="5">
        <v>2000</v>
      </c>
      <c r="D601" s="21">
        <f>C601/208</f>
        <v>9.615384615384615</v>
      </c>
      <c r="E601" s="22">
        <v>36</v>
      </c>
      <c r="F601" s="22"/>
      <c r="G601" s="22">
        <v>19.5</v>
      </c>
      <c r="H601" s="23">
        <v>10.5</v>
      </c>
      <c r="I601" s="24">
        <f>D601*E601*1.25</f>
        <v>432.69230769230768</v>
      </c>
      <c r="J601" s="21">
        <f>D601*F601*1.5</f>
        <v>0</v>
      </c>
      <c r="K601" s="21">
        <f>D601*G601*2</f>
        <v>375</v>
      </c>
      <c r="L601" s="21">
        <f>D601*H601*2.5</f>
        <v>252.40384615384613</v>
      </c>
      <c r="M601" s="21">
        <f>I601+J601+K601+L601</f>
        <v>1060.0961538461538</v>
      </c>
    </row>
    <row r="621" spans="1:13" ht="18" customHeight="1"/>
    <row r="622" spans="1:13">
      <c r="A622" t="s">
        <v>35</v>
      </c>
      <c r="I622" t="s">
        <v>73</v>
      </c>
    </row>
    <row r="623" spans="1:13" ht="16.899999999999999" customHeight="1">
      <c r="A623" t="s">
        <v>71</v>
      </c>
    </row>
    <row r="624" spans="1:13">
      <c r="A624" s="149" t="s">
        <v>37</v>
      </c>
      <c r="B624" s="11" t="s">
        <v>38</v>
      </c>
      <c r="C624" s="12" t="s">
        <v>39</v>
      </c>
      <c r="D624" s="11" t="s">
        <v>40</v>
      </c>
      <c r="E624" s="11" t="s">
        <v>41</v>
      </c>
      <c r="F624" s="13"/>
      <c r="G624" s="13"/>
      <c r="H624" s="14"/>
      <c r="I624" s="15" t="s">
        <v>41</v>
      </c>
      <c r="J624" s="13"/>
      <c r="K624" s="13"/>
      <c r="L624" s="11"/>
      <c r="M624" s="16" t="s">
        <v>42</v>
      </c>
    </row>
    <row r="625" spans="1:13">
      <c r="A625" s="150"/>
      <c r="B625" s="17"/>
      <c r="C625" s="12" t="s">
        <v>43</v>
      </c>
      <c r="D625" s="17"/>
      <c r="E625" s="17" t="s">
        <v>44</v>
      </c>
      <c r="F625" s="18" t="s">
        <v>45</v>
      </c>
      <c r="G625" s="18" t="s">
        <v>46</v>
      </c>
      <c r="H625" s="19" t="s">
        <v>47</v>
      </c>
      <c r="I625" s="20" t="s">
        <v>44</v>
      </c>
      <c r="J625" s="18" t="s">
        <v>45</v>
      </c>
      <c r="K625" s="18" t="s">
        <v>46</v>
      </c>
      <c r="L625" s="17" t="s">
        <v>47</v>
      </c>
      <c r="M625" s="18" t="s">
        <v>48</v>
      </c>
    </row>
    <row r="626" spans="1:13">
      <c r="A626" s="6">
        <v>1</v>
      </c>
      <c r="B626" s="8" t="s">
        <v>83</v>
      </c>
      <c r="C626" s="5">
        <v>1200</v>
      </c>
      <c r="D626" s="21">
        <f>C626/208</f>
        <v>5.7692307692307692</v>
      </c>
      <c r="E626" s="22">
        <v>34.5</v>
      </c>
      <c r="F626" s="22"/>
      <c r="G626" s="22">
        <v>8.5</v>
      </c>
      <c r="H626" s="23"/>
      <c r="I626" s="24">
        <f>D626*E626*1.25</f>
        <v>248.79807692307693</v>
      </c>
      <c r="J626" s="21">
        <f>D626*F626*1.5</f>
        <v>0</v>
      </c>
      <c r="K626" s="21">
        <f>D626*G626*2</f>
        <v>98.07692307692308</v>
      </c>
      <c r="L626" s="21">
        <f>D626*H626*2.5</f>
        <v>0</v>
      </c>
      <c r="M626" s="21">
        <f>I626+J626+K626+L626</f>
        <v>346.875</v>
      </c>
    </row>
    <row r="652" spans="1:13" ht="18" customHeight="1"/>
    <row r="653" spans="1:13">
      <c r="A653" t="s">
        <v>35</v>
      </c>
      <c r="I653" t="s">
        <v>73</v>
      </c>
    </row>
    <row r="654" spans="1:13" ht="16.899999999999999" customHeight="1">
      <c r="A654" t="s">
        <v>71</v>
      </c>
    </row>
    <row r="655" spans="1:13">
      <c r="A655" s="149" t="s">
        <v>37</v>
      </c>
      <c r="B655" s="11" t="s">
        <v>38</v>
      </c>
      <c r="C655" s="12" t="s">
        <v>39</v>
      </c>
      <c r="D655" s="11" t="s">
        <v>40</v>
      </c>
      <c r="E655" s="11" t="s">
        <v>41</v>
      </c>
      <c r="F655" s="13"/>
      <c r="G655" s="13"/>
      <c r="H655" s="14"/>
      <c r="I655" s="15" t="s">
        <v>41</v>
      </c>
      <c r="J655" s="13"/>
      <c r="K655" s="13"/>
      <c r="L655" s="11"/>
      <c r="M655" s="16" t="s">
        <v>42</v>
      </c>
    </row>
    <row r="656" spans="1:13">
      <c r="A656" s="150"/>
      <c r="B656" s="17"/>
      <c r="C656" s="12" t="s">
        <v>43</v>
      </c>
      <c r="D656" s="17"/>
      <c r="E656" s="17" t="s">
        <v>44</v>
      </c>
      <c r="F656" s="18" t="s">
        <v>45</v>
      </c>
      <c r="G656" s="18" t="s">
        <v>46</v>
      </c>
      <c r="H656" s="19" t="s">
        <v>47</v>
      </c>
      <c r="I656" s="20" t="s">
        <v>44</v>
      </c>
      <c r="J656" s="18" t="s">
        <v>45</v>
      </c>
      <c r="K656" s="18" t="s">
        <v>46</v>
      </c>
      <c r="L656" s="17" t="s">
        <v>47</v>
      </c>
      <c r="M656" s="18" t="s">
        <v>48</v>
      </c>
    </row>
    <row r="657" spans="1:13">
      <c r="A657" s="6">
        <v>1</v>
      </c>
      <c r="B657" s="8" t="s">
        <v>84</v>
      </c>
      <c r="C657" s="5">
        <v>2000</v>
      </c>
      <c r="D657" s="21">
        <f>C657/208</f>
        <v>9.615384615384615</v>
      </c>
      <c r="E657" s="22">
        <v>25</v>
      </c>
      <c r="F657" s="22"/>
      <c r="G657" s="22"/>
      <c r="H657" s="23">
        <v>4.5</v>
      </c>
      <c r="I657" s="24">
        <f>D657*E657*1.25</f>
        <v>300.48076923076923</v>
      </c>
      <c r="J657" s="21">
        <f>D657*F657*1.5</f>
        <v>0</v>
      </c>
      <c r="K657" s="21">
        <f>D657*G657*2</f>
        <v>0</v>
      </c>
      <c r="L657" s="21">
        <f>D657*H657*2.5</f>
        <v>108.17307692307692</v>
      </c>
      <c r="M657" s="21">
        <f>I657+J657+K657+L657</f>
        <v>408.65384615384613</v>
      </c>
    </row>
    <row r="675" spans="1:13" ht="18" customHeight="1"/>
    <row r="676" spans="1:13">
      <c r="A676" t="s">
        <v>35</v>
      </c>
      <c r="I676" t="s">
        <v>73</v>
      </c>
    </row>
    <row r="677" spans="1:13" ht="16.899999999999999" customHeight="1">
      <c r="A677" t="s">
        <v>71</v>
      </c>
    </row>
    <row r="678" spans="1:13">
      <c r="A678" s="149" t="s">
        <v>37</v>
      </c>
      <c r="B678" s="11" t="s">
        <v>38</v>
      </c>
      <c r="C678" s="12" t="s">
        <v>39</v>
      </c>
      <c r="D678" s="11" t="s">
        <v>40</v>
      </c>
      <c r="E678" s="11" t="s">
        <v>41</v>
      </c>
      <c r="F678" s="13"/>
      <c r="G678" s="13"/>
      <c r="H678" s="14"/>
      <c r="I678" s="15" t="s">
        <v>41</v>
      </c>
      <c r="J678" s="13"/>
      <c r="K678" s="13"/>
      <c r="L678" s="11"/>
      <c r="M678" s="16" t="s">
        <v>42</v>
      </c>
    </row>
    <row r="679" spans="1:13">
      <c r="A679" s="150"/>
      <c r="B679" s="17"/>
      <c r="C679" s="12" t="s">
        <v>43</v>
      </c>
      <c r="D679" s="17"/>
      <c r="E679" s="17" t="s">
        <v>44</v>
      </c>
      <c r="F679" s="18" t="s">
        <v>45</v>
      </c>
      <c r="G679" s="18" t="s">
        <v>46</v>
      </c>
      <c r="H679" s="19" t="s">
        <v>47</v>
      </c>
      <c r="I679" s="20" t="s">
        <v>44</v>
      </c>
      <c r="J679" s="18" t="s">
        <v>45</v>
      </c>
      <c r="K679" s="18" t="s">
        <v>46</v>
      </c>
      <c r="L679" s="17" t="s">
        <v>47</v>
      </c>
      <c r="M679" s="18" t="s">
        <v>48</v>
      </c>
    </row>
    <row r="680" spans="1:13">
      <c r="A680" s="6">
        <v>1</v>
      </c>
      <c r="B680" s="8" t="s">
        <v>85</v>
      </c>
      <c r="C680" s="5">
        <v>12500</v>
      </c>
      <c r="D680" s="21">
        <f>C680/208</f>
        <v>60.096153846153847</v>
      </c>
      <c r="E680" s="22">
        <v>7</v>
      </c>
      <c r="F680" s="22"/>
      <c r="G680" s="22">
        <v>8</v>
      </c>
      <c r="H680" s="23"/>
      <c r="I680" s="24">
        <f>D680*E680*1.25</f>
        <v>525.84134615384619</v>
      </c>
      <c r="J680" s="21">
        <f>D680*F680*1.5</f>
        <v>0</v>
      </c>
      <c r="K680" s="21">
        <f>D680*G680*2</f>
        <v>961.53846153846155</v>
      </c>
      <c r="L680" s="21">
        <f>D680*H680*2.5</f>
        <v>0</v>
      </c>
      <c r="M680" s="21">
        <f>I680+J680+K680+L680</f>
        <v>1487.3798076923076</v>
      </c>
    </row>
    <row r="683" spans="1:13" ht="18" customHeight="1"/>
    <row r="684" spans="1:13">
      <c r="A684" t="s">
        <v>35</v>
      </c>
      <c r="I684" t="s">
        <v>73</v>
      </c>
    </row>
    <row r="685" spans="1:13" ht="16.899999999999999" customHeight="1">
      <c r="A685" t="s">
        <v>71</v>
      </c>
    </row>
    <row r="686" spans="1:13">
      <c r="A686" s="149" t="s">
        <v>37</v>
      </c>
      <c r="B686" s="11" t="s">
        <v>38</v>
      </c>
      <c r="C686" s="12" t="s">
        <v>39</v>
      </c>
      <c r="D686" s="11" t="s">
        <v>40</v>
      </c>
      <c r="E686" s="11" t="s">
        <v>41</v>
      </c>
      <c r="F686" s="13"/>
      <c r="G686" s="13"/>
      <c r="H686" s="14"/>
      <c r="I686" s="15" t="s">
        <v>41</v>
      </c>
      <c r="J686" s="13"/>
      <c r="K686" s="13"/>
      <c r="L686" s="11"/>
      <c r="M686" s="16" t="s">
        <v>42</v>
      </c>
    </row>
    <row r="687" spans="1:13">
      <c r="A687" s="150"/>
      <c r="B687" s="17"/>
      <c r="C687" s="12" t="s">
        <v>43</v>
      </c>
      <c r="D687" s="17"/>
      <c r="E687" s="17" t="s">
        <v>44</v>
      </c>
      <c r="F687" s="18" t="s">
        <v>45</v>
      </c>
      <c r="G687" s="18" t="s">
        <v>46</v>
      </c>
      <c r="H687" s="19" t="s">
        <v>47</v>
      </c>
      <c r="I687" s="20" t="s">
        <v>44</v>
      </c>
      <c r="J687" s="18" t="s">
        <v>45</v>
      </c>
      <c r="K687" s="18" t="s">
        <v>46</v>
      </c>
      <c r="L687" s="17" t="s">
        <v>47</v>
      </c>
      <c r="M687" s="18" t="s">
        <v>48</v>
      </c>
    </row>
    <row r="688" spans="1:13">
      <c r="A688" s="6">
        <v>1</v>
      </c>
      <c r="B688" s="42" t="s">
        <v>120</v>
      </c>
      <c r="C688" s="40">
        <v>5588</v>
      </c>
      <c r="D688" s="21">
        <f>C688/208</f>
        <v>26.865384615384617</v>
      </c>
      <c r="E688" s="22">
        <v>18</v>
      </c>
      <c r="F688" s="22"/>
      <c r="G688" s="22">
        <v>6</v>
      </c>
      <c r="H688" s="23"/>
      <c r="I688" s="24">
        <f>D688*E688*1.25</f>
        <v>604.47115384615381</v>
      </c>
      <c r="J688" s="21">
        <f>D688*F688*1.5</f>
        <v>0</v>
      </c>
      <c r="K688" s="21">
        <f>D688*G688*2</f>
        <v>322.38461538461542</v>
      </c>
      <c r="L688" s="21">
        <f>D688*H688*2.5</f>
        <v>0</v>
      </c>
      <c r="M688" s="21">
        <f>I688+J688+K688+L688</f>
        <v>926.85576923076928</v>
      </c>
    </row>
    <row r="691" spans="1:13">
      <c r="A691" t="s">
        <v>35</v>
      </c>
      <c r="I691" t="s">
        <v>73</v>
      </c>
    </row>
    <row r="692" spans="1:13" ht="16.899999999999999" customHeight="1">
      <c r="A692" t="s">
        <v>71</v>
      </c>
    </row>
    <row r="693" spans="1:13" ht="21" customHeight="1">
      <c r="A693" s="149" t="s">
        <v>37</v>
      </c>
      <c r="B693" s="11" t="s">
        <v>38</v>
      </c>
      <c r="C693" s="12" t="s">
        <v>39</v>
      </c>
      <c r="D693" s="11" t="s">
        <v>40</v>
      </c>
      <c r="E693" s="11" t="s">
        <v>41</v>
      </c>
      <c r="F693" s="13"/>
      <c r="G693" s="13"/>
      <c r="H693" s="14"/>
      <c r="I693" s="15" t="s">
        <v>41</v>
      </c>
      <c r="J693" s="13"/>
      <c r="K693" s="13"/>
      <c r="L693" s="11"/>
      <c r="M693" s="13" t="s">
        <v>42</v>
      </c>
    </row>
    <row r="694" spans="1:13">
      <c r="A694" s="150"/>
      <c r="B694" s="17"/>
      <c r="C694" s="12" t="s">
        <v>43</v>
      </c>
      <c r="D694" s="17"/>
      <c r="E694" s="17" t="s">
        <v>44</v>
      </c>
      <c r="F694" s="18" t="s">
        <v>45</v>
      </c>
      <c r="G694" s="18" t="s">
        <v>46</v>
      </c>
      <c r="H694" s="19" t="s">
        <v>47</v>
      </c>
      <c r="I694" s="20" t="s">
        <v>44</v>
      </c>
      <c r="J694" s="18" t="s">
        <v>45</v>
      </c>
      <c r="K694" s="18" t="s">
        <v>46</v>
      </c>
      <c r="L694" s="17" t="s">
        <v>47</v>
      </c>
      <c r="M694" s="18" t="s">
        <v>48</v>
      </c>
    </row>
    <row r="695" spans="1:13">
      <c r="A695" s="6">
        <v>1</v>
      </c>
      <c r="B695" s="42" t="s">
        <v>122</v>
      </c>
      <c r="C695" s="40">
        <v>3566</v>
      </c>
      <c r="D695" s="21">
        <f>C695/208</f>
        <v>17.14423076923077</v>
      </c>
      <c r="E695" s="22">
        <v>70</v>
      </c>
      <c r="F695" s="22"/>
      <c r="G695" s="22">
        <v>20</v>
      </c>
      <c r="H695" s="23"/>
      <c r="I695" s="24">
        <f>D695*E695*1.25</f>
        <v>1500.1201923076924</v>
      </c>
      <c r="J695" s="21">
        <f>D695*F695*1.5</f>
        <v>0</v>
      </c>
      <c r="K695" s="21">
        <f>D695*G695*2</f>
        <v>685.76923076923083</v>
      </c>
      <c r="L695" s="21">
        <f>D695*H695*2.5</f>
        <v>0</v>
      </c>
      <c r="M695" s="21">
        <f>I695+J695+K695+L695</f>
        <v>2185.8894230769233</v>
      </c>
    </row>
    <row r="699" spans="1:13">
      <c r="A699" t="s">
        <v>35</v>
      </c>
      <c r="I699" t="s">
        <v>73</v>
      </c>
    </row>
    <row r="700" spans="1:13" ht="16.899999999999999" customHeight="1">
      <c r="A700" t="s">
        <v>71</v>
      </c>
    </row>
    <row r="701" spans="1:13" ht="21" customHeight="1">
      <c r="A701" s="149" t="s">
        <v>37</v>
      </c>
      <c r="B701" s="11" t="s">
        <v>38</v>
      </c>
      <c r="C701" s="12" t="s">
        <v>39</v>
      </c>
      <c r="D701" s="11" t="s">
        <v>40</v>
      </c>
      <c r="E701" s="11" t="s">
        <v>41</v>
      </c>
      <c r="F701" s="13"/>
      <c r="G701" s="13"/>
      <c r="H701" s="14"/>
      <c r="I701" s="15" t="s">
        <v>41</v>
      </c>
      <c r="J701" s="13"/>
      <c r="K701" s="13"/>
      <c r="L701" s="11"/>
      <c r="M701" s="13" t="s">
        <v>42</v>
      </c>
    </row>
    <row r="702" spans="1:13">
      <c r="A702" s="150"/>
      <c r="B702" s="17"/>
      <c r="C702" s="12" t="s">
        <v>43</v>
      </c>
      <c r="D702" s="17"/>
      <c r="E702" s="17" t="s">
        <v>44</v>
      </c>
      <c r="F702" s="18" t="s">
        <v>45</v>
      </c>
      <c r="G702" s="18" t="s">
        <v>46</v>
      </c>
      <c r="H702" s="19" t="s">
        <v>47</v>
      </c>
      <c r="I702" s="20" t="s">
        <v>44</v>
      </c>
      <c r="J702" s="18" t="s">
        <v>45</v>
      </c>
      <c r="K702" s="18" t="s">
        <v>46</v>
      </c>
      <c r="L702" s="17" t="s">
        <v>47</v>
      </c>
      <c r="M702" s="18" t="s">
        <v>48</v>
      </c>
    </row>
    <row r="703" spans="1:13">
      <c r="A703" s="6">
        <v>1</v>
      </c>
      <c r="B703" s="43" t="s">
        <v>119</v>
      </c>
      <c r="C703" s="40">
        <v>950</v>
      </c>
      <c r="D703" s="21">
        <f>C703/208</f>
        <v>4.5673076923076925</v>
      </c>
      <c r="E703" s="22">
        <v>44</v>
      </c>
      <c r="F703" s="22"/>
      <c r="G703" s="22"/>
      <c r="H703" s="23"/>
      <c r="I703" s="24">
        <f>D703*E703*1.25</f>
        <v>251.20192307692309</v>
      </c>
      <c r="J703" s="21">
        <f>D703*F703*1.5</f>
        <v>0</v>
      </c>
      <c r="K703" s="21">
        <f>D703*G703*2</f>
        <v>0</v>
      </c>
      <c r="L703" s="21">
        <f>D703*H703*2.5</f>
        <v>0</v>
      </c>
      <c r="M703" s="21">
        <f>I703+J703+K703+L703</f>
        <v>251.20192307692309</v>
      </c>
    </row>
    <row r="707" spans="1:13">
      <c r="A707" t="s">
        <v>35</v>
      </c>
      <c r="I707" t="s">
        <v>73</v>
      </c>
    </row>
    <row r="708" spans="1:13" ht="16.899999999999999" customHeight="1">
      <c r="A708" t="s">
        <v>71</v>
      </c>
    </row>
    <row r="709" spans="1:13" ht="21" customHeight="1">
      <c r="A709" s="149" t="s">
        <v>37</v>
      </c>
      <c r="B709" s="11" t="s">
        <v>38</v>
      </c>
      <c r="C709" s="12" t="s">
        <v>39</v>
      </c>
      <c r="D709" s="11" t="s">
        <v>40</v>
      </c>
      <c r="E709" s="11" t="s">
        <v>41</v>
      </c>
      <c r="F709" s="13"/>
      <c r="G709" s="13"/>
      <c r="H709" s="14"/>
      <c r="I709" s="15" t="s">
        <v>41</v>
      </c>
      <c r="J709" s="13"/>
      <c r="K709" s="13"/>
      <c r="L709" s="11"/>
      <c r="M709" s="13" t="s">
        <v>42</v>
      </c>
    </row>
    <row r="710" spans="1:13">
      <c r="A710" s="150"/>
      <c r="B710" s="17"/>
      <c r="C710" s="12" t="s">
        <v>43</v>
      </c>
      <c r="D710" s="17"/>
      <c r="E710" s="17" t="s">
        <v>44</v>
      </c>
      <c r="F710" s="18" t="s">
        <v>45</v>
      </c>
      <c r="G710" s="18" t="s">
        <v>46</v>
      </c>
      <c r="H710" s="19" t="s">
        <v>47</v>
      </c>
      <c r="I710" s="20" t="s">
        <v>44</v>
      </c>
      <c r="J710" s="18" t="s">
        <v>45</v>
      </c>
      <c r="K710" s="18" t="s">
        <v>46</v>
      </c>
      <c r="L710" s="17" t="s">
        <v>47</v>
      </c>
      <c r="M710" s="18" t="s">
        <v>48</v>
      </c>
    </row>
    <row r="711" spans="1:13">
      <c r="A711" s="6">
        <v>1</v>
      </c>
      <c r="B711" s="42" t="s">
        <v>123</v>
      </c>
      <c r="C711" s="40">
        <v>3827</v>
      </c>
      <c r="D711" s="21">
        <f>C711/208</f>
        <v>18.39903846153846</v>
      </c>
      <c r="E711" s="22">
        <v>45</v>
      </c>
      <c r="F711" s="22">
        <v>19</v>
      </c>
      <c r="G711" s="22">
        <v>21</v>
      </c>
      <c r="H711" s="23"/>
      <c r="I711" s="24">
        <f>D711*E711*1.25</f>
        <v>1034.9459134615383</v>
      </c>
      <c r="J711" s="21">
        <f>D711*F711*1.5</f>
        <v>524.37259615384608</v>
      </c>
      <c r="K711" s="21">
        <f>D711*G711*2</f>
        <v>772.75961538461536</v>
      </c>
      <c r="L711" s="21">
        <f>D711*H711*2.5</f>
        <v>0</v>
      </c>
      <c r="M711" s="21">
        <f>I711+J711+K711+L711</f>
        <v>2332.0781249999995</v>
      </c>
    </row>
    <row r="714" spans="1:13">
      <c r="A714" t="s">
        <v>35</v>
      </c>
      <c r="I714" t="s">
        <v>73</v>
      </c>
    </row>
    <row r="715" spans="1:13" ht="16.899999999999999" customHeight="1">
      <c r="A715" t="s">
        <v>71</v>
      </c>
    </row>
    <row r="716" spans="1:13" ht="21" customHeight="1">
      <c r="A716" s="149" t="s">
        <v>37</v>
      </c>
      <c r="B716" s="11" t="s">
        <v>38</v>
      </c>
      <c r="C716" s="12" t="s">
        <v>39</v>
      </c>
      <c r="D716" s="11" t="s">
        <v>40</v>
      </c>
      <c r="E716" s="11" t="s">
        <v>41</v>
      </c>
      <c r="F716" s="13"/>
      <c r="G716" s="13"/>
      <c r="H716" s="14"/>
      <c r="I716" s="15" t="s">
        <v>41</v>
      </c>
      <c r="J716" s="13"/>
      <c r="K716" s="13"/>
      <c r="L716" s="11"/>
      <c r="M716" s="13" t="s">
        <v>42</v>
      </c>
    </row>
    <row r="717" spans="1:13">
      <c r="A717" s="150"/>
      <c r="B717" s="17"/>
      <c r="C717" s="12" t="s">
        <v>43</v>
      </c>
      <c r="D717" s="17"/>
      <c r="E717" s="17" t="s">
        <v>44</v>
      </c>
      <c r="F717" s="18" t="s">
        <v>45</v>
      </c>
      <c r="G717" s="18" t="s">
        <v>46</v>
      </c>
      <c r="H717" s="19" t="s">
        <v>47</v>
      </c>
      <c r="I717" s="20" t="s">
        <v>44</v>
      </c>
      <c r="J717" s="18" t="s">
        <v>45</v>
      </c>
      <c r="K717" s="18" t="s">
        <v>46</v>
      </c>
      <c r="L717" s="17" t="s">
        <v>47</v>
      </c>
      <c r="M717" s="18" t="s">
        <v>48</v>
      </c>
    </row>
    <row r="718" spans="1:13">
      <c r="A718" s="6">
        <v>1</v>
      </c>
      <c r="B718" s="43" t="s">
        <v>119</v>
      </c>
      <c r="C718" s="40" t="e">
        <f>#REF!</f>
        <v>#REF!</v>
      </c>
      <c r="D718" s="21" t="e">
        <f>C718/208</f>
        <v>#REF!</v>
      </c>
      <c r="E718" s="22">
        <v>33</v>
      </c>
      <c r="F718" s="22"/>
      <c r="G718" s="22"/>
      <c r="H718" s="23"/>
      <c r="I718" s="24" t="e">
        <f>D718*E718*1.25</f>
        <v>#REF!</v>
      </c>
      <c r="J718" s="21" t="e">
        <f>D718*F718*1.5</f>
        <v>#REF!</v>
      </c>
      <c r="K718" s="21" t="e">
        <f>D718*G718*2</f>
        <v>#REF!</v>
      </c>
      <c r="L718" s="21" t="e">
        <f>D718*H718*2.5</f>
        <v>#REF!</v>
      </c>
      <c r="M718" s="21" t="e">
        <f>I718+J718+K718+L718</f>
        <v>#REF!</v>
      </c>
    </row>
    <row r="721" spans="1:13">
      <c r="A721" t="s">
        <v>35</v>
      </c>
      <c r="I721" t="s">
        <v>73</v>
      </c>
    </row>
    <row r="722" spans="1:13" ht="16.899999999999999" customHeight="1">
      <c r="A722" t="s">
        <v>71</v>
      </c>
    </row>
    <row r="723" spans="1:13" ht="21" customHeight="1">
      <c r="A723" s="149" t="s">
        <v>37</v>
      </c>
      <c r="B723" s="11" t="s">
        <v>38</v>
      </c>
      <c r="C723" s="12" t="s">
        <v>39</v>
      </c>
      <c r="D723" s="11" t="s">
        <v>40</v>
      </c>
      <c r="E723" s="11" t="s">
        <v>41</v>
      </c>
      <c r="F723" s="13"/>
      <c r="G723" s="13"/>
      <c r="H723" s="14"/>
      <c r="I723" s="15" t="s">
        <v>41</v>
      </c>
      <c r="J723" s="13"/>
      <c r="K723" s="13"/>
      <c r="L723" s="11"/>
      <c r="M723" s="13" t="s">
        <v>42</v>
      </c>
    </row>
    <row r="724" spans="1:13">
      <c r="A724" s="150"/>
      <c r="B724" s="17"/>
      <c r="C724" s="12" t="s">
        <v>43</v>
      </c>
      <c r="D724" s="17"/>
      <c r="E724" s="17" t="s">
        <v>44</v>
      </c>
      <c r="F724" s="18" t="s">
        <v>45</v>
      </c>
      <c r="G724" s="18" t="s">
        <v>46</v>
      </c>
      <c r="H724" s="19" t="s">
        <v>47</v>
      </c>
      <c r="I724" s="20" t="s">
        <v>44</v>
      </c>
      <c r="J724" s="18" t="s">
        <v>45</v>
      </c>
      <c r="K724" s="18" t="s">
        <v>46</v>
      </c>
      <c r="L724" s="17" t="s">
        <v>47</v>
      </c>
      <c r="M724" s="18" t="s">
        <v>48</v>
      </c>
    </row>
    <row r="725" spans="1:13">
      <c r="A725" s="6">
        <v>1</v>
      </c>
      <c r="B725" s="42" t="s">
        <v>124</v>
      </c>
      <c r="C725" s="40">
        <v>2391</v>
      </c>
      <c r="D725" s="21">
        <f>C725/208</f>
        <v>11.495192307692308</v>
      </c>
      <c r="E725" s="22">
        <v>33</v>
      </c>
      <c r="F725" s="22"/>
      <c r="G725" s="22">
        <v>18</v>
      </c>
      <c r="H725" s="23"/>
      <c r="I725" s="24">
        <f>D725*E725*1.25</f>
        <v>474.17668269230774</v>
      </c>
      <c r="J725" s="21">
        <f>D725*F725*1.5</f>
        <v>0</v>
      </c>
      <c r="K725" s="21">
        <f>D725*G725*2</f>
        <v>413.82692307692309</v>
      </c>
      <c r="L725" s="21">
        <f>D725*H725*2.5</f>
        <v>0</v>
      </c>
      <c r="M725" s="21">
        <f>I725+J725+K725+L725</f>
        <v>888.00360576923083</v>
      </c>
    </row>
    <row r="751" spans="1:9" ht="18" customHeight="1"/>
    <row r="752" spans="1:9">
      <c r="A752" t="s">
        <v>35</v>
      </c>
      <c r="I752" t="s">
        <v>73</v>
      </c>
    </row>
    <row r="753" spans="1:13" ht="16.899999999999999" customHeight="1">
      <c r="A753" t="s">
        <v>71</v>
      </c>
    </row>
    <row r="754" spans="1:13">
      <c r="A754" s="149" t="s">
        <v>37</v>
      </c>
      <c r="B754" s="11" t="s">
        <v>38</v>
      </c>
      <c r="C754" s="12" t="s">
        <v>39</v>
      </c>
      <c r="D754" s="11" t="s">
        <v>40</v>
      </c>
      <c r="E754" s="11" t="s">
        <v>41</v>
      </c>
      <c r="F754" s="13"/>
      <c r="G754" s="13"/>
      <c r="H754" s="14"/>
      <c r="I754" s="15" t="s">
        <v>41</v>
      </c>
      <c r="J754" s="13"/>
      <c r="K754" s="13"/>
      <c r="L754" s="11"/>
      <c r="M754" s="16" t="s">
        <v>42</v>
      </c>
    </row>
    <row r="755" spans="1:13">
      <c r="A755" s="150"/>
      <c r="B755" s="17"/>
      <c r="C755" s="12" t="s">
        <v>43</v>
      </c>
      <c r="D755" s="17"/>
      <c r="E755" s="17" t="s">
        <v>44</v>
      </c>
      <c r="F755" s="18" t="s">
        <v>45</v>
      </c>
      <c r="G755" s="18" t="s">
        <v>46</v>
      </c>
      <c r="H755" s="19" t="s">
        <v>47</v>
      </c>
      <c r="I755" s="20" t="s">
        <v>44</v>
      </c>
      <c r="J755" s="18" t="s">
        <v>45</v>
      </c>
      <c r="K755" s="18" t="s">
        <v>46</v>
      </c>
      <c r="L755" s="17" t="s">
        <v>47</v>
      </c>
      <c r="M755" s="18" t="s">
        <v>48</v>
      </c>
    </row>
    <row r="756" spans="1:13">
      <c r="A756" s="6">
        <v>1</v>
      </c>
      <c r="B756" s="8" t="s">
        <v>86</v>
      </c>
      <c r="C756" s="5">
        <v>2000</v>
      </c>
      <c r="D756" s="21">
        <f>C756/208</f>
        <v>9.615384615384615</v>
      </c>
      <c r="E756" s="22">
        <v>42.5</v>
      </c>
      <c r="F756" s="22"/>
      <c r="G756" s="22">
        <v>24</v>
      </c>
      <c r="H756" s="23"/>
      <c r="I756" s="24">
        <f>D756*E756*1.25</f>
        <v>510.81730769230768</v>
      </c>
      <c r="J756" s="21">
        <f>D756*F756*1.5</f>
        <v>0</v>
      </c>
      <c r="K756" s="21">
        <f>D756*G756*2</f>
        <v>461.53846153846155</v>
      </c>
      <c r="L756" s="21">
        <f>D756*H756*2.5</f>
        <v>0</v>
      </c>
      <c r="M756" s="21">
        <f>I756+J756+K756+L756</f>
        <v>972.35576923076928</v>
      </c>
    </row>
    <row r="757" spans="1:13">
      <c r="A757" s="7">
        <v>2</v>
      </c>
      <c r="B757" s="8" t="s">
        <v>87</v>
      </c>
      <c r="C757" s="5">
        <v>1200</v>
      </c>
      <c r="D757" s="21">
        <f>C757/208</f>
        <v>5.7692307692307692</v>
      </c>
      <c r="E757" s="25">
        <v>124</v>
      </c>
      <c r="F757" s="25">
        <v>6</v>
      </c>
      <c r="G757" s="25">
        <v>57</v>
      </c>
      <c r="H757" s="25">
        <v>13</v>
      </c>
      <c r="I757" s="24">
        <f>D757*E757*1.25</f>
        <v>894.23076923076917</v>
      </c>
      <c r="J757" s="21">
        <f>D757*F757*1.5</f>
        <v>51.92307692307692</v>
      </c>
      <c r="K757" s="21">
        <f>D757*G757*2</f>
        <v>657.69230769230774</v>
      </c>
      <c r="L757" s="21">
        <f>D757*H757*2.5</f>
        <v>187.5</v>
      </c>
      <c r="M757" s="21">
        <f>I757+J757+K757+L757</f>
        <v>1791.3461538461538</v>
      </c>
    </row>
    <row r="779" spans="1:13" ht="18" customHeight="1"/>
    <row r="780" spans="1:13">
      <c r="A780" t="s">
        <v>35</v>
      </c>
      <c r="I780" t="s">
        <v>73</v>
      </c>
    </row>
    <row r="781" spans="1:13" ht="16.899999999999999" customHeight="1">
      <c r="A781" t="s">
        <v>71</v>
      </c>
    </row>
    <row r="782" spans="1:13">
      <c r="A782" s="149" t="s">
        <v>37</v>
      </c>
      <c r="B782" s="11" t="s">
        <v>38</v>
      </c>
      <c r="C782" s="12" t="s">
        <v>39</v>
      </c>
      <c r="D782" s="11" t="s">
        <v>40</v>
      </c>
      <c r="E782" s="11" t="s">
        <v>41</v>
      </c>
      <c r="F782" s="13"/>
      <c r="G782" s="13"/>
      <c r="H782" s="14"/>
      <c r="I782" s="15" t="s">
        <v>41</v>
      </c>
      <c r="J782" s="13"/>
      <c r="K782" s="13"/>
      <c r="L782" s="11"/>
      <c r="M782" s="16" t="s">
        <v>42</v>
      </c>
    </row>
    <row r="783" spans="1:13">
      <c r="A783" s="150"/>
      <c r="B783" s="17"/>
      <c r="C783" s="12" t="s">
        <v>43</v>
      </c>
      <c r="D783" s="17"/>
      <c r="E783" s="17" t="s">
        <v>44</v>
      </c>
      <c r="F783" s="18" t="s">
        <v>45</v>
      </c>
      <c r="G783" s="18" t="s">
        <v>46</v>
      </c>
      <c r="H783" s="19" t="s">
        <v>47</v>
      </c>
      <c r="I783" s="20" t="s">
        <v>44</v>
      </c>
      <c r="J783" s="18" t="s">
        <v>45</v>
      </c>
      <c r="K783" s="18" t="s">
        <v>46</v>
      </c>
      <c r="L783" s="17" t="s">
        <v>47</v>
      </c>
      <c r="M783" s="18" t="s">
        <v>48</v>
      </c>
    </row>
    <row r="784" spans="1:13">
      <c r="A784" s="6">
        <v>1</v>
      </c>
      <c r="B784" s="8" t="s">
        <v>89</v>
      </c>
      <c r="C784" s="5">
        <v>2000</v>
      </c>
      <c r="D784" s="21">
        <f>C784/208</f>
        <v>9.615384615384615</v>
      </c>
      <c r="E784" s="22">
        <v>37</v>
      </c>
      <c r="F784" s="22"/>
      <c r="G784" s="22">
        <v>8.5</v>
      </c>
      <c r="H784" s="23"/>
      <c r="I784" s="24">
        <f>D784*E784*1.25</f>
        <v>444.71153846153845</v>
      </c>
      <c r="J784" s="21">
        <f>D784*F784*1.5</f>
        <v>0</v>
      </c>
      <c r="K784" s="21">
        <f>D784*G784*2</f>
        <v>163.46153846153845</v>
      </c>
      <c r="L784" s="21">
        <f>D784*H784*2.5</f>
        <v>0</v>
      </c>
      <c r="M784" s="21">
        <f>I784+J784+K784+L784</f>
        <v>608.17307692307691</v>
      </c>
    </row>
    <row r="813" spans="1:13">
      <c r="A813" t="s">
        <v>35</v>
      </c>
      <c r="I813" t="s">
        <v>73</v>
      </c>
    </row>
    <row r="814" spans="1:13" ht="16.899999999999999" customHeight="1">
      <c r="A814" t="s">
        <v>71</v>
      </c>
    </row>
    <row r="815" spans="1:13">
      <c r="A815" s="149" t="s">
        <v>37</v>
      </c>
      <c r="B815" s="11" t="s">
        <v>38</v>
      </c>
      <c r="C815" s="12" t="s">
        <v>39</v>
      </c>
      <c r="D815" s="11" t="s">
        <v>40</v>
      </c>
      <c r="E815" s="11" t="s">
        <v>41</v>
      </c>
      <c r="F815" s="13"/>
      <c r="G815" s="13"/>
      <c r="H815" s="14"/>
      <c r="I815" s="15" t="s">
        <v>41</v>
      </c>
      <c r="J815" s="13"/>
      <c r="K815" s="13"/>
      <c r="L815" s="11"/>
      <c r="M815" s="16" t="s">
        <v>42</v>
      </c>
    </row>
    <row r="816" spans="1:13">
      <c r="A816" s="150"/>
      <c r="B816" s="17"/>
      <c r="C816" s="12" t="s">
        <v>43</v>
      </c>
      <c r="D816" s="17"/>
      <c r="E816" s="17" t="s">
        <v>44</v>
      </c>
      <c r="F816" s="18" t="s">
        <v>45</v>
      </c>
      <c r="G816" s="18" t="s">
        <v>46</v>
      </c>
      <c r="H816" s="19" t="s">
        <v>47</v>
      </c>
      <c r="I816" s="20" t="s">
        <v>44</v>
      </c>
      <c r="J816" s="18" t="s">
        <v>45</v>
      </c>
      <c r="K816" s="18" t="s">
        <v>46</v>
      </c>
      <c r="L816" s="17" t="s">
        <v>47</v>
      </c>
      <c r="M816" s="18" t="s">
        <v>48</v>
      </c>
    </row>
    <row r="817" spans="1:13">
      <c r="A817" s="6">
        <v>1</v>
      </c>
      <c r="B817" s="8" t="s">
        <v>90</v>
      </c>
      <c r="C817" s="5">
        <v>2000</v>
      </c>
      <c r="D817" s="21">
        <f>C817/208</f>
        <v>9.615384615384615</v>
      </c>
      <c r="E817" s="22">
        <v>51.5</v>
      </c>
      <c r="F817" s="22"/>
      <c r="G817" s="22">
        <v>37</v>
      </c>
      <c r="H817" s="23">
        <v>19</v>
      </c>
      <c r="I817" s="24">
        <f>D817*E817*1.25</f>
        <v>618.99038461538464</v>
      </c>
      <c r="J817" s="21">
        <f>D817*F817*1.5</f>
        <v>0</v>
      </c>
      <c r="K817" s="21">
        <f>D817*G817*2</f>
        <v>711.53846153846155</v>
      </c>
      <c r="L817" s="21">
        <f>D817*H817*2.5</f>
        <v>456.73076923076917</v>
      </c>
      <c r="M817" s="21">
        <f>I817+J817+K817+L817</f>
        <v>1787.2596153846152</v>
      </c>
    </row>
    <row r="839" spans="1:13">
      <c r="A839" t="s">
        <v>35</v>
      </c>
      <c r="I839" t="s">
        <v>73</v>
      </c>
    </row>
    <row r="840" spans="1:13" ht="16.899999999999999" customHeight="1">
      <c r="A840" t="s">
        <v>71</v>
      </c>
    </row>
    <row r="841" spans="1:13">
      <c r="A841" s="149" t="s">
        <v>37</v>
      </c>
      <c r="B841" s="11" t="s">
        <v>38</v>
      </c>
      <c r="C841" s="12" t="s">
        <v>39</v>
      </c>
      <c r="D841" s="11" t="s">
        <v>40</v>
      </c>
      <c r="E841" s="11" t="s">
        <v>41</v>
      </c>
      <c r="F841" s="13"/>
      <c r="G841" s="13"/>
      <c r="H841" s="14"/>
      <c r="I841" s="15" t="s">
        <v>41</v>
      </c>
      <c r="J841" s="13"/>
      <c r="K841" s="13"/>
      <c r="L841" s="11"/>
      <c r="M841" s="16" t="s">
        <v>42</v>
      </c>
    </row>
    <row r="842" spans="1:13">
      <c r="A842" s="150"/>
      <c r="B842" s="17"/>
      <c r="C842" s="12" t="s">
        <v>43</v>
      </c>
      <c r="D842" s="17"/>
      <c r="E842" s="17" t="s">
        <v>44</v>
      </c>
      <c r="F842" s="18" t="s">
        <v>45</v>
      </c>
      <c r="G842" s="18" t="s">
        <v>46</v>
      </c>
      <c r="H842" s="19" t="s">
        <v>47</v>
      </c>
      <c r="I842" s="20" t="s">
        <v>44</v>
      </c>
      <c r="J842" s="18" t="s">
        <v>45</v>
      </c>
      <c r="K842" s="18" t="s">
        <v>46</v>
      </c>
      <c r="L842" s="17" t="s">
        <v>47</v>
      </c>
      <c r="M842" s="18" t="s">
        <v>48</v>
      </c>
    </row>
    <row r="843" spans="1:13">
      <c r="A843" s="6">
        <v>1</v>
      </c>
      <c r="B843" s="8" t="s">
        <v>91</v>
      </c>
      <c r="C843" s="5">
        <v>3000</v>
      </c>
      <c r="D843" s="21">
        <f>C843/208</f>
        <v>14.423076923076923</v>
      </c>
      <c r="E843" s="22">
        <v>30</v>
      </c>
      <c r="F843" s="22">
        <v>10</v>
      </c>
      <c r="G843" s="22">
        <v>32</v>
      </c>
      <c r="H843" s="23"/>
      <c r="I843" s="24">
        <f>D843*E843*1.25</f>
        <v>540.86538461538464</v>
      </c>
      <c r="J843" s="21">
        <f>D843*F843*1.5</f>
        <v>216.34615384615384</v>
      </c>
      <c r="K843" s="21">
        <f>D843*G843*2</f>
        <v>923.07692307692309</v>
      </c>
      <c r="L843" s="21">
        <f>D843*H843*2.5</f>
        <v>0</v>
      </c>
      <c r="M843" s="21">
        <f>I843+J843+K843+L843</f>
        <v>1680.2884615384614</v>
      </c>
    </row>
    <row r="869" spans="1:13">
      <c r="A869" t="s">
        <v>35</v>
      </c>
      <c r="I869" t="s">
        <v>73</v>
      </c>
    </row>
    <row r="870" spans="1:13" ht="16.899999999999999" customHeight="1">
      <c r="A870" t="s">
        <v>71</v>
      </c>
    </row>
    <row r="871" spans="1:13">
      <c r="A871" s="149" t="s">
        <v>37</v>
      </c>
      <c r="B871" s="11" t="s">
        <v>38</v>
      </c>
      <c r="C871" s="12" t="s">
        <v>39</v>
      </c>
      <c r="D871" s="11" t="s">
        <v>40</v>
      </c>
      <c r="E871" s="11" t="s">
        <v>41</v>
      </c>
      <c r="F871" s="13"/>
      <c r="G871" s="13"/>
      <c r="H871" s="14"/>
      <c r="I871" s="15" t="s">
        <v>41</v>
      </c>
      <c r="J871" s="13"/>
      <c r="K871" s="13"/>
      <c r="L871" s="11"/>
      <c r="M871" s="16" t="s">
        <v>42</v>
      </c>
    </row>
    <row r="872" spans="1:13">
      <c r="A872" s="150"/>
      <c r="B872" s="17"/>
      <c r="C872" s="12" t="s">
        <v>43</v>
      </c>
      <c r="D872" s="17"/>
      <c r="E872" s="17" t="s">
        <v>44</v>
      </c>
      <c r="F872" s="18" t="s">
        <v>45</v>
      </c>
      <c r="G872" s="18" t="s">
        <v>46</v>
      </c>
      <c r="H872" s="19" t="s">
        <v>47</v>
      </c>
      <c r="I872" s="20" t="s">
        <v>44</v>
      </c>
      <c r="J872" s="18" t="s">
        <v>45</v>
      </c>
      <c r="K872" s="18" t="s">
        <v>46</v>
      </c>
      <c r="L872" s="17" t="s">
        <v>47</v>
      </c>
      <c r="M872" s="18" t="s">
        <v>48</v>
      </c>
    </row>
    <row r="873" spans="1:13">
      <c r="A873" s="6">
        <v>1</v>
      </c>
      <c r="B873" s="8" t="s">
        <v>92</v>
      </c>
      <c r="C873" s="5">
        <v>2000</v>
      </c>
      <c r="D873" s="21">
        <f>C873/208</f>
        <v>9.615384615384615</v>
      </c>
      <c r="E873" s="22">
        <v>11.5</v>
      </c>
      <c r="F873" s="22"/>
      <c r="G873" s="22">
        <v>9</v>
      </c>
      <c r="H873" s="23"/>
      <c r="I873" s="24">
        <f>D873*E873*1.25</f>
        <v>138.22115384615384</v>
      </c>
      <c r="J873" s="21">
        <f>D873*F873*1.5</f>
        <v>0</v>
      </c>
      <c r="K873" s="21">
        <f>D873*G873*2</f>
        <v>173.07692307692307</v>
      </c>
      <c r="L873" s="21">
        <f>D873*H873*2.5</f>
        <v>0</v>
      </c>
      <c r="M873" s="21">
        <f>I873+J873+K873+L873</f>
        <v>311.29807692307691</v>
      </c>
    </row>
    <row r="903" spans="1:13">
      <c r="A903" t="s">
        <v>35</v>
      </c>
      <c r="I903" t="s">
        <v>73</v>
      </c>
    </row>
    <row r="904" spans="1:13" ht="16.899999999999999" customHeight="1">
      <c r="A904" t="s">
        <v>71</v>
      </c>
    </row>
    <row r="905" spans="1:13">
      <c r="A905" s="149" t="s">
        <v>37</v>
      </c>
      <c r="B905" s="11" t="s">
        <v>38</v>
      </c>
      <c r="C905" s="12" t="s">
        <v>39</v>
      </c>
      <c r="D905" s="11" t="s">
        <v>40</v>
      </c>
      <c r="E905" s="11" t="s">
        <v>41</v>
      </c>
      <c r="F905" s="13"/>
      <c r="G905" s="13"/>
      <c r="H905" s="14"/>
      <c r="I905" s="15" t="s">
        <v>41</v>
      </c>
      <c r="J905" s="13"/>
      <c r="K905" s="13"/>
      <c r="L905" s="11"/>
      <c r="M905" s="16" t="s">
        <v>42</v>
      </c>
    </row>
    <row r="906" spans="1:13">
      <c r="A906" s="150"/>
      <c r="B906" s="17"/>
      <c r="C906" s="12" t="s">
        <v>43</v>
      </c>
      <c r="D906" s="17"/>
      <c r="E906" s="17" t="s">
        <v>44</v>
      </c>
      <c r="F906" s="18" t="s">
        <v>45</v>
      </c>
      <c r="G906" s="18" t="s">
        <v>46</v>
      </c>
      <c r="H906" s="19" t="s">
        <v>47</v>
      </c>
      <c r="I906" s="20" t="s">
        <v>44</v>
      </c>
      <c r="J906" s="18" t="s">
        <v>45</v>
      </c>
      <c r="K906" s="18" t="s">
        <v>46</v>
      </c>
      <c r="L906" s="17" t="s">
        <v>47</v>
      </c>
      <c r="M906" s="18" t="s">
        <v>48</v>
      </c>
    </row>
    <row r="907" spans="1:13">
      <c r="A907" s="6">
        <v>1</v>
      </c>
      <c r="B907" s="8" t="s">
        <v>88</v>
      </c>
      <c r="C907" s="5">
        <v>4500</v>
      </c>
      <c r="D907" s="21">
        <f>C907/208</f>
        <v>21.634615384615383</v>
      </c>
      <c r="E907" s="22">
        <v>33</v>
      </c>
      <c r="F907" s="22"/>
      <c r="G907" s="22">
        <v>16</v>
      </c>
      <c r="H907" s="23">
        <v>8</v>
      </c>
      <c r="I907" s="24">
        <f>D907*E907*1.25</f>
        <v>892.42788461538453</v>
      </c>
      <c r="J907" s="21">
        <f>D907*F907*1.5</f>
        <v>0</v>
      </c>
      <c r="K907" s="21">
        <f>D907*G907*2</f>
        <v>692.30769230769226</v>
      </c>
      <c r="L907" s="21">
        <f>D907*H907*2.5</f>
        <v>432.69230769230768</v>
      </c>
      <c r="M907" s="21">
        <f>I907+J907+K907+L907</f>
        <v>2017.4278846153843</v>
      </c>
    </row>
    <row r="943" spans="1:9">
      <c r="A943" t="s">
        <v>35</v>
      </c>
      <c r="I943" t="s">
        <v>73</v>
      </c>
    </row>
    <row r="944" spans="1:9" ht="16.899999999999999" customHeight="1">
      <c r="A944" t="s">
        <v>71</v>
      </c>
    </row>
    <row r="945" spans="1:13">
      <c r="A945" s="149" t="s">
        <v>37</v>
      </c>
      <c r="B945" s="11" t="s">
        <v>38</v>
      </c>
      <c r="C945" s="12" t="s">
        <v>39</v>
      </c>
      <c r="D945" s="11" t="s">
        <v>40</v>
      </c>
      <c r="E945" s="11" t="s">
        <v>41</v>
      </c>
      <c r="F945" s="13"/>
      <c r="G945" s="13"/>
      <c r="H945" s="14"/>
      <c r="I945" s="15" t="s">
        <v>41</v>
      </c>
      <c r="J945" s="13"/>
      <c r="K945" s="13"/>
      <c r="L945" s="11"/>
      <c r="M945" s="16" t="s">
        <v>42</v>
      </c>
    </row>
    <row r="946" spans="1:13">
      <c r="A946" s="150"/>
      <c r="B946" s="17"/>
      <c r="C946" s="12" t="s">
        <v>43</v>
      </c>
      <c r="D946" s="17"/>
      <c r="E946" s="17" t="s">
        <v>44</v>
      </c>
      <c r="F946" s="18" t="s">
        <v>45</v>
      </c>
      <c r="G946" s="18" t="s">
        <v>46</v>
      </c>
      <c r="H946" s="19" t="s">
        <v>47</v>
      </c>
      <c r="I946" s="20" t="s">
        <v>44</v>
      </c>
      <c r="J946" s="18" t="s">
        <v>45</v>
      </c>
      <c r="K946" s="18" t="s">
        <v>46</v>
      </c>
      <c r="L946" s="17" t="s">
        <v>47</v>
      </c>
      <c r="M946" s="18" t="s">
        <v>48</v>
      </c>
    </row>
    <row r="947" spans="1:13">
      <c r="A947" s="6">
        <v>1</v>
      </c>
      <c r="B947" s="8" t="s">
        <v>93</v>
      </c>
      <c r="C947" s="5">
        <v>1700</v>
      </c>
      <c r="D947" s="21">
        <f>C947/208</f>
        <v>8.1730769230769234</v>
      </c>
      <c r="E947" s="22">
        <v>19</v>
      </c>
      <c r="F947" s="22"/>
      <c r="G947" s="22">
        <v>9.5</v>
      </c>
      <c r="H947" s="23"/>
      <c r="I947" s="24">
        <f>D947*E947*1.25</f>
        <v>194.11057692307693</v>
      </c>
      <c r="J947" s="21">
        <f>D947*F947*1.5</f>
        <v>0</v>
      </c>
      <c r="K947" s="21">
        <f>D947*G947*2</f>
        <v>155.28846153846155</v>
      </c>
      <c r="L947" s="21">
        <f>D947*H947*2.5</f>
        <v>0</v>
      </c>
      <c r="M947" s="21">
        <f>I947+J947+K947+L947</f>
        <v>349.39903846153845</v>
      </c>
    </row>
    <row r="969" spans="1:13">
      <c r="A969" t="s">
        <v>35</v>
      </c>
      <c r="I969" t="s">
        <v>73</v>
      </c>
    </row>
    <row r="970" spans="1:13" ht="16.899999999999999" customHeight="1">
      <c r="A970" t="s">
        <v>71</v>
      </c>
    </row>
    <row r="971" spans="1:13">
      <c r="A971" s="149" t="s">
        <v>37</v>
      </c>
      <c r="B971" s="11" t="s">
        <v>38</v>
      </c>
      <c r="C971" s="12" t="s">
        <v>39</v>
      </c>
      <c r="D971" s="11" t="s">
        <v>40</v>
      </c>
      <c r="E971" s="11" t="s">
        <v>41</v>
      </c>
      <c r="F971" s="13"/>
      <c r="G971" s="13"/>
      <c r="H971" s="14"/>
      <c r="I971" s="15" t="s">
        <v>41</v>
      </c>
      <c r="J971" s="13"/>
      <c r="K971" s="13"/>
      <c r="L971" s="11"/>
      <c r="M971" s="16" t="s">
        <v>42</v>
      </c>
    </row>
    <row r="972" spans="1:13">
      <c r="A972" s="150"/>
      <c r="B972" s="17"/>
      <c r="C972" s="12" t="s">
        <v>43</v>
      </c>
      <c r="D972" s="17"/>
      <c r="E972" s="17" t="s">
        <v>44</v>
      </c>
      <c r="F972" s="18" t="s">
        <v>45</v>
      </c>
      <c r="G972" s="18" t="s">
        <v>46</v>
      </c>
      <c r="H972" s="19" t="s">
        <v>47</v>
      </c>
      <c r="I972" s="20" t="s">
        <v>44</v>
      </c>
      <c r="J972" s="18" t="s">
        <v>45</v>
      </c>
      <c r="K972" s="18" t="s">
        <v>46</v>
      </c>
      <c r="L972" s="17" t="s">
        <v>47</v>
      </c>
      <c r="M972" s="18" t="s">
        <v>48</v>
      </c>
    </row>
    <row r="973" spans="1:13">
      <c r="A973" s="6">
        <v>1</v>
      </c>
      <c r="B973" s="8" t="s">
        <v>94</v>
      </c>
      <c r="C973" s="5">
        <v>4000</v>
      </c>
      <c r="D973" s="21">
        <f>C973/208</f>
        <v>19.23076923076923</v>
      </c>
      <c r="E973" s="22">
        <v>15</v>
      </c>
      <c r="F973" s="22"/>
      <c r="G973" s="22"/>
      <c r="H973" s="23"/>
      <c r="I973" s="24">
        <f>D973*E973*1.25</f>
        <v>360.57692307692309</v>
      </c>
      <c r="J973" s="21">
        <f>D973*F973*1.5</f>
        <v>0</v>
      </c>
      <c r="K973" s="21">
        <f>D973*G973*2</f>
        <v>0</v>
      </c>
      <c r="L973" s="21">
        <f>D973*H973*2.5</f>
        <v>0</v>
      </c>
      <c r="M973" s="21">
        <f>I973+J973+K973+L973</f>
        <v>360.57692307692309</v>
      </c>
    </row>
    <row r="1001" spans="1:13">
      <c r="A1001" t="s">
        <v>35</v>
      </c>
      <c r="I1001" t="s">
        <v>73</v>
      </c>
    </row>
    <row r="1002" spans="1:13" ht="16.899999999999999" customHeight="1">
      <c r="A1002" t="s">
        <v>71</v>
      </c>
    </row>
    <row r="1003" spans="1:13">
      <c r="A1003" s="149" t="s">
        <v>37</v>
      </c>
      <c r="B1003" s="11" t="s">
        <v>38</v>
      </c>
      <c r="C1003" s="12" t="s">
        <v>39</v>
      </c>
      <c r="D1003" s="11" t="s">
        <v>40</v>
      </c>
      <c r="E1003" s="11" t="s">
        <v>41</v>
      </c>
      <c r="F1003" s="13"/>
      <c r="G1003" s="13"/>
      <c r="H1003" s="14"/>
      <c r="I1003" s="15" t="s">
        <v>41</v>
      </c>
      <c r="J1003" s="13"/>
      <c r="K1003" s="13"/>
      <c r="L1003" s="11"/>
      <c r="M1003" s="16" t="s">
        <v>42</v>
      </c>
    </row>
    <row r="1004" spans="1:13">
      <c r="A1004" s="150"/>
      <c r="B1004" s="17"/>
      <c r="C1004" s="12" t="s">
        <v>43</v>
      </c>
      <c r="D1004" s="17"/>
      <c r="E1004" s="17" t="s">
        <v>44</v>
      </c>
      <c r="F1004" s="18" t="s">
        <v>45</v>
      </c>
      <c r="G1004" s="18" t="s">
        <v>46</v>
      </c>
      <c r="H1004" s="19" t="s">
        <v>47</v>
      </c>
      <c r="I1004" s="20" t="s">
        <v>44</v>
      </c>
      <c r="J1004" s="18" t="s">
        <v>45</v>
      </c>
      <c r="K1004" s="18" t="s">
        <v>46</v>
      </c>
      <c r="L1004" s="17" t="s">
        <v>47</v>
      </c>
      <c r="M1004" s="18" t="s">
        <v>48</v>
      </c>
    </row>
    <row r="1005" spans="1:13">
      <c r="A1005" s="6">
        <v>1</v>
      </c>
      <c r="B1005" s="9" t="s">
        <v>95</v>
      </c>
      <c r="C1005" s="5">
        <v>1700</v>
      </c>
      <c r="D1005" s="21">
        <f>C1005/208</f>
        <v>8.1730769230769234</v>
      </c>
      <c r="E1005" s="22">
        <v>12</v>
      </c>
      <c r="F1005" s="22"/>
      <c r="G1005" s="22">
        <v>10</v>
      </c>
      <c r="H1005" s="23"/>
      <c r="I1005" s="24">
        <f>D1005*E1005*1.25</f>
        <v>122.59615384615385</v>
      </c>
      <c r="J1005" s="21">
        <f>D1005*F1005*1.5</f>
        <v>0</v>
      </c>
      <c r="K1005" s="21">
        <f>D1005*G1005*2</f>
        <v>163.46153846153845</v>
      </c>
      <c r="L1005" s="21">
        <f>D1005*H1005*2.5</f>
        <v>0</v>
      </c>
      <c r="M1005" s="21">
        <f>I1005+J1005+K1005+L1005</f>
        <v>286.05769230769232</v>
      </c>
    </row>
    <row r="1021" spans="1:13">
      <c r="A1021" t="s">
        <v>35</v>
      </c>
      <c r="I1021" t="s">
        <v>73</v>
      </c>
    </row>
    <row r="1022" spans="1:13" ht="16.899999999999999" customHeight="1">
      <c r="A1022" t="s">
        <v>71</v>
      </c>
    </row>
    <row r="1023" spans="1:13">
      <c r="A1023" s="149" t="s">
        <v>37</v>
      </c>
      <c r="B1023" s="11" t="s">
        <v>38</v>
      </c>
      <c r="C1023" s="12" t="s">
        <v>39</v>
      </c>
      <c r="D1023" s="11" t="s">
        <v>40</v>
      </c>
      <c r="E1023" s="11" t="s">
        <v>41</v>
      </c>
      <c r="F1023" s="13"/>
      <c r="G1023" s="13"/>
      <c r="H1023" s="14"/>
      <c r="I1023" s="15" t="s">
        <v>41</v>
      </c>
      <c r="J1023" s="13"/>
      <c r="K1023" s="13"/>
      <c r="L1023" s="11"/>
      <c r="M1023" s="16" t="s">
        <v>42</v>
      </c>
    </row>
    <row r="1024" spans="1:13">
      <c r="A1024" s="150"/>
      <c r="B1024" s="17"/>
      <c r="C1024" s="12" t="s">
        <v>43</v>
      </c>
      <c r="D1024" s="17"/>
      <c r="E1024" s="17" t="s">
        <v>44</v>
      </c>
      <c r="F1024" s="18" t="s">
        <v>45</v>
      </c>
      <c r="G1024" s="18" t="s">
        <v>46</v>
      </c>
      <c r="H1024" s="19" t="s">
        <v>47</v>
      </c>
      <c r="I1024" s="20" t="s">
        <v>44</v>
      </c>
      <c r="J1024" s="18" t="s">
        <v>45</v>
      </c>
      <c r="K1024" s="18" t="s">
        <v>46</v>
      </c>
      <c r="L1024" s="17" t="s">
        <v>47</v>
      </c>
      <c r="M1024" s="18" t="s">
        <v>48</v>
      </c>
    </row>
    <row r="1025" spans="1:13">
      <c r="A1025" s="8">
        <v>1</v>
      </c>
      <c r="B1025" s="9" t="s">
        <v>96</v>
      </c>
      <c r="C1025" s="5">
        <v>1800</v>
      </c>
      <c r="D1025" s="21">
        <f>C1025/208</f>
        <v>8.6538461538461533</v>
      </c>
      <c r="E1025" s="22">
        <v>15</v>
      </c>
      <c r="F1025" s="22"/>
      <c r="G1025" s="22"/>
      <c r="H1025" s="23"/>
      <c r="I1025" s="24">
        <f>D1025*E1025*1.25</f>
        <v>162.25961538461536</v>
      </c>
      <c r="J1025" s="21">
        <f>D1025*F1025*1.5</f>
        <v>0</v>
      </c>
      <c r="K1025" s="21">
        <f>D1025*G1025*2</f>
        <v>0</v>
      </c>
      <c r="L1025" s="21">
        <f>D1025*H1025*2.5</f>
        <v>0</v>
      </c>
      <c r="M1025" s="21">
        <f>I1025+J1025+K1025+L1025</f>
        <v>162.25961538461536</v>
      </c>
    </row>
    <row r="1043" spans="1:13">
      <c r="A1043" t="s">
        <v>35</v>
      </c>
      <c r="I1043" t="s">
        <v>73</v>
      </c>
    </row>
    <row r="1044" spans="1:13" ht="16.899999999999999" customHeight="1">
      <c r="A1044" t="s">
        <v>71</v>
      </c>
    </row>
    <row r="1045" spans="1:13">
      <c r="A1045" s="149" t="s">
        <v>37</v>
      </c>
      <c r="B1045" s="11" t="s">
        <v>38</v>
      </c>
      <c r="C1045" s="12" t="s">
        <v>39</v>
      </c>
      <c r="D1045" s="11" t="s">
        <v>40</v>
      </c>
      <c r="E1045" s="11" t="s">
        <v>41</v>
      </c>
      <c r="F1045" s="13"/>
      <c r="G1045" s="13"/>
      <c r="H1045" s="14"/>
      <c r="I1045" s="15" t="s">
        <v>41</v>
      </c>
      <c r="J1045" s="13"/>
      <c r="K1045" s="13"/>
      <c r="L1045" s="11"/>
      <c r="M1045" s="16" t="s">
        <v>42</v>
      </c>
    </row>
    <row r="1046" spans="1:13">
      <c r="A1046" s="150"/>
      <c r="B1046" s="17"/>
      <c r="C1046" s="12" t="s">
        <v>43</v>
      </c>
      <c r="D1046" s="17"/>
      <c r="E1046" s="17" t="s">
        <v>44</v>
      </c>
      <c r="F1046" s="18" t="s">
        <v>45</v>
      </c>
      <c r="G1046" s="18" t="s">
        <v>46</v>
      </c>
      <c r="H1046" s="19" t="s">
        <v>47</v>
      </c>
      <c r="I1046" s="20" t="s">
        <v>44</v>
      </c>
      <c r="J1046" s="18" t="s">
        <v>45</v>
      </c>
      <c r="K1046" s="18" t="s">
        <v>46</v>
      </c>
      <c r="L1046" s="17" t="s">
        <v>47</v>
      </c>
      <c r="M1046" s="18" t="s">
        <v>48</v>
      </c>
    </row>
    <row r="1047" spans="1:13">
      <c r="A1047" s="8">
        <v>1</v>
      </c>
      <c r="B1047" s="38" t="s">
        <v>98</v>
      </c>
      <c r="C1047" s="5">
        <v>4700</v>
      </c>
      <c r="D1047" s="21">
        <f>C1047/208</f>
        <v>22.596153846153847</v>
      </c>
      <c r="E1047" s="22">
        <v>20</v>
      </c>
      <c r="F1047" s="22">
        <v>42</v>
      </c>
      <c r="G1047" s="22">
        <v>20.5</v>
      </c>
      <c r="H1047" s="23"/>
      <c r="I1047" s="24">
        <f>D1047*E1047*1.25</f>
        <v>564.90384615384619</v>
      </c>
      <c r="J1047" s="21">
        <f>D1047*F1047*1.5</f>
        <v>1423.5576923076924</v>
      </c>
      <c r="K1047" s="21">
        <f>D1047*G1047*2</f>
        <v>926.44230769230774</v>
      </c>
      <c r="L1047" s="21">
        <f>D1047*H1047*2.5</f>
        <v>0</v>
      </c>
      <c r="M1047" s="21">
        <f>I1047+J1047+K1047+L1047</f>
        <v>2914.9038461538462</v>
      </c>
    </row>
    <row r="1070" spans="1:13">
      <c r="A1070" t="s">
        <v>35</v>
      </c>
      <c r="I1070" t="s">
        <v>73</v>
      </c>
    </row>
    <row r="1071" spans="1:13" ht="16.899999999999999" customHeight="1">
      <c r="A1071" t="s">
        <v>71</v>
      </c>
    </row>
    <row r="1072" spans="1:13">
      <c r="A1072" s="149" t="s">
        <v>37</v>
      </c>
      <c r="B1072" s="11" t="s">
        <v>38</v>
      </c>
      <c r="C1072" s="12" t="s">
        <v>39</v>
      </c>
      <c r="D1072" s="11" t="s">
        <v>40</v>
      </c>
      <c r="E1072" s="11" t="s">
        <v>41</v>
      </c>
      <c r="F1072" s="13"/>
      <c r="G1072" s="13"/>
      <c r="H1072" s="14"/>
      <c r="I1072" s="15" t="s">
        <v>41</v>
      </c>
      <c r="J1072" s="13"/>
      <c r="K1072" s="13"/>
      <c r="L1072" s="11"/>
      <c r="M1072" s="16" t="s">
        <v>42</v>
      </c>
    </row>
    <row r="1073" spans="1:13">
      <c r="A1073" s="150"/>
      <c r="B1073" s="17"/>
      <c r="C1073" s="12" t="s">
        <v>43</v>
      </c>
      <c r="D1073" s="17"/>
      <c r="E1073" s="17" t="s">
        <v>44</v>
      </c>
      <c r="F1073" s="18" t="s">
        <v>45</v>
      </c>
      <c r="G1073" s="18" t="s">
        <v>46</v>
      </c>
      <c r="H1073" s="19" t="s">
        <v>47</v>
      </c>
      <c r="I1073" s="20" t="s">
        <v>44</v>
      </c>
      <c r="J1073" s="18" t="s">
        <v>45</v>
      </c>
      <c r="K1073" s="18" t="s">
        <v>46</v>
      </c>
      <c r="L1073" s="17" t="s">
        <v>47</v>
      </c>
      <c r="M1073" s="18" t="s">
        <v>48</v>
      </c>
    </row>
    <row r="1074" spans="1:13">
      <c r="A1074" s="8">
        <v>12</v>
      </c>
      <c r="B1074" s="9" t="s">
        <v>97</v>
      </c>
      <c r="C1074" s="5">
        <v>1500</v>
      </c>
      <c r="D1074" s="21">
        <f>C1074/208</f>
        <v>7.2115384615384617</v>
      </c>
      <c r="E1074" s="22">
        <v>12</v>
      </c>
      <c r="F1074" s="22"/>
      <c r="G1074" s="22"/>
      <c r="H1074" s="23"/>
      <c r="I1074" s="24">
        <f>D1074*E1074*1.25</f>
        <v>108.17307692307693</v>
      </c>
      <c r="J1074" s="21">
        <f>D1074*F1074*1.5</f>
        <v>0</v>
      </c>
      <c r="K1074" s="21">
        <f>D1074*G1074*2</f>
        <v>0</v>
      </c>
      <c r="L1074" s="21">
        <f>D1074*H1074*2.5</f>
        <v>0</v>
      </c>
      <c r="M1074" s="21">
        <f>I1074+J1074+K1074+L1074</f>
        <v>108.17307692307693</v>
      </c>
    </row>
    <row r="1105" spans="1:13">
      <c r="A1105" t="s">
        <v>35</v>
      </c>
      <c r="I1105" t="s">
        <v>73</v>
      </c>
    </row>
    <row r="1106" spans="1:13" ht="16.899999999999999" customHeight="1">
      <c r="A1106" t="s">
        <v>71</v>
      </c>
    </row>
    <row r="1107" spans="1:13">
      <c r="A1107" s="149" t="s">
        <v>37</v>
      </c>
      <c r="B1107" s="11" t="s">
        <v>38</v>
      </c>
      <c r="C1107" s="12" t="s">
        <v>39</v>
      </c>
      <c r="D1107" s="11" t="s">
        <v>40</v>
      </c>
      <c r="E1107" s="11" t="s">
        <v>41</v>
      </c>
      <c r="F1107" s="13"/>
      <c r="G1107" s="13"/>
      <c r="H1107" s="14"/>
      <c r="I1107" s="15" t="s">
        <v>41</v>
      </c>
      <c r="J1107" s="13"/>
      <c r="K1107" s="13"/>
      <c r="L1107" s="11"/>
      <c r="M1107" s="16" t="s">
        <v>42</v>
      </c>
    </row>
    <row r="1108" spans="1:13">
      <c r="A1108" s="150"/>
      <c r="B1108" s="17"/>
      <c r="C1108" s="12" t="s">
        <v>43</v>
      </c>
      <c r="D1108" s="17"/>
      <c r="E1108" s="17" t="s">
        <v>44</v>
      </c>
      <c r="F1108" s="18" t="s">
        <v>45</v>
      </c>
      <c r="G1108" s="18" t="s">
        <v>46</v>
      </c>
      <c r="H1108" s="19" t="s">
        <v>47</v>
      </c>
      <c r="I1108" s="20" t="s">
        <v>44</v>
      </c>
      <c r="J1108" s="18" t="s">
        <v>45</v>
      </c>
      <c r="K1108" s="18" t="s">
        <v>46</v>
      </c>
      <c r="L1108" s="17" t="s">
        <v>47</v>
      </c>
      <c r="M1108" s="18" t="s">
        <v>48</v>
      </c>
    </row>
    <row r="1109" spans="1:13">
      <c r="A1109" s="8">
        <v>1</v>
      </c>
      <c r="B1109" s="38" t="s">
        <v>99</v>
      </c>
      <c r="C1109" s="5">
        <v>5000</v>
      </c>
      <c r="D1109" s="21">
        <f>C1109/208</f>
        <v>24.03846153846154</v>
      </c>
      <c r="E1109" s="22">
        <v>6</v>
      </c>
      <c r="F1109" s="22"/>
      <c r="G1109" s="22"/>
      <c r="H1109" s="23"/>
      <c r="I1109" s="24">
        <f>D1109*E1109*1.25</f>
        <v>180.28846153846155</v>
      </c>
      <c r="J1109" s="21">
        <f>D1109*F1109*1.5</f>
        <v>0</v>
      </c>
      <c r="K1109" s="21">
        <f>D1109*G1109*2</f>
        <v>0</v>
      </c>
      <c r="L1109" s="21">
        <f>D1109*H1109*2.5</f>
        <v>0</v>
      </c>
      <c r="M1109" s="21">
        <f>I1109+J1109+K1109+L1109</f>
        <v>180.28846153846155</v>
      </c>
    </row>
    <row r="1127" spans="1:13">
      <c r="A1127" t="s">
        <v>35</v>
      </c>
      <c r="I1127" t="s">
        <v>73</v>
      </c>
    </row>
    <row r="1128" spans="1:13" ht="16.899999999999999" customHeight="1">
      <c r="A1128" t="s">
        <v>71</v>
      </c>
    </row>
    <row r="1129" spans="1:13">
      <c r="A1129" s="149" t="s">
        <v>37</v>
      </c>
      <c r="B1129" s="11" t="s">
        <v>38</v>
      </c>
      <c r="C1129" s="12" t="s">
        <v>39</v>
      </c>
      <c r="D1129" s="11" t="s">
        <v>40</v>
      </c>
      <c r="E1129" s="11" t="s">
        <v>41</v>
      </c>
      <c r="F1129" s="13"/>
      <c r="G1129" s="13"/>
      <c r="H1129" s="14"/>
      <c r="I1129" s="15" t="s">
        <v>41</v>
      </c>
      <c r="J1129" s="13"/>
      <c r="K1129" s="13"/>
      <c r="L1129" s="11"/>
      <c r="M1129" s="16" t="s">
        <v>42</v>
      </c>
    </row>
    <row r="1130" spans="1:13">
      <c r="A1130" s="150"/>
      <c r="B1130" s="17"/>
      <c r="C1130" s="12" t="s">
        <v>43</v>
      </c>
      <c r="D1130" s="17"/>
      <c r="E1130" s="17" t="s">
        <v>44</v>
      </c>
      <c r="F1130" s="18" t="s">
        <v>45</v>
      </c>
      <c r="G1130" s="18" t="s">
        <v>46</v>
      </c>
      <c r="H1130" s="19" t="s">
        <v>47</v>
      </c>
      <c r="I1130" s="20" t="s">
        <v>44</v>
      </c>
      <c r="J1130" s="18" t="s">
        <v>45</v>
      </c>
      <c r="K1130" s="18" t="s">
        <v>46</v>
      </c>
      <c r="L1130" s="17" t="s">
        <v>47</v>
      </c>
      <c r="M1130" s="18" t="s">
        <v>48</v>
      </c>
    </row>
    <row r="1131" spans="1:13">
      <c r="A1131" s="8">
        <v>1</v>
      </c>
      <c r="B1131" s="38" t="s">
        <v>100</v>
      </c>
      <c r="C1131" s="5">
        <v>4000</v>
      </c>
      <c r="D1131" s="21">
        <f>C1131/208</f>
        <v>19.23076923076923</v>
      </c>
      <c r="E1131" s="22">
        <v>12.5</v>
      </c>
      <c r="F1131" s="22"/>
      <c r="G1131" s="22">
        <v>8</v>
      </c>
      <c r="H1131" s="23"/>
      <c r="I1131" s="24">
        <f>D1131*E1131*1.25</f>
        <v>300.48076923076923</v>
      </c>
      <c r="J1131" s="21">
        <f>D1131*F1131*1.5</f>
        <v>0</v>
      </c>
      <c r="K1131" s="21">
        <f>D1131*G1131*2</f>
        <v>307.69230769230768</v>
      </c>
      <c r="L1131" s="21">
        <f>D1131*H1131*2.5</f>
        <v>0</v>
      </c>
      <c r="M1131" s="21">
        <f>I1131+J1131+K1131+L1131</f>
        <v>608.17307692307691</v>
      </c>
    </row>
    <row r="1157" spans="1:13">
      <c r="A1157" t="s">
        <v>35</v>
      </c>
      <c r="I1157" t="s">
        <v>73</v>
      </c>
    </row>
    <row r="1158" spans="1:13" ht="16.899999999999999" customHeight="1">
      <c r="A1158" t="s">
        <v>71</v>
      </c>
    </row>
    <row r="1159" spans="1:13">
      <c r="A1159" s="149" t="s">
        <v>37</v>
      </c>
      <c r="B1159" s="11" t="s">
        <v>38</v>
      </c>
      <c r="C1159" s="12" t="s">
        <v>39</v>
      </c>
      <c r="D1159" s="11" t="s">
        <v>40</v>
      </c>
      <c r="E1159" s="11" t="s">
        <v>41</v>
      </c>
      <c r="F1159" s="13"/>
      <c r="G1159" s="13"/>
      <c r="H1159" s="14"/>
      <c r="I1159" s="15" t="s">
        <v>41</v>
      </c>
      <c r="J1159" s="13"/>
      <c r="K1159" s="13"/>
      <c r="L1159" s="11"/>
      <c r="M1159" s="16" t="s">
        <v>42</v>
      </c>
    </row>
    <row r="1160" spans="1:13">
      <c r="A1160" s="150"/>
      <c r="B1160" s="17"/>
      <c r="C1160" s="12" t="s">
        <v>43</v>
      </c>
      <c r="D1160" s="17"/>
      <c r="E1160" s="17" t="s">
        <v>44</v>
      </c>
      <c r="F1160" s="18" t="s">
        <v>45</v>
      </c>
      <c r="G1160" s="18" t="s">
        <v>46</v>
      </c>
      <c r="H1160" s="19" t="s">
        <v>47</v>
      </c>
      <c r="I1160" s="20" t="s">
        <v>44</v>
      </c>
      <c r="J1160" s="18" t="s">
        <v>45</v>
      </c>
      <c r="K1160" s="18" t="s">
        <v>46</v>
      </c>
      <c r="L1160" s="17" t="s">
        <v>47</v>
      </c>
      <c r="M1160" s="18" t="s">
        <v>48</v>
      </c>
    </row>
    <row r="1161" spans="1:13">
      <c r="A1161" s="8">
        <v>1</v>
      </c>
      <c r="B1161" s="38" t="s">
        <v>101</v>
      </c>
      <c r="C1161" s="5">
        <v>3700</v>
      </c>
      <c r="D1161" s="21">
        <f>C1161/208</f>
        <v>17.78846153846154</v>
      </c>
      <c r="E1161" s="22">
        <v>38</v>
      </c>
      <c r="F1161" s="22">
        <v>30</v>
      </c>
      <c r="G1161" s="22">
        <v>12</v>
      </c>
      <c r="H1161" s="23"/>
      <c r="I1161" s="24">
        <f>D1161*E1161*1.25</f>
        <v>844.95192307692321</v>
      </c>
      <c r="J1161" s="21">
        <f>D1161*F1161*1.5</f>
        <v>800.48076923076928</v>
      </c>
      <c r="K1161" s="21">
        <f>D1161*G1161*2</f>
        <v>426.92307692307696</v>
      </c>
      <c r="L1161" s="21">
        <f>D1161*H1161*2.5</f>
        <v>0</v>
      </c>
      <c r="M1161" s="21">
        <f>I1161+J1161+K1161+L1161</f>
        <v>2072.3557692307695</v>
      </c>
    </row>
    <row r="1182" spans="1:13">
      <c r="A1182" t="s">
        <v>35</v>
      </c>
      <c r="I1182" t="s">
        <v>73</v>
      </c>
    </row>
    <row r="1183" spans="1:13" ht="16.899999999999999" customHeight="1">
      <c r="A1183" t="s">
        <v>71</v>
      </c>
    </row>
    <row r="1184" spans="1:13">
      <c r="A1184" s="149" t="s">
        <v>37</v>
      </c>
      <c r="B1184" s="11" t="s">
        <v>38</v>
      </c>
      <c r="C1184" s="12" t="s">
        <v>39</v>
      </c>
      <c r="D1184" s="11" t="s">
        <v>40</v>
      </c>
      <c r="E1184" s="11" t="s">
        <v>41</v>
      </c>
      <c r="F1184" s="13"/>
      <c r="G1184" s="13"/>
      <c r="H1184" s="14"/>
      <c r="I1184" s="15" t="s">
        <v>41</v>
      </c>
      <c r="J1184" s="13"/>
      <c r="K1184" s="13"/>
      <c r="L1184" s="11"/>
      <c r="M1184" s="16" t="s">
        <v>42</v>
      </c>
    </row>
    <row r="1185" spans="1:13">
      <c r="A1185" s="150"/>
      <c r="B1185" s="17"/>
      <c r="C1185" s="12" t="s">
        <v>43</v>
      </c>
      <c r="D1185" s="17"/>
      <c r="E1185" s="17" t="s">
        <v>44</v>
      </c>
      <c r="F1185" s="18" t="s">
        <v>45</v>
      </c>
      <c r="G1185" s="18" t="s">
        <v>46</v>
      </c>
      <c r="H1185" s="19" t="s">
        <v>47</v>
      </c>
      <c r="I1185" s="20" t="s">
        <v>44</v>
      </c>
      <c r="J1185" s="18" t="s">
        <v>45</v>
      </c>
      <c r="K1185" s="18" t="s">
        <v>46</v>
      </c>
      <c r="L1185" s="17" t="s">
        <v>47</v>
      </c>
      <c r="M1185" s="18" t="s">
        <v>48</v>
      </c>
    </row>
    <row r="1186" spans="1:13">
      <c r="A1186" s="8">
        <v>1</v>
      </c>
      <c r="B1186" s="38" t="s">
        <v>102</v>
      </c>
      <c r="C1186" s="5">
        <v>7000</v>
      </c>
      <c r="D1186" s="21">
        <f>C1186/208</f>
        <v>33.653846153846153</v>
      </c>
      <c r="E1186" s="22">
        <v>29</v>
      </c>
      <c r="F1186" s="22"/>
      <c r="G1186" s="22">
        <v>4</v>
      </c>
      <c r="H1186" s="23"/>
      <c r="I1186" s="24">
        <f>D1186*E1186*1.25</f>
        <v>1219.9519230769231</v>
      </c>
      <c r="J1186" s="21">
        <f>D1186*F1186*1.5</f>
        <v>0</v>
      </c>
      <c r="K1186" s="21">
        <f>D1186*G1186*2</f>
        <v>269.23076923076923</v>
      </c>
      <c r="L1186" s="21">
        <f>D1186*H1186*2.5</f>
        <v>0</v>
      </c>
      <c r="M1186" s="21">
        <f>I1186+J1186+K1186+L1186</f>
        <v>1489.1826923076924</v>
      </c>
    </row>
    <row r="1206" spans="1:13">
      <c r="A1206" t="s">
        <v>35</v>
      </c>
      <c r="I1206" t="s">
        <v>73</v>
      </c>
    </row>
    <row r="1207" spans="1:13" ht="16.899999999999999" customHeight="1">
      <c r="A1207" t="s">
        <v>71</v>
      </c>
    </row>
    <row r="1208" spans="1:13">
      <c r="A1208" s="149" t="s">
        <v>37</v>
      </c>
      <c r="B1208" s="11" t="s">
        <v>38</v>
      </c>
      <c r="C1208" s="12" t="s">
        <v>39</v>
      </c>
      <c r="D1208" s="11" t="s">
        <v>40</v>
      </c>
      <c r="E1208" s="11" t="s">
        <v>41</v>
      </c>
      <c r="F1208" s="13"/>
      <c r="G1208" s="13"/>
      <c r="H1208" s="14"/>
      <c r="I1208" s="15" t="s">
        <v>41</v>
      </c>
      <c r="J1208" s="13"/>
      <c r="K1208" s="13"/>
      <c r="L1208" s="11"/>
      <c r="M1208" s="16" t="s">
        <v>42</v>
      </c>
    </row>
    <row r="1209" spans="1:13">
      <c r="A1209" s="150"/>
      <c r="B1209" s="17"/>
      <c r="C1209" s="12" t="s">
        <v>43</v>
      </c>
      <c r="D1209" s="17"/>
      <c r="E1209" s="17" t="s">
        <v>44</v>
      </c>
      <c r="F1209" s="18" t="s">
        <v>45</v>
      </c>
      <c r="G1209" s="18" t="s">
        <v>46</v>
      </c>
      <c r="H1209" s="19" t="s">
        <v>47</v>
      </c>
      <c r="I1209" s="20" t="s">
        <v>44</v>
      </c>
      <c r="J1209" s="18" t="s">
        <v>45</v>
      </c>
      <c r="K1209" s="18" t="s">
        <v>46</v>
      </c>
      <c r="L1209" s="17" t="s">
        <v>47</v>
      </c>
      <c r="M1209" s="18" t="s">
        <v>48</v>
      </c>
    </row>
    <row r="1210" spans="1:13">
      <c r="A1210" s="8">
        <v>1</v>
      </c>
      <c r="B1210" s="38" t="s">
        <v>103</v>
      </c>
      <c r="C1210" s="5">
        <v>3000</v>
      </c>
      <c r="D1210" s="21">
        <f>C1210/208</f>
        <v>14.423076923076923</v>
      </c>
      <c r="E1210" s="22">
        <v>44</v>
      </c>
      <c r="F1210" s="22">
        <v>2</v>
      </c>
      <c r="G1210" s="22">
        <v>12</v>
      </c>
      <c r="H1210" s="23">
        <v>6</v>
      </c>
      <c r="I1210" s="24">
        <f>D1210*E1210*1.25</f>
        <v>793.26923076923083</v>
      </c>
      <c r="J1210" s="21">
        <f>D1210*F1210*1.5</f>
        <v>43.269230769230774</v>
      </c>
      <c r="K1210" s="21">
        <f>D1210*G1210*2</f>
        <v>346.15384615384619</v>
      </c>
      <c r="L1210" s="21">
        <f>D1210*H1210*2.5</f>
        <v>216.34615384615387</v>
      </c>
      <c r="M1210" s="21">
        <f>I1210+J1210+K1210+L1210</f>
        <v>1399.0384615384617</v>
      </c>
    </row>
    <row r="1237" spans="1:13">
      <c r="A1237" t="s">
        <v>35</v>
      </c>
      <c r="I1237" t="s">
        <v>73</v>
      </c>
    </row>
    <row r="1238" spans="1:13" ht="16.899999999999999" customHeight="1">
      <c r="A1238" t="s">
        <v>71</v>
      </c>
    </row>
    <row r="1239" spans="1:13">
      <c r="A1239" s="149" t="s">
        <v>37</v>
      </c>
      <c r="B1239" s="11" t="s">
        <v>38</v>
      </c>
      <c r="C1239" s="12" t="s">
        <v>39</v>
      </c>
      <c r="D1239" s="11" t="s">
        <v>40</v>
      </c>
      <c r="E1239" s="11" t="s">
        <v>41</v>
      </c>
      <c r="F1239" s="13"/>
      <c r="G1239" s="13"/>
      <c r="H1239" s="14"/>
      <c r="I1239" s="15" t="s">
        <v>41</v>
      </c>
      <c r="J1239" s="13"/>
      <c r="K1239" s="13"/>
      <c r="L1239" s="11"/>
      <c r="M1239" s="16" t="s">
        <v>42</v>
      </c>
    </row>
    <row r="1240" spans="1:13">
      <c r="A1240" s="150"/>
      <c r="B1240" s="17"/>
      <c r="C1240" s="12" t="s">
        <v>43</v>
      </c>
      <c r="D1240" s="17"/>
      <c r="E1240" s="17" t="s">
        <v>44</v>
      </c>
      <c r="F1240" s="18" t="s">
        <v>45</v>
      </c>
      <c r="G1240" s="18" t="s">
        <v>46</v>
      </c>
      <c r="H1240" s="19" t="s">
        <v>47</v>
      </c>
      <c r="I1240" s="20" t="s">
        <v>44</v>
      </c>
      <c r="J1240" s="18" t="s">
        <v>45</v>
      </c>
      <c r="K1240" s="18" t="s">
        <v>46</v>
      </c>
      <c r="L1240" s="17" t="s">
        <v>47</v>
      </c>
      <c r="M1240" s="18" t="s">
        <v>48</v>
      </c>
    </row>
    <row r="1241" spans="1:13">
      <c r="A1241" s="8">
        <v>1</v>
      </c>
      <c r="B1241" s="38" t="s">
        <v>104</v>
      </c>
      <c r="C1241" s="5">
        <v>3000</v>
      </c>
      <c r="D1241" s="21">
        <f>C1241/208</f>
        <v>14.423076923076923</v>
      </c>
      <c r="E1241" s="22">
        <v>20</v>
      </c>
      <c r="F1241" s="22">
        <v>2</v>
      </c>
      <c r="G1241" s="22">
        <v>6</v>
      </c>
      <c r="H1241" s="23"/>
      <c r="I1241" s="24">
        <f>D1241*E1241*1.25</f>
        <v>360.57692307692309</v>
      </c>
      <c r="J1241" s="21">
        <f>D1241*F1241*1.5</f>
        <v>43.269230769230774</v>
      </c>
      <c r="K1241" s="21">
        <f>D1241*G1241*2</f>
        <v>173.07692307692309</v>
      </c>
      <c r="L1241" s="21">
        <f>D1241*H1241*2.5</f>
        <v>0</v>
      </c>
      <c r="M1241" s="21">
        <f>I1241+J1241+K1241+L1241</f>
        <v>576.92307692307691</v>
      </c>
    </row>
    <row r="1276" spans="1:13">
      <c r="A1276" t="s">
        <v>35</v>
      </c>
      <c r="I1276" t="s">
        <v>73</v>
      </c>
    </row>
    <row r="1277" spans="1:13" ht="16.899999999999999" customHeight="1">
      <c r="A1277" t="s">
        <v>71</v>
      </c>
    </row>
    <row r="1278" spans="1:13">
      <c r="A1278" s="149" t="s">
        <v>37</v>
      </c>
      <c r="B1278" s="11" t="s">
        <v>38</v>
      </c>
      <c r="C1278" s="12" t="s">
        <v>39</v>
      </c>
      <c r="D1278" s="11" t="s">
        <v>40</v>
      </c>
      <c r="E1278" s="11" t="s">
        <v>41</v>
      </c>
      <c r="F1278" s="13"/>
      <c r="G1278" s="13"/>
      <c r="H1278" s="14"/>
      <c r="I1278" s="15" t="s">
        <v>41</v>
      </c>
      <c r="J1278" s="13"/>
      <c r="K1278" s="13"/>
      <c r="L1278" s="11"/>
      <c r="M1278" s="16" t="s">
        <v>42</v>
      </c>
    </row>
    <row r="1279" spans="1:13">
      <c r="A1279" s="150"/>
      <c r="B1279" s="17"/>
      <c r="C1279" s="12" t="s">
        <v>43</v>
      </c>
      <c r="D1279" s="17"/>
      <c r="E1279" s="17" t="s">
        <v>44</v>
      </c>
      <c r="F1279" s="18" t="s">
        <v>45</v>
      </c>
      <c r="G1279" s="18" t="s">
        <v>46</v>
      </c>
      <c r="H1279" s="19" t="s">
        <v>47</v>
      </c>
      <c r="I1279" s="20" t="s">
        <v>44</v>
      </c>
      <c r="J1279" s="18" t="s">
        <v>45</v>
      </c>
      <c r="K1279" s="18" t="s">
        <v>46</v>
      </c>
      <c r="L1279" s="17" t="s">
        <v>47</v>
      </c>
      <c r="M1279" s="18" t="s">
        <v>48</v>
      </c>
    </row>
    <row r="1280" spans="1:13">
      <c r="A1280" s="8">
        <v>1</v>
      </c>
      <c r="B1280" s="38" t="s">
        <v>105</v>
      </c>
      <c r="C1280" s="5">
        <v>1800</v>
      </c>
      <c r="D1280" s="21">
        <f>C1280/208</f>
        <v>8.6538461538461533</v>
      </c>
      <c r="E1280" s="22">
        <v>30</v>
      </c>
      <c r="F1280" s="22"/>
      <c r="G1280" s="22">
        <v>8</v>
      </c>
      <c r="H1280" s="23"/>
      <c r="I1280" s="24">
        <f>D1280*E1280*1.25</f>
        <v>324.51923076923072</v>
      </c>
      <c r="J1280" s="21">
        <f>D1280*F1280*1.5</f>
        <v>0</v>
      </c>
      <c r="K1280" s="21">
        <f>D1280*G1280*2</f>
        <v>138.46153846153845</v>
      </c>
      <c r="L1280" s="21">
        <f>D1280*H1280*2.5</f>
        <v>0</v>
      </c>
      <c r="M1280" s="21">
        <f>I1280+J1280+K1280+L1280</f>
        <v>462.98076923076917</v>
      </c>
    </row>
    <row r="1300" spans="1:13">
      <c r="A1300" t="s">
        <v>35</v>
      </c>
      <c r="I1300" t="s">
        <v>73</v>
      </c>
    </row>
    <row r="1301" spans="1:13" ht="16.899999999999999" customHeight="1">
      <c r="A1301" t="s">
        <v>71</v>
      </c>
    </row>
    <row r="1302" spans="1:13">
      <c r="A1302" s="149" t="s">
        <v>37</v>
      </c>
      <c r="B1302" s="11" t="s">
        <v>38</v>
      </c>
      <c r="C1302" s="12" t="s">
        <v>39</v>
      </c>
      <c r="D1302" s="11" t="s">
        <v>40</v>
      </c>
      <c r="E1302" s="11" t="s">
        <v>41</v>
      </c>
      <c r="F1302" s="13"/>
      <c r="G1302" s="13"/>
      <c r="H1302" s="14"/>
      <c r="I1302" s="15" t="s">
        <v>41</v>
      </c>
      <c r="J1302" s="13"/>
      <c r="K1302" s="13"/>
      <c r="L1302" s="11"/>
      <c r="M1302" s="16" t="s">
        <v>42</v>
      </c>
    </row>
    <row r="1303" spans="1:13">
      <c r="A1303" s="150"/>
      <c r="B1303" s="17"/>
      <c r="C1303" s="12" t="s">
        <v>43</v>
      </c>
      <c r="D1303" s="17"/>
      <c r="E1303" s="17" t="s">
        <v>44</v>
      </c>
      <c r="F1303" s="18" t="s">
        <v>45</v>
      </c>
      <c r="G1303" s="18" t="s">
        <v>46</v>
      </c>
      <c r="H1303" s="19" t="s">
        <v>47</v>
      </c>
      <c r="I1303" s="20" t="s">
        <v>44</v>
      </c>
      <c r="J1303" s="18" t="s">
        <v>45</v>
      </c>
      <c r="K1303" s="18" t="s">
        <v>46</v>
      </c>
      <c r="L1303" s="17" t="s">
        <v>47</v>
      </c>
      <c r="M1303" s="18" t="s">
        <v>48</v>
      </c>
    </row>
    <row r="1304" spans="1:13">
      <c r="A1304" s="8">
        <v>1</v>
      </c>
      <c r="B1304" s="38" t="s">
        <v>106</v>
      </c>
      <c r="C1304" s="5">
        <v>6000</v>
      </c>
      <c r="D1304" s="21">
        <f>C1304/208</f>
        <v>28.846153846153847</v>
      </c>
      <c r="E1304" s="22">
        <v>34</v>
      </c>
      <c r="F1304" s="22"/>
      <c r="G1304" s="22">
        <v>16</v>
      </c>
      <c r="H1304" s="23"/>
      <c r="I1304" s="24">
        <f>D1304*E1304*1.25</f>
        <v>1225.9615384615386</v>
      </c>
      <c r="J1304" s="21">
        <f>D1304*F1304*1.5</f>
        <v>0</v>
      </c>
      <c r="K1304" s="21">
        <f>D1304*G1304*2</f>
        <v>923.07692307692309</v>
      </c>
      <c r="L1304" s="21">
        <f>D1304*H1304*2.5</f>
        <v>0</v>
      </c>
      <c r="M1304" s="21">
        <f>I1304+J1304+K1304+L1304</f>
        <v>2149.0384615384619</v>
      </c>
    </row>
    <row r="1324" spans="1:13">
      <c r="A1324" t="s">
        <v>35</v>
      </c>
      <c r="I1324" t="s">
        <v>73</v>
      </c>
    </row>
    <row r="1325" spans="1:13" ht="16.899999999999999" customHeight="1">
      <c r="A1325" t="s">
        <v>71</v>
      </c>
    </row>
    <row r="1326" spans="1:13">
      <c r="A1326" s="149" t="s">
        <v>37</v>
      </c>
      <c r="B1326" s="11" t="s">
        <v>38</v>
      </c>
      <c r="C1326" s="12" t="s">
        <v>39</v>
      </c>
      <c r="D1326" s="11" t="s">
        <v>40</v>
      </c>
      <c r="E1326" s="11" t="s">
        <v>41</v>
      </c>
      <c r="F1326" s="13"/>
      <c r="G1326" s="13"/>
      <c r="H1326" s="14"/>
      <c r="I1326" s="15" t="s">
        <v>41</v>
      </c>
      <c r="J1326" s="13"/>
      <c r="K1326" s="13"/>
      <c r="L1326" s="11"/>
      <c r="M1326" s="16" t="s">
        <v>42</v>
      </c>
    </row>
    <row r="1327" spans="1:13">
      <c r="A1327" s="150"/>
      <c r="B1327" s="17"/>
      <c r="C1327" s="12" t="s">
        <v>43</v>
      </c>
      <c r="D1327" s="17"/>
      <c r="E1327" s="17" t="s">
        <v>44</v>
      </c>
      <c r="F1327" s="18" t="s">
        <v>45</v>
      </c>
      <c r="G1327" s="18" t="s">
        <v>46</v>
      </c>
      <c r="H1327" s="19" t="s">
        <v>47</v>
      </c>
      <c r="I1327" s="20" t="s">
        <v>44</v>
      </c>
      <c r="J1327" s="18" t="s">
        <v>45</v>
      </c>
      <c r="K1327" s="18" t="s">
        <v>46</v>
      </c>
      <c r="L1327" s="17" t="s">
        <v>47</v>
      </c>
      <c r="M1327" s="18" t="s">
        <v>48</v>
      </c>
    </row>
    <row r="1328" spans="1:13">
      <c r="A1328" s="8">
        <v>1</v>
      </c>
      <c r="B1328" s="38" t="s">
        <v>107</v>
      </c>
      <c r="C1328" s="5">
        <v>7000</v>
      </c>
      <c r="D1328" s="21">
        <f>C1328/208</f>
        <v>33.653846153846153</v>
      </c>
      <c r="E1328" s="22">
        <v>29</v>
      </c>
      <c r="F1328" s="22"/>
      <c r="G1328" s="22">
        <v>6</v>
      </c>
      <c r="H1328" s="23"/>
      <c r="I1328" s="24">
        <f>D1328*E1328*1.25</f>
        <v>1219.9519230769231</v>
      </c>
      <c r="J1328" s="21">
        <f>D1328*F1328*1.5</f>
        <v>0</v>
      </c>
      <c r="K1328" s="21">
        <f>D1328*G1328*2</f>
        <v>403.84615384615381</v>
      </c>
      <c r="L1328" s="21">
        <f>D1328*H1328*2.5</f>
        <v>0</v>
      </c>
      <c r="M1328" s="21">
        <f>I1328+J1328+K1328+L1328</f>
        <v>1623.7980769230769</v>
      </c>
    </row>
    <row r="1348" spans="1:13">
      <c r="A1348" t="s">
        <v>35</v>
      </c>
      <c r="I1348" t="s">
        <v>73</v>
      </c>
    </row>
    <row r="1349" spans="1:13" ht="16.899999999999999" customHeight="1">
      <c r="A1349" t="s">
        <v>71</v>
      </c>
    </row>
    <row r="1350" spans="1:13">
      <c r="A1350" s="149" t="s">
        <v>37</v>
      </c>
      <c r="B1350" s="11" t="s">
        <v>38</v>
      </c>
      <c r="C1350" s="12" t="s">
        <v>39</v>
      </c>
      <c r="D1350" s="11" t="s">
        <v>40</v>
      </c>
      <c r="E1350" s="11" t="s">
        <v>41</v>
      </c>
      <c r="F1350" s="13"/>
      <c r="G1350" s="13"/>
      <c r="H1350" s="14"/>
      <c r="I1350" s="15" t="s">
        <v>41</v>
      </c>
      <c r="J1350" s="13"/>
      <c r="K1350" s="13"/>
      <c r="L1350" s="11"/>
      <c r="M1350" s="16" t="s">
        <v>42</v>
      </c>
    </row>
    <row r="1351" spans="1:13">
      <c r="A1351" s="150"/>
      <c r="B1351" s="17"/>
      <c r="C1351" s="12" t="s">
        <v>43</v>
      </c>
      <c r="D1351" s="17"/>
      <c r="E1351" s="17" t="s">
        <v>44</v>
      </c>
      <c r="F1351" s="18" t="s">
        <v>45</v>
      </c>
      <c r="G1351" s="18" t="s">
        <v>46</v>
      </c>
      <c r="H1351" s="19" t="s">
        <v>47</v>
      </c>
      <c r="I1351" s="20" t="s">
        <v>44</v>
      </c>
      <c r="J1351" s="18" t="s">
        <v>45</v>
      </c>
      <c r="K1351" s="18" t="s">
        <v>46</v>
      </c>
      <c r="L1351" s="17" t="s">
        <v>47</v>
      </c>
      <c r="M1351" s="18" t="s">
        <v>48</v>
      </c>
    </row>
    <row r="1352" spans="1:13">
      <c r="A1352" s="8">
        <v>1</v>
      </c>
      <c r="B1352" s="38" t="s">
        <v>109</v>
      </c>
      <c r="C1352" s="5">
        <v>7500</v>
      </c>
      <c r="D1352" s="21">
        <f>C1352/208</f>
        <v>36.057692307692307</v>
      </c>
      <c r="E1352" s="22">
        <v>36</v>
      </c>
      <c r="F1352" s="22"/>
      <c r="G1352" s="22">
        <v>6</v>
      </c>
      <c r="H1352" s="23"/>
      <c r="I1352" s="24">
        <f>D1352*E1352*1.25</f>
        <v>1622.5961538461538</v>
      </c>
      <c r="J1352" s="21">
        <f>D1352*F1352*1.5</f>
        <v>0</v>
      </c>
      <c r="K1352" s="21">
        <f>D1352*G1352*2</f>
        <v>432.69230769230768</v>
      </c>
      <c r="L1352" s="21">
        <f>D1352*H1352*2.5</f>
        <v>0</v>
      </c>
      <c r="M1352" s="21">
        <f>I1352+J1352+K1352+L1352</f>
        <v>2055.2884615384614</v>
      </c>
    </row>
    <row r="1374" spans="1:13">
      <c r="A1374" t="s">
        <v>35</v>
      </c>
      <c r="I1374" t="s">
        <v>73</v>
      </c>
    </row>
    <row r="1375" spans="1:13" ht="16.899999999999999" customHeight="1">
      <c r="A1375" t="s">
        <v>71</v>
      </c>
    </row>
    <row r="1376" spans="1:13">
      <c r="A1376" s="149" t="s">
        <v>37</v>
      </c>
      <c r="B1376" s="11" t="s">
        <v>38</v>
      </c>
      <c r="C1376" s="12" t="s">
        <v>39</v>
      </c>
      <c r="D1376" s="11" t="s">
        <v>40</v>
      </c>
      <c r="E1376" s="11" t="s">
        <v>41</v>
      </c>
      <c r="F1376" s="13"/>
      <c r="G1376" s="13"/>
      <c r="H1376" s="14"/>
      <c r="I1376" s="15" t="s">
        <v>41</v>
      </c>
      <c r="J1376" s="13"/>
      <c r="K1376" s="13"/>
      <c r="L1376" s="11"/>
      <c r="M1376" s="16" t="s">
        <v>42</v>
      </c>
    </row>
    <row r="1377" spans="1:13">
      <c r="A1377" s="150"/>
      <c r="B1377" s="17"/>
      <c r="C1377" s="12" t="s">
        <v>43</v>
      </c>
      <c r="D1377" s="17"/>
      <c r="E1377" s="17" t="s">
        <v>44</v>
      </c>
      <c r="F1377" s="18" t="s">
        <v>45</v>
      </c>
      <c r="G1377" s="18" t="s">
        <v>46</v>
      </c>
      <c r="H1377" s="19" t="s">
        <v>47</v>
      </c>
      <c r="I1377" s="20" t="s">
        <v>44</v>
      </c>
      <c r="J1377" s="18" t="s">
        <v>45</v>
      </c>
      <c r="K1377" s="18" t="s">
        <v>46</v>
      </c>
      <c r="L1377" s="17" t="s">
        <v>47</v>
      </c>
      <c r="M1377" s="18" t="s">
        <v>48</v>
      </c>
    </row>
    <row r="1378" spans="1:13">
      <c r="A1378" s="8">
        <v>1</v>
      </c>
      <c r="B1378" s="38" t="s">
        <v>110</v>
      </c>
      <c r="C1378" s="5">
        <v>6300</v>
      </c>
      <c r="D1378" s="21">
        <f>C1378/208</f>
        <v>30.28846153846154</v>
      </c>
      <c r="E1378" s="22">
        <v>12</v>
      </c>
      <c r="F1378" s="22"/>
      <c r="G1378" s="22"/>
      <c r="H1378" s="23"/>
      <c r="I1378" s="24">
        <f>D1378*E1378*1.25</f>
        <v>454.32692307692309</v>
      </c>
      <c r="J1378" s="21">
        <f>D1378*F1378*1.5</f>
        <v>0</v>
      </c>
      <c r="K1378" s="21">
        <f>D1378*G1378*2</f>
        <v>0</v>
      </c>
      <c r="L1378" s="21">
        <f>D1378*H1378*2.5</f>
        <v>0</v>
      </c>
      <c r="M1378" s="21">
        <f>I1378+J1378+K1378+L1378</f>
        <v>454.32692307692309</v>
      </c>
    </row>
    <row r="1423" spans="1:9">
      <c r="A1423" t="s">
        <v>35</v>
      </c>
      <c r="I1423" t="s">
        <v>73</v>
      </c>
    </row>
    <row r="1424" spans="1:9" ht="16.899999999999999" customHeight="1">
      <c r="A1424" t="s">
        <v>71</v>
      </c>
    </row>
    <row r="1425" spans="1:13">
      <c r="A1425" s="149" t="s">
        <v>37</v>
      </c>
      <c r="B1425" s="11" t="s">
        <v>38</v>
      </c>
      <c r="C1425" s="12" t="s">
        <v>39</v>
      </c>
      <c r="D1425" s="11" t="s">
        <v>40</v>
      </c>
      <c r="E1425" s="11" t="s">
        <v>41</v>
      </c>
      <c r="F1425" s="13"/>
      <c r="G1425" s="13"/>
      <c r="H1425" s="14"/>
      <c r="I1425" s="15" t="s">
        <v>41</v>
      </c>
      <c r="J1425" s="13"/>
      <c r="K1425" s="13"/>
      <c r="L1425" s="11"/>
      <c r="M1425" s="16" t="s">
        <v>42</v>
      </c>
    </row>
    <row r="1426" spans="1:13">
      <c r="A1426" s="150"/>
      <c r="B1426" s="17"/>
      <c r="C1426" s="12" t="s">
        <v>43</v>
      </c>
      <c r="D1426" s="17"/>
      <c r="E1426" s="17" t="s">
        <v>44</v>
      </c>
      <c r="F1426" s="18" t="s">
        <v>45</v>
      </c>
      <c r="G1426" s="18" t="s">
        <v>46</v>
      </c>
      <c r="H1426" s="19" t="s">
        <v>47</v>
      </c>
      <c r="I1426" s="20" t="s">
        <v>44</v>
      </c>
      <c r="J1426" s="18" t="s">
        <v>45</v>
      </c>
      <c r="K1426" s="18" t="s">
        <v>46</v>
      </c>
      <c r="L1426" s="17" t="s">
        <v>47</v>
      </c>
      <c r="M1426" s="18" t="s">
        <v>48</v>
      </c>
    </row>
    <row r="1427" spans="1:13">
      <c r="A1427" s="8">
        <v>1</v>
      </c>
      <c r="B1427" s="38" t="s">
        <v>111</v>
      </c>
      <c r="C1427" s="5">
        <v>12000</v>
      </c>
      <c r="D1427" s="21">
        <f>C1427/208</f>
        <v>57.692307692307693</v>
      </c>
      <c r="E1427" s="22">
        <v>99.5</v>
      </c>
      <c r="F1427" s="22"/>
      <c r="G1427" s="22">
        <v>16</v>
      </c>
      <c r="H1427" s="23"/>
      <c r="I1427" s="24">
        <f>D1427*E1427*1.25</f>
        <v>7175.4807692307695</v>
      </c>
      <c r="J1427" s="21">
        <f>D1427*F1427*1.5</f>
        <v>0</v>
      </c>
      <c r="K1427" s="21">
        <f>D1427*G1427*2</f>
        <v>1846.1538461538462</v>
      </c>
      <c r="L1427" s="21">
        <f>D1427*H1427*2.5</f>
        <v>0</v>
      </c>
      <c r="M1427" s="21">
        <f>I1427+J1427+K1427+L1427</f>
        <v>9021.6346153846152</v>
      </c>
    </row>
    <row r="1430" spans="1:13">
      <c r="A1430" t="s">
        <v>35</v>
      </c>
      <c r="I1430" t="s">
        <v>73</v>
      </c>
    </row>
    <row r="1431" spans="1:13" ht="16.899999999999999" customHeight="1">
      <c r="A1431" t="s">
        <v>71</v>
      </c>
    </row>
    <row r="1432" spans="1:13">
      <c r="A1432" s="149" t="s">
        <v>37</v>
      </c>
      <c r="B1432" s="11" t="s">
        <v>38</v>
      </c>
      <c r="C1432" s="12" t="s">
        <v>39</v>
      </c>
      <c r="D1432" s="11" t="s">
        <v>40</v>
      </c>
      <c r="E1432" s="11" t="s">
        <v>41</v>
      </c>
      <c r="F1432" s="13"/>
      <c r="G1432" s="13"/>
      <c r="H1432" s="14"/>
      <c r="I1432" s="15" t="s">
        <v>41</v>
      </c>
      <c r="J1432" s="13"/>
      <c r="K1432" s="13"/>
      <c r="L1432" s="11"/>
      <c r="M1432" s="16" t="s">
        <v>42</v>
      </c>
    </row>
    <row r="1433" spans="1:13">
      <c r="A1433" s="150"/>
      <c r="B1433" s="17"/>
      <c r="C1433" s="12" t="s">
        <v>43</v>
      </c>
      <c r="D1433" s="17"/>
      <c r="E1433" s="17" t="s">
        <v>44</v>
      </c>
      <c r="F1433" s="18" t="s">
        <v>45</v>
      </c>
      <c r="G1433" s="18" t="s">
        <v>46</v>
      </c>
      <c r="H1433" s="19" t="s">
        <v>47</v>
      </c>
      <c r="I1433" s="20" t="s">
        <v>44</v>
      </c>
      <c r="J1433" s="18" t="s">
        <v>45</v>
      </c>
      <c r="K1433" s="18" t="s">
        <v>46</v>
      </c>
      <c r="L1433" s="17" t="s">
        <v>47</v>
      </c>
      <c r="M1433" s="18" t="s">
        <v>48</v>
      </c>
    </row>
    <row r="1434" spans="1:13">
      <c r="A1434" s="8">
        <v>1</v>
      </c>
      <c r="B1434" s="42" t="s">
        <v>116</v>
      </c>
      <c r="C1434" s="5">
        <v>3000</v>
      </c>
      <c r="D1434" s="21">
        <f>C1434/208</f>
        <v>14.423076923076923</v>
      </c>
      <c r="E1434" s="22">
        <v>6.5</v>
      </c>
      <c r="F1434" s="22"/>
      <c r="G1434" s="22">
        <v>8</v>
      </c>
      <c r="H1434" s="23"/>
      <c r="I1434" s="24">
        <f>D1434*E1434*1.25</f>
        <v>117.1875</v>
      </c>
      <c r="J1434" s="21">
        <f>D1434*F1434*1.5</f>
        <v>0</v>
      </c>
      <c r="K1434" s="21">
        <f>D1434*G1434*2</f>
        <v>230.76923076923077</v>
      </c>
      <c r="L1434" s="21">
        <f>D1434*H1434*2.5</f>
        <v>0</v>
      </c>
      <c r="M1434" s="21">
        <f>I1434+J1434+K1434+L1434</f>
        <v>347.95673076923077</v>
      </c>
    </row>
    <row r="1437" spans="1:13">
      <c r="A1437" t="s">
        <v>35</v>
      </c>
      <c r="I1437" t="s">
        <v>73</v>
      </c>
    </row>
    <row r="1438" spans="1:13" ht="16.899999999999999" customHeight="1">
      <c r="A1438" t="s">
        <v>71</v>
      </c>
    </row>
    <row r="1439" spans="1:13">
      <c r="A1439" s="149" t="s">
        <v>37</v>
      </c>
      <c r="B1439" s="11" t="s">
        <v>38</v>
      </c>
      <c r="C1439" s="12" t="s">
        <v>39</v>
      </c>
      <c r="D1439" s="11" t="s">
        <v>40</v>
      </c>
      <c r="E1439" s="11" t="s">
        <v>41</v>
      </c>
      <c r="F1439" s="13"/>
      <c r="G1439" s="13"/>
      <c r="H1439" s="14"/>
      <c r="I1439" s="15" t="s">
        <v>41</v>
      </c>
      <c r="J1439" s="13"/>
      <c r="K1439" s="13"/>
      <c r="L1439" s="11"/>
      <c r="M1439" s="16" t="s">
        <v>42</v>
      </c>
    </row>
    <row r="1440" spans="1:13">
      <c r="A1440" s="150"/>
      <c r="B1440" s="17"/>
      <c r="C1440" s="12" t="s">
        <v>43</v>
      </c>
      <c r="D1440" s="17"/>
      <c r="E1440" s="17" t="s">
        <v>44</v>
      </c>
      <c r="F1440" s="18" t="s">
        <v>45</v>
      </c>
      <c r="G1440" s="18" t="s">
        <v>46</v>
      </c>
      <c r="H1440" s="19" t="s">
        <v>47</v>
      </c>
      <c r="I1440" s="20" t="s">
        <v>44</v>
      </c>
      <c r="J1440" s="18" t="s">
        <v>45</v>
      </c>
      <c r="K1440" s="18" t="s">
        <v>46</v>
      </c>
      <c r="L1440" s="17" t="s">
        <v>47</v>
      </c>
      <c r="M1440" s="18" t="s">
        <v>48</v>
      </c>
    </row>
    <row r="1441" spans="1:13">
      <c r="A1441" s="8">
        <v>1</v>
      </c>
      <c r="B1441" s="38" t="s">
        <v>112</v>
      </c>
      <c r="C1441" s="5">
        <v>2803</v>
      </c>
      <c r="D1441" s="21">
        <f>C1441/208</f>
        <v>13.475961538461538</v>
      </c>
      <c r="E1441" s="22">
        <v>23</v>
      </c>
      <c r="F1441" s="22"/>
      <c r="G1441" s="22">
        <v>8</v>
      </c>
      <c r="H1441" s="23"/>
      <c r="I1441" s="24">
        <f>D1441*E1441*1.25</f>
        <v>387.43389423076917</v>
      </c>
      <c r="J1441" s="21">
        <f>D1441*F1441*1.5</f>
        <v>0</v>
      </c>
      <c r="K1441" s="21">
        <f>D1441*G1441*2</f>
        <v>215.61538461538461</v>
      </c>
      <c r="L1441" s="21">
        <f>D1441*H1441*2.5</f>
        <v>0</v>
      </c>
      <c r="M1441" s="21">
        <f>I1441+J1441+K1441+L1441</f>
        <v>603.04927884615381</v>
      </c>
    </row>
    <row r="1444" spans="1:13">
      <c r="A1444" t="s">
        <v>35</v>
      </c>
      <c r="I1444" t="s">
        <v>73</v>
      </c>
    </row>
    <row r="1445" spans="1:13" ht="16.899999999999999" customHeight="1">
      <c r="A1445" t="s">
        <v>71</v>
      </c>
    </row>
    <row r="1446" spans="1:13">
      <c r="A1446" s="149" t="s">
        <v>37</v>
      </c>
      <c r="B1446" s="11" t="s">
        <v>38</v>
      </c>
      <c r="C1446" s="12" t="s">
        <v>39</v>
      </c>
      <c r="D1446" s="11" t="s">
        <v>40</v>
      </c>
      <c r="E1446" s="11" t="s">
        <v>41</v>
      </c>
      <c r="F1446" s="13"/>
      <c r="G1446" s="13"/>
      <c r="H1446" s="14"/>
      <c r="I1446" s="15" t="s">
        <v>41</v>
      </c>
      <c r="J1446" s="13"/>
      <c r="K1446" s="13"/>
      <c r="L1446" s="11"/>
      <c r="M1446" s="16" t="s">
        <v>42</v>
      </c>
    </row>
    <row r="1447" spans="1:13">
      <c r="A1447" s="150"/>
      <c r="B1447" s="17"/>
      <c r="C1447" s="12" t="s">
        <v>43</v>
      </c>
      <c r="D1447" s="17"/>
      <c r="E1447" s="17" t="s">
        <v>44</v>
      </c>
      <c r="F1447" s="18" t="s">
        <v>45</v>
      </c>
      <c r="G1447" s="18" t="s">
        <v>46</v>
      </c>
      <c r="H1447" s="19" t="s">
        <v>47</v>
      </c>
      <c r="I1447" s="20" t="s">
        <v>44</v>
      </c>
      <c r="J1447" s="18" t="s">
        <v>45</v>
      </c>
      <c r="K1447" s="18" t="s">
        <v>46</v>
      </c>
      <c r="L1447" s="17" t="s">
        <v>47</v>
      </c>
      <c r="M1447" s="18" t="s">
        <v>48</v>
      </c>
    </row>
    <row r="1448" spans="1:13">
      <c r="A1448" s="8">
        <v>1</v>
      </c>
      <c r="B1448" s="42" t="s">
        <v>117</v>
      </c>
      <c r="C1448" s="5">
        <v>8725</v>
      </c>
      <c r="D1448" s="21">
        <f>C1448/208</f>
        <v>41.947115384615387</v>
      </c>
      <c r="E1448" s="22">
        <v>18</v>
      </c>
      <c r="F1448" s="22"/>
      <c r="G1448" s="22">
        <v>16</v>
      </c>
      <c r="H1448" s="23"/>
      <c r="I1448" s="24">
        <f>D1448*E1448*1.25</f>
        <v>943.81009615384619</v>
      </c>
      <c r="J1448" s="21">
        <f>D1448*F1448*1.5</f>
        <v>0</v>
      </c>
      <c r="K1448" s="21">
        <f>D1448*G1448*2</f>
        <v>1342.3076923076924</v>
      </c>
      <c r="L1448" s="21">
        <f>D1448*H1448*2.5</f>
        <v>0</v>
      </c>
      <c r="M1448" s="21">
        <f>I1448+J1448+K1448+L1448</f>
        <v>2286.1177884615386</v>
      </c>
    </row>
    <row r="1465" spans="1:13">
      <c r="A1465" t="s">
        <v>35</v>
      </c>
      <c r="I1465" t="s">
        <v>73</v>
      </c>
    </row>
    <row r="1466" spans="1:13" ht="16.899999999999999" customHeight="1">
      <c r="A1466" t="s">
        <v>71</v>
      </c>
    </row>
    <row r="1467" spans="1:13">
      <c r="A1467" s="149" t="s">
        <v>37</v>
      </c>
      <c r="B1467" s="11" t="s">
        <v>38</v>
      </c>
      <c r="C1467" s="12" t="s">
        <v>39</v>
      </c>
      <c r="D1467" s="11" t="s">
        <v>40</v>
      </c>
      <c r="E1467" s="11" t="s">
        <v>41</v>
      </c>
      <c r="F1467" s="13"/>
      <c r="G1467" s="13"/>
      <c r="H1467" s="14"/>
      <c r="I1467" s="15" t="s">
        <v>41</v>
      </c>
      <c r="J1467" s="13"/>
      <c r="K1467" s="13"/>
      <c r="L1467" s="11"/>
      <c r="M1467" s="16" t="s">
        <v>42</v>
      </c>
    </row>
    <row r="1468" spans="1:13">
      <c r="A1468" s="150"/>
      <c r="B1468" s="17"/>
      <c r="C1468" s="12" t="s">
        <v>43</v>
      </c>
      <c r="D1468" s="17"/>
      <c r="E1468" s="17" t="s">
        <v>44</v>
      </c>
      <c r="F1468" s="18" t="s">
        <v>45</v>
      </c>
      <c r="G1468" s="18" t="s">
        <v>46</v>
      </c>
      <c r="H1468" s="19" t="s">
        <v>47</v>
      </c>
      <c r="I1468" s="20" t="s">
        <v>44</v>
      </c>
      <c r="J1468" s="18" t="s">
        <v>45</v>
      </c>
      <c r="K1468" s="18" t="s">
        <v>46</v>
      </c>
      <c r="L1468" s="17" t="s">
        <v>47</v>
      </c>
      <c r="M1468" s="18" t="s">
        <v>48</v>
      </c>
    </row>
    <row r="1469" spans="1:13">
      <c r="A1469" s="8">
        <v>1</v>
      </c>
      <c r="B1469" s="38" t="s">
        <v>51</v>
      </c>
      <c r="C1469" s="5">
        <v>5200</v>
      </c>
      <c r="D1469" s="21">
        <f>C1469/208</f>
        <v>25</v>
      </c>
      <c r="E1469" s="22">
        <v>38</v>
      </c>
      <c r="F1469" s="22"/>
      <c r="G1469" s="22">
        <v>8</v>
      </c>
      <c r="H1469" s="23"/>
      <c r="I1469" s="24">
        <f>D1469*E1469*1.25</f>
        <v>1187.5</v>
      </c>
      <c r="J1469" s="21">
        <f>D1469*F1469*1.5</f>
        <v>0</v>
      </c>
      <c r="K1469" s="21">
        <f>D1469*G1469*2</f>
        <v>400</v>
      </c>
      <c r="L1469" s="21">
        <f>D1469*H1469*2.5</f>
        <v>0</v>
      </c>
      <c r="M1469" s="21">
        <f>I1469+J1469+K1469+L1469</f>
        <v>1587.5</v>
      </c>
    </row>
    <row r="1491" spans="1:13">
      <c r="A1491" t="s">
        <v>35</v>
      </c>
      <c r="I1491" t="s">
        <v>73</v>
      </c>
    </row>
    <row r="1492" spans="1:13" ht="16.899999999999999" customHeight="1">
      <c r="A1492" t="s">
        <v>71</v>
      </c>
    </row>
    <row r="1493" spans="1:13">
      <c r="A1493" s="149" t="s">
        <v>37</v>
      </c>
      <c r="B1493" s="11" t="s">
        <v>38</v>
      </c>
      <c r="C1493" s="12" t="s">
        <v>39</v>
      </c>
      <c r="D1493" s="11" t="s">
        <v>40</v>
      </c>
      <c r="E1493" s="11" t="s">
        <v>41</v>
      </c>
      <c r="F1493" s="13"/>
      <c r="G1493" s="13"/>
      <c r="H1493" s="14"/>
      <c r="I1493" s="15" t="s">
        <v>41</v>
      </c>
      <c r="J1493" s="13"/>
      <c r="K1493" s="13"/>
      <c r="L1493" s="11"/>
      <c r="M1493" s="16" t="s">
        <v>42</v>
      </c>
    </row>
    <row r="1494" spans="1:13">
      <c r="A1494" s="150"/>
      <c r="B1494" s="17"/>
      <c r="C1494" s="12" t="s">
        <v>43</v>
      </c>
      <c r="D1494" s="17"/>
      <c r="E1494" s="17" t="s">
        <v>44</v>
      </c>
      <c r="F1494" s="18" t="s">
        <v>45</v>
      </c>
      <c r="G1494" s="18" t="s">
        <v>46</v>
      </c>
      <c r="H1494" s="19" t="s">
        <v>47</v>
      </c>
      <c r="I1494" s="20" t="s">
        <v>44</v>
      </c>
      <c r="J1494" s="18" t="s">
        <v>45</v>
      </c>
      <c r="K1494" s="18" t="s">
        <v>46</v>
      </c>
      <c r="L1494" s="17" t="s">
        <v>47</v>
      </c>
      <c r="M1494" s="18" t="s">
        <v>48</v>
      </c>
    </row>
    <row r="1495" spans="1:13">
      <c r="A1495" s="8">
        <v>1</v>
      </c>
      <c r="B1495" s="38" t="s">
        <v>113</v>
      </c>
      <c r="C1495" s="5">
        <v>3327</v>
      </c>
      <c r="D1495" s="21">
        <f>C1495/208</f>
        <v>15.995192307692308</v>
      </c>
      <c r="E1495" s="22">
        <v>62</v>
      </c>
      <c r="F1495" s="22"/>
      <c r="G1495" s="22">
        <v>20</v>
      </c>
      <c r="H1495" s="23"/>
      <c r="I1495" s="24">
        <f>D1495*E1495*1.25</f>
        <v>1239.6274038461538</v>
      </c>
      <c r="J1495" s="21">
        <f>D1495*F1495*1.5</f>
        <v>0</v>
      </c>
      <c r="K1495" s="21">
        <f>D1495*G1495*2</f>
        <v>639.80769230769238</v>
      </c>
      <c r="L1495" s="21">
        <f>D1495*H1495*2.5</f>
        <v>0</v>
      </c>
      <c r="M1495" s="21">
        <f>I1495+J1495+K1495+L1495</f>
        <v>1879.4350961538462</v>
      </c>
    </row>
    <row r="1514" spans="1:13">
      <c r="A1514" t="s">
        <v>35</v>
      </c>
      <c r="I1514" t="s">
        <v>73</v>
      </c>
    </row>
    <row r="1515" spans="1:13" ht="16.899999999999999" customHeight="1">
      <c r="A1515" t="s">
        <v>71</v>
      </c>
    </row>
    <row r="1516" spans="1:13">
      <c r="A1516" s="149" t="s">
        <v>37</v>
      </c>
      <c r="B1516" s="11" t="s">
        <v>38</v>
      </c>
      <c r="C1516" s="12" t="s">
        <v>39</v>
      </c>
      <c r="D1516" s="11" t="s">
        <v>40</v>
      </c>
      <c r="E1516" s="11" t="s">
        <v>41</v>
      </c>
      <c r="F1516" s="13"/>
      <c r="G1516" s="13"/>
      <c r="H1516" s="14"/>
      <c r="I1516" s="15" t="s">
        <v>41</v>
      </c>
      <c r="J1516" s="13"/>
      <c r="K1516" s="13"/>
      <c r="L1516" s="11"/>
      <c r="M1516" s="16" t="s">
        <v>42</v>
      </c>
    </row>
    <row r="1517" spans="1:13">
      <c r="A1517" s="150"/>
      <c r="B1517" s="17"/>
      <c r="C1517" s="12" t="s">
        <v>43</v>
      </c>
      <c r="D1517" s="17"/>
      <c r="E1517" s="17" t="s">
        <v>44</v>
      </c>
      <c r="F1517" s="18" t="s">
        <v>45</v>
      </c>
      <c r="G1517" s="18" t="s">
        <v>46</v>
      </c>
      <c r="H1517" s="19" t="s">
        <v>47</v>
      </c>
      <c r="I1517" s="20" t="s">
        <v>44</v>
      </c>
      <c r="J1517" s="18" t="s">
        <v>45</v>
      </c>
      <c r="K1517" s="18" t="s">
        <v>46</v>
      </c>
      <c r="L1517" s="17" t="s">
        <v>47</v>
      </c>
      <c r="M1517" s="18" t="s">
        <v>48</v>
      </c>
    </row>
    <row r="1518" spans="1:13">
      <c r="A1518" s="8">
        <v>1</v>
      </c>
      <c r="B1518" s="38" t="s">
        <v>114</v>
      </c>
      <c r="C1518" s="5">
        <v>1000</v>
      </c>
      <c r="D1518" s="21">
        <f>C1518/208</f>
        <v>4.8076923076923075</v>
      </c>
      <c r="E1518" s="22">
        <v>44</v>
      </c>
      <c r="F1518" s="22"/>
      <c r="G1518" s="22"/>
      <c r="H1518" s="23"/>
      <c r="I1518" s="24">
        <f>D1518*E1518*1.25</f>
        <v>264.42307692307691</v>
      </c>
      <c r="J1518" s="21">
        <f>D1518*F1518*1.5</f>
        <v>0</v>
      </c>
      <c r="K1518" s="21">
        <f>D1518*G1518*2</f>
        <v>0</v>
      </c>
      <c r="L1518" s="21">
        <f>D1518*H1518*2.5</f>
        <v>0</v>
      </c>
      <c r="M1518" s="21">
        <f>I1518+J1518+K1518+L1518</f>
        <v>264.42307692307691</v>
      </c>
    </row>
    <row r="1523" spans="1:13">
      <c r="A1523" t="s">
        <v>35</v>
      </c>
      <c r="I1523" t="s">
        <v>132</v>
      </c>
    </row>
    <row r="1524" spans="1:13" ht="16.899999999999999" customHeight="1">
      <c r="A1524" t="s">
        <v>71</v>
      </c>
    </row>
    <row r="1525" spans="1:13">
      <c r="A1525" s="149" t="s">
        <v>37</v>
      </c>
      <c r="B1525" s="11" t="s">
        <v>38</v>
      </c>
      <c r="C1525" s="12" t="s">
        <v>39</v>
      </c>
      <c r="D1525" s="11" t="s">
        <v>40</v>
      </c>
      <c r="E1525" s="11" t="s">
        <v>41</v>
      </c>
      <c r="F1525" s="13"/>
      <c r="G1525" s="13"/>
      <c r="H1525" s="14"/>
      <c r="I1525" s="15" t="s">
        <v>41</v>
      </c>
      <c r="J1525" s="13"/>
      <c r="K1525" s="13"/>
      <c r="L1525" s="11"/>
      <c r="M1525" s="16" t="s">
        <v>42</v>
      </c>
    </row>
    <row r="1526" spans="1:13">
      <c r="A1526" s="150"/>
      <c r="B1526" s="17"/>
      <c r="C1526" s="12" t="s">
        <v>43</v>
      </c>
      <c r="D1526" s="17"/>
      <c r="E1526" s="17" t="s">
        <v>44</v>
      </c>
      <c r="F1526" s="18" t="s">
        <v>45</v>
      </c>
      <c r="G1526" s="18" t="s">
        <v>46</v>
      </c>
      <c r="H1526" s="19" t="s">
        <v>47</v>
      </c>
      <c r="I1526" s="20" t="s">
        <v>44</v>
      </c>
      <c r="J1526" s="18" t="s">
        <v>45</v>
      </c>
      <c r="K1526" s="18" t="s">
        <v>46</v>
      </c>
      <c r="L1526" s="17" t="s">
        <v>47</v>
      </c>
      <c r="M1526" s="18" t="s">
        <v>48</v>
      </c>
    </row>
    <row r="1527" spans="1:13">
      <c r="A1527" s="8">
        <v>1</v>
      </c>
      <c r="B1527" s="38" t="s">
        <v>125</v>
      </c>
      <c r="C1527" s="5">
        <v>1000</v>
      </c>
      <c r="D1527" s="21">
        <f>C1527/208</f>
        <v>4.8076923076923075</v>
      </c>
      <c r="E1527" s="22">
        <v>46</v>
      </c>
      <c r="F1527" s="22"/>
      <c r="G1527" s="22"/>
      <c r="H1527" s="23">
        <v>8</v>
      </c>
      <c r="I1527" s="24">
        <f>D1527*E1527*1.25</f>
        <v>276.44230769230768</v>
      </c>
      <c r="J1527" s="21">
        <f>D1527*F1527*1.5</f>
        <v>0</v>
      </c>
      <c r="K1527" s="21">
        <f>D1527*G1527*2</f>
        <v>0</v>
      </c>
      <c r="L1527" s="21">
        <f>D1527*H1527*2.5</f>
        <v>96.153846153846146</v>
      </c>
      <c r="M1527" s="21">
        <f>I1527+J1527+K1527+L1527</f>
        <v>372.59615384615381</v>
      </c>
    </row>
    <row r="1528" spans="1:13">
      <c r="A1528" s="8">
        <v>2</v>
      </c>
      <c r="B1528" s="38" t="s">
        <v>131</v>
      </c>
      <c r="C1528" s="5">
        <v>800</v>
      </c>
      <c r="D1528" s="21">
        <f>C1528/208</f>
        <v>3.8461538461538463</v>
      </c>
      <c r="E1528" s="22">
        <v>44</v>
      </c>
      <c r="F1528" s="22"/>
      <c r="G1528" s="22">
        <v>8</v>
      </c>
      <c r="H1528" s="23"/>
      <c r="I1528" s="24">
        <f>D1528*E1528*1.25</f>
        <v>211.53846153846155</v>
      </c>
      <c r="J1528" s="21">
        <f>D1528*F1528*1.5</f>
        <v>0</v>
      </c>
      <c r="K1528" s="21">
        <f>D1528*G1528*2</f>
        <v>61.53846153846154</v>
      </c>
      <c r="L1528" s="21">
        <f>D1528*H1528*2.5</f>
        <v>0</v>
      </c>
      <c r="M1528" s="21">
        <f>I1528+J1528+K1528+L1528</f>
        <v>273.07692307692309</v>
      </c>
    </row>
    <row r="1529" spans="1:13">
      <c r="A1529" s="8">
        <v>3</v>
      </c>
      <c r="B1529" s="38" t="s">
        <v>129</v>
      </c>
      <c r="C1529" s="5">
        <v>1000</v>
      </c>
      <c r="D1529" s="21">
        <f>C1529/208</f>
        <v>4.8076923076923075</v>
      </c>
      <c r="E1529" s="22">
        <v>48</v>
      </c>
      <c r="F1529" s="22"/>
      <c r="G1529" s="22"/>
      <c r="H1529" s="23"/>
      <c r="I1529" s="24">
        <f>D1529*E1529*1.25</f>
        <v>288.46153846153845</v>
      </c>
      <c r="J1529" s="21">
        <f>D1529*F1529*1.5</f>
        <v>0</v>
      </c>
      <c r="K1529" s="21">
        <f>D1529*G1529*2</f>
        <v>0</v>
      </c>
      <c r="L1529" s="21">
        <f>D1529*H1529*2.5</f>
        <v>0</v>
      </c>
      <c r="M1529" s="21">
        <f>I1529+J1529+K1529+L1529</f>
        <v>288.46153846153845</v>
      </c>
    </row>
    <row r="1530" spans="1:13">
      <c r="M1530" s="39">
        <f>SUM(M1527:M1529)</f>
        <v>934.13461538461536</v>
      </c>
    </row>
    <row r="1540" spans="1:13">
      <c r="A1540" t="s">
        <v>35</v>
      </c>
      <c r="I1540" t="s">
        <v>73</v>
      </c>
    </row>
    <row r="1541" spans="1:13" ht="16.899999999999999" customHeight="1">
      <c r="A1541" t="s">
        <v>71</v>
      </c>
    </row>
    <row r="1542" spans="1:13">
      <c r="A1542" s="149" t="s">
        <v>37</v>
      </c>
      <c r="B1542" s="11" t="s">
        <v>38</v>
      </c>
      <c r="C1542" s="12" t="s">
        <v>39</v>
      </c>
      <c r="D1542" s="11" t="s">
        <v>40</v>
      </c>
      <c r="E1542" s="11" t="s">
        <v>41</v>
      </c>
      <c r="F1542" s="13"/>
      <c r="G1542" s="13"/>
      <c r="H1542" s="14"/>
      <c r="I1542" s="15" t="s">
        <v>41</v>
      </c>
      <c r="J1542" s="13"/>
      <c r="K1542" s="13"/>
      <c r="L1542" s="11"/>
      <c r="M1542" s="16" t="s">
        <v>42</v>
      </c>
    </row>
    <row r="1543" spans="1:13">
      <c r="A1543" s="150"/>
      <c r="B1543" s="17"/>
      <c r="C1543" s="12" t="s">
        <v>43</v>
      </c>
      <c r="D1543" s="17"/>
      <c r="E1543" s="17" t="s">
        <v>44</v>
      </c>
      <c r="F1543" s="18" t="s">
        <v>45</v>
      </c>
      <c r="G1543" s="18" t="s">
        <v>46</v>
      </c>
      <c r="H1543" s="19" t="s">
        <v>47</v>
      </c>
      <c r="I1543" s="20" t="s">
        <v>44</v>
      </c>
      <c r="J1543" s="18" t="s">
        <v>45</v>
      </c>
      <c r="K1543" s="18" t="s">
        <v>46</v>
      </c>
      <c r="L1543" s="17" t="s">
        <v>47</v>
      </c>
      <c r="M1543" s="18" t="s">
        <v>48</v>
      </c>
    </row>
    <row r="1544" spans="1:13">
      <c r="A1544" s="8">
        <v>1</v>
      </c>
      <c r="B1544" s="43" t="s">
        <v>125</v>
      </c>
      <c r="C1544" s="41">
        <v>1000</v>
      </c>
      <c r="D1544" s="21">
        <f>C1544/208</f>
        <v>4.8076923076923075</v>
      </c>
      <c r="E1544" s="22">
        <v>46</v>
      </c>
      <c r="F1544" s="22"/>
      <c r="G1544" s="22"/>
      <c r="H1544" s="23">
        <v>8</v>
      </c>
      <c r="I1544" s="24">
        <f>D1544*E1544*1.25</f>
        <v>276.44230769230768</v>
      </c>
      <c r="J1544" s="21">
        <f>D1544*F1544*1.5</f>
        <v>0</v>
      </c>
      <c r="K1544" s="21">
        <f>D1544*G1544*2</f>
        <v>0</v>
      </c>
      <c r="L1544" s="21">
        <f>D1544*H1544*2.5</f>
        <v>96.153846153846146</v>
      </c>
      <c r="M1544" s="21">
        <f>I1544+J1544+K1544+L1544</f>
        <v>372.59615384615381</v>
      </c>
    </row>
    <row r="1545" spans="1:13">
      <c r="A1545" s="8">
        <v>1</v>
      </c>
      <c r="B1545" s="44" t="s">
        <v>127</v>
      </c>
      <c r="C1545" s="45">
        <v>800</v>
      </c>
      <c r="D1545" s="21">
        <f>C1545/208</f>
        <v>3.8461538461538463</v>
      </c>
      <c r="E1545" s="22">
        <v>28</v>
      </c>
      <c r="F1545" s="22"/>
      <c r="G1545" s="22"/>
      <c r="H1545" s="23">
        <v>8</v>
      </c>
      <c r="I1545" s="24">
        <f>D1545*E1545*1.25</f>
        <v>134.61538461538461</v>
      </c>
      <c r="J1545" s="21">
        <f>D1545*F1545*1.5</f>
        <v>0</v>
      </c>
      <c r="K1545" s="21">
        <f>D1545*G1545*2</f>
        <v>0</v>
      </c>
      <c r="L1545" s="21">
        <f>D1545*H1545*2.5</f>
        <v>76.92307692307692</v>
      </c>
      <c r="M1545" s="21">
        <f>I1545+J1545+K1545+L1545</f>
        <v>211.53846153846155</v>
      </c>
    </row>
    <row r="1546" spans="1:13">
      <c r="B1546" s="45">
        <v>1000</v>
      </c>
      <c r="C1546" s="41">
        <v>1000</v>
      </c>
      <c r="D1546" s="21">
        <f>C1546/208</f>
        <v>4.8076923076923075</v>
      </c>
      <c r="E1546">
        <v>36</v>
      </c>
      <c r="I1546" s="24">
        <f>D1546*E1546*1.25</f>
        <v>216.34615384615384</v>
      </c>
      <c r="J1546" s="21">
        <f>D1546*F1546*1.5</f>
        <v>0</v>
      </c>
      <c r="K1546" s="21">
        <f>D1546*G1546*2</f>
        <v>0</v>
      </c>
      <c r="L1546" s="21">
        <f>D1546*H1546*2.5</f>
        <v>0</v>
      </c>
      <c r="M1546" s="21">
        <f>I1546+J1546+K1546+L1546</f>
        <v>216.34615384615384</v>
      </c>
    </row>
    <row r="1549" spans="1:13">
      <c r="A1549" t="s">
        <v>35</v>
      </c>
      <c r="I1549" t="s">
        <v>132</v>
      </c>
    </row>
    <row r="1550" spans="1:13" ht="16.899999999999999" customHeight="1">
      <c r="A1550" t="s">
        <v>71</v>
      </c>
    </row>
    <row r="1551" spans="1:13">
      <c r="A1551" s="149" t="s">
        <v>37</v>
      </c>
      <c r="B1551" s="11" t="s">
        <v>38</v>
      </c>
      <c r="C1551" s="12" t="s">
        <v>39</v>
      </c>
      <c r="D1551" s="11" t="s">
        <v>40</v>
      </c>
      <c r="E1551" s="11" t="s">
        <v>41</v>
      </c>
      <c r="F1551" s="13"/>
      <c r="G1551" s="13"/>
      <c r="H1551" s="14"/>
      <c r="I1551" s="15" t="s">
        <v>41</v>
      </c>
      <c r="J1551" s="13"/>
      <c r="K1551" s="13"/>
      <c r="L1551" s="11"/>
      <c r="M1551" s="16" t="s">
        <v>42</v>
      </c>
    </row>
    <row r="1552" spans="1:13">
      <c r="A1552" s="150"/>
      <c r="B1552" s="17"/>
      <c r="C1552" s="12" t="s">
        <v>43</v>
      </c>
      <c r="D1552" s="17"/>
      <c r="E1552" s="17" t="s">
        <v>44</v>
      </c>
      <c r="F1552" s="18" t="s">
        <v>45</v>
      </c>
      <c r="G1552" s="18" t="s">
        <v>46</v>
      </c>
      <c r="H1552" s="19" t="s">
        <v>47</v>
      </c>
      <c r="I1552" s="20" t="s">
        <v>44</v>
      </c>
      <c r="J1552" s="18" t="s">
        <v>45</v>
      </c>
      <c r="K1552" s="18" t="s">
        <v>46</v>
      </c>
      <c r="L1552" s="17" t="s">
        <v>47</v>
      </c>
      <c r="M1552" s="18" t="s">
        <v>48</v>
      </c>
    </row>
    <row r="1553" spans="1:13">
      <c r="A1553" s="8">
        <v>1</v>
      </c>
      <c r="B1553" s="38" t="s">
        <v>125</v>
      </c>
      <c r="C1553" s="5">
        <v>1000</v>
      </c>
      <c r="D1553" s="21">
        <f>C1553/208</f>
        <v>4.8076923076923075</v>
      </c>
      <c r="E1553" s="22">
        <v>46</v>
      </c>
      <c r="F1553" s="22"/>
      <c r="G1553" s="22"/>
      <c r="H1553" s="23">
        <v>8</v>
      </c>
      <c r="I1553" s="24">
        <f>D1553*E1553*1.25</f>
        <v>276.44230769230768</v>
      </c>
      <c r="J1553" s="21">
        <f>D1553*F1553*1.5</f>
        <v>0</v>
      </c>
      <c r="K1553" s="21">
        <f>D1553*G1553*2</f>
        <v>0</v>
      </c>
      <c r="L1553" s="21">
        <f>D1553*H1553*2.5</f>
        <v>96.153846153846146</v>
      </c>
      <c r="M1553" s="21">
        <f>I1553+J1553+K1553+L1553</f>
        <v>372.59615384615381</v>
      </c>
    </row>
    <row r="1554" spans="1:13">
      <c r="A1554" s="8">
        <v>2</v>
      </c>
      <c r="B1554" s="38" t="s">
        <v>131</v>
      </c>
      <c r="C1554" s="5">
        <v>800</v>
      </c>
      <c r="D1554" s="21">
        <f>C1554/208</f>
        <v>3.8461538461538463</v>
      </c>
      <c r="E1554" s="22">
        <v>52</v>
      </c>
      <c r="F1554" s="22"/>
      <c r="G1554" s="22"/>
      <c r="H1554" s="23"/>
      <c r="I1554" s="24">
        <f>D1554*E1554*1.25</f>
        <v>250</v>
      </c>
      <c r="J1554" s="21">
        <f>D1554*F1554*1.5</f>
        <v>0</v>
      </c>
      <c r="K1554" s="21">
        <f>D1554*G1554*2</f>
        <v>0</v>
      </c>
      <c r="L1554" s="21">
        <f>D1554*H1554*2.5</f>
        <v>0</v>
      </c>
      <c r="M1554" s="21">
        <f>I1554+J1554+K1554+L1554</f>
        <v>250</v>
      </c>
    </row>
    <row r="1555" spans="1:13">
      <c r="A1555" s="8">
        <v>3</v>
      </c>
      <c r="B1555" s="38" t="s">
        <v>129</v>
      </c>
      <c r="C1555" s="5">
        <v>1000</v>
      </c>
      <c r="D1555" s="21">
        <f>C1555/208</f>
        <v>4.8076923076923075</v>
      </c>
      <c r="E1555" s="22">
        <v>52</v>
      </c>
      <c r="F1555" s="22"/>
      <c r="G1555" s="22"/>
      <c r="H1555" s="23"/>
      <c r="I1555" s="24">
        <f>D1555*E1555*1.25</f>
        <v>312.5</v>
      </c>
      <c r="J1555" s="21">
        <f>D1555*F1555*1.5</f>
        <v>0</v>
      </c>
      <c r="K1555" s="21">
        <f>D1555*G1555*2</f>
        <v>0</v>
      </c>
      <c r="L1555" s="21">
        <f>D1555*H1555*2.5</f>
        <v>0</v>
      </c>
      <c r="M1555" s="21">
        <f>I1555+J1555+K1555+L1555</f>
        <v>312.5</v>
      </c>
    </row>
    <row r="1556" spans="1:13">
      <c r="M1556" s="39"/>
    </row>
    <row r="1558" spans="1:13">
      <c r="A1558" t="s">
        <v>35</v>
      </c>
      <c r="I1558" t="s">
        <v>73</v>
      </c>
    </row>
    <row r="1559" spans="1:13" ht="16.899999999999999" customHeight="1">
      <c r="A1559" t="s">
        <v>71</v>
      </c>
    </row>
    <row r="1560" spans="1:13">
      <c r="A1560" s="149" t="s">
        <v>37</v>
      </c>
      <c r="B1560" s="11" t="s">
        <v>38</v>
      </c>
      <c r="C1560" s="12" t="s">
        <v>39</v>
      </c>
      <c r="D1560" s="11" t="s">
        <v>40</v>
      </c>
      <c r="E1560" s="11" t="s">
        <v>41</v>
      </c>
      <c r="F1560" s="13"/>
      <c r="G1560" s="13"/>
      <c r="H1560" s="14"/>
      <c r="I1560" s="15" t="s">
        <v>41</v>
      </c>
      <c r="J1560" s="13"/>
      <c r="K1560" s="13"/>
      <c r="L1560" s="11"/>
      <c r="M1560" s="16" t="s">
        <v>42</v>
      </c>
    </row>
    <row r="1561" spans="1:13">
      <c r="A1561" s="150"/>
      <c r="B1561" s="17"/>
      <c r="C1561" s="12" t="s">
        <v>43</v>
      </c>
      <c r="D1561" s="17"/>
      <c r="E1561" s="17" t="s">
        <v>44</v>
      </c>
      <c r="F1561" s="18" t="s">
        <v>45</v>
      </c>
      <c r="G1561" s="18" t="s">
        <v>46</v>
      </c>
      <c r="H1561" s="19" t="s">
        <v>47</v>
      </c>
      <c r="I1561" s="20" t="s">
        <v>44</v>
      </c>
      <c r="J1561" s="18" t="s">
        <v>45</v>
      </c>
      <c r="K1561" s="18" t="s">
        <v>46</v>
      </c>
      <c r="L1561" s="17" t="s">
        <v>47</v>
      </c>
      <c r="M1561" s="18" t="s">
        <v>48</v>
      </c>
    </row>
    <row r="1562" spans="1:13">
      <c r="A1562" s="8">
        <v>1</v>
      </c>
      <c r="B1562" s="42" t="s">
        <v>130</v>
      </c>
      <c r="C1562" s="41">
        <v>1982</v>
      </c>
      <c r="D1562" s="21">
        <f>C1562/208</f>
        <v>9.5288461538461533</v>
      </c>
      <c r="E1562" s="22">
        <v>26</v>
      </c>
      <c r="F1562" s="22"/>
      <c r="G1562" s="22">
        <v>8</v>
      </c>
      <c r="H1562" s="23"/>
      <c r="I1562" s="24">
        <f>D1562*E1562*1.25</f>
        <v>309.6875</v>
      </c>
      <c r="J1562" s="21">
        <f>D1562*F1562*1.5</f>
        <v>0</v>
      </c>
      <c r="K1562" s="21">
        <f>D1562*G1562*2</f>
        <v>152.46153846153845</v>
      </c>
      <c r="L1562" s="21">
        <f>D1562*H1562*2.5</f>
        <v>0</v>
      </c>
      <c r="M1562" s="21">
        <f>I1562+J1562+K1562+L1562</f>
        <v>462.14903846153845</v>
      </c>
    </row>
    <row r="1565" spans="1:13">
      <c r="A1565" t="s">
        <v>35</v>
      </c>
      <c r="I1565" t="s">
        <v>132</v>
      </c>
    </row>
    <row r="1566" spans="1:13" ht="16.899999999999999" customHeight="1">
      <c r="A1566" t="s">
        <v>71</v>
      </c>
    </row>
    <row r="1567" spans="1:13">
      <c r="A1567" s="149" t="s">
        <v>37</v>
      </c>
      <c r="B1567" s="11" t="s">
        <v>38</v>
      </c>
      <c r="C1567" s="12" t="s">
        <v>39</v>
      </c>
      <c r="D1567" s="11" t="s">
        <v>40</v>
      </c>
      <c r="E1567" s="11" t="s">
        <v>41</v>
      </c>
      <c r="F1567" s="13"/>
      <c r="G1567" s="13"/>
      <c r="H1567" s="14"/>
      <c r="I1567" s="15" t="s">
        <v>41</v>
      </c>
      <c r="J1567" s="13"/>
      <c r="K1567" s="13"/>
      <c r="L1567" s="11"/>
      <c r="M1567" s="16" t="s">
        <v>42</v>
      </c>
    </row>
    <row r="1568" spans="1:13">
      <c r="A1568" s="150"/>
      <c r="B1568" s="17"/>
      <c r="C1568" s="12" t="s">
        <v>43</v>
      </c>
      <c r="D1568" s="17"/>
      <c r="E1568" s="17" t="s">
        <v>44</v>
      </c>
      <c r="F1568" s="18" t="s">
        <v>45</v>
      </c>
      <c r="G1568" s="18" t="s">
        <v>46</v>
      </c>
      <c r="H1568" s="19" t="s">
        <v>47</v>
      </c>
      <c r="I1568" s="20" t="s">
        <v>44</v>
      </c>
      <c r="J1568" s="18" t="s">
        <v>45</v>
      </c>
      <c r="K1568" s="18" t="s">
        <v>46</v>
      </c>
      <c r="L1568" s="17" t="s">
        <v>47</v>
      </c>
      <c r="M1568" s="18" t="s">
        <v>48</v>
      </c>
    </row>
    <row r="1569" spans="1:13">
      <c r="A1569" s="8">
        <v>1</v>
      </c>
      <c r="B1569" s="38" t="s">
        <v>125</v>
      </c>
      <c r="C1569" s="45">
        <v>1000</v>
      </c>
      <c r="D1569" s="21">
        <f>C1569/208</f>
        <v>4.8076923076923075</v>
      </c>
      <c r="E1569" s="22">
        <v>46</v>
      </c>
      <c r="F1569" s="22"/>
      <c r="G1569" s="22">
        <v>8</v>
      </c>
      <c r="H1569" s="23"/>
      <c r="I1569" s="24">
        <f>D1569*E1569*1.25</f>
        <v>276.44230769230768</v>
      </c>
      <c r="J1569" s="21">
        <f>D1569*F1569*1.5</f>
        <v>0</v>
      </c>
      <c r="K1569" s="21">
        <f>D1569*G1569*2</f>
        <v>76.92307692307692</v>
      </c>
      <c r="L1569" s="21">
        <f>D1569*H1569*2.5</f>
        <v>0</v>
      </c>
      <c r="M1569" s="21">
        <f>I1569+J1569+K1569+L1569</f>
        <v>353.36538461538458</v>
      </c>
    </row>
    <row r="1570" spans="1:13">
      <c r="A1570" s="8">
        <v>2</v>
      </c>
      <c r="B1570" s="38" t="s">
        <v>131</v>
      </c>
      <c r="C1570" s="45">
        <v>1000</v>
      </c>
      <c r="D1570" s="21">
        <f>C1570/208</f>
        <v>4.8076923076923075</v>
      </c>
      <c r="E1570" s="22">
        <v>52</v>
      </c>
      <c r="F1570" s="22"/>
      <c r="G1570" s="22">
        <v>8</v>
      </c>
      <c r="H1570" s="23"/>
      <c r="I1570" s="24">
        <f>D1570*E1570*1.25</f>
        <v>312.5</v>
      </c>
      <c r="J1570" s="21">
        <f>D1570*F1570*1.5</f>
        <v>0</v>
      </c>
      <c r="K1570" s="21">
        <f>D1570*G1570*2</f>
        <v>76.92307692307692</v>
      </c>
      <c r="L1570" s="21">
        <f>D1570*H1570*2.5</f>
        <v>0</v>
      </c>
      <c r="M1570" s="21">
        <f>I1570+J1570+K1570+L1570</f>
        <v>389.42307692307691</v>
      </c>
    </row>
    <row r="1571" spans="1:13">
      <c r="A1571" s="8">
        <v>3</v>
      </c>
      <c r="B1571" s="38" t="s">
        <v>129</v>
      </c>
      <c r="C1571" s="5">
        <v>1000</v>
      </c>
      <c r="D1571" s="21">
        <f>C1571/208</f>
        <v>4.8076923076923075</v>
      </c>
      <c r="E1571" s="22">
        <v>60</v>
      </c>
      <c r="F1571" s="22"/>
      <c r="G1571" s="22">
        <v>16</v>
      </c>
      <c r="H1571" s="23"/>
      <c r="I1571" s="24">
        <f>D1571*E1571*1.25</f>
        <v>360.57692307692309</v>
      </c>
      <c r="J1571" s="21">
        <f>D1571*F1571*1.5</f>
        <v>0</v>
      </c>
      <c r="K1571" s="21">
        <f>D1571*G1571*2</f>
        <v>153.84615384615384</v>
      </c>
      <c r="L1571" s="21">
        <f>D1571*H1571*2.5</f>
        <v>0</v>
      </c>
      <c r="M1571" s="21">
        <f>I1571+J1571+K1571+L1571</f>
        <v>514.42307692307691</v>
      </c>
    </row>
    <row r="1572" spans="1:13">
      <c r="M1572" s="39"/>
    </row>
    <row r="1573" spans="1:13">
      <c r="M1573" s="39">
        <f>SUM(M1569:M1572)</f>
        <v>1257.2115384615383</v>
      </c>
    </row>
    <row r="1576" spans="1:13">
      <c r="A1576" t="s">
        <v>35</v>
      </c>
      <c r="I1576" t="s">
        <v>132</v>
      </c>
    </row>
    <row r="1577" spans="1:13" ht="16.899999999999999" customHeight="1">
      <c r="A1577" t="s">
        <v>71</v>
      </c>
    </row>
    <row r="1578" spans="1:13">
      <c r="A1578" s="149" t="s">
        <v>37</v>
      </c>
      <c r="B1578" s="11" t="s">
        <v>38</v>
      </c>
      <c r="C1578" s="12" t="s">
        <v>39</v>
      </c>
      <c r="D1578" s="11" t="s">
        <v>40</v>
      </c>
      <c r="E1578" s="11" t="s">
        <v>41</v>
      </c>
      <c r="F1578" s="13"/>
      <c r="G1578" s="13"/>
      <c r="H1578" s="14"/>
      <c r="I1578" s="15" t="s">
        <v>41</v>
      </c>
      <c r="J1578" s="13"/>
      <c r="K1578" s="13"/>
      <c r="L1578" s="11"/>
      <c r="M1578" s="16" t="s">
        <v>42</v>
      </c>
    </row>
    <row r="1579" spans="1:13">
      <c r="A1579" s="150"/>
      <c r="B1579" s="17"/>
      <c r="C1579" s="12" t="s">
        <v>43</v>
      </c>
      <c r="D1579" s="17"/>
      <c r="E1579" s="17" t="s">
        <v>44</v>
      </c>
      <c r="F1579" s="18" t="s">
        <v>45</v>
      </c>
      <c r="G1579" s="18" t="s">
        <v>46</v>
      </c>
      <c r="H1579" s="19" t="s">
        <v>47</v>
      </c>
      <c r="I1579" s="20" t="s">
        <v>44</v>
      </c>
      <c r="J1579" s="18" t="s">
        <v>45</v>
      </c>
      <c r="K1579" s="18" t="s">
        <v>46</v>
      </c>
      <c r="L1579" s="17" t="s">
        <v>47</v>
      </c>
      <c r="M1579" s="18" t="s">
        <v>48</v>
      </c>
    </row>
    <row r="1580" spans="1:13" ht="21.75" customHeight="1">
      <c r="A1580" s="8">
        <v>1</v>
      </c>
      <c r="B1580" s="52" t="s">
        <v>125</v>
      </c>
      <c r="C1580" s="65">
        <v>1369</v>
      </c>
      <c r="D1580" s="21">
        <f>C1580/208</f>
        <v>6.5817307692307692</v>
      </c>
      <c r="E1580" s="22">
        <v>48</v>
      </c>
      <c r="F1580" s="22"/>
      <c r="G1580" s="22">
        <v>8</v>
      </c>
      <c r="H1580" s="23"/>
      <c r="I1580" s="24">
        <f>D1580*E1580*1.25</f>
        <v>394.90384615384613</v>
      </c>
      <c r="J1580" s="21">
        <f t="shared" ref="J1580:J1583" si="5">D1580*F1580*1.5</f>
        <v>0</v>
      </c>
      <c r="K1580" s="21">
        <f t="shared" ref="K1580:K1583" si="6">D1580*G1580*2</f>
        <v>105.30769230769231</v>
      </c>
      <c r="L1580" s="21">
        <f t="shared" ref="L1580:L1583" si="7">D1580*H1580*2.5</f>
        <v>0</v>
      </c>
      <c r="M1580" s="21">
        <f>I1580+J1580+K1580+L1580</f>
        <v>500.21153846153845</v>
      </c>
    </row>
    <row r="1581" spans="1:13" ht="21.75" customHeight="1">
      <c r="A1581" s="8">
        <v>2</v>
      </c>
      <c r="B1581" s="53" t="s">
        <v>127</v>
      </c>
      <c r="C1581" s="65">
        <v>1369</v>
      </c>
      <c r="D1581" s="21">
        <f t="shared" ref="D1581:D1583" si="8">C1581/208</f>
        <v>6.5817307692307692</v>
      </c>
      <c r="E1581" s="22">
        <v>32</v>
      </c>
      <c r="F1581" s="22"/>
      <c r="G1581" s="22">
        <v>8</v>
      </c>
      <c r="H1581" s="23"/>
      <c r="I1581" s="24">
        <f>D1581*E1581*1.25</f>
        <v>263.26923076923077</v>
      </c>
      <c r="J1581" s="21">
        <f t="shared" si="5"/>
        <v>0</v>
      </c>
      <c r="K1581" s="21">
        <f t="shared" si="6"/>
        <v>105.30769230769231</v>
      </c>
      <c r="L1581" s="21">
        <f t="shared" si="7"/>
        <v>0</v>
      </c>
      <c r="M1581" s="21">
        <f t="shared" ref="M1581:M1582" si="9">I1581+J1581+K1581+L1581</f>
        <v>368.57692307692309</v>
      </c>
    </row>
    <row r="1582" spans="1:13" ht="21.75" customHeight="1">
      <c r="A1582" s="8">
        <v>3</v>
      </c>
      <c r="B1582" s="51" t="s">
        <v>129</v>
      </c>
      <c r="C1582" s="65">
        <v>1369</v>
      </c>
      <c r="D1582" s="21">
        <f t="shared" si="8"/>
        <v>6.5817307692307692</v>
      </c>
      <c r="E1582" s="22">
        <v>38</v>
      </c>
      <c r="F1582" s="22"/>
      <c r="G1582" s="22">
        <v>8</v>
      </c>
      <c r="H1582" s="23"/>
      <c r="I1582" s="24">
        <f>D1582*E1582*1.25</f>
        <v>312.63221153846155</v>
      </c>
      <c r="J1582" s="21">
        <f t="shared" si="5"/>
        <v>0</v>
      </c>
      <c r="K1582" s="21">
        <f t="shared" si="6"/>
        <v>105.30769230769231</v>
      </c>
      <c r="L1582" s="21">
        <f t="shared" si="7"/>
        <v>0</v>
      </c>
      <c r="M1582" s="21">
        <f t="shared" si="9"/>
        <v>417.93990384615387</v>
      </c>
    </row>
    <row r="1583" spans="1:13" ht="21.75" customHeight="1">
      <c r="A1583" s="8">
        <v>4</v>
      </c>
      <c r="B1583" s="51" t="s">
        <v>143</v>
      </c>
      <c r="C1583" s="65">
        <v>1369</v>
      </c>
      <c r="D1583" s="21">
        <f t="shared" si="8"/>
        <v>6.5817307692307692</v>
      </c>
      <c r="E1583" s="22">
        <v>50</v>
      </c>
      <c r="F1583" s="22"/>
      <c r="G1583" s="22">
        <v>8</v>
      </c>
      <c r="H1583" s="23"/>
      <c r="I1583" s="24">
        <f>D1583*E1583*1.25</f>
        <v>411.35817307692309</v>
      </c>
      <c r="J1583" s="21">
        <f t="shared" si="5"/>
        <v>0</v>
      </c>
      <c r="K1583" s="21">
        <f t="shared" si="6"/>
        <v>105.30769230769231</v>
      </c>
      <c r="L1583" s="21">
        <f t="shared" si="7"/>
        <v>0</v>
      </c>
      <c r="M1583" s="21">
        <f>I1583+J1583+K1583+L1583</f>
        <v>516.66586538461536</v>
      </c>
    </row>
    <row r="1584" spans="1:13" ht="21.75" customHeight="1">
      <c r="C1584" s="80"/>
      <c r="M1584" s="39"/>
    </row>
    <row r="1585" spans="1:15">
      <c r="M1585" s="39">
        <f>SUM(M1580:M1584)</f>
        <v>1803.3942307692309</v>
      </c>
    </row>
    <row r="1588" spans="1:15">
      <c r="A1588" t="s">
        <v>35</v>
      </c>
      <c r="I1588" t="s">
        <v>132</v>
      </c>
    </row>
    <row r="1589" spans="1:15" ht="16.899999999999999" customHeight="1">
      <c r="A1589" t="s">
        <v>71</v>
      </c>
    </row>
    <row r="1590" spans="1:15">
      <c r="A1590" s="149" t="s">
        <v>37</v>
      </c>
      <c r="B1590" s="11" t="s">
        <v>38</v>
      </c>
      <c r="C1590" s="12" t="s">
        <v>39</v>
      </c>
      <c r="D1590" s="11" t="s">
        <v>40</v>
      </c>
      <c r="E1590" s="11" t="s">
        <v>41</v>
      </c>
      <c r="F1590" s="13"/>
      <c r="G1590" s="13"/>
      <c r="H1590" s="14"/>
      <c r="I1590" s="15" t="s">
        <v>41</v>
      </c>
      <c r="J1590" s="13"/>
      <c r="K1590" s="13"/>
      <c r="L1590" s="11"/>
      <c r="M1590" s="13" t="s">
        <v>42</v>
      </c>
    </row>
    <row r="1591" spans="1:15">
      <c r="A1591" s="150"/>
      <c r="B1591" s="17"/>
      <c r="C1591" s="12" t="s">
        <v>43</v>
      </c>
      <c r="D1591" s="17"/>
      <c r="E1591" s="17" t="s">
        <v>44</v>
      </c>
      <c r="F1591" s="18" t="s">
        <v>45</v>
      </c>
      <c r="G1591" s="18" t="s">
        <v>46</v>
      </c>
      <c r="H1591" s="19" t="s">
        <v>47</v>
      </c>
      <c r="I1591" s="20" t="s">
        <v>44</v>
      </c>
      <c r="J1591" s="18" t="s">
        <v>45</v>
      </c>
      <c r="K1591" s="18" t="s">
        <v>46</v>
      </c>
      <c r="L1591" s="17" t="s">
        <v>47</v>
      </c>
      <c r="M1591" s="18" t="s">
        <v>48</v>
      </c>
    </row>
    <row r="1592" spans="1:15" ht="21.75" customHeight="1">
      <c r="A1592" s="8">
        <v>1</v>
      </c>
      <c r="B1592" s="54" t="s">
        <v>136</v>
      </c>
      <c r="C1592" s="41">
        <v>2280</v>
      </c>
      <c r="D1592" s="21">
        <f t="shared" ref="D1592" si="10">C1592/208</f>
        <v>10.961538461538462</v>
      </c>
      <c r="E1592" s="22">
        <v>24</v>
      </c>
      <c r="F1592" s="22"/>
      <c r="G1592" s="22">
        <v>8</v>
      </c>
      <c r="H1592" s="23"/>
      <c r="I1592" s="24">
        <f>D1592*E1592*1.25</f>
        <v>328.84615384615387</v>
      </c>
      <c r="J1592" s="21">
        <f>D1592*F1592*1.5</f>
        <v>0</v>
      </c>
      <c r="K1592" s="21">
        <f>D1592*G1592*2</f>
        <v>175.38461538461539</v>
      </c>
      <c r="L1592" s="21">
        <f>D1592*H1592*2.5</f>
        <v>0</v>
      </c>
      <c r="M1592" s="21">
        <f t="shared" ref="M1592" si="11">I1592+J1592+K1592+L1592</f>
        <v>504.23076923076928</v>
      </c>
    </row>
    <row r="1593" spans="1:15" ht="21.75" customHeight="1">
      <c r="M1593" s="39"/>
    </row>
    <row r="1597" spans="1:15">
      <c r="A1597" t="s">
        <v>35</v>
      </c>
      <c r="I1597" t="s">
        <v>132</v>
      </c>
      <c r="O1597">
        <f>3300+2145</f>
        <v>5445</v>
      </c>
    </row>
    <row r="1598" spans="1:15" ht="16.899999999999999" customHeight="1">
      <c r="A1598" t="s">
        <v>71</v>
      </c>
    </row>
    <row r="1599" spans="1:15">
      <c r="A1599" s="149" t="s">
        <v>37</v>
      </c>
      <c r="B1599" s="11" t="s">
        <v>38</v>
      </c>
      <c r="C1599" s="12" t="s">
        <v>39</v>
      </c>
      <c r="D1599" s="11" t="s">
        <v>40</v>
      </c>
      <c r="E1599" s="11" t="s">
        <v>41</v>
      </c>
      <c r="F1599" s="13"/>
      <c r="G1599" s="13"/>
      <c r="H1599" s="14"/>
      <c r="I1599" s="15" t="s">
        <v>41</v>
      </c>
      <c r="J1599" s="13"/>
      <c r="K1599" s="13"/>
      <c r="L1599" s="11"/>
      <c r="M1599" s="16" t="s">
        <v>42</v>
      </c>
    </row>
    <row r="1600" spans="1:15">
      <c r="A1600" s="150"/>
      <c r="B1600" s="17"/>
      <c r="C1600" s="12" t="s">
        <v>43</v>
      </c>
      <c r="D1600" s="17"/>
      <c r="E1600" s="17" t="s">
        <v>44</v>
      </c>
      <c r="F1600" s="18" t="s">
        <v>45</v>
      </c>
      <c r="G1600" s="18" t="s">
        <v>46</v>
      </c>
      <c r="H1600" s="19" t="s">
        <v>47</v>
      </c>
      <c r="I1600" s="20" t="s">
        <v>44</v>
      </c>
      <c r="J1600" s="18" t="s">
        <v>45</v>
      </c>
      <c r="K1600" s="18" t="s">
        <v>46</v>
      </c>
      <c r="L1600" s="17" t="s">
        <v>47</v>
      </c>
      <c r="M1600" s="18" t="s">
        <v>48</v>
      </c>
    </row>
    <row r="1601" spans="1:15" ht="32.25" customHeight="1">
      <c r="A1601" s="8">
        <v>1</v>
      </c>
      <c r="B1601" s="56" t="s">
        <v>137</v>
      </c>
      <c r="C1601" s="45">
        <v>8195</v>
      </c>
      <c r="D1601" s="21">
        <f t="shared" ref="D1601" si="12">C1601/208</f>
        <v>39.39903846153846</v>
      </c>
      <c r="E1601" s="22">
        <v>35</v>
      </c>
      <c r="F1601" s="22"/>
      <c r="G1601" s="22">
        <v>16</v>
      </c>
      <c r="H1601" s="23"/>
      <c r="I1601" s="24">
        <f>D1601*E1601*1.25</f>
        <v>1723.7079326923076</v>
      </c>
      <c r="J1601" s="21">
        <f>D1601*F1601*1.5</f>
        <v>0</v>
      </c>
      <c r="K1601" s="21">
        <f>D1601*G1601*2</f>
        <v>1260.7692307692307</v>
      </c>
      <c r="L1601" s="21">
        <f>D1601*H1601*2.5</f>
        <v>0</v>
      </c>
      <c r="M1601" s="21">
        <f t="shared" ref="M1601" si="13">I1601+J1601+K1601+L1601</f>
        <v>2984.4771634615381</v>
      </c>
    </row>
    <row r="1602" spans="1:15" ht="21.75" customHeight="1">
      <c r="M1602" s="39"/>
    </row>
    <row r="1608" spans="1:15">
      <c r="A1608" t="s">
        <v>35</v>
      </c>
      <c r="I1608" t="s">
        <v>132</v>
      </c>
      <c r="O1608">
        <f>3300+2145</f>
        <v>5445</v>
      </c>
    </row>
    <row r="1609" spans="1:15" ht="16.899999999999999" customHeight="1">
      <c r="A1609" t="s">
        <v>71</v>
      </c>
    </row>
    <row r="1610" spans="1:15">
      <c r="A1610" s="149" t="s">
        <v>37</v>
      </c>
      <c r="B1610" s="11" t="s">
        <v>38</v>
      </c>
      <c r="C1610" s="12" t="s">
        <v>39</v>
      </c>
      <c r="D1610" s="11" t="s">
        <v>40</v>
      </c>
      <c r="E1610" s="11" t="s">
        <v>41</v>
      </c>
      <c r="F1610" s="13"/>
      <c r="G1610" s="13"/>
      <c r="H1610" s="14"/>
      <c r="I1610" s="15" t="s">
        <v>41</v>
      </c>
      <c r="J1610" s="13"/>
      <c r="K1610" s="13"/>
      <c r="L1610" s="11"/>
      <c r="M1610" s="16" t="s">
        <v>42</v>
      </c>
    </row>
    <row r="1611" spans="1:15">
      <c r="A1611" s="150"/>
      <c r="B1611" s="17"/>
      <c r="C1611" s="12" t="s">
        <v>43</v>
      </c>
      <c r="D1611" s="17"/>
      <c r="E1611" s="17" t="s">
        <v>44</v>
      </c>
      <c r="F1611" s="18" t="s">
        <v>45</v>
      </c>
      <c r="G1611" s="18" t="s">
        <v>46</v>
      </c>
      <c r="H1611" s="19" t="s">
        <v>47</v>
      </c>
      <c r="I1611" s="20" t="s">
        <v>44</v>
      </c>
      <c r="J1611" s="18" t="s">
        <v>45</v>
      </c>
      <c r="K1611" s="18" t="s">
        <v>46</v>
      </c>
      <c r="L1611" s="17" t="s">
        <v>47</v>
      </c>
      <c r="M1611" s="18" t="s">
        <v>48</v>
      </c>
    </row>
    <row r="1612" spans="1:15" ht="32.25" customHeight="1">
      <c r="A1612" s="8">
        <v>1</v>
      </c>
      <c r="B1612" s="56" t="s">
        <v>138</v>
      </c>
      <c r="C1612" s="45">
        <v>3372</v>
      </c>
      <c r="D1612" s="21">
        <f t="shared" ref="D1612" si="14">C1612/208</f>
        <v>16.21153846153846</v>
      </c>
      <c r="E1612" s="22">
        <v>19</v>
      </c>
      <c r="F1612" s="22"/>
      <c r="G1612" s="22">
        <v>8</v>
      </c>
      <c r="H1612" s="23"/>
      <c r="I1612" s="24">
        <f>D1612*E1612*1.25</f>
        <v>385.0240384615384</v>
      </c>
      <c r="J1612" s="21">
        <f>D1612*F1612*1.5</f>
        <v>0</v>
      </c>
      <c r="K1612" s="21">
        <f>D1612*G1612*2</f>
        <v>259.38461538461536</v>
      </c>
      <c r="L1612" s="21">
        <f>D1612*H1612*2.5</f>
        <v>0</v>
      </c>
      <c r="M1612" s="21">
        <f t="shared" ref="M1612" si="15">I1612+J1612+K1612+L1612</f>
        <v>644.40865384615381</v>
      </c>
    </row>
    <row r="1613" spans="1:15" ht="21.75" customHeight="1">
      <c r="M1613" s="39"/>
    </row>
    <row r="1619" spans="1:15">
      <c r="A1619" t="s">
        <v>35</v>
      </c>
      <c r="I1619" t="s">
        <v>132</v>
      </c>
      <c r="O1619">
        <f>3300+2145</f>
        <v>5445</v>
      </c>
    </row>
    <row r="1620" spans="1:15" ht="16.899999999999999" customHeight="1">
      <c r="A1620" t="s">
        <v>71</v>
      </c>
    </row>
    <row r="1621" spans="1:15">
      <c r="A1621" s="149" t="s">
        <v>37</v>
      </c>
      <c r="B1621" s="11" t="s">
        <v>38</v>
      </c>
      <c r="C1621" s="12" t="s">
        <v>39</v>
      </c>
      <c r="D1621" s="11" t="s">
        <v>40</v>
      </c>
      <c r="E1621" s="11" t="s">
        <v>41</v>
      </c>
      <c r="F1621" s="13"/>
      <c r="G1621" s="13"/>
      <c r="H1621" s="14"/>
      <c r="I1621" s="15" t="s">
        <v>41</v>
      </c>
      <c r="J1621" s="13"/>
      <c r="K1621" s="13"/>
      <c r="L1621" s="11"/>
      <c r="M1621" s="16" t="s">
        <v>42</v>
      </c>
    </row>
    <row r="1622" spans="1:15">
      <c r="A1622" s="150"/>
      <c r="B1622" s="17"/>
      <c r="C1622" s="12" t="s">
        <v>43</v>
      </c>
      <c r="D1622" s="17"/>
      <c r="E1622" s="17" t="s">
        <v>44</v>
      </c>
      <c r="F1622" s="18" t="s">
        <v>45</v>
      </c>
      <c r="G1622" s="18" t="s">
        <v>46</v>
      </c>
      <c r="H1622" s="19" t="s">
        <v>47</v>
      </c>
      <c r="I1622" s="20" t="s">
        <v>44</v>
      </c>
      <c r="J1622" s="18" t="s">
        <v>45</v>
      </c>
      <c r="K1622" s="18" t="s">
        <v>46</v>
      </c>
      <c r="L1622" s="17" t="s">
        <v>47</v>
      </c>
      <c r="M1622" s="18" t="s">
        <v>48</v>
      </c>
    </row>
    <row r="1623" spans="1:15" ht="32.25" customHeight="1">
      <c r="A1623" s="8">
        <v>1</v>
      </c>
      <c r="B1623" s="56" t="s">
        <v>139</v>
      </c>
      <c r="C1623" s="45">
        <v>2679</v>
      </c>
      <c r="D1623" s="21">
        <f t="shared" ref="D1623" si="16">C1623/208</f>
        <v>12.879807692307692</v>
      </c>
      <c r="E1623" s="22">
        <v>6</v>
      </c>
      <c r="F1623" s="22"/>
      <c r="G1623" s="22"/>
      <c r="H1623" s="23"/>
      <c r="I1623" s="24">
        <f>D1623*E1623*1.25</f>
        <v>96.598557692307679</v>
      </c>
      <c r="J1623" s="21">
        <f>D1623*F1623*1.5</f>
        <v>0</v>
      </c>
      <c r="K1623" s="21">
        <f>D1623*G1623*2</f>
        <v>0</v>
      </c>
      <c r="L1623" s="21">
        <f>D1623*H1623*2.5</f>
        <v>0</v>
      </c>
      <c r="M1623" s="21">
        <f t="shared" ref="M1623" si="17">I1623+J1623+K1623+L1623</f>
        <v>96.598557692307679</v>
      </c>
    </row>
    <row r="1624" spans="1:15" ht="21.75" customHeight="1">
      <c r="M1624" s="39"/>
    </row>
    <row r="1627" spans="1:15">
      <c r="A1627" t="s">
        <v>35</v>
      </c>
      <c r="I1627" t="s">
        <v>132</v>
      </c>
    </row>
    <row r="1628" spans="1:15" ht="16.899999999999999" customHeight="1">
      <c r="A1628" t="s">
        <v>71</v>
      </c>
    </row>
    <row r="1629" spans="1:15">
      <c r="A1629" s="149" t="s">
        <v>37</v>
      </c>
      <c r="B1629" s="11" t="s">
        <v>38</v>
      </c>
      <c r="C1629" s="12" t="s">
        <v>39</v>
      </c>
      <c r="D1629" s="11" t="s">
        <v>40</v>
      </c>
      <c r="E1629" s="11" t="s">
        <v>41</v>
      </c>
      <c r="F1629" s="13"/>
      <c r="G1629" s="13"/>
      <c r="H1629" s="14"/>
      <c r="I1629" s="15" t="s">
        <v>41</v>
      </c>
      <c r="J1629" s="13"/>
      <c r="K1629" s="13"/>
      <c r="L1629" s="11"/>
      <c r="M1629" s="16" t="s">
        <v>42</v>
      </c>
    </row>
    <row r="1630" spans="1:15">
      <c r="A1630" s="150"/>
      <c r="B1630" s="17"/>
      <c r="C1630" s="12" t="s">
        <v>43</v>
      </c>
      <c r="D1630" s="17"/>
      <c r="E1630" s="17" t="s">
        <v>44</v>
      </c>
      <c r="F1630" s="18" t="s">
        <v>45</v>
      </c>
      <c r="G1630" s="18" t="s">
        <v>46</v>
      </c>
      <c r="H1630" s="19" t="s">
        <v>47</v>
      </c>
      <c r="I1630" s="20" t="s">
        <v>44</v>
      </c>
      <c r="J1630" s="18" t="s">
        <v>45</v>
      </c>
      <c r="K1630" s="18" t="s">
        <v>46</v>
      </c>
      <c r="L1630" s="17" t="s">
        <v>47</v>
      </c>
      <c r="M1630" s="18" t="s">
        <v>48</v>
      </c>
    </row>
    <row r="1631" spans="1:15" ht="15.75">
      <c r="A1631" s="8">
        <v>2</v>
      </c>
      <c r="B1631" s="69" t="s">
        <v>127</v>
      </c>
      <c r="C1631" s="71">
        <v>1369</v>
      </c>
      <c r="D1631" s="21">
        <f t="shared" ref="D1631:D1634" si="18">C1631/208</f>
        <v>6.5817307692307692</v>
      </c>
      <c r="E1631" s="22">
        <v>42</v>
      </c>
      <c r="F1631" s="22"/>
      <c r="G1631" s="22"/>
      <c r="H1631" s="23"/>
      <c r="I1631" s="24">
        <f t="shared" ref="I1631:I1635" si="19">D1631*E1631*1.25</f>
        <v>345.54086538461542</v>
      </c>
      <c r="J1631" s="21">
        <f t="shared" ref="J1631:J1635" si="20">D1631*F1631*1.5</f>
        <v>0</v>
      </c>
      <c r="K1631" s="21">
        <f t="shared" ref="K1631:K1635" si="21">D1631*G1631*2</f>
        <v>0</v>
      </c>
      <c r="L1631" s="21">
        <f t="shared" ref="L1631:L1635" si="22">D1631*H1631*2.5</f>
        <v>0</v>
      </c>
      <c r="M1631" s="21">
        <f t="shared" ref="M1631:M1635" si="23">I1631+J1631+K1631+L1631</f>
        <v>345.54086538461542</v>
      </c>
    </row>
    <row r="1632" spans="1:15" ht="15.75">
      <c r="A1632" s="8">
        <v>5</v>
      </c>
      <c r="B1632" s="69" t="s">
        <v>140</v>
      </c>
      <c r="C1632" s="71">
        <v>1369</v>
      </c>
      <c r="D1632" s="21">
        <f t="shared" si="18"/>
        <v>6.5817307692307692</v>
      </c>
      <c r="E1632" s="22">
        <v>44</v>
      </c>
      <c r="F1632" s="22"/>
      <c r="G1632" s="22"/>
      <c r="H1632" s="23"/>
      <c r="I1632" s="24">
        <f t="shared" si="19"/>
        <v>361.99519230769232</v>
      </c>
      <c r="J1632" s="21">
        <f t="shared" si="20"/>
        <v>0</v>
      </c>
      <c r="K1632" s="21">
        <f t="shared" si="21"/>
        <v>0</v>
      </c>
      <c r="L1632" s="21">
        <f t="shared" si="22"/>
        <v>0</v>
      </c>
      <c r="M1632" s="21">
        <f t="shared" si="23"/>
        <v>361.99519230769232</v>
      </c>
    </row>
    <row r="1633" spans="1:13" ht="15.75">
      <c r="A1633" s="8">
        <v>6</v>
      </c>
      <c r="B1633" s="69" t="s">
        <v>145</v>
      </c>
      <c r="C1633" s="71">
        <v>1369</v>
      </c>
      <c r="D1633" s="21">
        <f t="shared" si="18"/>
        <v>6.5817307692307692</v>
      </c>
      <c r="E1633" s="22">
        <v>44</v>
      </c>
      <c r="F1633" s="22"/>
      <c r="G1633" s="22"/>
      <c r="H1633" s="23"/>
      <c r="I1633" s="24">
        <f t="shared" si="19"/>
        <v>361.99519230769232</v>
      </c>
      <c r="J1633" s="21">
        <f t="shared" si="20"/>
        <v>0</v>
      </c>
      <c r="K1633" s="21">
        <f t="shared" si="21"/>
        <v>0</v>
      </c>
      <c r="L1633" s="21">
        <f t="shared" si="22"/>
        <v>0</v>
      </c>
      <c r="M1633" s="21">
        <f t="shared" si="23"/>
        <v>361.99519230769232</v>
      </c>
    </row>
    <row r="1634" spans="1:13" ht="15.75">
      <c r="A1634" s="8"/>
      <c r="B1634" s="94" t="s">
        <v>149</v>
      </c>
      <c r="C1634" s="71">
        <v>6400</v>
      </c>
      <c r="D1634" s="21">
        <f t="shared" si="18"/>
        <v>30.76923076923077</v>
      </c>
      <c r="E1634" s="22">
        <v>66</v>
      </c>
      <c r="F1634" s="22"/>
      <c r="G1634" s="22">
        <v>28</v>
      </c>
      <c r="H1634" s="23">
        <v>11</v>
      </c>
      <c r="I1634" s="24">
        <f t="shared" ref="I1634" si="24">D1634*E1634*1.25</f>
        <v>2538.4615384615386</v>
      </c>
      <c r="J1634" s="21">
        <f t="shared" ref="J1634" si="25">D1634*F1634*1.5</f>
        <v>0</v>
      </c>
      <c r="K1634" s="21">
        <f t="shared" ref="K1634" si="26">D1634*G1634*2</f>
        <v>1723.0769230769231</v>
      </c>
      <c r="L1634" s="21">
        <f t="shared" ref="L1634" si="27">D1634*H1634*2.5</f>
        <v>846.15384615384619</v>
      </c>
      <c r="M1634" s="21">
        <f t="shared" ref="M1634" si="28">I1634+J1634+K1634+L1634</f>
        <v>5107.6923076923085</v>
      </c>
    </row>
    <row r="1635" spans="1:13" ht="15.75">
      <c r="A1635" s="8">
        <v>10</v>
      </c>
      <c r="B1635" s="94" t="s">
        <v>150</v>
      </c>
      <c r="C1635" s="49">
        <v>6400</v>
      </c>
      <c r="D1635" s="21">
        <f>C1635/208</f>
        <v>30.76923076923077</v>
      </c>
      <c r="E1635" s="22">
        <v>66</v>
      </c>
      <c r="F1635" s="22"/>
      <c r="G1635" s="22">
        <v>28</v>
      </c>
      <c r="H1635" s="23">
        <v>11</v>
      </c>
      <c r="I1635" s="24">
        <f t="shared" si="19"/>
        <v>2538.4615384615386</v>
      </c>
      <c r="J1635" s="21">
        <f t="shared" si="20"/>
        <v>0</v>
      </c>
      <c r="K1635" s="21">
        <f t="shared" si="21"/>
        <v>1723.0769230769231</v>
      </c>
      <c r="L1635" s="21">
        <f t="shared" si="22"/>
        <v>846.15384615384619</v>
      </c>
      <c r="M1635" s="21">
        <f t="shared" si="23"/>
        <v>5107.6923076923085</v>
      </c>
    </row>
    <row r="1636" spans="1:13">
      <c r="M1636" s="39">
        <f>SUM(M1631:M1635)</f>
        <v>11284.915865384617</v>
      </c>
    </row>
  </sheetData>
  <mergeCells count="72">
    <mergeCell ref="A1629:A1630"/>
    <mergeCell ref="A1516:A1517"/>
    <mergeCell ref="A1439:A1440"/>
    <mergeCell ref="A1467:A1468"/>
    <mergeCell ref="A1493:A1494"/>
    <mergeCell ref="A1590:A1591"/>
    <mergeCell ref="A1621:A1622"/>
    <mergeCell ref="A1610:A1611"/>
    <mergeCell ref="A1599:A1600"/>
    <mergeCell ref="A1578:A1579"/>
    <mergeCell ref="A1525:A1526"/>
    <mergeCell ref="A1551:A1552"/>
    <mergeCell ref="A1567:A1568"/>
    <mergeCell ref="A1560:A1561"/>
    <mergeCell ref="A1542:A1543"/>
    <mergeCell ref="A575:A576"/>
    <mergeCell ref="A686:A687"/>
    <mergeCell ref="A782:A783"/>
    <mergeCell ref="A723:A724"/>
    <mergeCell ref="A815:A816"/>
    <mergeCell ref="A624:A625"/>
    <mergeCell ref="A655:A656"/>
    <mergeCell ref="A678:A679"/>
    <mergeCell ref="A1432:A1433"/>
    <mergeCell ref="A1425:A1426"/>
    <mergeCell ref="A1350:A1351"/>
    <mergeCell ref="A1446:A1447"/>
    <mergeCell ref="A199:A200"/>
    <mergeCell ref="A234:A235"/>
    <mergeCell ref="A389:A390"/>
    <mergeCell ref="A347:A348"/>
    <mergeCell ref="A251:A252"/>
    <mergeCell ref="A316:A317"/>
    <mergeCell ref="A454:A455"/>
    <mergeCell ref="A434:A435"/>
    <mergeCell ref="A410:A411"/>
    <mergeCell ref="A479:A480"/>
    <mergeCell ref="A510:A511"/>
    <mergeCell ref="A548:A549"/>
    <mergeCell ref="A3:A4"/>
    <mergeCell ref="A47:A48"/>
    <mergeCell ref="A95:A96"/>
    <mergeCell ref="A142:A143"/>
    <mergeCell ref="A188:A189"/>
    <mergeCell ref="A164:A165"/>
    <mergeCell ref="A496:A497"/>
    <mergeCell ref="A527:A528"/>
    <mergeCell ref="A1376:A1377"/>
    <mergeCell ref="A1302:A1303"/>
    <mergeCell ref="A1326:A1327"/>
    <mergeCell ref="A1278:A1279"/>
    <mergeCell ref="A599:A600"/>
    <mergeCell ref="A1239:A1240"/>
    <mergeCell ref="A1184:A1185"/>
    <mergeCell ref="A1159:A1160"/>
    <mergeCell ref="A1072:A1073"/>
    <mergeCell ref="A1023:A1024"/>
    <mergeCell ref="A945:A946"/>
    <mergeCell ref="A841:A842"/>
    <mergeCell ref="A1107:A1108"/>
    <mergeCell ref="A1129:A1130"/>
    <mergeCell ref="A1208:A1209"/>
    <mergeCell ref="A693:A694"/>
    <mergeCell ref="A701:A702"/>
    <mergeCell ref="A709:A710"/>
    <mergeCell ref="A716:A717"/>
    <mergeCell ref="A754:A755"/>
    <mergeCell ref="A871:A872"/>
    <mergeCell ref="A905:A906"/>
    <mergeCell ref="A1045:A1046"/>
    <mergeCell ref="A1003:A1004"/>
    <mergeCell ref="A971:A972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>
      <selection activeCell="A10" sqref="A10:D22"/>
    </sheetView>
  </sheetViews>
  <sheetFormatPr defaultColWidth="9.140625" defaultRowHeight="15"/>
  <cols>
    <col min="1" max="1" width="4" style="32" customWidth="1"/>
    <col min="2" max="2" width="21.42578125" style="32" customWidth="1"/>
    <col min="3" max="3" width="12.85546875" style="32" customWidth="1"/>
    <col min="4" max="4" width="11.42578125" style="32" customWidth="1"/>
    <col min="5" max="5" width="9.140625" style="32" customWidth="1"/>
    <col min="6" max="6" width="14.85546875" style="32" customWidth="1"/>
    <col min="7" max="7" width="9.140625" style="32" customWidth="1"/>
    <col min="8" max="8" width="8.85546875" style="32" hidden="1" customWidth="1"/>
    <col min="9" max="9" width="12.140625" style="32" customWidth="1"/>
    <col min="10" max="11" width="11.5703125" style="32" customWidth="1"/>
    <col min="12" max="12" width="10.85546875" style="32" customWidth="1"/>
    <col min="13" max="13" width="6.85546875" style="32" customWidth="1"/>
    <col min="14" max="14" width="10.5703125" style="32" customWidth="1"/>
    <col min="15" max="15" width="10.85546875" style="32" customWidth="1"/>
    <col min="16" max="16" width="12" style="32" customWidth="1"/>
    <col min="17" max="17" width="12.42578125" style="32" customWidth="1"/>
    <col min="18" max="18" width="9.42578125" style="32" customWidth="1"/>
    <col min="19" max="19" width="7.7109375" style="32" customWidth="1"/>
    <col min="20" max="20" width="15.85546875" style="32" customWidth="1"/>
    <col min="21" max="16384" width="9.140625" style="32"/>
  </cols>
  <sheetData>
    <row r="1" spans="1:19" ht="19.5" thickBot="1">
      <c r="A1" s="152" t="s">
        <v>180</v>
      </c>
      <c r="B1" s="153"/>
      <c r="C1" s="154"/>
      <c r="D1" s="116"/>
      <c r="E1" s="117"/>
      <c r="F1" s="117"/>
      <c r="G1" s="117"/>
      <c r="H1" s="117"/>
      <c r="I1" s="117"/>
      <c r="J1" s="125"/>
      <c r="K1" s="125"/>
      <c r="L1" s="125"/>
      <c r="M1" s="125"/>
      <c r="N1" s="125"/>
      <c r="O1" s="125"/>
      <c r="P1" s="125"/>
      <c r="Q1" s="161" t="s">
        <v>181</v>
      </c>
      <c r="R1" s="162"/>
    </row>
    <row r="2" spans="1:19" ht="19.5" thickBot="1">
      <c r="A2" s="155" t="s">
        <v>182</v>
      </c>
      <c r="B2" s="156"/>
      <c r="C2" s="157"/>
      <c r="D2" s="155" t="s">
        <v>183</v>
      </c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7"/>
      <c r="Q2" s="163" t="s">
        <v>184</v>
      </c>
      <c r="R2" s="164"/>
    </row>
    <row r="3" spans="1:19" ht="23.25" thickBot="1">
      <c r="A3" s="119"/>
      <c r="B3" s="120"/>
      <c r="C3" s="121"/>
      <c r="D3" s="158" t="s">
        <v>186</v>
      </c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60"/>
      <c r="Q3" s="163" t="s">
        <v>185</v>
      </c>
      <c r="R3" s="164"/>
    </row>
    <row r="4" spans="1:19" ht="15" customHeight="1">
      <c r="A4" s="119"/>
      <c r="B4" s="120"/>
      <c r="C4" s="122"/>
      <c r="D4" s="120"/>
      <c r="E4" s="120"/>
      <c r="F4" s="120"/>
      <c r="G4" s="120"/>
      <c r="H4" s="120"/>
      <c r="I4" s="120"/>
      <c r="J4" s="126"/>
      <c r="K4" s="126"/>
      <c r="L4" s="126"/>
      <c r="M4" s="126"/>
      <c r="N4" s="126"/>
      <c r="O4" s="126"/>
      <c r="P4" s="126"/>
      <c r="Q4" s="161">
        <v>1</v>
      </c>
      <c r="R4" s="162"/>
    </row>
    <row r="5" spans="1:19" ht="15.75" customHeight="1" thickBot="1">
      <c r="A5" s="123"/>
      <c r="B5" s="118"/>
      <c r="C5" s="124"/>
      <c r="D5" s="118"/>
      <c r="E5" s="118"/>
      <c r="F5" s="118"/>
      <c r="G5" s="118"/>
      <c r="H5" s="118"/>
      <c r="I5" s="118"/>
      <c r="J5" s="127"/>
      <c r="K5" s="127"/>
      <c r="L5" s="127"/>
      <c r="M5" s="127"/>
      <c r="N5" s="127"/>
      <c r="O5" s="127"/>
      <c r="P5" s="127"/>
      <c r="Q5" s="155"/>
      <c r="R5" s="157"/>
    </row>
    <row r="6" spans="1:19" ht="19.5" thickBot="1">
      <c r="A6" s="175" t="s">
        <v>187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</row>
    <row r="7" spans="1:19" s="46" customFormat="1" ht="27" customHeight="1" thickBot="1">
      <c r="A7" s="75"/>
      <c r="B7" s="75"/>
      <c r="C7" s="114"/>
      <c r="D7" s="165" t="s">
        <v>0</v>
      </c>
      <c r="E7" s="114" t="s">
        <v>1</v>
      </c>
      <c r="F7" s="76"/>
      <c r="G7" s="114"/>
      <c r="H7" s="79"/>
      <c r="I7" s="79" t="s">
        <v>2</v>
      </c>
      <c r="J7" s="79"/>
      <c r="K7" s="114"/>
      <c r="L7" s="167" t="s">
        <v>3</v>
      </c>
      <c r="M7" s="168"/>
      <c r="N7" s="168"/>
      <c r="O7" s="169"/>
      <c r="P7" s="114"/>
      <c r="Q7" s="114"/>
      <c r="R7" s="75"/>
    </row>
    <row r="8" spans="1:19" s="46" customFormat="1" ht="27" customHeight="1">
      <c r="A8" s="115" t="s">
        <v>4</v>
      </c>
      <c r="B8" s="77"/>
      <c r="C8" s="170" t="s">
        <v>17</v>
      </c>
      <c r="D8" s="166"/>
      <c r="E8" s="115" t="s">
        <v>5</v>
      </c>
      <c r="F8" s="115" t="s">
        <v>6</v>
      </c>
      <c r="G8" s="115" t="s">
        <v>7</v>
      </c>
      <c r="H8" s="115" t="s">
        <v>8</v>
      </c>
      <c r="I8" s="115" t="s">
        <v>9</v>
      </c>
      <c r="J8" s="115" t="s">
        <v>10</v>
      </c>
      <c r="K8" s="115" t="s">
        <v>11</v>
      </c>
      <c r="L8" s="115" t="s">
        <v>12</v>
      </c>
      <c r="M8" s="78" t="s">
        <v>13</v>
      </c>
      <c r="N8" s="115" t="s">
        <v>121</v>
      </c>
      <c r="O8" s="115" t="s">
        <v>121</v>
      </c>
      <c r="P8" s="115" t="s">
        <v>14</v>
      </c>
      <c r="Q8" s="115" t="s">
        <v>15</v>
      </c>
      <c r="R8" s="115" t="s">
        <v>115</v>
      </c>
    </row>
    <row r="9" spans="1:19" s="46" customFormat="1" ht="27" customHeight="1" thickBot="1">
      <c r="A9" s="138"/>
      <c r="B9" s="139" t="s">
        <v>16</v>
      </c>
      <c r="C9" s="171"/>
      <c r="D9" s="138" t="s">
        <v>6</v>
      </c>
      <c r="E9" s="138" t="s">
        <v>18</v>
      </c>
      <c r="F9" s="138" t="s">
        <v>19</v>
      </c>
      <c r="G9" s="138" t="s">
        <v>20</v>
      </c>
      <c r="H9" s="138" t="s">
        <v>21</v>
      </c>
      <c r="I9" s="138" t="s">
        <v>21</v>
      </c>
      <c r="J9" s="138" t="s">
        <v>22</v>
      </c>
      <c r="K9" s="138" t="s">
        <v>22</v>
      </c>
      <c r="L9" s="138" t="s">
        <v>23</v>
      </c>
      <c r="M9" s="140" t="s">
        <v>24</v>
      </c>
      <c r="N9" s="138" t="s">
        <v>50</v>
      </c>
      <c r="O9" s="138" t="s">
        <v>135</v>
      </c>
      <c r="P9" s="138" t="s">
        <v>25</v>
      </c>
      <c r="Q9" s="138" t="s">
        <v>26</v>
      </c>
      <c r="R9" s="141"/>
    </row>
    <row r="10" spans="1:19" s="89" customFormat="1" ht="35.25" customHeight="1">
      <c r="A10" s="96">
        <v>1</v>
      </c>
      <c r="B10" s="128" t="s">
        <v>74</v>
      </c>
      <c r="C10" s="129" t="s">
        <v>33</v>
      </c>
      <c r="D10" s="130">
        <v>600</v>
      </c>
      <c r="E10" s="131">
        <v>30</v>
      </c>
      <c r="F10" s="132">
        <f t="shared" ref="F10:F22" si="0">D10/30*E10</f>
        <v>600</v>
      </c>
      <c r="G10" s="133"/>
      <c r="H10" s="134"/>
      <c r="I10" s="135"/>
      <c r="J10" s="132">
        <f>I10+H10+G10+F10</f>
        <v>600</v>
      </c>
      <c r="K10" s="132">
        <f>F10+G10+I10</f>
        <v>600</v>
      </c>
      <c r="L10" s="132">
        <f>IF(J10&lt;=600,0,IF(J10&lt;=1650,0.1*J10-60,IF(J10&lt;=3200,0.15*J10-142.5,IF(J10&lt;=5250,0.2*J10-302.5,IF(J10&lt;=7800,0.25*J10-565,IF(J10&lt;=10900,0.3*J10-955,0.35*J10-1500))))))</f>
        <v>0</v>
      </c>
      <c r="M10" s="135"/>
      <c r="N10" s="136">
        <f>F10*0.07</f>
        <v>42.000000000000007</v>
      </c>
      <c r="O10" s="136">
        <f>F10*0.11</f>
        <v>66</v>
      </c>
      <c r="P10" s="132">
        <f>L10+M10+N10</f>
        <v>42.000000000000007</v>
      </c>
      <c r="Q10" s="137">
        <f>J10-P10</f>
        <v>558</v>
      </c>
      <c r="R10" s="135"/>
    </row>
    <row r="11" spans="1:19" s="89" customFormat="1" ht="35.25" customHeight="1">
      <c r="A11" s="96">
        <f>A10+1</f>
        <v>2</v>
      </c>
      <c r="B11" s="68" t="s">
        <v>118</v>
      </c>
      <c r="C11" s="81" t="s">
        <v>33</v>
      </c>
      <c r="D11" s="82">
        <v>600</v>
      </c>
      <c r="E11" s="83">
        <v>30</v>
      </c>
      <c r="F11" s="84">
        <f t="shared" si="0"/>
        <v>600</v>
      </c>
      <c r="G11" s="85"/>
      <c r="H11" s="86"/>
      <c r="I11" s="84"/>
      <c r="J11" s="84">
        <f t="shared" ref="J11" si="1">I11+H11+G11+F11</f>
        <v>600</v>
      </c>
      <c r="K11" s="84">
        <f t="shared" ref="K11:K22" si="2">F11+G11+I11</f>
        <v>600</v>
      </c>
      <c r="L11" s="84">
        <f t="shared" ref="L11:L21" si="3">IF(J11&lt;=600,0,IF(J11&lt;=1650,0.1*J11-60,IF(J11&lt;=3200,0.15*J11-142.5,IF(J11&lt;=5250,0.2*J11-302.5,IF(J11&lt;=7800,0.25*J11-565,IF(J11&lt;=10900,0.3*J11-955,0.35*J11-1500))))))</f>
        <v>0</v>
      </c>
      <c r="M11" s="68"/>
      <c r="N11" s="87">
        <f t="shared" ref="N11:N22" si="4">F11*0.07</f>
        <v>42.000000000000007</v>
      </c>
      <c r="O11" s="87">
        <f t="shared" ref="O11:O22" si="5">F11*0.11</f>
        <v>66</v>
      </c>
      <c r="P11" s="84">
        <f t="shared" ref="P11:P22" si="6">L11+M11+N11</f>
        <v>42.000000000000007</v>
      </c>
      <c r="Q11" s="88">
        <f>J11-P11</f>
        <v>558</v>
      </c>
      <c r="R11" s="68"/>
    </row>
    <row r="12" spans="1:19" s="89" customFormat="1" ht="35.25" customHeight="1">
      <c r="A12" s="96">
        <f t="shared" ref="A12:A22" si="7">A11+1</f>
        <v>3</v>
      </c>
      <c r="B12" s="68" t="s">
        <v>125</v>
      </c>
      <c r="C12" s="81" t="s">
        <v>108</v>
      </c>
      <c r="D12" s="82">
        <v>1369</v>
      </c>
      <c r="E12" s="83">
        <v>30</v>
      </c>
      <c r="F12" s="84">
        <f t="shared" si="0"/>
        <v>1369</v>
      </c>
      <c r="G12" s="85"/>
      <c r="H12" s="86"/>
      <c r="I12" s="86">
        <v>580</v>
      </c>
      <c r="J12" s="84">
        <f>I12+H12+G12+F12</f>
        <v>1949</v>
      </c>
      <c r="K12" s="84">
        <f t="shared" si="2"/>
        <v>1949</v>
      </c>
      <c r="L12" s="84">
        <f t="shared" si="3"/>
        <v>149.84999999999997</v>
      </c>
      <c r="M12" s="68"/>
      <c r="N12" s="87">
        <f t="shared" si="4"/>
        <v>95.830000000000013</v>
      </c>
      <c r="O12" s="87">
        <f t="shared" si="5"/>
        <v>150.59</v>
      </c>
      <c r="P12" s="84">
        <f t="shared" si="6"/>
        <v>245.67999999999998</v>
      </c>
      <c r="Q12" s="88">
        <f t="shared" ref="Q12:Q22" si="8">J12-P12</f>
        <v>1703.32</v>
      </c>
      <c r="R12" s="68"/>
    </row>
    <row r="13" spans="1:19" s="89" customFormat="1" ht="35.25" customHeight="1">
      <c r="A13" s="96">
        <f t="shared" si="7"/>
        <v>4</v>
      </c>
      <c r="B13" s="69" t="s">
        <v>126</v>
      </c>
      <c r="C13" s="81" t="s">
        <v>33</v>
      </c>
      <c r="D13" s="82">
        <v>1800</v>
      </c>
      <c r="E13" s="83">
        <v>30</v>
      </c>
      <c r="F13" s="84">
        <f t="shared" si="0"/>
        <v>1800</v>
      </c>
      <c r="G13" s="85"/>
      <c r="H13" s="86"/>
      <c r="I13" s="84"/>
      <c r="J13" s="84">
        <f t="shared" ref="J13:J22" si="9">I13+H13+G13+F13</f>
        <v>1800</v>
      </c>
      <c r="K13" s="84">
        <f t="shared" si="2"/>
        <v>1800</v>
      </c>
      <c r="L13" s="84">
        <f t="shared" si="3"/>
        <v>127.5</v>
      </c>
      <c r="M13" s="68"/>
      <c r="N13" s="87">
        <f t="shared" si="4"/>
        <v>126.00000000000001</v>
      </c>
      <c r="O13" s="87">
        <f t="shared" si="5"/>
        <v>198</v>
      </c>
      <c r="P13" s="84">
        <f t="shared" si="6"/>
        <v>253.5</v>
      </c>
      <c r="Q13" s="88">
        <f t="shared" si="8"/>
        <v>1546.5</v>
      </c>
      <c r="R13" s="68"/>
    </row>
    <row r="14" spans="1:19" s="89" customFormat="1" ht="35.25" customHeight="1">
      <c r="A14" s="96">
        <f t="shared" si="7"/>
        <v>5</v>
      </c>
      <c r="B14" s="69" t="s">
        <v>127</v>
      </c>
      <c r="C14" s="81" t="s">
        <v>108</v>
      </c>
      <c r="D14" s="82">
        <v>1369</v>
      </c>
      <c r="E14" s="83">
        <v>30</v>
      </c>
      <c r="F14" s="84">
        <f t="shared" si="0"/>
        <v>1369</v>
      </c>
      <c r="G14" s="85"/>
      <c r="H14" s="86"/>
      <c r="I14" s="84">
        <v>580</v>
      </c>
      <c r="J14" s="84">
        <f t="shared" si="9"/>
        <v>1949</v>
      </c>
      <c r="K14" s="84">
        <f t="shared" si="2"/>
        <v>1949</v>
      </c>
      <c r="L14" s="84">
        <f t="shared" si="3"/>
        <v>149.84999999999997</v>
      </c>
      <c r="M14" s="68"/>
      <c r="N14" s="87">
        <f t="shared" si="4"/>
        <v>95.830000000000013</v>
      </c>
      <c r="O14" s="87">
        <f t="shared" si="5"/>
        <v>150.59</v>
      </c>
      <c r="P14" s="84">
        <f t="shared" si="6"/>
        <v>245.67999999999998</v>
      </c>
      <c r="Q14" s="88">
        <f t="shared" si="8"/>
        <v>1703.32</v>
      </c>
      <c r="R14" s="68"/>
    </row>
    <row r="15" spans="1:19" s="89" customFormat="1" ht="35.25" customHeight="1">
      <c r="A15" s="96">
        <f t="shared" si="7"/>
        <v>6</v>
      </c>
      <c r="B15" s="69" t="s">
        <v>128</v>
      </c>
      <c r="C15" s="81" t="s">
        <v>33</v>
      </c>
      <c r="D15" s="90">
        <v>1500</v>
      </c>
      <c r="E15" s="83">
        <v>30</v>
      </c>
      <c r="F15" s="84">
        <f t="shared" si="0"/>
        <v>1500</v>
      </c>
      <c r="G15" s="85"/>
      <c r="H15" s="91"/>
      <c r="I15" s="92">
        <v>600</v>
      </c>
      <c r="J15" s="84">
        <f t="shared" si="9"/>
        <v>2100</v>
      </c>
      <c r="K15" s="84">
        <f t="shared" si="2"/>
        <v>2100</v>
      </c>
      <c r="L15" s="84">
        <f t="shared" si="3"/>
        <v>172.5</v>
      </c>
      <c r="M15" s="69"/>
      <c r="N15" s="87">
        <f t="shared" si="4"/>
        <v>105.00000000000001</v>
      </c>
      <c r="O15" s="87">
        <f t="shared" si="5"/>
        <v>165</v>
      </c>
      <c r="P15" s="84">
        <f t="shared" si="6"/>
        <v>277.5</v>
      </c>
      <c r="Q15" s="88">
        <f t="shared" si="8"/>
        <v>1822.5</v>
      </c>
      <c r="R15" s="69"/>
      <c r="S15" s="93"/>
    </row>
    <row r="16" spans="1:19" s="46" customFormat="1" ht="35.25" customHeight="1">
      <c r="A16" s="96">
        <f t="shared" si="7"/>
        <v>7</v>
      </c>
      <c r="B16" s="69" t="s">
        <v>129</v>
      </c>
      <c r="C16" s="64" t="s">
        <v>134</v>
      </c>
      <c r="D16" s="71">
        <v>1369</v>
      </c>
      <c r="E16" s="66">
        <v>30</v>
      </c>
      <c r="F16" s="47">
        <f t="shared" si="0"/>
        <v>1369</v>
      </c>
      <c r="G16" s="85"/>
      <c r="H16" s="72"/>
      <c r="I16" s="73">
        <v>580</v>
      </c>
      <c r="J16" s="84">
        <f t="shared" si="9"/>
        <v>1949</v>
      </c>
      <c r="K16" s="47">
        <f t="shared" si="2"/>
        <v>1949</v>
      </c>
      <c r="L16" s="47">
        <f t="shared" si="3"/>
        <v>149.84999999999997</v>
      </c>
      <c r="M16" s="70"/>
      <c r="N16" s="87">
        <f t="shared" si="4"/>
        <v>95.830000000000013</v>
      </c>
      <c r="O16" s="87">
        <f t="shared" si="5"/>
        <v>150.59</v>
      </c>
      <c r="P16" s="47">
        <f t="shared" si="6"/>
        <v>245.67999999999998</v>
      </c>
      <c r="Q16" s="67">
        <f t="shared" si="8"/>
        <v>1703.32</v>
      </c>
      <c r="R16" s="70"/>
    </row>
    <row r="17" spans="1:18" s="46" customFormat="1" ht="35.25" customHeight="1">
      <c r="A17" s="96">
        <f t="shared" si="7"/>
        <v>8</v>
      </c>
      <c r="B17" s="69" t="s">
        <v>140</v>
      </c>
      <c r="C17" s="64" t="s">
        <v>141</v>
      </c>
      <c r="D17" s="71">
        <v>1369</v>
      </c>
      <c r="E17" s="66">
        <v>30</v>
      </c>
      <c r="F17" s="47">
        <f t="shared" si="0"/>
        <v>1369</v>
      </c>
      <c r="G17" s="85"/>
      <c r="H17" s="72"/>
      <c r="I17" s="73">
        <v>580</v>
      </c>
      <c r="J17" s="84">
        <f t="shared" si="9"/>
        <v>1949</v>
      </c>
      <c r="K17" s="47">
        <f t="shared" si="2"/>
        <v>1949</v>
      </c>
      <c r="L17" s="47">
        <f t="shared" si="3"/>
        <v>149.84999999999997</v>
      </c>
      <c r="M17" s="70"/>
      <c r="N17" s="87">
        <f t="shared" si="4"/>
        <v>95.830000000000013</v>
      </c>
      <c r="O17" s="87">
        <f t="shared" si="5"/>
        <v>150.59</v>
      </c>
      <c r="P17" s="47">
        <f t="shared" si="6"/>
        <v>245.67999999999998</v>
      </c>
      <c r="Q17" s="67">
        <f t="shared" si="8"/>
        <v>1703.32</v>
      </c>
      <c r="R17" s="70"/>
    </row>
    <row r="18" spans="1:18" s="46" customFormat="1" ht="35.25" customHeight="1">
      <c r="A18" s="96">
        <f t="shared" si="7"/>
        <v>9</v>
      </c>
      <c r="B18" s="69" t="s">
        <v>142</v>
      </c>
      <c r="C18" s="66" t="s">
        <v>33</v>
      </c>
      <c r="D18" s="71">
        <v>4600</v>
      </c>
      <c r="E18" s="66">
        <v>30</v>
      </c>
      <c r="F18" s="47">
        <f t="shared" si="0"/>
        <v>4600</v>
      </c>
      <c r="G18" s="85"/>
      <c r="H18" s="72"/>
      <c r="I18" s="73"/>
      <c r="J18" s="84">
        <f t="shared" si="9"/>
        <v>4600</v>
      </c>
      <c r="K18" s="47">
        <f t="shared" si="2"/>
        <v>4600</v>
      </c>
      <c r="L18" s="47">
        <f t="shared" si="3"/>
        <v>617.5</v>
      </c>
      <c r="M18" s="70"/>
      <c r="N18" s="87">
        <f t="shared" si="4"/>
        <v>322.00000000000006</v>
      </c>
      <c r="O18" s="87">
        <f t="shared" si="5"/>
        <v>506</v>
      </c>
      <c r="P18" s="47">
        <f t="shared" si="6"/>
        <v>939.5</v>
      </c>
      <c r="Q18" s="67">
        <f t="shared" si="8"/>
        <v>3660.5</v>
      </c>
      <c r="R18" s="70"/>
    </row>
    <row r="19" spans="1:18" s="46" customFormat="1" ht="35.25" customHeight="1">
      <c r="A19" s="96">
        <f t="shared" si="7"/>
        <v>10</v>
      </c>
      <c r="B19" s="94" t="s">
        <v>144</v>
      </c>
      <c r="C19" s="74" t="s">
        <v>33</v>
      </c>
      <c r="D19" s="71">
        <v>1500</v>
      </c>
      <c r="E19" s="66">
        <v>30</v>
      </c>
      <c r="F19" s="47">
        <f t="shared" si="0"/>
        <v>1500</v>
      </c>
      <c r="G19" s="85"/>
      <c r="H19" s="72"/>
      <c r="I19" s="73">
        <v>600</v>
      </c>
      <c r="J19" s="84">
        <f t="shared" si="9"/>
        <v>2100</v>
      </c>
      <c r="K19" s="47">
        <f t="shared" si="2"/>
        <v>2100</v>
      </c>
      <c r="L19" s="47">
        <f t="shared" si="3"/>
        <v>172.5</v>
      </c>
      <c r="M19" s="70"/>
      <c r="N19" s="87">
        <f t="shared" si="4"/>
        <v>105.00000000000001</v>
      </c>
      <c r="O19" s="87">
        <f t="shared" si="5"/>
        <v>165</v>
      </c>
      <c r="P19" s="47">
        <f t="shared" si="6"/>
        <v>277.5</v>
      </c>
      <c r="Q19" s="67">
        <f t="shared" si="8"/>
        <v>1822.5</v>
      </c>
      <c r="R19" s="70"/>
    </row>
    <row r="20" spans="1:18" s="46" customFormat="1" ht="35.25" customHeight="1">
      <c r="A20" s="96">
        <f t="shared" si="7"/>
        <v>11</v>
      </c>
      <c r="B20" s="94" t="s">
        <v>145</v>
      </c>
      <c r="C20" s="64" t="s">
        <v>141</v>
      </c>
      <c r="D20" s="71">
        <v>1369</v>
      </c>
      <c r="E20" s="95">
        <v>30</v>
      </c>
      <c r="F20" s="73">
        <f t="shared" si="0"/>
        <v>1369</v>
      </c>
      <c r="G20" s="85"/>
      <c r="H20" s="72"/>
      <c r="I20" s="73">
        <f>580/30*E20</f>
        <v>580</v>
      </c>
      <c r="J20" s="84">
        <f t="shared" si="9"/>
        <v>1949</v>
      </c>
      <c r="K20" s="47">
        <f t="shared" si="2"/>
        <v>1949</v>
      </c>
      <c r="L20" s="47">
        <f t="shared" si="3"/>
        <v>149.84999999999997</v>
      </c>
      <c r="M20" s="70"/>
      <c r="N20" s="87">
        <f t="shared" si="4"/>
        <v>95.830000000000013</v>
      </c>
      <c r="O20" s="87">
        <f t="shared" si="5"/>
        <v>150.59</v>
      </c>
      <c r="P20" s="47">
        <f t="shared" si="6"/>
        <v>245.67999999999998</v>
      </c>
      <c r="Q20" s="67">
        <f t="shared" si="8"/>
        <v>1703.32</v>
      </c>
      <c r="R20" s="70"/>
    </row>
    <row r="21" spans="1:18" s="46" customFormat="1" ht="35.25" customHeight="1">
      <c r="A21" s="96">
        <f t="shared" si="7"/>
        <v>12</v>
      </c>
      <c r="B21" s="94" t="s">
        <v>146</v>
      </c>
      <c r="C21" s="66" t="s">
        <v>33</v>
      </c>
      <c r="D21" s="71">
        <v>1369</v>
      </c>
      <c r="E21" s="95">
        <v>20</v>
      </c>
      <c r="F21" s="73">
        <f t="shared" si="0"/>
        <v>912.66666666666663</v>
      </c>
      <c r="G21" s="85"/>
      <c r="H21" s="72"/>
      <c r="I21" s="73">
        <f>580/30*E21</f>
        <v>386.66666666666663</v>
      </c>
      <c r="J21" s="84">
        <f t="shared" si="9"/>
        <v>1299.3333333333333</v>
      </c>
      <c r="K21" s="47">
        <f t="shared" si="2"/>
        <v>1299.3333333333333</v>
      </c>
      <c r="L21" s="47">
        <f t="shared" si="3"/>
        <v>69.933333333333337</v>
      </c>
      <c r="M21" s="70"/>
      <c r="N21" s="87">
        <f t="shared" si="4"/>
        <v>63.88666666666667</v>
      </c>
      <c r="O21" s="87">
        <f t="shared" si="5"/>
        <v>100.39333333333333</v>
      </c>
      <c r="P21" s="47">
        <f t="shared" si="6"/>
        <v>133.82</v>
      </c>
      <c r="Q21" s="67">
        <f t="shared" si="8"/>
        <v>1165.5133333333333</v>
      </c>
      <c r="R21" s="70"/>
    </row>
    <row r="22" spans="1:18" s="46" customFormat="1" ht="35.25" customHeight="1" thickBot="1">
      <c r="A22" s="96">
        <f t="shared" si="7"/>
        <v>13</v>
      </c>
      <c r="B22" s="94" t="s">
        <v>147</v>
      </c>
      <c r="C22" s="66" t="s">
        <v>148</v>
      </c>
      <c r="D22" s="71">
        <v>2500</v>
      </c>
      <c r="E22" s="95">
        <v>30</v>
      </c>
      <c r="F22" s="73">
        <f t="shared" si="0"/>
        <v>2500</v>
      </c>
      <c r="G22" s="85"/>
      <c r="H22" s="72"/>
      <c r="I22" s="73">
        <f>600/30*E22</f>
        <v>600</v>
      </c>
      <c r="J22" s="84">
        <f t="shared" si="9"/>
        <v>3100</v>
      </c>
      <c r="K22" s="47">
        <f t="shared" si="2"/>
        <v>3100</v>
      </c>
      <c r="L22" s="47">
        <f>IF(J22&lt;=600,0,IF(J22&lt;=1650,0.1*J22-60,IF(J22&lt;=3200,0.15*J22-142.5,IF(J22&lt;=5250,0.2*J22-302.5,IF(J22&lt;=7800,0.25*J22-565,IF(J22&lt;=10900,0.3*J22-955,0.35*J22-1500))))))</f>
        <v>322.5</v>
      </c>
      <c r="M22" s="70"/>
      <c r="N22" s="87">
        <f t="shared" si="4"/>
        <v>175.00000000000003</v>
      </c>
      <c r="O22" s="87">
        <f t="shared" si="5"/>
        <v>275</v>
      </c>
      <c r="P22" s="47">
        <f t="shared" si="6"/>
        <v>497.5</v>
      </c>
      <c r="Q22" s="67">
        <f t="shared" si="8"/>
        <v>2602.5</v>
      </c>
      <c r="R22" s="70"/>
    </row>
    <row r="23" spans="1:18" s="46" customFormat="1" ht="34.5" customHeight="1" thickBot="1">
      <c r="A23" s="145" t="s">
        <v>27</v>
      </c>
      <c r="B23" s="146"/>
      <c r="C23" s="146"/>
      <c r="D23" s="146"/>
      <c r="E23" s="146"/>
      <c r="F23" s="147">
        <f t="shared" ref="F23:Q23" si="10">SUM(F10:F22)</f>
        <v>20857.666666666668</v>
      </c>
      <c r="G23" s="147">
        <f t="shared" si="10"/>
        <v>0</v>
      </c>
      <c r="H23" s="147">
        <f t="shared" si="10"/>
        <v>0</v>
      </c>
      <c r="I23" s="147">
        <f t="shared" si="10"/>
        <v>5086.666666666667</v>
      </c>
      <c r="J23" s="147">
        <f t="shared" si="10"/>
        <v>25944.333333333332</v>
      </c>
      <c r="K23" s="147">
        <f t="shared" si="10"/>
        <v>25944.333333333332</v>
      </c>
      <c r="L23" s="147">
        <f t="shared" si="10"/>
        <v>2231.6833333333334</v>
      </c>
      <c r="M23" s="147">
        <f t="shared" si="10"/>
        <v>0</v>
      </c>
      <c r="N23" s="147">
        <f t="shared" si="10"/>
        <v>1460.0366666666669</v>
      </c>
      <c r="O23" s="147">
        <f t="shared" si="10"/>
        <v>2294.3433333333332</v>
      </c>
      <c r="P23" s="147">
        <f t="shared" si="10"/>
        <v>3691.7200000000003</v>
      </c>
      <c r="Q23" s="147">
        <f t="shared" si="10"/>
        <v>22252.613333333331</v>
      </c>
      <c r="R23" s="148">
        <f>SUM(R10:R19)</f>
        <v>0</v>
      </c>
    </row>
    <row r="24" spans="1:18" s="46" customFormat="1" ht="34.5" customHeight="1">
      <c r="A24" s="142"/>
      <c r="B24" s="142"/>
      <c r="C24" s="142"/>
      <c r="D24" s="142"/>
      <c r="E24" s="142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4"/>
    </row>
    <row r="25" spans="1:18" s="33" customFormat="1" ht="19.5" customHeight="1">
      <c r="A25" s="172" t="s">
        <v>28</v>
      </c>
      <c r="B25" s="172"/>
      <c r="C25" s="57"/>
      <c r="D25" s="55"/>
      <c r="E25" s="55"/>
      <c r="F25" s="59"/>
      <c r="G25" s="173" t="s">
        <v>151</v>
      </c>
      <c r="H25" s="173"/>
      <c r="I25" s="173"/>
      <c r="J25" s="59"/>
      <c r="K25" s="32"/>
      <c r="L25" s="174" t="s">
        <v>29</v>
      </c>
      <c r="M25" s="174"/>
      <c r="N25" s="174"/>
      <c r="O25" s="174"/>
      <c r="P25" s="174"/>
      <c r="Q25" s="60"/>
      <c r="R25" s="63"/>
    </row>
    <row r="26" spans="1:18" s="33" customFormat="1" ht="19.5" customHeight="1">
      <c r="B26" s="58" t="s">
        <v>133</v>
      </c>
      <c r="C26" s="58"/>
      <c r="D26" s="55"/>
      <c r="E26" s="55"/>
      <c r="F26" s="55"/>
      <c r="G26" s="61" t="s">
        <v>30</v>
      </c>
      <c r="H26" s="61"/>
      <c r="I26" s="61"/>
      <c r="J26" s="62"/>
      <c r="K26" s="48"/>
      <c r="M26" s="61" t="s">
        <v>30</v>
      </c>
      <c r="N26" s="61"/>
      <c r="O26" s="61"/>
      <c r="P26" s="62"/>
      <c r="Q26" s="60"/>
      <c r="R26" s="63"/>
    </row>
    <row r="27" spans="1:18" s="33" customFormat="1" ht="19.5" customHeight="1">
      <c r="B27" s="58" t="s">
        <v>31</v>
      </c>
      <c r="C27" s="58"/>
      <c r="D27" s="55"/>
      <c r="E27" s="55"/>
      <c r="F27" s="55"/>
      <c r="G27" s="61" t="s">
        <v>32</v>
      </c>
      <c r="H27" s="61"/>
      <c r="I27" s="61"/>
      <c r="J27" s="61"/>
      <c r="K27" s="48"/>
      <c r="M27" s="61" t="s">
        <v>32</v>
      </c>
      <c r="N27" s="61"/>
      <c r="O27" s="61"/>
      <c r="P27" s="61"/>
      <c r="Q27" s="60"/>
      <c r="R27" s="63"/>
    </row>
  </sheetData>
  <mergeCells count="15">
    <mergeCell ref="Q4:R5"/>
    <mergeCell ref="D7:D8"/>
    <mergeCell ref="L7:O7"/>
    <mergeCell ref="C8:C9"/>
    <mergeCell ref="A25:B25"/>
    <mergeCell ref="G25:I25"/>
    <mergeCell ref="L25:P25"/>
    <mergeCell ref="A6:R6"/>
    <mergeCell ref="A1:C1"/>
    <mergeCell ref="A2:C2"/>
    <mergeCell ref="D2:P2"/>
    <mergeCell ref="D3:P3"/>
    <mergeCell ref="Q1:R1"/>
    <mergeCell ref="Q2:R2"/>
    <mergeCell ref="Q3:R3"/>
  </mergeCells>
  <pageMargins left="0.17" right="0.25" top="0.18" bottom="0.25" header="0.17" footer="0.3"/>
  <pageSetup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topLeftCell="A7" workbookViewId="0">
      <selection activeCell="D17" sqref="D17"/>
    </sheetView>
  </sheetViews>
  <sheetFormatPr defaultRowHeight="15"/>
  <cols>
    <col min="1" max="1" width="4.5703125" customWidth="1"/>
    <col min="2" max="2" width="13" customWidth="1"/>
    <col min="3" max="3" width="14.7109375" customWidth="1"/>
    <col min="4" max="4" width="11.28515625" customWidth="1"/>
    <col min="5" max="5" width="8.28515625" customWidth="1"/>
    <col min="6" max="6" width="12.140625" customWidth="1"/>
    <col min="7" max="7" width="12.28515625" customWidth="1"/>
    <col min="8" max="8" width="16" customWidth="1"/>
    <col min="9" max="10" width="12" customWidth="1"/>
  </cols>
  <sheetData>
    <row r="1" spans="1:10" ht="18.75">
      <c r="B1" s="176" t="s">
        <v>152</v>
      </c>
      <c r="C1" s="176"/>
      <c r="D1" s="176"/>
      <c r="E1" s="176"/>
      <c r="F1" s="176"/>
      <c r="G1" s="176"/>
      <c r="H1" s="176"/>
    </row>
    <row r="2" spans="1:10" ht="15.75">
      <c r="B2" s="180" t="s">
        <v>164</v>
      </c>
      <c r="C2" s="180"/>
      <c r="D2" s="180"/>
      <c r="E2" s="180"/>
      <c r="F2" s="180"/>
      <c r="G2" s="180"/>
      <c r="H2" s="180"/>
    </row>
    <row r="3" spans="1:10" ht="51.75" customHeight="1">
      <c r="A3" s="50" t="s">
        <v>153</v>
      </c>
      <c r="B3" s="50" t="s">
        <v>154</v>
      </c>
      <c r="C3" s="50" t="s">
        <v>156</v>
      </c>
      <c r="D3" s="50" t="s">
        <v>158</v>
      </c>
      <c r="E3" s="97" t="s">
        <v>159</v>
      </c>
      <c r="F3" s="97" t="s">
        <v>161</v>
      </c>
      <c r="G3" s="97" t="s">
        <v>162</v>
      </c>
      <c r="H3" s="97" t="s">
        <v>163</v>
      </c>
      <c r="I3" s="98" t="s">
        <v>115</v>
      </c>
    </row>
    <row r="4" spans="1:10" ht="24.75" customHeight="1">
      <c r="A4" s="25">
        <v>1</v>
      </c>
      <c r="B4" s="25" t="s">
        <v>155</v>
      </c>
      <c r="C4" s="99" t="s">
        <v>157</v>
      </c>
      <c r="D4" s="25">
        <v>152.22999999999999</v>
      </c>
      <c r="E4" s="105" t="s">
        <v>160</v>
      </c>
      <c r="F4" s="34">
        <v>4567</v>
      </c>
      <c r="G4" s="106">
        <f>F4*0.02</f>
        <v>91.34</v>
      </c>
      <c r="H4" s="100">
        <v>4475.66</v>
      </c>
      <c r="I4" s="25"/>
    </row>
    <row r="5" spans="1:10" ht="34.5" customHeight="1">
      <c r="A5" s="25"/>
      <c r="B5" s="178" t="s">
        <v>42</v>
      </c>
      <c r="C5" s="178"/>
      <c r="D5" s="178"/>
      <c r="E5" s="179"/>
      <c r="F5" s="34">
        <v>4567</v>
      </c>
      <c r="G5" s="106">
        <f>F5*0.02</f>
        <v>91.34</v>
      </c>
      <c r="H5" s="101">
        <f>SUM(H4:H4)</f>
        <v>4475.66</v>
      </c>
      <c r="I5" s="102"/>
    </row>
    <row r="6" spans="1:10" ht="18.75">
      <c r="B6" s="103"/>
      <c r="C6" s="103"/>
      <c r="D6" s="103"/>
      <c r="E6" s="103"/>
      <c r="F6" s="48"/>
      <c r="G6" s="48"/>
      <c r="H6" s="104"/>
      <c r="I6" s="104"/>
    </row>
    <row r="7" spans="1:10" ht="27.75" customHeight="1">
      <c r="B7" t="s">
        <v>165</v>
      </c>
    </row>
    <row r="8" spans="1:10" ht="27.75" customHeight="1">
      <c r="B8" t="s">
        <v>166</v>
      </c>
    </row>
    <row r="11" spans="1:10" ht="18.75">
      <c r="B11" s="176" t="s">
        <v>152</v>
      </c>
      <c r="C11" s="176"/>
      <c r="D11" s="176"/>
      <c r="E11" s="176"/>
      <c r="F11" s="176"/>
      <c r="G11" s="176"/>
      <c r="H11" s="176"/>
    </row>
    <row r="12" spans="1:10" ht="18" customHeight="1">
      <c r="B12" s="180" t="s">
        <v>176</v>
      </c>
      <c r="C12" s="180"/>
      <c r="D12" s="180"/>
      <c r="E12" s="180"/>
      <c r="F12" s="180"/>
      <c r="G12" s="180"/>
      <c r="H12" s="180"/>
    </row>
    <row r="13" spans="1:10" ht="45">
      <c r="A13" s="50" t="s">
        <v>153</v>
      </c>
      <c r="B13" s="50" t="s">
        <v>154</v>
      </c>
      <c r="C13" s="50" t="s">
        <v>156</v>
      </c>
      <c r="D13" s="50" t="s">
        <v>179</v>
      </c>
      <c r="E13" s="97" t="s">
        <v>159</v>
      </c>
      <c r="F13" s="97" t="s">
        <v>161</v>
      </c>
      <c r="G13" s="97" t="s">
        <v>162</v>
      </c>
      <c r="H13" s="97" t="s">
        <v>163</v>
      </c>
      <c r="I13" s="98" t="s">
        <v>115</v>
      </c>
      <c r="J13" s="112" t="s">
        <v>177</v>
      </c>
    </row>
    <row r="14" spans="1:10" ht="27.75" customHeight="1">
      <c r="A14" s="25">
        <v>1</v>
      </c>
      <c r="B14" s="25" t="s">
        <v>155</v>
      </c>
      <c r="C14" s="99" t="s">
        <v>157</v>
      </c>
      <c r="D14" s="25">
        <v>152.22999999999999</v>
      </c>
      <c r="E14" s="105" t="s">
        <v>160</v>
      </c>
      <c r="F14" s="34">
        <v>4567</v>
      </c>
      <c r="G14" s="106">
        <f>F14*0.02</f>
        <v>91.34</v>
      </c>
      <c r="H14" s="100">
        <v>4475.66</v>
      </c>
      <c r="I14" s="25"/>
      <c r="J14" s="113" t="s">
        <v>178</v>
      </c>
    </row>
    <row r="15" spans="1:10" ht="29.25" customHeight="1">
      <c r="A15" s="25"/>
      <c r="B15" s="178" t="s">
        <v>42</v>
      </c>
      <c r="C15" s="178"/>
      <c r="D15" s="178"/>
      <c r="E15" s="179"/>
      <c r="F15" s="34">
        <v>4567</v>
      </c>
      <c r="G15" s="106">
        <f>F15*0.02</f>
        <v>91.34</v>
      </c>
      <c r="H15" s="101">
        <f>SUM(H14:H14)</f>
        <v>4475.66</v>
      </c>
      <c r="I15" s="102"/>
    </row>
    <row r="16" spans="1:10" ht="18.75">
      <c r="B16" s="103"/>
      <c r="C16" s="103"/>
      <c r="D16" s="103"/>
      <c r="E16" s="103"/>
      <c r="F16" s="48"/>
      <c r="G16" s="48"/>
      <c r="H16" s="104"/>
      <c r="I16" s="104"/>
    </row>
    <row r="17" spans="1:10" ht="30.75" customHeight="1">
      <c r="B17" t="s">
        <v>167</v>
      </c>
    </row>
    <row r="18" spans="1:10" ht="30.75" customHeight="1">
      <c r="B18" t="s">
        <v>168</v>
      </c>
    </row>
    <row r="24" spans="1:10" ht="24" customHeight="1">
      <c r="B24" s="176" t="s">
        <v>152</v>
      </c>
      <c r="C24" s="176"/>
      <c r="D24" s="176"/>
      <c r="E24" s="176"/>
      <c r="F24" s="176"/>
      <c r="G24" s="176"/>
      <c r="H24" s="176"/>
    </row>
    <row r="25" spans="1:10" ht="24" customHeight="1">
      <c r="B25" s="177" t="s">
        <v>169</v>
      </c>
      <c r="C25" s="177"/>
      <c r="D25" s="177"/>
      <c r="E25" s="177"/>
      <c r="F25" s="177"/>
      <c r="G25" s="177"/>
      <c r="H25" s="177"/>
    </row>
    <row r="26" spans="1:10" ht="42" customHeight="1">
      <c r="A26" s="50" t="s">
        <v>153</v>
      </c>
      <c r="B26" s="66" t="s">
        <v>154</v>
      </c>
      <c r="C26" s="66" t="s">
        <v>171</v>
      </c>
      <c r="D26" s="110" t="s">
        <v>175</v>
      </c>
      <c r="E26" s="110" t="s">
        <v>173</v>
      </c>
      <c r="F26" s="110" t="s">
        <v>174</v>
      </c>
      <c r="G26" s="110" t="s">
        <v>172</v>
      </c>
      <c r="H26" s="110" t="s">
        <v>162</v>
      </c>
      <c r="I26" s="110" t="s">
        <v>163</v>
      </c>
      <c r="J26" s="111" t="s">
        <v>115</v>
      </c>
    </row>
    <row r="27" spans="1:10" ht="33" customHeight="1">
      <c r="A27" s="25">
        <v>1</v>
      </c>
      <c r="B27" s="107" t="s">
        <v>170</v>
      </c>
      <c r="C27" s="99" t="s">
        <v>171</v>
      </c>
      <c r="D27" s="34">
        <v>15000</v>
      </c>
      <c r="E27" s="105">
        <v>4.8</v>
      </c>
      <c r="F27" s="34">
        <f>D27*E27</f>
        <v>72000</v>
      </c>
      <c r="G27" s="106">
        <f>F27*0.15</f>
        <v>10800</v>
      </c>
      <c r="H27" s="108">
        <f>F27*0.02</f>
        <v>1440</v>
      </c>
      <c r="I27" s="109">
        <f>F27+G27-H27</f>
        <v>81360</v>
      </c>
      <c r="J27" s="25"/>
    </row>
    <row r="28" spans="1:10" ht="41.25" customHeight="1">
      <c r="A28" s="25"/>
      <c r="B28" s="178" t="s">
        <v>42</v>
      </c>
      <c r="C28" s="178"/>
      <c r="D28" s="178"/>
      <c r="E28" s="179"/>
      <c r="F28" s="34">
        <f>F27</f>
        <v>72000</v>
      </c>
      <c r="G28" s="34">
        <f t="shared" ref="G28:I28" si="0">G27</f>
        <v>10800</v>
      </c>
      <c r="H28" s="34">
        <f t="shared" si="0"/>
        <v>1440</v>
      </c>
      <c r="I28" s="34">
        <f t="shared" si="0"/>
        <v>81360</v>
      </c>
      <c r="J28" s="25"/>
    </row>
    <row r="29" spans="1:10" ht="18.75">
      <c r="B29" s="103"/>
      <c r="C29" s="103"/>
      <c r="D29" s="103"/>
      <c r="E29" s="103"/>
      <c r="F29" s="48"/>
      <c r="G29" s="48"/>
      <c r="H29" s="104"/>
      <c r="I29" s="104"/>
    </row>
    <row r="30" spans="1:10" ht="36.75" customHeight="1">
      <c r="B30" t="s">
        <v>167</v>
      </c>
    </row>
    <row r="31" spans="1:10" ht="36.75" customHeight="1">
      <c r="B31" t="s">
        <v>168</v>
      </c>
    </row>
  </sheetData>
  <mergeCells count="9">
    <mergeCell ref="B24:H24"/>
    <mergeCell ref="B25:H25"/>
    <mergeCell ref="B28:E28"/>
    <mergeCell ref="B15:E15"/>
    <mergeCell ref="B1:H1"/>
    <mergeCell ref="B2:H2"/>
    <mergeCell ref="B5:E5"/>
    <mergeCell ref="B11:H11"/>
    <mergeCell ref="B12:H1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Ot</vt:lpstr>
      <vt:lpstr>Salary</vt:lpstr>
      <vt:lpstr>Takel</vt:lpstr>
      <vt:lpstr>Salary!Print_Area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megabit</dc:creator>
  <cp:lastModifiedBy>Mekedes Mesfin</cp:lastModifiedBy>
  <cp:lastPrinted>2019-05-30T11:39:26Z</cp:lastPrinted>
  <dcterms:created xsi:type="dcterms:W3CDTF">2013-07-11T00:03:15Z</dcterms:created>
  <dcterms:modified xsi:type="dcterms:W3CDTF">2019-06-22T07:58:48Z</dcterms:modified>
</cp:coreProperties>
</file>