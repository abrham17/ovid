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Payoll Dailly 2nd Half" sheetId="1" r:id="rId1"/>
  </sheets>
  <externalReferences>
    <externalReference r:id="rId2"/>
  </externalReferences>
  <definedNames>
    <definedName name="_xlnm.Print_Area" localSheetId="0">'Payoll Dailly 2nd Half'!$A$1:$R$31</definedName>
    <definedName name="_xlnm.Print_Titles" localSheetId="0">'Payoll Dailly 2nd Half'!$1:$11</definedName>
  </definedNames>
  <calcPr calcId="125725"/>
</workbook>
</file>

<file path=xl/calcChain.xml><?xml version="1.0" encoding="utf-8"?>
<calcChain xmlns="http://schemas.openxmlformats.org/spreadsheetml/2006/main">
  <c r="I28" i="1"/>
  <c r="N27"/>
  <c r="L27"/>
  <c r="G27"/>
  <c r="F27"/>
  <c r="K27" s="1"/>
  <c r="N26"/>
  <c r="G26"/>
  <c r="F26"/>
  <c r="K26" s="1"/>
  <c r="N25"/>
  <c r="H25"/>
  <c r="J25" s="1"/>
  <c r="M25" s="1"/>
  <c r="O25" s="1"/>
  <c r="G25"/>
  <c r="F25"/>
  <c r="K25" s="1"/>
  <c r="N24"/>
  <c r="L24"/>
  <c r="H24"/>
  <c r="G24"/>
  <c r="F24"/>
  <c r="K24" s="1"/>
  <c r="N23"/>
  <c r="L23"/>
  <c r="G23"/>
  <c r="F23"/>
  <c r="K23" s="1"/>
  <c r="N22"/>
  <c r="G22"/>
  <c r="F22"/>
  <c r="N21"/>
  <c r="J21"/>
  <c r="M21" s="1"/>
  <c r="O21" s="1"/>
  <c r="H21"/>
  <c r="G21"/>
  <c r="F21"/>
  <c r="L21" s="1"/>
  <c r="N20"/>
  <c r="G20"/>
  <c r="F20"/>
  <c r="K20" s="1"/>
  <c r="N19"/>
  <c r="G19"/>
  <c r="F19"/>
  <c r="K19" s="1"/>
  <c r="N18"/>
  <c r="G18"/>
  <c r="F18"/>
  <c r="H18" s="1"/>
  <c r="N17"/>
  <c r="G17"/>
  <c r="F17"/>
  <c r="L17" s="1"/>
  <c r="N16"/>
  <c r="L16"/>
  <c r="G16"/>
  <c r="F16"/>
  <c r="K16" s="1"/>
  <c r="N15"/>
  <c r="G15"/>
  <c r="F15"/>
  <c r="K15" s="1"/>
  <c r="N14"/>
  <c r="G14"/>
  <c r="F14"/>
  <c r="N13"/>
  <c r="G13"/>
  <c r="F13"/>
  <c r="L13" s="1"/>
  <c r="N12"/>
  <c r="L12"/>
  <c r="H12"/>
  <c r="G12"/>
  <c r="F12"/>
  <c r="H16" l="1"/>
  <c r="L20"/>
  <c r="G28"/>
  <c r="L15"/>
  <c r="F28"/>
  <c r="N28"/>
  <c r="H14"/>
  <c r="H15"/>
  <c r="L19"/>
  <c r="H20"/>
  <c r="J20" s="1"/>
  <c r="M20" s="1"/>
  <c r="O20" s="1"/>
  <c r="P20" s="1"/>
  <c r="Q20" s="1"/>
  <c r="H22"/>
  <c r="L25"/>
  <c r="H26"/>
  <c r="J26" s="1"/>
  <c r="M26" s="1"/>
  <c r="O26" s="1"/>
  <c r="P26" s="1"/>
  <c r="H27"/>
  <c r="J14"/>
  <c r="M14" s="1"/>
  <c r="O14" s="1"/>
  <c r="J15"/>
  <c r="M15" s="1"/>
  <c r="O15" s="1"/>
  <c r="P15" s="1"/>
  <c r="Q15" s="1"/>
  <c r="J22"/>
  <c r="M22" s="1"/>
  <c r="O22" s="1"/>
  <c r="J27"/>
  <c r="M27" s="1"/>
  <c r="O27" s="1"/>
  <c r="P27" s="1"/>
  <c r="Q27" s="1"/>
  <c r="J18"/>
  <c r="M18" s="1"/>
  <c r="O18" s="1"/>
  <c r="P25"/>
  <c r="Q25" s="1"/>
  <c r="J12"/>
  <c r="K13"/>
  <c r="L14"/>
  <c r="J16"/>
  <c r="M16" s="1"/>
  <c r="O16" s="1"/>
  <c r="P16" s="1"/>
  <c r="Q16" s="1"/>
  <c r="K17"/>
  <c r="L18"/>
  <c r="H19"/>
  <c r="K21"/>
  <c r="P21" s="1"/>
  <c r="Q21" s="1"/>
  <c r="L22"/>
  <c r="H23"/>
  <c r="J24"/>
  <c r="M24" s="1"/>
  <c r="O24" s="1"/>
  <c r="P24" s="1"/>
  <c r="Q24" s="1"/>
  <c r="L26"/>
  <c r="K14"/>
  <c r="K18"/>
  <c r="K22"/>
  <c r="H13"/>
  <c r="H17"/>
  <c r="K12"/>
  <c r="K28" l="1"/>
  <c r="L28"/>
  <c r="Q26"/>
  <c r="J23"/>
  <c r="M23" s="1"/>
  <c r="O23" s="1"/>
  <c r="P23" s="1"/>
  <c r="Q23" s="1"/>
  <c r="J19"/>
  <c r="M19" s="1"/>
  <c r="O19" s="1"/>
  <c r="P19" s="1"/>
  <c r="Q19" s="1"/>
  <c r="J13"/>
  <c r="M13" s="1"/>
  <c r="O13" s="1"/>
  <c r="P13" s="1"/>
  <c r="Q13" s="1"/>
  <c r="J17"/>
  <c r="M17" s="1"/>
  <c r="O17" s="1"/>
  <c r="P17" s="1"/>
  <c r="Q17" s="1"/>
  <c r="M12"/>
  <c r="H28"/>
  <c r="P18"/>
  <c r="Q18" s="1"/>
  <c r="P22"/>
  <c r="Q22" s="1"/>
  <c r="P14"/>
  <c r="Q14" s="1"/>
  <c r="O12" l="1"/>
  <c r="M28"/>
  <c r="J28"/>
  <c r="P12" l="1"/>
  <c r="O28"/>
  <c r="P28" l="1"/>
  <c r="Q12"/>
  <c r="Q28" s="1"/>
</calcChain>
</file>

<file path=xl/sharedStrings.xml><?xml version="1.0" encoding="utf-8"?>
<sst xmlns="http://schemas.openxmlformats.org/spreadsheetml/2006/main" count="34" uniqueCount="34">
  <si>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</si>
  <si>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</si>
  <si>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</si>
  <si>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</si>
  <si>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Daily Employee Payroll- Second Half</t>
  </si>
  <si>
    <t>Issue. No</t>
  </si>
  <si>
    <t>Project:-______________________</t>
  </si>
  <si>
    <t>Pariod_______________________</t>
  </si>
  <si>
    <t>NO</t>
  </si>
  <si>
    <t xml:space="preserve">Employee Name </t>
  </si>
  <si>
    <t>Work Title</t>
  </si>
  <si>
    <t>Daily Wage</t>
  </si>
  <si>
    <t>Total Worked Days</t>
  </si>
  <si>
    <t>Total Wage</t>
  </si>
  <si>
    <t>Over Time</t>
  </si>
  <si>
    <t>Earning This fortnight</t>
  </si>
  <si>
    <t>Earning Previous Fortnight</t>
  </si>
  <si>
    <t>Total Monthly Earning</t>
  </si>
  <si>
    <t>Deductions</t>
  </si>
  <si>
    <t>Total deduction</t>
  </si>
  <si>
    <t>Net</t>
  </si>
  <si>
    <t>Signature</t>
  </si>
  <si>
    <t xml:space="preserve">Pension </t>
  </si>
  <si>
    <t xml:space="preserve"> Total Income Tax</t>
  </si>
  <si>
    <t>Previous Income Tax</t>
  </si>
  <si>
    <t>Net Income Tax</t>
  </si>
  <si>
    <t>Employee</t>
  </si>
  <si>
    <t>Employer</t>
  </si>
  <si>
    <t>Payment</t>
  </si>
  <si>
    <t>Total</t>
  </si>
  <si>
    <t>Prepared by   __________                           Checked by ________________                     Cashier Name __________________                                  Aproved by __________________</t>
  </si>
  <si>
    <t xml:space="preserve">  </t>
  </si>
  <si>
    <t xml:space="preserve">Signature  _________________                        Signature  __________________                                  Signature  __________________                         Signature  __________________ </t>
  </si>
  <si>
    <t xml:space="preserve">OF/FAD/048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</si>
</sst>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0" fillId="0" borderId="7" xfId="0" applyBorder="1"/>
    <xf numFmtId="0" fontId="0" fillId="0" borderId="2" xfId="0" applyBorder="1"/>
    <xf numFmtId="0" fontId="5" fillId="0" borderId="9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43" fontId="6" fillId="2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43" fontId="8" fillId="2" borderId="6" xfId="1" applyFont="1" applyFill="1" applyBorder="1" applyAlignment="1">
      <alignment horizontal="center"/>
    </xf>
    <xf numFmtId="43" fontId="11" fillId="2" borderId="4" xfId="1" applyFont="1" applyFill="1" applyBorder="1" applyAlignment="1">
      <alignment horizontal="center"/>
    </xf>
    <xf numFmtId="9" fontId="11" fillId="2" borderId="11" xfId="1" applyNumberFormat="1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10" fillId="0" borderId="17" xfId="0" applyFont="1" applyFill="1" applyBorder="1" applyAlignment="1"/>
    <xf numFmtId="43" fontId="10" fillId="2" borderId="17" xfId="1" applyFont="1" applyFill="1" applyBorder="1" applyAlignment="1">
      <alignment horizontal="center"/>
    </xf>
    <xf numFmtId="43" fontId="12" fillId="0" borderId="17" xfId="1" applyFont="1" applyBorder="1"/>
    <xf numFmtId="43" fontId="4" fillId="0" borderId="17" xfId="1" applyFont="1" applyFill="1" applyBorder="1"/>
    <xf numFmtId="0" fontId="10" fillId="0" borderId="18" xfId="0" applyFont="1" applyFill="1" applyBorder="1" applyAlignment="1"/>
    <xf numFmtId="43" fontId="10" fillId="2" borderId="18" xfId="1" applyFont="1" applyFill="1" applyBorder="1" applyAlignment="1">
      <alignment horizontal="center"/>
    </xf>
    <xf numFmtId="43" fontId="12" fillId="0" borderId="18" xfId="1" applyFont="1" applyBorder="1"/>
    <xf numFmtId="43" fontId="4" fillId="0" borderId="18" xfId="1" applyFont="1" applyFill="1" applyBorder="1"/>
    <xf numFmtId="0" fontId="10" fillId="0" borderId="19" xfId="0" applyFont="1" applyFill="1" applyBorder="1" applyAlignment="1"/>
    <xf numFmtId="43" fontId="10" fillId="2" borderId="19" xfId="1" applyFont="1" applyFill="1" applyBorder="1" applyAlignment="1">
      <alignment horizontal="center"/>
    </xf>
    <xf numFmtId="43" fontId="12" fillId="0" borderId="19" xfId="1" applyFont="1" applyBorder="1"/>
    <xf numFmtId="43" fontId="4" fillId="0" borderId="19" xfId="1" applyFont="1" applyFill="1" applyBorder="1"/>
    <xf numFmtId="43" fontId="3" fillId="0" borderId="22" xfId="1" applyFont="1" applyFill="1" applyBorder="1" applyAlignment="1"/>
    <xf numFmtId="43" fontId="10" fillId="0" borderId="0" xfId="1" applyFont="1" applyFill="1" applyBorder="1" applyAlignment="1">
      <alignment horizontal="center"/>
    </xf>
    <xf numFmtId="43" fontId="10" fillId="0" borderId="0" xfId="1" applyFont="1" applyFill="1" applyBorder="1"/>
    <xf numFmtId="0" fontId="0" fillId="0" borderId="6" xfId="0" applyBorder="1"/>
    <xf numFmtId="0" fontId="0" fillId="0" borderId="0" xfId="0" applyBorder="1"/>
    <xf numFmtId="0" fontId="0" fillId="0" borderId="9" xfId="0" applyBorder="1"/>
    <xf numFmtId="43" fontId="6" fillId="2" borderId="8" xfId="1" applyFont="1" applyFill="1" applyBorder="1" applyAlignment="1"/>
    <xf numFmtId="43" fontId="6" fillId="2" borderId="8" xfId="1" applyFont="1" applyFill="1" applyBorder="1" applyAlignment="1">
      <alignment horizontal="left"/>
    </xf>
    <xf numFmtId="0" fontId="0" fillId="2" borderId="0" xfId="0" applyFill="1" applyBorder="1"/>
    <xf numFmtId="43" fontId="7" fillId="2" borderId="0" xfId="1" applyFont="1" applyFill="1" applyBorder="1"/>
    <xf numFmtId="0" fontId="10" fillId="2" borderId="0" xfId="2" applyFont="1" applyFill="1" applyBorder="1" applyAlignment="1">
      <alignment horizontal="left"/>
    </xf>
    <xf numFmtId="0" fontId="10" fillId="2" borderId="9" xfId="2" applyFont="1" applyFill="1" applyBorder="1"/>
    <xf numFmtId="0" fontId="12" fillId="0" borderId="23" xfId="0" applyFont="1" applyBorder="1" applyAlignment="1">
      <alignment horizontal="center"/>
    </xf>
    <xf numFmtId="43" fontId="12" fillId="0" borderId="24" xfId="1" applyFont="1" applyBorder="1"/>
    <xf numFmtId="0" fontId="12" fillId="0" borderId="25" xfId="0" applyFont="1" applyBorder="1" applyAlignment="1">
      <alignment horizontal="center"/>
    </xf>
    <xf numFmtId="43" fontId="12" fillId="0" borderId="26" xfId="1" applyFont="1" applyBorder="1"/>
    <xf numFmtId="0" fontId="12" fillId="0" borderId="27" xfId="0" applyFont="1" applyBorder="1"/>
    <xf numFmtId="43" fontId="12" fillId="0" borderId="28" xfId="1" applyFont="1" applyBorder="1"/>
    <xf numFmtId="43" fontId="12" fillId="0" borderId="30" xfId="1" applyFont="1" applyBorder="1"/>
    <xf numFmtId="0" fontId="10" fillId="0" borderId="8" xfId="2" applyFont="1" applyFill="1" applyBorder="1" applyAlignment="1"/>
    <xf numFmtId="0" fontId="10" fillId="0" borderId="0" xfId="2" applyFont="1" applyFill="1" applyBorder="1"/>
    <xf numFmtId="0" fontId="10" fillId="0" borderId="0" xfId="2" applyFont="1" applyFill="1" applyBorder="1" applyAlignment="1">
      <alignment horizontal="center"/>
    </xf>
    <xf numFmtId="164" fontId="10" fillId="0" borderId="0" xfId="2" applyNumberFormat="1" applyFont="1" applyFill="1" applyBorder="1"/>
    <xf numFmtId="0" fontId="4" fillId="0" borderId="0" xfId="0" applyFont="1" applyFill="1" applyBorder="1"/>
    <xf numFmtId="0" fontId="4" fillId="0" borderId="9" xfId="0" applyFont="1" applyFill="1" applyBorder="1"/>
    <xf numFmtId="0" fontId="10" fillId="0" borderId="5" xfId="2" applyFont="1" applyFill="1" applyBorder="1" applyAlignment="1"/>
    <xf numFmtId="0" fontId="10" fillId="0" borderId="6" xfId="2" applyFont="1" applyFill="1" applyBorder="1"/>
    <xf numFmtId="0" fontId="10" fillId="0" borderId="6" xfId="2" applyFont="1" applyFill="1" applyBorder="1" applyAlignment="1">
      <alignment horizontal="center"/>
    </xf>
    <xf numFmtId="164" fontId="10" fillId="0" borderId="6" xfId="2" applyNumberFormat="1" applyFont="1" applyFill="1" applyBorder="1" applyAlignment="1"/>
    <xf numFmtId="43" fontId="10" fillId="0" borderId="6" xfId="1" applyFont="1" applyFill="1" applyBorder="1" applyAlignment="1">
      <alignment horizontal="center"/>
    </xf>
    <xf numFmtId="0" fontId="4" fillId="0" borderId="6" xfId="0" applyFont="1" applyFill="1" applyBorder="1"/>
    <xf numFmtId="43" fontId="10" fillId="0" borderId="6" xfId="1" applyFont="1" applyFill="1" applyBorder="1"/>
    <xf numFmtId="0" fontId="4" fillId="0" borderId="7" xfId="0" applyFont="1" applyFill="1" applyBorder="1"/>
    <xf numFmtId="0" fontId="3" fillId="0" borderId="2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43" fontId="11" fillId="2" borderId="12" xfId="1" applyFont="1" applyFill="1" applyBorder="1" applyAlignment="1">
      <alignment horizontal="center"/>
    </xf>
    <xf numFmtId="43" fontId="11" fillId="2" borderId="13" xfId="1" applyFont="1" applyFill="1" applyBorder="1" applyAlignment="1">
      <alignment horizontal="center"/>
    </xf>
    <xf numFmtId="43" fontId="11" fillId="2" borderId="14" xfId="1" applyFont="1" applyFill="1" applyBorder="1" applyAlignment="1">
      <alignment horizontal="center"/>
    </xf>
    <xf numFmtId="0" fontId="11" fillId="2" borderId="11" xfId="2" applyFont="1" applyFill="1" applyBorder="1" applyAlignment="1">
      <alignment horizontal="center"/>
    </xf>
    <xf numFmtId="0" fontId="11" fillId="2" borderId="15" xfId="2" applyFont="1" applyFill="1" applyBorder="1" applyAlignment="1">
      <alignment horizontal="center"/>
    </xf>
    <xf numFmtId="0" fontId="11" fillId="2" borderId="11" xfId="2" applyFont="1" applyFill="1" applyBorder="1" applyAlignment="1">
      <alignment horizontal="center" wrapText="1"/>
    </xf>
    <xf numFmtId="0" fontId="11" fillId="2" borderId="15" xfId="2" applyFont="1" applyFill="1" applyBorder="1" applyAlignment="1">
      <alignment horizontal="center" wrapText="1"/>
    </xf>
    <xf numFmtId="0" fontId="11" fillId="2" borderId="16" xfId="2" applyFont="1" applyFill="1" applyBorder="1" applyAlignment="1">
      <alignment horizontal="center" wrapText="1"/>
    </xf>
    <xf numFmtId="43" fontId="11" fillId="2" borderId="5" xfId="1" applyFont="1" applyFill="1" applyBorder="1" applyAlignment="1">
      <alignment horizontal="center"/>
    </xf>
    <xf numFmtId="43" fontId="11" fillId="2" borderId="7" xfId="1" applyFont="1" applyFill="1" applyBorder="1" applyAlignment="1">
      <alignment horizontal="center"/>
    </xf>
    <xf numFmtId="43" fontId="11" fillId="2" borderId="15" xfId="1" applyFont="1" applyFill="1" applyBorder="1" applyAlignment="1">
      <alignment horizontal="center" wrapText="1"/>
    </xf>
    <xf numFmtId="43" fontId="11" fillId="2" borderId="16" xfId="1" applyFont="1" applyFill="1" applyBorder="1" applyAlignment="1">
      <alignment horizontal="center" wrapText="1"/>
    </xf>
    <xf numFmtId="43" fontId="11" fillId="2" borderId="11" xfId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43" fontId="8" fillId="2" borderId="0" xfId="1" applyFont="1" applyFill="1" applyBorder="1" applyAlignment="1">
      <alignment horizontal="center"/>
    </xf>
    <xf numFmtId="0" fontId="11" fillId="2" borderId="10" xfId="2" applyFont="1" applyFill="1" applyBorder="1" applyAlignment="1">
      <alignment horizontal="center" wrapText="1"/>
    </xf>
    <xf numFmtId="164" fontId="11" fillId="2" borderId="11" xfId="1" applyNumberFormat="1" applyFont="1" applyFill="1" applyBorder="1" applyAlignment="1">
      <alignment horizontal="center" wrapText="1"/>
    </xf>
    <xf numFmtId="164" fontId="11" fillId="2" borderId="15" xfId="1" applyNumberFormat="1" applyFont="1" applyFill="1" applyBorder="1" applyAlignment="1">
      <alignment horizontal="center" wrapText="1"/>
    </xf>
    <xf numFmtId="164" fontId="11" fillId="2" borderId="16" xfId="1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696018</xdr:colOff>
      <xdr:row>5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692208</xdr:colOff>
      <xdr:row>5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690684</xdr:colOff>
      <xdr:row>5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689241</xdr:colOff>
      <xdr:row>5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696018</xdr:colOff>
      <xdr:row>5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692208</xdr:colOff>
      <xdr:row>5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695256</xdr:colOff>
      <xdr:row>5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691446</xdr:colOff>
      <xdr:row>5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696780</xdr:colOff>
      <xdr:row>5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695337</xdr:colOff>
      <xdr:row>5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836225</xdr:colOff>
      <xdr:row>5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08585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699066</xdr:colOff>
      <xdr:row>5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5</xdr:row>
      <xdr:rowOff>0</xdr:rowOff>
    </xdr:from>
    <xdr:to>
      <xdr:col>1</xdr:col>
      <xdr:colOff>697623</xdr:colOff>
      <xdr:row>5</xdr:row>
      <xdr:rowOff>1524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085850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5</xdr:row>
      <xdr:rowOff>0</xdr:rowOff>
    </xdr:from>
    <xdr:to>
      <xdr:col>1</xdr:col>
      <xdr:colOff>836225</xdr:colOff>
      <xdr:row>5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085850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696018</xdr:colOff>
      <xdr:row>4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692208</xdr:colOff>
      <xdr:row>4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690684</xdr:colOff>
      <xdr:row>4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508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689241</xdr:colOff>
      <xdr:row>4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85825"/>
          <a:ext cx="160364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696018</xdr:colOff>
      <xdr:row>4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231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692208</xdr:colOff>
      <xdr:row>4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850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695256</xdr:colOff>
      <xdr:row>4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55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691446</xdr:colOff>
      <xdr:row>4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6774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696780</xdr:colOff>
      <xdr:row>4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08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695337</xdr:colOff>
      <xdr:row>4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163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836225</xdr:colOff>
      <xdr:row>4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885825"/>
          <a:ext cx="158870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699066</xdr:colOff>
      <xdr:row>4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536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697623</xdr:colOff>
      <xdr:row>4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885825"/>
          <a:ext cx="157392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836225</xdr:colOff>
      <xdr:row>4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885825"/>
          <a:ext cx="1588701" cy="407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erserver\Data%20Shared%20for%20All\Finance\Format\Format%20from%20%2016-30,20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OT"/>
    </sheetNames>
    <sheetDataSet>
      <sheetData sheetId="0" refreshError="1"/>
      <sheetData sheetId="1"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M2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>
      <selection activeCell="E4" sqref="E4"/>
    </sheetView>
  </sheetViews>
  <sheetFormatPr defaultRowHeight="15"/>
  <cols>
    <col min="1" max="1" width="13.7109375" customWidth="1"/>
    <col min="2" max="2" width="15.85546875" customWidth="1"/>
    <col min="3" max="3" width="7.140625" customWidth="1"/>
    <col min="4" max="4" width="7.28515625" customWidth="1"/>
    <col min="5" max="5" width="8.140625" customWidth="1"/>
    <col min="7" max="7" width="6" customWidth="1"/>
    <col min="16" max="16" width="13.42578125" bestFit="1" customWidth="1"/>
    <col min="18" max="18" width="14.42578125" customWidth="1"/>
  </cols>
  <sheetData>
    <row r="1" spans="1:18" ht="17.25" thickBot="1">
      <c r="A1" s="75" t="s">
        <v>0</v>
      </c>
      <c r="B1" s="76"/>
      <c r="C1" s="77"/>
      <c r="D1" s="78" t="s">
        <v>1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80"/>
      <c r="R1" s="1" t="s">
        <v>2</v>
      </c>
    </row>
    <row r="2" spans="1:18" ht="16.5" thickBot="1">
      <c r="A2" s="81" t="s">
        <v>3</v>
      </c>
      <c r="B2" s="82"/>
      <c r="C2" s="8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9"/>
      <c r="Q2" s="3"/>
      <c r="R2" s="1" t="s">
        <v>33</v>
      </c>
    </row>
    <row r="3" spans="1:18" ht="19.5" thickBot="1">
      <c r="A3" s="84"/>
      <c r="B3" s="4"/>
      <c r="C3" s="5"/>
      <c r="D3" s="86" t="s">
        <v>4</v>
      </c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8"/>
      <c r="R3" s="6" t="s">
        <v>5</v>
      </c>
    </row>
    <row r="4" spans="1:18" ht="33" customHeight="1" thickBot="1">
      <c r="A4" s="85"/>
      <c r="B4" s="2"/>
      <c r="C4" s="7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9"/>
      <c r="Q4" s="3"/>
      <c r="R4" s="6">
        <v>1</v>
      </c>
    </row>
    <row r="5" spans="1:18" ht="15.75">
      <c r="A5" s="32" t="s">
        <v>6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1:18" ht="15.75">
      <c r="A6" s="33" t="s">
        <v>7</v>
      </c>
      <c r="B6" s="8"/>
      <c r="C6" s="8"/>
      <c r="D6" s="8"/>
      <c r="E6" s="34"/>
      <c r="F6" s="34"/>
      <c r="G6" s="34"/>
      <c r="H6" s="34"/>
      <c r="I6" s="35"/>
      <c r="J6" s="89"/>
      <c r="K6" s="89"/>
      <c r="L6" s="89"/>
      <c r="M6" s="89"/>
      <c r="N6" s="89"/>
      <c r="O6" s="36"/>
      <c r="P6" s="36"/>
      <c r="Q6" s="36"/>
      <c r="R6" s="37"/>
    </row>
    <row r="7" spans="1:18" ht="16.5" thickBot="1">
      <c r="A7" s="33"/>
      <c r="B7" s="8"/>
      <c r="C7" s="8"/>
      <c r="D7" s="8"/>
      <c r="E7" s="34"/>
      <c r="F7" s="34"/>
      <c r="G7" s="34"/>
      <c r="H7" s="34"/>
      <c r="I7" s="35"/>
      <c r="J7" s="9"/>
      <c r="K7" s="10"/>
      <c r="L7" s="10"/>
      <c r="M7" s="10"/>
      <c r="N7" s="10"/>
      <c r="O7" s="36"/>
      <c r="P7" s="36"/>
      <c r="Q7" s="36"/>
      <c r="R7" s="37"/>
    </row>
    <row r="8" spans="1:18" ht="15.75" thickBot="1">
      <c r="A8" s="67" t="s">
        <v>8</v>
      </c>
      <c r="B8" s="67" t="s">
        <v>9</v>
      </c>
      <c r="C8" s="67" t="s">
        <v>10</v>
      </c>
      <c r="D8" s="91" t="s">
        <v>11</v>
      </c>
      <c r="E8" s="74" t="s">
        <v>12</v>
      </c>
      <c r="F8" s="74" t="s">
        <v>13</v>
      </c>
      <c r="G8" s="74" t="s">
        <v>14</v>
      </c>
      <c r="H8" s="74" t="s">
        <v>15</v>
      </c>
      <c r="I8" s="74" t="s">
        <v>16</v>
      </c>
      <c r="J8" s="74" t="s">
        <v>17</v>
      </c>
      <c r="K8" s="62" t="s">
        <v>18</v>
      </c>
      <c r="L8" s="63"/>
      <c r="M8" s="63"/>
      <c r="N8" s="63"/>
      <c r="O8" s="64"/>
      <c r="P8" s="74" t="s">
        <v>19</v>
      </c>
      <c r="Q8" s="65" t="s">
        <v>20</v>
      </c>
      <c r="R8" s="67" t="s">
        <v>21</v>
      </c>
    </row>
    <row r="9" spans="1:18" ht="15.75" thickBot="1">
      <c r="A9" s="68"/>
      <c r="B9" s="68"/>
      <c r="C9" s="68"/>
      <c r="D9" s="92"/>
      <c r="E9" s="72"/>
      <c r="F9" s="72"/>
      <c r="G9" s="72"/>
      <c r="H9" s="72"/>
      <c r="I9" s="72"/>
      <c r="J9" s="72"/>
      <c r="K9" s="70" t="s">
        <v>22</v>
      </c>
      <c r="L9" s="71"/>
      <c r="M9" s="72" t="s">
        <v>23</v>
      </c>
      <c r="N9" s="74" t="s">
        <v>24</v>
      </c>
      <c r="O9" s="74" t="s">
        <v>25</v>
      </c>
      <c r="P9" s="72"/>
      <c r="Q9" s="66"/>
      <c r="R9" s="68"/>
    </row>
    <row r="10" spans="1:18" ht="15.75" thickBot="1">
      <c r="A10" s="68"/>
      <c r="B10" s="68"/>
      <c r="C10" s="68"/>
      <c r="D10" s="92"/>
      <c r="E10" s="72"/>
      <c r="F10" s="72"/>
      <c r="G10" s="72"/>
      <c r="H10" s="72"/>
      <c r="I10" s="72"/>
      <c r="J10" s="72"/>
      <c r="K10" s="11" t="s">
        <v>26</v>
      </c>
      <c r="L10" s="11" t="s">
        <v>27</v>
      </c>
      <c r="M10" s="72"/>
      <c r="N10" s="72"/>
      <c r="O10" s="72"/>
      <c r="P10" s="72"/>
      <c r="Q10" s="66"/>
      <c r="R10" s="68"/>
    </row>
    <row r="11" spans="1:18" ht="15.75" thickBot="1">
      <c r="A11" s="90"/>
      <c r="B11" s="90"/>
      <c r="C11" s="90"/>
      <c r="D11" s="93"/>
      <c r="E11" s="73"/>
      <c r="F11" s="73"/>
      <c r="G11" s="73"/>
      <c r="H11" s="73"/>
      <c r="I11" s="73"/>
      <c r="J11" s="73"/>
      <c r="K11" s="12">
        <v>7.0000000000000007E-2</v>
      </c>
      <c r="L11" s="12">
        <v>0.11</v>
      </c>
      <c r="M11" s="73"/>
      <c r="N11" s="73"/>
      <c r="O11" s="73"/>
      <c r="P11" s="73"/>
      <c r="Q11" s="13" t="s">
        <v>28</v>
      </c>
      <c r="R11" s="69"/>
    </row>
    <row r="12" spans="1:18" ht="15.75">
      <c r="A12" s="38"/>
      <c r="B12" s="14"/>
      <c r="C12" s="14"/>
      <c r="D12" s="15"/>
      <c r="E12" s="15"/>
      <c r="F12" s="16">
        <f>+D12*E12</f>
        <v>0</v>
      </c>
      <c r="G12" s="16">
        <f>+[1]OT!M7</f>
        <v>0</v>
      </c>
      <c r="H12" s="16">
        <f>+F12+G12</f>
        <v>0</v>
      </c>
      <c r="I12" s="16"/>
      <c r="J12" s="16">
        <f>+H12+I12</f>
        <v>0</v>
      </c>
      <c r="K12" s="16">
        <f>+F12*0.07</f>
        <v>0</v>
      </c>
      <c r="L12" s="16">
        <f>+F12*0.11</f>
        <v>0</v>
      </c>
      <c r="M12" s="17">
        <f>IF(J12&lt;=600,0,IF(J12&lt;=1650,0.1*J12-60,IF(J12&lt;=3200,0.15*J12-142.5,IF(J12&lt;=5250,0.2*J12-302.5,IF(J12&lt;=7800,0.25*J12-565,IF(J12&lt;=10900,0.3*J12-955,0.35*J12-1500))))))</f>
        <v>0</v>
      </c>
      <c r="N12" s="17">
        <f>IF(I12&lt;=600,0,IF(I12&lt;=1650,0.1*I12-60,IF(I12&lt;=3200,0.15*I12-142.5,IF(I12&lt;=5250,0.2*I12-302.5,IF(I12&lt;=7800,0.25*I12-565,IF(I12&lt;=10900,0.3*I12-955,0.35*I12-1500))))))</f>
        <v>0</v>
      </c>
      <c r="O12" s="17">
        <f>+M12-N12</f>
        <v>0</v>
      </c>
      <c r="P12" s="17">
        <f>+O12+K12</f>
        <v>0</v>
      </c>
      <c r="Q12" s="17">
        <f>H12-P12</f>
        <v>0</v>
      </c>
      <c r="R12" s="39"/>
    </row>
    <row r="13" spans="1:18" ht="15.75">
      <c r="A13" s="40"/>
      <c r="B13" s="18"/>
      <c r="C13" s="18"/>
      <c r="D13" s="19"/>
      <c r="E13" s="19"/>
      <c r="F13" s="20">
        <f t="shared" ref="F13:F27" si="0">+D13*E13</f>
        <v>0</v>
      </c>
      <c r="G13" s="20">
        <f>+[1]OT!M8</f>
        <v>0</v>
      </c>
      <c r="H13" s="20">
        <f t="shared" ref="H13:H27" si="1">+F13+G13</f>
        <v>0</v>
      </c>
      <c r="I13" s="20"/>
      <c r="J13" s="20">
        <f t="shared" ref="J13:J27" si="2">+H13+I13</f>
        <v>0</v>
      </c>
      <c r="K13" s="20">
        <f t="shared" ref="K13:K27" si="3">+F13*0.07</f>
        <v>0</v>
      </c>
      <c r="L13" s="20">
        <f t="shared" ref="L13:L27" si="4">+F13*0.11</f>
        <v>0</v>
      </c>
      <c r="M13" s="21">
        <f t="shared" ref="M13:M27" si="5">IF(J13&lt;=600,0,IF(J13&lt;=1650,0.1*J13-60,IF(J13&lt;=3200,0.15*J13-142.5,IF(J13&lt;=5250,0.2*J13-302.5,IF(J13&lt;=7800,0.25*J13-565,IF(J13&lt;=10900,0.3*J13-955,0.35*J13-1500))))))</f>
        <v>0</v>
      </c>
      <c r="N13" s="21">
        <f t="shared" ref="N13:N27" si="6">IF(I13&lt;=600,0,IF(I13&lt;=1650,0.1*I13-60,IF(I13&lt;=3200,0.15*I13-142.5,IF(I13&lt;=5250,0.2*I13-302.5,IF(I13&lt;=7800,0.25*I13-565,IF(I13&lt;=10900,0.3*I13-955,0.35*I13-1500))))))</f>
        <v>0</v>
      </c>
      <c r="O13" s="21">
        <f t="shared" ref="O13:O27" si="7">+M13-N13</f>
        <v>0</v>
      </c>
      <c r="P13" s="21">
        <f t="shared" ref="P13:P27" si="8">+O13+K13</f>
        <v>0</v>
      </c>
      <c r="Q13" s="21">
        <f t="shared" ref="Q13:Q27" si="9">H13-P13</f>
        <v>0</v>
      </c>
      <c r="R13" s="41"/>
    </row>
    <row r="14" spans="1:18" ht="15.75">
      <c r="A14" s="40"/>
      <c r="B14" s="18"/>
      <c r="C14" s="18"/>
      <c r="D14" s="19"/>
      <c r="E14" s="19"/>
      <c r="F14" s="20">
        <f t="shared" si="0"/>
        <v>0</v>
      </c>
      <c r="G14" s="20">
        <f>+[1]OT!M9</f>
        <v>0</v>
      </c>
      <c r="H14" s="20">
        <f t="shared" si="1"/>
        <v>0</v>
      </c>
      <c r="I14" s="20"/>
      <c r="J14" s="20">
        <f t="shared" si="2"/>
        <v>0</v>
      </c>
      <c r="K14" s="20">
        <f t="shared" si="3"/>
        <v>0</v>
      </c>
      <c r="L14" s="20">
        <f t="shared" si="4"/>
        <v>0</v>
      </c>
      <c r="M14" s="21">
        <f t="shared" si="5"/>
        <v>0</v>
      </c>
      <c r="N14" s="21">
        <f t="shared" si="6"/>
        <v>0</v>
      </c>
      <c r="O14" s="21">
        <f t="shared" si="7"/>
        <v>0</v>
      </c>
      <c r="P14" s="21">
        <f t="shared" si="8"/>
        <v>0</v>
      </c>
      <c r="Q14" s="21">
        <f t="shared" si="9"/>
        <v>0</v>
      </c>
      <c r="R14" s="41"/>
    </row>
    <row r="15" spans="1:18" ht="15.75">
      <c r="A15" s="40"/>
      <c r="B15" s="18"/>
      <c r="C15" s="18"/>
      <c r="D15" s="19"/>
      <c r="E15" s="19"/>
      <c r="F15" s="20">
        <f t="shared" si="0"/>
        <v>0</v>
      </c>
      <c r="G15" s="20">
        <f>+[1]OT!M10</f>
        <v>0</v>
      </c>
      <c r="H15" s="20">
        <f t="shared" si="1"/>
        <v>0</v>
      </c>
      <c r="I15" s="20"/>
      <c r="J15" s="20">
        <f t="shared" si="2"/>
        <v>0</v>
      </c>
      <c r="K15" s="20">
        <f t="shared" si="3"/>
        <v>0</v>
      </c>
      <c r="L15" s="20">
        <f t="shared" si="4"/>
        <v>0</v>
      </c>
      <c r="M15" s="21">
        <f t="shared" si="5"/>
        <v>0</v>
      </c>
      <c r="N15" s="21">
        <f t="shared" si="6"/>
        <v>0</v>
      </c>
      <c r="O15" s="21">
        <f t="shared" si="7"/>
        <v>0</v>
      </c>
      <c r="P15" s="21">
        <f t="shared" si="8"/>
        <v>0</v>
      </c>
      <c r="Q15" s="21">
        <f t="shared" si="9"/>
        <v>0</v>
      </c>
      <c r="R15" s="41"/>
    </row>
    <row r="16" spans="1:18" ht="15.75">
      <c r="A16" s="40"/>
      <c r="B16" s="18"/>
      <c r="C16" s="18"/>
      <c r="D16" s="19"/>
      <c r="E16" s="19"/>
      <c r="F16" s="20">
        <f t="shared" si="0"/>
        <v>0</v>
      </c>
      <c r="G16" s="20">
        <f>+[1]OT!M11</f>
        <v>0</v>
      </c>
      <c r="H16" s="20">
        <f t="shared" si="1"/>
        <v>0</v>
      </c>
      <c r="I16" s="20"/>
      <c r="J16" s="20">
        <f t="shared" si="2"/>
        <v>0</v>
      </c>
      <c r="K16" s="20">
        <f t="shared" si="3"/>
        <v>0</v>
      </c>
      <c r="L16" s="20">
        <f t="shared" si="4"/>
        <v>0</v>
      </c>
      <c r="M16" s="21">
        <f t="shared" si="5"/>
        <v>0</v>
      </c>
      <c r="N16" s="21">
        <f t="shared" si="6"/>
        <v>0</v>
      </c>
      <c r="O16" s="21">
        <f t="shared" si="7"/>
        <v>0</v>
      </c>
      <c r="P16" s="21">
        <f t="shared" si="8"/>
        <v>0</v>
      </c>
      <c r="Q16" s="21">
        <f t="shared" si="9"/>
        <v>0</v>
      </c>
      <c r="R16" s="41"/>
    </row>
    <row r="17" spans="1:18" ht="15.75">
      <c r="A17" s="40"/>
      <c r="B17" s="18"/>
      <c r="C17" s="18"/>
      <c r="D17" s="19"/>
      <c r="E17" s="19"/>
      <c r="F17" s="20">
        <f t="shared" si="0"/>
        <v>0</v>
      </c>
      <c r="G17" s="20">
        <f>+[1]OT!M12</f>
        <v>0</v>
      </c>
      <c r="H17" s="20">
        <f t="shared" si="1"/>
        <v>0</v>
      </c>
      <c r="I17" s="20"/>
      <c r="J17" s="20">
        <f t="shared" si="2"/>
        <v>0</v>
      </c>
      <c r="K17" s="20">
        <f t="shared" si="3"/>
        <v>0</v>
      </c>
      <c r="L17" s="20">
        <f t="shared" si="4"/>
        <v>0</v>
      </c>
      <c r="M17" s="21">
        <f t="shared" si="5"/>
        <v>0</v>
      </c>
      <c r="N17" s="21">
        <f t="shared" si="6"/>
        <v>0</v>
      </c>
      <c r="O17" s="21">
        <f t="shared" si="7"/>
        <v>0</v>
      </c>
      <c r="P17" s="21">
        <f t="shared" si="8"/>
        <v>0</v>
      </c>
      <c r="Q17" s="21">
        <f t="shared" si="9"/>
        <v>0</v>
      </c>
      <c r="R17" s="41"/>
    </row>
    <row r="18" spans="1:18" ht="15.75">
      <c r="A18" s="40"/>
      <c r="B18" s="18"/>
      <c r="C18" s="18"/>
      <c r="D18" s="19"/>
      <c r="E18" s="19"/>
      <c r="F18" s="20">
        <f t="shared" si="0"/>
        <v>0</v>
      </c>
      <c r="G18" s="20">
        <f>+[1]OT!M13</f>
        <v>0</v>
      </c>
      <c r="H18" s="20">
        <f t="shared" si="1"/>
        <v>0</v>
      </c>
      <c r="I18" s="20"/>
      <c r="J18" s="20">
        <f t="shared" si="2"/>
        <v>0</v>
      </c>
      <c r="K18" s="20">
        <f t="shared" si="3"/>
        <v>0</v>
      </c>
      <c r="L18" s="20">
        <f t="shared" si="4"/>
        <v>0</v>
      </c>
      <c r="M18" s="21">
        <f t="shared" si="5"/>
        <v>0</v>
      </c>
      <c r="N18" s="21">
        <f t="shared" si="6"/>
        <v>0</v>
      </c>
      <c r="O18" s="21">
        <f t="shared" si="7"/>
        <v>0</v>
      </c>
      <c r="P18" s="21">
        <f t="shared" si="8"/>
        <v>0</v>
      </c>
      <c r="Q18" s="21">
        <f t="shared" si="9"/>
        <v>0</v>
      </c>
      <c r="R18" s="41"/>
    </row>
    <row r="19" spans="1:18" ht="15.75">
      <c r="A19" s="40"/>
      <c r="B19" s="18"/>
      <c r="C19" s="18"/>
      <c r="D19" s="19"/>
      <c r="E19" s="19"/>
      <c r="F19" s="20">
        <f t="shared" si="0"/>
        <v>0</v>
      </c>
      <c r="G19" s="20">
        <f>+[1]OT!M14</f>
        <v>0</v>
      </c>
      <c r="H19" s="20">
        <f t="shared" si="1"/>
        <v>0</v>
      </c>
      <c r="I19" s="20"/>
      <c r="J19" s="20">
        <f t="shared" si="2"/>
        <v>0</v>
      </c>
      <c r="K19" s="20">
        <f t="shared" si="3"/>
        <v>0</v>
      </c>
      <c r="L19" s="20">
        <f t="shared" si="4"/>
        <v>0</v>
      </c>
      <c r="M19" s="21">
        <f t="shared" si="5"/>
        <v>0</v>
      </c>
      <c r="N19" s="21">
        <f t="shared" si="6"/>
        <v>0</v>
      </c>
      <c r="O19" s="21">
        <f t="shared" si="7"/>
        <v>0</v>
      </c>
      <c r="P19" s="21">
        <f t="shared" si="8"/>
        <v>0</v>
      </c>
      <c r="Q19" s="21">
        <f t="shared" si="9"/>
        <v>0</v>
      </c>
      <c r="R19" s="41"/>
    </row>
    <row r="20" spans="1:18" ht="15.75">
      <c r="A20" s="40"/>
      <c r="B20" s="18"/>
      <c r="C20" s="18"/>
      <c r="D20" s="19"/>
      <c r="E20" s="19"/>
      <c r="F20" s="20">
        <f t="shared" si="0"/>
        <v>0</v>
      </c>
      <c r="G20" s="20">
        <f>+[1]OT!M15</f>
        <v>0</v>
      </c>
      <c r="H20" s="20">
        <f t="shared" si="1"/>
        <v>0</v>
      </c>
      <c r="I20" s="20"/>
      <c r="J20" s="20">
        <f t="shared" si="2"/>
        <v>0</v>
      </c>
      <c r="K20" s="20">
        <f t="shared" si="3"/>
        <v>0</v>
      </c>
      <c r="L20" s="20">
        <f t="shared" si="4"/>
        <v>0</v>
      </c>
      <c r="M20" s="21">
        <f t="shared" si="5"/>
        <v>0</v>
      </c>
      <c r="N20" s="21">
        <f t="shared" si="6"/>
        <v>0</v>
      </c>
      <c r="O20" s="21">
        <f t="shared" si="7"/>
        <v>0</v>
      </c>
      <c r="P20" s="21">
        <f t="shared" si="8"/>
        <v>0</v>
      </c>
      <c r="Q20" s="21">
        <f t="shared" si="9"/>
        <v>0</v>
      </c>
      <c r="R20" s="41"/>
    </row>
    <row r="21" spans="1:18" ht="15.75">
      <c r="A21" s="40"/>
      <c r="B21" s="18"/>
      <c r="C21" s="18"/>
      <c r="D21" s="19"/>
      <c r="E21" s="19"/>
      <c r="F21" s="20">
        <f t="shared" si="0"/>
        <v>0</v>
      </c>
      <c r="G21" s="20">
        <f>+[1]OT!M16</f>
        <v>0</v>
      </c>
      <c r="H21" s="20">
        <f t="shared" si="1"/>
        <v>0</v>
      </c>
      <c r="I21" s="20"/>
      <c r="J21" s="20">
        <f t="shared" si="2"/>
        <v>0</v>
      </c>
      <c r="K21" s="20">
        <f t="shared" si="3"/>
        <v>0</v>
      </c>
      <c r="L21" s="20">
        <f t="shared" si="4"/>
        <v>0</v>
      </c>
      <c r="M21" s="21">
        <f t="shared" si="5"/>
        <v>0</v>
      </c>
      <c r="N21" s="21">
        <f t="shared" si="6"/>
        <v>0</v>
      </c>
      <c r="O21" s="21">
        <f t="shared" si="7"/>
        <v>0</v>
      </c>
      <c r="P21" s="21">
        <f t="shared" si="8"/>
        <v>0</v>
      </c>
      <c r="Q21" s="21">
        <f t="shared" si="9"/>
        <v>0</v>
      </c>
      <c r="R21" s="41"/>
    </row>
    <row r="22" spans="1:18" ht="15.75">
      <c r="A22" s="40"/>
      <c r="B22" s="18"/>
      <c r="C22" s="18"/>
      <c r="D22" s="19"/>
      <c r="E22" s="19"/>
      <c r="F22" s="20">
        <f t="shared" si="0"/>
        <v>0</v>
      </c>
      <c r="G22" s="20">
        <f>+[1]OT!M17</f>
        <v>0</v>
      </c>
      <c r="H22" s="20">
        <f t="shared" si="1"/>
        <v>0</v>
      </c>
      <c r="I22" s="20"/>
      <c r="J22" s="20">
        <f t="shared" si="2"/>
        <v>0</v>
      </c>
      <c r="K22" s="20">
        <f t="shared" si="3"/>
        <v>0</v>
      </c>
      <c r="L22" s="20">
        <f t="shared" si="4"/>
        <v>0</v>
      </c>
      <c r="M22" s="21">
        <f t="shared" si="5"/>
        <v>0</v>
      </c>
      <c r="N22" s="21">
        <f t="shared" si="6"/>
        <v>0</v>
      </c>
      <c r="O22" s="21">
        <f t="shared" si="7"/>
        <v>0</v>
      </c>
      <c r="P22" s="21">
        <f t="shared" si="8"/>
        <v>0</v>
      </c>
      <c r="Q22" s="21">
        <f t="shared" si="9"/>
        <v>0</v>
      </c>
      <c r="R22" s="41"/>
    </row>
    <row r="23" spans="1:18" ht="15.75">
      <c r="A23" s="40"/>
      <c r="B23" s="18"/>
      <c r="C23" s="18"/>
      <c r="D23" s="19"/>
      <c r="E23" s="19"/>
      <c r="F23" s="20">
        <f t="shared" si="0"/>
        <v>0</v>
      </c>
      <c r="G23" s="20">
        <f>+[1]OT!M18</f>
        <v>0</v>
      </c>
      <c r="H23" s="20">
        <f t="shared" si="1"/>
        <v>0</v>
      </c>
      <c r="I23" s="20"/>
      <c r="J23" s="20">
        <f t="shared" si="2"/>
        <v>0</v>
      </c>
      <c r="K23" s="20">
        <f t="shared" si="3"/>
        <v>0</v>
      </c>
      <c r="L23" s="20">
        <f t="shared" si="4"/>
        <v>0</v>
      </c>
      <c r="M23" s="21">
        <f t="shared" si="5"/>
        <v>0</v>
      </c>
      <c r="N23" s="21">
        <f t="shared" si="6"/>
        <v>0</v>
      </c>
      <c r="O23" s="21">
        <f t="shared" si="7"/>
        <v>0</v>
      </c>
      <c r="P23" s="21">
        <f t="shared" si="8"/>
        <v>0</v>
      </c>
      <c r="Q23" s="21">
        <f t="shared" si="9"/>
        <v>0</v>
      </c>
      <c r="R23" s="41"/>
    </row>
    <row r="24" spans="1:18" ht="15.75">
      <c r="A24" s="40"/>
      <c r="B24" s="18"/>
      <c r="C24" s="18"/>
      <c r="D24" s="19"/>
      <c r="E24" s="19"/>
      <c r="F24" s="20">
        <f t="shared" si="0"/>
        <v>0</v>
      </c>
      <c r="G24" s="20">
        <f>+[1]OT!M19</f>
        <v>0</v>
      </c>
      <c r="H24" s="20">
        <f t="shared" si="1"/>
        <v>0</v>
      </c>
      <c r="I24" s="20"/>
      <c r="J24" s="20">
        <f t="shared" si="2"/>
        <v>0</v>
      </c>
      <c r="K24" s="20">
        <f t="shared" si="3"/>
        <v>0</v>
      </c>
      <c r="L24" s="20">
        <f t="shared" si="4"/>
        <v>0</v>
      </c>
      <c r="M24" s="21">
        <f t="shared" si="5"/>
        <v>0</v>
      </c>
      <c r="N24" s="21">
        <f t="shared" si="6"/>
        <v>0</v>
      </c>
      <c r="O24" s="21">
        <f t="shared" si="7"/>
        <v>0</v>
      </c>
      <c r="P24" s="21">
        <f t="shared" si="8"/>
        <v>0</v>
      </c>
      <c r="Q24" s="21">
        <f t="shared" si="9"/>
        <v>0</v>
      </c>
      <c r="R24" s="41"/>
    </row>
    <row r="25" spans="1:18" ht="15.75">
      <c r="A25" s="40"/>
      <c r="B25" s="18"/>
      <c r="C25" s="18"/>
      <c r="D25" s="19"/>
      <c r="E25" s="19"/>
      <c r="F25" s="20">
        <f t="shared" si="0"/>
        <v>0</v>
      </c>
      <c r="G25" s="20">
        <f>+[1]OT!M20</f>
        <v>0</v>
      </c>
      <c r="H25" s="20">
        <f t="shared" si="1"/>
        <v>0</v>
      </c>
      <c r="I25" s="20"/>
      <c r="J25" s="20">
        <f t="shared" si="2"/>
        <v>0</v>
      </c>
      <c r="K25" s="20">
        <f t="shared" si="3"/>
        <v>0</v>
      </c>
      <c r="L25" s="20">
        <f t="shared" si="4"/>
        <v>0</v>
      </c>
      <c r="M25" s="21">
        <f t="shared" si="5"/>
        <v>0</v>
      </c>
      <c r="N25" s="21">
        <f t="shared" si="6"/>
        <v>0</v>
      </c>
      <c r="O25" s="21">
        <f t="shared" si="7"/>
        <v>0</v>
      </c>
      <c r="P25" s="21">
        <f t="shared" si="8"/>
        <v>0</v>
      </c>
      <c r="Q25" s="21">
        <f t="shared" si="9"/>
        <v>0</v>
      </c>
      <c r="R25" s="41"/>
    </row>
    <row r="26" spans="1:18" ht="15.75">
      <c r="A26" s="40"/>
      <c r="B26" s="18"/>
      <c r="C26" s="18"/>
      <c r="D26" s="19"/>
      <c r="E26" s="19"/>
      <c r="F26" s="20">
        <f t="shared" si="0"/>
        <v>0</v>
      </c>
      <c r="G26" s="20">
        <f>+[1]OT!M21</f>
        <v>0</v>
      </c>
      <c r="H26" s="20">
        <f t="shared" si="1"/>
        <v>0</v>
      </c>
      <c r="I26" s="20"/>
      <c r="J26" s="20">
        <f t="shared" si="2"/>
        <v>0</v>
      </c>
      <c r="K26" s="20">
        <f t="shared" si="3"/>
        <v>0</v>
      </c>
      <c r="L26" s="20">
        <f t="shared" si="4"/>
        <v>0</v>
      </c>
      <c r="M26" s="21">
        <f t="shared" si="5"/>
        <v>0</v>
      </c>
      <c r="N26" s="21">
        <f t="shared" si="6"/>
        <v>0</v>
      </c>
      <c r="O26" s="21">
        <f t="shared" si="7"/>
        <v>0</v>
      </c>
      <c r="P26" s="21">
        <f t="shared" si="8"/>
        <v>0</v>
      </c>
      <c r="Q26" s="21">
        <f t="shared" si="9"/>
        <v>0</v>
      </c>
      <c r="R26" s="41"/>
    </row>
    <row r="27" spans="1:18" ht="15.75">
      <c r="A27" s="42"/>
      <c r="B27" s="22"/>
      <c r="C27" s="22"/>
      <c r="D27" s="23"/>
      <c r="E27" s="23"/>
      <c r="F27" s="24">
        <f t="shared" si="0"/>
        <v>0</v>
      </c>
      <c r="G27" s="24">
        <f>+[1]OT!M22</f>
        <v>0</v>
      </c>
      <c r="H27" s="24">
        <f t="shared" si="1"/>
        <v>0</v>
      </c>
      <c r="I27" s="24"/>
      <c r="J27" s="24">
        <f t="shared" si="2"/>
        <v>0</v>
      </c>
      <c r="K27" s="24">
        <f t="shared" si="3"/>
        <v>0</v>
      </c>
      <c r="L27" s="24">
        <f t="shared" si="4"/>
        <v>0</v>
      </c>
      <c r="M27" s="25">
        <f t="shared" si="5"/>
        <v>0</v>
      </c>
      <c r="N27" s="25">
        <f t="shared" si="6"/>
        <v>0</v>
      </c>
      <c r="O27" s="25">
        <f t="shared" si="7"/>
        <v>0</v>
      </c>
      <c r="P27" s="25">
        <f t="shared" si="8"/>
        <v>0</v>
      </c>
      <c r="Q27" s="25">
        <f t="shared" si="9"/>
        <v>0</v>
      </c>
      <c r="R27" s="43"/>
    </row>
    <row r="28" spans="1:18" ht="15.75">
      <c r="A28" s="59" t="s">
        <v>29</v>
      </c>
      <c r="B28" s="60"/>
      <c r="C28" s="60"/>
      <c r="D28" s="60"/>
      <c r="E28" s="61"/>
      <c r="F28" s="26">
        <f>SUM(F12:F27)</f>
        <v>0</v>
      </c>
      <c r="G28" s="26">
        <f t="shared" ref="G28:Q28" si="10">SUM(G12:G27)</f>
        <v>0</v>
      </c>
      <c r="H28" s="26">
        <f t="shared" si="10"/>
        <v>0</v>
      </c>
      <c r="I28" s="26">
        <f t="shared" si="10"/>
        <v>0</v>
      </c>
      <c r="J28" s="26">
        <f t="shared" si="10"/>
        <v>0</v>
      </c>
      <c r="K28" s="26">
        <f t="shared" si="10"/>
        <v>0</v>
      </c>
      <c r="L28" s="26">
        <f t="shared" si="10"/>
        <v>0</v>
      </c>
      <c r="M28" s="26">
        <f t="shared" si="10"/>
        <v>0</v>
      </c>
      <c r="N28" s="26">
        <f t="shared" si="10"/>
        <v>0</v>
      </c>
      <c r="O28" s="26">
        <f t="shared" si="10"/>
        <v>0</v>
      </c>
      <c r="P28" s="26">
        <f t="shared" si="10"/>
        <v>0</v>
      </c>
      <c r="Q28" s="26">
        <f t="shared" si="10"/>
        <v>0</v>
      </c>
      <c r="R28" s="44"/>
    </row>
    <row r="29" spans="1:18" ht="15.75">
      <c r="A29" s="45" t="s">
        <v>30</v>
      </c>
      <c r="B29" s="46"/>
      <c r="C29" s="47"/>
      <c r="D29" s="48"/>
      <c r="E29" s="27"/>
      <c r="F29" s="49"/>
      <c r="G29" s="28"/>
      <c r="H29" s="28"/>
      <c r="I29" s="28"/>
      <c r="J29" s="28"/>
      <c r="K29" s="28"/>
      <c r="L29" s="46"/>
      <c r="M29" s="49"/>
      <c r="N29" s="49"/>
      <c r="O29" s="49"/>
      <c r="P29" s="49"/>
      <c r="Q29" s="49"/>
      <c r="R29" s="50"/>
    </row>
    <row r="30" spans="1:18" ht="15.75">
      <c r="A30" s="45"/>
      <c r="B30" s="46"/>
      <c r="C30" s="47"/>
      <c r="D30" s="48"/>
      <c r="E30" s="27"/>
      <c r="F30" s="28"/>
      <c r="G30" s="28" t="s">
        <v>31</v>
      </c>
      <c r="H30" s="28"/>
      <c r="I30" s="28"/>
      <c r="J30" s="28"/>
      <c r="K30" s="28"/>
      <c r="L30" s="46"/>
      <c r="M30" s="49"/>
      <c r="N30" s="49"/>
      <c r="O30" s="49"/>
      <c r="P30" s="49"/>
      <c r="Q30" s="49"/>
      <c r="R30" s="50"/>
    </row>
    <row r="31" spans="1:18" ht="16.5" thickBot="1">
      <c r="A31" s="51" t="s">
        <v>32</v>
      </c>
      <c r="B31" s="52"/>
      <c r="C31" s="53"/>
      <c r="D31" s="54"/>
      <c r="E31" s="55"/>
      <c r="F31" s="56"/>
      <c r="G31" s="57"/>
      <c r="H31" s="57"/>
      <c r="I31" s="57"/>
      <c r="J31" s="57"/>
      <c r="K31" s="57"/>
      <c r="L31" s="52"/>
      <c r="M31" s="56"/>
      <c r="N31" s="56"/>
      <c r="O31" s="56"/>
      <c r="P31" s="56"/>
      <c r="Q31" s="56"/>
      <c r="R31" s="58"/>
    </row>
  </sheetData>
  <mergeCells count="25">
    <mergeCell ref="J6:N6"/>
    <mergeCell ref="A8:A11"/>
    <mergeCell ref="B8:B11"/>
    <mergeCell ref="C8:C11"/>
    <mergeCell ref="D8:D11"/>
    <mergeCell ref="E8:E11"/>
    <mergeCell ref="G8:G11"/>
    <mergeCell ref="H8:H11"/>
    <mergeCell ref="I8:I11"/>
    <mergeCell ref="J8:J11"/>
    <mergeCell ref="A1:C1"/>
    <mergeCell ref="D1:Q1"/>
    <mergeCell ref="A2:C2"/>
    <mergeCell ref="A3:A4"/>
    <mergeCell ref="D3:Q3"/>
    <mergeCell ref="A28:E28"/>
    <mergeCell ref="K8:O8"/>
    <mergeCell ref="Q8:Q10"/>
    <mergeCell ref="R8:R11"/>
    <mergeCell ref="K9:L9"/>
    <mergeCell ref="M9:M11"/>
    <mergeCell ref="N9:N11"/>
    <mergeCell ref="O9:O11"/>
    <mergeCell ref="P8:P11"/>
    <mergeCell ref="F8:F11"/>
  </mergeCells>
  <printOptions horizontalCentered="1" verticalCentered="1"/>
  <pageMargins left="0.17" right="0.17" top="0.75" bottom="0.75" header="0.3" footer="0.3"/>
  <pageSetup scale="75"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Payoll Dailly 2nd Half</vt:lpstr>
      <vt:lpstr>'Payoll Dailly 2nd Half'!Print_Area</vt:lpstr>
      <vt:lpstr>'Payoll Dailly 2nd Half'!Print_Titles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2019-07-23T11:41:21Z</cp:lastPrinted>
  <dcterms:created xsi:type="dcterms:W3CDTF">2019-03-16T05:09:12Z</dcterms:created>
  <dcterms:modified xsi:type="dcterms:W3CDTF">2019-07-23T11:41:21Z</dcterms:modified>
</cp:coreProperties>
</file>