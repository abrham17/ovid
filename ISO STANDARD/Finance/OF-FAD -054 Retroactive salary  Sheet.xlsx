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-285" windowWidth="20055" windowHeight="7935" tabRatio="573"/>
  </bookViews>
  <sheets>
    <sheet name="Sheet 1" sheetId="6" r:id="rId1"/>
  </sheets>
  <definedNames>
    <definedName name="_xlnm.Print_Area" localSheetId="0">'Sheet 1'!$A$1:$E$50</definedName>
  </definedNames>
  <calcPr calcId="124519"/>
</workbook>
</file>

<file path=xl/calcChain.xml><?xml version="1.0" encoding="utf-8"?>
<calcChain xmlns="http://schemas.openxmlformats.org/spreadsheetml/2006/main">
  <c r="E42" i="6"/>
  <c r="E41"/>
  <c r="E40"/>
  <c r="E39"/>
  <c r="E38"/>
  <c r="D36"/>
  <c r="D34"/>
  <c r="C34"/>
  <c r="D33"/>
  <c r="D43" s="1"/>
  <c r="C33"/>
  <c r="E31"/>
  <c r="D29"/>
  <c r="D30" s="1"/>
  <c r="C29"/>
  <c r="E28"/>
  <c r="E27"/>
  <c r="E26"/>
  <c r="E25"/>
  <c r="E24"/>
  <c r="E23"/>
  <c r="E22"/>
  <c r="E21"/>
  <c r="E20"/>
  <c r="E19"/>
  <c r="E18"/>
  <c r="E17"/>
  <c r="E16"/>
  <c r="E15"/>
  <c r="E33" l="1"/>
  <c r="E29"/>
  <c r="C30"/>
  <c r="C35" s="1"/>
  <c r="E34"/>
  <c r="D35"/>
  <c r="D44"/>
  <c r="D37"/>
  <c r="C37"/>
  <c r="E35" l="1"/>
  <c r="C32"/>
  <c r="C43" s="1"/>
  <c r="E43" s="1"/>
  <c r="E30"/>
  <c r="E37"/>
  <c r="E44" l="1"/>
  <c r="C36"/>
  <c r="E36" s="1"/>
  <c r="C44"/>
  <c r="E32"/>
</calcChain>
</file>

<file path=xl/sharedStrings.xml><?xml version="1.0" encoding="utf-8"?>
<sst xmlns="http://schemas.openxmlformats.org/spreadsheetml/2006/main" count="57" uniqueCount="55">
  <si>
    <t xml:space="preserve">Project: </t>
  </si>
  <si>
    <t>Particulars</t>
  </si>
  <si>
    <t>Actual 
salary</t>
  </si>
  <si>
    <t xml:space="preserve">                                    Total</t>
  </si>
  <si>
    <t>A. Basic salry</t>
  </si>
  <si>
    <t>B. Over Time</t>
  </si>
  <si>
    <t>C. Taxable Allowances</t>
  </si>
  <si>
    <t>I. Earnings</t>
  </si>
  <si>
    <t>II. Deductions</t>
  </si>
  <si>
    <t xml:space="preserve">      Income Tax</t>
  </si>
  <si>
    <t xml:space="preserve">     Pension from Employee 7%</t>
  </si>
  <si>
    <t>Gross earning and Company Pens. Con 11%</t>
  </si>
  <si>
    <t xml:space="preserve">            Total Pension Contr.</t>
  </si>
  <si>
    <t xml:space="preserve">            Loan</t>
  </si>
  <si>
    <t xml:space="preserve">            Fine</t>
  </si>
  <si>
    <t xml:space="preserve">            Other Deduc. 2.</t>
  </si>
  <si>
    <t xml:space="preserve">            Other Deduc. 3.</t>
  </si>
  <si>
    <t xml:space="preserve">           Total deductions</t>
  </si>
  <si>
    <t xml:space="preserve">            Net Pay</t>
  </si>
  <si>
    <t xml:space="preserve">  1. House Allowance</t>
  </si>
  <si>
    <t xml:space="preserve">  2. Responsibility Allowance</t>
  </si>
  <si>
    <t xml:space="preserve">  3 .Transport Allowance</t>
  </si>
  <si>
    <t xml:space="preserve">  4. professinal Allowance</t>
  </si>
  <si>
    <t xml:space="preserve">  5. Project Allowance</t>
  </si>
  <si>
    <t xml:space="preserve">  7. Hardship Allowance</t>
  </si>
  <si>
    <t xml:space="preserve">  1. Normal days       Hrs       X   1.25 =                 </t>
  </si>
  <si>
    <t xml:space="preserve">  2. Sunday                  Hrs     X    2.00 =               </t>
  </si>
  <si>
    <t xml:space="preserve">                                   Total  Allowances</t>
  </si>
  <si>
    <t xml:space="preserve">                                  Gross Earnings (A+B+C)</t>
  </si>
  <si>
    <t xml:space="preserve">     Company pension Con. 11%</t>
  </si>
  <si>
    <r>
      <t xml:space="preserve">  3. Public Holiday   Hrs     X    2.50 = </t>
    </r>
    <r>
      <rPr>
        <u/>
        <sz val="11"/>
        <color theme="1"/>
        <rFont val="Times New Roman"/>
        <family val="1"/>
      </rPr>
      <t xml:space="preserve">              </t>
    </r>
    <r>
      <rPr>
        <sz val="11"/>
        <color theme="1"/>
        <rFont val="Times New Roman"/>
        <family val="1"/>
      </rPr>
      <t xml:space="preserve">   </t>
    </r>
  </si>
  <si>
    <t>Prviously
 Paid Salary
As Per _______</t>
  </si>
  <si>
    <r>
      <rPr>
        <b/>
        <sz val="11"/>
        <color theme="1"/>
        <rFont val="Times New Roman"/>
        <family val="1"/>
      </rPr>
      <t xml:space="preserve">Less </t>
    </r>
    <r>
      <rPr>
        <sz val="11"/>
        <color theme="1"/>
        <rFont val="Times New Roman"/>
        <family val="1"/>
      </rPr>
      <t>:   Income Tax</t>
    </r>
  </si>
  <si>
    <t>Prepared By  _________________</t>
  </si>
  <si>
    <t>Signature       _________________</t>
  </si>
  <si>
    <t>Date             _________________</t>
  </si>
  <si>
    <t>Cheked By  _________________</t>
  </si>
  <si>
    <t>Employee Name ___________________</t>
  </si>
  <si>
    <t>signature            ___________________</t>
  </si>
  <si>
    <t>Differnce to be Paid
 /To Be Refund/</t>
  </si>
  <si>
    <t xml:space="preserve">            Other Deduc. 1.Abay Bond</t>
  </si>
  <si>
    <t>Signature _________________</t>
  </si>
  <si>
    <t>Date      _________________</t>
  </si>
  <si>
    <t>Aproved By  ______________</t>
  </si>
  <si>
    <t xml:space="preserve">  6. Displcemnt  Allowance</t>
  </si>
  <si>
    <t>አሰር ኮንሰትራክሽንኃ.የተ.የግ.ማ</t>
  </si>
  <si>
    <t>Document No</t>
  </si>
  <si>
    <t>ASER CONSTRUCTION P.L.C</t>
  </si>
  <si>
    <t>FORM</t>
  </si>
  <si>
    <t>Issue .No</t>
  </si>
  <si>
    <t>Name of Employee:</t>
  </si>
  <si>
    <t xml:space="preserve">Salary Per Month Birr  / Per Day Birr                   </t>
  </si>
  <si>
    <t xml:space="preserve">Date: </t>
  </si>
  <si>
    <t>OF/FAD/054</t>
  </si>
  <si>
    <t xml:space="preserve">Retroactive salary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</si>
</sst>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 val="double"/>
      <sz val="11"/>
      <color theme="1"/>
      <name val="Times New Roman"/>
      <family val="1"/>
    </font>
    <font>
      <b/>
      <sz val="14"/>
      <color theme="1"/>
      <name val="Ge'ez-1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43" fontId="2" fillId="0" borderId="1" xfId="1" applyFont="1" applyBorder="1"/>
    <xf numFmtId="43" fontId="2" fillId="2" borderId="2" xfId="1" applyFont="1" applyFill="1" applyBorder="1"/>
    <xf numFmtId="43" fontId="4" fillId="0" borderId="1" xfId="1" applyFont="1" applyBorder="1"/>
    <xf numFmtId="43" fontId="5" fillId="0" borderId="1" xfId="1" applyFont="1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4" fillId="0" borderId="3" xfId="0" applyFont="1" applyBorder="1" applyAlignment="1">
      <alignment vertical="center"/>
    </xf>
    <xf numFmtId="43" fontId="2" fillId="0" borderId="3" xfId="1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4" xfId="0" applyFont="1" applyBorder="1"/>
    <xf numFmtId="0" fontId="2" fillId="0" borderId="16" xfId="0" applyFont="1" applyBorder="1" applyAlignment="1"/>
    <xf numFmtId="0" fontId="2" fillId="0" borderId="17" xfId="0" applyFont="1" applyBorder="1" applyAlignme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Border="1"/>
    <xf numFmtId="0" fontId="9" fillId="0" borderId="14" xfId="0" applyFont="1" applyBorder="1" applyAlignment="1">
      <alignment horizontal="center"/>
    </xf>
    <xf numFmtId="0" fontId="10" fillId="0" borderId="9" xfId="0" applyFont="1" applyBorder="1"/>
    <xf numFmtId="0" fontId="10" fillId="0" borderId="11" xfId="0" applyFont="1" applyBorder="1"/>
    <xf numFmtId="0" fontId="9" fillId="0" borderId="1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3</xdr:row>
      <xdr:rowOff>110836</xdr:rowOff>
    </xdr:from>
    <xdr:to>
      <xdr:col>1</xdr:col>
      <xdr:colOff>1714500</xdr:colOff>
      <xdr:row>5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" y="796636"/>
          <a:ext cx="1190625" cy="61306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>
      <selection activeCell="G48" sqref="G48"/>
    </sheetView>
  </sheetViews>
  <sheetFormatPr defaultRowHeight="15"/>
  <cols>
    <col min="1" max="1" width="3.5703125" customWidth="1"/>
    <col min="2" max="2" width="43.5703125" customWidth="1"/>
    <col min="3" max="3" width="17.140625" customWidth="1"/>
    <col min="4" max="4" width="19.28515625" customWidth="1"/>
    <col min="5" max="5" width="19.42578125" customWidth="1"/>
  </cols>
  <sheetData>
    <row r="1" spans="1:5" ht="15.75" thickBot="1">
      <c r="C1" s="13"/>
    </row>
    <row r="2" spans="1:5" ht="18.75" thickBot="1">
      <c r="A2" s="22" t="s">
        <v>45</v>
      </c>
      <c r="B2" s="23"/>
      <c r="C2" s="26"/>
      <c r="D2" s="26"/>
      <c r="E2" s="27" t="s">
        <v>46</v>
      </c>
    </row>
    <row r="3" spans="1:5" ht="19.5" thickBot="1">
      <c r="A3" s="25" t="s">
        <v>47</v>
      </c>
      <c r="B3" s="24"/>
      <c r="C3" s="28" t="s">
        <v>48</v>
      </c>
      <c r="D3" s="29"/>
      <c r="E3" s="27" t="s">
        <v>53</v>
      </c>
    </row>
    <row r="4" spans="1:5" ht="16.5" thickBot="1">
      <c r="A4" s="9"/>
      <c r="B4" s="11"/>
      <c r="C4" s="30" t="s">
        <v>54</v>
      </c>
      <c r="D4" s="31"/>
      <c r="E4" s="27" t="s">
        <v>49</v>
      </c>
    </row>
    <row r="5" spans="1:5" ht="15.75">
      <c r="A5" s="9"/>
      <c r="B5" s="11"/>
      <c r="C5" s="32"/>
      <c r="D5" s="32"/>
      <c r="E5" s="33">
        <v>1</v>
      </c>
    </row>
    <row r="6" spans="1:5" ht="35.25" customHeight="1" thickBot="1">
      <c r="A6" s="12"/>
      <c r="B6" s="14"/>
      <c r="C6" s="34"/>
      <c r="D6" s="35"/>
      <c r="E6" s="36"/>
    </row>
    <row r="7" spans="1:5" ht="5.25" customHeight="1">
      <c r="C7" s="10"/>
    </row>
    <row r="8" spans="1:5" s="1" customFormat="1" ht="20.25" customHeight="1">
      <c r="E8" s="19" t="s">
        <v>52</v>
      </c>
    </row>
    <row r="9" spans="1:5" s="1" customFormat="1" ht="19.5" customHeight="1">
      <c r="B9" s="20" t="s">
        <v>50</v>
      </c>
      <c r="C9" s="21"/>
      <c r="D9" s="2"/>
    </row>
    <row r="10" spans="1:5" s="1" customFormat="1" ht="19.5" customHeight="1">
      <c r="B10" s="19" t="s">
        <v>51</v>
      </c>
      <c r="C10" s="19"/>
    </row>
    <row r="11" spans="1:5" s="1" customFormat="1" ht="19.5" customHeight="1">
      <c r="B11" s="19" t="s">
        <v>0</v>
      </c>
      <c r="C11" s="19"/>
    </row>
    <row r="12" spans="1:5" s="1" customFormat="1" ht="12" customHeight="1" thickBot="1"/>
    <row r="13" spans="1:5" s="1" customFormat="1" ht="43.5" customHeight="1" thickBot="1">
      <c r="B13" s="18" t="s">
        <v>1</v>
      </c>
      <c r="C13" s="17" t="s">
        <v>2</v>
      </c>
      <c r="D13" s="17" t="s">
        <v>31</v>
      </c>
      <c r="E13" s="17" t="s">
        <v>39</v>
      </c>
    </row>
    <row r="14" spans="1:5" s="1" customFormat="1">
      <c r="B14" s="15" t="s">
        <v>7</v>
      </c>
      <c r="C14" s="16"/>
      <c r="D14" s="16"/>
      <c r="E14" s="16"/>
    </row>
    <row r="15" spans="1:5" s="1" customFormat="1">
      <c r="B15" s="4" t="s">
        <v>4</v>
      </c>
      <c r="C15" s="7"/>
      <c r="D15" s="7"/>
      <c r="E15" s="7">
        <f>+C15-D15</f>
        <v>0</v>
      </c>
    </row>
    <row r="16" spans="1:5" s="1" customFormat="1">
      <c r="B16" s="4" t="s">
        <v>5</v>
      </c>
      <c r="C16" s="5"/>
      <c r="D16" s="5"/>
      <c r="E16" s="5">
        <f t="shared" ref="E16:E43" si="0">+C16-D16</f>
        <v>0</v>
      </c>
    </row>
    <row r="17" spans="2:5" s="1" customFormat="1">
      <c r="B17" s="3" t="s">
        <v>25</v>
      </c>
      <c r="C17" s="5"/>
      <c r="D17" s="5"/>
      <c r="E17" s="5">
        <f t="shared" si="0"/>
        <v>0</v>
      </c>
    </row>
    <row r="18" spans="2:5" s="1" customFormat="1">
      <c r="B18" s="3" t="s">
        <v>26</v>
      </c>
      <c r="C18" s="5"/>
      <c r="D18" s="5"/>
      <c r="E18" s="5">
        <f t="shared" si="0"/>
        <v>0</v>
      </c>
    </row>
    <row r="19" spans="2:5" s="1" customFormat="1">
      <c r="B19" s="3" t="s">
        <v>30</v>
      </c>
      <c r="C19" s="5"/>
      <c r="D19" s="5"/>
      <c r="E19" s="5">
        <f t="shared" si="0"/>
        <v>0</v>
      </c>
    </row>
    <row r="20" spans="2:5" s="1" customFormat="1">
      <c r="B20" s="3" t="s">
        <v>3</v>
      </c>
      <c r="C20" s="7"/>
      <c r="D20" s="7"/>
      <c r="E20" s="7">
        <f t="shared" si="0"/>
        <v>0</v>
      </c>
    </row>
    <row r="21" spans="2:5" s="1" customFormat="1">
      <c r="B21" s="4" t="s">
        <v>6</v>
      </c>
      <c r="C21" s="5"/>
      <c r="D21" s="5"/>
      <c r="E21" s="5">
        <f t="shared" si="0"/>
        <v>0</v>
      </c>
    </row>
    <row r="22" spans="2:5" s="1" customFormat="1">
      <c r="B22" s="3" t="s">
        <v>19</v>
      </c>
      <c r="C22" s="5"/>
      <c r="D22" s="5"/>
      <c r="E22" s="5">
        <f t="shared" si="0"/>
        <v>0</v>
      </c>
    </row>
    <row r="23" spans="2:5" s="1" customFormat="1">
      <c r="B23" s="3" t="s">
        <v>20</v>
      </c>
      <c r="C23" s="5"/>
      <c r="D23" s="5"/>
      <c r="E23" s="5">
        <f t="shared" si="0"/>
        <v>0</v>
      </c>
    </row>
    <row r="24" spans="2:5" s="1" customFormat="1">
      <c r="B24" s="3" t="s">
        <v>21</v>
      </c>
      <c r="C24" s="5"/>
      <c r="D24" s="5"/>
      <c r="E24" s="5">
        <f t="shared" si="0"/>
        <v>0</v>
      </c>
    </row>
    <row r="25" spans="2:5" s="1" customFormat="1">
      <c r="B25" s="3" t="s">
        <v>22</v>
      </c>
      <c r="C25" s="5"/>
      <c r="D25" s="5"/>
      <c r="E25" s="5">
        <f t="shared" si="0"/>
        <v>0</v>
      </c>
    </row>
    <row r="26" spans="2:5" s="1" customFormat="1">
      <c r="B26" s="3" t="s">
        <v>23</v>
      </c>
      <c r="C26" s="5"/>
      <c r="D26" s="5"/>
      <c r="E26" s="5">
        <f t="shared" si="0"/>
        <v>0</v>
      </c>
    </row>
    <row r="27" spans="2:5" s="1" customFormat="1">
      <c r="B27" s="3" t="s">
        <v>44</v>
      </c>
      <c r="C27" s="5"/>
      <c r="D27" s="5"/>
      <c r="E27" s="5">
        <f t="shared" si="0"/>
        <v>0</v>
      </c>
    </row>
    <row r="28" spans="2:5" s="1" customFormat="1">
      <c r="B28" s="3" t="s">
        <v>24</v>
      </c>
      <c r="C28" s="5"/>
      <c r="D28" s="5"/>
      <c r="E28" s="5">
        <f t="shared" si="0"/>
        <v>0</v>
      </c>
    </row>
    <row r="29" spans="2:5" s="1" customFormat="1">
      <c r="B29" s="4" t="s">
        <v>27</v>
      </c>
      <c r="C29" s="5">
        <f>+C22+C23+C24+C25+C26+C27+C28</f>
        <v>0</v>
      </c>
      <c r="D29" s="5">
        <f>D23</f>
        <v>0</v>
      </c>
      <c r="E29" s="5">
        <f t="shared" si="0"/>
        <v>0</v>
      </c>
    </row>
    <row r="30" spans="2:5" s="1" customFormat="1">
      <c r="B30" s="4" t="s">
        <v>28</v>
      </c>
      <c r="C30" s="7">
        <f>+C15+C20+C29</f>
        <v>0</v>
      </c>
      <c r="D30" s="7">
        <f>+D15+D20+D29</f>
        <v>0</v>
      </c>
      <c r="E30" s="7">
        <f t="shared" si="0"/>
        <v>0</v>
      </c>
    </row>
    <row r="31" spans="2:5" s="1" customFormat="1">
      <c r="B31" s="4" t="s">
        <v>8</v>
      </c>
      <c r="C31" s="5"/>
      <c r="D31" s="5"/>
      <c r="E31" s="5">
        <f t="shared" si="0"/>
        <v>0</v>
      </c>
    </row>
    <row r="32" spans="2:5" s="1" customFormat="1">
      <c r="B32" s="3" t="s">
        <v>9</v>
      </c>
      <c r="C32" s="6">
        <f>IF(C30&lt;=150,0,IF(C30&lt;=650,0.1*C30-15,IF(C30&lt;=1400,0.15*C30-47.5,IF(C30&lt;=2350,0.2*C30-117.5,IF(C30&lt;=3550,0.25*C30-235,IF(C30&lt;=5000,0.3*C30-412.5,0.35*C30-662.5))))))</f>
        <v>0</v>
      </c>
      <c r="D32" s="6"/>
      <c r="E32" s="5">
        <f t="shared" si="0"/>
        <v>0</v>
      </c>
    </row>
    <row r="33" spans="2:5" s="1" customFormat="1">
      <c r="B33" s="3" t="s">
        <v>10</v>
      </c>
      <c r="C33" s="5">
        <f>+C15*0.07</f>
        <v>0</v>
      </c>
      <c r="D33" s="5">
        <f>+D15*0.07</f>
        <v>0</v>
      </c>
      <c r="E33" s="5">
        <f t="shared" si="0"/>
        <v>0</v>
      </c>
    </row>
    <row r="34" spans="2:5" s="1" customFormat="1">
      <c r="B34" s="3" t="s">
        <v>29</v>
      </c>
      <c r="C34" s="5">
        <f>C15*0.11</f>
        <v>0</v>
      </c>
      <c r="D34" s="5">
        <f>D15*0.11</f>
        <v>0</v>
      </c>
      <c r="E34" s="5">
        <f t="shared" si="0"/>
        <v>0</v>
      </c>
    </row>
    <row r="35" spans="2:5" s="1" customFormat="1">
      <c r="B35" s="4" t="s">
        <v>11</v>
      </c>
      <c r="C35" s="7">
        <f>+C30+C34</f>
        <v>0</v>
      </c>
      <c r="D35" s="7">
        <f>D30+D34</f>
        <v>0</v>
      </c>
      <c r="E35" s="7">
        <f t="shared" si="0"/>
        <v>0</v>
      </c>
    </row>
    <row r="36" spans="2:5" s="1" customFormat="1">
      <c r="B36" s="3" t="s">
        <v>32</v>
      </c>
      <c r="C36" s="5">
        <f>C32</f>
        <v>0</v>
      </c>
      <c r="D36" s="5">
        <f>D32</f>
        <v>0</v>
      </c>
      <c r="E36" s="5">
        <f t="shared" si="0"/>
        <v>0</v>
      </c>
    </row>
    <row r="37" spans="2:5" s="1" customFormat="1">
      <c r="B37" s="3" t="s">
        <v>12</v>
      </c>
      <c r="C37" s="5">
        <f>+C33+C34</f>
        <v>0</v>
      </c>
      <c r="D37" s="5">
        <f>+D33+D34</f>
        <v>0</v>
      </c>
      <c r="E37" s="5">
        <f t="shared" si="0"/>
        <v>0</v>
      </c>
    </row>
    <row r="38" spans="2:5" s="1" customFormat="1">
      <c r="B38" s="3" t="s">
        <v>13</v>
      </c>
      <c r="C38" s="5"/>
      <c r="D38" s="5"/>
      <c r="E38" s="5">
        <f t="shared" si="0"/>
        <v>0</v>
      </c>
    </row>
    <row r="39" spans="2:5" s="1" customFormat="1">
      <c r="B39" s="3" t="s">
        <v>14</v>
      </c>
      <c r="C39" s="5"/>
      <c r="D39" s="5"/>
      <c r="E39" s="5">
        <f t="shared" si="0"/>
        <v>0</v>
      </c>
    </row>
    <row r="40" spans="2:5" s="1" customFormat="1">
      <c r="B40" s="3" t="s">
        <v>40</v>
      </c>
      <c r="C40" s="5"/>
      <c r="D40" s="5"/>
      <c r="E40" s="5">
        <f t="shared" si="0"/>
        <v>0</v>
      </c>
    </row>
    <row r="41" spans="2:5" s="1" customFormat="1">
      <c r="B41" s="3" t="s">
        <v>15</v>
      </c>
      <c r="C41" s="5"/>
      <c r="D41" s="5"/>
      <c r="E41" s="5">
        <f t="shared" si="0"/>
        <v>0</v>
      </c>
    </row>
    <row r="42" spans="2:5" s="1" customFormat="1">
      <c r="B42" s="3" t="s">
        <v>16</v>
      </c>
      <c r="C42" s="5"/>
      <c r="D42" s="5"/>
      <c r="E42" s="5">
        <f t="shared" si="0"/>
        <v>0</v>
      </c>
    </row>
    <row r="43" spans="2:5" s="1" customFormat="1">
      <c r="B43" s="4" t="s">
        <v>17</v>
      </c>
      <c r="C43" s="5">
        <f>C33+C32+C40</f>
        <v>0</v>
      </c>
      <c r="D43" s="5">
        <f>D33+D32+D40</f>
        <v>0</v>
      </c>
      <c r="E43" s="5">
        <f t="shared" si="0"/>
        <v>0</v>
      </c>
    </row>
    <row r="44" spans="2:5" s="1" customFormat="1">
      <c r="B44" s="4" t="s">
        <v>18</v>
      </c>
      <c r="C44" s="8">
        <f>+C30-C43</f>
        <v>0</v>
      </c>
      <c r="D44" s="8">
        <f>D30-D43</f>
        <v>0</v>
      </c>
      <c r="E44" s="8">
        <f>E30-E43</f>
        <v>0</v>
      </c>
    </row>
    <row r="45" spans="2:5" s="1" customFormat="1" ht="10.5" customHeight="1"/>
    <row r="46" spans="2:5" s="1" customFormat="1">
      <c r="B46" s="1" t="s">
        <v>33</v>
      </c>
      <c r="C46" s="1" t="s">
        <v>36</v>
      </c>
      <c r="E46" s="1" t="s">
        <v>43</v>
      </c>
    </row>
    <row r="47" spans="2:5" s="1" customFormat="1">
      <c r="B47" s="1" t="s">
        <v>34</v>
      </c>
      <c r="C47" s="1" t="s">
        <v>34</v>
      </c>
      <c r="E47" s="1" t="s">
        <v>41</v>
      </c>
    </row>
    <row r="48" spans="2:5" s="1" customFormat="1">
      <c r="B48" s="1" t="s">
        <v>35</v>
      </c>
      <c r="C48" s="1" t="s">
        <v>35</v>
      </c>
      <c r="E48" s="1" t="s">
        <v>42</v>
      </c>
    </row>
    <row r="49" spans="2:2" s="1" customFormat="1">
      <c r="B49" s="1" t="s">
        <v>37</v>
      </c>
    </row>
    <row r="50" spans="2:2" s="1" customFormat="1">
      <c r="B50" s="1" t="s">
        <v>38</v>
      </c>
    </row>
  </sheetData>
  <mergeCells count="5">
    <mergeCell ref="E5:E6"/>
    <mergeCell ref="A2:B2"/>
    <mergeCell ref="A3:B3"/>
    <mergeCell ref="C3:D3"/>
    <mergeCell ref="C4:D4"/>
  </mergeCells>
  <pageMargins left="0" right="0" top="0.5" bottom="0.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finmelese</dc:creator>
  <cp:lastModifiedBy>Mekedes Mesfin</cp:lastModifiedBy>
  <cp:lastPrinted>2019-07-23T12:00:18Z</cp:lastPrinted>
  <dcterms:created xsi:type="dcterms:W3CDTF">2015-06-13T08:17:15Z</dcterms:created>
  <dcterms:modified xsi:type="dcterms:W3CDTF">2019-07-23T12:00:19Z</dcterms:modified>
</cp:coreProperties>
</file>