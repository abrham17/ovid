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drawings/drawing9.xml" ContentType="application/vnd.openxmlformats-officedocument.drawing+xml"/>
  <Override PartName="/xl/embeddings/oleObject9.bin" ContentType="application/vnd.openxmlformats-officedocument.oleObject"/>
  <Override PartName="/xl/drawings/drawing10.xml" ContentType="application/vnd.openxmlformats-officedocument.drawing+xml"/>
  <Override PartName="/xl/embeddings/oleObject10.bin" ContentType="application/vnd.openxmlformats-officedocument.oleObject"/>
  <Override PartName="/xl/drawings/drawing11.xml" ContentType="application/vnd.openxmlformats-officedocument.drawing+xml"/>
  <Override PartName="/xl/embeddings/oleObject11.bin" ContentType="application/vnd.openxmlformats-officedocument.oleObject"/>
  <Override PartName="/xl/drawings/drawing12.xml" ContentType="application/vnd.openxmlformats-officedocument.drawing+xml"/>
  <Override PartName="/xl/embeddings/oleObject12.bin" ContentType="application/vnd.openxmlformats-officedocument.oleObject"/>
  <Override PartName="/xl/drawings/drawing13.xml" ContentType="application/vnd.openxmlformats-officedocument.drawing+xml"/>
  <Override PartName="/xl/embeddings/oleObject13.bin" ContentType="application/vnd.openxmlformats-officedocument.oleObject"/>
  <Override PartName="/xl/drawings/drawing14.xml" ContentType="application/vnd.openxmlformats-officedocument.drawing+xml"/>
  <Override PartName="/xl/embeddings/oleObject14.bin" ContentType="application/vnd.openxmlformats-officedocument.oleObject"/>
  <Override PartName="/xl/drawings/drawing15.xml" ContentType="application/vnd.openxmlformats-officedocument.drawing+xml"/>
  <Override PartName="/xl/embeddings/oleObject15.bin" ContentType="application/vnd.openxmlformats-officedocument.oleObject"/>
  <Override PartName="/xl/embeddings/oleObject16.bin" ContentType="application/vnd.openxmlformats-officedocument.oleObject"/>
  <Override PartName="/xl/drawings/drawing16.xml" ContentType="application/vnd.openxmlformats-officedocument.drawing+xml"/>
  <Override PartName="/xl/embeddings/oleObject17.bin" ContentType="application/vnd.openxmlformats-officedocument.oleObject"/>
  <Override PartName="/xl/drawings/drawing17.xml" ContentType="application/vnd.openxmlformats-officedocument.drawing+xml"/>
  <Override PartName="/xl/embeddings/oleObject18.bin" ContentType="application/vnd.openxmlformats-officedocument.oleObject"/>
  <Override PartName="/xl/drawings/drawing18.xml" ContentType="application/vnd.openxmlformats-officedocument.drawing+xml"/>
  <Override PartName="/xl/embeddings/oleObject19.bin" ContentType="application/vnd.openxmlformats-officedocument.oleObject"/>
  <Override PartName="/xl/drawings/drawing19.xml" ContentType="application/vnd.openxmlformats-officedocument.drawing+xml"/>
  <Override PartName="/xl/embeddings/oleObject20.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5" yWindow="-15" windowWidth="10800" windowHeight="8100" tabRatio="974" firstSheet="5" activeTab="11"/>
  </bookViews>
  <sheets>
    <sheet name=" TABLE  " sheetId="1" r:id="rId1"/>
    <sheet name="001 Problem Encounter " sheetId="3" r:id="rId2"/>
    <sheet name="01 Problem Encounter " sheetId="30" r:id="rId3"/>
    <sheet name="002 General Information" sheetId="4" r:id="rId4"/>
    <sheet name="3 Contractual Matters" sheetId="29" r:id="rId5"/>
    <sheet name="004 Income VS Expence" sheetId="5" r:id="rId6"/>
    <sheet name="005  Financial Progress Report" sheetId="6" r:id="rId7"/>
    <sheet name="06 Plan Executed" sheetId="20" r:id="rId8"/>
    <sheet name="07 Crew formation" sheetId="22" r:id="rId9"/>
    <sheet name="008 Man power Expense" sheetId="9" r:id="rId10"/>
    <sheet name="09 Material" sheetId="23" r:id="rId11"/>
    <sheet name="10 Old Weekly Report " sheetId="24" r:id="rId12"/>
    <sheet name="011 Equipment Rent" sheetId="12" r:id="rId13"/>
    <sheet name="12 fuel EVa" sheetId="25" r:id="rId14"/>
    <sheet name="013 Fuel Cost " sheetId="19" r:id="rId15"/>
    <sheet name="14 Rental damp turck" sheetId="26" r:id="rId16"/>
    <sheet name="015 Template status" sheetId="16" r:id="rId17"/>
    <sheet name="16 Box or Slab Culvert" sheetId="27" r:id="rId18"/>
    <sheet name="17 Pipe Culvert" sheetId="28"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s>
  <definedNames>
    <definedName name="\0">#REF!</definedName>
    <definedName name="\a">#N/A</definedName>
    <definedName name="\b">#REF!</definedName>
    <definedName name="\e">[1]전기!#REF!</definedName>
    <definedName name="\q">#REF!</definedName>
    <definedName name="\s">#N/A</definedName>
    <definedName name="\w">[2]부안일위!#REF!</definedName>
    <definedName name="\z">#N/A</definedName>
    <definedName name="____________________________con25">#REF!</definedName>
    <definedName name="___________________________hcb20">#REF!</definedName>
    <definedName name="__________________________gip2">#REF!</definedName>
    <definedName name="__________________________tms118">#REF!</definedName>
    <definedName name="__________________________tms136">#REF!</definedName>
    <definedName name="__________________________tms236">#REF!</definedName>
    <definedName name="__________________________tmw065136">#REF!</definedName>
    <definedName name="_____________________eac03">[3]장비!$M$124</definedName>
    <definedName name="_____________________eac10">[3]장비!$M$132</definedName>
    <definedName name="_____________________eah01">[3]장비!$M$188</definedName>
    <definedName name="_____________________ebh07">[3]장비!$M$20</definedName>
    <definedName name="_____________________edt02">[3]장비!$M$240</definedName>
    <definedName name="_____________________egn05">[3]장비!$M$176</definedName>
    <definedName name="_____________________egp45">[3]장비!$M$236</definedName>
    <definedName name="_____________________elg27">[3]장비!$M$144</definedName>
    <definedName name="_____________________elm10">[3]장비!$M$164</definedName>
    <definedName name="_____________________elt17">[3]장비!$M$32</definedName>
    <definedName name="_____________________emd36">[3]장비!$M$36</definedName>
    <definedName name="_____________________emr08">[3]장비!$M$44</definedName>
    <definedName name="_____________________emr10">[3]장비!$M$40</definedName>
    <definedName name="_____________________emx02">[3]장비!$M$220</definedName>
    <definedName name="_____________________etd10">[3]장비!$M$48</definedName>
    <definedName name="_____________________etr08">[3]장비!$M$56</definedName>
    <definedName name="_____________________evr10">[3]장비!$M$52</definedName>
    <definedName name="_____________________ewt55">[3]장비!$M$160</definedName>
    <definedName name="_____________________mac10">[3]장비!$M$133</definedName>
    <definedName name="_____________________mbh07">[3]장비!$M$21</definedName>
    <definedName name="_____________________mdt02">[3]장비!$M$241</definedName>
    <definedName name="_____________________mgn05">[3]장비!$M$177</definedName>
    <definedName name="_____________________mgp45">[3]장비!$M$237</definedName>
    <definedName name="_____________________mlm10">[3]장비!$M$165</definedName>
    <definedName name="_____________________mlt17">[3]장비!$M$33</definedName>
    <definedName name="_____________________mmd36">[3]장비!$M$37</definedName>
    <definedName name="_____________________mmr08">[3]장비!$M$45</definedName>
    <definedName name="_____________________mmr10">[3]장비!$M$41</definedName>
    <definedName name="_____________________mmx02">[3]장비!$M$221</definedName>
    <definedName name="_____________________mtd10">[3]장비!$M$49</definedName>
    <definedName name="_____________________mtr08">[3]장비!$M$57</definedName>
    <definedName name="_____________________mvr10">[3]장비!$M$53</definedName>
    <definedName name="_____________________mwt55">[3]장비!$M$161</definedName>
    <definedName name="____________________eac10">[4]장비!$M$132</definedName>
    <definedName name="____________________eah01">[4]장비!$M$188</definedName>
    <definedName name="____________________ebh07">[4]장비!$M$20</definedName>
    <definedName name="____________________edt02">[4]장비!$M$240</definedName>
    <definedName name="____________________egn05">[4]장비!$M$176</definedName>
    <definedName name="____________________egp45">[4]장비!$M$236</definedName>
    <definedName name="____________________elg27">[4]장비!$M$144</definedName>
    <definedName name="____________________elm10">[4]장비!$M$164</definedName>
    <definedName name="____________________elt17">[4]장비!$M$32</definedName>
    <definedName name="____________________emd36">[4]장비!$M$36</definedName>
    <definedName name="____________________emr08">[4]장비!$M$44</definedName>
    <definedName name="____________________emr10">[4]장비!$M$40</definedName>
    <definedName name="____________________emx02">[4]장비!$M$220</definedName>
    <definedName name="____________________etd10">[4]장비!$M$48</definedName>
    <definedName name="____________________etr08">[4]장비!$M$56</definedName>
    <definedName name="____________________evr10">[4]장비!$M$52</definedName>
    <definedName name="____________________ewt55">[4]장비!$M$160</definedName>
    <definedName name="____________________mac10">[4]장비!$M$133</definedName>
    <definedName name="____________________mbh07">[4]장비!$M$21</definedName>
    <definedName name="____________________mdt02">[4]장비!$M$241</definedName>
    <definedName name="____________________mgn05">[4]장비!$M$177</definedName>
    <definedName name="____________________mgp45">[4]장비!$M$237</definedName>
    <definedName name="____________________mlm10">[4]장비!$M$165</definedName>
    <definedName name="____________________mlt17">[4]장비!$M$33</definedName>
    <definedName name="____________________mmd36">[4]장비!$M$37</definedName>
    <definedName name="____________________mmr08">[4]장비!$M$45</definedName>
    <definedName name="____________________mmr10">[4]장비!$M$41</definedName>
    <definedName name="____________________mmx02">[4]장비!$M$221</definedName>
    <definedName name="____________________mtd10">[4]장비!$M$49</definedName>
    <definedName name="____________________mtr08">[4]장비!$M$57</definedName>
    <definedName name="____________________mvr10">[4]장비!$M$53</definedName>
    <definedName name="____________________mwt55">[4]장비!$M$161</definedName>
    <definedName name="___________________eac10">[4]장비!$M$132</definedName>
    <definedName name="___________________eah01">[4]장비!$M$188</definedName>
    <definedName name="___________________ebh07">[4]장비!$M$20</definedName>
    <definedName name="___________________edt02">[4]장비!$M$240</definedName>
    <definedName name="___________________egn05">[4]장비!$M$176</definedName>
    <definedName name="___________________egp45">[4]장비!$M$236</definedName>
    <definedName name="___________________elg27">[4]장비!$M$144</definedName>
    <definedName name="___________________elm10">[4]장비!$M$164</definedName>
    <definedName name="___________________elt17">[4]장비!$M$32</definedName>
    <definedName name="___________________emd36">[4]장비!$M$36</definedName>
    <definedName name="___________________emr08">[4]장비!$M$44</definedName>
    <definedName name="___________________emr10">[4]장비!$M$40</definedName>
    <definedName name="___________________emx02">[4]장비!$M$220</definedName>
    <definedName name="___________________etd10">[4]장비!$M$48</definedName>
    <definedName name="___________________etr08">[4]장비!$M$56</definedName>
    <definedName name="___________________evr10">[4]장비!$M$52</definedName>
    <definedName name="___________________ewt55">[4]장비!$M$160</definedName>
    <definedName name="___________________mac10">[4]장비!$M$133</definedName>
    <definedName name="___________________mbh07">[4]장비!$M$21</definedName>
    <definedName name="___________________mdt02">[4]장비!$M$241</definedName>
    <definedName name="___________________mgn05">[4]장비!$M$177</definedName>
    <definedName name="___________________mgp45">[4]장비!$M$237</definedName>
    <definedName name="___________________mlm10">[4]장비!$M$165</definedName>
    <definedName name="___________________mlt17">[4]장비!$M$33</definedName>
    <definedName name="___________________mmd36">[4]장비!$M$37</definedName>
    <definedName name="___________________mmr08">[4]장비!$M$45</definedName>
    <definedName name="___________________mmr10">[4]장비!$M$41</definedName>
    <definedName name="___________________mmx02">[4]장비!$M$221</definedName>
    <definedName name="___________________mtd10">[4]장비!$M$49</definedName>
    <definedName name="___________________mtr08">[4]장비!$M$57</definedName>
    <definedName name="___________________mvr10">[4]장비!$M$53</definedName>
    <definedName name="___________________mwt55">[4]장비!$M$161</definedName>
    <definedName name="__________________eac10">[4]장비!$M$132</definedName>
    <definedName name="__________________eah01">[4]장비!$M$188</definedName>
    <definedName name="__________________ebh07">[4]장비!$M$20</definedName>
    <definedName name="__________________edt02">[4]장비!$M$240</definedName>
    <definedName name="__________________egn05">[4]장비!$M$176</definedName>
    <definedName name="__________________egp45">[4]장비!$M$236</definedName>
    <definedName name="__________________elg27">[4]장비!$M$144</definedName>
    <definedName name="__________________elm10">[4]장비!$M$164</definedName>
    <definedName name="__________________elt17">[4]장비!$M$32</definedName>
    <definedName name="__________________emd36">[4]장비!$M$36</definedName>
    <definedName name="__________________emr08">[4]장비!$M$44</definedName>
    <definedName name="__________________emr10">[4]장비!$M$40</definedName>
    <definedName name="__________________emx02">[4]장비!$M$220</definedName>
    <definedName name="__________________etd10">[4]장비!$M$48</definedName>
    <definedName name="__________________etr08">[4]장비!$M$56</definedName>
    <definedName name="__________________evr10">[4]장비!$M$52</definedName>
    <definedName name="__________________ewt55">[4]장비!$M$160</definedName>
    <definedName name="__________________mac10">[4]장비!$M$133</definedName>
    <definedName name="__________________mbh07">[4]장비!$M$21</definedName>
    <definedName name="__________________mdt02">[4]장비!$M$241</definedName>
    <definedName name="__________________mgn05">[4]장비!$M$177</definedName>
    <definedName name="__________________mgp45">[4]장비!$M$237</definedName>
    <definedName name="__________________mlm10">[4]장비!$M$165</definedName>
    <definedName name="__________________mlt17">[4]장비!$M$33</definedName>
    <definedName name="__________________mmd36">[4]장비!$M$37</definedName>
    <definedName name="__________________mmr08">[4]장비!$M$45</definedName>
    <definedName name="__________________mmr10">[4]장비!$M$41</definedName>
    <definedName name="__________________mmx02">[4]장비!$M$221</definedName>
    <definedName name="__________________mtd10">[4]장비!$M$49</definedName>
    <definedName name="__________________mtr08">[4]장비!$M$57</definedName>
    <definedName name="__________________mvr10">[4]장비!$M$53</definedName>
    <definedName name="__________________mwt55">[4]장비!$M$161</definedName>
    <definedName name="_________________eac10">[5]장비!$M$132</definedName>
    <definedName name="_________________eah01">[5]장비!$M$188</definedName>
    <definedName name="_________________ebh07">[5]장비!$M$20</definedName>
    <definedName name="_________________edt02">[5]장비!$M$240</definedName>
    <definedName name="_________________egn05">[5]장비!$M$176</definedName>
    <definedName name="_________________egp45">[5]장비!$M$236</definedName>
    <definedName name="_________________elg27">[5]장비!$M$144</definedName>
    <definedName name="_________________elm10">[5]장비!$M$164</definedName>
    <definedName name="_________________elt17">[5]장비!$M$32</definedName>
    <definedName name="_________________emd36">[5]장비!$M$36</definedName>
    <definedName name="_________________emr08">[5]장비!$M$44</definedName>
    <definedName name="_________________emr10">[5]장비!$M$40</definedName>
    <definedName name="_________________emx02">[5]장비!$M$220</definedName>
    <definedName name="_________________etd10">[5]장비!$M$48</definedName>
    <definedName name="_________________etr08">[5]장비!$M$56</definedName>
    <definedName name="_________________evr10">[5]장비!$M$52</definedName>
    <definedName name="_________________ewt55">[5]장비!$M$160</definedName>
    <definedName name="_________________mac10">[5]장비!$M$133</definedName>
    <definedName name="_________________mbh07">[5]장비!$M$21</definedName>
    <definedName name="_________________mdt02">[5]장비!$M$241</definedName>
    <definedName name="_________________mgn05">[5]장비!$M$177</definedName>
    <definedName name="_________________mgp45">[5]장비!$M$237</definedName>
    <definedName name="_________________mlm10">[5]장비!$M$165</definedName>
    <definedName name="_________________mlt17">[5]장비!$M$33</definedName>
    <definedName name="_________________mmd36">[5]장비!$M$37</definedName>
    <definedName name="_________________mmr08">[5]장비!$M$45</definedName>
    <definedName name="_________________mmr10">[5]장비!$M$41</definedName>
    <definedName name="_________________mmx02">[5]장비!$M$221</definedName>
    <definedName name="_________________mtd10">[5]장비!$M$49</definedName>
    <definedName name="_________________mtr08">[5]장비!$M$57</definedName>
    <definedName name="_________________mvr10">[5]장비!$M$53</definedName>
    <definedName name="_________________mwt55">[5]장비!$M$161</definedName>
    <definedName name="________________eac10">[5]장비!$M$132</definedName>
    <definedName name="________________eah01">[5]장비!$M$188</definedName>
    <definedName name="________________ebh07">[5]장비!$M$20</definedName>
    <definedName name="________________edt02">[5]장비!$M$240</definedName>
    <definedName name="________________egn05">[5]장비!$M$176</definedName>
    <definedName name="________________egp45">[5]장비!$M$236</definedName>
    <definedName name="________________elg27">[5]장비!$M$144</definedName>
    <definedName name="________________elm10">[5]장비!$M$164</definedName>
    <definedName name="________________elt17">[5]장비!$M$32</definedName>
    <definedName name="________________emd36">[5]장비!$M$36</definedName>
    <definedName name="________________emr08">[5]장비!$M$44</definedName>
    <definedName name="________________emr10">[5]장비!$M$40</definedName>
    <definedName name="________________emx02">[5]장비!$M$220</definedName>
    <definedName name="________________etd10">[5]장비!$M$48</definedName>
    <definedName name="________________etr08">[5]장비!$M$56</definedName>
    <definedName name="________________evr10">[5]장비!$M$52</definedName>
    <definedName name="________________ewt55">[5]장비!$M$160</definedName>
    <definedName name="________________mac10">[5]장비!$M$133</definedName>
    <definedName name="________________mbh07">[5]장비!$M$21</definedName>
    <definedName name="________________mdt02">[5]장비!$M$241</definedName>
    <definedName name="________________mgn05">[5]장비!$M$177</definedName>
    <definedName name="________________mgp45">[5]장비!$M$237</definedName>
    <definedName name="________________mlm10">[5]장비!$M$165</definedName>
    <definedName name="________________mlt17">[5]장비!$M$33</definedName>
    <definedName name="________________mmd36">[5]장비!$M$37</definedName>
    <definedName name="________________mmr08">[5]장비!$M$45</definedName>
    <definedName name="________________mmr10">[5]장비!$M$41</definedName>
    <definedName name="________________mmx02">[5]장비!$M$221</definedName>
    <definedName name="________________mtd10">[5]장비!$M$49</definedName>
    <definedName name="________________mtr08">[5]장비!$M$57</definedName>
    <definedName name="________________mvr10">[5]장비!$M$53</definedName>
    <definedName name="________________mwt55">[5]장비!$M$161</definedName>
    <definedName name="_______________eac10">[5]장비!$M$132</definedName>
    <definedName name="_______________eah01">[5]장비!$M$188</definedName>
    <definedName name="_______________ebh07">[5]장비!$M$20</definedName>
    <definedName name="_______________edt02">[5]장비!$M$240</definedName>
    <definedName name="_______________egn05">[5]장비!$M$176</definedName>
    <definedName name="_______________egp45">[5]장비!$M$236</definedName>
    <definedName name="_______________elg27">[5]장비!$M$144</definedName>
    <definedName name="_______________elm10">[5]장비!$M$164</definedName>
    <definedName name="_______________elt17">[5]장비!$M$32</definedName>
    <definedName name="_______________emd36">[5]장비!$M$36</definedName>
    <definedName name="_______________emr08">[5]장비!$M$44</definedName>
    <definedName name="_______________emr10">[5]장비!$M$40</definedName>
    <definedName name="_______________emx02">[5]장비!$M$220</definedName>
    <definedName name="_______________etd10">[5]장비!$M$48</definedName>
    <definedName name="_______________etr08">[5]장비!$M$56</definedName>
    <definedName name="_______________evr10">[5]장비!$M$52</definedName>
    <definedName name="_______________ewt55">[5]장비!$M$160</definedName>
    <definedName name="_______________mac10">[5]장비!$M$133</definedName>
    <definedName name="_______________mbh07">[5]장비!$M$21</definedName>
    <definedName name="_______________mdt02">[5]장비!$M$241</definedName>
    <definedName name="_______________mgn05">[5]장비!$M$177</definedName>
    <definedName name="_______________mgp45">[5]장비!$M$237</definedName>
    <definedName name="_______________mlm10">[5]장비!$M$165</definedName>
    <definedName name="_______________mlt17">[5]장비!$M$33</definedName>
    <definedName name="_______________mmd36">[5]장비!$M$37</definedName>
    <definedName name="_______________mmr08">[5]장비!$M$45</definedName>
    <definedName name="_______________mmr10">[5]장비!$M$41</definedName>
    <definedName name="_______________mmx02">[5]장비!$M$221</definedName>
    <definedName name="_______________mtd10">[5]장비!$M$49</definedName>
    <definedName name="_______________mtr08">[5]장비!$M$57</definedName>
    <definedName name="_______________mvr10">[5]장비!$M$53</definedName>
    <definedName name="_______________mwt55">[5]장비!$M$161</definedName>
    <definedName name="______________eac10">[5]장비!$M$132</definedName>
    <definedName name="______________eah01">[5]장비!$M$188</definedName>
    <definedName name="______________ebh07">[5]장비!$M$20</definedName>
    <definedName name="______________edt02">[5]장비!$M$240</definedName>
    <definedName name="______________edt10">[6]장비!#REF!</definedName>
    <definedName name="______________egn05">[5]장비!$M$176</definedName>
    <definedName name="______________egp45">[5]장비!$M$236</definedName>
    <definedName name="______________elg27">[5]장비!$M$144</definedName>
    <definedName name="______________elm10">[5]장비!$M$164</definedName>
    <definedName name="______________elt17">[5]장비!$M$32</definedName>
    <definedName name="______________emd36">[5]장비!$M$36</definedName>
    <definedName name="______________emr08">[5]장비!$M$44</definedName>
    <definedName name="______________emr10">[5]장비!$M$40</definedName>
    <definedName name="______________emx02">[5]장비!$M$220</definedName>
    <definedName name="______________epb25">[6]장비!#REF!</definedName>
    <definedName name="______________erb01">[6]장비!#REF!</definedName>
    <definedName name="______________etd10">[5]장비!$M$48</definedName>
    <definedName name="______________etr08">[5]장비!$M$56</definedName>
    <definedName name="______________evr10">[5]장비!$M$52</definedName>
    <definedName name="______________ewt55">[5]장비!$M$160</definedName>
    <definedName name="______________mac10">[5]장비!$M$133</definedName>
    <definedName name="______________mbh07">[5]장비!$M$21</definedName>
    <definedName name="______________mdt02">[5]장비!$M$241</definedName>
    <definedName name="______________mdt10">[6]장비!#REF!</definedName>
    <definedName name="______________mgn05">[5]장비!$M$177</definedName>
    <definedName name="______________mgp45">[5]장비!$M$237</definedName>
    <definedName name="______________mlm10">[5]장비!$M$165</definedName>
    <definedName name="______________mlt17">[5]장비!$M$33</definedName>
    <definedName name="______________mmd36">[5]장비!$M$37</definedName>
    <definedName name="______________mmr08">[5]장비!$M$45</definedName>
    <definedName name="______________mmr10">[5]장비!$M$41</definedName>
    <definedName name="______________mmx02">[5]장비!$M$221</definedName>
    <definedName name="______________mpb25">[6]장비!#REF!</definedName>
    <definedName name="______________mrb01">[6]장비!#REF!</definedName>
    <definedName name="______________mtd10">[5]장비!$M$49</definedName>
    <definedName name="______________mtr08">[5]장비!$M$57</definedName>
    <definedName name="______________mvr10">[5]장비!$M$53</definedName>
    <definedName name="______________mwt55">[5]장비!$M$161</definedName>
    <definedName name="_____________eac10">[5]장비!$M$132</definedName>
    <definedName name="_____________eah01">[5]장비!$M$188</definedName>
    <definedName name="_____________ebh07">[5]장비!$M$20</definedName>
    <definedName name="_____________edt02">[5]장비!$M$240</definedName>
    <definedName name="_____________edt10">[6]장비!#REF!</definedName>
    <definedName name="_____________egn05">[5]장비!$M$176</definedName>
    <definedName name="_____________egp45">[5]장비!$M$236</definedName>
    <definedName name="_____________elg27">[5]장비!$M$144</definedName>
    <definedName name="_____________elm10">[5]장비!$M$164</definedName>
    <definedName name="_____________elt17">[5]장비!$M$32</definedName>
    <definedName name="_____________emd36">[5]장비!$M$36</definedName>
    <definedName name="_____________emr08">[5]장비!$M$44</definedName>
    <definedName name="_____________emr10">[5]장비!$M$40</definedName>
    <definedName name="_____________emx02">[5]장비!$M$220</definedName>
    <definedName name="_____________epb25">[6]장비!#REF!</definedName>
    <definedName name="_____________erb01">[6]장비!#REF!</definedName>
    <definedName name="_____________etd10">[5]장비!$M$48</definedName>
    <definedName name="_____________etr08">[5]장비!$M$56</definedName>
    <definedName name="_____________evr10">[5]장비!$M$52</definedName>
    <definedName name="_____________ewt55">[5]장비!$M$160</definedName>
    <definedName name="_____________mac10">[5]장비!$M$133</definedName>
    <definedName name="_____________mbh07">[5]장비!$M$21</definedName>
    <definedName name="_____________mdt02">[5]장비!$M$241</definedName>
    <definedName name="_____________mdt10">[6]장비!#REF!</definedName>
    <definedName name="_____________mgn05">[5]장비!$M$177</definedName>
    <definedName name="_____________mgp45">[5]장비!$M$237</definedName>
    <definedName name="_____________mlm10">[5]장비!$M$165</definedName>
    <definedName name="_____________mlt17">[5]장비!$M$33</definedName>
    <definedName name="_____________mmd36">[5]장비!$M$37</definedName>
    <definedName name="_____________mmr08">[5]장비!$M$45</definedName>
    <definedName name="_____________mmr10">[5]장비!$M$41</definedName>
    <definedName name="_____________mmx02">[5]장비!$M$221</definedName>
    <definedName name="_____________mpb25">[6]장비!#REF!</definedName>
    <definedName name="_____________mrb01">[6]장비!#REF!</definedName>
    <definedName name="_____________mtd10">[5]장비!$M$49</definedName>
    <definedName name="_____________mtr08">[5]장비!$M$57</definedName>
    <definedName name="_____________mvr10">[5]장비!$M$53</definedName>
    <definedName name="_____________mwt55">[5]장비!$M$161</definedName>
    <definedName name="____________eac10">[5]장비!$M$132</definedName>
    <definedName name="____________eah01">[5]장비!$M$188</definedName>
    <definedName name="____________ebh07">[5]장비!$M$20</definedName>
    <definedName name="____________edt02">[5]장비!$M$240</definedName>
    <definedName name="____________edt10">[6]장비!#REF!</definedName>
    <definedName name="____________egn05">[5]장비!$M$176</definedName>
    <definedName name="____________egp45">[5]장비!$M$236</definedName>
    <definedName name="____________elg27">[5]장비!$M$144</definedName>
    <definedName name="____________elm10">[5]장비!$M$164</definedName>
    <definedName name="____________elt17">[5]장비!$M$32</definedName>
    <definedName name="____________emd36">[5]장비!$M$36</definedName>
    <definedName name="____________emr08">[5]장비!$M$44</definedName>
    <definedName name="____________emr10">[5]장비!$M$40</definedName>
    <definedName name="____________emx02">[5]장비!$M$220</definedName>
    <definedName name="____________epb25">[6]장비!#REF!</definedName>
    <definedName name="____________erb01">[6]장비!#REF!</definedName>
    <definedName name="____________etd10">[5]장비!$M$48</definedName>
    <definedName name="____________etr08">[5]장비!$M$56</definedName>
    <definedName name="____________evr10">[5]장비!$M$52</definedName>
    <definedName name="____________ewt55">[5]장비!$M$160</definedName>
    <definedName name="____________mac10">[5]장비!$M$133</definedName>
    <definedName name="____________mbh07">[5]장비!$M$21</definedName>
    <definedName name="____________mdt02">[5]장비!$M$241</definedName>
    <definedName name="____________mdt10">[6]장비!#REF!</definedName>
    <definedName name="____________mgn05">[5]장비!$M$177</definedName>
    <definedName name="____________mgp45">[5]장비!$M$237</definedName>
    <definedName name="____________mlm10">[5]장비!$M$165</definedName>
    <definedName name="____________mlt17">[5]장비!$M$33</definedName>
    <definedName name="____________mmd36">[5]장비!$M$37</definedName>
    <definedName name="____________mmr08">[5]장비!$M$45</definedName>
    <definedName name="____________mmr10">[5]장비!$M$41</definedName>
    <definedName name="____________mmx02">[5]장비!$M$221</definedName>
    <definedName name="____________mpb25">[6]장비!#REF!</definedName>
    <definedName name="____________mrb01">[6]장비!#REF!</definedName>
    <definedName name="____________mtd10">[5]장비!$M$49</definedName>
    <definedName name="____________mtr08">[5]장비!$M$57</definedName>
    <definedName name="____________mvr10">[5]장비!$M$53</definedName>
    <definedName name="____________mwt55">[5]장비!$M$161</definedName>
    <definedName name="___________eac10">[5]장비!$M$132</definedName>
    <definedName name="___________eah01">[5]장비!$M$188</definedName>
    <definedName name="___________ebh07">[5]장비!$M$20</definedName>
    <definedName name="___________edt02">[5]장비!$M$240</definedName>
    <definedName name="___________edt10">[6]장비!#REF!</definedName>
    <definedName name="___________egn05">[5]장비!$M$176</definedName>
    <definedName name="___________egp45">[5]장비!$M$236</definedName>
    <definedName name="___________elg27">[5]장비!$M$144</definedName>
    <definedName name="___________elm10">[5]장비!$M$164</definedName>
    <definedName name="___________elt17">[5]장비!$M$32</definedName>
    <definedName name="___________emd36">[5]장비!$M$36</definedName>
    <definedName name="___________emr08">[5]장비!$M$44</definedName>
    <definedName name="___________emr10">[5]장비!$M$40</definedName>
    <definedName name="___________emx02">[5]장비!$M$220</definedName>
    <definedName name="___________epb25">[6]장비!#REF!</definedName>
    <definedName name="___________erb01">[6]장비!#REF!</definedName>
    <definedName name="___________etd10">[5]장비!$M$48</definedName>
    <definedName name="___________etr08">[5]장비!$M$56</definedName>
    <definedName name="___________evr10">[5]장비!$M$52</definedName>
    <definedName name="___________ewt55">[5]장비!$M$160</definedName>
    <definedName name="___________mac10">[5]장비!$M$133</definedName>
    <definedName name="___________mbh07">[5]장비!$M$21</definedName>
    <definedName name="___________mdt02">[5]장비!$M$241</definedName>
    <definedName name="___________mdt10">[6]장비!#REF!</definedName>
    <definedName name="___________mgn05">[5]장비!$M$177</definedName>
    <definedName name="___________mgp45">[5]장비!$M$237</definedName>
    <definedName name="___________mlm10">[5]장비!$M$165</definedName>
    <definedName name="___________mlt17">[5]장비!$M$33</definedName>
    <definedName name="___________mmd36">[5]장비!$M$37</definedName>
    <definedName name="___________mmr08">[5]장비!$M$45</definedName>
    <definedName name="___________mmr10">[5]장비!$M$41</definedName>
    <definedName name="___________mmx02">[5]장비!$M$221</definedName>
    <definedName name="___________mpb25">[6]장비!#REF!</definedName>
    <definedName name="___________mrb01">[6]장비!#REF!</definedName>
    <definedName name="___________mtd10">[5]장비!$M$49</definedName>
    <definedName name="___________mtr08">[5]장비!$M$57</definedName>
    <definedName name="___________mvr10">[5]장비!$M$53</definedName>
    <definedName name="___________mwt55">[5]장비!$M$161</definedName>
    <definedName name="__________eac03">[6]장비!$M$124</definedName>
    <definedName name="__________eac10">[6]장비!$M$132</definedName>
    <definedName name="__________eah01">[6]장비!$M$188</definedName>
    <definedName name="__________ebh07">[6]장비!$M$20</definedName>
    <definedName name="__________edt02">[6]장비!$M$240</definedName>
    <definedName name="__________edt10">[6]장비!#REF!</definedName>
    <definedName name="__________edt15">[6]장비!$M$16</definedName>
    <definedName name="__________egn05">[6]장비!$M$176</definedName>
    <definedName name="__________egp45">[6]장비!$M$236</definedName>
    <definedName name="__________elg27">[6]장비!$M$144</definedName>
    <definedName name="__________elm10">[6]장비!$M$164</definedName>
    <definedName name="__________elt17">[6]장비!$M$32</definedName>
    <definedName name="__________emd36">[6]장비!$M$36</definedName>
    <definedName name="__________emr08">[6]장비!$M$44</definedName>
    <definedName name="__________emr10">[6]장비!$M$40</definedName>
    <definedName name="__________emx02">[6]장비!$M$220</definedName>
    <definedName name="__________epb25">[6]장비!#REF!</definedName>
    <definedName name="__________erb01">[6]장비!#REF!</definedName>
    <definedName name="__________etc30">[6]장비!$M$84</definedName>
    <definedName name="__________etd10">[6]장비!$M$48</definedName>
    <definedName name="__________etr08">[6]장비!$M$56</definedName>
    <definedName name="__________evr10">[6]장비!$M$52</definedName>
    <definedName name="__________ewt55">[6]장비!$M$160</definedName>
    <definedName name="__________HSH1">#REF!</definedName>
    <definedName name="__________HSH2">#REF!</definedName>
    <definedName name="__________mac03">[6]장비!$M$125</definedName>
    <definedName name="__________mac10">[6]장비!$M$133</definedName>
    <definedName name="__________mbh07">[6]장비!$M$21</definedName>
    <definedName name="__________mdt02">[6]장비!$M$241</definedName>
    <definedName name="__________mdt10">[6]장비!#REF!</definedName>
    <definedName name="__________mdt15">[6]장비!$M$17</definedName>
    <definedName name="__________mgn05">[6]장비!$M$177</definedName>
    <definedName name="__________mgp45">[6]장비!$M$237</definedName>
    <definedName name="__________mlm10">[6]장비!$M$165</definedName>
    <definedName name="__________mlt17">[6]장비!$M$33</definedName>
    <definedName name="__________mmd36">[6]장비!$M$37</definedName>
    <definedName name="__________mmr08">[6]장비!$M$45</definedName>
    <definedName name="__________mmr10">[6]장비!$M$41</definedName>
    <definedName name="__________mmx02">[6]장비!$M$221</definedName>
    <definedName name="__________mpb25">[6]장비!#REF!</definedName>
    <definedName name="__________mrb01">[6]장비!#REF!</definedName>
    <definedName name="__________mtc30">[6]장비!$M$85</definedName>
    <definedName name="__________mtd10">[6]장비!$M$49</definedName>
    <definedName name="__________mtr08">[6]장비!$M$57</definedName>
    <definedName name="__________mvr10">[6]장비!$M$53</definedName>
    <definedName name="__________mwt55">[6]장비!$M$161</definedName>
    <definedName name="__________NP1">#REF!</definedName>
    <definedName name="__________NP2">#REF!</definedName>
    <definedName name="__________NSH1">#REF!</definedName>
    <definedName name="__________NSH2">#REF!</definedName>
    <definedName name="_________eac03">[6]장비!$M$124</definedName>
    <definedName name="_________eac10">[6]장비!$M$132</definedName>
    <definedName name="_________eah01">[6]장비!$M$188</definedName>
    <definedName name="_________ebh07">[6]장비!$M$20</definedName>
    <definedName name="_________edt02">[6]장비!$M$240</definedName>
    <definedName name="_________edt10">[6]장비!#REF!</definedName>
    <definedName name="_________edt15">[6]장비!$M$16</definedName>
    <definedName name="_________egn05">[6]장비!$M$176</definedName>
    <definedName name="_________egp45">[6]장비!$M$236</definedName>
    <definedName name="_________elg27">[6]장비!$M$144</definedName>
    <definedName name="_________elm10">[6]장비!$M$164</definedName>
    <definedName name="_________elt17">[6]장비!$M$32</definedName>
    <definedName name="_________emd36">[6]장비!$M$36</definedName>
    <definedName name="_________emr08">[6]장비!$M$44</definedName>
    <definedName name="_________emr10">[6]장비!$M$40</definedName>
    <definedName name="_________emx02">[6]장비!$M$220</definedName>
    <definedName name="_________epb25">[6]장비!#REF!</definedName>
    <definedName name="_________erb01">[6]장비!#REF!</definedName>
    <definedName name="_________etc30">[6]장비!$M$84</definedName>
    <definedName name="_________etd10">[6]장비!$M$48</definedName>
    <definedName name="_________etr08">[6]장비!$M$56</definedName>
    <definedName name="_________evr10">[6]장비!$M$52</definedName>
    <definedName name="_________ewt55">[6]장비!$M$160</definedName>
    <definedName name="_________HSH1">#REF!</definedName>
    <definedName name="_________HSH2">#REF!</definedName>
    <definedName name="_________mac03">[6]장비!$M$125</definedName>
    <definedName name="_________mac10">[6]장비!$M$133</definedName>
    <definedName name="_________mbh07">[6]장비!$M$21</definedName>
    <definedName name="_________mdt02">[6]장비!$M$241</definedName>
    <definedName name="_________mdt10">[6]장비!#REF!</definedName>
    <definedName name="_________mdt15">[6]장비!$M$17</definedName>
    <definedName name="_________mgn05">[6]장비!$M$177</definedName>
    <definedName name="_________mgp45">[6]장비!$M$237</definedName>
    <definedName name="_________mlm10">[6]장비!$M$165</definedName>
    <definedName name="_________mlt17">[6]장비!$M$33</definedName>
    <definedName name="_________mmd36">[6]장비!$M$37</definedName>
    <definedName name="_________mmr08">[6]장비!$M$45</definedName>
    <definedName name="_________mmr10">[6]장비!$M$41</definedName>
    <definedName name="_________mmx02">[6]장비!$M$221</definedName>
    <definedName name="_________mpb25">[6]장비!#REF!</definedName>
    <definedName name="_________mrb01">[6]장비!#REF!</definedName>
    <definedName name="_________mtc30">[6]장비!$M$85</definedName>
    <definedName name="_________mtd10">[6]장비!$M$49</definedName>
    <definedName name="_________mtr08">[6]장비!$M$57</definedName>
    <definedName name="_________mvr10">[6]장비!$M$53</definedName>
    <definedName name="_________mwt55">[6]장비!$M$161</definedName>
    <definedName name="_________NP1">#REF!</definedName>
    <definedName name="_________NP2">#REF!</definedName>
    <definedName name="_________NSH1">#REF!</definedName>
    <definedName name="_________NSH2">#REF!</definedName>
    <definedName name="________con25">#REF!</definedName>
    <definedName name="________dim03670">#REF!</definedName>
    <definedName name="________eac03">[6]장비!$M$124</definedName>
    <definedName name="________eac10">[6]장비!$M$132</definedName>
    <definedName name="________eah01">[6]장비!$M$188</definedName>
    <definedName name="________ebh07">[6]장비!$M$20</definedName>
    <definedName name="________edt02">[6]장비!$M$240</definedName>
    <definedName name="________edt10">[7]장비!#REF!</definedName>
    <definedName name="________edt15">[6]장비!$M$16</definedName>
    <definedName name="________egn05">[6]장비!$M$176</definedName>
    <definedName name="________egp45">[6]장비!$M$236</definedName>
    <definedName name="________elg27">[6]장비!$M$144</definedName>
    <definedName name="________elm10">[6]장비!$M$164</definedName>
    <definedName name="________elt17">[6]장비!$M$32</definedName>
    <definedName name="________emd36">[6]장비!$M$36</definedName>
    <definedName name="________emr08">[6]장비!$M$44</definedName>
    <definedName name="________emr10">[6]장비!$M$40</definedName>
    <definedName name="________emx02">[6]장비!$M$220</definedName>
    <definedName name="________epb25">[7]장비!#REF!</definedName>
    <definedName name="________erb01">[7]장비!#REF!</definedName>
    <definedName name="________etc30">[6]장비!$M$84</definedName>
    <definedName name="________etd10">[6]장비!$M$48</definedName>
    <definedName name="________etr08">[6]장비!$M$56</definedName>
    <definedName name="________evr10">[6]장비!$M$52</definedName>
    <definedName name="________ewt55">[6]장비!$M$160</definedName>
    <definedName name="________gip1">#REF!</definedName>
    <definedName name="________gip2">#REF!</definedName>
    <definedName name="________hcb20">#REF!</definedName>
    <definedName name="________HSH1">#REF!</definedName>
    <definedName name="________HSH2">#REF!</definedName>
    <definedName name="________mac03">[6]장비!$M$125</definedName>
    <definedName name="________mac10">[6]장비!$M$133</definedName>
    <definedName name="________mbh07">[6]장비!$M$21</definedName>
    <definedName name="________mdt02">[6]장비!$M$241</definedName>
    <definedName name="________mdt10">[7]장비!#REF!</definedName>
    <definedName name="________mdt15">[6]장비!$M$17</definedName>
    <definedName name="________mgn05">[6]장비!$M$177</definedName>
    <definedName name="________mgp45">[6]장비!$M$237</definedName>
    <definedName name="________mlm10">[6]장비!$M$165</definedName>
    <definedName name="________mlt17">[6]장비!$M$33</definedName>
    <definedName name="________mmd36">[6]장비!$M$37</definedName>
    <definedName name="________mmr08">[6]장비!$M$45</definedName>
    <definedName name="________mmr10">[6]장비!$M$41</definedName>
    <definedName name="________mmx02">[6]장비!$M$221</definedName>
    <definedName name="________mpb25">[7]장비!#REF!</definedName>
    <definedName name="________mrb01">[7]장비!#REF!</definedName>
    <definedName name="________mtc30">[6]장비!$M$85</definedName>
    <definedName name="________mtd10">[6]장비!$M$49</definedName>
    <definedName name="________mtr08">[6]장비!$M$57</definedName>
    <definedName name="________mvr10">[6]장비!$M$53</definedName>
    <definedName name="________mwt55">[6]장비!$M$161</definedName>
    <definedName name="________NP1">#REF!</definedName>
    <definedName name="________NP2">#REF!</definedName>
    <definedName name="________NSH1">#REF!</definedName>
    <definedName name="________NSH2">#REF!</definedName>
    <definedName name="________snf300250">#REF!</definedName>
    <definedName name="________tms118">#REF!</definedName>
    <definedName name="________tms136">#REF!</definedName>
    <definedName name="________tms236">#REF!</definedName>
    <definedName name="________tmw065136">#REF!</definedName>
    <definedName name="_______con25">#REF!</definedName>
    <definedName name="_______dim03670">#REF!</definedName>
    <definedName name="_______eac03">[6]장비!$M$124</definedName>
    <definedName name="_______eac10">[6]장비!$M$132</definedName>
    <definedName name="_______eah01">[6]장비!$M$188</definedName>
    <definedName name="_______ebh07">[6]장비!$M$20</definedName>
    <definedName name="_______edt02">[6]장비!$M$240</definedName>
    <definedName name="_______edt15">[6]장비!$M$16</definedName>
    <definedName name="_______egn05">[6]장비!$M$176</definedName>
    <definedName name="_______egp45">[6]장비!$M$236</definedName>
    <definedName name="_______elg27">[6]장비!$M$144</definedName>
    <definedName name="_______elm10">[6]장비!$M$164</definedName>
    <definedName name="_______elt17">[6]장비!$M$32</definedName>
    <definedName name="_______emd36">[6]장비!$M$36</definedName>
    <definedName name="_______emr08">[6]장비!$M$44</definedName>
    <definedName name="_______emr10">[6]장비!$M$40</definedName>
    <definedName name="_______emx02">[6]장비!$M$220</definedName>
    <definedName name="_______etc30">[6]장비!$M$84</definedName>
    <definedName name="_______etd10">[6]장비!$M$48</definedName>
    <definedName name="_______etr08">[6]장비!$M$56</definedName>
    <definedName name="_______evr10">[6]장비!$M$52</definedName>
    <definedName name="_______ewt55">[6]장비!$M$160</definedName>
    <definedName name="_______gip1">#REF!</definedName>
    <definedName name="_______gip2">#REF!</definedName>
    <definedName name="_______hcb20">#REF!</definedName>
    <definedName name="_______HSH1">#REF!</definedName>
    <definedName name="_______HSH2">#REF!</definedName>
    <definedName name="_______mac03">[6]장비!$M$125</definedName>
    <definedName name="_______mac10">[6]장비!$M$133</definedName>
    <definedName name="_______mbh07">[6]장비!$M$21</definedName>
    <definedName name="_______mdt02">[6]장비!$M$241</definedName>
    <definedName name="_______mdt15">[6]장비!$M$17</definedName>
    <definedName name="_______mgn05">[6]장비!$M$177</definedName>
    <definedName name="_______mgp45">[6]장비!$M$237</definedName>
    <definedName name="_______mlm10">[6]장비!$M$165</definedName>
    <definedName name="_______mlt17">[6]장비!$M$33</definedName>
    <definedName name="_______mmd36">[6]장비!$M$37</definedName>
    <definedName name="_______mmr08">[6]장비!$M$45</definedName>
    <definedName name="_______mmr10">[6]장비!$M$41</definedName>
    <definedName name="_______mmx02">[6]장비!$M$221</definedName>
    <definedName name="_______mtc30">[6]장비!$M$85</definedName>
    <definedName name="_______mtd10">[6]장비!$M$49</definedName>
    <definedName name="_______mtr08">[6]장비!$M$57</definedName>
    <definedName name="_______mvr10">[6]장비!$M$53</definedName>
    <definedName name="_______mwt55">[6]장비!$M$161</definedName>
    <definedName name="_______NP1">#REF!</definedName>
    <definedName name="_______NP2">#REF!</definedName>
    <definedName name="_______NSH1">#REF!</definedName>
    <definedName name="_______NSH2">#REF!</definedName>
    <definedName name="_______snf300250">#REF!</definedName>
    <definedName name="_______tms118">#REF!</definedName>
    <definedName name="_______tms136">#REF!</definedName>
    <definedName name="_______tms236">#REF!</definedName>
    <definedName name="_______tmw065136">#REF!</definedName>
    <definedName name="______con25">#REF!</definedName>
    <definedName name="______dim03670">#REF!</definedName>
    <definedName name="______eac03">[6]장비!$M$124</definedName>
    <definedName name="______eac10">[6]장비!$M$132</definedName>
    <definedName name="______eah01">[6]장비!$M$188</definedName>
    <definedName name="______ebh07">[6]장비!$M$20</definedName>
    <definedName name="______edt02">[6]장비!$M$240</definedName>
    <definedName name="______edt15">[6]장비!$M$16</definedName>
    <definedName name="______egn05">[6]장비!$M$176</definedName>
    <definedName name="______egp45">[6]장비!$M$236</definedName>
    <definedName name="______elg27">[6]장비!$M$144</definedName>
    <definedName name="______elm10">[6]장비!$M$164</definedName>
    <definedName name="______elt17">[6]장비!$M$32</definedName>
    <definedName name="______emd36">[6]장비!$M$36</definedName>
    <definedName name="______emr08">[6]장비!$M$44</definedName>
    <definedName name="______emr10">[6]장비!$M$40</definedName>
    <definedName name="______emx02">[6]장비!$M$220</definedName>
    <definedName name="______etc30">[6]장비!$M$84</definedName>
    <definedName name="______etd10">[6]장비!$M$48</definedName>
    <definedName name="______etr08">[6]장비!$M$56</definedName>
    <definedName name="______evr10">[6]장비!$M$52</definedName>
    <definedName name="______ewt55">[6]장비!$M$160</definedName>
    <definedName name="______gip1">#REF!</definedName>
    <definedName name="______gip2">#REF!</definedName>
    <definedName name="______hcb20">#REF!</definedName>
    <definedName name="______HSH1">#REF!</definedName>
    <definedName name="______HSH2">#REF!</definedName>
    <definedName name="______mac03">[6]장비!$M$125</definedName>
    <definedName name="______mac10">[6]장비!$M$133</definedName>
    <definedName name="______mbh07">[6]장비!$M$21</definedName>
    <definedName name="______mdt02">[6]장비!$M$241</definedName>
    <definedName name="______mdt15">[6]장비!$M$17</definedName>
    <definedName name="______mgn05">[6]장비!$M$177</definedName>
    <definedName name="______mgp45">[6]장비!$M$237</definedName>
    <definedName name="______mlm10">[6]장비!$M$165</definedName>
    <definedName name="______mlt17">[6]장비!$M$33</definedName>
    <definedName name="______mmd36">[6]장비!$M$37</definedName>
    <definedName name="______mmr08">[6]장비!$M$45</definedName>
    <definedName name="______mmr10">[6]장비!$M$41</definedName>
    <definedName name="______mmx02">[6]장비!$M$221</definedName>
    <definedName name="______mtc30">[6]장비!$M$85</definedName>
    <definedName name="______mtd10">[6]장비!$M$49</definedName>
    <definedName name="______mtr08">[6]장비!$M$57</definedName>
    <definedName name="______mvr10">[6]장비!$M$53</definedName>
    <definedName name="______mwt55">[6]장비!$M$161</definedName>
    <definedName name="______NP1">#REF!</definedName>
    <definedName name="______NP2">#REF!</definedName>
    <definedName name="______NSH1">#REF!</definedName>
    <definedName name="______NSH2">#REF!</definedName>
    <definedName name="______snf300250">#REF!</definedName>
    <definedName name="______tms118">#REF!</definedName>
    <definedName name="______tms136">#REF!</definedName>
    <definedName name="______tms236">#REF!</definedName>
    <definedName name="______tmw065136">#REF!</definedName>
    <definedName name="_____con25">#REF!</definedName>
    <definedName name="_____dim03670">#REF!</definedName>
    <definedName name="_____eac03">[6]장비!$M$124</definedName>
    <definedName name="_____eac10">[6]장비!$M$132</definedName>
    <definedName name="_____eah01">[6]장비!$M$188</definedName>
    <definedName name="_____ebh07">[6]장비!$M$20</definedName>
    <definedName name="_____edt02">[6]장비!$M$240</definedName>
    <definedName name="_____edt15">[6]장비!$M$16</definedName>
    <definedName name="_____egn05">[6]장비!$M$176</definedName>
    <definedName name="_____egp45">[6]장비!$M$236</definedName>
    <definedName name="_____elg27">[6]장비!$M$144</definedName>
    <definedName name="_____elm10">[6]장비!$M$164</definedName>
    <definedName name="_____elt17">[6]장비!$M$32</definedName>
    <definedName name="_____emd36">[6]장비!$M$36</definedName>
    <definedName name="_____emr08">[6]장비!$M$44</definedName>
    <definedName name="_____emr10">[6]장비!$M$40</definedName>
    <definedName name="_____emx02">[6]장비!$M$220</definedName>
    <definedName name="_____etc30">[6]장비!$M$84</definedName>
    <definedName name="_____etd10">[6]장비!$M$48</definedName>
    <definedName name="_____etr08">[6]장비!$M$56</definedName>
    <definedName name="_____evr10">[6]장비!$M$52</definedName>
    <definedName name="_____ewt55">[6]장비!$M$160</definedName>
    <definedName name="_____gip1">#REF!</definedName>
    <definedName name="_____gip2">#REF!</definedName>
    <definedName name="_____hcb20">#REF!</definedName>
    <definedName name="_____HSH1">#REF!</definedName>
    <definedName name="_____HSH2">#REF!</definedName>
    <definedName name="_____mac03">[6]장비!$M$125</definedName>
    <definedName name="_____mac10">[6]장비!$M$133</definedName>
    <definedName name="_____mbh07">[6]장비!$M$21</definedName>
    <definedName name="_____mdt02">[6]장비!$M$241</definedName>
    <definedName name="_____mdt15">[6]장비!$M$17</definedName>
    <definedName name="_____mgn05">[6]장비!$M$177</definedName>
    <definedName name="_____mgp45">[6]장비!$M$237</definedName>
    <definedName name="_____mlm10">[6]장비!$M$165</definedName>
    <definedName name="_____mlt17">[6]장비!$M$33</definedName>
    <definedName name="_____mmd36">[6]장비!$M$37</definedName>
    <definedName name="_____mmr08">[6]장비!$M$45</definedName>
    <definedName name="_____mmr10">[6]장비!$M$41</definedName>
    <definedName name="_____mmx02">[6]장비!$M$221</definedName>
    <definedName name="_____mtc30">[6]장비!$M$85</definedName>
    <definedName name="_____mtd10">[6]장비!$M$49</definedName>
    <definedName name="_____mtr08">[6]장비!$M$57</definedName>
    <definedName name="_____mvr10">[6]장비!$M$53</definedName>
    <definedName name="_____mwt55">[6]장비!$M$161</definedName>
    <definedName name="_____NP1">#REF!</definedName>
    <definedName name="_____NP2">#REF!</definedName>
    <definedName name="_____NSH1">#REF!</definedName>
    <definedName name="_____NSH2">#REF!</definedName>
    <definedName name="_____snf300250">#REF!</definedName>
    <definedName name="_____tms118">#REF!</definedName>
    <definedName name="_____tms136">#REF!</definedName>
    <definedName name="_____tms236">#REF!</definedName>
    <definedName name="_____tmw065136">#REF!</definedName>
    <definedName name="____con25">#REF!</definedName>
    <definedName name="____dim03670">#REF!</definedName>
    <definedName name="____eac03">[8]장비!$M$124</definedName>
    <definedName name="____eac10">[8]장비!$M$132</definedName>
    <definedName name="____eah01">[8]장비!$M$188</definedName>
    <definedName name="____ebh07">[8]장비!$M$20</definedName>
    <definedName name="____edt02">[8]장비!$M$240</definedName>
    <definedName name="____edt10">[7]장비!#REF!</definedName>
    <definedName name="____edt15">[8]장비!$M$16</definedName>
    <definedName name="____egn05">[8]장비!$M$176</definedName>
    <definedName name="____egp45">[8]장비!$M$236</definedName>
    <definedName name="____elg27">[8]장비!$M$144</definedName>
    <definedName name="____elm10">[8]장비!$M$164</definedName>
    <definedName name="____elt17">[8]장비!$M$32</definedName>
    <definedName name="____emd36">[8]장비!$M$36</definedName>
    <definedName name="____emr08">[8]장비!$M$44</definedName>
    <definedName name="____emr10">[8]장비!$M$40</definedName>
    <definedName name="____emx02">[8]장비!$M$220</definedName>
    <definedName name="____epb25">[7]장비!#REF!</definedName>
    <definedName name="____erb01">[7]장비!#REF!</definedName>
    <definedName name="____etc30">[8]장비!$M$84</definedName>
    <definedName name="____etd10">[8]장비!$M$48</definedName>
    <definedName name="____etr08">[8]장비!$M$56</definedName>
    <definedName name="____evr10">[8]장비!$M$52</definedName>
    <definedName name="____ewt55">[8]장비!$M$160</definedName>
    <definedName name="____gip1">#REF!</definedName>
    <definedName name="____gip2">#REF!</definedName>
    <definedName name="____hcb20">#REF!</definedName>
    <definedName name="____HSH1">#REF!</definedName>
    <definedName name="____HSH2">#REF!</definedName>
    <definedName name="____mac03">[8]장비!$M$125</definedName>
    <definedName name="____mac10">[8]장비!$M$133</definedName>
    <definedName name="____mbh07">[8]장비!$M$21</definedName>
    <definedName name="____mdt02">[8]장비!$M$241</definedName>
    <definedName name="____mdt10">[7]장비!#REF!</definedName>
    <definedName name="____mdt15">[8]장비!$M$17</definedName>
    <definedName name="____mgn05">[8]장비!$M$177</definedName>
    <definedName name="____mgp45">[8]장비!$M$237</definedName>
    <definedName name="____mlm10">[8]장비!$M$165</definedName>
    <definedName name="____mlt17">[8]장비!$M$33</definedName>
    <definedName name="____mmd36">[8]장비!$M$37</definedName>
    <definedName name="____mmr08">[8]장비!$M$45</definedName>
    <definedName name="____mmr10">[8]장비!$M$41</definedName>
    <definedName name="____mmx02">[8]장비!$M$221</definedName>
    <definedName name="____mpb25">[7]장비!#REF!</definedName>
    <definedName name="____mrb01">[7]장비!#REF!</definedName>
    <definedName name="____mtc30">[8]장비!$M$85</definedName>
    <definedName name="____mtd10">[8]장비!$M$49</definedName>
    <definedName name="____mtr08">[8]장비!$M$57</definedName>
    <definedName name="____mvr10">[8]장비!$M$53</definedName>
    <definedName name="____mwt55">[8]장비!$M$161</definedName>
    <definedName name="____NP1">#REF!</definedName>
    <definedName name="____NP2">#REF!</definedName>
    <definedName name="____NSH1">#REF!</definedName>
    <definedName name="____NSH2">#REF!</definedName>
    <definedName name="____snf300250">#REF!</definedName>
    <definedName name="____tms118">#REF!</definedName>
    <definedName name="____tms136">#REF!</definedName>
    <definedName name="____tms236">#REF!</definedName>
    <definedName name="____tmw065136">#REF!</definedName>
    <definedName name="___con25">#REF!</definedName>
    <definedName name="___dim03670">#REF!</definedName>
    <definedName name="___eac03">[8]장비!$M$124</definedName>
    <definedName name="___eac10">[8]장비!$M$132</definedName>
    <definedName name="___eah01">[8]장비!$M$188</definedName>
    <definedName name="___ebh07">[8]장비!$M$20</definedName>
    <definedName name="___edt02">[8]장비!$M$240</definedName>
    <definedName name="___edt10">[7]장비!#REF!</definedName>
    <definedName name="___edt15">[8]장비!$M$16</definedName>
    <definedName name="___egn05">[8]장비!$M$176</definedName>
    <definedName name="___egp45">[8]장비!$M$236</definedName>
    <definedName name="___elg27">[8]장비!$M$144</definedName>
    <definedName name="___elm10">[8]장비!$M$164</definedName>
    <definedName name="___elt17">[8]장비!$M$32</definedName>
    <definedName name="___emd36">[8]장비!$M$36</definedName>
    <definedName name="___emr08">[8]장비!$M$44</definedName>
    <definedName name="___emr10">[8]장비!$M$40</definedName>
    <definedName name="___emx02">[8]장비!$M$220</definedName>
    <definedName name="___epb25">[7]장비!#REF!</definedName>
    <definedName name="___erb01">[7]장비!#REF!</definedName>
    <definedName name="___etc30">[8]장비!$M$84</definedName>
    <definedName name="___etd10">[8]장비!$M$48</definedName>
    <definedName name="___etr08">[8]장비!$M$56</definedName>
    <definedName name="___evr10">[8]장비!$M$52</definedName>
    <definedName name="___ewt55">[8]장비!$M$160</definedName>
    <definedName name="___gip1">#REF!</definedName>
    <definedName name="___gip2">#REF!</definedName>
    <definedName name="___hcb20">#REF!</definedName>
    <definedName name="___HSH1">#REF!</definedName>
    <definedName name="___HSH2">#REF!</definedName>
    <definedName name="___mac03">[8]장비!$M$125</definedName>
    <definedName name="___mac10">[8]장비!$M$133</definedName>
    <definedName name="___mbh07">[8]장비!$M$21</definedName>
    <definedName name="___mdt02">[8]장비!$M$241</definedName>
    <definedName name="___mdt10">[7]장비!#REF!</definedName>
    <definedName name="___mdt15">[8]장비!$M$17</definedName>
    <definedName name="___mgn05">[8]장비!$M$177</definedName>
    <definedName name="___mgp45">[8]장비!$M$237</definedName>
    <definedName name="___mlm10">[8]장비!$M$165</definedName>
    <definedName name="___mlt17">[8]장비!$M$33</definedName>
    <definedName name="___mmd36">[8]장비!$M$37</definedName>
    <definedName name="___mmr08">[8]장비!$M$45</definedName>
    <definedName name="___mmr10">[8]장비!$M$41</definedName>
    <definedName name="___mmx02">[8]장비!$M$221</definedName>
    <definedName name="___mpb25">[7]장비!#REF!</definedName>
    <definedName name="___mrb01">[7]장비!#REF!</definedName>
    <definedName name="___mtc30">[8]장비!$M$85</definedName>
    <definedName name="___mtd10">[8]장비!$M$49</definedName>
    <definedName name="___mtr08">[8]장비!$M$57</definedName>
    <definedName name="___mvr10">[8]장비!$M$53</definedName>
    <definedName name="___mwt55">[8]장비!$M$161</definedName>
    <definedName name="___NP1">#REF!</definedName>
    <definedName name="___NP2">#REF!</definedName>
    <definedName name="___NSH1">#REF!</definedName>
    <definedName name="___NSH2">#REF!</definedName>
    <definedName name="___snf300250">#REF!</definedName>
    <definedName name="___tms118">#REF!</definedName>
    <definedName name="___tms136">#REF!</definedName>
    <definedName name="___tms236">#REF!</definedName>
    <definedName name="___tmw065136">#REF!</definedName>
    <definedName name="__A122816">#REF!</definedName>
    <definedName name="__con25">#REF!</definedName>
    <definedName name="__dim03670">#REF!</definedName>
    <definedName name="__eac03">[8]장비!$M$124</definedName>
    <definedName name="__eac10">[8]장비!$M$132</definedName>
    <definedName name="__eah01">[8]장비!$M$188</definedName>
    <definedName name="__ebh07">[8]장비!$M$20</definedName>
    <definedName name="__edt02">[8]장비!$M$240</definedName>
    <definedName name="__edt10">[7]장비!#REF!</definedName>
    <definedName name="__edt15">[8]장비!$M$16</definedName>
    <definedName name="__egn05">[8]장비!$M$176</definedName>
    <definedName name="__egp45">[8]장비!$M$236</definedName>
    <definedName name="__elg27">[8]장비!$M$144</definedName>
    <definedName name="__elm10">[8]장비!$M$164</definedName>
    <definedName name="__elt17">[8]장비!$M$32</definedName>
    <definedName name="__emd36">[8]장비!$M$36</definedName>
    <definedName name="__emr08">[8]장비!$M$44</definedName>
    <definedName name="__emr10">[8]장비!$M$40</definedName>
    <definedName name="__emx02">[8]장비!$M$220</definedName>
    <definedName name="__epb25">[7]장비!#REF!</definedName>
    <definedName name="__erb01">[7]장비!#REF!</definedName>
    <definedName name="__etc30">[8]장비!$M$84</definedName>
    <definedName name="__etd10">[8]장비!$M$48</definedName>
    <definedName name="__etr08">[8]장비!$M$56</definedName>
    <definedName name="__evr10">[8]장비!$M$52</definedName>
    <definedName name="__ewt55">[8]장비!$M$160</definedName>
    <definedName name="__gip1">#REF!</definedName>
    <definedName name="__gip2">#REF!</definedName>
    <definedName name="__hcb20">#REF!</definedName>
    <definedName name="__HSH1">#REF!</definedName>
    <definedName name="__HSH2">#REF!</definedName>
    <definedName name="__mac03">[8]장비!$M$125</definedName>
    <definedName name="__mac10">[8]장비!$M$133</definedName>
    <definedName name="__mbh07">[8]장비!$M$21</definedName>
    <definedName name="__mdt02">[8]장비!$M$241</definedName>
    <definedName name="__mdt10">[7]장비!#REF!</definedName>
    <definedName name="__mdt15">[8]장비!$M$17</definedName>
    <definedName name="__mgn05">[8]장비!$M$177</definedName>
    <definedName name="__mgp45">[8]장비!$M$237</definedName>
    <definedName name="__mlm10">[8]장비!$M$165</definedName>
    <definedName name="__mlt17">[8]장비!$M$33</definedName>
    <definedName name="__mmd36">[8]장비!$M$37</definedName>
    <definedName name="__mmr08">[8]장비!$M$45</definedName>
    <definedName name="__mmr10">[8]장비!$M$41</definedName>
    <definedName name="__mmx02">[8]장비!$M$221</definedName>
    <definedName name="__mpb25">[7]장비!#REF!</definedName>
    <definedName name="__mrb01">[7]장비!#REF!</definedName>
    <definedName name="__mtc30">[8]장비!$M$85</definedName>
    <definedName name="__mtd10">[8]장비!$M$49</definedName>
    <definedName name="__mtr08">[8]장비!$M$57</definedName>
    <definedName name="__mvr10">[8]장비!$M$53</definedName>
    <definedName name="__mwt55">[8]장비!$M$161</definedName>
    <definedName name="__NP1">#REF!</definedName>
    <definedName name="__NP2">#REF!</definedName>
    <definedName name="__NSH1">#REF!</definedName>
    <definedName name="__NSH2">#REF!</definedName>
    <definedName name="__snf300250">#REF!</definedName>
    <definedName name="__tms118">#REF!</definedName>
    <definedName name="__tms136">#REF!</definedName>
    <definedName name="__tms236">#REF!</definedName>
    <definedName name="__tmw065136">#REF!</definedName>
    <definedName name="_12G_0Extr">[9]BID!#REF!</definedName>
    <definedName name="_16G_0Extract">[9]BID!#REF!</definedName>
    <definedName name="_1공장">#REF!</definedName>
    <definedName name="_2_3_0Crite">[9]BID!#REF!</definedName>
    <definedName name="_2공장">#REF!</definedName>
    <definedName name="_3공장">#REF!</definedName>
    <definedName name="_4_3_0Crite">[9]BID!#REF!</definedName>
    <definedName name="_4_3_0Criteria">[9]BID!#REF!</definedName>
    <definedName name="_8_3_0Criteria">[9]BID!#REF!</definedName>
    <definedName name="_A122816">#REF!</definedName>
    <definedName name="_C">#REF!</definedName>
    <definedName name="_con25">#REF!</definedName>
    <definedName name="_dim03670">#REF!</definedName>
    <definedName name="_Dist_Bin" hidden="1">[9]BID!#REF!</definedName>
    <definedName name="_Dist_Values" hidden="1">[9]BID!#REF!</definedName>
    <definedName name="_eac03">[8]장비!$M$124</definedName>
    <definedName name="_eac10">[8]장비!$M$132</definedName>
    <definedName name="_eah01">[8]장비!$M$188</definedName>
    <definedName name="_ebh07">[8]장비!$M$20</definedName>
    <definedName name="_edt02">[8]장비!$M$240</definedName>
    <definedName name="_edt10">[10]장비!#REF!</definedName>
    <definedName name="_edt15">[8]장비!$M$16</definedName>
    <definedName name="_egn05">[8]장비!$M$176</definedName>
    <definedName name="_egp45">[8]장비!$M$236</definedName>
    <definedName name="_elg27">[8]장비!$M$144</definedName>
    <definedName name="_elm10">[8]장비!$M$164</definedName>
    <definedName name="_elt17">[8]장비!$M$32</definedName>
    <definedName name="_emd36">[8]장비!$M$36</definedName>
    <definedName name="_emr08">[8]장비!$M$44</definedName>
    <definedName name="_emr10">[8]장비!$M$40</definedName>
    <definedName name="_emx02">[8]장비!$M$220</definedName>
    <definedName name="_epb25">[10]장비!#REF!</definedName>
    <definedName name="_erb01">[10]장비!#REF!</definedName>
    <definedName name="_etc30">[8]장비!$M$84</definedName>
    <definedName name="_etd10">[8]장비!$M$48</definedName>
    <definedName name="_etr08">[8]장비!$M$56</definedName>
    <definedName name="_evr10">[8]장비!$M$52</definedName>
    <definedName name="_ewt55">[8]장비!$M$160</definedName>
    <definedName name="_Fill" hidden="1">[11]품의!#REF!</definedName>
    <definedName name="_Flr1">#REF!</definedName>
    <definedName name="_gip1">#REF!</definedName>
    <definedName name="_gip2">#REF!</definedName>
    <definedName name="_hcb20">#REF!</definedName>
    <definedName name="_HSH1">#REF!</definedName>
    <definedName name="_HSH2">#REF!</definedName>
    <definedName name="_Key1" hidden="1">[9]BID!#REF!</definedName>
    <definedName name="_Key2" hidden="1">[9]BID!#REF!</definedName>
    <definedName name="_mac03">[12]장비!$M$125</definedName>
    <definedName name="_mac10">[8]장비!$M$133</definedName>
    <definedName name="_MatInverse_In" hidden="1">#REF!</definedName>
    <definedName name="_mbh07">[8]장비!$M$21</definedName>
    <definedName name="_mbr1">#REF!</definedName>
    <definedName name="_mdt02">[8]장비!$M$241</definedName>
    <definedName name="_mdt10">[10]장비!#REF!</definedName>
    <definedName name="_mdt15">[8]장비!$M$17</definedName>
    <definedName name="_mgn05">[8]장비!$M$177</definedName>
    <definedName name="_mgp45">[8]장비!$M$237</definedName>
    <definedName name="_mlm10">[8]장비!$M$165</definedName>
    <definedName name="_mlt17">[8]장비!$M$33</definedName>
    <definedName name="_mmd36">[8]장비!$M$37</definedName>
    <definedName name="_mmr08">[8]장비!$M$45</definedName>
    <definedName name="_mmr10">[8]장비!$M$41</definedName>
    <definedName name="_mmx02">[8]장비!$M$221</definedName>
    <definedName name="_mpb25">[10]장비!#REF!</definedName>
    <definedName name="_mrb01">[10]장비!#REF!</definedName>
    <definedName name="_mtc30">[8]장비!$M$85</definedName>
    <definedName name="_mtd10">[8]장비!$M$49</definedName>
    <definedName name="_mtr08">[8]장비!$M$57</definedName>
    <definedName name="_mvr10">[8]장비!$M$53</definedName>
    <definedName name="_mwt55">[8]장비!$M$161</definedName>
    <definedName name="_NP1">#REF!</definedName>
    <definedName name="_NP2">#REF!</definedName>
    <definedName name="_NSH1">#REF!</definedName>
    <definedName name="_NSH2">#REF!</definedName>
    <definedName name="_Order1" hidden="1">0</definedName>
    <definedName name="_Order2" hidden="1">0</definedName>
    <definedName name="_Parse_Out" hidden="1">[9]BID!#REF!</definedName>
    <definedName name="_snf300250">#REF!</definedName>
    <definedName name="_Sort" hidden="1">[9]BID!#REF!</definedName>
    <definedName name="_Table1_In1" hidden="1">#REF!</definedName>
    <definedName name="_Table1_Out" hidden="1">#REF!</definedName>
    <definedName name="_tms118">#REF!</definedName>
    <definedName name="_tms136">#REF!</definedName>
    <definedName name="_tms236">#REF!</definedName>
    <definedName name="_tmw065136">#REF!</definedName>
    <definedName name="´">#REF!</definedName>
    <definedName name="√">#REF!</definedName>
    <definedName name="A">#REF!</definedName>
    <definedName name="AA">#REF!</definedName>
    <definedName name="aaa">#REF!</definedName>
    <definedName name="aaaa">#REF!</definedName>
    <definedName name="ABC">#REF!</definedName>
    <definedName name="abeba">[13]Sheet4!$B$4</definedName>
    <definedName name="abebe">#REF!</definedName>
    <definedName name="abel">#REF!</definedName>
    <definedName name="ac">#REF!</definedName>
    <definedName name="acb10a1p">#REF!</definedName>
    <definedName name="acb10a3p">#REF!</definedName>
    <definedName name="acb16a1p">#REF!</definedName>
    <definedName name="acb16a3p">#REF!</definedName>
    <definedName name="acb20a1p">#REF!</definedName>
    <definedName name="acb20a3p">#REF!</definedName>
    <definedName name="acb25a1p">#REF!</definedName>
    <definedName name="acb25a3p">#REF!</definedName>
    <definedName name="acb2a1p">#REF!</definedName>
    <definedName name="acb32a1p">#REF!</definedName>
    <definedName name="acb32a3p">#REF!</definedName>
    <definedName name="acb40a1p">#REF!</definedName>
    <definedName name="acb40a3p">#REF!</definedName>
    <definedName name="acb50a1p">#REF!</definedName>
    <definedName name="acb50a3p">#REF!</definedName>
    <definedName name="acb63a1p">#REF!</definedName>
    <definedName name="acb63a3p">#REF!</definedName>
    <definedName name="acb6a1p">#REF!</definedName>
    <definedName name="acb6a3p">#REF!</definedName>
    <definedName name="Acc">#REF!</definedName>
    <definedName name="ader">#REF!</definedName>
    <definedName name="admin.ground.column">#REF!</definedName>
    <definedName name="adsddfds">#REF!</definedName>
    <definedName name="Advance_Repay">#REF!</definedName>
    <definedName name="afdaf">#REF!</definedName>
    <definedName name="agg" localSheetId="1" hidden="1">{#N/A,#N/A,FALSE,"단가표지"}</definedName>
    <definedName name="agg" localSheetId="3" hidden="1">{#N/A,#N/A,FALSE,"단가표지"}</definedName>
    <definedName name="agg" localSheetId="5" hidden="1">{#N/A,#N/A,FALSE,"단가표지"}</definedName>
    <definedName name="agg" localSheetId="6" hidden="1">{#N/A,#N/A,FALSE,"단가표지"}</definedName>
    <definedName name="agg" localSheetId="9" hidden="1">{#N/A,#N/A,FALSE,"단가표지"}</definedName>
    <definedName name="agg" localSheetId="12" hidden="1">{#N/A,#N/A,FALSE,"단가표지"}</definedName>
    <definedName name="agg" localSheetId="16" hidden="1">{#N/A,#N/A,FALSE,"단가표지"}</definedName>
    <definedName name="agg" hidden="1">{#N/A,#N/A,FALSE,"단가표지"}</definedName>
    <definedName name="AI">[14]지계!#REF!</definedName>
    <definedName name="Airconditioners">'[15]House Equ &amp; Fur'!$E$276</definedName>
    <definedName name="airterminal1">#REF!</definedName>
    <definedName name="An">#REF!</definedName>
    <definedName name="analyses">#REF!</definedName>
    <definedName name="anc">#REF!</definedName>
    <definedName name="AO">[14]지계!#REF!</definedName>
    <definedName name="are">#REF!</definedName>
    <definedName name="areaagfgfdxsw">#REF!</definedName>
    <definedName name="aready">#REF!</definedName>
    <definedName name="as" hidden="1">[9]BID!$A$1:$A$734</definedName>
    <definedName name="AT">[16]간선계산!#REF!</definedName>
    <definedName name="b">'[17]PA(B-2)L'!#REF!</definedName>
    <definedName name="B1A">#REF!</definedName>
    <definedName name="B1WL">#REF!</definedName>
    <definedName name="B1WR">#REF!</definedName>
    <definedName name="B2A">#REF!</definedName>
    <definedName name="B2WL">#REF!</definedName>
    <definedName name="B2WR">#REF!</definedName>
    <definedName name="B3A">#REF!</definedName>
    <definedName name="B4722365">#REF!</definedName>
    <definedName name="B47223658">#REF!</definedName>
    <definedName name="B4A">#REF!</definedName>
    <definedName name="B5A">#REF!</definedName>
    <definedName name="B6A">#REF!</definedName>
    <definedName name="B7A">#REF!</definedName>
    <definedName name="B8A">#REF!</definedName>
    <definedName name="BA">#REF!</definedName>
    <definedName name="back">#REF!</definedName>
    <definedName name="balance">#REF!</definedName>
    <definedName name="bb" localSheetId="1" hidden="1">{#N/A,#N/A,FALSE,"단가표지"}</definedName>
    <definedName name="bb" localSheetId="3" hidden="1">{#N/A,#N/A,FALSE,"단가표지"}</definedName>
    <definedName name="bb" localSheetId="5" hidden="1">{#N/A,#N/A,FALSE,"단가표지"}</definedName>
    <definedName name="bb" localSheetId="6" hidden="1">{#N/A,#N/A,FALSE,"단가표지"}</definedName>
    <definedName name="bb" localSheetId="9" hidden="1">{#N/A,#N/A,FALSE,"단가표지"}</definedName>
    <definedName name="bb" localSheetId="12" hidden="1">{#N/A,#N/A,FALSE,"단가표지"}</definedName>
    <definedName name="bb" localSheetId="16" hidden="1">{#N/A,#N/A,FALSE,"단가표지"}</definedName>
    <definedName name="bb" hidden="1">{#N/A,#N/A,FALSE,"단가표지"}</definedName>
    <definedName name="bbb" localSheetId="1" hidden="1">{#N/A,#N/A,FALSE,"운반시간"}</definedName>
    <definedName name="bbb" localSheetId="3" hidden="1">{#N/A,#N/A,FALSE,"운반시간"}</definedName>
    <definedName name="bbb" localSheetId="5" hidden="1">{#N/A,#N/A,FALSE,"운반시간"}</definedName>
    <definedName name="bbb" localSheetId="6" hidden="1">{#N/A,#N/A,FALSE,"운반시간"}</definedName>
    <definedName name="bbb" localSheetId="9" hidden="1">{#N/A,#N/A,FALSE,"운반시간"}</definedName>
    <definedName name="bbb" localSheetId="12" hidden="1">{#N/A,#N/A,FALSE,"운반시간"}</definedName>
    <definedName name="bbb" localSheetId="16" hidden="1">{#N/A,#N/A,FALSE,"운반시간"}</definedName>
    <definedName name="bbb" hidden="1">{#N/A,#N/A,FALSE,"운반시간"}</definedName>
    <definedName name="bbbb" localSheetId="1" hidden="1">{#N/A,#N/A,FALSE,"단가표지"}</definedName>
    <definedName name="bbbb" localSheetId="3" hidden="1">{#N/A,#N/A,FALSE,"단가표지"}</definedName>
    <definedName name="bbbb" localSheetId="5" hidden="1">{#N/A,#N/A,FALSE,"단가표지"}</definedName>
    <definedName name="bbbb" localSheetId="6" hidden="1">{#N/A,#N/A,FALSE,"단가표지"}</definedName>
    <definedName name="bbbb" localSheetId="9" hidden="1">{#N/A,#N/A,FALSE,"단가표지"}</definedName>
    <definedName name="bbbb" localSheetId="12" hidden="1">{#N/A,#N/A,FALSE,"단가표지"}</definedName>
    <definedName name="bbbb" localSheetId="16" hidden="1">{#N/A,#N/A,FALSE,"단가표지"}</definedName>
    <definedName name="bbbb" hidden="1">{#N/A,#N/A,FALSE,"단가표지"}</definedName>
    <definedName name="bcc">'[15]Day Works'!$F$51:$F$51</definedName>
    <definedName name="bcvnbvcn">#REF!</definedName>
    <definedName name="BDCODE">#N/A</definedName>
    <definedName name="bell">#REF!</definedName>
    <definedName name="bellcallpoint">#REF!</definedName>
    <definedName name="belltransformer">#REF!</definedName>
    <definedName name="Bezeichnung_3">#REF!</definedName>
    <definedName name="BHU">#REF!</definedName>
    <definedName name="BI">[14]지계!#REF!</definedName>
    <definedName name="bill">#REF!</definedName>
    <definedName name="Bin" localSheetId="1" hidden="1">{#N/A,#N/A,FALSE,"구조1"}</definedName>
    <definedName name="Bin" localSheetId="3" hidden="1">{#N/A,#N/A,FALSE,"구조1"}</definedName>
    <definedName name="Bin" localSheetId="5" hidden="1">{#N/A,#N/A,FALSE,"구조1"}</definedName>
    <definedName name="Bin" localSheetId="6" hidden="1">{#N/A,#N/A,FALSE,"구조1"}</definedName>
    <definedName name="Bin" localSheetId="9" hidden="1">{#N/A,#N/A,FALSE,"구조1"}</definedName>
    <definedName name="Bin" localSheetId="12" hidden="1">{#N/A,#N/A,FALSE,"구조1"}</definedName>
    <definedName name="Bin" localSheetId="16" hidden="1">{#N/A,#N/A,FALSE,"구조1"}</definedName>
    <definedName name="Bin" hidden="1">{#N/A,#N/A,FALSE,"구조1"}</definedName>
    <definedName name="block_range">'[18]A-2 blcok work Res.'!$A$1:$E$65536</definedName>
    <definedName name="Block_Work">'[19]05 Ar &amp; St'!#REF!</definedName>
    <definedName name="Block_work_range">'[19]A-2 blcok work Res.'!$A$1:$E$65536</definedName>
    <definedName name="Block_work_total">'[18]05 Ar &amp; St'!$M$49</definedName>
    <definedName name="BMO">#REF!</definedName>
    <definedName name="bnm">'[20]08 Ar &amp; St'!#REF!</definedName>
    <definedName name="BO">[14]지계!#REF!</definedName>
    <definedName name="boq">#REF!</definedName>
    <definedName name="BOQsss">#REF!</definedName>
    <definedName name="borrow">#REF!</definedName>
    <definedName name="brb" localSheetId="1" hidden="1">{#N/A,#N/A,FALSE,"조골재"}</definedName>
    <definedName name="brb" localSheetId="3" hidden="1">{#N/A,#N/A,FALSE,"조골재"}</definedName>
    <definedName name="brb" localSheetId="5" hidden="1">{#N/A,#N/A,FALSE,"조골재"}</definedName>
    <definedName name="brb" localSheetId="6" hidden="1">{#N/A,#N/A,FALSE,"조골재"}</definedName>
    <definedName name="brb" localSheetId="9" hidden="1">{#N/A,#N/A,FALSE,"조골재"}</definedName>
    <definedName name="brb" localSheetId="12" hidden="1">{#N/A,#N/A,FALSE,"조골재"}</definedName>
    <definedName name="brb" localSheetId="16" hidden="1">{#N/A,#N/A,FALSE,"조골재"}</definedName>
    <definedName name="brb" hidden="1">{#N/A,#N/A,FALSE,"조골재"}</definedName>
    <definedName name="BSH">#REF!</definedName>
    <definedName name="buzzer">#REF!</definedName>
    <definedName name="BV">#REF!</definedName>
    <definedName name="C_">#N/A</definedName>
    <definedName name="CABLE">[21]price!$G$51</definedName>
    <definedName name="cable2x1.5">#REF!</definedName>
    <definedName name="cable2x10">#REF!</definedName>
    <definedName name="cable2x16">#REF!</definedName>
    <definedName name="cable2x2.5">#REF!</definedName>
    <definedName name="cable2x4">#REF!</definedName>
    <definedName name="cable2x6">#REF!</definedName>
    <definedName name="cable3x1.5">#REF!</definedName>
    <definedName name="cable3x10">#REF!</definedName>
    <definedName name="cable3x12070">#REF!</definedName>
    <definedName name="cable3x15070">#REF!</definedName>
    <definedName name="cable3x16">#REF!</definedName>
    <definedName name="cable3x18595">#REF!</definedName>
    <definedName name="cable3x2.5">#REF!</definedName>
    <definedName name="cable3x240120">#REF!</definedName>
    <definedName name="cable3x2516">#REF!</definedName>
    <definedName name="cable3x300150">#REF!</definedName>
    <definedName name="cable3x3516">#REF!</definedName>
    <definedName name="cable3x4">#REF!</definedName>
    <definedName name="cable3x5">#REF!</definedName>
    <definedName name="cable3x5025">#REF!</definedName>
    <definedName name="cable3x6">#REF!</definedName>
    <definedName name="cable3x7035">#REF!</definedName>
    <definedName name="cable3x9550">#REF!</definedName>
    <definedName name="cable4x1.5">#REF!</definedName>
    <definedName name="cable4x10">#REF!</definedName>
    <definedName name="cable4x16">#REF!</definedName>
    <definedName name="cable4x2.5">#REF!</definedName>
    <definedName name="cable4x4">#REF!</definedName>
    <definedName name="cable4x6">#REF!</definedName>
    <definedName name="cabletray200x100">#REF!</definedName>
    <definedName name="cabletray400x100">#REF!</definedName>
    <definedName name="cabletray500x110">#REF!</definedName>
    <definedName name="cabletray500x75">#REF!</definedName>
    <definedName name="callpanel12no">#REF!</definedName>
    <definedName name="callpanel16no">#REF!</definedName>
    <definedName name="callpanel24no">#REF!</definedName>
    <definedName name="callpanel8no">#REF!</definedName>
    <definedName name="Camp">#REF!</definedName>
    <definedName name="cbcvbcvfrdf" localSheetId="1" hidden="1">{#N/A,#N/A,FALSE,"혼합골재"}</definedName>
    <definedName name="cbcvbcvfrdf" localSheetId="3" hidden="1">{#N/A,#N/A,FALSE,"혼합골재"}</definedName>
    <definedName name="cbcvbcvfrdf" localSheetId="5" hidden="1">{#N/A,#N/A,FALSE,"혼합골재"}</definedName>
    <definedName name="cbcvbcvfrdf" localSheetId="6" hidden="1">{#N/A,#N/A,FALSE,"혼합골재"}</definedName>
    <definedName name="cbcvbcvfrdf" localSheetId="9" hidden="1">{#N/A,#N/A,FALSE,"혼합골재"}</definedName>
    <definedName name="cbcvbcvfrdf" localSheetId="12" hidden="1">{#N/A,#N/A,FALSE,"혼합골재"}</definedName>
    <definedName name="cbcvbcvfrdf" localSheetId="16" hidden="1">{#N/A,#N/A,FALSE,"혼합골재"}</definedName>
    <definedName name="cbcvbcvfrdf" hidden="1">{#N/A,#N/A,FALSE,"혼합골재"}</definedName>
    <definedName name="cc">'[17]PA(B-2)L'!#REF!</definedName>
    <definedName name="CDT">'[22]Summary of Bills '!$F$7</definedName>
    <definedName name="Ce">#REF!</definedName>
    <definedName name="ceiling">#REF!</definedName>
    <definedName name="ceilingglobe">#REF!</definedName>
    <definedName name="CEILINGS">#REF!</definedName>
    <definedName name="cemic">#REF!</definedName>
    <definedName name="CEMICS">#REF!</definedName>
    <definedName name="CerNo">#REF!</definedName>
    <definedName name="CF" localSheetId="1" hidden="1">{#N/A,#N/A,FALSE,"혼합골재"}</definedName>
    <definedName name="CF" localSheetId="3" hidden="1">{#N/A,#N/A,FALSE,"혼합골재"}</definedName>
    <definedName name="CF" localSheetId="5" hidden="1">{#N/A,#N/A,FALSE,"혼합골재"}</definedName>
    <definedName name="CF" localSheetId="6" hidden="1">{#N/A,#N/A,FALSE,"혼합골재"}</definedName>
    <definedName name="CF" localSheetId="9" hidden="1">{#N/A,#N/A,FALSE,"혼합골재"}</definedName>
    <definedName name="CF" localSheetId="12" hidden="1">{#N/A,#N/A,FALSE,"혼합골재"}</definedName>
    <definedName name="CF" localSheetId="16" hidden="1">{#N/A,#N/A,FALSE,"혼합골재"}</definedName>
    <definedName name="CF" hidden="1">{#N/A,#N/A,FALSE,"혼합골재"}</definedName>
    <definedName name="CI">[14]지계!#REF!</definedName>
    <definedName name="ciearing">#REF!</definedName>
    <definedName name="cisheet">#REF!</definedName>
    <definedName name="clbh">[23]材料!$A$4:'[23]材料'!$A$2811</definedName>
    <definedName name="Clear">#REF!</definedName>
    <definedName name="clearing">[24]공종별집계!#REF!</definedName>
    <definedName name="cnnn">#REF!</definedName>
    <definedName name="CO">[14]지계!#REF!</definedName>
    <definedName name="CODE">#REF!</definedName>
    <definedName name="comdate">#REF!</definedName>
    <definedName name="CON25S">#REF!</definedName>
    <definedName name="conductor10">#REF!</definedName>
    <definedName name="conductor16">#REF!</definedName>
    <definedName name="conductor25">#REF!</definedName>
    <definedName name="conductor35">#REF!</definedName>
    <definedName name="conductor4">#REF!</definedName>
    <definedName name="conductor50">#REF!</definedName>
    <definedName name="conductor6">#REF!</definedName>
    <definedName name="conductor70">#REF!</definedName>
    <definedName name="conduit110">#REF!</definedName>
    <definedName name="conduit13.5">#REF!</definedName>
    <definedName name="conduit16">#REF!</definedName>
    <definedName name="conduit19">#REF!</definedName>
    <definedName name="conduit20">#REF!</definedName>
    <definedName name="conduit21">#REF!</definedName>
    <definedName name="conduit25">#REF!</definedName>
    <definedName name="conduit29">#REF!</definedName>
    <definedName name="conduit32">#REF!</definedName>
    <definedName name="conduit36">#REF!</definedName>
    <definedName name="conduit40">#REF!</definedName>
    <definedName name="conduit50">#REF!</definedName>
    <definedName name="conduit75">#REF!</definedName>
    <definedName name="CONT_QTY">#REF!</definedName>
    <definedName name="contactor10a3p">#REF!</definedName>
    <definedName name="contactor16a3p">#REF!</definedName>
    <definedName name="contactor25a3p">#REF!</definedName>
    <definedName name="contactor32a3p">#REF!</definedName>
    <definedName name="contactor40a3p">#REF!</definedName>
    <definedName name="contactor60a3p">#REF!</definedName>
    <definedName name="contactor6a3p">#REF!</definedName>
    <definedName name="contactor90a3p">#REF!</definedName>
    <definedName name="Contents">#REF!</definedName>
    <definedName name="ContQTYsb">#REF!</definedName>
    <definedName name="ContQTYsp">'[20]08 Ar &amp; St'!#REF!</definedName>
    <definedName name="copied">[13]Sheet4!$B$3</definedName>
    <definedName name="coppertape25x3">#REF!</definedName>
    <definedName name="CR">#REF!</definedName>
    <definedName name="crew">#REF!</definedName>
    <definedName name="_xlnm.Criteria">#REF!</definedName>
    <definedName name="Criteria_MI">#REF!</definedName>
    <definedName name="Crush">#REF!</definedName>
    <definedName name="CurtAMTsb">#REF!</definedName>
    <definedName name="CurtAMTspr">'[20]08 Ar &amp; St'!#REF!</definedName>
    <definedName name="CurtQTYsb">#REF!</definedName>
    <definedName name="CurtQTYspr">'[20]08 Ar &amp; St'!#REF!</definedName>
    <definedName name="cvbn">#REF!</definedName>
    <definedName name="cx" localSheetId="1" hidden="1">{#N/A,#N/A,FALSE,"전력간선"}</definedName>
    <definedName name="cx" localSheetId="3" hidden="1">{#N/A,#N/A,FALSE,"전력간선"}</definedName>
    <definedName name="cx" localSheetId="5" hidden="1">{#N/A,#N/A,FALSE,"전력간선"}</definedName>
    <definedName name="cx" localSheetId="6" hidden="1">{#N/A,#N/A,FALSE,"전력간선"}</definedName>
    <definedName name="cx" localSheetId="9" hidden="1">{#N/A,#N/A,FALSE,"전력간선"}</definedName>
    <definedName name="cx" localSheetId="12" hidden="1">{#N/A,#N/A,FALSE,"전력간선"}</definedName>
    <definedName name="cx" localSheetId="16" hidden="1">{#N/A,#N/A,FALSE,"전력간선"}</definedName>
    <definedName name="cx" hidden="1">{#N/A,#N/A,FALSE,"전력간선"}</definedName>
    <definedName name="D">#REF!</definedName>
    <definedName name="da">[25]Sheet4!$B$8</definedName>
    <definedName name="DALI_8BUTTON">#REF!</definedName>
    <definedName name="DALI_8BUTTON2">#REF!</definedName>
    <definedName name="DALI_DIMMER">#REF!</definedName>
    <definedName name="DALI_INFRARED_SENSOR">#REF!</definedName>
    <definedName name="dali_infraredsensor">#REF!</definedName>
    <definedName name="DALI_MULTISENSOR">#REF!</definedName>
    <definedName name="DALI_POWERSUPPLY">#REF!</definedName>
    <definedName name="DALI_PROGRAM">#REF!</definedName>
    <definedName name="DALI_RELAY">#REF!</definedName>
    <definedName name="dali_remote">#REF!</definedName>
    <definedName name="DALI_SOFTWARE">#REF!</definedName>
    <definedName name="DANGA">#REF!,#REF!</definedName>
    <definedName name="danga2">#REF!,#REF!</definedName>
    <definedName name="dat">[26]Sheet4!$B$2</definedName>
    <definedName name="data">#REF!</definedName>
    <definedName name="data_telecom">#REF!</definedName>
    <definedName name="_xlnm.Database">#REF!</definedName>
    <definedName name="Database_MI">#REF!</definedName>
    <definedName name="date">#REF!</definedName>
    <definedName name="Date1">#REF!</definedName>
    <definedName name="date9">[25]Sheet4!$B$4</definedName>
    <definedName name="datk">[25]Sheet4!$B$4</definedName>
    <definedName name="dau">[27]Sheet1!$B$2</definedName>
    <definedName name="dawit">#REF!</definedName>
    <definedName name="Dayworks">#REF!</definedName>
    <definedName name="Dayworks10">#REF!</definedName>
    <definedName name="Dayworks11">#REF!</definedName>
    <definedName name="Dayworks12">#REF!</definedName>
    <definedName name="Dayworks13">#REF!</definedName>
    <definedName name="Dayworks14">#REF!</definedName>
    <definedName name="Dayworks15">#REF!</definedName>
    <definedName name="Dayworks16">#REF!</definedName>
    <definedName name="Dayworks2">#REF!</definedName>
    <definedName name="Dayworks3">#REF!</definedName>
    <definedName name="Dayworks300000">#REF!</definedName>
    <definedName name="Dayworks4">#REF!</definedName>
    <definedName name="Dayworks5">#REF!</definedName>
    <definedName name="Dayworks6">#REF!</definedName>
    <definedName name="Dayworks7">#REF!</definedName>
    <definedName name="Dayworks8">#REF!</definedName>
    <definedName name="Dayworks9">#REF!</definedName>
    <definedName name="dd" localSheetId="1" hidden="1">{#N/A,#N/A,FALSE,"혼합골재"}</definedName>
    <definedName name="dd" localSheetId="3" hidden="1">{#N/A,#N/A,FALSE,"혼합골재"}</definedName>
    <definedName name="dd" localSheetId="5" hidden="1">{#N/A,#N/A,FALSE,"혼합골재"}</definedName>
    <definedName name="dd" localSheetId="6" hidden="1">{#N/A,#N/A,FALSE,"혼합골재"}</definedName>
    <definedName name="dd" localSheetId="9" hidden="1">{#N/A,#N/A,FALSE,"혼합골재"}</definedName>
    <definedName name="dd" localSheetId="12" hidden="1">{#N/A,#N/A,FALSE,"혼합골재"}</definedName>
    <definedName name="dd" localSheetId="16" hidden="1">{#N/A,#N/A,FALSE,"혼합골재"}</definedName>
    <definedName name="dd" hidden="1">{#N/A,#N/A,FALSE,"혼합골재"}</definedName>
    <definedName name="DDDD">#REF!</definedName>
    <definedName name="dddddddddddddddddd">#REF!</definedName>
    <definedName name="deerf">[6]장비!#REF!</definedName>
    <definedName name="description_1">#REF!</definedName>
    <definedName name="DF">#REF!</definedName>
    <definedName name="dfg">#REF!</definedName>
    <definedName name="dfgs">#REF!</definedName>
    <definedName name="dfs">#REF!</definedName>
    <definedName name="dgd">#REF!</definedName>
    <definedName name="dgjjjjjjjjjjjjjj">#REF!</definedName>
    <definedName name="DI">[14]지계!#REF!</definedName>
    <definedName name="dilla1">#REF!</definedName>
    <definedName name="dimmerswitch1200w">#REF!</definedName>
    <definedName name="dimmerswitch2000w">#REF!</definedName>
    <definedName name="dimmerswitch300w">#REF!</definedName>
    <definedName name="dn" localSheetId="1" hidden="1">{#N/A,#N/A,FALSE,"혼합골재"}</definedName>
    <definedName name="dn" localSheetId="3" hidden="1">{#N/A,#N/A,FALSE,"혼합골재"}</definedName>
    <definedName name="dn" localSheetId="5" hidden="1">{#N/A,#N/A,FALSE,"혼합골재"}</definedName>
    <definedName name="dn" localSheetId="6" hidden="1">{#N/A,#N/A,FALSE,"혼합골재"}</definedName>
    <definedName name="dn" localSheetId="9" hidden="1">{#N/A,#N/A,FALSE,"혼합골재"}</definedName>
    <definedName name="dn" localSheetId="12" hidden="1">{#N/A,#N/A,FALSE,"혼합골재"}</definedName>
    <definedName name="dn" localSheetId="16" hidden="1">{#N/A,#N/A,FALSE,"혼합골재"}</definedName>
    <definedName name="dn" hidden="1">{#N/A,#N/A,FALSE,"혼합골재"}</definedName>
    <definedName name="DO">[14]지계!#REF!</definedName>
    <definedName name="doorswitchpoint">#REF!</definedName>
    <definedName name="double">#REF!</definedName>
    <definedName name="doubleswitch">#REF!</definedName>
    <definedName name="doubletwowayswitch">#REF!</definedName>
    <definedName name="DPI">#REF!</definedName>
    <definedName name="drain">#REF!</definedName>
    <definedName name="DSVP">#REF!</definedName>
    <definedName name="du">[25]Sheet4!$B$7</definedName>
    <definedName name="Dur">[25]Sheet4!$B$3</definedName>
    <definedName name="DVD">[11]대비!#REF!</definedName>
    <definedName name="dx" localSheetId="1" hidden="1">{#N/A,#N/A,FALSE,"혼합골재"}</definedName>
    <definedName name="dx" localSheetId="3" hidden="1">{#N/A,#N/A,FALSE,"혼합골재"}</definedName>
    <definedName name="dx" localSheetId="5" hidden="1">{#N/A,#N/A,FALSE,"혼합골재"}</definedName>
    <definedName name="dx" localSheetId="6" hidden="1">{#N/A,#N/A,FALSE,"혼합골재"}</definedName>
    <definedName name="dx" localSheetId="9" hidden="1">{#N/A,#N/A,FALSE,"혼합골재"}</definedName>
    <definedName name="dx" localSheetId="12" hidden="1">{#N/A,#N/A,FALSE,"혼합골재"}</definedName>
    <definedName name="dx" localSheetId="16" hidden="1">{#N/A,#N/A,FALSE,"혼합골재"}</definedName>
    <definedName name="dx" hidden="1">{#N/A,#N/A,FALSE,"혼합골재"}</definedName>
    <definedName name="e">[28]Sheet1!$B$2</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pd3">[8]장비!$M$104</definedName>
    <definedName name="eapv3">[8]장비!$M$100</definedName>
    <definedName name="Earth_work">#REF!</definedName>
    <definedName name="earthrod1200x16">#REF!</definedName>
    <definedName name="earthrod2400x16">#REF!</definedName>
    <definedName name="ee" localSheetId="1" hidden="1">{#N/A,#N/A,FALSE,"단가표지"}</definedName>
    <definedName name="ee" localSheetId="3" hidden="1">{#N/A,#N/A,FALSE,"단가표지"}</definedName>
    <definedName name="ee" localSheetId="5" hidden="1">{#N/A,#N/A,FALSE,"단가표지"}</definedName>
    <definedName name="ee" localSheetId="6" hidden="1">{#N/A,#N/A,FALSE,"단가표지"}</definedName>
    <definedName name="ee" localSheetId="9" hidden="1">{#N/A,#N/A,FALSE,"단가표지"}</definedName>
    <definedName name="ee" localSheetId="12" hidden="1">{#N/A,#N/A,FALSE,"단가표지"}</definedName>
    <definedName name="ee" localSheetId="16" hidden="1">{#N/A,#N/A,FALSE,"단가표지"}</definedName>
    <definedName name="ee" hidden="1">{#N/A,#N/A,FALSE,"단가표지"}</definedName>
    <definedName name="eewe">#REF!</definedName>
    <definedName name="EI">[14]지계!#REF!</definedName>
    <definedName name="end">#REF!</definedName>
    <definedName name="endFY">#REF!</definedName>
    <definedName name="EO">[14]지계!#REF!</definedName>
    <definedName name="ERGRTJUYMJY">#REF!</definedName>
    <definedName name="eth">#REF!</definedName>
    <definedName name="ets">[13]Sheet4!$B$2</definedName>
    <definedName name="ew">#REF!</definedName>
    <definedName name="ews">[7]장비!#REF!</definedName>
    <definedName name="Excavation">#REF!</definedName>
    <definedName name="exec.">[6]장비!#REF!</definedName>
    <definedName name="executed">[6]장비!#REF!</definedName>
    <definedName name="_xlnm.Extract">#REF!</definedName>
    <definedName name="Extract_MI">#REF!</definedName>
    <definedName name="f" hidden="1">[9]BID!#REF!</definedName>
    <definedName name="F_CODE">#N/A</definedName>
    <definedName name="F_DESC">#N/A</definedName>
    <definedName name="F_LVL">#N/A</definedName>
    <definedName name="F_PAGE">#N/A</definedName>
    <definedName name="F_REMK">#N/A</definedName>
    <definedName name="F_SEQ">#N/A</definedName>
    <definedName name="F_SIZE">#N/A</definedName>
    <definedName name="F_UNIT">#N/A</definedName>
    <definedName name="fd">'[29]Bills of Quantities'!#REF!</definedName>
    <definedName name="fddg">'[20]08 Ar &amp; St'!#REF!</definedName>
    <definedName name="fdfd">#REF!</definedName>
    <definedName name="fdfs">#REF!</definedName>
    <definedName name="fdgerhbtnh">#REF!</definedName>
    <definedName name="ff">[14]지계!#REF!</definedName>
    <definedName name="FFF">#REF!</definedName>
    <definedName name="fffff">#REF!</definedName>
    <definedName name="ffffffffffffffffff" localSheetId="1" hidden="1">{#N/A,#N/A,FALSE,"혼합골재"}</definedName>
    <definedName name="ffffffffffffffffff" localSheetId="3" hidden="1">{#N/A,#N/A,FALSE,"혼합골재"}</definedName>
    <definedName name="ffffffffffffffffff" localSheetId="5" hidden="1">{#N/A,#N/A,FALSE,"혼합골재"}</definedName>
    <definedName name="ffffffffffffffffff" localSheetId="6" hidden="1">{#N/A,#N/A,FALSE,"혼합골재"}</definedName>
    <definedName name="ffffffffffffffffff" localSheetId="9" hidden="1">{#N/A,#N/A,FALSE,"혼합골재"}</definedName>
    <definedName name="ffffffffffffffffff" localSheetId="12" hidden="1">{#N/A,#N/A,FALSE,"혼합골재"}</definedName>
    <definedName name="ffffffffffffffffff" localSheetId="16" hidden="1">{#N/A,#N/A,FALSE,"혼합골재"}</definedName>
    <definedName name="ffffffffffffffffff" hidden="1">{#N/A,#N/A,FALSE,"혼합골재"}</definedName>
    <definedName name="FFFFFFFFFFFFFFFFFFFFFF">#REF!</definedName>
    <definedName name="fgfg">#REF!</definedName>
    <definedName name="fgt">[24]공종별집계!#REF!</definedName>
    <definedName name="fhcbgfjaSJFC">#REF!</definedName>
    <definedName name="FI">[14]지계!#REF!</definedName>
    <definedName name="ficotp">#REF!</definedName>
    <definedName name="financialststement">#REF!</definedName>
    <definedName name="Finishin133">#REF!</definedName>
    <definedName name="Finishing">'[19]05 Ar &amp; St'!#REF!</definedName>
    <definedName name="Finishing_range">#REF!</definedName>
    <definedName name="Finishing_total">'[19]05 Ar &amp; St'!$M$88</definedName>
    <definedName name="firealarmcontrolpanel">#REF!</definedName>
    <definedName name="first">#REF!</definedName>
    <definedName name="floatswitch">#REF!</definedName>
    <definedName name="floorbox">#REF!</definedName>
    <definedName name="flortil">#REF!</definedName>
    <definedName name="Flr">'[19]05 RB A-2 200kp Res. Sub St.'!$F$1:$F$65536</definedName>
    <definedName name="flushpanel12acb">#REF!</definedName>
    <definedName name="flushpanel15acb">#REF!</definedName>
    <definedName name="flushpanel24acb">#REF!</definedName>
    <definedName name="flushpanel36acb">#REF!</definedName>
    <definedName name="flushpanel48acb">#REF!</definedName>
    <definedName name="flushpanel4acb">#REF!</definedName>
    <definedName name="flushpanel6acb">#REF!</definedName>
    <definedName name="flushpanel8acb">#REF!</definedName>
    <definedName name="Fo">'[30]PA(B-3)L'!$E$12</definedName>
    <definedName name="formw">#REF!</definedName>
    <definedName name="ftt">#REF!</definedName>
    <definedName name="Furniture">'[15]Off.Equ &amp; Fur'!$G$9</definedName>
    <definedName name="fusedswitch125a3p">#REF!</definedName>
    <definedName name="fusedswitch250a3p">#REF!</definedName>
    <definedName name="fusedswitch4003p">#REF!</definedName>
    <definedName name="fusedswitch630a3p">#REF!</definedName>
    <definedName name="fusedswitch63a3p">#REF!</definedName>
    <definedName name="FYpre">#REF!</definedName>
    <definedName name="G">#REF!</definedName>
    <definedName name="Gara">#REF!</definedName>
    <definedName name="Garage">#REF!</definedName>
    <definedName name="gcfthcdrgjyv">#REF!</definedName>
    <definedName name="Gen">#REF!</definedName>
    <definedName name="gf" localSheetId="1" hidden="1">{#N/A,#N/A,FALSE,"조골재"}</definedName>
    <definedName name="gf" localSheetId="3" hidden="1">{#N/A,#N/A,FALSE,"조골재"}</definedName>
    <definedName name="gf" localSheetId="5" hidden="1">{#N/A,#N/A,FALSE,"조골재"}</definedName>
    <definedName name="gf" localSheetId="6" hidden="1">{#N/A,#N/A,FALSE,"조골재"}</definedName>
    <definedName name="gf" localSheetId="9" hidden="1">{#N/A,#N/A,FALSE,"조골재"}</definedName>
    <definedName name="gf" localSheetId="12" hidden="1">{#N/A,#N/A,FALSE,"조골재"}</definedName>
    <definedName name="gf" localSheetId="16" hidden="1">{#N/A,#N/A,FALSE,"조골재"}</definedName>
    <definedName name="gf" hidden="1">{#N/A,#N/A,FALSE,"조골재"}</definedName>
    <definedName name="gfcvh">#REF!</definedName>
    <definedName name="gfd">#REF!</definedName>
    <definedName name="gfde">#REF!</definedName>
    <definedName name="gfgdfg" hidden="1">[9]BID!#REF!</definedName>
    <definedName name="gfyhg">#REF!</definedName>
    <definedName name="gg" localSheetId="1" hidden="1">{#N/A,#N/A,FALSE,"혼합골재"}</definedName>
    <definedName name="gg" localSheetId="3" hidden="1">{#N/A,#N/A,FALSE,"혼합골재"}</definedName>
    <definedName name="gg" localSheetId="5" hidden="1">{#N/A,#N/A,FALSE,"혼합골재"}</definedName>
    <definedName name="gg" localSheetId="6" hidden="1">{#N/A,#N/A,FALSE,"혼합골재"}</definedName>
    <definedName name="gg" localSheetId="9" hidden="1">{#N/A,#N/A,FALSE,"혼합골재"}</definedName>
    <definedName name="gg" localSheetId="12" hidden="1">{#N/A,#N/A,FALSE,"혼합골재"}</definedName>
    <definedName name="gg" localSheetId="16" hidden="1">{#N/A,#N/A,FALSE,"혼합골재"}</definedName>
    <definedName name="gg" hidden="1">{#N/A,#N/A,FALSE,"혼합골재"}</definedName>
    <definedName name="ggdgdgg">#REF!</definedName>
    <definedName name="GGG" localSheetId="1" hidden="1">{#N/A,#N/A,FALSE,"단가표지"}</definedName>
    <definedName name="GGG" localSheetId="3" hidden="1">{#N/A,#N/A,FALSE,"단가표지"}</definedName>
    <definedName name="GGG" localSheetId="5" hidden="1">{#N/A,#N/A,FALSE,"단가표지"}</definedName>
    <definedName name="GGG" localSheetId="6" hidden="1">{#N/A,#N/A,FALSE,"단가표지"}</definedName>
    <definedName name="GGG" localSheetId="9" hidden="1">{#N/A,#N/A,FALSE,"단가표지"}</definedName>
    <definedName name="GGG" localSheetId="12" hidden="1">{#N/A,#N/A,FALSE,"단가표지"}</definedName>
    <definedName name="GGG" localSheetId="16" hidden="1">{#N/A,#N/A,FALSE,"단가표지"}</definedName>
    <definedName name="GGG" hidden="1">{#N/A,#N/A,FALSE,"단가표지"}</definedName>
    <definedName name="gggh">#REF!</definedName>
    <definedName name="gghh">#REF!</definedName>
    <definedName name="gghhgf">#REF!</definedName>
    <definedName name="gghhh" localSheetId="1" hidden="1">{#N/A,#N/A,FALSE,"혼합골재"}</definedName>
    <definedName name="gghhh" localSheetId="3" hidden="1">{#N/A,#N/A,FALSE,"혼합골재"}</definedName>
    <definedName name="gghhh" localSheetId="5" hidden="1">{#N/A,#N/A,FALSE,"혼합골재"}</definedName>
    <definedName name="gghhh" localSheetId="6" hidden="1">{#N/A,#N/A,FALSE,"혼합골재"}</definedName>
    <definedName name="gghhh" localSheetId="9" hidden="1">{#N/A,#N/A,FALSE,"혼합골재"}</definedName>
    <definedName name="gghhh" localSheetId="12" hidden="1">{#N/A,#N/A,FALSE,"혼합골재"}</definedName>
    <definedName name="gghhh" localSheetId="16" hidden="1">{#N/A,#N/A,FALSE,"혼합골재"}</definedName>
    <definedName name="gghhh" hidden="1">{#N/A,#N/A,FALSE,"혼합골재"}</definedName>
    <definedName name="ghddfgh">#REF!</definedName>
    <definedName name="ghggh">#REF!</definedName>
    <definedName name="ghk" localSheetId="1" hidden="1">{#N/A,#N/A,FALSE,"혼합골재"}</definedName>
    <definedName name="ghk" localSheetId="3" hidden="1">{#N/A,#N/A,FALSE,"혼합골재"}</definedName>
    <definedName name="ghk" localSheetId="5" hidden="1">{#N/A,#N/A,FALSE,"혼합골재"}</definedName>
    <definedName name="ghk" localSheetId="6" hidden="1">{#N/A,#N/A,FALSE,"혼합골재"}</definedName>
    <definedName name="ghk" localSheetId="9" hidden="1">{#N/A,#N/A,FALSE,"혼합골재"}</definedName>
    <definedName name="ghk" localSheetId="12" hidden="1">{#N/A,#N/A,FALSE,"혼합골재"}</definedName>
    <definedName name="ghk" localSheetId="16" hidden="1">{#N/A,#N/A,FALSE,"혼합골재"}</definedName>
    <definedName name="ghk" hidden="1">{#N/A,#N/A,FALSE,"혼합골재"}</definedName>
    <definedName name="GI">[14]지계!#REF!</definedName>
    <definedName name="GINSHO">#REF!</definedName>
    <definedName name="gip0.5">#REF!</definedName>
    <definedName name="gip0.75">#REF!</definedName>
    <definedName name="glaz">#REF!</definedName>
    <definedName name="Glazing">'[19]05 Ar &amp; St'!#REF!</definedName>
    <definedName name="GO">[14]지계!#REF!</definedName>
    <definedName name="grew" hidden="1">[9]BID!$C$1:$H$533</definedName>
    <definedName name="gsg">#REF!</definedName>
    <definedName name="gslabc20">#REF!</definedName>
    <definedName name="gty" localSheetId="1" hidden="1">{#N/A,#N/A,FALSE,"2~8번"}</definedName>
    <definedName name="gty" localSheetId="3" hidden="1">{#N/A,#N/A,FALSE,"2~8번"}</definedName>
    <definedName name="gty" localSheetId="5" hidden="1">{#N/A,#N/A,FALSE,"2~8번"}</definedName>
    <definedName name="gty" localSheetId="6" hidden="1">{#N/A,#N/A,FALSE,"2~8번"}</definedName>
    <definedName name="gty" localSheetId="9" hidden="1">{#N/A,#N/A,FALSE,"2~8번"}</definedName>
    <definedName name="gty" localSheetId="12" hidden="1">{#N/A,#N/A,FALSE,"2~8번"}</definedName>
    <definedName name="gty" localSheetId="16" hidden="1">{#N/A,#N/A,FALSE,"2~8번"}</definedName>
    <definedName name="gty" hidden="1">{#N/A,#N/A,FALSE,"2~8번"}</definedName>
    <definedName name="h">#REF!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n" hidden="1">[9]BID!$A$1:$A$1714</definedName>
    <definedName name="hard">#REF!</definedName>
    <definedName name="HBV">#REF!</definedName>
    <definedName name="HCR">#REF!</definedName>
    <definedName name="HDSVP">#REF!</definedName>
    <definedName name="hgtr" localSheetId="1" hidden="1">{#N/A,#N/A,FALSE,"조골재"}</definedName>
    <definedName name="hgtr" localSheetId="3" hidden="1">{#N/A,#N/A,FALSE,"조골재"}</definedName>
    <definedName name="hgtr" localSheetId="5" hidden="1">{#N/A,#N/A,FALSE,"조골재"}</definedName>
    <definedName name="hgtr" localSheetId="6" hidden="1">{#N/A,#N/A,FALSE,"조골재"}</definedName>
    <definedName name="hgtr" localSheetId="9" hidden="1">{#N/A,#N/A,FALSE,"조골재"}</definedName>
    <definedName name="hgtr" localSheetId="12" hidden="1">{#N/A,#N/A,FALSE,"조골재"}</definedName>
    <definedName name="hgtr" localSheetId="16" hidden="1">{#N/A,#N/A,FALSE,"조골재"}</definedName>
    <definedName name="hgtr" hidden="1">{#N/A,#N/A,FALSE,"조골재"}</definedName>
    <definedName name="HHAF">#REF!</definedName>
    <definedName name="HHMF">#REF!</definedName>
    <definedName name="HI">[14]지계!#REF!</definedName>
    <definedName name="hjj">#REF!</definedName>
    <definedName name="hkhhkjj">#REF!</definedName>
    <definedName name="HL">#REF!</definedName>
    <definedName name="hlv">#REF!</definedName>
    <definedName name="HMF">#REF!</definedName>
    <definedName name="HMOTOR">#REF!</definedName>
    <definedName name="HO">[14]지계!#REF!</definedName>
    <definedName name="hosana">#REF!</definedName>
    <definedName name="house">#REF!</definedName>
    <definedName name="HPUMP">#REF!</definedName>
    <definedName name="HR">#REF!</definedName>
    <definedName name="HSH">#REF!</definedName>
    <definedName name="HSV">#REF!</definedName>
    <definedName name="HVAFP">#REF!</definedName>
    <definedName name="HVMF">#REF!</definedName>
    <definedName name="HWEI">#REF!</definedName>
    <definedName name="HWL">#REF!</definedName>
    <definedName name="HWR">#REF!</definedName>
    <definedName name="ID">#REF!,#REF!</definedName>
    <definedName name="II">[14]지계!#REF!</definedName>
    <definedName name="intermediateswitch">#REF!</definedName>
    <definedName name="international">#REF!</definedName>
    <definedName name="IO">[14]지계!#REF!</definedName>
    <definedName name="IP">[14]지계!#REF!</definedName>
    <definedName name="ITNUM">#N/A</definedName>
    <definedName name="j" hidden="1">[9]BID!$A$1:$A$734</definedName>
    <definedName name="JI">[14]지계!#REF!</definedName>
    <definedName name="JJJJJJ" hidden="1">[9]BID!$A$1:$A$524</definedName>
    <definedName name="jjjjjjjjjjjjjj">#REF!</definedName>
    <definedName name="JO">[14]지계!#REF!</definedName>
    <definedName name="johnny">#REF!</definedName>
    <definedName name="Joinery">'[19]05 Ar &amp; St'!#REF!</definedName>
    <definedName name="jxbh">[23]台时!$A$4:$A$2224</definedName>
    <definedName name="k">#REF!</definedName>
    <definedName name="KA">[31]MOTOR!$B$61:$E$68</definedName>
    <definedName name="KASSAYE">#REF!</definedName>
    <definedName name="kerb">#REF!</definedName>
    <definedName name="KI">[14]지계!#REF!</definedName>
    <definedName name="kk" hidden="1">[9]BID!#REF!</definedName>
    <definedName name="kkkkk" localSheetId="1" hidden="1">{#N/A,#N/A,FALSE,"조골재"}</definedName>
    <definedName name="kkkkk" localSheetId="3" hidden="1">{#N/A,#N/A,FALSE,"조골재"}</definedName>
    <definedName name="kkkkk" localSheetId="5" hidden="1">{#N/A,#N/A,FALSE,"조골재"}</definedName>
    <definedName name="kkkkk" localSheetId="6" hidden="1">{#N/A,#N/A,FALSE,"조골재"}</definedName>
    <definedName name="kkkkk" localSheetId="9" hidden="1">{#N/A,#N/A,FALSE,"조골재"}</definedName>
    <definedName name="kkkkk" localSheetId="12" hidden="1">{#N/A,#N/A,FALSE,"조골재"}</definedName>
    <definedName name="kkkkk" localSheetId="16" hidden="1">{#N/A,#N/A,FALSE,"조골재"}</definedName>
    <definedName name="kkkkk" hidden="1">{#N/A,#N/A,FALSE,"조골재"}</definedName>
    <definedName name="kkkkkk" localSheetId="1" hidden="1">{#N/A,#N/A,FALSE,"조골재"}</definedName>
    <definedName name="kkkkkk" localSheetId="3" hidden="1">{#N/A,#N/A,FALSE,"조골재"}</definedName>
    <definedName name="kkkkkk" localSheetId="5" hidden="1">{#N/A,#N/A,FALSE,"조골재"}</definedName>
    <definedName name="kkkkkk" localSheetId="6" hidden="1">{#N/A,#N/A,FALSE,"조골재"}</definedName>
    <definedName name="kkkkkk" localSheetId="9" hidden="1">{#N/A,#N/A,FALSE,"조골재"}</definedName>
    <definedName name="kkkkkk" localSheetId="12" hidden="1">{#N/A,#N/A,FALSE,"조골재"}</definedName>
    <definedName name="kkkkkk" localSheetId="16" hidden="1">{#N/A,#N/A,FALSE,"조골재"}</definedName>
    <definedName name="kkkkkk" hidden="1">{#N/A,#N/A,FALSE,"조골재"}</definedName>
    <definedName name="kll">#REF!</definedName>
    <definedName name="KO">[14]지계!#REF!</definedName>
    <definedName name="KWH32A1P">#REF!</definedName>
    <definedName name="kwh63a1p">#REF!</definedName>
    <definedName name="KWH63A3P">#REF!</definedName>
    <definedName name="l">#REF!</definedName>
    <definedName name="LA">#REF!</definedName>
    <definedName name="Landscaping">'[19]05 Ar &amp; St'!#REF!</definedName>
    <definedName name="Last">#REF!</definedName>
    <definedName name="lastmon">#REF!</definedName>
    <definedName name="latch">#REF!</definedName>
    <definedName name="lblk">[7]노무!#REF!</definedName>
    <definedName name="lbls">[7]노무!#REF!</definedName>
    <definedName name="lcnc">[8]노무!$H$6</definedName>
    <definedName name="lelc">[7]노무!#REF!</definedName>
    <definedName name="Length">#REF!</definedName>
    <definedName name="length1">#REF!</definedName>
    <definedName name="Li">[14]지계!#REF!</definedName>
    <definedName name="lightpoint">#REF!</definedName>
    <definedName name="list">[23]单价!$E1048574:$Q1048576</definedName>
    <definedName name="lldr">[8]노무!$D$11</definedName>
    <definedName name="llnd">[7]노무!#REF!</definedName>
    <definedName name="llvl">[7]노무!#REF!</definedName>
    <definedName name="lmch">[7]노무!#REF!</definedName>
    <definedName name="LMO">#REF!</definedName>
    <definedName name="lnmr">[8]노무!$D$8</definedName>
    <definedName name="LO">[14]지계!#REF!</definedName>
    <definedName name="Loader">[15]Disposal!#REF!</definedName>
    <definedName name="lpav">[8]노무!$H$8</definedName>
    <definedName name="LPI">#REF!</definedName>
    <definedName name="lpnt">[8]노무!$D$3</definedName>
    <definedName name="lscf">[8]노무!$D$9</definedName>
    <definedName name="LSH">#REF!</definedName>
    <definedName name="lspe">[8]노무!$H$7</definedName>
    <definedName name="lstn">[7]노무!#REF!</definedName>
    <definedName name="ltil">[7]노무!#REF!</definedName>
    <definedName name="ltnl">[7]노무!#REF!</definedName>
    <definedName name="lwld">[8]노무!$D$10</definedName>
    <definedName name="M">[32]JUCK!#REF!</definedName>
    <definedName name="MA.">#REF!</definedName>
    <definedName name="Macro10">[33]!Macro10</definedName>
    <definedName name="Macro12">[33]!Macro12</definedName>
    <definedName name="Macro13">[33]!Macro13</definedName>
    <definedName name="Macro14">[33]!Macro14</definedName>
    <definedName name="Macro2">[33]!Macro2</definedName>
    <definedName name="Macro5">[33]!Macro5</definedName>
    <definedName name="Macro6">[33]!Macro6</definedName>
    <definedName name="Macro7">[33]!Macro7</definedName>
    <definedName name="Macro8">[33]!Macro8</definedName>
    <definedName name="Macro9">[33]!Macro9</definedName>
    <definedName name="mahlet">[34]Sheet4!$B$2</definedName>
    <definedName name="mame">#REF!</definedName>
    <definedName name="mapd3">[8]장비!$M$105</definedName>
    <definedName name="mapv3">[8]장비!$M$101</definedName>
    <definedName name="masa">#REF!</definedName>
    <definedName name="masb">#REF!</definedName>
    <definedName name="MASHINERY2">#REF!</definedName>
    <definedName name="Masonry_Work">#REF!</definedName>
    <definedName name="Mbr">'[19]05 RB A-2 200kp Res. Sub St.'!$G$1:$G$65536</definedName>
    <definedName name="mccb1000a3p">#REF!</definedName>
    <definedName name="mccb100a3p">#REF!</definedName>
    <definedName name="mccb1250a3p">#REF!</definedName>
    <definedName name="mccb125a3p">#REF!</definedName>
    <definedName name="mccb1600a3p">#REF!</definedName>
    <definedName name="mccb160a3p">#REF!</definedName>
    <definedName name="mccb200a3p">#REF!</definedName>
    <definedName name="mccb250a3p">#REF!</definedName>
    <definedName name="mccb315a3p">#REF!</definedName>
    <definedName name="mccb350a3p">#REF!</definedName>
    <definedName name="mccb400a3p">#REF!</definedName>
    <definedName name="mccb500a3p">#REF!</definedName>
    <definedName name="mccb630a3p">#REF!</definedName>
    <definedName name="mccb80a3p">#REF!</definedName>
    <definedName name="Meron">[34]Sheet4!$B$4</definedName>
    <definedName name="Metal_Work">'[19]05 Ar &amp; St'!#REF!</definedName>
    <definedName name="Mi">[14]지계!#REF!</definedName>
    <definedName name="ml">[35]Data!$C$2</definedName>
    <definedName name="mm">#REF!</definedName>
    <definedName name="mmm" localSheetId="1" hidden="1">{#N/A,#N/A,FALSE,"배수2"}</definedName>
    <definedName name="mmm" localSheetId="3" hidden="1">{#N/A,#N/A,FALSE,"배수2"}</definedName>
    <definedName name="mmm" localSheetId="5" hidden="1">{#N/A,#N/A,FALSE,"배수2"}</definedName>
    <definedName name="mmm" localSheetId="6" hidden="1">{#N/A,#N/A,FALSE,"배수2"}</definedName>
    <definedName name="mmm" localSheetId="9" hidden="1">{#N/A,#N/A,FALSE,"배수2"}</definedName>
    <definedName name="mmm" localSheetId="12" hidden="1">{#N/A,#N/A,FALSE,"배수2"}</definedName>
    <definedName name="mmm" localSheetId="16" hidden="1">{#N/A,#N/A,FALSE,"배수2"}</definedName>
    <definedName name="mmm" hidden="1">{#N/A,#N/A,FALSE,"배수2"}</definedName>
    <definedName name="Mo">[14]지계!#REF!</definedName>
    <definedName name="mon">#REF!</definedName>
    <definedName name="MONEY">#REF!,#REF!</definedName>
    <definedName name="Mont">[36]Sheet1!#REF!</definedName>
    <definedName name="month">[37]Sheet1!#REF!</definedName>
    <definedName name="Monthly">[24]공종별집계!#REF!</definedName>
    <definedName name="MOTOR">#REF!</definedName>
    <definedName name="MOVE1">[38]자압!$B$1:$B$59,[38]자압!$D$1:$E$59</definedName>
    <definedName name="MOVE2">[38]자압!$B$1:$B$38,[38]자압!$D$1:$E$38</definedName>
    <definedName name="MOVE3">[38]자압!$B$1:$B$68,[38]자압!$D$1:$E$68</definedName>
    <definedName name="MOVE4">[38]자압!$C$5:$C$70,[38]자압!$E$4:$E$70,[38]자압!$C$4,[38]자압!$C$4:$C$5</definedName>
    <definedName name="movement_sensor">#REF!</definedName>
    <definedName name="mws">[7]장비!#REF!</definedName>
    <definedName name="n" hidden="1">[9]BID!$A$1:$A$4</definedName>
    <definedName name="N1S">#REF!</definedName>
    <definedName name="N2S">#REF!</definedName>
    <definedName name="N3S">#REF!</definedName>
    <definedName name="Nafta">#REF!</definedName>
    <definedName name="naftal">#REF!</definedName>
    <definedName name="nb">#REF!</definedName>
    <definedName name="NDO">#REF!</definedName>
    <definedName name="Net_Sum_Cont">#REF!</definedName>
    <definedName name="NEW">#REF!</definedName>
    <definedName name="NI">[14]지계!#REF!</definedName>
    <definedName name="NM">#REF!</definedName>
    <definedName name="nmsew">#REF!</definedName>
    <definedName name="nnn" localSheetId="1" hidden="1">{#N/A,#N/A,FALSE,"운반시간"}</definedName>
    <definedName name="nnn" localSheetId="3" hidden="1">{#N/A,#N/A,FALSE,"운반시간"}</definedName>
    <definedName name="nnn" localSheetId="5" hidden="1">{#N/A,#N/A,FALSE,"운반시간"}</definedName>
    <definedName name="nnn" localSheetId="6" hidden="1">{#N/A,#N/A,FALSE,"운반시간"}</definedName>
    <definedName name="nnn" localSheetId="9" hidden="1">{#N/A,#N/A,FALSE,"운반시간"}</definedName>
    <definedName name="nnn" localSheetId="12" hidden="1">{#N/A,#N/A,FALSE,"운반시간"}</definedName>
    <definedName name="nnn" localSheetId="16" hidden="1">{#N/A,#N/A,FALSE,"운반시간"}</definedName>
    <definedName name="nnn" hidden="1">{#N/A,#N/A,FALSE,"운반시간"}</definedName>
    <definedName name="NO">[14]지계!#REF!</definedName>
    <definedName name="NPI">#REF!</definedName>
    <definedName name="NSH">#REF!</definedName>
    <definedName name="NSO">#REF!</definedName>
    <definedName name="O">#REF!</definedName>
    <definedName name="ok">#REF!</definedName>
    <definedName name="OO">#N/A</definedName>
    <definedName name="p">[32]JUCK!#REF!</definedName>
    <definedName name="p.s">#REF!</definedName>
    <definedName name="pacific095136">#REF!</definedName>
    <definedName name="pacific095236">#REF!</definedName>
    <definedName name="pag">#REF!</definedName>
    <definedName name="Page">#REF!</definedName>
    <definedName name="paint">#REF!</definedName>
    <definedName name="Painting">'[39]Ar &amp; St'!$M$140</definedName>
    <definedName name="Pav">#REF!</definedName>
    <definedName name="pc">#REF!</definedName>
    <definedName name="phase">#REF!</definedName>
    <definedName name="photocell">#REF!</definedName>
    <definedName name="PI">[14]지계!#REF!</definedName>
    <definedName name="pipe">[7]노무!#REF!</definedName>
    <definedName name="plate_range">#REF!</definedName>
    <definedName name="PO">[14]지계!#REF!</definedName>
    <definedName name="point">#REF!</definedName>
    <definedName name="poweroutlet25a1p3x6">#REF!</definedName>
    <definedName name="poweroutlet25a3p4x6">#REF!</definedName>
    <definedName name="PrevAMTsb">#REF!</definedName>
    <definedName name="PrevAMTspr">'[20]08 Ar &amp; St'!#REF!</definedName>
    <definedName name="preventorp1">#REF!</definedName>
    <definedName name="preventorp2">#REF!</definedName>
    <definedName name="preventorp3">#REF!</definedName>
    <definedName name="preventorp4">#REF!</definedName>
    <definedName name="PrevQTYsb">#REF!</definedName>
    <definedName name="PrevQTYspr">'[20]08 Ar &amp; St'!#REF!</definedName>
    <definedName name="prime">#REF!</definedName>
    <definedName name="_xlnm.Print_Area" localSheetId="0">' TABLE  '!$A$1:$F$24</definedName>
    <definedName name="_xlnm.Print_Area" localSheetId="3">'002 General Information'!$A$1:$I$45</definedName>
    <definedName name="_xlnm.Print_Area" localSheetId="5">'004 Income VS Expence'!$A$1:$F$57</definedName>
    <definedName name="_xlnm.Print_Area" localSheetId="12">'011 Equipment Rent'!$A$1:$K$59</definedName>
    <definedName name="_xlnm.Print_Area">[24]공종별집계!#REF!</definedName>
    <definedName name="PRINT_AREA_MI">[24]공종별집계!#REF!</definedName>
    <definedName name="_xlnm.Print_Titles">[40]공량산출서!$A$1:$IV$1</definedName>
    <definedName name="ptli">#REF!</definedName>
    <definedName name="PUMP">#REF!</definedName>
    <definedName name="pvcconductor1.5">#REF!</definedName>
    <definedName name="pvcconductor10">#REF!</definedName>
    <definedName name="pvcconductor16">#REF!</definedName>
    <definedName name="pvcconductor2.5">#REF!</definedName>
    <definedName name="pvcconductor25">#REF!</definedName>
    <definedName name="pvcconductor4">#REF!</definedName>
    <definedName name="pvcconductor6">#REF!</definedName>
    <definedName name="q" hidden="1">[9]BID!$C$1:$H$533</definedName>
    <definedName name="qfbz">[23]费率!$D$2:'[23]费率'!$Z$2</definedName>
    <definedName name="QI">[14]지계!#REF!</definedName>
    <definedName name="QO">[14]지계!#REF!</definedName>
    <definedName name="qor" hidden="1">[9]BID!$A$1:$A$4</definedName>
    <definedName name="qq" localSheetId="1" hidden="1">{#N/A,#N/A,FALSE,"단가표지"}</definedName>
    <definedName name="qq" localSheetId="3" hidden="1">{#N/A,#N/A,FALSE,"단가표지"}</definedName>
    <definedName name="qq" localSheetId="5" hidden="1">{#N/A,#N/A,FALSE,"단가표지"}</definedName>
    <definedName name="qq" localSheetId="6" hidden="1">{#N/A,#N/A,FALSE,"단가표지"}</definedName>
    <definedName name="qq" localSheetId="9" hidden="1">{#N/A,#N/A,FALSE,"단가표지"}</definedName>
    <definedName name="qq" localSheetId="12" hidden="1">{#N/A,#N/A,FALSE,"단가표지"}</definedName>
    <definedName name="qq" localSheetId="16" hidden="1">{#N/A,#N/A,FALSE,"단가표지"}</definedName>
    <definedName name="qq" hidden="1">{#N/A,#N/A,FALSE,"단가표지"}</definedName>
    <definedName name="qqq" hidden="1">[9]BID!$A$1:$A$734</definedName>
    <definedName name="QQQW">#REF!</definedName>
    <definedName name="QTY">#N/A</definedName>
    <definedName name="qw" localSheetId="1" hidden="1">{#N/A,#N/A,FALSE,"단가표지"}</definedName>
    <definedName name="qw" localSheetId="3" hidden="1">{#N/A,#N/A,FALSE,"단가표지"}</definedName>
    <definedName name="qw" localSheetId="5" hidden="1">{#N/A,#N/A,FALSE,"단가표지"}</definedName>
    <definedName name="qw" localSheetId="6" hidden="1">{#N/A,#N/A,FALSE,"단가표지"}</definedName>
    <definedName name="qw" localSheetId="9" hidden="1">{#N/A,#N/A,FALSE,"단가표지"}</definedName>
    <definedName name="qw" localSheetId="12" hidden="1">{#N/A,#N/A,FALSE,"단가표지"}</definedName>
    <definedName name="qw" localSheetId="16" hidden="1">{#N/A,#N/A,FALSE,"단가표지"}</definedName>
    <definedName name="qw" hidden="1">{#N/A,#N/A,FALSE,"단가표지"}</definedName>
    <definedName name="R.M">#REF!</definedName>
    <definedName name="r2521012">[7]자재!#REF!</definedName>
    <definedName name="rahel">#REF!</definedName>
    <definedName name="rahel2">#REF!</definedName>
    <definedName name="RATE">#REF!</definedName>
    <definedName name="Ratesb">#REF!</definedName>
    <definedName name="Ratesp">'[20]08 Ar &amp; St'!$E$1:$E$65536</definedName>
    <definedName name="Rbar1">#REF!</definedName>
    <definedName name="Rbr">'[19]05 RB A-2 200kp Res. Sub St.'!$H$1:$H$65536</definedName>
    <definedName name="rcvv">'[20]08 Ar &amp; St'!#REF!</definedName>
    <definedName name="re">'[41]08 Ar &amp; St'!#REF!</definedName>
    <definedName name="reeeeeeeeeeeeeee">#REF!</definedName>
    <definedName name="rei">#REF!</definedName>
    <definedName name="rende">#REF!</definedName>
    <definedName name="ResourceData">[42]Data!$A:$B</definedName>
    <definedName name="retaining">'[19]05 Ar &amp; St'!#REF!</definedName>
    <definedName name="rev">'[43]05 Ar &amp; St'!#REF!</definedName>
    <definedName name="rhsprofile">#REF!</definedName>
    <definedName name="RI">[14]지계!#REF!</definedName>
    <definedName name="RO">[14]지계!#REF!</definedName>
    <definedName name="roadcost">#REF!</definedName>
    <definedName name="roafcosty">#REF!</definedName>
    <definedName name="Roofing">'[19]05 Ar &amp; St'!#REF!</definedName>
    <definedName name="Roofing_total">'[19]05 Ar &amp; St'!$M$54</definedName>
    <definedName name="rq" localSheetId="1" hidden="1">{#N/A,#N/A,FALSE,"단가표지"}</definedName>
    <definedName name="rq" localSheetId="3" hidden="1">{#N/A,#N/A,FALSE,"단가표지"}</definedName>
    <definedName name="rq" localSheetId="5" hidden="1">{#N/A,#N/A,FALSE,"단가표지"}</definedName>
    <definedName name="rq" localSheetId="6" hidden="1">{#N/A,#N/A,FALSE,"단가표지"}</definedName>
    <definedName name="rq" localSheetId="9" hidden="1">{#N/A,#N/A,FALSE,"단가표지"}</definedName>
    <definedName name="rq" localSheetId="12" hidden="1">{#N/A,#N/A,FALSE,"단가표지"}</definedName>
    <definedName name="rq" localSheetId="16" hidden="1">{#N/A,#N/A,FALSE,"단가표지"}</definedName>
    <definedName name="rq" hidden="1">{#N/A,#N/A,FALSE,"단가표지"}</definedName>
    <definedName name="RR">#REF!</definedName>
    <definedName name="rrr">#REF!</definedName>
    <definedName name="rrrr">#REF!</definedName>
    <definedName name="rrrrr">[36]Sheet1!#REF!</definedName>
    <definedName name="S">#REF!</definedName>
    <definedName name="sab">[44]Sheet1!$B$3</definedName>
    <definedName name="sadasds">#REF!</definedName>
    <definedName name="SALI_REMOTE">#REF!</definedName>
    <definedName name="sat_tv_fm">#REF!</definedName>
    <definedName name="sat_tv_fm_l">#REF!</definedName>
    <definedName name="sat_tv_fm_t">#REF!</definedName>
    <definedName name="screed">#REF!</definedName>
    <definedName name="sd" localSheetId="1" hidden="1">{#N/A,#N/A,FALSE,"단가표지"}</definedName>
    <definedName name="sd" localSheetId="3" hidden="1">{#N/A,#N/A,FALSE,"단가표지"}</definedName>
    <definedName name="sd" localSheetId="5" hidden="1">{#N/A,#N/A,FALSE,"단가표지"}</definedName>
    <definedName name="sd" localSheetId="6" hidden="1">{#N/A,#N/A,FALSE,"단가표지"}</definedName>
    <definedName name="sd" localSheetId="9" hidden="1">{#N/A,#N/A,FALSE,"단가표지"}</definedName>
    <definedName name="sd" localSheetId="12" hidden="1">{#N/A,#N/A,FALSE,"단가표지"}</definedName>
    <definedName name="sd" localSheetId="16" hidden="1">{#N/A,#N/A,FALSE,"단가표지"}</definedName>
    <definedName name="sd" hidden="1">{#N/A,#N/A,FALSE,"단가표지"}</definedName>
    <definedName name="sddf">#REF!</definedName>
    <definedName name="sdg" hidden="1">[9]BID!$A$1:$A$1714</definedName>
    <definedName name="sds">#REF!</definedName>
    <definedName name="se" localSheetId="1" hidden="1">{#N/A,#N/A,FALSE,"운반시간"}</definedName>
    <definedName name="se" localSheetId="3" hidden="1">{#N/A,#N/A,FALSE,"운반시간"}</definedName>
    <definedName name="se" localSheetId="5" hidden="1">{#N/A,#N/A,FALSE,"운반시간"}</definedName>
    <definedName name="se" localSheetId="6" hidden="1">{#N/A,#N/A,FALSE,"운반시간"}</definedName>
    <definedName name="se" localSheetId="9" hidden="1">{#N/A,#N/A,FALSE,"운반시간"}</definedName>
    <definedName name="se" localSheetId="12" hidden="1">{#N/A,#N/A,FALSE,"운반시간"}</definedName>
    <definedName name="se" localSheetId="16" hidden="1">{#N/A,#N/A,FALSE,"운반시간"}</definedName>
    <definedName name="se" hidden="1">{#N/A,#N/A,FALSE,"운반시간"}</definedName>
    <definedName name="SEL">#REF!</definedName>
    <definedName name="sene">#REF!</definedName>
    <definedName name="septick">#REF!</definedName>
    <definedName name="shr">#REF!</definedName>
    <definedName name="shsan">#REF!</definedName>
    <definedName name="shu">#REF!</definedName>
    <definedName name="SI">[14]지계!#REF!</definedName>
    <definedName name="singleswitch">#REF!</definedName>
    <definedName name="singleswitchwp">#REF!</definedName>
    <definedName name="sinto">#REF!</definedName>
    <definedName name="SK">#REF!</definedName>
    <definedName name="SKE">#REF!</definedName>
    <definedName name="skilled">#REF!</definedName>
    <definedName name="snm">#REF!</definedName>
    <definedName name="SO">[14]지계!#REF!</definedName>
    <definedName name="socket10a1p">#REF!</definedName>
    <definedName name="socket16a1p">#REF!</definedName>
    <definedName name="SOCKET16A3P">#REF!</definedName>
    <definedName name="socket16a3x4">#REF!</definedName>
    <definedName name="SOCKET20A1P">#REF!</definedName>
    <definedName name="socketoutlet_schucko">#REF!</definedName>
    <definedName name="socketwithswitch16a1p">#REF!</definedName>
    <definedName name="socketwp10a1p">#REF!</definedName>
    <definedName name="SORTCODE">#N/A</definedName>
    <definedName name="SPECIFICATION">#REF!</definedName>
    <definedName name="SpØ10">'[45]SUPER ST '!$L$1983</definedName>
    <definedName name="SpØ12">'[45]SUPER ST '!$M$1983</definedName>
    <definedName name="SpØ14">'[45]SUPER ST '!$N$1983</definedName>
    <definedName name="SpØ16">'[45]SUPER ST '!$O$1983</definedName>
    <definedName name="SpØ20">'[45]SUPER ST '!$P$1983</definedName>
    <definedName name="SpØ24">'[45]SUPER ST '!$Q$1983</definedName>
    <definedName name="SpØ8">'[45]SUPER ST '!$K$1983</definedName>
    <definedName name="SR">#REF!</definedName>
    <definedName name="ss" localSheetId="1" hidden="1">{#N/A,#N/A,FALSE,"전력간선"}</definedName>
    <definedName name="ss" localSheetId="3" hidden="1">{#N/A,#N/A,FALSE,"전력간선"}</definedName>
    <definedName name="ss" localSheetId="5" hidden="1">{#N/A,#N/A,FALSE,"전력간선"}</definedName>
    <definedName name="ss" localSheetId="6" hidden="1">{#N/A,#N/A,FALSE,"전력간선"}</definedName>
    <definedName name="ss" localSheetId="9" hidden="1">{#N/A,#N/A,FALSE,"전력간선"}</definedName>
    <definedName name="ss" localSheetId="12" hidden="1">{#N/A,#N/A,FALSE,"전력간선"}</definedName>
    <definedName name="ss" localSheetId="16" hidden="1">{#N/A,#N/A,FALSE,"전력간선"}</definedName>
    <definedName name="ss" hidden="1">{#N/A,#N/A,FALSE,"전력간선"}</definedName>
    <definedName name="ss.">#REF!</definedName>
    <definedName name="sss" localSheetId="1" hidden="1">{#N/A,#N/A,FALSE,"전력간선"}</definedName>
    <definedName name="sss" localSheetId="3" hidden="1">{#N/A,#N/A,FALSE,"전력간선"}</definedName>
    <definedName name="sss" localSheetId="5" hidden="1">{#N/A,#N/A,FALSE,"전력간선"}</definedName>
    <definedName name="sss" localSheetId="6" hidden="1">{#N/A,#N/A,FALSE,"전력간선"}</definedName>
    <definedName name="sss" localSheetId="9" hidden="1">{#N/A,#N/A,FALSE,"전력간선"}</definedName>
    <definedName name="sss" localSheetId="12" hidden="1">{#N/A,#N/A,FALSE,"전력간선"}</definedName>
    <definedName name="sss" localSheetId="16" hidden="1">{#N/A,#N/A,FALSE,"전력간선"}</definedName>
    <definedName name="sss" hidden="1">{#N/A,#N/A,FALSE,"전력간선"}</definedName>
    <definedName name="ssss" localSheetId="1" hidden="1">{#N/A,#N/A,FALSE,"전력간선"}</definedName>
    <definedName name="ssss" localSheetId="3" hidden="1">{#N/A,#N/A,FALSE,"전력간선"}</definedName>
    <definedName name="ssss" localSheetId="5" hidden="1">{#N/A,#N/A,FALSE,"전력간선"}</definedName>
    <definedName name="ssss" localSheetId="6" hidden="1">{#N/A,#N/A,FALSE,"전력간선"}</definedName>
    <definedName name="ssss" localSheetId="9" hidden="1">{#N/A,#N/A,FALSE,"전력간선"}</definedName>
    <definedName name="ssss" localSheetId="12" hidden="1">{#N/A,#N/A,FALSE,"전력간선"}</definedName>
    <definedName name="ssss" localSheetId="16" hidden="1">{#N/A,#N/A,FALSE,"전력간선"}</definedName>
    <definedName name="ssss" hidden="1">{#N/A,#N/A,FALSE,"전력간선"}</definedName>
    <definedName name="ST">[12]장비!$M$101</definedName>
    <definedName name="staircasetimerswitch">#REF!</definedName>
    <definedName name="START">#REF!</definedName>
    <definedName name="starting">#REF!</definedName>
    <definedName name="steelmast20">#REF!</definedName>
    <definedName name="steelpole12">#REF!</definedName>
    <definedName name="steelpole3">#REF!</definedName>
    <definedName name="steelpole6">#REF!</definedName>
    <definedName name="steelpole9">#REF!</definedName>
    <definedName name="Str_Steel_Work">'[19]05 Ar &amp; St'!#REF!</definedName>
    <definedName name="Stru">#REF!</definedName>
    <definedName name="Structural_steel_work">'[19]05 Ar &amp; St'!$M$75</definedName>
    <definedName name="strutural_steel_total">'[20]08 Ar &amp; St'!#REF!</definedName>
    <definedName name="sub">'[46]Cash Flow'!$K$10</definedName>
    <definedName name="Sub_Concrete_Work">#REF!</definedName>
    <definedName name="Sub_Qty_Rang">#REF!</definedName>
    <definedName name="Sub_Structure">'[20]08 Summary'!$E$20</definedName>
    <definedName name="sum">#REF!</definedName>
    <definedName name="summary">#REF!</definedName>
    <definedName name="super">'[19]05 A-2 300kp Sup St.'!$A$1:$F$65536</definedName>
    <definedName name="Super_Qty_Rang">'[20]08 A-2 200kp Resi Sup St.'!$A$1:$F$65536</definedName>
    <definedName name="Super_Structure">'[20]08 Summary'!$E$36</definedName>
    <definedName name="supper">#REF!</definedName>
    <definedName name="surfacepanel12acb">#REF!</definedName>
    <definedName name="surfacepanel24acb">#REF!</definedName>
    <definedName name="surfacepanel36acb">#REF!</definedName>
    <definedName name="surfacepanel8acb">#REF!</definedName>
    <definedName name="surgearrester_40">#REF!</definedName>
    <definedName name="surgearrester_70">#REF!</definedName>
    <definedName name="SV">#REF!</definedName>
    <definedName name="SWL">#REF!</definedName>
    <definedName name="SWR">#REF!</definedName>
    <definedName name="T">#REF!</definedName>
    <definedName name="T_AMOUNT">#N/A</definedName>
    <definedName name="T_UPRICE">#N/A</definedName>
    <definedName name="T10M">#REF!</definedName>
    <definedName name="T10P">#REF!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E">#REF!</definedName>
    <definedName name="T1M">#REF!</definedName>
    <definedName name="T1P">#REF!</definedName>
    <definedName name="T1S">#REF!</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E">#REF!</definedName>
    <definedName name="T2M">#REF!</definedName>
    <definedName name="T2P">#REF!</definedName>
    <definedName name="T2S">#REF!</definedName>
    <definedName name="T3P">#REF!</definedName>
    <definedName name="T3S">#REF!</definedName>
    <definedName name="T4M">#REF!</definedName>
    <definedName name="T4P">#REF!</definedName>
    <definedName name="T5M">#REF!</definedName>
    <definedName name="T5P">#REF!</definedName>
    <definedName name="T6M">#REF!</definedName>
    <definedName name="T6P">#REF!</definedName>
    <definedName name="T7M">#REF!</definedName>
    <definedName name="T7P">#REF!</definedName>
    <definedName name="T8M">#REF!</definedName>
    <definedName name="T8P">#REF!</definedName>
    <definedName name="T9M">#REF!</definedName>
    <definedName name="T9P">#REF!</definedName>
    <definedName name="Task_Table1">'[47]cash inflow detail'!#REF!</definedName>
    <definedName name="tcs058136il">#REF!</definedName>
    <definedName name="tcs058136io">#REF!</definedName>
    <definedName name="tcs058136ip">#REF!</definedName>
    <definedName name="tcs058236dl">#REF!</definedName>
    <definedName name="tcs058236do">#REF!</definedName>
    <definedName name="tcs058236dp">#REF!</definedName>
    <definedName name="TECHN">#N/A</definedName>
    <definedName name="tel">#REF!</definedName>
    <definedName name="telephonepoint">#REF!</definedName>
    <definedName name="Test">'[20]08 Summary'!$E$13</definedName>
    <definedName name="testclamp25x3">#REF!</definedName>
    <definedName name="testclamp5070">#REF!</definedName>
    <definedName name="thismon">#REF!</definedName>
    <definedName name="TI">[14]지계!#REF!</definedName>
    <definedName name="timerswitch">#REF!</definedName>
    <definedName name="TMO">#REF!</definedName>
    <definedName name="tms136gdl140">#REF!</definedName>
    <definedName name="tms136gkd140">#REF!</definedName>
    <definedName name="tms236gkh240">#REF!</definedName>
    <definedName name="TO">[14]지계!#REF!</definedName>
    <definedName name="todate">#REF!</definedName>
    <definedName name="TodateQTYsb">#REF!</definedName>
    <definedName name="TodateQTYspr">'[20]08 Ar &amp; St'!$F$1:$F$65536</definedName>
    <definedName name="topsoiling">#REF!</definedName>
    <definedName name="Totaal">'[48]17.SWIMMING POOL FURNITURE'!$I$5</definedName>
    <definedName name="total">'[46]Cash Flow'!$G$6</definedName>
    <definedName name="Total_block_work">'[19]05 Ar &amp; St'!$M$47</definedName>
    <definedName name="Total_DDT">#REF!</definedName>
    <definedName name="Total_Structural_Steel_Work">'[49]06 to 08 Ar &amp; St'!$M$69</definedName>
    <definedName name="Total_summary">#REF!</definedName>
    <definedName name="total1">#REF!</definedName>
    <definedName name="TotalBridges10">'[29]Bills of Quantities'!#REF!</definedName>
    <definedName name="TotalBridges11">'[29]Bills of Quantities'!#REF!</definedName>
    <definedName name="TotalBridges12">'[29]Bills of Quantities'!#REF!</definedName>
    <definedName name="TotalBridges13">'[29]Bills of Quantities'!#REF!</definedName>
    <definedName name="TotalBridges14">'[29]Bills of Quantities'!#REF!</definedName>
    <definedName name="TotalBridges15">'[29]Bills of Quantities'!#REF!</definedName>
    <definedName name="TotalBridges16">'[29]Bills of Quantities'!#REF!</definedName>
    <definedName name="TotalBridges2">'[29]Bills of Quantities'!$O$126</definedName>
    <definedName name="TotalBridges3">'[29]Bills of Quantities'!#REF!</definedName>
    <definedName name="TotalBridges4">'[29]Bills of Quantities'!#REF!</definedName>
    <definedName name="TotalBridges5">'[29]Bills of Quantities'!#REF!</definedName>
    <definedName name="TotalBridges6">'[29]Bills of Quantities'!#REF!</definedName>
    <definedName name="TotalBridges7">'[29]Bills of Quantities'!#REF!</definedName>
    <definedName name="TotalBridges8">'[29]Bills of Quantities'!#REF!</definedName>
    <definedName name="TotalBridges9">'[29]Bills of Quantities'!#REF!</definedName>
    <definedName name="TotalDayworks2">#REF!</definedName>
    <definedName name="TotalEarthworks10">'[29]Bills of Quantities'!#REF!</definedName>
    <definedName name="TotalEarthworks11">'[29]Bills of Quantities'!#REF!</definedName>
    <definedName name="TotalEarthworks12">'[29]Bills of Quantities'!#REF!</definedName>
    <definedName name="TotalEarthworks13">'[29]Bills of Quantities'!#REF!</definedName>
    <definedName name="TotalEarthworks14">'[29]Bills of Quantities'!#REF!</definedName>
    <definedName name="TotalEarthworks15">'[29]Bills of Quantities'!#REF!</definedName>
    <definedName name="TotalEarthworks16">'[29]Bills of Quantities'!#REF!</definedName>
    <definedName name="TotalEarthworks2">'[29]Bills of Quantities'!$O$17</definedName>
    <definedName name="TotalEarthworks3">'[29]Bills of Quantities'!#REF!</definedName>
    <definedName name="TotalEarthworks4">'[29]Bills of Quantities'!#REF!</definedName>
    <definedName name="TotalEarthworks5">'[29]Bills of Quantities'!#REF!</definedName>
    <definedName name="TotalEarthworks6">'[29]Bills of Quantities'!#REF!</definedName>
    <definedName name="TotalEarthworks7">'[29]Bills of Quantities'!#REF!</definedName>
    <definedName name="TotalEarthworks8">'[29]Bills of Quantities'!#REF!</definedName>
    <definedName name="TotalEarthworks9">'[29]Bills of Quantities'!#REF!</definedName>
    <definedName name="TotalIncidentals10">'[29]Bills of Quantities'!#REF!</definedName>
    <definedName name="TotalIncidentals11">'[29]Bills of Quantities'!#REF!</definedName>
    <definedName name="TotalIncidentals12">'[29]Bills of Quantities'!#REF!</definedName>
    <definedName name="TotalIncidentals13">'[29]Bills of Quantities'!#REF!</definedName>
    <definedName name="TotalIncidentals14">'[29]Bills of Quantities'!#REF!</definedName>
    <definedName name="TotalIncidentals15">'[29]Bills of Quantities'!#REF!</definedName>
    <definedName name="TotalIncidentals16">'[29]Bills of Quantities'!#REF!</definedName>
    <definedName name="TotalIncidentals2">'[29]Bills of Quantities'!$O$151</definedName>
    <definedName name="TotalIncidentals3">'[29]Bills of Quantities'!#REF!</definedName>
    <definedName name="TotalIncidentals4">'[29]Bills of Quantities'!#REF!</definedName>
    <definedName name="TotalIncidentals5">'[29]Bills of Quantities'!#REF!</definedName>
    <definedName name="TotalIncidentals6">'[29]Bills of Quantities'!#REF!</definedName>
    <definedName name="TotalIncidentals7">'[29]Bills of Quantities'!#REF!</definedName>
    <definedName name="TotalIncidentals8">'[29]Bills of Quantities'!#REF!</definedName>
    <definedName name="TotalIncidentals9">'[29]Bills of Quantities'!#REF!</definedName>
    <definedName name="TotalMisc10">'[29]Bills of Quantities'!#REF!</definedName>
    <definedName name="TotalMisc11">'[29]Bills of Quantities'!#REF!</definedName>
    <definedName name="TotalMisc12">'[29]Bills of Quantities'!#REF!</definedName>
    <definedName name="TotalMisc13">'[29]Bills of Quantities'!#REF!</definedName>
    <definedName name="TotalMisc14">'[29]Bills of Quantities'!#REF!</definedName>
    <definedName name="TotalMisc15">'[29]Bills of Quantities'!#REF!</definedName>
    <definedName name="TotalMisc16">'[29]Bills of Quantities'!#REF!</definedName>
    <definedName name="TotalMisc2">'[29]Bills of Quantities'!$O$201</definedName>
    <definedName name="TotalMisc3">'[29]Bills of Quantities'!#REF!</definedName>
    <definedName name="TotalMisc4">'[29]Bills of Quantities'!#REF!</definedName>
    <definedName name="TotalMisc5">'[29]Bills of Quantities'!#REF!</definedName>
    <definedName name="TotalMisc6">'[29]Bills of Quantities'!#REF!</definedName>
    <definedName name="TotalMisc7">'[29]Bills of Quantities'!#REF!</definedName>
    <definedName name="TotalMisc8">'[29]Bills of Quantities'!#REF!</definedName>
    <definedName name="TotalMisc9">'[29]Bills of Quantities'!#REF!</definedName>
    <definedName name="TotalPavements10">'[29]Bills of Quantities'!#REF!</definedName>
    <definedName name="TotalPavements11">'[29]Bills of Quantities'!#REF!</definedName>
    <definedName name="TotalPavements12">'[29]Bills of Quantities'!#REF!</definedName>
    <definedName name="TotalPavements13">'[29]Bills of Quantities'!#REF!</definedName>
    <definedName name="TotalPavements14">'[29]Bills of Quantities'!#REF!</definedName>
    <definedName name="TotalPavements15">'[29]Bills of Quantities'!#REF!</definedName>
    <definedName name="TotalPavements16">'[29]Bills of Quantities'!#REF!</definedName>
    <definedName name="TotalPavements2">'[29]Bills of Quantities'!$O$30</definedName>
    <definedName name="TotalPavements3">'[29]Bills of Quantities'!#REF!</definedName>
    <definedName name="TotalPavements4">'[29]Bills of Quantities'!#REF!</definedName>
    <definedName name="TotalPavements5">'[29]Bills of Quantities'!#REF!</definedName>
    <definedName name="TotalPavements6">'[29]Bills of Quantities'!#REF!</definedName>
    <definedName name="TotalPavements7">'[29]Bills of Quantities'!#REF!</definedName>
    <definedName name="TotalPavements8">'[29]Bills of Quantities'!#REF!</definedName>
    <definedName name="TotalPavements9">'[29]Bills of Quantities'!#REF!</definedName>
    <definedName name="TotalStructures10">'[29]Bills of Quantities'!#REF!</definedName>
    <definedName name="TotalStructures11">'[29]Bills of Quantities'!#REF!</definedName>
    <definedName name="TotalStructures12">'[29]Bills of Quantities'!#REF!</definedName>
    <definedName name="TotalStructures13">'[29]Bills of Quantities'!#REF!</definedName>
    <definedName name="TotalStructures14">'[29]Bills of Quantities'!#REF!</definedName>
    <definedName name="TotalStructures15">'[29]Bills of Quantities'!#REF!</definedName>
    <definedName name="TotalStructures16">'[29]Bills of Quantities'!#REF!</definedName>
    <definedName name="TotalStructures2">'[29]Bills of Quantities'!$O$89</definedName>
    <definedName name="TotalStructures3">'[29]Bills of Quantities'!#REF!</definedName>
    <definedName name="TotalStructures4">'[29]Bills of Quantities'!#REF!</definedName>
    <definedName name="TotalStructures5">'[29]Bills of Quantities'!#REF!</definedName>
    <definedName name="TotalStructures6">'[29]Bills of Quantities'!#REF!</definedName>
    <definedName name="TotalStructures7">'[29]Bills of Quantities'!#REF!</definedName>
    <definedName name="TotalStructures8">'[29]Bills of Quantities'!#REF!</definedName>
    <definedName name="TotalStructures9">'[29]Bills of Quantities'!#REF!</definedName>
    <definedName name="tr" hidden="1">[9]BID!$A$1:$A$1714</definedName>
    <definedName name="tutyiytki">'[19]05 RB A-2 200kp Res. Sub St.'!#REF!</definedName>
    <definedName name="tv">#REF!</definedName>
    <definedName name="tvaerial10element">#REF!</definedName>
    <definedName name="tvoutletloopthrough">#REF!</definedName>
    <definedName name="tvoutletterminal">#REF!</definedName>
    <definedName name="tvpoint">#REF!</definedName>
    <definedName name="TW">#REF!</definedName>
    <definedName name="twh">'[15]Day Works'!$F$51:$F$51</definedName>
    <definedName name="TWL">#REF!</definedName>
    <definedName name="twowayswitch">#REF!</definedName>
    <definedName name="TWR">#REF!</definedName>
    <definedName name="UI">[14]지계!#REF!</definedName>
    <definedName name="UnitRate">[50]Data!#REF!</definedName>
    <definedName name="UO">[14]지계!#REF!</definedName>
    <definedName name="VAFP">#REF!</definedName>
    <definedName name="VBV">#REF!</definedName>
    <definedName name="VCR">#REF!</definedName>
    <definedName name="VDSVP">#REF!</definedName>
    <definedName name="VHAF">#REF!</definedName>
    <definedName name="VHMF">#REF!</definedName>
    <definedName name="VI">[14]지계!#REF!</definedName>
    <definedName name="vibrationdetector">#REF!</definedName>
    <definedName name="VMF">#REF!</definedName>
    <definedName name="VMOTOR">#REF!</definedName>
    <definedName name="VO">[14]지계!#REF!</definedName>
    <definedName name="VPUMP">#REF!</definedName>
    <definedName name="VSV">#REF!</definedName>
    <definedName name="VVAFP">#REF!</definedName>
    <definedName name="VVMF">#REF!</definedName>
    <definedName name="VWEI">#REF!</definedName>
    <definedName name="W">#REF!</definedName>
    <definedName name="wallglobe">#REF!</definedName>
    <definedName name="we">[25]Sheet4!$B$6</definedName>
    <definedName name="wee">[27]Sheet1!$B$3</definedName>
    <definedName name="weefr">#REF!</definedName>
    <definedName name="Week">[51]Sheet2!$B$3</definedName>
    <definedName name="weeww">#REF!</definedName>
    <definedName name="WEI">#REF!</definedName>
    <definedName name="wek">[26]Sheet4!$B$3</definedName>
    <definedName name="wem">[37]Sheet1!#REF!</definedName>
    <definedName name="WER">#N/A</definedName>
    <definedName name="werr">'[19]05 Ar &amp; St'!#REF!</definedName>
    <definedName name="wert" localSheetId="1" hidden="1">{#N/A,#N/A,FALSE,"골재소요량";#N/A,#N/A,FALSE,"골재소요량"}</definedName>
    <definedName name="wert" localSheetId="3" hidden="1">{#N/A,#N/A,FALSE,"골재소요량";#N/A,#N/A,FALSE,"골재소요량"}</definedName>
    <definedName name="wert" localSheetId="5" hidden="1">{#N/A,#N/A,FALSE,"골재소요량";#N/A,#N/A,FALSE,"골재소요량"}</definedName>
    <definedName name="wert" localSheetId="6" hidden="1">{#N/A,#N/A,FALSE,"골재소요량";#N/A,#N/A,FALSE,"골재소요량"}</definedName>
    <definedName name="wert" localSheetId="9" hidden="1">{#N/A,#N/A,FALSE,"골재소요량";#N/A,#N/A,FALSE,"골재소요량"}</definedName>
    <definedName name="wert" localSheetId="12" hidden="1">{#N/A,#N/A,FALSE,"골재소요량";#N/A,#N/A,FALSE,"골재소요량"}</definedName>
    <definedName name="wert" localSheetId="16" hidden="1">{#N/A,#N/A,FALSE,"골재소요량";#N/A,#N/A,FALSE,"골재소요량"}</definedName>
    <definedName name="wert" hidden="1">{#N/A,#N/A,FALSE,"골재소요량";#N/A,#N/A,FALSE,"골재소요량"}</definedName>
    <definedName name="WI">[14]지계!#REF!</definedName>
    <definedName name="wm.조골재1" localSheetId="1" hidden="1">{#N/A,#N/A,FALSE,"조골재"}</definedName>
    <definedName name="wm.조골재1" localSheetId="3" hidden="1">{#N/A,#N/A,FALSE,"조골재"}</definedName>
    <definedName name="wm.조골재1" localSheetId="5" hidden="1">{#N/A,#N/A,FALSE,"조골재"}</definedName>
    <definedName name="wm.조골재1" localSheetId="6" hidden="1">{#N/A,#N/A,FALSE,"조골재"}</definedName>
    <definedName name="wm.조골재1" localSheetId="9" hidden="1">{#N/A,#N/A,FALSE,"조골재"}</definedName>
    <definedName name="wm.조골재1" localSheetId="12" hidden="1">{#N/A,#N/A,FALSE,"조골재"}</definedName>
    <definedName name="wm.조골재1" localSheetId="16" hidden="1">{#N/A,#N/A,FALSE,"조골재"}</definedName>
    <definedName name="wm.조골재1" hidden="1">{#N/A,#N/A,FALSE,"조골재"}</definedName>
    <definedName name="WO">[14]지계!#REF!</definedName>
    <definedName name="WORK">[52]wa!$C$16:$I$17</definedName>
    <definedName name="Work_Exc_Todate">#REF!</definedName>
    <definedName name="WORK1">[52]wa!$C$16:$I$17</definedName>
    <definedName name="wrn.2번." localSheetId="1" hidden="1">{#N/A,#N/A,FALSE,"2~8번"}</definedName>
    <definedName name="wrn.2번." localSheetId="3" hidden="1">{#N/A,#N/A,FALSE,"2~8번"}</definedName>
    <definedName name="wrn.2번." localSheetId="5" hidden="1">{#N/A,#N/A,FALSE,"2~8번"}</definedName>
    <definedName name="wrn.2번." localSheetId="6" hidden="1">{#N/A,#N/A,FALSE,"2~8번"}</definedName>
    <definedName name="wrn.2번." localSheetId="9" hidden="1">{#N/A,#N/A,FALSE,"2~8번"}</definedName>
    <definedName name="wrn.2번." localSheetId="12" hidden="1">{#N/A,#N/A,FALSE,"2~8번"}</definedName>
    <definedName name="wrn.2번." localSheetId="16" hidden="1">{#N/A,#N/A,FALSE,"2~8번"}</definedName>
    <definedName name="wrn.2번." hidden="1">{#N/A,#N/A,FALSE,"2~8번"}</definedName>
    <definedName name="wrn.골재소요량." localSheetId="1" hidden="1">{#N/A,#N/A,FALSE,"골재소요량";#N/A,#N/A,FALSE,"골재소요량"}</definedName>
    <definedName name="wrn.골재소요량." localSheetId="3" hidden="1">{#N/A,#N/A,FALSE,"골재소요량";#N/A,#N/A,FALSE,"골재소요량"}</definedName>
    <definedName name="wrn.골재소요량." localSheetId="5" hidden="1">{#N/A,#N/A,FALSE,"골재소요량";#N/A,#N/A,FALSE,"골재소요량"}</definedName>
    <definedName name="wrn.골재소요량." localSheetId="6" hidden="1">{#N/A,#N/A,FALSE,"골재소요량";#N/A,#N/A,FALSE,"골재소요량"}</definedName>
    <definedName name="wrn.골재소요량." localSheetId="9" hidden="1">{#N/A,#N/A,FALSE,"골재소요량";#N/A,#N/A,FALSE,"골재소요량"}</definedName>
    <definedName name="wrn.골재소요량." localSheetId="12" hidden="1">{#N/A,#N/A,FALSE,"골재소요량";#N/A,#N/A,FALSE,"골재소요량"}</definedName>
    <definedName name="wrn.골재소요량." localSheetId="16" hidden="1">{#N/A,#N/A,FALSE,"골재소요량";#N/A,#N/A,FALSE,"골재소요량"}</definedName>
    <definedName name="wrn.골재소요량." hidden="1">{#N/A,#N/A,FALSE,"골재소요량";#N/A,#N/A,FALSE,"골재소요량"}</definedName>
    <definedName name="wrn.교육청." localSheetId="1" hidden="1">{#N/A,#N/A,FALSE,"전력간선"}</definedName>
    <definedName name="wrn.교육청." localSheetId="3" hidden="1">{#N/A,#N/A,FALSE,"전력간선"}</definedName>
    <definedName name="wrn.교육청." localSheetId="5" hidden="1">{#N/A,#N/A,FALSE,"전력간선"}</definedName>
    <definedName name="wrn.교육청." localSheetId="6" hidden="1">{#N/A,#N/A,FALSE,"전력간선"}</definedName>
    <definedName name="wrn.교육청." localSheetId="9" hidden="1">{#N/A,#N/A,FALSE,"전력간선"}</definedName>
    <definedName name="wrn.교육청." localSheetId="12" hidden="1">{#N/A,#N/A,FALSE,"전력간선"}</definedName>
    <definedName name="wrn.교육청." localSheetId="16" hidden="1">{#N/A,#N/A,FALSE,"전력간선"}</definedName>
    <definedName name="wrn.교육청." hidden="1">{#N/A,#N/A,FALSE,"전력간선"}</definedName>
    <definedName name="wrn.구조2." localSheetId="1" hidden="1">{#N/A,#N/A,FALSE,"구조2"}</definedName>
    <definedName name="wrn.구조2." localSheetId="3" hidden="1">{#N/A,#N/A,FALSE,"구조2"}</definedName>
    <definedName name="wrn.구조2." localSheetId="5" hidden="1">{#N/A,#N/A,FALSE,"구조2"}</definedName>
    <definedName name="wrn.구조2." localSheetId="6" hidden="1">{#N/A,#N/A,FALSE,"구조2"}</definedName>
    <definedName name="wrn.구조2." localSheetId="9" hidden="1">{#N/A,#N/A,FALSE,"구조2"}</definedName>
    <definedName name="wrn.구조2." localSheetId="12" hidden="1">{#N/A,#N/A,FALSE,"구조2"}</definedName>
    <definedName name="wrn.구조2." localSheetId="16" hidden="1">{#N/A,#N/A,FALSE,"구조2"}</definedName>
    <definedName name="wrn.구조2." hidden="1">{#N/A,#N/A,FALSE,"구조2"}</definedName>
    <definedName name="wrn.단가표지." localSheetId="1" hidden="1">{#N/A,#N/A,FALSE,"단가표지"}</definedName>
    <definedName name="wrn.단가표지." localSheetId="3" hidden="1">{#N/A,#N/A,FALSE,"단가표지"}</definedName>
    <definedName name="wrn.단가표지." localSheetId="5" hidden="1">{#N/A,#N/A,FALSE,"단가표지"}</definedName>
    <definedName name="wrn.단가표지." localSheetId="6" hidden="1">{#N/A,#N/A,FALSE,"단가표지"}</definedName>
    <definedName name="wrn.단가표지." localSheetId="9" hidden="1">{#N/A,#N/A,FALSE,"단가표지"}</definedName>
    <definedName name="wrn.단가표지." localSheetId="12" hidden="1">{#N/A,#N/A,FALSE,"단가표지"}</definedName>
    <definedName name="wrn.단가표지." localSheetId="16" hidden="1">{#N/A,#N/A,FALSE,"단가표지"}</definedName>
    <definedName name="wrn.단가표지." hidden="1">{#N/A,#N/A,FALSE,"단가표지"}</definedName>
    <definedName name="wrn.배수1." localSheetId="1" hidden="1">{#N/A,#N/A,FALSE,"배수1"}</definedName>
    <definedName name="wrn.배수1." localSheetId="3" hidden="1">{#N/A,#N/A,FALSE,"배수1"}</definedName>
    <definedName name="wrn.배수1." localSheetId="5" hidden="1">{#N/A,#N/A,FALSE,"배수1"}</definedName>
    <definedName name="wrn.배수1." localSheetId="6" hidden="1">{#N/A,#N/A,FALSE,"배수1"}</definedName>
    <definedName name="wrn.배수1." localSheetId="9" hidden="1">{#N/A,#N/A,FALSE,"배수1"}</definedName>
    <definedName name="wrn.배수1." localSheetId="12" hidden="1">{#N/A,#N/A,FALSE,"배수1"}</definedName>
    <definedName name="wrn.배수1." localSheetId="16" hidden="1">{#N/A,#N/A,FALSE,"배수1"}</definedName>
    <definedName name="wrn.배수1." hidden="1">{#N/A,#N/A,FALSE,"배수1"}</definedName>
    <definedName name="wrn.배수2." localSheetId="1" hidden="1">{#N/A,#N/A,FALSE,"배수2"}</definedName>
    <definedName name="wrn.배수2." localSheetId="3" hidden="1">{#N/A,#N/A,FALSE,"배수2"}</definedName>
    <definedName name="wrn.배수2." localSheetId="5" hidden="1">{#N/A,#N/A,FALSE,"배수2"}</definedName>
    <definedName name="wrn.배수2." localSheetId="6" hidden="1">{#N/A,#N/A,FALSE,"배수2"}</definedName>
    <definedName name="wrn.배수2." localSheetId="9" hidden="1">{#N/A,#N/A,FALSE,"배수2"}</definedName>
    <definedName name="wrn.배수2." localSheetId="12" hidden="1">{#N/A,#N/A,FALSE,"배수2"}</definedName>
    <definedName name="wrn.배수2." localSheetId="16" hidden="1">{#N/A,#N/A,FALSE,"배수2"}</definedName>
    <definedName name="wrn.배수2." hidden="1">{#N/A,#N/A,FALSE,"배수2"}</definedName>
    <definedName name="wrn.부대1." localSheetId="1" hidden="1">{#N/A,#N/A,FALSE,"부대1"}</definedName>
    <definedName name="wrn.부대1." localSheetId="3" hidden="1">{#N/A,#N/A,FALSE,"부대1"}</definedName>
    <definedName name="wrn.부대1." localSheetId="5" hidden="1">{#N/A,#N/A,FALSE,"부대1"}</definedName>
    <definedName name="wrn.부대1." localSheetId="6" hidden="1">{#N/A,#N/A,FALSE,"부대1"}</definedName>
    <definedName name="wrn.부대1." localSheetId="9" hidden="1">{#N/A,#N/A,FALSE,"부대1"}</definedName>
    <definedName name="wrn.부대1." localSheetId="12" hidden="1">{#N/A,#N/A,FALSE,"부대1"}</definedName>
    <definedName name="wrn.부대1." localSheetId="16" hidden="1">{#N/A,#N/A,FALSE,"부대1"}</definedName>
    <definedName name="wrn.부대1." hidden="1">{#N/A,#N/A,FALSE,"부대1"}</definedName>
    <definedName name="wrn.부대2." localSheetId="1" hidden="1">{#N/A,#N/A,FALSE,"부대2"}</definedName>
    <definedName name="wrn.부대2." localSheetId="3" hidden="1">{#N/A,#N/A,FALSE,"부대2"}</definedName>
    <definedName name="wrn.부대2." localSheetId="5" hidden="1">{#N/A,#N/A,FALSE,"부대2"}</definedName>
    <definedName name="wrn.부대2." localSheetId="6" hidden="1">{#N/A,#N/A,FALSE,"부대2"}</definedName>
    <definedName name="wrn.부대2." localSheetId="9" hidden="1">{#N/A,#N/A,FALSE,"부대2"}</definedName>
    <definedName name="wrn.부대2." localSheetId="12" hidden="1">{#N/A,#N/A,FALSE,"부대2"}</definedName>
    <definedName name="wrn.부대2." localSheetId="16" hidden="1">{#N/A,#N/A,FALSE,"부대2"}</definedName>
    <definedName name="wrn.부대2." hidden="1">{#N/A,#N/A,FALSE,"부대2"}</definedName>
    <definedName name="wrn.속도." localSheetId="1" hidden="1">{#N/A,#N/A,FALSE,"속도"}</definedName>
    <definedName name="wrn.속도." localSheetId="3" hidden="1">{#N/A,#N/A,FALSE,"속도"}</definedName>
    <definedName name="wrn.속도." localSheetId="5" hidden="1">{#N/A,#N/A,FALSE,"속도"}</definedName>
    <definedName name="wrn.속도." localSheetId="6" hidden="1">{#N/A,#N/A,FALSE,"속도"}</definedName>
    <definedName name="wrn.속도." localSheetId="9" hidden="1">{#N/A,#N/A,FALSE,"속도"}</definedName>
    <definedName name="wrn.속도." localSheetId="12" hidden="1">{#N/A,#N/A,FALSE,"속도"}</definedName>
    <definedName name="wrn.속도." localSheetId="16" hidden="1">{#N/A,#N/A,FALSE,"속도"}</definedName>
    <definedName name="wrn.속도." hidden="1">{#N/A,#N/A,FALSE,"속도"}</definedName>
    <definedName name="wrn.운반시간." localSheetId="1" hidden="1">{#N/A,#N/A,FALSE,"운반시간"}</definedName>
    <definedName name="wrn.운반시간." localSheetId="3" hidden="1">{#N/A,#N/A,FALSE,"운반시간"}</definedName>
    <definedName name="wrn.운반시간." localSheetId="5" hidden="1">{#N/A,#N/A,FALSE,"운반시간"}</definedName>
    <definedName name="wrn.운반시간." localSheetId="6" hidden="1">{#N/A,#N/A,FALSE,"운반시간"}</definedName>
    <definedName name="wrn.운반시간." localSheetId="9" hidden="1">{#N/A,#N/A,FALSE,"운반시간"}</definedName>
    <definedName name="wrn.운반시간." localSheetId="12" hidden="1">{#N/A,#N/A,FALSE,"운반시간"}</definedName>
    <definedName name="wrn.운반시간." localSheetId="16" hidden="1">{#N/A,#N/A,FALSE,"운반시간"}</definedName>
    <definedName name="wrn.운반시간." hidden="1">{#N/A,#N/A,FALSE,"운반시간"}</definedName>
    <definedName name="wrn.이정표." localSheetId="1" hidden="1">{#N/A,#N/A,FALSE,"이정표"}</definedName>
    <definedName name="wrn.이정표." localSheetId="3" hidden="1">{#N/A,#N/A,FALSE,"이정표"}</definedName>
    <definedName name="wrn.이정표." localSheetId="5" hidden="1">{#N/A,#N/A,FALSE,"이정표"}</definedName>
    <definedName name="wrn.이정표." localSheetId="6" hidden="1">{#N/A,#N/A,FALSE,"이정표"}</definedName>
    <definedName name="wrn.이정표." localSheetId="9" hidden="1">{#N/A,#N/A,FALSE,"이정표"}</definedName>
    <definedName name="wrn.이정표." localSheetId="12" hidden="1">{#N/A,#N/A,FALSE,"이정표"}</definedName>
    <definedName name="wrn.이정표." localSheetId="16" hidden="1">{#N/A,#N/A,FALSE,"이정표"}</definedName>
    <definedName name="wrn.이정표." hidden="1">{#N/A,#N/A,FALSE,"이정표"}</definedName>
    <definedName name="wrn.조골재." localSheetId="1" hidden="1">{#N/A,#N/A,FALSE,"조골재"}</definedName>
    <definedName name="wrn.조골재." localSheetId="3" hidden="1">{#N/A,#N/A,FALSE,"조골재"}</definedName>
    <definedName name="wrn.조골재." localSheetId="5" hidden="1">{#N/A,#N/A,FALSE,"조골재"}</definedName>
    <definedName name="wrn.조골재." localSheetId="6" hidden="1">{#N/A,#N/A,FALSE,"조골재"}</definedName>
    <definedName name="wrn.조골재." localSheetId="9" hidden="1">{#N/A,#N/A,FALSE,"조골재"}</definedName>
    <definedName name="wrn.조골재." localSheetId="12" hidden="1">{#N/A,#N/A,FALSE,"조골재"}</definedName>
    <definedName name="wrn.조골재." localSheetId="16" hidden="1">{#N/A,#N/A,FALSE,"조골재"}</definedName>
    <definedName name="wrn.조골재." hidden="1">{#N/A,#N/A,FALSE,"조골재"}</definedName>
    <definedName name="wrn.토공1." localSheetId="1" hidden="1">{#N/A,#N/A,FALSE,"구조1"}</definedName>
    <definedName name="wrn.토공1." localSheetId="3" hidden="1">{#N/A,#N/A,FALSE,"구조1"}</definedName>
    <definedName name="wrn.토공1." localSheetId="5" hidden="1">{#N/A,#N/A,FALSE,"구조1"}</definedName>
    <definedName name="wrn.토공1." localSheetId="6" hidden="1">{#N/A,#N/A,FALSE,"구조1"}</definedName>
    <definedName name="wrn.토공1." localSheetId="9" hidden="1">{#N/A,#N/A,FALSE,"구조1"}</definedName>
    <definedName name="wrn.토공1." localSheetId="12" hidden="1">{#N/A,#N/A,FALSE,"구조1"}</definedName>
    <definedName name="wrn.토공1." localSheetId="16" hidden="1">{#N/A,#N/A,FALSE,"구조1"}</definedName>
    <definedName name="wrn.토공1." hidden="1">{#N/A,#N/A,FALSE,"구조1"}</definedName>
    <definedName name="wrn.토공2." localSheetId="1" hidden="1">{#N/A,#N/A,FALSE,"토공2"}</definedName>
    <definedName name="wrn.토공2." localSheetId="3" hidden="1">{#N/A,#N/A,FALSE,"토공2"}</definedName>
    <definedName name="wrn.토공2." localSheetId="5" hidden="1">{#N/A,#N/A,FALSE,"토공2"}</definedName>
    <definedName name="wrn.토공2." localSheetId="6" hidden="1">{#N/A,#N/A,FALSE,"토공2"}</definedName>
    <definedName name="wrn.토공2." localSheetId="9" hidden="1">{#N/A,#N/A,FALSE,"토공2"}</definedName>
    <definedName name="wrn.토공2." localSheetId="12" hidden="1">{#N/A,#N/A,FALSE,"토공2"}</definedName>
    <definedName name="wrn.토공2." localSheetId="16" hidden="1">{#N/A,#N/A,FALSE,"토공2"}</definedName>
    <definedName name="wrn.토공2." hidden="1">{#N/A,#N/A,FALSE,"토공2"}</definedName>
    <definedName name="wrn.포장1." localSheetId="1" hidden="1">{#N/A,#N/A,FALSE,"포장1";#N/A,#N/A,FALSE,"포장1"}</definedName>
    <definedName name="wrn.포장1." localSheetId="3" hidden="1">{#N/A,#N/A,FALSE,"포장1";#N/A,#N/A,FALSE,"포장1"}</definedName>
    <definedName name="wrn.포장1." localSheetId="5" hidden="1">{#N/A,#N/A,FALSE,"포장1";#N/A,#N/A,FALSE,"포장1"}</definedName>
    <definedName name="wrn.포장1." localSheetId="6" hidden="1">{#N/A,#N/A,FALSE,"포장1";#N/A,#N/A,FALSE,"포장1"}</definedName>
    <definedName name="wrn.포장1." localSheetId="9" hidden="1">{#N/A,#N/A,FALSE,"포장1";#N/A,#N/A,FALSE,"포장1"}</definedName>
    <definedName name="wrn.포장1." localSheetId="12" hidden="1">{#N/A,#N/A,FALSE,"포장1";#N/A,#N/A,FALSE,"포장1"}</definedName>
    <definedName name="wrn.포장1." localSheetId="16" hidden="1">{#N/A,#N/A,FALSE,"포장1";#N/A,#N/A,FALSE,"포장1"}</definedName>
    <definedName name="wrn.포장1." hidden="1">{#N/A,#N/A,FALSE,"포장1";#N/A,#N/A,FALSE,"포장1"}</definedName>
    <definedName name="wrn.포장2." localSheetId="1" hidden="1">{#N/A,#N/A,FALSE,"포장2"}</definedName>
    <definedName name="wrn.포장2." localSheetId="3" hidden="1">{#N/A,#N/A,FALSE,"포장2"}</definedName>
    <definedName name="wrn.포장2." localSheetId="5" hidden="1">{#N/A,#N/A,FALSE,"포장2"}</definedName>
    <definedName name="wrn.포장2." localSheetId="6" hidden="1">{#N/A,#N/A,FALSE,"포장2"}</definedName>
    <definedName name="wrn.포장2." localSheetId="9" hidden="1">{#N/A,#N/A,FALSE,"포장2"}</definedName>
    <definedName name="wrn.포장2." localSheetId="12" hidden="1">{#N/A,#N/A,FALSE,"포장2"}</definedName>
    <definedName name="wrn.포장2." localSheetId="16" hidden="1">{#N/A,#N/A,FALSE,"포장2"}</definedName>
    <definedName name="wrn.포장2." hidden="1">{#N/A,#N/A,FALSE,"포장2"}</definedName>
    <definedName name="wrn.표지목차." localSheetId="1" hidden="1">{#N/A,#N/A,FALSE,"표지목차"}</definedName>
    <definedName name="wrn.표지목차." localSheetId="3" hidden="1">{#N/A,#N/A,FALSE,"표지목차"}</definedName>
    <definedName name="wrn.표지목차." localSheetId="5" hidden="1">{#N/A,#N/A,FALSE,"표지목차"}</definedName>
    <definedName name="wrn.표지목차." localSheetId="6" hidden="1">{#N/A,#N/A,FALSE,"표지목차"}</definedName>
    <definedName name="wrn.표지목차." localSheetId="9" hidden="1">{#N/A,#N/A,FALSE,"표지목차"}</definedName>
    <definedName name="wrn.표지목차." localSheetId="12" hidden="1">{#N/A,#N/A,FALSE,"표지목차"}</definedName>
    <definedName name="wrn.표지목차." localSheetId="16" hidden="1">{#N/A,#N/A,FALSE,"표지목차"}</definedName>
    <definedName name="wrn.표지목차." hidden="1">{#N/A,#N/A,FALSE,"표지목차"}</definedName>
    <definedName name="wrn.혼합골재." localSheetId="1" hidden="1">{#N/A,#N/A,FALSE,"혼합골재"}</definedName>
    <definedName name="wrn.혼합골재." localSheetId="3" hidden="1">{#N/A,#N/A,FALSE,"혼합골재"}</definedName>
    <definedName name="wrn.혼합골재." localSheetId="5" hidden="1">{#N/A,#N/A,FALSE,"혼합골재"}</definedName>
    <definedName name="wrn.혼합골재." localSheetId="6" hidden="1">{#N/A,#N/A,FALSE,"혼합골재"}</definedName>
    <definedName name="wrn.혼합골재." localSheetId="9" hidden="1">{#N/A,#N/A,FALSE,"혼합골재"}</definedName>
    <definedName name="wrn.혼합골재." localSheetId="12" hidden="1">{#N/A,#N/A,FALSE,"혼합골재"}</definedName>
    <definedName name="wrn.혼합골재." localSheetId="16" hidden="1">{#N/A,#N/A,FALSE,"혼합골재"}</definedName>
    <definedName name="wrn.혼합골재." hidden="1">{#N/A,#N/A,FALSE,"혼합골재"}</definedName>
    <definedName name="wsdffffffd">[53]Sheet1!#REF!</definedName>
    <definedName name="WSO">#REF!</definedName>
    <definedName name="WT">#REF!</definedName>
    <definedName name="WW">'[54]현장관리비 산출내역'!#REF!</definedName>
    <definedName name="XI">[14]지계!#REF!</definedName>
    <definedName name="XO">[14]지계!#REF!</definedName>
    <definedName name="xx" hidden="1">[9]BID!$A$1:$A$1714</definedName>
    <definedName name="xxx" hidden="1">[9]BID!$A$1:$A$1714</definedName>
    <definedName name="y">#REF!</definedName>
    <definedName name="ye">[55]Sheet2!$B$2</definedName>
    <definedName name="Z">#N/A</definedName>
    <definedName name="za" hidden="1">[9]BID!$A$1:$A$4</definedName>
    <definedName name="ZI">[14]지계!#REF!</definedName>
    <definedName name="ZO">[14]지계!#REF!</definedName>
    <definedName name="zxcvbb">'[19]05 Ar &amp; St'!#REF!</definedName>
    <definedName name="ㄱㅈㅎ" hidden="1">[9]BID!$A$1:$A$1714</definedName>
    <definedName name="간접노무비">#REF!</definedName>
    <definedName name="간접노무비율">#REF!</definedName>
    <definedName name="갈빌1호">#REF!</definedName>
    <definedName name="갈빌2호">#REF!</definedName>
    <definedName name="갈빌3호">#REF!</definedName>
    <definedName name="견">#REF!,#REF!</definedName>
    <definedName name="경비">#REF!</definedName>
    <definedName name="경비2">#REF!</definedName>
    <definedName name="경비율">#REF!</definedName>
    <definedName name="경유">#REF!</definedName>
    <definedName name="골재" localSheetId="1" hidden="1">{#N/A,#N/A,FALSE,"골재소요량";#N/A,#N/A,FALSE,"골재소요량"}</definedName>
    <definedName name="골재" localSheetId="3" hidden="1">{#N/A,#N/A,FALSE,"골재소요량";#N/A,#N/A,FALSE,"골재소요량"}</definedName>
    <definedName name="골재" localSheetId="5" hidden="1">{#N/A,#N/A,FALSE,"골재소요량";#N/A,#N/A,FALSE,"골재소요량"}</definedName>
    <definedName name="골재" localSheetId="6" hidden="1">{#N/A,#N/A,FALSE,"골재소요량";#N/A,#N/A,FALSE,"골재소요량"}</definedName>
    <definedName name="골재" localSheetId="9" hidden="1">{#N/A,#N/A,FALSE,"골재소요량";#N/A,#N/A,FALSE,"골재소요량"}</definedName>
    <definedName name="골재" localSheetId="12" hidden="1">{#N/A,#N/A,FALSE,"골재소요량";#N/A,#N/A,FALSE,"골재소요량"}</definedName>
    <definedName name="골재" localSheetId="16" hidden="1">{#N/A,#N/A,FALSE,"골재소요량";#N/A,#N/A,FALSE,"골재소요량"}</definedName>
    <definedName name="골재" hidden="1">{#N/A,#N/A,FALSE,"골재소요량";#N/A,#N/A,FALSE,"골재소요량"}</definedName>
    <definedName name="공구">#REF!</definedName>
    <definedName name="공급가액">#REF!</definedName>
    <definedName name="공기">#REF!</definedName>
    <definedName name="공사감리율">[56]요율!$M$20</definedName>
    <definedName name="공사명">#REF!</definedName>
    <definedName name="공사비">#REF!</definedName>
    <definedName name="관급">#REF!,#REF!,#REF!</definedName>
    <definedName name="관급자재비">#REF!</definedName>
    <definedName name="관로연장거리">#REF!</definedName>
    <definedName name="관정지반고">#REF!</definedName>
    <definedName name="교육" localSheetId="1" hidden="1">{#N/A,#N/A,FALSE,"전력간선"}</definedName>
    <definedName name="교육" localSheetId="3" hidden="1">{#N/A,#N/A,FALSE,"전력간선"}</definedName>
    <definedName name="교육" localSheetId="5" hidden="1">{#N/A,#N/A,FALSE,"전력간선"}</definedName>
    <definedName name="교육" localSheetId="6" hidden="1">{#N/A,#N/A,FALSE,"전력간선"}</definedName>
    <definedName name="교육" localSheetId="9" hidden="1">{#N/A,#N/A,FALSE,"전력간선"}</definedName>
    <definedName name="교육" localSheetId="12" hidden="1">{#N/A,#N/A,FALSE,"전력간선"}</definedName>
    <definedName name="교육" localSheetId="16" hidden="1">{#N/A,#N/A,FALSE,"전력간선"}</definedName>
    <definedName name="교육" hidden="1">{#N/A,#N/A,FALSE,"전력간선"}</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기존도로상태" localSheetId="1" hidden="1">{#N/A,#N/A,FALSE,"혼합골재"}</definedName>
    <definedName name="기존도로상태" localSheetId="3" hidden="1">{#N/A,#N/A,FALSE,"혼합골재"}</definedName>
    <definedName name="기존도로상태" localSheetId="5" hidden="1">{#N/A,#N/A,FALSE,"혼합골재"}</definedName>
    <definedName name="기존도로상태" localSheetId="6" hidden="1">{#N/A,#N/A,FALSE,"혼합골재"}</definedName>
    <definedName name="기존도로상태" localSheetId="9" hidden="1">{#N/A,#N/A,FALSE,"혼합골재"}</definedName>
    <definedName name="기존도로상태" localSheetId="12" hidden="1">{#N/A,#N/A,FALSE,"혼합골재"}</definedName>
    <definedName name="기존도로상태" localSheetId="16" hidden="1">{#N/A,#N/A,FALSE,"혼합골재"}</definedName>
    <definedName name="기존도로상태" hidden="1">{#N/A,#N/A,FALSE,"혼합골재"}</definedName>
    <definedName name="기초데이타">#REF!</definedName>
    <definedName name="기타경비">#REF!</definedName>
    <definedName name="ㄴㄱㄹ" hidden="1">[9]BID!$A$1:$A$734</definedName>
    <definedName name="ㄴㅁ" hidden="1">[9]BID!$A$1:$A$4</definedName>
    <definedName name="나">[57]!Macro10</definedName>
    <definedName name="낙찰가">#N/A</definedName>
    <definedName name="남산1호">#REF!</definedName>
    <definedName name="남산2호">#REF!</definedName>
    <definedName name="내전">[58]노무비!$B$2</definedName>
    <definedName name="노곡1호">#REF!</definedName>
    <definedName name="노곡2호">#REF!</definedName>
    <definedName name="노곡3호">#REF!</definedName>
    <definedName name="노곡4호">#REF!</definedName>
    <definedName name="노무비">#REF!</definedName>
    <definedName name="노부비">#REF!</definedName>
    <definedName name="노임단가">#REF!</definedName>
    <definedName name="농원1호">#REF!</definedName>
    <definedName name="농원2호">#REF!</definedName>
    <definedName name="ㄷ">[7]산근1!#REF!</definedName>
    <definedName name="단가">#REF!,#REF!</definedName>
    <definedName name="단가2">#REF!,#REF!</definedName>
    <definedName name="단가비교표">#REF!,#REF!</definedName>
    <definedName name="대보">[7]산근1!#REF!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도급공사">#REF!</definedName>
    <definedName name="도급예산액">#REF!</definedName>
    <definedName name="도급예상액">#REF!</definedName>
    <definedName name="도로" localSheetId="1" hidden="1">{#N/A,#N/A,FALSE,"2~8번"}</definedName>
    <definedName name="도로" localSheetId="3" hidden="1">{#N/A,#N/A,FALSE,"2~8번"}</definedName>
    <definedName name="도로" localSheetId="5" hidden="1">{#N/A,#N/A,FALSE,"2~8번"}</definedName>
    <definedName name="도로" localSheetId="6" hidden="1">{#N/A,#N/A,FALSE,"2~8번"}</definedName>
    <definedName name="도로" localSheetId="9" hidden="1">{#N/A,#N/A,FALSE,"2~8번"}</definedName>
    <definedName name="도로" localSheetId="12" hidden="1">{#N/A,#N/A,FALSE,"2~8번"}</definedName>
    <definedName name="도로" localSheetId="16" hidden="1">{#N/A,#N/A,FALSE,"2~8번"}</definedName>
    <definedName name="도로" hidden="1">{#N/A,#N/A,FALSE,"2~8번"}</definedName>
    <definedName name="돌">#REF!</definedName>
    <definedName name="두기1">#REF!</definedName>
    <definedName name="두기1호">#REF!</definedName>
    <definedName name="두기2">#REF!</definedName>
    <definedName name="두기2호">#REF!</definedName>
    <definedName name="두기3">#REF!</definedName>
    <definedName name="두기3호">#REF!</definedName>
    <definedName name="ㄹ호" hidden="1">[9]BID!$C$1:$H$533</definedName>
    <definedName name="롯데안">[59]설계!$B$3:$H$751</definedName>
    <definedName name="ㅁ">[7]산근1!#REF!</definedName>
    <definedName name="ㅁㅁ" localSheetId="1" hidden="1">{#N/A,#N/A,FALSE,"운반시간"}</definedName>
    <definedName name="ㅁㅁ" localSheetId="3" hidden="1">{#N/A,#N/A,FALSE,"운반시간"}</definedName>
    <definedName name="ㅁㅁ" localSheetId="5" hidden="1">{#N/A,#N/A,FALSE,"운반시간"}</definedName>
    <definedName name="ㅁㅁ" localSheetId="6" hidden="1">{#N/A,#N/A,FALSE,"운반시간"}</definedName>
    <definedName name="ㅁㅁ" localSheetId="9" hidden="1">{#N/A,#N/A,FALSE,"운반시간"}</definedName>
    <definedName name="ㅁㅁ" localSheetId="12" hidden="1">{#N/A,#N/A,FALSE,"운반시간"}</definedName>
    <definedName name="ㅁㅁ" localSheetId="16" hidden="1">{#N/A,#N/A,FALSE,"운반시간"}</definedName>
    <definedName name="ㅁㅁ" hidden="1">{#N/A,#N/A,FALSE,"운반시간"}</definedName>
    <definedName name="ㅁㅁㅁㅁ" localSheetId="1" hidden="1">{#N/A,#N/A,FALSE,"혼합골재"}</definedName>
    <definedName name="ㅁㅁㅁㅁ" localSheetId="3" hidden="1">{#N/A,#N/A,FALSE,"혼합골재"}</definedName>
    <definedName name="ㅁㅁㅁㅁ" localSheetId="5" hidden="1">{#N/A,#N/A,FALSE,"혼합골재"}</definedName>
    <definedName name="ㅁㅁㅁㅁ" localSheetId="6" hidden="1">{#N/A,#N/A,FALSE,"혼합골재"}</definedName>
    <definedName name="ㅁㅁㅁㅁ" localSheetId="9" hidden="1">{#N/A,#N/A,FALSE,"혼합골재"}</definedName>
    <definedName name="ㅁㅁㅁㅁ" localSheetId="12" hidden="1">{#N/A,#N/A,FALSE,"혼합골재"}</definedName>
    <definedName name="ㅁㅁㅁㅁ" localSheetId="16" hidden="1">{#N/A,#N/A,FALSE,"혼합골재"}</definedName>
    <definedName name="ㅁㅁㅁㅁ" hidden="1">{#N/A,#N/A,FALSE,"혼합골재"}</definedName>
    <definedName name="ㅁㅁㅁㅁㅁㅁ" hidden="1">[9]BID!$A$1:$A$2353</definedName>
    <definedName name="면적">#REF!</definedName>
    <definedName name="무농1호">#REF!</definedName>
    <definedName name="무농2호">#REF!</definedName>
    <definedName name="무안">[58]노무비!$B$12</definedName>
    <definedName name="민">[60]지급자재!$T$22</definedName>
    <definedName name="바보" localSheetId="1" hidden="1">{#N/A,#N/A,FALSE,"표지목차"}</definedName>
    <definedName name="바보" localSheetId="3" hidden="1">{#N/A,#N/A,FALSE,"표지목차"}</definedName>
    <definedName name="바보" localSheetId="5" hidden="1">{#N/A,#N/A,FALSE,"표지목차"}</definedName>
    <definedName name="바보" localSheetId="6" hidden="1">{#N/A,#N/A,FALSE,"표지목차"}</definedName>
    <definedName name="바보" localSheetId="9" hidden="1">{#N/A,#N/A,FALSE,"표지목차"}</definedName>
    <definedName name="바보" localSheetId="12" hidden="1">{#N/A,#N/A,FALSE,"표지목차"}</definedName>
    <definedName name="바보" localSheetId="16" hidden="1">{#N/A,#N/A,FALSE,"표지목차"}</definedName>
    <definedName name="바보" hidden="1">{#N/A,#N/A,FALSE,"표지목차"}</definedName>
    <definedName name="바보2" localSheetId="1" hidden="1">{#N/A,#N/A,FALSE,"운반시간"}</definedName>
    <definedName name="바보2" localSheetId="3" hidden="1">{#N/A,#N/A,FALSE,"운반시간"}</definedName>
    <definedName name="바보2" localSheetId="5" hidden="1">{#N/A,#N/A,FALSE,"운반시간"}</definedName>
    <definedName name="바보2" localSheetId="6" hidden="1">{#N/A,#N/A,FALSE,"운반시간"}</definedName>
    <definedName name="바보2" localSheetId="9" hidden="1">{#N/A,#N/A,FALSE,"운반시간"}</definedName>
    <definedName name="바보2" localSheetId="12" hidden="1">{#N/A,#N/A,FALSE,"운반시간"}</definedName>
    <definedName name="바보2" localSheetId="16" hidden="1">{#N/A,#N/A,FALSE,"운반시간"}</definedName>
    <definedName name="바보2" hidden="1">{#N/A,#N/A,FALSE,"운반시간"}</definedName>
    <definedName name="밥보" localSheetId="1" hidden="1">{#N/A,#N/A,FALSE,"표지목차"}</definedName>
    <definedName name="밥보" localSheetId="3" hidden="1">{#N/A,#N/A,FALSE,"표지목차"}</definedName>
    <definedName name="밥보" localSheetId="5" hidden="1">{#N/A,#N/A,FALSE,"표지목차"}</definedName>
    <definedName name="밥보" localSheetId="6" hidden="1">{#N/A,#N/A,FALSE,"표지목차"}</definedName>
    <definedName name="밥보" localSheetId="9" hidden="1">{#N/A,#N/A,FALSE,"표지목차"}</definedName>
    <definedName name="밥보" localSheetId="12" hidden="1">{#N/A,#N/A,FALSE,"표지목차"}</definedName>
    <definedName name="밥보" localSheetId="16" hidden="1">{#N/A,#N/A,FALSE,"표지목차"}</definedName>
    <definedName name="밥보" hidden="1">{#N/A,#N/A,FALSE,"표지목차"}</definedName>
    <definedName name="배관자재중량">[61]단가!$C$51:$I$60</definedName>
    <definedName name="번들1호">#REF!</definedName>
    <definedName name="번들2호">#REF!</definedName>
    <definedName name="번들3호">#REF!</definedName>
    <definedName name="보상비수">'[62]관리,공감'!#REF!</definedName>
    <definedName name="보상비평">'[62]관리,공감'!#REF!</definedName>
    <definedName name="보험">[63]입찰!$G$17</definedName>
    <definedName name="부가가치세">#REF!</definedName>
    <definedName name="분할">#REF!</definedName>
    <definedName name="비목1">#REF!</definedName>
    <definedName name="비목2">#REF!</definedName>
    <definedName name="비목3">#REF!</definedName>
    <definedName name="비목4">#REF!</definedName>
    <definedName name="사" hidden="1">[9]BID!$A$1:$A$1714</definedName>
    <definedName name="사업관리율">[56]요율!$M$21</definedName>
    <definedName name="산보">[63]입찰!$G$12</definedName>
    <definedName name="산재보험료">#REF!</definedName>
    <definedName name="산재보험료율">#REF!</definedName>
    <definedName name="상림1호">#REF!</definedName>
    <definedName name="상림2호">#REF!</definedName>
    <definedName name="상림3호">#REF!</definedName>
    <definedName name="생사1호">#REF!</definedName>
    <definedName name="생사2호">#REF!</definedName>
    <definedName name="생사기존">#REF!</definedName>
    <definedName name="선량1호">#REF!</definedName>
    <definedName name="선량2호">#REF!</definedName>
    <definedName name="선량3호">#REF!</definedName>
    <definedName name="선량4호">#REF!</definedName>
    <definedName name="선량5호">#REF!</definedName>
    <definedName name="설계가">#N/A</definedName>
    <definedName name="성산1호">#REF!</definedName>
    <definedName name="성산2호">#REF!</definedName>
    <definedName name="성산3호">#REF!</definedName>
    <definedName name="성산4호">#REF!</definedName>
    <definedName name="성산5호">#REF!</definedName>
    <definedName name="세부설계율">[56]요율!$M$19</definedName>
    <definedName name="송수관로구경">#REF!</definedName>
    <definedName name="송천1">#REF!</definedName>
    <definedName name="송천2">#REF!</definedName>
    <definedName name="수원공자재">#REF!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모터펌프중량">[61]단가!$C$66:$D$77</definedName>
    <definedName name="수중케이블단가">#REF!</definedName>
    <definedName name="순공">[63]입찰!$G$9</definedName>
    <definedName name="순공사비">#REF!</definedName>
    <definedName name="순공사원가">#REF!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흥1호">#REF!</definedName>
    <definedName name="신흥2호">#REF!</definedName>
    <definedName name="실행">#REF!</definedName>
    <definedName name="ㅇㄴㅁ" hidden="1">[9]BID!$A$1:$A$4</definedName>
    <definedName name="ㅇㄹ" hidden="1">[9]BID!$C$1:$H$533</definedName>
    <definedName name="아연도강관단가">#REF!</definedName>
    <definedName name="아연도배관단가">#REF!</definedName>
    <definedName name="아연도배관자재">#REF!</definedName>
    <definedName name="안방1호">#REF!</definedName>
    <definedName name="안방2호">#REF!</definedName>
    <definedName name="안전">#REF!</definedName>
    <definedName name="안전관리비">#REF!</definedName>
    <definedName name="안전관리비율">#REF!</definedName>
    <definedName name="안정수위">#REF!</definedName>
    <definedName name="앞들1호">#REF!</definedName>
    <definedName name="앞들2호">#REF!</definedName>
    <definedName name="양수량">#REF!</definedName>
    <definedName name="억이상" localSheetId="1" hidden="1">{#N/A,#N/A,FALSE,"2~8번"}</definedName>
    <definedName name="억이상" localSheetId="3" hidden="1">{#N/A,#N/A,FALSE,"2~8번"}</definedName>
    <definedName name="억이상" localSheetId="5" hidden="1">{#N/A,#N/A,FALSE,"2~8번"}</definedName>
    <definedName name="억이상" localSheetId="6" hidden="1">{#N/A,#N/A,FALSE,"2~8번"}</definedName>
    <definedName name="억이상" localSheetId="9" hidden="1">{#N/A,#N/A,FALSE,"2~8번"}</definedName>
    <definedName name="억이상" localSheetId="12" hidden="1">{#N/A,#N/A,FALSE,"2~8번"}</definedName>
    <definedName name="억이상" localSheetId="16" hidden="1">{#N/A,#N/A,FALSE,"2~8번"}</definedName>
    <definedName name="억이상" hidden="1">{#N/A,#N/A,FALSE,"2~8번"}</definedName>
    <definedName name="업체" hidden="1">[9]BID!$A$1:$A$734</definedName>
    <definedName name="예비비수">'[62]관리,공감'!#REF!</definedName>
    <definedName name="예비비평">'[62]관리,공감'!#REF!</definedName>
    <definedName name="오" hidden="1">[9]BID!$A$1:$A$4</definedName>
    <definedName name="오주1호">#REF!</definedName>
    <definedName name="오주2호">#REF!</definedName>
    <definedName name="오주3호">#REF!</definedName>
    <definedName name="오주4호">#REF!</definedName>
    <definedName name="요동1호">#REF!</definedName>
    <definedName name="요동2호">#REF!</definedName>
    <definedName name="우강공감율">#REF!</definedName>
    <definedName name="우강기본율">#REF!</definedName>
    <definedName name="우강사업율">#REF!</definedName>
    <definedName name="우강세부율">#REF!</definedName>
    <definedName name="우산">#REF!</definedName>
    <definedName name="운반비">[61]단가!$F$66:$G$77</definedName>
    <definedName name="운암">#REF!</definedName>
    <definedName name="운호1호">#REF!</definedName>
    <definedName name="운호2호">#REF!</definedName>
    <definedName name="운호3호">#REF!</definedName>
    <definedName name="원가" localSheetId="1" hidden="1">{#N/A,#N/A,FALSE,"운반시간"}</definedName>
    <definedName name="원가" localSheetId="3" hidden="1">{#N/A,#N/A,FALSE,"운반시간"}</definedName>
    <definedName name="원가" localSheetId="5" hidden="1">{#N/A,#N/A,FALSE,"운반시간"}</definedName>
    <definedName name="원가" localSheetId="6" hidden="1">{#N/A,#N/A,FALSE,"운반시간"}</definedName>
    <definedName name="원가" localSheetId="9" hidden="1">{#N/A,#N/A,FALSE,"운반시간"}</definedName>
    <definedName name="원가" localSheetId="12" hidden="1">{#N/A,#N/A,FALSE,"운반시간"}</definedName>
    <definedName name="원가" localSheetId="16" hidden="1">{#N/A,#N/A,FALSE,"운반시간"}</definedName>
    <definedName name="원가" hidden="1">{#N/A,#N/A,FALSE,"운반시간"}</definedName>
    <definedName name="원남내역" hidden="1">[9]BID!$A$1:$A$4</definedName>
    <definedName name="원운1호">#REF!</definedName>
    <definedName name="원운2호">#REF!</definedName>
    <definedName name="위치">#N/A</definedName>
    <definedName name="육리1호">#REF!</definedName>
    <definedName name="육리2호">#REF!</definedName>
    <definedName name="은산1호">#REF!</definedName>
    <definedName name="은산2호">#REF!</definedName>
    <definedName name="은산3호">#REF!</definedName>
    <definedName name="은산4호">#REF!</definedName>
    <definedName name="을지양식">#REF!</definedName>
    <definedName name="의" localSheetId="1" hidden="1">{#N/A,#N/A,FALSE,"운반시간"}</definedName>
    <definedName name="의" localSheetId="3" hidden="1">{#N/A,#N/A,FALSE,"운반시간"}</definedName>
    <definedName name="의" localSheetId="5" hidden="1">{#N/A,#N/A,FALSE,"운반시간"}</definedName>
    <definedName name="의" localSheetId="6" hidden="1">{#N/A,#N/A,FALSE,"운반시간"}</definedName>
    <definedName name="의" localSheetId="9" hidden="1">{#N/A,#N/A,FALSE,"운반시간"}</definedName>
    <definedName name="의" localSheetId="12" hidden="1">{#N/A,#N/A,FALSE,"운반시간"}</definedName>
    <definedName name="의" localSheetId="16" hidden="1">{#N/A,#N/A,FALSE,"운반시간"}</definedName>
    <definedName name="의" hidden="1">{#N/A,#N/A,FALSE,"운반시간"}</definedName>
    <definedName name="이윤">#REF!</definedName>
    <definedName name="인원">#REF!</definedName>
    <definedName name="일" hidden="1">[9]BID!$A$1:$A$4</definedName>
    <definedName name="일반관리비">#REF!</definedName>
    <definedName name="일반관리비율">#REF!</definedName>
    <definedName name="일위">#REF!,#REF!</definedName>
    <definedName name="임직">#REF!</definedName>
    <definedName name="입력선택">#REF!</definedName>
    <definedName name="입안1호">#REF!</definedName>
    <definedName name="입안2호">#REF!</definedName>
    <definedName name="입안3호">#REF!</definedName>
    <definedName name="입안4호">#REF!</definedName>
    <definedName name="입안기존2">#REF!</definedName>
    <definedName name="입찰금액안" hidden="1">[9]BID!#REF!</definedName>
    <definedName name="자연수위">#REF!</definedName>
    <definedName name="자재수">[56]자재대!$BE$22</definedName>
    <definedName name="자재평">[56]자재대!$BG$22</definedName>
    <definedName name="잡지출수">'[62]관리,공감'!#REF!</definedName>
    <definedName name="잡지출평">'[62]관리,공감'!#REF!</definedName>
    <definedName name="장산1">#REF!</definedName>
    <definedName name="장산2">#REF!</definedName>
    <definedName name="장산3">#REF!</definedName>
    <definedName name="장춘">#REF!</definedName>
    <definedName name="재료비">#REF!</definedName>
    <definedName name="저격2">#REF!</definedName>
    <definedName name="저수조만수위">#REF!</definedName>
    <definedName name="전동기용량">#REF!</definedName>
    <definedName name="조사가" hidden="1">[9]BID!#REF!</definedName>
    <definedName name="지급부가제외">#REF!</definedName>
    <definedName name="지급부가포함">#REF!</definedName>
    <definedName name="지동">#REF!</definedName>
    <definedName name="지부외배">#REF!</definedName>
    <definedName name="지부외평">#REF!</definedName>
    <definedName name="지부포배">#REF!</definedName>
    <definedName name="지부포수">#REF!</definedName>
    <definedName name="지부포평">#REF!</definedName>
    <definedName name="지역">#N/A</definedName>
    <definedName name="직접경비">#REF!</definedName>
    <definedName name="직접노무비">#REF!</definedName>
    <definedName name="직접재료비">#REF!</definedName>
    <definedName name="집계">[64]내역!$A$1:$E$1023</definedName>
    <definedName name="ㅊ">[7]산근1!#REF!</definedName>
    <definedName name="착공월">#REF!</definedName>
    <definedName name="착정심도">#REF!</definedName>
    <definedName name="철목1호">#REF!</definedName>
    <definedName name="철목2호">#REF!</definedName>
    <definedName name="철목3호">#REF!</definedName>
    <definedName name="철목4호">#REF!</definedName>
    <definedName name="청림1호">#REF!</definedName>
    <definedName name="청림2호">#REF!</definedName>
    <definedName name="청림3호">#REF!</definedName>
    <definedName name="측량">#REF!</definedName>
    <definedName name="측설비수">'[62]관리,공감'!#REF!</definedName>
    <definedName name="측설비평">'[62]관리,공감'!#REF!</definedName>
    <definedName name="칠">[60]지급자재!$AE$22</definedName>
    <definedName name="토" hidden="1">[9]BID!$A$1:$A$47</definedName>
    <definedName name="토목설계" localSheetId="1" hidden="1">{#N/A,#N/A,FALSE,"골재소요량";#N/A,#N/A,FALSE,"골재소요량"}</definedName>
    <definedName name="토목설계" localSheetId="3" hidden="1">{#N/A,#N/A,FALSE,"골재소요량";#N/A,#N/A,FALSE,"골재소요량"}</definedName>
    <definedName name="토목설계" localSheetId="5" hidden="1">{#N/A,#N/A,FALSE,"골재소요량";#N/A,#N/A,FALSE,"골재소요량"}</definedName>
    <definedName name="토목설계" localSheetId="6" hidden="1">{#N/A,#N/A,FALSE,"골재소요량";#N/A,#N/A,FALSE,"골재소요량"}</definedName>
    <definedName name="토목설계" localSheetId="9" hidden="1">{#N/A,#N/A,FALSE,"골재소요량";#N/A,#N/A,FALSE,"골재소요량"}</definedName>
    <definedName name="토목설계" localSheetId="12" hidden="1">{#N/A,#N/A,FALSE,"골재소요량";#N/A,#N/A,FALSE,"골재소요량"}</definedName>
    <definedName name="토목설계" localSheetId="16" hidden="1">{#N/A,#N/A,FALSE,"골재소요량";#N/A,#N/A,FALSE,"골재소요량"}</definedName>
    <definedName name="토목설계" hidden="1">{#N/A,#N/A,FALSE,"골재소요량";#N/A,#N/A,FALSE,"골재소요량"}</definedName>
    <definedName name="통내">[58]노무비!$B$8</definedName>
    <definedName name="통설">[58]노무비!$B$10</definedName>
    <definedName name="팔" hidden="1">[9]BID!$A$1:$A$1714</definedName>
    <definedName name="펌프구경">#REF!</definedName>
    <definedName name="평야부자재">#REF!</definedName>
    <definedName name="한">[7]산근1!#REF!</definedName>
    <definedName name="한교1호">#REF!</definedName>
    <definedName name="한교2호">#REF!</definedName>
    <definedName name="한교3호">#REF!</definedName>
    <definedName name="한전수탁비">#REF!</definedName>
    <definedName name="합계">#REF!</definedName>
    <definedName name="현경">[63]현경!$F$39</definedName>
    <definedName name="호지니">[65]!Macro12</definedName>
    <definedName name="호ㅓㅕㅏ6ㅅ서ㅛㅓ" hidden="1">[9]BID!#REF!</definedName>
    <definedName name="홍">[7]산근1!#REF!</definedName>
    <definedName name="화신1호">#REF!</definedName>
    <definedName name="화신2호">#REF!</definedName>
    <definedName name="화신기존1">#REF!</definedName>
    <definedName name="화신기존2">#REF!</definedName>
    <definedName name="회시1호">#REF!</definedName>
    <definedName name="회시2호">#REF!</definedName>
    <definedName name="휘발유">#REF!</definedName>
    <definedName name="ㅏK32">[66]소야공정계획표!#REF!</definedName>
    <definedName name="ㅓㄴㄱ" hidden="1">[9]BID!$A$1:$A$4</definedName>
    <definedName name="ㅔㅔ" hidden="1">[9]BID!#REF!</definedName>
    <definedName name="ㅠㅠ" localSheetId="1" hidden="1">{#N/A,#N/A,FALSE,"포장2"}</definedName>
    <definedName name="ㅠㅠ" localSheetId="3" hidden="1">{#N/A,#N/A,FALSE,"포장2"}</definedName>
    <definedName name="ㅠㅠ" localSheetId="5" hidden="1">{#N/A,#N/A,FALSE,"포장2"}</definedName>
    <definedName name="ㅠㅠ" localSheetId="6" hidden="1">{#N/A,#N/A,FALSE,"포장2"}</definedName>
    <definedName name="ㅠㅠ" localSheetId="9" hidden="1">{#N/A,#N/A,FALSE,"포장2"}</definedName>
    <definedName name="ㅠㅠ" localSheetId="12" hidden="1">{#N/A,#N/A,FALSE,"포장2"}</definedName>
    <definedName name="ㅠㅠ" localSheetId="16" hidden="1">{#N/A,#N/A,FALSE,"포장2"}</definedName>
    <definedName name="ㅠㅠ" hidden="1">{#N/A,#N/A,FALSE,"포장2"}</definedName>
    <definedName name="ㅣㅏ" localSheetId="1" hidden="1">{#N/A,#N/A,FALSE,"2~8번"}</definedName>
    <definedName name="ㅣㅏ" localSheetId="3" hidden="1">{#N/A,#N/A,FALSE,"2~8번"}</definedName>
    <definedName name="ㅣㅏ" localSheetId="5" hidden="1">{#N/A,#N/A,FALSE,"2~8번"}</definedName>
    <definedName name="ㅣㅏ" localSheetId="6" hidden="1">{#N/A,#N/A,FALSE,"2~8번"}</definedName>
    <definedName name="ㅣㅏ" localSheetId="9" hidden="1">{#N/A,#N/A,FALSE,"2~8번"}</definedName>
    <definedName name="ㅣㅏ" localSheetId="12" hidden="1">{#N/A,#N/A,FALSE,"2~8번"}</definedName>
    <definedName name="ㅣㅏ" localSheetId="16" hidden="1">{#N/A,#N/A,FALSE,"2~8번"}</definedName>
    <definedName name="ㅣㅏ" hidden="1">{#N/A,#N/A,FALSE,"2~8번"}</definedName>
    <definedName name="人工半熟练工">[67]材料!$H$8</definedName>
    <definedName name="人工熟练工">[67]材料!$H$7</definedName>
    <definedName name="人工高海拔系数">1.1</definedName>
    <definedName name="人工高级工">[67]材料!$H$6</definedName>
    <definedName name="代理人">"委托代理人："</definedName>
    <definedName name="代理人2">"委托代理人："</definedName>
    <definedName name="半熟练工">[23]材料!$H$8</definedName>
    <definedName name="印刷体签名">" 印 刷 体 姓 名 :"</definedName>
    <definedName name="取费">#REF!</definedName>
    <definedName name="合同编号">"(合同编号:GYYJZ02[2008]123)"</definedName>
    <definedName name="含税系数">#REF!</definedName>
    <definedName name="国外工程材料系数">1</definedName>
    <definedName name="大写">IF(INT([68]汇总!A1048576*100)-INT([68]汇总!A1048576)*100=0,TEXT(INT([68]汇总!A1048576),"[DBNum2]")&amp;"元整",TEXT(INT([68]汇总!A1048576),"[DBNum2]")&amp;"元"&amp;TEXT(INT([68]汇总!A1048576*10)-INT([68]汇总!A1048576)*10,"[DBNum2]")&amp;"角"&amp;TEXT(INT([68]汇总!A1048576*100)-INT([68]汇总!A1048576*10)*10,"[DBNum2]")&amp;"分")</definedName>
    <definedName name="委托代理人">"委托代理人:"</definedName>
    <definedName name="对美元汇率">[69]调整系数!$A$10</definedName>
    <definedName name="工作表名称">MID(CELL("filename"),FIND("]",CELL("filename"))+1,31)</definedName>
    <definedName name="工程师">"造价工程师："</definedName>
    <definedName name="投___标___人_中国水利水电第四工程局">[70]汇总!#REF!</definedName>
    <definedName name="投标人">"投  标  人：中国水利水电第四工程局有限公司"</definedName>
    <definedName name="投标人清单">"投标人:水电四局水电十一局联营体"</definedName>
    <definedName name="换算系数">#REF!</definedName>
    <definedName name="授权代表">"委托代理人:"</definedName>
    <definedName name="日期">"2014年4月20日"</definedName>
    <definedName name="日期清单">"2011年6月7日"</definedName>
    <definedName name="木柴">[71]材料库!$D$237</definedName>
    <definedName name="木柴价">[23]材料!$H$90</definedName>
    <definedName name="机械数量高海拔系数">1.25</definedName>
    <definedName name="机械高程系数">1</definedName>
    <definedName name="材料库">[72]材料库!$A$1:$AE$65536</definedName>
    <definedName name="柴油">[71]材料库!$D$59</definedName>
    <definedName name="柴油价">[23]材料!$H$42</definedName>
    <definedName name="水">[73]材料库!$L$16</definedName>
    <definedName name="水价">[23]材料!$H$14</definedName>
    <definedName name="水泥32.5价">[23]材料!$H$65</definedName>
    <definedName name="水泥42.5中热价">[23]材料!$H$40</definedName>
    <definedName name="水泥42.5价">[23]材料!$H$38</definedName>
    <definedName name="汇率">#REF!</definedName>
    <definedName name="汽油">[71]材料库!$D$53</definedName>
    <definedName name="汽油价">[23]材料!$H$50</definedName>
    <definedName name="洞挖反铲系数">0.1</definedName>
    <definedName name="洞挖装载机系数">0.9</definedName>
    <definedName name="煤">[71]材料库!$D$236</definedName>
    <definedName name="煤价">[23]材料!$H$89</definedName>
    <definedName name="熟练工">[23]材料!$H$7</definedName>
    <definedName name="物价系数">1</definedName>
    <definedName name="电">[71]材料库!$D$13</definedName>
    <definedName name="电价">[23]材料!$H$13</definedName>
    <definedName name="砂价">[23]材料!$I$45</definedName>
    <definedName name="硅粉价">[23]材料!$H$709</definedName>
    <definedName name="粉煤灰">[23]材料!$H$36</definedName>
    <definedName name="粉煤灰1">[23]材料!$H$63</definedName>
    <definedName name="系数人工">1</definedName>
    <definedName name="系数机械">1</definedName>
    <definedName name="系数材料">1</definedName>
    <definedName name="过渡系数">1</definedName>
    <definedName name="过渡系数1">1</definedName>
    <definedName name="过渡系数人工">1</definedName>
    <definedName name="过渡系数机械">1</definedName>
    <definedName name="过渡系数材料">1</definedName>
    <definedName name="风">[71]材料库!$D$12</definedName>
    <definedName name="风价">[23]材料!$H$12</definedName>
    <definedName name="骨料砂容重">1.5</definedName>
    <definedName name="骨料碎石容重">1.45</definedName>
    <definedName name="高级工">[23]材料!$H$6</definedName>
  </definedNames>
  <calcPr calcId="145621"/>
</workbook>
</file>

<file path=xl/calcChain.xml><?xml version="1.0" encoding="utf-8"?>
<calcChain xmlns="http://schemas.openxmlformats.org/spreadsheetml/2006/main">
  <c r="A6" i="30" l="1"/>
  <c r="A6" i="29"/>
  <c r="O12" i="26"/>
  <c r="A6" i="25"/>
  <c r="AD50" i="24"/>
  <c r="O6" i="24"/>
  <c r="X6" i="24" s="1"/>
  <c r="A6" i="23"/>
  <c r="O29" i="20"/>
  <c r="A6" i="20"/>
  <c r="B11" i="1"/>
  <c r="B18" i="1"/>
  <c r="K56" i="12"/>
  <c r="K57" i="12" s="1"/>
  <c r="A56" i="12"/>
  <c r="K32" i="12"/>
  <c r="A6" i="12"/>
  <c r="F40" i="9"/>
  <c r="E6" i="9"/>
  <c r="B6" i="6"/>
  <c r="F40" i="5"/>
  <c r="E40" i="5"/>
  <c r="D40" i="5"/>
  <c r="E32" i="5"/>
  <c r="D32" i="5"/>
  <c r="F29" i="5"/>
  <c r="F28" i="5"/>
  <c r="F27" i="5"/>
  <c r="F32" i="5" s="1"/>
  <c r="E24" i="5"/>
  <c r="D24" i="5"/>
  <c r="F23" i="5"/>
  <c r="F22" i="5"/>
  <c r="F24" i="5" s="1"/>
  <c r="F19" i="5"/>
  <c r="E19" i="5"/>
  <c r="D19" i="5"/>
  <c r="A6" i="5"/>
  <c r="H18" i="4"/>
  <c r="A6" i="3"/>
  <c r="B9" i="1"/>
  <c r="K59" i="12" l="1"/>
</calcChain>
</file>

<file path=xl/sharedStrings.xml><?xml version="1.0" encoding="utf-8"?>
<sst xmlns="http://schemas.openxmlformats.org/spreadsheetml/2006/main" count="657" uniqueCount="379">
  <si>
    <t>TABLE OF CONTENTS</t>
  </si>
  <si>
    <t xml:space="preserve">Weekly Progress Report </t>
  </si>
  <si>
    <t>Page no.</t>
  </si>
  <si>
    <t>Problem Encountered</t>
  </si>
  <si>
    <t>General Information of the Project</t>
  </si>
  <si>
    <t>Design status report</t>
  </si>
  <si>
    <t xml:space="preserve">Weekly Plan vs Execution Evaluation  </t>
  </si>
  <si>
    <t>Machinary Status record (O,I,D)</t>
  </si>
  <si>
    <t>Weekly Machinary Rental cost</t>
  </si>
  <si>
    <t>Weekly Machinery Fuel Evaluation Records</t>
  </si>
  <si>
    <t>Contractual matters</t>
  </si>
  <si>
    <t>Item No</t>
  </si>
  <si>
    <t xml:space="preserve">Problem Description </t>
  </si>
  <si>
    <t>Location</t>
  </si>
  <si>
    <t>Status</t>
  </si>
  <si>
    <t>Remark</t>
  </si>
  <si>
    <t>From</t>
  </si>
  <si>
    <t>To</t>
  </si>
  <si>
    <t>Side</t>
  </si>
  <si>
    <t>A</t>
  </si>
  <si>
    <t>ROW</t>
  </si>
  <si>
    <t>B</t>
  </si>
  <si>
    <t>C</t>
  </si>
  <si>
    <t>Responsible Department/Person</t>
  </si>
  <si>
    <t xml:space="preserve">Action to be taken </t>
  </si>
  <si>
    <t xml:space="preserve">Action to be taken by </t>
  </si>
  <si>
    <t xml:space="preserve">Due Date </t>
  </si>
  <si>
    <t>Reference about the Request</t>
  </si>
  <si>
    <t>Response of the Responsible Department</t>
  </si>
  <si>
    <t>Week period from______ To _________</t>
  </si>
  <si>
    <t>GENERAL INFORMATION OF THE PROJECT</t>
  </si>
  <si>
    <t>-</t>
  </si>
  <si>
    <t>PROJECT</t>
  </si>
  <si>
    <t>Project Name</t>
  </si>
  <si>
    <t>LOCATION</t>
  </si>
  <si>
    <t>REGION</t>
  </si>
  <si>
    <t>EMPLOYER</t>
  </si>
  <si>
    <t>D</t>
  </si>
  <si>
    <t>CONSULTANT</t>
  </si>
  <si>
    <t>E</t>
  </si>
  <si>
    <t>CONTRACTOR</t>
  </si>
  <si>
    <t>ASER CONSTRUCTION PLC.</t>
  </si>
  <si>
    <t>F</t>
  </si>
  <si>
    <t>DATE OF HAND OVER OF THE SITE</t>
  </si>
  <si>
    <t>G</t>
  </si>
  <si>
    <t>COMMENCEMENT DATE</t>
  </si>
  <si>
    <t>H</t>
  </si>
  <si>
    <t>REVISED CONTRACT DURATION</t>
  </si>
  <si>
    <t>I</t>
  </si>
  <si>
    <t>ORIGINAL COMPLETION DATE</t>
  </si>
  <si>
    <t>J</t>
  </si>
  <si>
    <t>REVISED COMPLETION DATE</t>
  </si>
  <si>
    <t>K</t>
  </si>
  <si>
    <t>REVISED CONTRACT AMOUNT(Pay Items)</t>
  </si>
  <si>
    <t>L</t>
  </si>
  <si>
    <t>REVISED CONTRACT AMOUNT(With Vat )</t>
  </si>
  <si>
    <t>M</t>
  </si>
  <si>
    <t>VALUE OF WORK EXECUTED DURING</t>
  </si>
  <si>
    <t>THE REPORTING PERIOD</t>
  </si>
  <si>
    <t>IN PERCENT</t>
  </si>
  <si>
    <t>%</t>
  </si>
  <si>
    <t>TODATE</t>
  </si>
  <si>
    <t>ETB</t>
  </si>
  <si>
    <t>N</t>
  </si>
  <si>
    <t>PROJECT EXPENSE</t>
  </si>
  <si>
    <t>THIS PERIOD</t>
  </si>
  <si>
    <t>TO DATE</t>
  </si>
  <si>
    <t>O</t>
  </si>
  <si>
    <t>TOTAL TIME ELAPSED TO DATE</t>
  </si>
  <si>
    <t>IN DAYS</t>
  </si>
  <si>
    <t xml:space="preserve"> DAYS</t>
  </si>
  <si>
    <t>P</t>
  </si>
  <si>
    <t>SLIPPAGE WITH RESPECT TO TIME ELAPSED</t>
  </si>
  <si>
    <t>TO DATE IN PERCENT</t>
  </si>
  <si>
    <t>Q</t>
  </si>
  <si>
    <t xml:space="preserve"> MATERIAL ADVANCE TAKEN</t>
  </si>
  <si>
    <t>AMOUNT RECEIVED</t>
  </si>
  <si>
    <t xml:space="preserve">RECOVERD </t>
  </si>
  <si>
    <t>REMAINED</t>
  </si>
  <si>
    <t>EQUIPMENT ADVANCE TAKEN</t>
  </si>
  <si>
    <t>S</t>
  </si>
  <si>
    <t>PRICE ESCALATION</t>
  </si>
  <si>
    <t xml:space="preserve">Income </t>
  </si>
  <si>
    <t>Bill No.</t>
  </si>
  <si>
    <t>Bill Item</t>
  </si>
  <si>
    <t>Previous</t>
  </si>
  <si>
    <t>This Week</t>
  </si>
  <si>
    <t xml:space="preserve">Todate </t>
  </si>
  <si>
    <t>Grand Total  Income</t>
  </si>
  <si>
    <t xml:space="preserve">Sub Contractor Expenses </t>
  </si>
  <si>
    <t xml:space="preserve">Description </t>
  </si>
  <si>
    <t>Total</t>
  </si>
  <si>
    <t xml:space="preserve">Expenses </t>
  </si>
  <si>
    <t>A . DIRECT COSTS</t>
  </si>
  <si>
    <t xml:space="preserve"> LABOUR</t>
  </si>
  <si>
    <t>Manpower:-</t>
  </si>
  <si>
    <t>1.1.1</t>
  </si>
  <si>
    <t>Permanent</t>
  </si>
  <si>
    <t>1.1.2</t>
  </si>
  <si>
    <t>Temporary</t>
  </si>
  <si>
    <t>Sub total (1)</t>
  </si>
  <si>
    <r>
      <t xml:space="preserve">CONSTRUCTION MATERIAL </t>
    </r>
    <r>
      <rPr>
        <sz val="12"/>
        <rFont val="Times New Roman"/>
        <family val="1"/>
      </rPr>
      <t>(Detail of major items)</t>
    </r>
  </si>
  <si>
    <t>2.1 Cement</t>
  </si>
  <si>
    <t>2.2 Concrete</t>
  </si>
  <si>
    <t>2.3 Sand</t>
  </si>
  <si>
    <t>2.4 Aggregate</t>
  </si>
  <si>
    <t>2.5  AC</t>
  </si>
  <si>
    <t>2.6 Others</t>
  </si>
  <si>
    <t>Sub total (2)</t>
  </si>
  <si>
    <t xml:space="preserve"> EQUIPMENT  &amp; MACHINERY </t>
  </si>
  <si>
    <t>Rental Expence (OWNED)</t>
  </si>
  <si>
    <t>Rental Expence (RENTAL)</t>
  </si>
  <si>
    <t xml:space="preserve">Fuel </t>
  </si>
  <si>
    <t>Lubricant</t>
  </si>
  <si>
    <t>Spare part &amp; Maintenance</t>
  </si>
  <si>
    <t>Sub total (3)</t>
  </si>
  <si>
    <t>Office supplies</t>
  </si>
  <si>
    <t xml:space="preserve">Miscellaneous </t>
  </si>
  <si>
    <t>Sub total (4&amp;5)</t>
  </si>
  <si>
    <t>TOTAL DIRECT COST</t>
  </si>
  <si>
    <t>B. INDIRECT COSTS</t>
  </si>
  <si>
    <t>PROJECT OVERHEAD</t>
  </si>
  <si>
    <t>HEAD OFFICE OVERHEAD</t>
  </si>
  <si>
    <t>TOTAL INDIRECT COST</t>
  </si>
  <si>
    <t>TOTAL EXPENSE</t>
  </si>
  <si>
    <t>PROFIT ( LOSS )</t>
  </si>
  <si>
    <t>Executed Quantity</t>
  </si>
  <si>
    <t>Executed Amount</t>
  </si>
  <si>
    <t>Pay Item</t>
  </si>
  <si>
    <t>Description</t>
  </si>
  <si>
    <t>Unit</t>
  </si>
  <si>
    <t>Contract Quantity</t>
  </si>
  <si>
    <t>Rate (ETB)</t>
  </si>
  <si>
    <t xml:space="preserve"> Contract Amount  (ETB)</t>
  </si>
  <si>
    <t>Priviously</t>
  </si>
  <si>
    <t xml:space="preserve"> This Week </t>
  </si>
  <si>
    <t>To Date</t>
  </si>
  <si>
    <t xml:space="preserve">Priviously </t>
  </si>
  <si>
    <t xml:space="preserve">This Week </t>
  </si>
  <si>
    <t xml:space="preserve">To Date </t>
  </si>
  <si>
    <t>Pavement work</t>
  </si>
  <si>
    <t>No.</t>
  </si>
  <si>
    <t>Type of Activities</t>
  </si>
  <si>
    <t xml:space="preserve">Unit </t>
  </si>
  <si>
    <t>Plan for this week</t>
  </si>
  <si>
    <t>Planned Hr.</t>
  </si>
  <si>
    <t>Executed Hr.</t>
  </si>
  <si>
    <t xml:space="preserve">% of Hr. </t>
  </si>
  <si>
    <t>Executed this week</t>
  </si>
  <si>
    <t>Output (m3/hr)</t>
  </si>
  <si>
    <t xml:space="preserve">Next week Plan </t>
  </si>
  <si>
    <t xml:space="preserve">Crew </t>
  </si>
  <si>
    <t>Qty</t>
  </si>
  <si>
    <t>Station</t>
  </si>
  <si>
    <t>Executed Qty</t>
  </si>
  <si>
    <t>Planed Qty</t>
  </si>
  <si>
    <t>% Acc.</t>
  </si>
  <si>
    <t>Hr</t>
  </si>
  <si>
    <t xml:space="preserve">PRODUCTION </t>
  </si>
  <si>
    <t xml:space="preserve">LABOUR &amp; EQUIPMENT </t>
  </si>
  <si>
    <t>Machine hour &amp; Out put</t>
  </si>
  <si>
    <t xml:space="preserve">MATERIAL CONSUMPTION </t>
  </si>
  <si>
    <t>S/N</t>
  </si>
  <si>
    <t xml:space="preserve">Crew Name / ID </t>
  </si>
  <si>
    <t xml:space="preserve">Activity </t>
  </si>
  <si>
    <t>Planned Qty This week</t>
  </si>
  <si>
    <t>Executed Qty This week</t>
  </si>
  <si>
    <t>UF</t>
  </si>
  <si>
    <t>Weekly Project Hours</t>
  </si>
  <si>
    <t xml:space="preserve">Actual Man Hours This Period </t>
  </si>
  <si>
    <t>Equipment</t>
  </si>
  <si>
    <t>Model/plate No.</t>
  </si>
  <si>
    <t>Weekly Plan machine  Hour</t>
  </si>
  <si>
    <t xml:space="preserve">weekly Actual Machine Hours  </t>
  </si>
  <si>
    <t>Planned Weekly Output Rate</t>
  </si>
  <si>
    <t>Weekly Output Rate</t>
  </si>
  <si>
    <t>Utlized Construction Material &amp; Resources (Conc,fuel, etc..)</t>
  </si>
  <si>
    <t xml:space="preserve">Qty </t>
  </si>
  <si>
    <t>Note:</t>
  </si>
  <si>
    <t>If there is any missed items to be included you should incorporate it and the machinery hour should be specified independently per assigned type of work  and the material, resource consumed should be specified independently.</t>
  </si>
  <si>
    <t>MANPOWER EXPENSE REPORT</t>
  </si>
  <si>
    <t xml:space="preserve">Permanent Employees </t>
  </si>
  <si>
    <t>No</t>
  </si>
  <si>
    <t>Section</t>
  </si>
  <si>
    <t xml:space="preserve">Available No </t>
  </si>
  <si>
    <t>Total  Salary</t>
  </si>
  <si>
    <t xml:space="preserve">Overtime  </t>
  </si>
  <si>
    <t xml:space="preserve">Previous </t>
  </si>
  <si>
    <t>Project Manager Office</t>
  </si>
  <si>
    <t>Office Engineering</t>
  </si>
  <si>
    <t>Construction Crew</t>
  </si>
  <si>
    <t>Equipment Adminstration</t>
  </si>
  <si>
    <t>Adminstration and Finance</t>
  </si>
  <si>
    <t xml:space="preserve">Temporary Employees </t>
  </si>
  <si>
    <t>Wage</t>
  </si>
  <si>
    <t xml:space="preserve">Construction Crew </t>
  </si>
  <si>
    <t>Adminstration and Supply</t>
  </si>
  <si>
    <t>Other</t>
  </si>
  <si>
    <t>Grand Total</t>
  </si>
  <si>
    <t>Employee Benefits</t>
  </si>
  <si>
    <t>Amount</t>
  </si>
  <si>
    <t>Transport Allowance</t>
  </si>
  <si>
    <t>Project Allowance</t>
  </si>
  <si>
    <t xml:space="preserve">Mobile Allowance </t>
  </si>
  <si>
    <t>Compensation and Leave Pay</t>
  </si>
  <si>
    <t>Training and Tution fee</t>
  </si>
  <si>
    <t>Cash Indemnity</t>
  </si>
  <si>
    <t>Perdiem</t>
  </si>
  <si>
    <t>Bonus</t>
  </si>
  <si>
    <t>Special Allowance</t>
  </si>
  <si>
    <t>Entertainment</t>
  </si>
  <si>
    <t>Remark ;-</t>
  </si>
  <si>
    <t>Subcontract work</t>
  </si>
  <si>
    <t>Rate</t>
  </si>
  <si>
    <t>Material Utilization Report</t>
  </si>
  <si>
    <t>Unit
 Price</t>
  </si>
  <si>
    <t>In Quantity</t>
  </si>
  <si>
    <t>In  Amount/Birr</t>
  </si>
  <si>
    <t>Beg.
 Balance</t>
  </si>
  <si>
    <t xml:space="preserve">Purches
</t>
  </si>
  <si>
    <t>Transfer
 In/
Return</t>
  </si>
  <si>
    <t>Issued</t>
  </si>
  <si>
    <t>Trans.
 Out</t>
  </si>
  <si>
    <t>Ending
 Balance</t>
  </si>
  <si>
    <t>Beig.
Balance</t>
  </si>
  <si>
    <t>Trans.
In</t>
  </si>
  <si>
    <t>Trans.
Out</t>
  </si>
  <si>
    <t>Equipment Type</t>
  </si>
  <si>
    <t>Mark</t>
  </si>
  <si>
    <t>Arrival date</t>
  </si>
  <si>
    <t>Day</t>
  </si>
  <si>
    <t>O/H</t>
  </si>
  <si>
    <t>Idle</t>
  </si>
  <si>
    <t>Down</t>
  </si>
  <si>
    <t xml:space="preserve">Daily Fuel Con. </t>
  </si>
  <si>
    <t>FU</t>
  </si>
  <si>
    <t>AD &amp; MO</t>
  </si>
  <si>
    <t>OP</t>
  </si>
  <si>
    <t>WC</t>
  </si>
  <si>
    <t>MS</t>
  </si>
  <si>
    <t>WP</t>
  </si>
  <si>
    <t>UR</t>
  </si>
  <si>
    <t>OWN</t>
  </si>
  <si>
    <t>Rental</t>
  </si>
  <si>
    <t>FU= fuel case</t>
  </si>
  <si>
    <t>WC=weather condition</t>
  </si>
  <si>
    <t>WP=waiting for part</t>
  </si>
  <si>
    <t>AD =activity dependant</t>
  </si>
  <si>
    <t xml:space="preserve"> MO= mobilization</t>
  </si>
  <si>
    <t>Ms=Miscellaneous</t>
  </si>
  <si>
    <t>.</t>
  </si>
  <si>
    <t>S.N.</t>
  </si>
  <si>
    <t>Type of Equipment</t>
  </si>
  <si>
    <t>Model</t>
  </si>
  <si>
    <t>Plate No.</t>
  </si>
  <si>
    <t>UnIt</t>
  </si>
  <si>
    <t>Rental Rate</t>
  </si>
  <si>
    <t>Pland Operation Hr</t>
  </si>
  <si>
    <t>Amount (Birr)</t>
  </si>
  <si>
    <t>Actual  Operation Hr</t>
  </si>
  <si>
    <t>Total Own Equipment Amount</t>
  </si>
  <si>
    <t>RENTAL</t>
  </si>
  <si>
    <t>Total Rental Equipment Amount</t>
  </si>
  <si>
    <t>SN</t>
  </si>
  <si>
    <t>Equipment Description</t>
  </si>
  <si>
    <t>SRL/Plate No.</t>
  </si>
  <si>
    <t>SMR Start of Week</t>
  </si>
  <si>
    <t>SMR End of Week</t>
  </si>
  <si>
    <t>Total  hourly /km</t>
  </si>
  <si>
    <t>Fuel Qty(Lt)</t>
  </si>
  <si>
    <t>Consumption Rate</t>
  </si>
  <si>
    <t>Standard Consumption Rate</t>
  </si>
  <si>
    <t>Consumption Vs Standard</t>
  </si>
  <si>
    <r>
      <t>Serial or Plate N</t>
    </r>
    <r>
      <rPr>
        <u/>
        <sz val="10"/>
        <rFont val="Times New Roman"/>
        <family val="1"/>
      </rPr>
      <t>o</t>
    </r>
  </si>
  <si>
    <t>Standard Fuel Cnsptn Per Hr/</t>
  </si>
  <si>
    <t>unit price/ltr</t>
  </si>
  <si>
    <t xml:space="preserve">Fuel Consumption </t>
  </si>
  <si>
    <t xml:space="preserve">Remark </t>
  </si>
  <si>
    <t>Actual</t>
  </si>
  <si>
    <t>Amt</t>
  </si>
  <si>
    <t>Own Equipment</t>
  </si>
  <si>
    <t>Own Equipment Fuel Consumption Amount</t>
  </si>
  <si>
    <t>Rental  Equipment Fuel consumption amount</t>
  </si>
  <si>
    <t>KM</t>
  </si>
  <si>
    <t>Unit Rate Km/m3</t>
  </si>
  <si>
    <t>0 - 1.5 Km</t>
  </si>
  <si>
    <t>birr</t>
  </si>
  <si>
    <t>1.6 - 3 Km</t>
  </si>
  <si>
    <t>3.1 - 7 Km</t>
  </si>
  <si>
    <t>7.1 - 10 Km</t>
  </si>
  <si>
    <t>10.1 -15 Km</t>
  </si>
  <si>
    <t>15.1 - 26 Km</t>
  </si>
  <si>
    <t>Plate no.</t>
  </si>
  <si>
    <t>loading capacity  (M3)</t>
  </si>
  <si>
    <t>Total weekly amount</t>
  </si>
  <si>
    <t>Fuel expence</t>
  </si>
  <si>
    <t>Total quantity this week in m3</t>
  </si>
  <si>
    <t>Km*trip</t>
  </si>
  <si>
    <t xml:space="preserve">Base course </t>
  </si>
  <si>
    <t>borrow</t>
  </si>
  <si>
    <t>G-20</t>
  </si>
  <si>
    <t>GWC</t>
  </si>
  <si>
    <t>Stone,sand,selected material &amp;Agg</t>
  </si>
  <si>
    <t>Waste</t>
  </si>
  <si>
    <t>Sr.No.</t>
  </si>
  <si>
    <t>Station (km)</t>
  </si>
  <si>
    <t>Lemgth(m)</t>
  </si>
  <si>
    <t>Design status</t>
  </si>
  <si>
    <t xml:space="preserve">Working drawing submission status </t>
  </si>
  <si>
    <t xml:space="preserve">Working drawing approval status </t>
  </si>
  <si>
    <t xml:space="preserve">Construction status </t>
  </si>
  <si>
    <t xml:space="preserve">Status </t>
  </si>
  <si>
    <t>Ref.</t>
  </si>
  <si>
    <t xml:space="preserve">backfill </t>
  </si>
  <si>
    <t>Design Quantity</t>
  </si>
  <si>
    <t xml:space="preserve">Design </t>
  </si>
  <si>
    <t>Type of structure</t>
  </si>
  <si>
    <t>No. Cell</t>
  </si>
  <si>
    <t>Width (m)</t>
  </si>
  <si>
    <t>Height (m)</t>
  </si>
  <si>
    <t>Length</t>
  </si>
  <si>
    <t>Dia. (m)</t>
  </si>
  <si>
    <t>Construction Status</t>
  </si>
  <si>
    <t>Original</t>
  </si>
  <si>
    <t>Revised</t>
  </si>
  <si>
    <t>Income Vs Expense summary</t>
  </si>
  <si>
    <t>Crew Formation</t>
  </si>
  <si>
    <t>Weekly Machinery Fuel Cost</t>
  </si>
  <si>
    <t>Renta Dump Truck Rent cost</t>
  </si>
  <si>
    <t>Work load by Bill Item (Activity &amp; Finance)</t>
  </si>
  <si>
    <t>Manpower Expence</t>
  </si>
  <si>
    <t>Material Expence</t>
  </si>
  <si>
    <t>Form</t>
  </si>
  <si>
    <t>Titel</t>
  </si>
  <si>
    <t>Doc. No.</t>
  </si>
  <si>
    <t>Issue. No.</t>
  </si>
  <si>
    <t>አሰር ኮንስትራክሽን ኃ.የተ.የግ.ማ                                                                                  ASER CONSTRUCTION P.L.C</t>
  </si>
  <si>
    <t>አሰር ኮንስትራክሽን ኃ.የተ.የግ.ማ                                                                                                                                                   ASER CONSTRUCTION P.L.C</t>
  </si>
  <si>
    <t>አሰር ኮንስትራክሽን ኃ.የተ.የግ.ማ                                                                                                                                ASER CONSTRUCTION P.L.C</t>
  </si>
  <si>
    <t>Issue No.</t>
  </si>
  <si>
    <t>Doc .No.</t>
  </si>
  <si>
    <t>Project name</t>
  </si>
  <si>
    <t>OF/COD/001</t>
  </si>
  <si>
    <t>OF/COD/002</t>
  </si>
  <si>
    <t>OF/COD/003</t>
  </si>
  <si>
    <t>OF/COD/005</t>
  </si>
  <si>
    <t>OF/COD/006</t>
  </si>
  <si>
    <t>OF/COD/007</t>
  </si>
  <si>
    <t>OF/COD/008</t>
  </si>
  <si>
    <t>OF/COD/009</t>
  </si>
  <si>
    <t>OF/COD/011</t>
  </si>
  <si>
    <t>OF/COD/012</t>
  </si>
  <si>
    <t>OF/COD/013</t>
  </si>
  <si>
    <t>OF/COD/014</t>
  </si>
  <si>
    <t>OF/COD/015</t>
  </si>
  <si>
    <t>OF/COD/016</t>
  </si>
  <si>
    <t>OF/COD/017</t>
  </si>
  <si>
    <t xml:space="preserve"> PROBLEM  ENCOUNTERED  REPORT</t>
  </si>
  <si>
    <t>Contractual matters report</t>
  </si>
  <si>
    <t xml:space="preserve"> Financial Progress Report</t>
  </si>
  <si>
    <t xml:space="preserve"> INCOME - EXPENSE  SUMMARY REPORT</t>
  </si>
  <si>
    <t xml:space="preserve"> Plan vs Execution Evaluation  </t>
  </si>
  <si>
    <t xml:space="preserve">Crew Formation and Output Evaluation </t>
  </si>
  <si>
    <t xml:space="preserve">MACHINERY  COST REPORT </t>
  </si>
  <si>
    <t>Machinery Fuel Consumption and Evaluation report</t>
  </si>
  <si>
    <t xml:space="preserve"> Machinery Fuel Cost Report</t>
  </si>
  <si>
    <t>Rental dump-truck dumping Qty and Rent cost</t>
  </si>
  <si>
    <t xml:space="preserve"> Roadway Template Design Status Report </t>
  </si>
  <si>
    <t xml:space="preserve">Box/slab Culvert Design Status Report </t>
  </si>
  <si>
    <t xml:space="preserve"> Pipe Culvert Design Status Report </t>
  </si>
  <si>
    <t>Week Period from  ----------- To ----------</t>
  </si>
  <si>
    <t>አሰር ኮንስትራክሽን ኃ//የተ/የግ/ማህበር</t>
  </si>
  <si>
    <t>Aser Construction PLC</t>
  </si>
  <si>
    <t>Project name __________________________</t>
  </si>
  <si>
    <t>Man power</t>
  </si>
  <si>
    <t xml:space="preserve">Purchsed
</t>
  </si>
  <si>
    <r>
      <t>Serial or Plate N</t>
    </r>
    <r>
      <rPr>
        <u/>
        <sz val="8"/>
        <rFont val="Times New Roman"/>
        <family val="1"/>
      </rPr>
      <t>o</t>
    </r>
  </si>
  <si>
    <t>1 of  1</t>
  </si>
  <si>
    <t>Sr.No</t>
  </si>
</sst>
</file>

<file path=xl/styles.xml><?xml version="1.0" encoding="utf-8"?>
<styleSheet xmlns="http://schemas.openxmlformats.org/spreadsheetml/2006/main" xmlns:mc="http://schemas.openxmlformats.org/markup-compatibility/2006" xmlns:x14ac="http://schemas.microsoft.com/office/spreadsheetml/2009/9/ac" mc:Ignorable="x14ac">
  <numFmts count="30">
    <numFmt numFmtId="41" formatCode="_-* #,##0_-;\-* #,##0_-;_-* &quot;-&quot;_-;_-@_-"/>
    <numFmt numFmtId="43" formatCode="_-* #,##0.00_-;\-* #,##0.00_-;_-* &quot;-&quot;??_-;_-@_-"/>
    <numFmt numFmtId="164" formatCode="_(* #,##0_);_(* \(#,##0\);_(* &quot;-&quot;_);_(@_)"/>
    <numFmt numFmtId="165" formatCode="_(&quot;$&quot;* #,##0.00_);_(&quot;$&quot;* \(#,##0.00\);_(&quot;$&quot;* &quot;-&quot;??_);_(@_)"/>
    <numFmt numFmtId="166" formatCode="_(* #,##0.00_);_(* \(#,##0.00\);_(* &quot;-&quot;??_);_(@_)"/>
    <numFmt numFmtId="167" formatCode="_(* #,##0_);_(* \(#,##0\);_(* &quot;-&quot;?_);_(@_)"/>
    <numFmt numFmtId="168" formatCode="_ * #,##0_ ;_ * \-#,##0_ ;_ * &quot;-&quot;_ ;_ @_ "/>
    <numFmt numFmtId="169" formatCode="[$-409]mmmm\-yy;@"/>
    <numFmt numFmtId="170" formatCode="_(* #,##0_);_(* \(#,##0\);_(* &quot;-&quot;??_);_(@_)"/>
    <numFmt numFmtId="171" formatCode="0.0%"/>
    <numFmt numFmtId="172" formatCode="0.000000%"/>
    <numFmt numFmtId="173" formatCode="_ * #,##0.00_ ;_ * \-#,##0.00_ ;_ * &quot;-&quot;??_ ;_ @_ "/>
    <numFmt numFmtId="174" formatCode="0.00000"/>
    <numFmt numFmtId="175" formatCode="0.00;[Red]0.00"/>
    <numFmt numFmtId="176" formatCode="0.00&quot;km&quot;"/>
    <numFmt numFmtId="177" formatCode="0.000"/>
    <numFmt numFmtId="178" formatCode="#,##0;&quot;\&quot;&quot;\&quot;&quot;\&quot;&quot;\&quot;\(#,##0&quot;\&quot;&quot;\&quot;&quot;\&quot;&quot;\&quot;\)"/>
    <numFmt numFmtId="179" formatCode="_ &quot;¥&quot;* #,##0.00_ ;_ &quot;¥&quot;* \-#,##0.00_ ;_ &quot;¥&quot;* &quot;-&quot;??_ ;_ @_ "/>
    <numFmt numFmtId="180" formatCode="&quot;\&quot;&quot;\&quot;&quot;\&quot;&quot;\&quot;\$#,##0;&quot;\&quot;&quot;\&quot;&quot;\&quot;&quot;\&quot;\(&quot;\&quot;&quot;\&quot;&quot;\&quot;&quot;\&quot;\$#,##0&quot;\&quot;&quot;\&quot;&quot;\&quot;&quot;\&quot;\)"/>
    <numFmt numFmtId="181" formatCode="0\+000.00"/>
    <numFmt numFmtId="182" formatCode="0.0000%"/>
    <numFmt numFmtId="183" formatCode="0.0"/>
    <numFmt numFmtId="184" formatCode="#,##0.00_);\!\(#,##0.00\!\)"/>
    <numFmt numFmtId="185" formatCode="_(* #,##0.0_);_(* \(#,##0.0\);_(* &quot;-&quot;??_);_(@_)"/>
    <numFmt numFmtId="186" formatCode="[$-409]d\-mmm\-yy;@"/>
    <numFmt numFmtId="187" formatCode="[$-F800]dddd\,\ mmmm\ dd\,\ yyyy"/>
    <numFmt numFmtId="188" formatCode="0000"/>
    <numFmt numFmtId="189" formatCode="m/d/yy;@"/>
    <numFmt numFmtId="190" formatCode="00000"/>
    <numFmt numFmtId="191" formatCode="0\+000"/>
  </numFmts>
  <fonts count="13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바탕체"/>
      <family val="1"/>
      <charset val="129"/>
    </font>
    <font>
      <sz val="10"/>
      <name val="Arial"/>
      <family val="2"/>
    </font>
    <font>
      <sz val="11"/>
      <name val="돋움"/>
      <family val="3"/>
      <charset val="129"/>
    </font>
    <font>
      <sz val="11"/>
      <name val="돋움"/>
      <family val="2"/>
      <charset val="129"/>
    </font>
    <font>
      <sz val="12"/>
      <name val="宋体"/>
      <charset val="134"/>
    </font>
    <font>
      <sz val="11"/>
      <color rgb="FF000000"/>
      <name val="Calibri"/>
      <family val="2"/>
    </font>
    <font>
      <sz val="11"/>
      <color indexed="8"/>
      <name val="宋体"/>
      <family val="3"/>
      <charset val="134"/>
    </font>
    <font>
      <sz val="11"/>
      <color indexed="8"/>
      <name val="宋体"/>
      <charset val="134"/>
    </font>
    <font>
      <sz val="11"/>
      <color indexed="9"/>
      <name val="宋体"/>
      <family val="3"/>
      <charset val="134"/>
    </font>
    <font>
      <sz val="11"/>
      <color indexed="9"/>
      <name val="宋体"/>
      <charset val="134"/>
    </font>
    <font>
      <sz val="11"/>
      <color indexed="8"/>
      <name val="Calibri"/>
      <family val="2"/>
    </font>
    <font>
      <sz val="11"/>
      <color indexed="9"/>
      <name val="Calibri"/>
      <family val="2"/>
    </font>
    <font>
      <sz val="12"/>
      <name val="¹ÙÅÁÃ¼"/>
      <family val="1"/>
      <charset val="129"/>
    </font>
    <font>
      <sz val="12"/>
      <name val="¹UAAA¼"/>
      <family val="1"/>
      <charset val="129"/>
    </font>
    <font>
      <sz val="11"/>
      <color indexed="16"/>
      <name val="Calibri"/>
      <family val="2"/>
    </font>
    <font>
      <sz val="12"/>
      <name val="±¼¸²Ã¼"/>
      <family val="3"/>
      <charset val="129"/>
    </font>
    <font>
      <b/>
      <sz val="11"/>
      <color indexed="53"/>
      <name val="Calibri"/>
      <family val="2"/>
    </font>
    <font>
      <b/>
      <sz val="11"/>
      <color indexed="9"/>
      <name val="Calibri"/>
      <family val="2"/>
    </font>
    <font>
      <sz val="10"/>
      <name val="Bookman Old Style"/>
      <family val="1"/>
    </font>
    <font>
      <sz val="12"/>
      <name val="宋体"/>
      <family val="3"/>
      <charset val="134"/>
    </font>
    <font>
      <sz val="12"/>
      <name val="Times New Roman"/>
      <family val="1"/>
    </font>
    <font>
      <sz val="10"/>
      <name val="굴림"/>
      <family val="3"/>
      <charset val="129"/>
    </font>
    <font>
      <sz val="10"/>
      <name val="Times New Roman"/>
      <family val="1"/>
    </font>
    <font>
      <b/>
      <sz val="11"/>
      <color indexed="8"/>
      <name val="Calibri"/>
      <family val="2"/>
    </font>
    <font>
      <sz val="11"/>
      <color indexed="17"/>
      <name val="Calibri"/>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1"/>
      <color indexed="52"/>
      <name val="Calibri"/>
      <family val="2"/>
    </font>
    <font>
      <sz val="11"/>
      <color indexed="60"/>
      <name val="Calibri"/>
      <family val="2"/>
    </font>
    <font>
      <sz val="11"/>
      <name val="Calibri"/>
      <family val="2"/>
    </font>
    <font>
      <b/>
      <sz val="11"/>
      <color indexed="63"/>
      <name val="Calibri"/>
      <family val="2"/>
    </font>
    <font>
      <b/>
      <sz val="18"/>
      <color indexed="62"/>
      <name val="Cambria"/>
      <family val="2"/>
    </font>
    <font>
      <sz val="10"/>
      <name val="Helv"/>
      <family val="2"/>
    </font>
    <font>
      <sz val="11"/>
      <color indexed="10"/>
      <name val="Calibri"/>
      <family val="2"/>
    </font>
    <font>
      <i/>
      <outline/>
      <shadow/>
      <u/>
      <sz val="1"/>
      <color indexed="24"/>
      <name val="Courier"/>
      <family val="3"/>
    </font>
    <font>
      <u/>
      <sz val="11"/>
      <color indexed="36"/>
      <name val="돋움"/>
      <family val="3"/>
      <charset val="129"/>
    </font>
    <font>
      <sz val="12"/>
      <name val="뼻뮝"/>
      <family val="1"/>
      <charset val="129"/>
    </font>
    <font>
      <b/>
      <sz val="12"/>
      <color indexed="8"/>
      <name val="돋움체"/>
      <family val="3"/>
      <charset val="129"/>
    </font>
    <font>
      <sz val="12"/>
      <name val="바탕체"/>
      <family val="3"/>
      <charset val="129"/>
    </font>
    <font>
      <sz val="11"/>
      <color indexed="17"/>
      <name val="宋体"/>
      <family val="3"/>
      <charset val="134"/>
    </font>
    <font>
      <sz val="11"/>
      <color indexed="17"/>
      <name val="宋体"/>
      <charset val="134"/>
    </font>
    <font>
      <sz val="11"/>
      <color indexed="20"/>
      <name val="宋体"/>
      <family val="3"/>
      <charset val="134"/>
    </font>
    <font>
      <sz val="11"/>
      <color indexed="20"/>
      <name val="宋体"/>
      <charset val="134"/>
    </font>
    <font>
      <sz val="11"/>
      <color theme="1"/>
      <name val="华文行楷"/>
      <charset val="134"/>
    </font>
    <font>
      <b/>
      <sz val="18"/>
      <color indexed="56"/>
      <name val="宋体"/>
      <family val="3"/>
      <charset val="134"/>
    </font>
    <font>
      <b/>
      <sz val="15"/>
      <color indexed="56"/>
      <name val="宋体"/>
      <family val="3"/>
      <charset val="134"/>
    </font>
    <font>
      <b/>
      <sz val="15"/>
      <color indexed="56"/>
      <name val="宋体"/>
      <charset val="134"/>
    </font>
    <font>
      <b/>
      <sz val="13"/>
      <color indexed="56"/>
      <name val="宋体"/>
      <family val="3"/>
      <charset val="134"/>
    </font>
    <font>
      <b/>
      <sz val="13"/>
      <color indexed="56"/>
      <name val="宋体"/>
      <charset val="134"/>
    </font>
    <font>
      <b/>
      <sz val="11"/>
      <color indexed="56"/>
      <name val="宋体"/>
      <family val="3"/>
      <charset val="134"/>
    </font>
    <font>
      <b/>
      <sz val="11"/>
      <color indexed="56"/>
      <name val="宋体"/>
      <charset val="134"/>
    </font>
    <font>
      <b/>
      <sz val="18"/>
      <color indexed="56"/>
      <name val="宋体"/>
      <charset val="134"/>
    </font>
    <font>
      <b/>
      <sz val="11"/>
      <color indexed="9"/>
      <name val="宋体"/>
      <family val="3"/>
      <charset val="134"/>
    </font>
    <font>
      <b/>
      <sz val="11"/>
      <color indexed="9"/>
      <name val="宋体"/>
      <charset val="134"/>
    </font>
    <font>
      <b/>
      <sz val="11"/>
      <color indexed="8"/>
      <name val="宋体"/>
      <family val="3"/>
      <charset val="134"/>
    </font>
    <font>
      <b/>
      <sz val="11"/>
      <color indexed="8"/>
      <name val="宋体"/>
      <charset val="134"/>
    </font>
    <font>
      <i/>
      <sz val="11"/>
      <color indexed="23"/>
      <name val="宋体"/>
      <family val="3"/>
      <charset val="134"/>
    </font>
    <font>
      <i/>
      <sz val="11"/>
      <color indexed="23"/>
      <name val="宋体"/>
      <charset val="134"/>
    </font>
    <font>
      <sz val="11"/>
      <color indexed="10"/>
      <name val="宋体"/>
      <family val="3"/>
      <charset val="134"/>
    </font>
    <font>
      <sz val="11"/>
      <color indexed="10"/>
      <name val="宋体"/>
      <charset val="134"/>
    </font>
    <font>
      <b/>
      <sz val="11"/>
      <color indexed="52"/>
      <name val="宋体"/>
      <family val="3"/>
      <charset val="134"/>
    </font>
    <font>
      <b/>
      <sz val="11"/>
      <color indexed="52"/>
      <name val="宋体"/>
      <charset val="134"/>
    </font>
    <font>
      <sz val="11"/>
      <color indexed="62"/>
      <name val="宋体"/>
      <family val="3"/>
      <charset val="134"/>
    </font>
    <font>
      <sz val="11"/>
      <color indexed="62"/>
      <name val="宋体"/>
      <charset val="134"/>
    </font>
    <font>
      <b/>
      <sz val="11"/>
      <color indexed="63"/>
      <name val="宋体"/>
      <family val="3"/>
      <charset val="134"/>
    </font>
    <font>
      <b/>
      <sz val="11"/>
      <color indexed="63"/>
      <name val="宋体"/>
      <charset val="134"/>
    </font>
    <font>
      <sz val="11"/>
      <color indexed="60"/>
      <name val="宋体"/>
      <family val="3"/>
      <charset val="134"/>
    </font>
    <font>
      <sz val="11"/>
      <color indexed="60"/>
      <name val="宋体"/>
      <charset val="134"/>
    </font>
    <font>
      <sz val="11"/>
      <color indexed="52"/>
      <name val="宋体"/>
      <family val="3"/>
      <charset val="134"/>
    </font>
    <font>
      <sz val="11"/>
      <color indexed="52"/>
      <name val="宋体"/>
      <charset val="134"/>
    </font>
    <font>
      <b/>
      <sz val="12"/>
      <name val="Times New Roman"/>
      <family val="1"/>
    </font>
    <font>
      <b/>
      <i/>
      <u/>
      <sz val="12"/>
      <name val="Times New Roman"/>
      <family val="1"/>
    </font>
    <font>
      <b/>
      <sz val="11"/>
      <name val="Times New Roman"/>
      <family val="1"/>
    </font>
    <font>
      <sz val="11"/>
      <name val="Times New Roman"/>
      <family val="1"/>
    </font>
    <font>
      <b/>
      <sz val="16"/>
      <name val="Times New Roman"/>
      <family val="1"/>
    </font>
    <font>
      <sz val="11"/>
      <color theme="1"/>
      <name val="Times New Roman"/>
      <family val="1"/>
    </font>
    <font>
      <b/>
      <sz val="11"/>
      <color theme="1"/>
      <name val="Times New Roman"/>
      <family val="1"/>
    </font>
    <font>
      <b/>
      <sz val="10"/>
      <name val="Times New Roman"/>
      <family val="1"/>
    </font>
    <font>
      <b/>
      <sz val="10"/>
      <color rgb="FFFF0000"/>
      <name val="Times New Roman"/>
      <family val="1"/>
    </font>
    <font>
      <b/>
      <u/>
      <sz val="12"/>
      <name val="Times New Roman"/>
      <family val="1"/>
    </font>
    <font>
      <b/>
      <sz val="14"/>
      <name val="Times New Roman"/>
      <family val="1"/>
    </font>
    <font>
      <sz val="12"/>
      <color rgb="FF0070C0"/>
      <name val="Times New Roman"/>
      <family val="1"/>
    </font>
    <font>
      <sz val="14"/>
      <name val="Times New Roman"/>
      <family val="1"/>
    </font>
    <font>
      <sz val="11"/>
      <name val="Calibri"/>
      <family val="2"/>
      <scheme val="minor"/>
    </font>
    <font>
      <b/>
      <sz val="14"/>
      <name val="Trebuchet MS"/>
      <family val="2"/>
    </font>
    <font>
      <u/>
      <sz val="10"/>
      <name val="Times New Roman"/>
      <family val="1"/>
    </font>
    <font>
      <sz val="9"/>
      <color theme="1"/>
      <name val="Times New Roman"/>
      <family val="1"/>
    </font>
    <font>
      <b/>
      <sz val="9"/>
      <color theme="1"/>
      <name val="Times New Roman"/>
      <family val="1"/>
    </font>
    <font>
      <b/>
      <sz val="10"/>
      <color theme="1"/>
      <name val="Times New Roman"/>
      <family val="1"/>
    </font>
    <font>
      <b/>
      <sz val="9"/>
      <name val="Times New Roman"/>
      <family val="1"/>
    </font>
    <font>
      <sz val="12"/>
      <color rgb="FF000000"/>
      <name val="Times New Roman"/>
      <family val="1"/>
    </font>
    <font>
      <sz val="12"/>
      <color theme="1"/>
      <name val="Times New Roman"/>
      <family val="1"/>
    </font>
    <font>
      <sz val="8"/>
      <name val="Times New Roman"/>
      <family val="1"/>
    </font>
    <font>
      <b/>
      <sz val="8"/>
      <name val="Times New Roman"/>
      <family val="1"/>
    </font>
    <font>
      <b/>
      <sz val="12"/>
      <color theme="1"/>
      <name val="Times New Roman"/>
      <family val="1"/>
    </font>
    <font>
      <sz val="9"/>
      <name val="Times New Roman"/>
      <family val="1"/>
    </font>
    <font>
      <sz val="8"/>
      <color theme="1"/>
      <name val="Times New Roman"/>
      <family val="1"/>
    </font>
    <font>
      <b/>
      <u/>
      <sz val="16"/>
      <name val="Times New Roman"/>
      <family val="1"/>
    </font>
    <font>
      <sz val="11"/>
      <color theme="0"/>
      <name val="Times New Roman"/>
      <family val="1"/>
    </font>
    <font>
      <sz val="12"/>
      <color theme="0"/>
      <name val="Times New Roman"/>
      <family val="1"/>
    </font>
    <font>
      <b/>
      <sz val="12"/>
      <color theme="0"/>
      <name val="Times New Roman"/>
      <family val="1"/>
    </font>
    <font>
      <sz val="11"/>
      <name val="Trebuchet MS"/>
      <family val="2"/>
    </font>
    <font>
      <sz val="10"/>
      <color theme="1"/>
      <name val="Times New Roman"/>
      <family val="1"/>
    </font>
    <font>
      <sz val="8"/>
      <color theme="1"/>
      <name val="Calibri"/>
      <family val="2"/>
      <scheme val="minor"/>
    </font>
    <font>
      <b/>
      <u/>
      <sz val="14"/>
      <name val="Times New Roman"/>
      <family val="1"/>
    </font>
    <font>
      <sz val="14"/>
      <color theme="1"/>
      <name val="Times New Roman"/>
      <family val="1"/>
    </font>
    <font>
      <i/>
      <sz val="10"/>
      <color theme="1"/>
      <name val="Times New Roman"/>
      <family val="1"/>
    </font>
    <font>
      <i/>
      <sz val="10"/>
      <name val="Times New Roman"/>
      <family val="1"/>
    </font>
    <font>
      <i/>
      <sz val="11"/>
      <color theme="1"/>
      <name val="Times New Roman"/>
      <family val="1"/>
    </font>
    <font>
      <i/>
      <sz val="11"/>
      <name val="Times New Roman"/>
      <family val="1"/>
    </font>
    <font>
      <u/>
      <sz val="8"/>
      <name val="Times New Roman"/>
      <family val="1"/>
    </font>
    <font>
      <b/>
      <i/>
      <sz val="8"/>
      <name val="Times New Roman"/>
      <family val="1"/>
    </font>
    <font>
      <b/>
      <sz val="8"/>
      <color theme="1"/>
      <name val="Times New Roman"/>
      <family val="1"/>
    </font>
    <font>
      <b/>
      <sz val="7"/>
      <color theme="1"/>
      <name val="Times New Roman"/>
      <family val="1"/>
    </font>
    <font>
      <b/>
      <sz val="7"/>
      <name val="Times New Roman"/>
      <family val="1"/>
    </font>
  </fonts>
  <fills count="7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2DCDB"/>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42"/>
        <bgColor indexed="42"/>
      </patternFill>
    </fill>
    <fill>
      <patternFill patternType="solid">
        <fgColor indexed="27"/>
        <bgColor indexed="27"/>
      </patternFill>
    </fill>
    <fill>
      <patternFill patternType="solid">
        <fgColor indexed="49"/>
        <bgColor indexed="49"/>
      </patternFill>
    </fill>
    <fill>
      <patternFill patternType="solid">
        <fgColor indexed="47"/>
        <bgColor indexed="47"/>
      </patternFill>
    </fill>
    <fill>
      <patternFill patternType="solid">
        <fgColor indexed="52"/>
        <bgColor indexed="52"/>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bgColor indexed="43"/>
      </patternFill>
    </fill>
    <fill>
      <patternFill patternType="solid">
        <fgColor indexed="26"/>
      </patternFill>
    </fill>
    <fill>
      <patternFill patternType="solid">
        <fgColor indexed="58"/>
        <bgColor indexed="64"/>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patternFill>
    </fill>
    <fill>
      <patternFill patternType="solid">
        <fgColor indexed="43"/>
      </patternFill>
    </fill>
    <fill>
      <patternFill patternType="solid">
        <fgColor theme="0"/>
        <bgColor indexed="64"/>
      </patternFill>
    </fill>
    <fill>
      <patternFill patternType="solid">
        <fgColor theme="0" tint="-0.14999847407452621"/>
        <bgColor indexed="64"/>
      </patternFill>
    </fill>
  </fills>
  <borders count="2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double">
        <color auto="1"/>
      </left>
      <right style="thin">
        <color auto="1"/>
      </right>
      <top style="double">
        <color auto="1"/>
      </top>
      <bottom style="hair">
        <color auto="1"/>
      </bottom>
      <diagonal/>
    </border>
    <border>
      <left style="thin">
        <color auto="1"/>
      </left>
      <right style="thin">
        <color auto="1"/>
      </right>
      <top style="double">
        <color auto="1"/>
      </top>
      <bottom style="hair">
        <color auto="1"/>
      </bottom>
      <diagonal/>
    </border>
    <border>
      <left style="double">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double">
        <color auto="1"/>
      </right>
      <top style="hair">
        <color auto="1"/>
      </top>
      <bottom style="medium">
        <color indexed="64"/>
      </bottom>
      <diagonal/>
    </border>
    <border>
      <left style="double">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double">
        <color indexed="64"/>
      </right>
      <top style="medium">
        <color auto="1"/>
      </top>
      <bottom style="medium">
        <color auto="1"/>
      </bottom>
      <diagonal/>
    </border>
    <border>
      <left style="double">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double">
        <color indexed="64"/>
      </right>
      <top style="medium">
        <color indexed="64"/>
      </top>
      <bottom style="hair">
        <color indexed="64"/>
      </bottom>
      <diagonal/>
    </border>
    <border>
      <left style="double">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thin">
        <color indexed="64"/>
      </left>
      <right style="double">
        <color indexed="64"/>
      </right>
      <top/>
      <bottom style="hair">
        <color indexed="64"/>
      </bottom>
      <diagonal/>
    </border>
    <border>
      <left style="thin">
        <color auto="1"/>
      </left>
      <right style="double">
        <color auto="1"/>
      </right>
      <top style="hair">
        <color auto="1"/>
      </top>
      <bottom style="hair">
        <color auto="1"/>
      </bottom>
      <diagonal/>
    </border>
    <border>
      <left style="double">
        <color indexed="64"/>
      </left>
      <right style="thin">
        <color indexed="64"/>
      </right>
      <top style="hair">
        <color indexed="64"/>
      </top>
      <bottom/>
      <diagonal/>
    </border>
    <border>
      <left style="thin">
        <color auto="1"/>
      </left>
      <right style="thin">
        <color auto="1"/>
      </right>
      <top style="hair">
        <color auto="1"/>
      </top>
      <bottom/>
      <diagonal/>
    </border>
    <border>
      <left style="double">
        <color indexed="64"/>
      </left>
      <right style="thin">
        <color indexed="64"/>
      </right>
      <top/>
      <bottom style="hair">
        <color indexed="64"/>
      </bottom>
      <diagonal/>
    </border>
    <border>
      <left style="thin">
        <color indexed="64"/>
      </left>
      <right style="double">
        <color indexed="64"/>
      </right>
      <top style="hair">
        <color indexed="64"/>
      </top>
      <bottom/>
      <diagonal/>
    </border>
    <border>
      <left style="thin">
        <color auto="1"/>
      </left>
      <right style="thin">
        <color auto="1"/>
      </right>
      <top/>
      <bottom/>
      <diagonal/>
    </border>
    <border>
      <left style="double">
        <color indexed="64"/>
      </left>
      <right style="thin">
        <color indexed="64"/>
      </right>
      <top/>
      <bottom/>
      <diagonal/>
    </border>
    <border>
      <left/>
      <right style="thin">
        <color auto="1"/>
      </right>
      <top/>
      <bottom style="hair">
        <color auto="1"/>
      </bottom>
      <diagonal/>
    </border>
    <border>
      <left style="thin">
        <color indexed="64"/>
      </left>
      <right/>
      <top style="medium">
        <color indexed="64"/>
      </top>
      <bottom style="hair">
        <color indexed="64"/>
      </bottom>
      <diagonal/>
    </border>
    <border>
      <left/>
      <right style="thin">
        <color auto="1"/>
      </right>
      <top style="medium">
        <color auto="1"/>
      </top>
      <bottom style="hair">
        <color auto="1"/>
      </bottom>
      <diagonal/>
    </border>
    <border>
      <left/>
      <right/>
      <top/>
      <bottom style="medium">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diagonal/>
    </border>
    <border>
      <left style="thin">
        <color auto="1"/>
      </left>
      <right style="thin">
        <color auto="1"/>
      </right>
      <top style="double">
        <color auto="1"/>
      </top>
      <bottom/>
      <diagonal/>
    </border>
    <border>
      <left style="thin">
        <color auto="1"/>
      </left>
      <right/>
      <top style="double">
        <color indexed="64"/>
      </top>
      <bottom/>
      <diagonal/>
    </border>
    <border>
      <left style="thin">
        <color auto="1"/>
      </left>
      <right style="double">
        <color auto="1"/>
      </right>
      <top style="double">
        <color auto="1"/>
      </top>
      <bottom/>
      <diagonal/>
    </border>
    <border>
      <left style="medium">
        <color indexed="64"/>
      </left>
      <right style="medium">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auto="1"/>
      </left>
      <right style="double">
        <color auto="1"/>
      </right>
      <top style="double">
        <color auto="1"/>
      </top>
      <bottom style="thin">
        <color auto="1"/>
      </bottom>
      <diagonal/>
    </border>
    <border>
      <left style="double">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double">
        <color indexed="64"/>
      </right>
      <top style="thin">
        <color auto="1"/>
      </top>
      <bottom style="thin">
        <color auto="1"/>
      </bottom>
      <diagonal/>
    </border>
    <border>
      <left style="double">
        <color indexed="64"/>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indexed="64"/>
      </right>
      <top style="thin">
        <color auto="1"/>
      </top>
      <bottom style="double">
        <color auto="1"/>
      </bottom>
      <diagonal/>
    </border>
    <border>
      <left style="medium">
        <color indexed="64"/>
      </left>
      <right/>
      <top/>
      <bottom/>
      <diagonal/>
    </border>
    <border>
      <left/>
      <right/>
      <top/>
      <bottom style="double">
        <color indexed="64"/>
      </bottom>
      <diagonal/>
    </border>
    <border>
      <left style="double">
        <color indexed="64"/>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double">
        <color indexed="64"/>
      </right>
      <top style="double">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indexed="64"/>
      </left>
      <right style="double">
        <color indexed="64"/>
      </right>
      <top style="thin">
        <color indexed="64"/>
      </top>
      <bottom style="medium">
        <color indexed="64"/>
      </bottom>
      <diagonal/>
    </border>
    <border>
      <left style="double">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double">
        <color auto="1"/>
      </right>
      <top/>
      <bottom style="thin">
        <color indexed="64"/>
      </bottom>
      <diagonal/>
    </border>
    <border>
      <left style="double">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double">
        <color indexed="64"/>
      </right>
      <top/>
      <bottom style="medium">
        <color indexed="64"/>
      </bottom>
      <diagonal/>
    </border>
    <border>
      <left style="double">
        <color indexed="64"/>
      </left>
      <right/>
      <top/>
      <bottom style="double">
        <color indexed="64"/>
      </bottom>
      <diagonal/>
    </border>
    <border>
      <left style="thin">
        <color indexed="64"/>
      </left>
      <right/>
      <top style="double">
        <color indexed="64"/>
      </top>
      <bottom style="thin">
        <color indexed="64"/>
      </bottom>
      <diagonal/>
    </border>
    <border>
      <left/>
      <right style="thin">
        <color auto="1"/>
      </right>
      <top style="double">
        <color indexed="64"/>
      </top>
      <bottom style="thin">
        <color auto="1"/>
      </bottom>
      <diagonal/>
    </border>
    <border>
      <left/>
      <right/>
      <top style="double">
        <color indexed="64"/>
      </top>
      <bottom/>
      <diagonal/>
    </border>
    <border>
      <left/>
      <right style="thin">
        <color auto="1"/>
      </right>
      <top style="double">
        <color indexed="64"/>
      </top>
      <bottom/>
      <diagonal/>
    </border>
    <border>
      <left/>
      <right/>
      <top style="double">
        <color indexed="64"/>
      </top>
      <bottom style="thin">
        <color indexed="64"/>
      </bottom>
      <diagonal/>
    </border>
    <border>
      <left style="medium">
        <color auto="1"/>
      </left>
      <right style="thin">
        <color auto="1"/>
      </right>
      <top style="medium">
        <color auto="1"/>
      </top>
      <bottom style="dashed">
        <color auto="1"/>
      </bottom>
      <diagonal/>
    </border>
    <border>
      <left style="thin">
        <color auto="1"/>
      </left>
      <right style="thin">
        <color auto="1"/>
      </right>
      <top style="medium">
        <color auto="1"/>
      </top>
      <bottom style="dashed">
        <color auto="1"/>
      </bottom>
      <diagonal/>
    </border>
    <border>
      <left style="medium">
        <color auto="1"/>
      </left>
      <right style="thin">
        <color auto="1"/>
      </right>
      <top style="dashed">
        <color auto="1"/>
      </top>
      <bottom style="dashed">
        <color auto="1"/>
      </bottom>
      <diagonal/>
    </border>
    <border>
      <left style="thin">
        <color indexed="64"/>
      </left>
      <right style="thin">
        <color indexed="64"/>
      </right>
      <top style="dashed">
        <color indexed="64"/>
      </top>
      <bottom style="dashed">
        <color indexed="64"/>
      </bottom>
      <diagonal/>
    </border>
    <border>
      <left style="thin">
        <color auto="1"/>
      </left>
      <right style="medium">
        <color auto="1"/>
      </right>
      <top style="dashed">
        <color auto="1"/>
      </top>
      <bottom style="dashed">
        <color auto="1"/>
      </bottom>
      <diagonal/>
    </border>
    <border>
      <left/>
      <right/>
      <top style="thin">
        <color auto="1"/>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double">
        <color theme="1"/>
      </left>
      <right style="thin">
        <color theme="1"/>
      </right>
      <top style="double">
        <color theme="1"/>
      </top>
      <bottom style="thin">
        <color theme="1"/>
      </bottom>
      <diagonal/>
    </border>
    <border>
      <left style="thin">
        <color theme="1"/>
      </left>
      <right style="thin">
        <color theme="1"/>
      </right>
      <top style="double">
        <color theme="1"/>
      </top>
      <bottom style="thin">
        <color theme="1"/>
      </bottom>
      <diagonal/>
    </border>
    <border>
      <left style="double">
        <color theme="1"/>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auto="1"/>
      </left>
      <right style="double">
        <color auto="1"/>
      </right>
      <top style="thin">
        <color auto="1"/>
      </top>
      <bottom style="thin">
        <color auto="1"/>
      </bottom>
      <diagonal/>
    </border>
    <border>
      <left style="double">
        <color auto="1"/>
      </left>
      <right/>
      <top style="thin">
        <color auto="1"/>
      </top>
      <bottom style="double">
        <color auto="1"/>
      </bottom>
      <diagonal/>
    </border>
    <border>
      <left/>
      <right style="thin">
        <color auto="1"/>
      </right>
      <top style="thin">
        <color auto="1"/>
      </top>
      <bottom style="double">
        <color auto="1"/>
      </bottom>
      <diagonal/>
    </border>
    <border>
      <left style="double">
        <color auto="1"/>
      </left>
      <right style="double">
        <color auto="1"/>
      </right>
      <top/>
      <bottom style="double">
        <color auto="1"/>
      </bottom>
      <diagonal/>
    </border>
    <border>
      <left style="thin">
        <color indexed="64"/>
      </left>
      <right/>
      <top style="double">
        <color indexed="64"/>
      </top>
      <bottom style="medium">
        <color indexed="64"/>
      </bottom>
      <diagonal/>
    </border>
    <border>
      <left style="thin">
        <color auto="1"/>
      </left>
      <right style="medium">
        <color indexed="64"/>
      </right>
      <top/>
      <bottom/>
      <diagonal/>
    </border>
    <border>
      <left style="thin">
        <color indexed="64"/>
      </left>
      <right/>
      <top/>
      <bottom style="thin">
        <color indexed="64"/>
      </bottom>
      <diagonal/>
    </border>
    <border>
      <left/>
      <right/>
      <top/>
      <bottom style="thin">
        <color indexed="64"/>
      </bottom>
      <diagonal/>
    </border>
    <border>
      <left/>
      <right style="thin">
        <color auto="1"/>
      </right>
      <top/>
      <bottom style="thin">
        <color auto="1"/>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style="double">
        <color auto="1"/>
      </right>
      <top style="thin">
        <color indexed="64"/>
      </top>
      <bottom/>
      <diagonal/>
    </border>
    <border>
      <left style="double">
        <color indexed="64"/>
      </left>
      <right style="thin">
        <color auto="1"/>
      </right>
      <top/>
      <bottom style="double">
        <color auto="1"/>
      </bottom>
      <diagonal/>
    </border>
    <border>
      <left style="thin">
        <color auto="1"/>
      </left>
      <right style="thin">
        <color indexed="64"/>
      </right>
      <top/>
      <bottom style="double">
        <color auto="1"/>
      </bottom>
      <diagonal/>
    </border>
    <border>
      <left style="medium">
        <color indexed="64"/>
      </left>
      <right style="thin">
        <color indexed="64"/>
      </right>
      <top/>
      <bottom style="double">
        <color indexed="64"/>
      </bottom>
      <diagonal/>
    </border>
    <border>
      <left style="thin">
        <color indexed="64"/>
      </left>
      <right/>
      <top style="thin">
        <color indexed="64"/>
      </top>
      <bottom/>
      <diagonal/>
    </border>
    <border>
      <left style="thin">
        <color indexed="64"/>
      </left>
      <right style="double">
        <color auto="1"/>
      </right>
      <top/>
      <bottom style="double">
        <color auto="1"/>
      </bottom>
      <diagonal/>
    </border>
    <border>
      <left style="double">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double">
        <color indexed="64"/>
      </top>
      <bottom style="medium">
        <color indexed="64"/>
      </bottom>
      <diagonal/>
    </border>
    <border>
      <left style="thin">
        <color auto="1"/>
      </left>
      <right style="medium">
        <color auto="1"/>
      </right>
      <top style="medium">
        <color auto="1"/>
      </top>
      <bottom style="hair">
        <color auto="1"/>
      </bottom>
      <diagonal/>
    </border>
    <border>
      <left style="medium">
        <color auto="1"/>
      </left>
      <right style="thin">
        <color auto="1"/>
      </right>
      <top style="medium">
        <color auto="1"/>
      </top>
      <bottom style="hair">
        <color auto="1"/>
      </bottom>
      <diagonal/>
    </border>
    <border>
      <left style="medium">
        <color indexed="64"/>
      </left>
      <right style="thin">
        <color auto="1"/>
      </right>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hair">
        <color auto="1"/>
      </bottom>
      <diagonal/>
    </border>
    <border>
      <left style="thin">
        <color indexed="64"/>
      </left>
      <right/>
      <top style="hair">
        <color indexed="64"/>
      </top>
      <bottom style="hair">
        <color indexed="64"/>
      </bottom>
      <diagonal/>
    </border>
    <border>
      <left style="thin">
        <color auto="1"/>
      </left>
      <right style="medium">
        <color indexed="64"/>
      </right>
      <top/>
      <bottom style="hair">
        <color auto="1"/>
      </bottom>
      <diagonal/>
    </border>
    <border>
      <left style="thin">
        <color auto="1"/>
      </left>
      <right style="medium">
        <color indexed="64"/>
      </right>
      <top style="hair">
        <color auto="1"/>
      </top>
      <bottom/>
      <diagonal/>
    </border>
    <border>
      <left style="medium">
        <color indexed="64"/>
      </left>
      <right style="thin">
        <color auto="1"/>
      </right>
      <top style="hair">
        <color auto="1"/>
      </top>
      <bottom/>
      <diagonal/>
    </border>
    <border>
      <left style="thin">
        <color indexed="64"/>
      </left>
      <right style="medium">
        <color indexed="64"/>
      </right>
      <top style="hair">
        <color indexed="64"/>
      </top>
      <bottom style="double">
        <color indexed="64"/>
      </bottom>
      <diagonal/>
    </border>
    <border>
      <left style="medium">
        <color indexed="64"/>
      </left>
      <right style="thin">
        <color indexed="64"/>
      </right>
      <top style="hair">
        <color indexed="64"/>
      </top>
      <bottom style="double">
        <color indexed="64"/>
      </bottom>
      <diagonal/>
    </border>
    <border>
      <left style="double">
        <color indexed="64"/>
      </left>
      <right/>
      <top style="double">
        <color indexed="64"/>
      </top>
      <bottom style="double">
        <color indexed="64"/>
      </bottom>
      <diagonal/>
    </border>
    <border>
      <left/>
      <right/>
      <top style="double">
        <color auto="1"/>
      </top>
      <bottom style="double">
        <color indexed="64"/>
      </bottom>
      <diagonal/>
    </border>
    <border>
      <left/>
      <right style="medium">
        <color indexed="64"/>
      </right>
      <top style="double">
        <color indexed="64"/>
      </top>
      <bottom style="double">
        <color indexed="64"/>
      </bottom>
      <diagonal/>
    </border>
    <border>
      <left style="medium">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indexed="64"/>
      </left>
      <right/>
      <top style="hair">
        <color indexed="64"/>
      </top>
      <bottom style="double">
        <color indexed="64"/>
      </bottom>
      <diagonal/>
    </border>
    <border>
      <left style="double">
        <color indexed="64"/>
      </left>
      <right style="thin">
        <color indexed="64"/>
      </right>
      <top style="double">
        <color indexed="64"/>
      </top>
      <bottom style="double">
        <color indexed="64"/>
      </bottom>
      <diagonal/>
    </border>
    <border>
      <left style="double">
        <color auto="1"/>
      </left>
      <right/>
      <top/>
      <bottom style="medium">
        <color indexed="64"/>
      </bottom>
      <diagonal/>
    </border>
    <border>
      <left/>
      <right style="double">
        <color auto="1"/>
      </right>
      <top/>
      <bottom style="medium">
        <color indexed="64"/>
      </bottom>
      <diagonal/>
    </border>
    <border>
      <left style="thin">
        <color indexed="64"/>
      </left>
      <right/>
      <top/>
      <bottom style="hair">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style="thin">
        <color auto="1"/>
      </left>
      <right style="thin">
        <color auto="1"/>
      </right>
      <top style="hair">
        <color auto="1"/>
      </top>
      <bottom style="thin">
        <color indexed="64"/>
      </bottom>
      <diagonal/>
    </border>
    <border>
      <left style="thin">
        <color auto="1"/>
      </left>
      <right style="double">
        <color auto="1"/>
      </right>
      <top style="hair">
        <color auto="1"/>
      </top>
      <bottom style="thin">
        <color indexed="64"/>
      </bottom>
      <diagonal/>
    </border>
    <border>
      <left style="thin">
        <color indexed="64"/>
      </left>
      <right style="double">
        <color indexed="64"/>
      </right>
      <top/>
      <bottom/>
      <diagonal/>
    </border>
    <border>
      <left/>
      <right style="double">
        <color indexed="64"/>
      </right>
      <top style="double">
        <color indexed="64"/>
      </top>
      <bottom style="double">
        <color indexed="64"/>
      </bottom>
      <diagonal/>
    </border>
    <border>
      <left style="double">
        <color indexed="64"/>
      </left>
      <right/>
      <top/>
      <bottom/>
      <diagonal/>
    </border>
    <border>
      <left style="thin">
        <color indexed="64"/>
      </left>
      <right/>
      <top style="hair">
        <color auto="1"/>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double">
        <color indexed="64"/>
      </left>
      <right style="thin">
        <color indexed="64"/>
      </right>
      <top style="double">
        <color indexed="64"/>
      </top>
      <bottom style="dashed">
        <color indexed="64"/>
      </bottom>
      <diagonal/>
    </border>
    <border>
      <left style="thin">
        <color indexed="64"/>
      </left>
      <right style="thin">
        <color indexed="64"/>
      </right>
      <top style="double">
        <color indexed="64"/>
      </top>
      <bottom style="dashed">
        <color indexed="64"/>
      </bottom>
      <diagonal/>
    </border>
    <border>
      <left style="double">
        <color indexed="64"/>
      </left>
      <right style="thin">
        <color indexed="64"/>
      </right>
      <top/>
      <bottom style="dashed">
        <color indexed="64"/>
      </bottom>
      <diagonal/>
    </border>
    <border>
      <left style="thin">
        <color indexed="64"/>
      </left>
      <right style="thin">
        <color indexed="64"/>
      </right>
      <top/>
      <bottom style="dashed">
        <color indexed="64"/>
      </bottom>
      <diagonal/>
    </border>
    <border>
      <left style="double">
        <color indexed="64"/>
      </left>
      <right style="thin">
        <color indexed="64"/>
      </right>
      <top style="dashed">
        <color indexed="64"/>
      </top>
      <bottom style="dashed">
        <color indexed="64"/>
      </bottom>
      <diagonal/>
    </border>
    <border>
      <left style="double">
        <color indexed="64"/>
      </left>
      <right style="thin">
        <color indexed="64"/>
      </right>
      <top style="dashed">
        <color indexed="64"/>
      </top>
      <bottom style="double">
        <color indexed="64"/>
      </bottom>
      <diagonal/>
    </border>
    <border>
      <left style="thin">
        <color indexed="64"/>
      </left>
      <right style="thin">
        <color indexed="64"/>
      </right>
      <top style="dashed">
        <color indexed="64"/>
      </top>
      <bottom style="double">
        <color indexed="64"/>
      </bottom>
      <diagonal/>
    </border>
    <border>
      <left/>
      <right style="thin">
        <color indexed="64"/>
      </right>
      <top/>
      <bottom style="double">
        <color auto="1"/>
      </bottom>
      <diagonal/>
    </border>
    <border>
      <left/>
      <right style="thin">
        <color indexed="64"/>
      </right>
      <top style="thin">
        <color indexed="64"/>
      </top>
      <bottom/>
      <diagonal/>
    </border>
    <border>
      <left style="double">
        <color indexed="64"/>
      </left>
      <right style="thin">
        <color auto="1"/>
      </right>
      <top style="thin">
        <color indexed="64"/>
      </top>
      <bottom/>
      <diagonal/>
    </border>
    <border>
      <left/>
      <right style="thin">
        <color auto="1"/>
      </right>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style="medium">
        <color auto="1"/>
      </bottom>
      <diagonal/>
    </border>
    <border>
      <left/>
      <right/>
      <top/>
      <bottom style="double">
        <color auto="1"/>
      </bottom>
      <diagonal/>
    </border>
    <border>
      <left style="thin">
        <color auto="1"/>
      </left>
      <right/>
      <top/>
      <bottom style="double">
        <color auto="1"/>
      </bottom>
      <diagonal/>
    </border>
    <border>
      <left/>
      <right style="thin">
        <color auto="1"/>
      </right>
      <top/>
      <bottom style="double">
        <color auto="1"/>
      </bottom>
      <diagonal/>
    </border>
    <border>
      <left style="medium">
        <color auto="1"/>
      </left>
      <right/>
      <top style="medium">
        <color auto="1"/>
      </top>
      <bottom/>
      <diagonal/>
    </border>
    <border>
      <left/>
      <right style="thin">
        <color auto="1"/>
      </right>
      <top style="medium">
        <color auto="1"/>
      </top>
      <bottom/>
      <diagonal/>
    </border>
    <border>
      <left style="medium">
        <color auto="1"/>
      </left>
      <right/>
      <top/>
      <bottom style="thin">
        <color auto="1"/>
      </bottom>
      <diagonal/>
    </border>
    <border>
      <left style="thin">
        <color indexed="64"/>
      </left>
      <right/>
      <top/>
      <bottom style="medium">
        <color indexed="64"/>
      </bottom>
      <diagonal/>
    </border>
    <border>
      <left/>
      <right style="thin">
        <color indexed="64"/>
      </right>
      <top/>
      <bottom style="medium">
        <color indexed="64"/>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style="thin">
        <color indexed="64"/>
      </top>
      <bottom/>
      <diagonal/>
    </border>
    <border>
      <left style="thin">
        <color auto="1"/>
      </left>
      <right style="thin">
        <color auto="1"/>
      </right>
      <top style="medium">
        <color auto="1"/>
      </top>
      <bottom/>
      <diagonal/>
    </border>
    <border>
      <left/>
      <right/>
      <top/>
      <bottom style="double">
        <color auto="1"/>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auto="1"/>
      </left>
      <right/>
      <top style="medium">
        <color auto="1"/>
      </top>
      <bottom style="double">
        <color auto="1"/>
      </bottom>
      <diagonal/>
    </border>
    <border>
      <left/>
      <right/>
      <top style="medium">
        <color auto="1"/>
      </top>
      <bottom style="double">
        <color auto="1"/>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style="double">
        <color indexed="64"/>
      </top>
      <bottom style="dashed">
        <color indexed="64"/>
      </bottom>
      <diagonal/>
    </border>
    <border>
      <left style="thin">
        <color indexed="64"/>
      </left>
      <right/>
      <top/>
      <bottom style="dashed">
        <color indexed="64"/>
      </bottom>
      <diagonal/>
    </border>
    <border>
      <left style="thin">
        <color indexed="64"/>
      </left>
      <right/>
      <top style="dashed">
        <color indexed="64"/>
      </top>
      <bottom style="dashed">
        <color indexed="64"/>
      </bottom>
      <diagonal/>
    </border>
    <border>
      <left style="thin">
        <color indexed="64"/>
      </left>
      <right/>
      <top style="dashed">
        <color indexed="64"/>
      </top>
      <bottom style="double">
        <color indexed="64"/>
      </bottom>
      <diagonal/>
    </border>
    <border>
      <left style="hair">
        <color indexed="64"/>
      </left>
      <right style="thin">
        <color auto="1"/>
      </right>
      <top style="hair">
        <color indexed="64"/>
      </top>
      <bottom style="hair">
        <color indexed="64"/>
      </bottom>
      <diagonal/>
    </border>
    <border>
      <left/>
      <right style="medium">
        <color auto="1"/>
      </right>
      <top/>
      <bottom style="thin">
        <color indexed="64"/>
      </bottom>
      <diagonal/>
    </border>
    <border>
      <left style="medium">
        <color auto="1"/>
      </left>
      <right/>
      <top style="thin">
        <color auto="1"/>
      </top>
      <bottom/>
      <diagonal/>
    </border>
    <border>
      <left style="thin">
        <color indexed="64"/>
      </left>
      <right style="medium">
        <color indexed="64"/>
      </right>
      <top style="thin">
        <color auto="1"/>
      </top>
      <bottom style="dashed">
        <color indexed="64"/>
      </bottom>
      <diagonal/>
    </border>
    <border>
      <left style="thin">
        <color auto="1"/>
      </left>
      <right style="medium">
        <color indexed="64"/>
      </right>
      <top/>
      <bottom style="double">
        <color indexed="64"/>
      </bottom>
      <diagonal/>
    </border>
    <border>
      <left style="thin">
        <color indexed="64"/>
      </left>
      <right style="thin">
        <color auto="1"/>
      </right>
      <top/>
      <bottom style="double">
        <color auto="1"/>
      </bottom>
      <diagonal/>
    </border>
    <border>
      <left style="thin">
        <color indexed="64"/>
      </left>
      <right style="double">
        <color indexed="64"/>
      </right>
      <top/>
      <bottom style="double">
        <color auto="1"/>
      </bottom>
      <diagonal/>
    </border>
    <border>
      <left style="hair">
        <color indexed="64"/>
      </left>
      <right style="hair">
        <color indexed="64"/>
      </right>
      <top style="hair">
        <color indexed="64"/>
      </top>
      <bottom style="hair">
        <color indexed="64"/>
      </bottom>
      <diagonal/>
    </border>
    <border>
      <left style="double">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double">
        <color auto="1"/>
      </right>
      <top style="hair">
        <color indexed="64"/>
      </top>
      <bottom style="medium">
        <color indexed="64"/>
      </bottom>
      <diagonal/>
    </border>
    <border>
      <left style="medium">
        <color indexed="64"/>
      </left>
      <right style="thin">
        <color indexed="64"/>
      </right>
      <top style="medium">
        <color indexed="64"/>
      </top>
      <bottom/>
      <diagonal/>
    </border>
  </borders>
  <cellStyleXfs count="38148">
    <xf numFmtId="0" fontId="0" fillId="0" borderId="0"/>
    <xf numFmtId="166" fontId="1" fillId="0" borderId="0" applyFont="0" applyFill="0" applyBorder="0" applyAlignment="0" applyProtection="0"/>
    <xf numFmtId="9" fontId="1" fillId="0" borderId="0" applyFont="0" applyFill="0" applyBorder="0" applyAlignment="0" applyProtection="0"/>
    <xf numFmtId="0" fontId="18" fillId="0" borderId="0"/>
    <xf numFmtId="0" fontId="18" fillId="0" borderId="0"/>
    <xf numFmtId="0" fontId="19"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22"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3" fillId="34" borderId="0">
      <protection locked="0"/>
    </xf>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4" fillId="35"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xf numFmtId="0" fontId="25" fillId="38" borderId="0" applyNumberFormat="0" applyBorder="0" applyAlignment="0" applyProtection="0">
      <alignment vertical="center"/>
    </xf>
    <xf numFmtId="0" fontId="24" fillId="39" borderId="0" applyNumberFormat="0" applyBorder="0" applyAlignment="0" applyProtection="0">
      <alignment vertical="center"/>
    </xf>
    <xf numFmtId="0" fontId="25" fillId="39" borderId="0" applyNumberFormat="0" applyBorder="0" applyAlignment="0" applyProtection="0">
      <alignment vertical="center"/>
    </xf>
    <xf numFmtId="0" fontId="24" fillId="40" borderId="0" applyNumberFormat="0" applyBorder="0" applyAlignment="0" applyProtection="0">
      <alignment vertical="center"/>
    </xf>
    <xf numFmtId="0" fontId="25" fillId="40" borderId="0" applyNumberFormat="0" applyBorder="0" applyAlignment="0" applyProtection="0">
      <alignment vertical="center"/>
    </xf>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4" fillId="41" borderId="0" applyNumberFormat="0" applyBorder="0" applyAlignment="0" applyProtection="0">
      <alignment vertical="center"/>
    </xf>
    <xf numFmtId="0" fontId="25" fillId="41" borderId="0" applyNumberFormat="0" applyBorder="0" applyAlignment="0" applyProtection="0">
      <alignment vertical="center"/>
    </xf>
    <xf numFmtId="0" fontId="24" fillId="42" borderId="0" applyNumberFormat="0" applyBorder="0" applyAlignment="0" applyProtection="0">
      <alignment vertical="center"/>
    </xf>
    <xf numFmtId="0" fontId="25" fillId="42" borderId="0" applyNumberFormat="0" applyBorder="0" applyAlignment="0" applyProtection="0">
      <alignment vertical="center"/>
    </xf>
    <xf numFmtId="0" fontId="24" fillId="43" borderId="0" applyNumberFormat="0" applyBorder="0" applyAlignment="0" applyProtection="0">
      <alignment vertical="center"/>
    </xf>
    <xf numFmtId="0" fontId="25" fillId="43" borderId="0" applyNumberFormat="0" applyBorder="0" applyAlignment="0" applyProtection="0">
      <alignment vertical="center"/>
    </xf>
    <xf numFmtId="0" fontId="24" fillId="38" borderId="0" applyNumberFormat="0" applyBorder="0" applyAlignment="0" applyProtection="0">
      <alignment vertical="center"/>
    </xf>
    <xf numFmtId="0" fontId="25" fillId="38" borderId="0" applyNumberFormat="0" applyBorder="0" applyAlignment="0" applyProtection="0">
      <alignment vertical="center"/>
    </xf>
    <xf numFmtId="0" fontId="24" fillId="41" borderId="0" applyNumberFormat="0" applyBorder="0" applyAlignment="0" applyProtection="0">
      <alignment vertical="center"/>
    </xf>
    <xf numFmtId="0" fontId="25" fillId="41" borderId="0" applyNumberFormat="0" applyBorder="0" applyAlignment="0" applyProtection="0">
      <alignment vertical="center"/>
    </xf>
    <xf numFmtId="0" fontId="24" fillId="44" borderId="0" applyNumberFormat="0" applyBorder="0" applyAlignment="0" applyProtection="0">
      <alignment vertical="center"/>
    </xf>
    <xf numFmtId="0" fontId="25" fillId="44" borderId="0" applyNumberFormat="0" applyBorder="0" applyAlignment="0" applyProtection="0">
      <alignment vertical="center"/>
    </xf>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26" fillId="45" borderId="0" applyNumberFormat="0" applyBorder="0" applyAlignment="0" applyProtection="0">
      <alignment vertical="center"/>
    </xf>
    <xf numFmtId="0" fontId="27" fillId="45" borderId="0" applyNumberFormat="0" applyBorder="0" applyAlignment="0" applyProtection="0">
      <alignment vertical="center"/>
    </xf>
    <xf numFmtId="0" fontId="26" fillId="42" borderId="0" applyNumberFormat="0" applyBorder="0" applyAlignment="0" applyProtection="0">
      <alignment vertical="center"/>
    </xf>
    <xf numFmtId="0" fontId="27" fillId="42" borderId="0" applyNumberFormat="0" applyBorder="0" applyAlignment="0" applyProtection="0">
      <alignment vertical="center"/>
    </xf>
    <xf numFmtId="0" fontId="26" fillId="43" borderId="0" applyNumberFormat="0" applyBorder="0" applyAlignment="0" applyProtection="0">
      <alignment vertical="center"/>
    </xf>
    <xf numFmtId="0" fontId="27" fillId="43" borderId="0" applyNumberFormat="0" applyBorder="0" applyAlignment="0" applyProtection="0">
      <alignment vertical="center"/>
    </xf>
    <xf numFmtId="0" fontId="26" fillId="46" borderId="0" applyNumberFormat="0" applyBorder="0" applyAlignment="0" applyProtection="0">
      <alignment vertical="center"/>
    </xf>
    <xf numFmtId="0" fontId="27" fillId="46" borderId="0" applyNumberFormat="0" applyBorder="0" applyAlignment="0" applyProtection="0">
      <alignment vertical="center"/>
    </xf>
    <xf numFmtId="0" fontId="26" fillId="47" borderId="0" applyNumberFormat="0" applyBorder="0" applyAlignment="0" applyProtection="0">
      <alignment vertical="center"/>
    </xf>
    <xf numFmtId="0" fontId="27" fillId="47" borderId="0" applyNumberFormat="0" applyBorder="0" applyAlignment="0" applyProtection="0">
      <alignment vertical="center"/>
    </xf>
    <xf numFmtId="0" fontId="26" fillId="48" borderId="0" applyNumberFormat="0" applyBorder="0" applyAlignment="0" applyProtection="0">
      <alignment vertical="center"/>
    </xf>
    <xf numFmtId="0" fontId="27" fillId="48" borderId="0" applyNumberFormat="0" applyBorder="0" applyAlignment="0" applyProtection="0">
      <alignment vertical="center"/>
    </xf>
    <xf numFmtId="0" fontId="28" fillId="49" borderId="0" applyNumberFormat="0" applyBorder="0" applyAlignment="0" applyProtection="0"/>
    <xf numFmtId="0" fontId="28" fillId="49" borderId="0" applyNumberFormat="0" applyBorder="0" applyAlignment="0" applyProtection="0"/>
    <xf numFmtId="0" fontId="29" fillId="50"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29" fillId="51"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28" fillId="52" borderId="0" applyNumberFormat="0" applyBorder="0" applyAlignment="0" applyProtection="0"/>
    <xf numFmtId="0" fontId="28" fillId="53" borderId="0" applyNumberFormat="0" applyBorder="0" applyAlignment="0" applyProtection="0"/>
    <xf numFmtId="0" fontId="29" fillId="54"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29" fillId="55"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28" fillId="52" borderId="0" applyNumberFormat="0" applyBorder="0" applyAlignment="0" applyProtection="0"/>
    <xf numFmtId="0" fontId="28" fillId="56" borderId="0" applyNumberFormat="0" applyBorder="0" applyAlignment="0" applyProtection="0"/>
    <xf numFmtId="0" fontId="29"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29" fillId="54"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28" fillId="49" borderId="0" applyNumberFormat="0" applyBorder="0" applyAlignment="0" applyProtection="0"/>
    <xf numFmtId="0" fontId="28" fillId="53" borderId="0" applyNumberFormat="0" applyBorder="0" applyAlignment="0" applyProtection="0"/>
    <xf numFmtId="0" fontId="29" fillId="53"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29" fillId="5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28" fillId="57" borderId="0" applyNumberFormat="0" applyBorder="0" applyAlignment="0" applyProtection="0"/>
    <xf numFmtId="0" fontId="28" fillId="49" borderId="0" applyNumberFormat="0" applyBorder="0" applyAlignment="0" applyProtection="0"/>
    <xf numFmtId="0" fontId="29" fillId="5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29" fillId="58"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28" fillId="52" borderId="0" applyNumberFormat="0" applyBorder="0" applyAlignment="0" applyProtection="0"/>
    <xf numFmtId="0" fontId="28" fillId="59" borderId="0" applyNumberFormat="0" applyBorder="0" applyAlignment="0" applyProtection="0"/>
    <xf numFmtId="0" fontId="29" fillId="5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29" fillId="60"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21"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30" fillId="0" borderId="0" applyFont="0" applyFill="0" applyBorder="0" applyAlignment="0" applyProtection="0"/>
    <xf numFmtId="0" fontId="31" fillId="0" borderId="0" applyFont="0" applyFill="0" applyBorder="0" applyAlignment="0" applyProtection="0"/>
    <xf numFmtId="0" fontId="30" fillId="0" borderId="0" applyFont="0" applyFill="0" applyBorder="0" applyAlignment="0" applyProtection="0"/>
    <xf numFmtId="37" fontId="31" fillId="0" borderId="0" applyFont="0" applyFill="0" applyBorder="0" applyAlignment="0" applyProtection="0"/>
    <xf numFmtId="0" fontId="20" fillId="0" borderId="0">
      <protection locked="0"/>
    </xf>
    <xf numFmtId="0" fontId="30" fillId="0" borderId="0" applyFont="0" applyFill="0" applyBorder="0" applyAlignment="0" applyProtection="0"/>
    <xf numFmtId="0" fontId="31" fillId="0" borderId="0" applyFont="0" applyFill="0" applyBorder="0" applyAlignment="0" applyProtection="0"/>
    <xf numFmtId="0" fontId="30" fillId="0" borderId="0" applyFont="0" applyFill="0" applyBorder="0" applyAlignment="0" applyProtection="0"/>
    <xf numFmtId="37" fontId="31"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30" fillId="0" borderId="0" applyFont="0" applyFill="0" applyBorder="0" applyAlignment="0" applyProtection="0"/>
    <xf numFmtId="37" fontId="31"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30" fillId="0" borderId="0" applyFont="0" applyFill="0" applyBorder="0" applyAlignment="0" applyProtection="0"/>
    <xf numFmtId="37" fontId="31" fillId="0" borderId="0" applyFont="0" applyFill="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32" fillId="61"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33" fillId="0" borderId="0"/>
    <xf numFmtId="0" fontId="31" fillId="0" borderId="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34" fillId="62" borderId="10"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35" fillId="54" borderId="11"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167" fontId="36" fillId="0" borderId="0" applyFont="0" applyFill="0" applyBorder="0" applyAlignment="0" applyProtection="0"/>
    <xf numFmtId="168" fontId="37" fillId="0" borderId="0" applyFont="0" applyFill="0" applyBorder="0" applyAlignment="0" applyProtection="0"/>
    <xf numFmtId="164" fontId="1" fillId="0" borderId="0" applyFont="0" applyFill="0" applyBorder="0" applyAlignment="0" applyProtection="0"/>
    <xf numFmtId="168" fontId="20" fillId="0" borderId="0" applyFont="0" applyFill="0" applyBorder="0" applyAlignment="0" applyProtection="0"/>
    <xf numFmtId="169" fontId="22"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19" fillId="0" borderId="0" applyFont="0" applyFill="0" applyBorder="0" applyAlignment="0" applyProtection="0"/>
    <xf numFmtId="166" fontId="19" fillId="0" borderId="0">
      <protection locked="0"/>
    </xf>
    <xf numFmtId="43" fontId="1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3" fillId="0" borderId="0">
      <protection locked="0"/>
    </xf>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3" fillId="0" borderId="0">
      <protection locked="0"/>
    </xf>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8"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70" fontId="28" fillId="0" borderId="0" applyFont="0" applyFill="0" applyBorder="0" applyAlignment="0" applyProtection="0"/>
    <xf numFmtId="171" fontId="28" fillId="0" borderId="0" applyFont="0" applyFill="0" applyBorder="0" applyAlignment="0" applyProtection="0"/>
    <xf numFmtId="171" fontId="28" fillId="0" borderId="0" applyFont="0" applyFill="0" applyBorder="0" applyAlignment="0" applyProtection="0"/>
    <xf numFmtId="172" fontId="28" fillId="0" borderId="0" applyFont="0" applyFill="0" applyBorder="0" applyAlignment="0" applyProtection="0"/>
    <xf numFmtId="170" fontId="28" fillId="0" borderId="0" applyFont="0" applyFill="0" applyBorder="0" applyAlignment="0" applyProtection="0"/>
    <xf numFmtId="173" fontId="19" fillId="0" borderId="0" applyFont="0" applyFill="0" applyBorder="0" applyAlignment="0" applyProtection="0"/>
    <xf numFmtId="174" fontId="19" fillId="0" borderId="0" applyFont="0" applyFill="0" applyBorder="0" applyAlignment="0" applyProtection="0"/>
    <xf numFmtId="172" fontId="28" fillId="0" borderId="0" applyFont="0" applyFill="0" applyBorder="0" applyAlignment="0" applyProtection="0"/>
    <xf numFmtId="166" fontId="19" fillId="0" borderId="0" applyFont="0" applyFill="0" applyBorder="0" applyAlignment="0" applyProtection="0"/>
    <xf numFmtId="172" fontId="28"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75" fontId="19" fillId="0" borderId="0" applyFont="0" applyFill="0" applyBorder="0" applyAlignment="0" applyProtection="0"/>
    <xf numFmtId="175" fontId="19" fillId="0" borderId="0" applyFont="0" applyFill="0" applyBorder="0" applyAlignment="0" applyProtection="0"/>
    <xf numFmtId="175"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28"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75" fontId="19" fillId="0" borderId="0" applyFont="0" applyFill="0" applyBorder="0" applyAlignment="0" applyProtection="0"/>
    <xf numFmtId="175" fontId="19" fillId="0" borderId="0" applyFont="0" applyFill="0" applyBorder="0" applyAlignment="0" applyProtection="0"/>
    <xf numFmtId="166" fontId="1" fillId="0" borderId="0" applyFont="0" applyFill="0" applyBorder="0" applyAlignment="0" applyProtection="0"/>
    <xf numFmtId="175" fontId="19" fillId="0" borderId="0" applyFont="0" applyFill="0" applyBorder="0" applyAlignment="0" applyProtection="0"/>
    <xf numFmtId="175" fontId="1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0" fontId="2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8" fillId="0" borderId="0" applyFont="0" applyFill="0" applyBorder="0" applyAlignment="0" applyProtection="0"/>
    <xf numFmtId="166" fontId="1"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0"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43" fontId="28"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75" fontId="39" fillId="0" borderId="0" applyFont="0" applyFill="0" applyBorder="0" applyAlignment="0" applyProtection="0"/>
    <xf numFmtId="176" fontId="3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8" fillId="0" borderId="0" applyFont="0" applyFill="0" applyBorder="0" applyAlignment="0" applyProtection="0"/>
    <xf numFmtId="166" fontId="19"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77" fontId="28"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28" fillId="0" borderId="0" applyFont="0" applyFill="0" applyBorder="0" applyAlignment="0" applyProtection="0"/>
    <xf numFmtId="166" fontId="1"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36" fillId="0" borderId="0" applyFont="0" applyFill="0" applyBorder="0" applyAlignment="0" applyProtection="0"/>
    <xf numFmtId="166" fontId="36" fillId="0" borderId="0" applyFont="0" applyFill="0" applyBorder="0" applyAlignment="0" applyProtection="0"/>
    <xf numFmtId="166" fontId="36" fillId="0" borderId="0" applyFont="0" applyFill="0" applyBorder="0" applyAlignment="0" applyProtection="0"/>
    <xf numFmtId="166" fontId="36" fillId="0" borderId="0" applyFont="0" applyFill="0" applyBorder="0" applyAlignment="0" applyProtection="0"/>
    <xf numFmtId="166" fontId="36" fillId="0" borderId="0" applyFont="0" applyFill="0" applyBorder="0" applyAlignment="0" applyProtection="0"/>
    <xf numFmtId="166" fontId="36" fillId="0" borderId="0" applyFont="0" applyFill="0" applyBorder="0" applyAlignment="0" applyProtection="0"/>
    <xf numFmtId="166" fontId="36" fillId="0" borderId="0" applyFont="0" applyFill="0" applyBorder="0" applyAlignment="0" applyProtection="0"/>
    <xf numFmtId="166" fontId="36" fillId="0" borderId="0" applyFont="0" applyFill="0" applyBorder="0" applyAlignment="0" applyProtection="0"/>
    <xf numFmtId="166" fontId="1" fillId="0" borderId="0" applyFont="0" applyFill="0" applyBorder="0" applyAlignment="0" applyProtection="0"/>
    <xf numFmtId="166" fontId="28" fillId="0" borderId="0" applyFont="0" applyFill="0" applyBorder="0" applyAlignment="0" applyProtection="0"/>
    <xf numFmtId="43" fontId="1" fillId="0" borderId="0" applyFont="0" applyFill="0" applyBorder="0" applyAlignment="0" applyProtection="0"/>
    <xf numFmtId="0" fontId="1" fillId="0" borderId="0" applyFont="0" applyFill="0" applyBorder="0" applyAlignment="0" applyProtection="0"/>
    <xf numFmtId="178" fontId="40" fillId="0" borderId="0"/>
    <xf numFmtId="179" fontId="3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1" fontId="19" fillId="0" borderId="0" applyFont="0" applyFill="0" applyBorder="0" applyAlignment="0" applyProtection="0"/>
    <xf numFmtId="43" fontId="19" fillId="0" borderId="0" applyFont="0" applyFill="0" applyBorder="0" applyAlignment="0" applyProtection="0"/>
    <xf numFmtId="180" fontId="40" fillId="0" borderId="0"/>
    <xf numFmtId="0" fontId="41" fillId="63" borderId="0" applyNumberFormat="0" applyBorder="0" applyAlignment="0" applyProtection="0"/>
    <xf numFmtId="0" fontId="41" fillId="64" borderId="0" applyNumberFormat="0" applyBorder="0" applyAlignment="0" applyProtection="0"/>
    <xf numFmtId="0" fontId="41" fillId="65" borderId="0" applyNumberFormat="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42" fillId="56"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43" fillId="0" borderId="12" applyNumberFormat="0" applyAlignment="0" applyProtection="0">
      <alignment horizontal="left" vertical="center"/>
    </xf>
    <xf numFmtId="0" fontId="43" fillId="0" borderId="13">
      <alignment horizontal="left" vertical="center"/>
    </xf>
    <xf numFmtId="0" fontId="43" fillId="0" borderId="13">
      <alignment horizontal="left" vertical="center"/>
    </xf>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44" fillId="0" borderId="14"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5" fillId="0" borderId="15"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46" fillId="0" borderId="16"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6"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47" fillId="59" borderId="10"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48" fillId="0" borderId="17" applyNumberFormat="0" applyFill="0" applyAlignment="0" applyProtection="0"/>
    <xf numFmtId="0" fontId="48" fillId="0" borderId="17" applyNumberFormat="0" applyFill="0" applyAlignment="0" applyProtection="0"/>
    <xf numFmtId="0" fontId="48" fillId="0" borderId="17" applyNumberFormat="0" applyFill="0" applyAlignment="0" applyProtection="0"/>
    <xf numFmtId="0" fontId="48" fillId="0" borderId="17" applyNumberFormat="0" applyFill="0" applyAlignment="0" applyProtection="0"/>
    <xf numFmtId="0" fontId="48" fillId="0" borderId="17" applyNumberFormat="0" applyFill="0" applyAlignment="0" applyProtection="0"/>
    <xf numFmtId="0" fontId="48" fillId="0" borderId="17" applyNumberFormat="0" applyFill="0" applyAlignment="0" applyProtection="0"/>
    <xf numFmtId="0" fontId="48" fillId="0" borderId="17" applyNumberFormat="0" applyFill="0" applyAlignment="0" applyProtection="0"/>
    <xf numFmtId="0" fontId="48" fillId="0" borderId="17" applyNumberFormat="0" applyFill="0" applyAlignment="0" applyProtection="0"/>
    <xf numFmtId="0" fontId="48" fillId="0" borderId="17" applyNumberFormat="0" applyFill="0" applyAlignment="0" applyProtection="0"/>
    <xf numFmtId="0" fontId="48" fillId="0" borderId="17" applyNumberFormat="0" applyFill="0" applyAlignment="0" applyProtection="0"/>
    <xf numFmtId="0" fontId="48" fillId="0" borderId="17"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49" fillId="0" borderId="17"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168" fontId="19" fillId="0" borderId="0" applyFont="0" applyFill="0" applyBorder="0" applyAlignment="0" applyProtection="0"/>
    <xf numFmtId="173"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50" fillId="66"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 fillId="0" borderId="0"/>
    <xf numFmtId="0" fontId="1" fillId="0" borderId="0"/>
    <xf numFmtId="0"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6" fillId="0" borderId="0"/>
    <xf numFmtId="0" fontId="36" fillId="0" borderId="0"/>
    <xf numFmtId="0" fontId="36" fillId="0" borderId="0"/>
    <xf numFmtId="0"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51" fillId="0" borderId="0">
      <alignment vertical="center"/>
    </xf>
    <xf numFmtId="0" fontId="19" fillId="0" borderId="0"/>
    <xf numFmtId="0" fontId="28" fillId="67" borderId="1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8" fillId="67"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8" fillId="67"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8" fillId="67"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8" fillId="67"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9" fillId="52" borderId="1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8" fillId="67" borderId="18" applyNumberFormat="0" applyFont="0" applyAlignment="0" applyProtection="0"/>
    <xf numFmtId="0" fontId="19" fillId="67" borderId="18" applyNumberFormat="0" applyFont="0" applyAlignment="0" applyProtection="0"/>
    <xf numFmtId="0" fontId="19" fillId="67" borderId="18" applyNumberFormat="0" applyFont="0" applyAlignment="0" applyProtection="0"/>
    <xf numFmtId="0" fontId="19" fillId="67" borderId="18" applyNumberFormat="0" applyFont="0" applyAlignment="0" applyProtection="0"/>
    <xf numFmtId="0" fontId="19" fillId="67" borderId="1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8" fillId="67" borderId="18" applyNumberFormat="0" applyFont="0" applyAlignment="0" applyProtection="0"/>
    <xf numFmtId="0" fontId="19" fillId="67" borderId="18" applyNumberFormat="0" applyFont="0" applyAlignment="0" applyProtection="0"/>
    <xf numFmtId="0" fontId="19" fillId="67" borderId="18" applyNumberFormat="0" applyFont="0" applyAlignment="0" applyProtection="0"/>
    <xf numFmtId="0" fontId="19" fillId="67" borderId="18" applyNumberFormat="0" applyFont="0" applyAlignment="0" applyProtection="0"/>
    <xf numFmtId="0" fontId="28" fillId="67" borderId="18" applyNumberFormat="0" applyFont="0" applyAlignment="0" applyProtection="0"/>
    <xf numFmtId="0" fontId="19" fillId="67" borderId="18" applyNumberFormat="0" applyFont="0" applyAlignment="0" applyProtection="0"/>
    <xf numFmtId="0" fontId="19" fillId="67" borderId="18" applyNumberFormat="0" applyFont="0" applyAlignment="0" applyProtection="0"/>
    <xf numFmtId="0" fontId="28" fillId="67" borderId="18" applyNumberFormat="0" applyFon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52" fillId="62" borderId="19"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36" fillId="0" borderId="0" applyFont="0" applyFill="0" applyBorder="0" applyAlignment="0" applyProtection="0"/>
    <xf numFmtId="9" fontId="36" fillId="0" borderId="0" applyFont="0" applyFill="0" applyBorder="0" applyAlignment="0" applyProtection="0"/>
    <xf numFmtId="9" fontId="36" fillId="0" borderId="0" applyFont="0" applyFill="0" applyBorder="0" applyAlignment="0" applyProtection="0"/>
    <xf numFmtId="9" fontId="36" fillId="0" borderId="0" applyFont="0" applyFill="0" applyBorder="0" applyAlignment="0" applyProtection="0"/>
    <xf numFmtId="9" fontId="36" fillId="0" borderId="0" applyFont="0" applyFill="0" applyBorder="0" applyAlignment="0" applyProtection="0"/>
    <xf numFmtId="9" fontId="36" fillId="0" borderId="0" applyFont="0" applyFill="0" applyBorder="0" applyAlignment="0" applyProtection="0"/>
    <xf numFmtId="9" fontId="36" fillId="0" borderId="0" applyFont="0" applyFill="0" applyBorder="0" applyAlignment="0" applyProtection="0"/>
    <xf numFmtId="9" fontId="36" fillId="0" borderId="0" applyFont="0" applyFill="0" applyBorder="0" applyAlignment="0" applyProtection="0"/>
    <xf numFmtId="9" fontId="19" fillId="0" borderId="0" applyFont="0" applyFill="0" applyBorder="0" applyAlignment="0" applyProtection="0"/>
    <xf numFmtId="0" fontId="22" fillId="0" borderId="0"/>
    <xf numFmtId="0" fontId="22" fillId="0" borderId="0"/>
    <xf numFmtId="0" fontId="38" fillId="0" borderId="0"/>
    <xf numFmtId="0" fontId="53" fillId="0" borderId="0" applyNumberFormat="0" applyFill="0" applyBorder="0" applyAlignment="0" applyProtection="0"/>
    <xf numFmtId="0" fontId="19" fillId="68" borderId="0"/>
    <xf numFmtId="0" fontId="54"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9" fillId="0" borderId="0" applyFont="0" applyFill="0" applyBorder="0" applyAlignment="0" applyProtection="0"/>
    <xf numFmtId="0" fontId="19" fillId="0" borderId="0" applyFon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5"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6"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57" fillId="0" borderId="0" applyNumberFormat="0" applyFill="0" applyBorder="0" applyAlignment="0" applyProtection="0">
      <alignment vertical="top"/>
      <protection locked="0"/>
    </xf>
    <xf numFmtId="0" fontId="58" fillId="0" borderId="0"/>
    <xf numFmtId="0" fontId="19" fillId="0" borderId="0" applyFont="0" applyFill="0" applyBorder="0" applyAlignment="0" applyProtection="0"/>
    <xf numFmtId="1" fontId="59" fillId="69" borderId="0" applyNumberFormat="0" applyFont="0" applyFill="0" applyBorder="0" applyAlignment="0">
      <alignment vertical="center"/>
    </xf>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xf numFmtId="41" fontId="38" fillId="0" borderId="0" applyFont="0" applyFill="0" applyBorder="0" applyAlignment="0" applyProtection="0"/>
    <xf numFmtId="43" fontId="38" fillId="0" borderId="0" applyFont="0" applyFill="0" applyBorder="0" applyAlignment="0" applyProtection="0"/>
    <xf numFmtId="173" fontId="22" fillId="0" borderId="0" applyFont="0" applyFill="0" applyBorder="0" applyAlignment="0" applyProtection="0"/>
    <xf numFmtId="173" fontId="22" fillId="0" borderId="0" applyFont="0" applyFill="0" applyBorder="0" applyAlignment="0" applyProtection="0"/>
    <xf numFmtId="173" fontId="25" fillId="0" borderId="0" applyFont="0" applyFill="0" applyBorder="0" applyAlignment="0" applyProtection="0">
      <alignment vertical="center"/>
    </xf>
    <xf numFmtId="168" fontId="22" fillId="0" borderId="0" applyFont="0" applyFill="0" applyBorder="0" applyAlignment="0" applyProtection="0"/>
    <xf numFmtId="168" fontId="22" fillId="0" borderId="0" applyFont="0" applyFill="0" applyBorder="0" applyAlignment="0" applyProtection="0"/>
    <xf numFmtId="41" fontId="25" fillId="0" borderId="0" applyFont="0" applyFill="0" applyBorder="0" applyAlignment="0" applyProtection="0">
      <alignment vertical="center"/>
    </xf>
    <xf numFmtId="173" fontId="22" fillId="0" borderId="0" applyFont="0" applyFill="0" applyBorder="0" applyAlignment="0" applyProtection="0"/>
    <xf numFmtId="41" fontId="38" fillId="0" borderId="0" applyFont="0" applyFill="0" applyBorder="0" applyAlignment="0" applyProtection="0"/>
    <xf numFmtId="43" fontId="38" fillId="0" borderId="0" applyFont="0" applyFill="0" applyBorder="0" applyAlignment="0" applyProtection="0"/>
    <xf numFmtId="0" fontId="61" fillId="37" borderId="0" applyNumberFormat="0" applyBorder="0" applyAlignment="0" applyProtection="0">
      <alignment vertical="center"/>
    </xf>
    <xf numFmtId="0" fontId="62" fillId="37" borderId="0" applyNumberFormat="0" applyBorder="0" applyAlignment="0" applyProtection="0">
      <alignment vertical="center"/>
    </xf>
    <xf numFmtId="0" fontId="63" fillId="36" borderId="0" applyNumberFormat="0" applyBorder="0" applyAlignment="0" applyProtection="0">
      <alignment vertical="center"/>
    </xf>
    <xf numFmtId="0" fontId="64" fillId="36" borderId="0" applyNumberFormat="0" applyBorder="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22" fillId="0" borderId="0"/>
    <xf numFmtId="0" fontId="22" fillId="0" borderId="0"/>
    <xf numFmtId="0" fontId="65" fillId="0" borderId="0">
      <alignment vertical="center"/>
    </xf>
    <xf numFmtId="0" fontId="1" fillId="0" borderId="0">
      <alignment vertical="center"/>
    </xf>
    <xf numFmtId="0" fontId="1" fillId="0" borderId="0">
      <alignment vertical="center"/>
    </xf>
    <xf numFmtId="0" fontId="25" fillId="0" borderId="0"/>
    <xf numFmtId="0" fontId="25" fillId="0" borderId="0">
      <alignment vertical="center"/>
    </xf>
    <xf numFmtId="0" fontId="25" fillId="0" borderId="0">
      <alignment vertical="center"/>
    </xf>
    <xf numFmtId="0" fontId="22" fillId="0" borderId="0"/>
    <xf numFmtId="0" fontId="26" fillId="70" borderId="0" applyNumberFormat="0" applyBorder="0" applyAlignment="0" applyProtection="0">
      <alignment vertical="center"/>
    </xf>
    <xf numFmtId="0" fontId="27" fillId="70" borderId="0" applyNumberFormat="0" applyBorder="0" applyAlignment="0" applyProtection="0">
      <alignment vertical="center"/>
    </xf>
    <xf numFmtId="0" fontId="26" fillId="71" borderId="0" applyNumberFormat="0" applyBorder="0" applyAlignment="0" applyProtection="0">
      <alignment vertical="center"/>
    </xf>
    <xf numFmtId="0" fontId="27" fillId="71" borderId="0" applyNumberFormat="0" applyBorder="0" applyAlignment="0" applyProtection="0">
      <alignment vertical="center"/>
    </xf>
    <xf numFmtId="0" fontId="26" fillId="72" borderId="0" applyNumberFormat="0" applyBorder="0" applyAlignment="0" applyProtection="0">
      <alignment vertical="center"/>
    </xf>
    <xf numFmtId="0" fontId="27" fillId="72" borderId="0" applyNumberFormat="0" applyBorder="0" applyAlignment="0" applyProtection="0">
      <alignment vertical="center"/>
    </xf>
    <xf numFmtId="0" fontId="26" fillId="46" borderId="0" applyNumberFormat="0" applyBorder="0" applyAlignment="0" applyProtection="0">
      <alignment vertical="center"/>
    </xf>
    <xf numFmtId="0" fontId="27" fillId="46" borderId="0" applyNumberFormat="0" applyBorder="0" applyAlignment="0" applyProtection="0">
      <alignment vertical="center"/>
    </xf>
    <xf numFmtId="0" fontId="26" fillId="47" borderId="0" applyNumberFormat="0" applyBorder="0" applyAlignment="0" applyProtection="0">
      <alignment vertical="center"/>
    </xf>
    <xf numFmtId="0" fontId="27" fillId="47" borderId="0" applyNumberFormat="0" applyBorder="0" applyAlignment="0" applyProtection="0">
      <alignment vertical="center"/>
    </xf>
    <xf numFmtId="0" fontId="26" fillId="73" borderId="0" applyNumberFormat="0" applyBorder="0" applyAlignment="0" applyProtection="0">
      <alignment vertical="center"/>
    </xf>
    <xf numFmtId="0" fontId="27" fillId="73" borderId="0" applyNumberFormat="0" applyBorder="0" applyAlignment="0" applyProtection="0">
      <alignment vertical="center"/>
    </xf>
    <xf numFmtId="0" fontId="40" fillId="0" borderId="0"/>
    <xf numFmtId="0" fontId="66" fillId="0" borderId="0" applyNumberFormat="0" applyFill="0" applyBorder="0" applyAlignment="0" applyProtection="0">
      <alignment vertical="center"/>
    </xf>
    <xf numFmtId="0" fontId="67" fillId="0" borderId="21" applyNumberFormat="0" applyFill="0" applyAlignment="0" applyProtection="0">
      <alignment vertical="center"/>
    </xf>
    <xf numFmtId="0" fontId="68" fillId="0" borderId="21" applyNumberFormat="0" applyFill="0" applyAlignment="0" applyProtection="0">
      <alignment vertical="center"/>
    </xf>
    <xf numFmtId="0" fontId="69" fillId="0" borderId="15" applyNumberFormat="0" applyFill="0" applyAlignment="0" applyProtection="0">
      <alignment vertical="center"/>
    </xf>
    <xf numFmtId="0" fontId="70" fillId="0" borderId="15" applyNumberFormat="0" applyFill="0" applyAlignment="0" applyProtection="0">
      <alignment vertical="center"/>
    </xf>
    <xf numFmtId="0" fontId="71" fillId="0" borderId="22" applyNumberFormat="0" applyFill="0" applyAlignment="0" applyProtection="0">
      <alignment vertical="center"/>
    </xf>
    <xf numFmtId="0" fontId="72" fillId="0" borderId="22" applyNumberFormat="0" applyFill="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38" fillId="0" borderId="0"/>
    <xf numFmtId="0" fontId="74" fillId="74" borderId="11" applyNumberFormat="0" applyAlignment="0" applyProtection="0">
      <alignment vertical="center"/>
    </xf>
    <xf numFmtId="0" fontId="75" fillId="74" borderId="11" applyNumberFormat="0" applyAlignment="0" applyProtection="0">
      <alignment vertical="center"/>
    </xf>
    <xf numFmtId="0" fontId="76" fillId="0" borderId="23" applyNumberFormat="0" applyFill="0" applyAlignment="0" applyProtection="0">
      <alignment vertical="center"/>
    </xf>
    <xf numFmtId="0" fontId="77" fillId="0" borderId="23" applyNumberFormat="0" applyFill="0" applyAlignment="0" applyProtection="0">
      <alignment vertical="center"/>
    </xf>
    <xf numFmtId="0" fontId="24" fillId="67" borderId="18" applyNumberFormat="0" applyFont="0" applyAlignment="0" applyProtection="0">
      <alignment vertical="center"/>
    </xf>
    <xf numFmtId="0" fontId="25" fillId="67" borderId="18" applyNumberFormat="0" applyFont="0" applyAlignment="0" applyProtection="0">
      <alignment vertical="center"/>
    </xf>
    <xf numFmtId="9" fontId="22" fillId="0" borderId="0" applyFont="0" applyFill="0" applyBorder="0" applyAlignment="0" applyProtection="0"/>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75" borderId="10" applyNumberFormat="0" applyAlignment="0" applyProtection="0">
      <alignment vertical="center"/>
    </xf>
    <xf numFmtId="0" fontId="83" fillId="75" borderId="10" applyNumberFormat="0" applyAlignment="0" applyProtection="0">
      <alignment vertical="center"/>
    </xf>
    <xf numFmtId="0" fontId="84" fillId="40" borderId="10" applyNumberFormat="0" applyAlignment="0" applyProtection="0">
      <alignment vertical="center"/>
    </xf>
    <xf numFmtId="0" fontId="85" fillId="40" borderId="10" applyNumberFormat="0" applyAlignment="0" applyProtection="0">
      <alignment vertical="center"/>
    </xf>
    <xf numFmtId="0" fontId="86" fillId="75" borderId="19" applyNumberFormat="0" applyAlignment="0" applyProtection="0">
      <alignment vertical="center"/>
    </xf>
    <xf numFmtId="0" fontId="87" fillId="75" borderId="19" applyNumberFormat="0" applyAlignment="0" applyProtection="0">
      <alignment vertical="center"/>
    </xf>
    <xf numFmtId="0" fontId="88" fillId="76" borderId="0" applyNumberFormat="0" applyBorder="0" applyAlignment="0" applyProtection="0">
      <alignment vertical="center"/>
    </xf>
    <xf numFmtId="0" fontId="89" fillId="76" borderId="0" applyNumberFormat="0" applyBorder="0" applyAlignment="0" applyProtection="0">
      <alignment vertical="center"/>
    </xf>
    <xf numFmtId="0" fontId="90" fillId="0" borderId="17" applyNumberFormat="0" applyFill="0" applyAlignment="0" applyProtection="0">
      <alignment vertical="center"/>
    </xf>
    <xf numFmtId="0" fontId="91" fillId="0" borderId="17" applyNumberFormat="0" applyFill="0" applyAlignment="0" applyProtection="0">
      <alignment vertical="center"/>
    </xf>
  </cellStyleXfs>
  <cellXfs count="1459">
    <xf numFmtId="0" fontId="0" fillId="0" borderId="0" xfId="0"/>
    <xf numFmtId="0" fontId="38" fillId="77" borderId="29" xfId="0" applyFont="1" applyFill="1" applyBorder="1" applyAlignment="1">
      <alignment horizontal="center" vertical="center"/>
    </xf>
    <xf numFmtId="0" fontId="38" fillId="77" borderId="30" xfId="0" applyFont="1" applyFill="1" applyBorder="1" applyAlignment="1">
      <alignment vertical="center" wrapText="1"/>
    </xf>
    <xf numFmtId="0" fontId="38" fillId="77" borderId="30" xfId="0" applyFont="1" applyFill="1" applyBorder="1" applyAlignment="1">
      <alignment vertical="center"/>
    </xf>
    <xf numFmtId="0" fontId="38" fillId="77" borderId="31" xfId="0" applyFont="1" applyFill="1" applyBorder="1"/>
    <xf numFmtId="181" fontId="38" fillId="77" borderId="33" xfId="0" applyNumberFormat="1" applyFont="1" applyFill="1" applyBorder="1" applyAlignment="1">
      <alignment horizontal="center" vertical="center" wrapText="1"/>
    </xf>
    <xf numFmtId="0" fontId="38" fillId="77" borderId="33" xfId="0" applyFont="1" applyFill="1" applyBorder="1" applyAlignment="1">
      <alignment vertical="center" wrapText="1"/>
    </xf>
    <xf numFmtId="0" fontId="38" fillId="77" borderId="34" xfId="0" applyFont="1" applyFill="1" applyBorder="1"/>
    <xf numFmtId="181" fontId="38" fillId="77" borderId="36" xfId="0" applyNumberFormat="1" applyFont="1" applyFill="1" applyBorder="1" applyAlignment="1">
      <alignment horizontal="center" vertical="center" wrapText="1"/>
    </xf>
    <xf numFmtId="0" fontId="38" fillId="77" borderId="37" xfId="0" applyFont="1" applyFill="1" applyBorder="1" applyAlignment="1">
      <alignment vertical="center" wrapText="1"/>
    </xf>
    <xf numFmtId="0" fontId="38" fillId="77" borderId="36" xfId="0" applyFont="1" applyFill="1" applyBorder="1" applyAlignment="1">
      <alignment vertical="center" wrapText="1"/>
    </xf>
    <xf numFmtId="0" fontId="38" fillId="77" borderId="38" xfId="0" applyFont="1" applyFill="1" applyBorder="1"/>
    <xf numFmtId="0" fontId="38" fillId="77" borderId="39" xfId="0" applyFont="1" applyFill="1" applyBorder="1"/>
    <xf numFmtId="0" fontId="92" fillId="77" borderId="36" xfId="0" applyFont="1" applyFill="1" applyBorder="1" applyAlignment="1">
      <alignment vertical="center" wrapText="1"/>
    </xf>
    <xf numFmtId="0" fontId="38" fillId="77" borderId="36" xfId="0" applyFont="1" applyFill="1" applyBorder="1" applyAlignment="1">
      <alignment vertical="center"/>
    </xf>
    <xf numFmtId="0" fontId="38" fillId="77" borderId="40" xfId="0" applyFont="1" applyFill="1" applyBorder="1" applyAlignment="1">
      <alignment horizontal="right" vertical="center"/>
    </xf>
    <xf numFmtId="0" fontId="92" fillId="77" borderId="41" xfId="0" applyFont="1" applyFill="1" applyBorder="1" applyAlignment="1">
      <alignment vertical="center" wrapText="1"/>
    </xf>
    <xf numFmtId="0" fontId="38" fillId="77" borderId="41" xfId="0" applyFont="1" applyFill="1" applyBorder="1" applyAlignment="1">
      <alignment vertical="center" wrapText="1"/>
    </xf>
    <xf numFmtId="0" fontId="38" fillId="77" borderId="41" xfId="0" applyFont="1" applyFill="1" applyBorder="1" applyAlignment="1">
      <alignment vertical="center"/>
    </xf>
    <xf numFmtId="0" fontId="38" fillId="77" borderId="43" xfId="0" applyFont="1" applyFill="1" applyBorder="1"/>
    <xf numFmtId="0" fontId="38" fillId="77" borderId="33" xfId="0" applyFont="1" applyFill="1" applyBorder="1" applyAlignment="1">
      <alignment horizontal="center" vertical="center" wrapText="1"/>
    </xf>
    <xf numFmtId="0" fontId="38" fillId="77" borderId="33" xfId="0" applyFont="1" applyFill="1" applyBorder="1" applyAlignment="1">
      <alignment horizontal="center" vertical="center"/>
    </xf>
    <xf numFmtId="0" fontId="38" fillId="77" borderId="34" xfId="0" applyFont="1" applyFill="1" applyBorder="1" applyAlignment="1">
      <alignment horizontal="center"/>
    </xf>
    <xf numFmtId="0" fontId="95" fillId="77" borderId="36" xfId="0" applyFont="1" applyFill="1" applyBorder="1" applyAlignment="1">
      <alignment vertical="center"/>
    </xf>
    <xf numFmtId="0" fontId="38" fillId="77" borderId="36" xfId="0" applyFont="1" applyFill="1" applyBorder="1"/>
    <xf numFmtId="0" fontId="94" fillId="77" borderId="36" xfId="0" applyFont="1" applyFill="1" applyBorder="1" applyAlignment="1">
      <alignment horizontal="left" vertical="center"/>
    </xf>
    <xf numFmtId="181" fontId="38" fillId="77" borderId="46" xfId="0" applyNumberFormat="1" applyFont="1" applyFill="1" applyBorder="1" applyAlignment="1">
      <alignment horizontal="center" vertical="center" wrapText="1"/>
    </xf>
    <xf numFmtId="181" fontId="38" fillId="77" borderId="37" xfId="0" applyNumberFormat="1" applyFont="1" applyFill="1" applyBorder="1" applyAlignment="1">
      <alignment horizontal="center" vertical="center" wrapText="1"/>
    </xf>
    <xf numFmtId="0" fontId="95" fillId="77" borderId="37" xfId="0" applyFont="1" applyFill="1" applyBorder="1" applyAlignment="1">
      <alignment vertical="center"/>
    </xf>
    <xf numFmtId="0" fontId="92" fillId="77" borderId="32" xfId="0" applyFont="1" applyFill="1" applyBorder="1" applyAlignment="1">
      <alignment horizontal="center" vertical="center"/>
    </xf>
    <xf numFmtId="0" fontId="92" fillId="77" borderId="33" xfId="0" applyFont="1" applyFill="1" applyBorder="1" applyAlignment="1">
      <alignment vertical="center"/>
    </xf>
    <xf numFmtId="0" fontId="92" fillId="77" borderId="34" xfId="0" applyFont="1" applyFill="1" applyBorder="1" applyAlignment="1">
      <alignment vertical="center"/>
    </xf>
    <xf numFmtId="0" fontId="38" fillId="77" borderId="35" xfId="0" applyFont="1" applyFill="1" applyBorder="1" applyAlignment="1">
      <alignment horizontal="center"/>
    </xf>
    <xf numFmtId="0" fontId="38" fillId="0" borderId="36" xfId="0" applyFont="1" applyBorder="1" applyAlignment="1">
      <alignment vertical="center" wrapText="1"/>
    </xf>
    <xf numFmtId="0" fontId="38" fillId="0" borderId="36" xfId="0" applyFont="1" applyBorder="1" applyAlignment="1">
      <alignment vertical="center"/>
    </xf>
    <xf numFmtId="0" fontId="38" fillId="77" borderId="26" xfId="0" applyFont="1" applyFill="1" applyBorder="1" applyAlignment="1">
      <alignment horizontal="center"/>
    </xf>
    <xf numFmtId="0" fontId="38" fillId="77" borderId="49" xfId="0" applyFont="1" applyFill="1" applyBorder="1"/>
    <xf numFmtId="0" fontId="38" fillId="77" borderId="27" xfId="0" applyFont="1" applyFill="1" applyBorder="1"/>
    <xf numFmtId="0" fontId="38" fillId="77" borderId="28" xfId="0" applyFont="1" applyFill="1" applyBorder="1"/>
    <xf numFmtId="0" fontId="94" fillId="77" borderId="37" xfId="0" applyFont="1" applyFill="1" applyBorder="1" applyAlignment="1">
      <alignment vertical="center"/>
    </xf>
    <xf numFmtId="0" fontId="38" fillId="77" borderId="37" xfId="0" applyFont="1" applyFill="1" applyBorder="1"/>
    <xf numFmtId="0" fontId="38" fillId="77" borderId="39" xfId="0" applyFont="1" applyFill="1" applyBorder="1" applyAlignment="1">
      <alignment vertical="center"/>
    </xf>
    <xf numFmtId="0" fontId="95" fillId="0" borderId="36" xfId="0" applyFont="1" applyBorder="1" applyAlignment="1">
      <alignment vertical="center"/>
    </xf>
    <xf numFmtId="0" fontId="95" fillId="0" borderId="36" xfId="0" applyFont="1" applyBorder="1" applyAlignment="1">
      <alignment vertical="center" wrapText="1"/>
    </xf>
    <xf numFmtId="0" fontId="95" fillId="0" borderId="41" xfId="0" applyFont="1" applyBorder="1" applyAlignment="1">
      <alignment vertical="center"/>
    </xf>
    <xf numFmtId="0" fontId="95" fillId="0" borderId="41" xfId="0" applyFont="1" applyBorder="1" applyAlignment="1">
      <alignment vertical="center" wrapText="1"/>
    </xf>
    <xf numFmtId="0" fontId="38" fillId="77" borderId="43" xfId="0" applyFont="1" applyFill="1" applyBorder="1" applyAlignment="1">
      <alignment vertical="center"/>
    </xf>
    <xf numFmtId="0" fontId="38" fillId="77" borderId="50" xfId="0" applyFont="1" applyFill="1" applyBorder="1" applyAlignment="1">
      <alignment horizontal="center"/>
    </xf>
    <xf numFmtId="0" fontId="38" fillId="77" borderId="51" xfId="0" applyFont="1" applyFill="1" applyBorder="1"/>
    <xf numFmtId="0" fontId="38" fillId="77" borderId="52" xfId="0" applyFont="1" applyFill="1" applyBorder="1"/>
    <xf numFmtId="0" fontId="92" fillId="0" borderId="0" xfId="14867" applyFont="1" applyBorder="1" applyAlignment="1"/>
    <xf numFmtId="0" fontId="38" fillId="0" borderId="0" xfId="0" applyFont="1"/>
    <xf numFmtId="0" fontId="38" fillId="0" borderId="0" xfId="0" applyFont="1" applyBorder="1"/>
    <xf numFmtId="0" fontId="92" fillId="0" borderId="0" xfId="0" applyFont="1" applyBorder="1"/>
    <xf numFmtId="0" fontId="93" fillId="0" borderId="0" xfId="14867" quotePrefix="1" applyFont="1" applyBorder="1" applyAlignment="1"/>
    <xf numFmtId="0" fontId="38" fillId="0" borderId="0" xfId="0" applyFont="1" applyAlignment="1">
      <alignment wrapText="1"/>
    </xf>
    <xf numFmtId="0" fontId="38" fillId="0" borderId="0" xfId="0" applyFont="1" applyAlignment="1">
      <alignment horizontal="center"/>
    </xf>
    <xf numFmtId="0" fontId="95" fillId="0" borderId="0" xfId="0" applyFont="1" applyAlignment="1">
      <alignment vertical="center"/>
    </xf>
    <xf numFmtId="0" fontId="97" fillId="0" borderId="0" xfId="0" applyFont="1" applyFill="1"/>
    <xf numFmtId="0" fontId="92" fillId="0" borderId="0" xfId="36355" applyFont="1" applyFill="1" applyAlignment="1">
      <alignment horizontal="center"/>
    </xf>
    <xf numFmtId="0" fontId="38" fillId="0" borderId="0" xfId="36355" applyFont="1" applyFill="1"/>
    <xf numFmtId="0" fontId="92" fillId="0" borderId="0" xfId="36355" applyFont="1" applyFill="1" applyAlignment="1"/>
    <xf numFmtId="0" fontId="98" fillId="0" borderId="0" xfId="0" applyFont="1" applyFill="1"/>
    <xf numFmtId="0" fontId="92" fillId="0" borderId="0" xfId="36355" applyFont="1" applyFill="1" applyAlignment="1">
      <alignment horizontal="center" vertical="center"/>
    </xf>
    <xf numFmtId="0" fontId="97" fillId="0" borderId="0" xfId="0" applyFont="1" applyFill="1" applyAlignment="1">
      <alignment vertical="center"/>
    </xf>
    <xf numFmtId="0" fontId="38" fillId="0" borderId="0" xfId="36355" applyFont="1" applyFill="1" applyAlignment="1">
      <alignment vertical="center"/>
    </xf>
    <xf numFmtId="15" fontId="99" fillId="0" borderId="13" xfId="36355" applyNumberFormat="1" applyFont="1" applyFill="1" applyBorder="1" applyAlignment="1">
      <alignment horizontal="left"/>
    </xf>
    <xf numFmtId="15" fontId="100" fillId="0" borderId="57" xfId="36355" applyNumberFormat="1" applyFont="1" applyFill="1" applyBorder="1" applyAlignment="1">
      <alignment horizontal="left"/>
    </xf>
    <xf numFmtId="0" fontId="99" fillId="0" borderId="13" xfId="36355" applyFont="1" applyFill="1" applyBorder="1"/>
    <xf numFmtId="166" fontId="99" fillId="0" borderId="13" xfId="1" applyFont="1" applyFill="1" applyBorder="1"/>
    <xf numFmtId="2" fontId="99" fillId="0" borderId="13" xfId="36355" applyNumberFormat="1" applyFont="1" applyFill="1" applyBorder="1"/>
    <xf numFmtId="0" fontId="97" fillId="0" borderId="0" xfId="0" applyNumberFormat="1" applyFont="1" applyFill="1"/>
    <xf numFmtId="166" fontId="97" fillId="0" borderId="0" xfId="0" applyNumberFormat="1" applyFont="1" applyFill="1"/>
    <xf numFmtId="166" fontId="98" fillId="0" borderId="0" xfId="1" applyFont="1" applyFill="1"/>
    <xf numFmtId="10" fontId="99" fillId="0" borderId="13" xfId="2" applyNumberFormat="1" applyFont="1" applyFill="1" applyBorder="1"/>
    <xf numFmtId="0" fontId="97" fillId="0" borderId="13" xfId="0" applyFont="1" applyFill="1" applyBorder="1"/>
    <xf numFmtId="0" fontId="95" fillId="0" borderId="0" xfId="0" applyFont="1"/>
    <xf numFmtId="0" fontId="95" fillId="0" borderId="0" xfId="0" applyFont="1"/>
    <xf numFmtId="0" fontId="95" fillId="0" borderId="61" xfId="0" applyFont="1" applyBorder="1" applyAlignment="1">
      <alignment horizontal="center"/>
    </xf>
    <xf numFmtId="166" fontId="95" fillId="0" borderId="62" xfId="1" applyFont="1" applyBorder="1"/>
    <xf numFmtId="166" fontId="95" fillId="0" borderId="63" xfId="1" applyFont="1" applyBorder="1"/>
    <xf numFmtId="166" fontId="95" fillId="0" borderId="0" xfId="0" applyNumberFormat="1" applyFont="1"/>
    <xf numFmtId="166" fontId="95" fillId="0" borderId="0" xfId="1" applyFont="1"/>
    <xf numFmtId="0" fontId="94" fillId="0" borderId="61" xfId="0" applyFont="1" applyBorder="1" applyAlignment="1">
      <alignment horizontal="center"/>
    </xf>
    <xf numFmtId="0" fontId="94" fillId="0" borderId="62" xfId="0" applyFont="1" applyBorder="1" applyAlignment="1">
      <alignment horizontal="center"/>
    </xf>
    <xf numFmtId="0" fontId="94" fillId="0" borderId="63" xfId="0" applyFont="1" applyBorder="1" applyAlignment="1">
      <alignment horizontal="center"/>
    </xf>
    <xf numFmtId="0" fontId="95" fillId="0" borderId="62" xfId="0" applyFont="1" applyBorder="1"/>
    <xf numFmtId="0" fontId="95" fillId="0" borderId="62" xfId="0" applyFont="1" applyFill="1" applyBorder="1"/>
    <xf numFmtId="166" fontId="95" fillId="0" borderId="62" xfId="1" applyFont="1" applyFill="1" applyBorder="1"/>
    <xf numFmtId="166" fontId="95" fillId="0" borderId="63" xfId="1" applyFont="1" applyFill="1" applyBorder="1"/>
    <xf numFmtId="9" fontId="95" fillId="0" borderId="0" xfId="2" applyFont="1"/>
    <xf numFmtId="182" fontId="95" fillId="0" borderId="0" xfId="0" applyNumberFormat="1" applyFont="1"/>
    <xf numFmtId="10" fontId="95" fillId="0" borderId="0" xfId="0" applyNumberFormat="1" applyFont="1"/>
    <xf numFmtId="0" fontId="95" fillId="0" borderId="0" xfId="0" applyFont="1" applyAlignment="1">
      <alignment horizontal="center"/>
    </xf>
    <xf numFmtId="183" fontId="38" fillId="77" borderId="0" xfId="12002" applyNumberFormat="1" applyFont="1" applyFill="1" applyAlignment="1">
      <alignment vertical="center"/>
    </xf>
    <xf numFmtId="183" fontId="38" fillId="77" borderId="68" xfId="12002" applyNumberFormat="1" applyFont="1" applyFill="1" applyBorder="1" applyAlignment="1">
      <alignment vertical="center" wrapText="1"/>
    </xf>
    <xf numFmtId="183" fontId="92" fillId="77" borderId="33" xfId="12002" applyNumberFormat="1" applyFont="1" applyFill="1" applyBorder="1" applyAlignment="1">
      <alignment vertical="center" wrapText="1"/>
    </xf>
    <xf numFmtId="183" fontId="92" fillId="77" borderId="33" xfId="12002" applyNumberFormat="1" applyFont="1" applyFill="1" applyBorder="1" applyAlignment="1">
      <alignment horizontal="center" vertical="center"/>
    </xf>
    <xf numFmtId="2" fontId="92" fillId="77" borderId="33" xfId="2338" applyNumberFormat="1" applyFont="1" applyFill="1" applyBorder="1" applyAlignment="1">
      <alignment horizontal="center" vertical="center"/>
    </xf>
    <xf numFmtId="166" fontId="92" fillId="77" borderId="33" xfId="2338" applyFont="1" applyFill="1" applyBorder="1" applyAlignment="1">
      <alignment horizontal="left" vertical="center" wrapText="1"/>
    </xf>
    <xf numFmtId="166" fontId="92" fillId="77" borderId="33" xfId="2338" applyFont="1" applyFill="1" applyBorder="1" applyAlignment="1">
      <alignment vertical="center" wrapText="1"/>
    </xf>
    <xf numFmtId="166" fontId="92" fillId="77" borderId="33" xfId="1" applyFont="1" applyFill="1" applyBorder="1" applyAlignment="1">
      <alignment horizontal="center" vertical="center"/>
    </xf>
    <xf numFmtId="2" fontId="92" fillId="77" borderId="34" xfId="2338" applyNumberFormat="1" applyFont="1" applyFill="1" applyBorder="1" applyAlignment="1">
      <alignment horizontal="center" vertical="center"/>
    </xf>
    <xf numFmtId="183" fontId="92" fillId="77" borderId="62" xfId="14855" applyNumberFormat="1" applyFont="1" applyFill="1" applyBorder="1" applyAlignment="1" applyProtection="1">
      <alignment vertical="center" wrapText="1"/>
    </xf>
    <xf numFmtId="183" fontId="38" fillId="77" borderId="62" xfId="14855" applyNumberFormat="1" applyFont="1" applyFill="1" applyBorder="1" applyAlignment="1" applyProtection="1">
      <alignment horizontal="center" vertical="center" wrapText="1"/>
    </xf>
    <xf numFmtId="2" fontId="38" fillId="77" borderId="62" xfId="14855" applyNumberFormat="1" applyFont="1" applyFill="1" applyBorder="1" applyAlignment="1" applyProtection="1">
      <alignment horizontal="center" vertical="center" wrapText="1"/>
    </xf>
    <xf numFmtId="166" fontId="38" fillId="77" borderId="62" xfId="2338" applyFont="1" applyFill="1" applyBorder="1" applyAlignment="1" applyProtection="1">
      <alignment horizontal="left" vertical="center" wrapText="1"/>
    </xf>
    <xf numFmtId="166" fontId="38" fillId="77" borderId="62" xfId="2338" applyFont="1" applyFill="1" applyBorder="1" applyAlignment="1" applyProtection="1">
      <alignment horizontal="right" vertical="center" wrapText="1"/>
    </xf>
    <xf numFmtId="166" fontId="38" fillId="77" borderId="62" xfId="1" applyFont="1" applyFill="1" applyBorder="1" applyAlignment="1" applyProtection="1">
      <alignment horizontal="center" vertical="center" wrapText="1"/>
    </xf>
    <xf numFmtId="2" fontId="38" fillId="77" borderId="63" xfId="14855" applyNumberFormat="1" applyFont="1" applyFill="1" applyBorder="1" applyAlignment="1" applyProtection="1">
      <alignment horizontal="center" vertical="center" wrapText="1"/>
    </xf>
    <xf numFmtId="183" fontId="92" fillId="77" borderId="62" xfId="14855" applyNumberFormat="1" applyFont="1" applyFill="1" applyBorder="1" applyAlignment="1">
      <alignment vertical="center" wrapText="1"/>
    </xf>
    <xf numFmtId="183" fontId="38" fillId="77" borderId="62" xfId="14855" applyNumberFormat="1" applyFont="1" applyFill="1" applyBorder="1" applyAlignment="1" applyProtection="1">
      <alignment horizontal="center" vertical="center" wrapText="1"/>
      <protection locked="0"/>
    </xf>
    <xf numFmtId="2" fontId="38" fillId="77" borderId="62" xfId="14855" applyNumberFormat="1" applyFont="1" applyFill="1" applyBorder="1" applyAlignment="1" applyProtection="1">
      <alignment horizontal="center" vertical="center" wrapText="1"/>
      <protection locked="0"/>
    </xf>
    <xf numFmtId="166" fontId="38" fillId="77" borderId="62" xfId="2338" applyFont="1" applyFill="1" applyBorder="1" applyAlignment="1" applyProtection="1">
      <alignment horizontal="left" vertical="center" wrapText="1"/>
      <protection locked="0"/>
    </xf>
    <xf numFmtId="166" fontId="38" fillId="77" borderId="62" xfId="2338" applyFont="1" applyFill="1" applyBorder="1" applyAlignment="1" applyProtection="1">
      <alignment horizontal="right" vertical="center" wrapText="1"/>
      <protection locked="0"/>
    </xf>
    <xf numFmtId="166" fontId="38" fillId="77" borderId="62" xfId="1" applyFont="1" applyFill="1" applyBorder="1" applyAlignment="1" applyProtection="1">
      <alignment horizontal="center" vertical="center" wrapText="1"/>
      <protection locked="0"/>
    </xf>
    <xf numFmtId="2" fontId="38" fillId="77" borderId="63" xfId="14855" applyNumberFormat="1" applyFont="1" applyFill="1" applyBorder="1" applyAlignment="1" applyProtection="1">
      <alignment horizontal="center" vertical="center" wrapText="1"/>
      <protection locked="0"/>
    </xf>
    <xf numFmtId="183" fontId="38" fillId="77" borderId="62" xfId="14855" applyNumberFormat="1" applyFont="1" applyFill="1" applyBorder="1" applyAlignment="1">
      <alignment vertical="center" wrapText="1"/>
    </xf>
    <xf numFmtId="183" fontId="38" fillId="77" borderId="62" xfId="14855" applyNumberFormat="1" applyFont="1" applyFill="1" applyBorder="1" applyAlignment="1">
      <alignment horizontal="center" vertical="center" wrapText="1"/>
    </xf>
    <xf numFmtId="2" fontId="38" fillId="77" borderId="62" xfId="14855" applyNumberFormat="1" applyFont="1" applyFill="1" applyBorder="1" applyAlignment="1">
      <alignment horizontal="center" vertical="center" wrapText="1"/>
    </xf>
    <xf numFmtId="166" fontId="38" fillId="77" borderId="62" xfId="2338" applyFont="1" applyFill="1" applyBorder="1" applyAlignment="1">
      <alignment horizontal="right" vertical="center" wrapText="1"/>
    </xf>
    <xf numFmtId="166" fontId="38" fillId="77" borderId="62" xfId="1" applyFont="1" applyFill="1" applyBorder="1" applyAlignment="1">
      <alignment horizontal="center" vertical="center" wrapText="1"/>
    </xf>
    <xf numFmtId="2" fontId="38" fillId="77" borderId="63" xfId="14855" applyNumberFormat="1" applyFont="1" applyFill="1" applyBorder="1" applyAlignment="1">
      <alignment horizontal="center" vertical="center" wrapText="1"/>
    </xf>
    <xf numFmtId="9" fontId="38" fillId="77" borderId="62" xfId="37530" applyFont="1" applyFill="1" applyBorder="1" applyAlignment="1">
      <alignment horizontal="left" vertical="center" wrapText="1"/>
    </xf>
    <xf numFmtId="9" fontId="38" fillId="77" borderId="62" xfId="37530" applyFont="1" applyFill="1" applyBorder="1" applyAlignment="1">
      <alignment horizontal="center" vertical="center" wrapText="1"/>
    </xf>
    <xf numFmtId="183" fontId="38" fillId="77" borderId="62" xfId="14855" applyNumberFormat="1" applyFont="1" applyFill="1" applyBorder="1" applyAlignment="1" applyProtection="1">
      <alignment vertical="center" wrapText="1"/>
    </xf>
    <xf numFmtId="166" fontId="38" fillId="77" borderId="62" xfId="2338" applyFont="1" applyFill="1" applyBorder="1" applyAlignment="1">
      <alignment horizontal="left" vertical="center"/>
    </xf>
    <xf numFmtId="166" fontId="38" fillId="77" borderId="62" xfId="2338" applyFont="1" applyFill="1" applyBorder="1" applyAlignment="1">
      <alignment vertical="center"/>
    </xf>
    <xf numFmtId="183" fontId="38" fillId="77" borderId="62" xfId="14855" applyNumberFormat="1" applyFont="1" applyFill="1" applyBorder="1" applyAlignment="1" applyProtection="1">
      <alignment vertical="center" wrapText="1"/>
      <protection locked="0"/>
    </xf>
    <xf numFmtId="166" fontId="38" fillId="77" borderId="62" xfId="2338" applyFont="1" applyFill="1" applyBorder="1" applyAlignment="1">
      <alignment horizontal="left" vertical="center" wrapText="1"/>
    </xf>
    <xf numFmtId="183" fontId="38" fillId="0" borderId="0" xfId="12002" applyNumberFormat="1" applyFont="1" applyFill="1" applyAlignment="1">
      <alignment vertical="center"/>
    </xf>
    <xf numFmtId="183" fontId="92" fillId="77" borderId="76" xfId="12002" applyNumberFormat="1" applyFont="1" applyFill="1" applyBorder="1" applyAlignment="1">
      <alignment vertical="center" wrapText="1"/>
    </xf>
    <xf numFmtId="183" fontId="92" fillId="77" borderId="76" xfId="12002" applyNumberFormat="1" applyFont="1" applyFill="1" applyBorder="1" applyAlignment="1">
      <alignment horizontal="center" vertical="center"/>
    </xf>
    <xf numFmtId="2" fontId="92" fillId="77" borderId="76" xfId="2338" applyNumberFormat="1" applyFont="1" applyFill="1" applyBorder="1" applyAlignment="1">
      <alignment horizontal="center" vertical="center"/>
    </xf>
    <xf numFmtId="166" fontId="92" fillId="77" borderId="76" xfId="2338" applyFont="1" applyFill="1" applyBorder="1" applyAlignment="1">
      <alignment horizontal="left" vertical="center"/>
    </xf>
    <xf numFmtId="166" fontId="92" fillId="77" borderId="76" xfId="2338" applyFont="1" applyFill="1" applyBorder="1" applyAlignment="1">
      <alignment horizontal="center" vertical="center"/>
    </xf>
    <xf numFmtId="2" fontId="92" fillId="77" borderId="77" xfId="2338" applyNumberFormat="1" applyFont="1" applyFill="1" applyBorder="1" applyAlignment="1">
      <alignment horizontal="center" vertical="center"/>
    </xf>
    <xf numFmtId="183" fontId="92" fillId="77" borderId="62" xfId="12002" applyNumberFormat="1" applyFont="1" applyFill="1" applyBorder="1" applyAlignment="1">
      <alignment vertical="center" wrapText="1"/>
    </xf>
    <xf numFmtId="183" fontId="38" fillId="77" borderId="62" xfId="12002" applyNumberFormat="1" applyFont="1" applyFill="1" applyBorder="1" applyAlignment="1">
      <alignment horizontal="center" vertical="center"/>
    </xf>
    <xf numFmtId="2" fontId="38" fillId="77" borderId="62" xfId="8080" applyNumberFormat="1" applyFont="1" applyFill="1" applyBorder="1" applyAlignment="1">
      <alignment horizontal="center" vertical="center"/>
    </xf>
    <xf numFmtId="166" fontId="38" fillId="77" borderId="62" xfId="2338" applyFont="1" applyFill="1" applyBorder="1" applyAlignment="1">
      <alignment horizontal="center" vertical="center"/>
    </xf>
    <xf numFmtId="2" fontId="38" fillId="77" borderId="63" xfId="8080" applyNumberFormat="1" applyFont="1" applyFill="1" applyBorder="1" applyAlignment="1">
      <alignment horizontal="center" vertical="center"/>
    </xf>
    <xf numFmtId="183" fontId="38" fillId="77" borderId="62" xfId="12002" applyNumberFormat="1" applyFont="1" applyFill="1" applyBorder="1" applyAlignment="1">
      <alignment vertical="center" wrapText="1"/>
    </xf>
    <xf numFmtId="2" fontId="38" fillId="77" borderId="62" xfId="2338" applyNumberFormat="1" applyFont="1" applyFill="1" applyBorder="1" applyAlignment="1">
      <alignment horizontal="center" vertical="center"/>
    </xf>
    <xf numFmtId="2" fontId="38" fillId="77" borderId="63" xfId="2338" applyNumberFormat="1" applyFont="1" applyFill="1" applyBorder="1" applyAlignment="1">
      <alignment horizontal="center" vertical="center"/>
    </xf>
    <xf numFmtId="183" fontId="92" fillId="77" borderId="62" xfId="12002" applyNumberFormat="1" applyFont="1" applyFill="1" applyBorder="1" applyAlignment="1">
      <alignment horizontal="right" vertical="center" wrapText="1"/>
    </xf>
    <xf numFmtId="166" fontId="92" fillId="77" borderId="62" xfId="2338" applyFont="1" applyFill="1" applyBorder="1" applyAlignment="1">
      <alignment vertical="center"/>
    </xf>
    <xf numFmtId="183" fontId="92" fillId="77" borderId="41" xfId="12002" applyNumberFormat="1" applyFont="1" applyFill="1" applyBorder="1" applyAlignment="1">
      <alignment vertical="center" wrapText="1"/>
    </xf>
    <xf numFmtId="183" fontId="92" fillId="77" borderId="41" xfId="12002" applyNumberFormat="1" applyFont="1" applyFill="1" applyBorder="1" applyAlignment="1">
      <alignment horizontal="center" vertical="center"/>
    </xf>
    <xf numFmtId="2" fontId="92" fillId="77" borderId="41" xfId="2338" applyNumberFormat="1" applyFont="1" applyFill="1" applyBorder="1" applyAlignment="1">
      <alignment horizontal="center" vertical="center"/>
    </xf>
    <xf numFmtId="166" fontId="92" fillId="77" borderId="41" xfId="2338" applyFont="1" applyFill="1" applyBorder="1" applyAlignment="1">
      <alignment horizontal="left" vertical="center"/>
    </xf>
    <xf numFmtId="166" fontId="92" fillId="77" borderId="41" xfId="2338" applyFont="1" applyFill="1" applyBorder="1" applyAlignment="1">
      <alignment horizontal="center" vertical="center"/>
    </xf>
    <xf numFmtId="2" fontId="92" fillId="77" borderId="43" xfId="2338" applyNumberFormat="1" applyFont="1" applyFill="1" applyBorder="1" applyAlignment="1">
      <alignment horizontal="center" vertical="center"/>
    </xf>
    <xf numFmtId="183" fontId="38" fillId="77" borderId="62" xfId="12002" applyNumberFormat="1" applyFont="1" applyFill="1" applyBorder="1" applyAlignment="1">
      <alignment horizontal="justify" vertical="center" wrapText="1"/>
    </xf>
    <xf numFmtId="166" fontId="38" fillId="77" borderId="62" xfId="2338" applyFont="1" applyFill="1" applyBorder="1" applyAlignment="1">
      <alignment horizontal="right" vertical="center"/>
    </xf>
    <xf numFmtId="166" fontId="103" fillId="77" borderId="62" xfId="2338" applyFont="1" applyFill="1" applyBorder="1" applyAlignment="1">
      <alignment horizontal="left" vertical="center"/>
    </xf>
    <xf numFmtId="166" fontId="92" fillId="77" borderId="41" xfId="2338" applyFont="1" applyFill="1" applyBorder="1" applyAlignment="1">
      <alignment horizontal="center" vertical="center" wrapText="1"/>
    </xf>
    <xf numFmtId="183" fontId="38" fillId="77" borderId="0" xfId="12002" applyNumberFormat="1" applyFont="1" applyFill="1" applyAlignment="1">
      <alignment horizontal="justify" vertical="center"/>
    </xf>
    <xf numFmtId="2" fontId="38" fillId="77" borderId="0" xfId="12002" applyNumberFormat="1" applyFont="1" applyFill="1" applyAlignment="1">
      <alignment horizontal="center" vertical="center"/>
    </xf>
    <xf numFmtId="166" fontId="38" fillId="77" borderId="0" xfId="2338" applyFont="1" applyFill="1" applyAlignment="1">
      <alignment horizontal="left" vertical="center"/>
    </xf>
    <xf numFmtId="166" fontId="38" fillId="77" borderId="0" xfId="1" applyFont="1" applyFill="1" applyAlignment="1">
      <alignment horizontal="center" vertical="center"/>
    </xf>
    <xf numFmtId="166" fontId="94" fillId="0" borderId="0" xfId="1" applyFont="1" applyFill="1"/>
    <xf numFmtId="0" fontId="95" fillId="0" borderId="0" xfId="36776" applyFont="1" applyFill="1">
      <alignment vertical="center"/>
    </xf>
    <xf numFmtId="0" fontId="40" fillId="0" borderId="96" xfId="238" applyFont="1" applyFill="1" applyBorder="1" applyAlignment="1" applyProtection="1"/>
    <xf numFmtId="2" fontId="40" fillId="0" borderId="96" xfId="238" applyNumberFormat="1" applyFont="1" applyFill="1" applyBorder="1" applyAlignment="1" applyProtection="1">
      <alignment horizontal="center" vertical="center"/>
    </xf>
    <xf numFmtId="2" fontId="40" fillId="0" borderId="96" xfId="238" applyNumberFormat="1" applyFont="1" applyFill="1" applyBorder="1" applyAlignment="1" applyProtection="1">
      <alignment horizontal="center"/>
    </xf>
    <xf numFmtId="1" fontId="40" fillId="0" borderId="96" xfId="238" applyNumberFormat="1" applyFont="1" applyFill="1" applyBorder="1" applyAlignment="1" applyProtection="1">
      <alignment horizontal="center" vertical="center"/>
    </xf>
    <xf numFmtId="166" fontId="40" fillId="0" borderId="96" xfId="238" applyNumberFormat="1" applyFont="1" applyFill="1" applyBorder="1" applyAlignment="1" applyProtection="1">
      <alignment horizontal="left"/>
    </xf>
    <xf numFmtId="2" fontId="40" fillId="0" borderId="96" xfId="238" applyNumberFormat="1" applyFont="1" applyFill="1" applyBorder="1" applyAlignment="1" applyProtection="1"/>
    <xf numFmtId="177" fontId="40" fillId="0" borderId="96" xfId="238" applyNumberFormat="1" applyFont="1" applyFill="1" applyBorder="1" applyAlignment="1" applyProtection="1">
      <alignment horizontal="center" vertical="center"/>
    </xf>
    <xf numFmtId="1" fontId="40" fillId="0" borderId="96" xfId="238" applyNumberFormat="1" applyFont="1" applyFill="1" applyBorder="1" applyAlignment="1" applyProtection="1">
      <alignment horizontal="center"/>
    </xf>
    <xf numFmtId="166" fontId="40" fillId="0" borderId="96" xfId="2339" applyFont="1" applyFill="1" applyBorder="1" applyAlignment="1" applyProtection="1"/>
    <xf numFmtId="0" fontId="95" fillId="0" borderId="96" xfId="36776" applyFont="1" applyFill="1" applyBorder="1" applyAlignment="1">
      <alignment horizontal="center" vertical="center" wrapText="1"/>
    </xf>
    <xf numFmtId="0" fontId="40" fillId="0" borderId="96" xfId="238" applyFont="1" applyFill="1" applyBorder="1" applyAlignment="1" applyProtection="1">
      <alignment horizontal="left"/>
    </xf>
    <xf numFmtId="1" fontId="40" fillId="0" borderId="96" xfId="238" applyNumberFormat="1" applyFont="1" applyFill="1" applyBorder="1" applyAlignment="1" applyProtection="1"/>
    <xf numFmtId="2" fontId="99" fillId="0" borderId="96" xfId="238" applyNumberFormat="1" applyFont="1" applyFill="1" applyBorder="1" applyAlignment="1" applyProtection="1">
      <alignment horizontal="center"/>
    </xf>
    <xf numFmtId="0" fontId="95" fillId="0" borderId="96" xfId="36776" applyFont="1" applyFill="1" applyBorder="1" applyAlignment="1"/>
    <xf numFmtId="0" fontId="40" fillId="0" borderId="96" xfId="238" applyFont="1" applyFill="1" applyBorder="1" applyAlignment="1" applyProtection="1">
      <alignment horizontal="center"/>
    </xf>
    <xf numFmtId="166" fontId="40" fillId="0" borderId="96" xfId="2339" applyFont="1" applyFill="1" applyBorder="1" applyAlignment="1" applyProtection="1">
      <alignment horizontal="center" vertical="center"/>
    </xf>
    <xf numFmtId="166" fontId="95" fillId="0" borderId="96" xfId="4724" applyFont="1" applyFill="1" applyBorder="1" applyAlignment="1">
      <alignment horizontal="center" vertical="center"/>
      <protection locked="0"/>
    </xf>
    <xf numFmtId="0" fontId="40" fillId="0" borderId="96" xfId="238" applyNumberFormat="1" applyFont="1" applyFill="1" applyBorder="1" applyAlignment="1" applyProtection="1"/>
    <xf numFmtId="0" fontId="40" fillId="0" borderId="96" xfId="238" applyFont="1" applyFill="1" applyBorder="1" applyAlignment="1" applyProtection="1">
      <alignment horizontal="left" vertical="center"/>
    </xf>
    <xf numFmtId="0" fontId="40" fillId="0" borderId="96" xfId="36776" applyFont="1" applyFill="1" applyBorder="1" applyAlignment="1">
      <alignment horizontal="center" vertical="center"/>
    </xf>
    <xf numFmtId="0" fontId="95" fillId="0" borderId="96" xfId="36776" applyFont="1" applyFill="1" applyBorder="1" applyAlignment="1">
      <alignment horizontal="center"/>
    </xf>
    <xf numFmtId="166" fontId="40" fillId="0" borderId="96" xfId="238" applyNumberFormat="1" applyFont="1" applyFill="1" applyBorder="1" applyAlignment="1" applyProtection="1"/>
    <xf numFmtId="166" fontId="95" fillId="0" borderId="96" xfId="4724" applyFont="1" applyFill="1" applyBorder="1" applyAlignment="1">
      <alignment vertical="top"/>
      <protection locked="0"/>
    </xf>
    <xf numFmtId="0" fontId="105" fillId="0" borderId="0" xfId="0" applyFont="1"/>
    <xf numFmtId="0" fontId="105" fillId="0" borderId="0" xfId="0" applyFont="1"/>
    <xf numFmtId="166" fontId="105" fillId="0" borderId="0" xfId="0" applyNumberFormat="1" applyFont="1"/>
    <xf numFmtId="0" fontId="105" fillId="0" borderId="0" xfId="0" applyFont="1" applyFill="1"/>
    <xf numFmtId="0" fontId="105" fillId="0" borderId="0" xfId="0" applyFont="1" applyFill="1" applyAlignment="1">
      <alignment horizontal="center"/>
    </xf>
    <xf numFmtId="166" fontId="105" fillId="0" borderId="0" xfId="1" applyFont="1" applyFill="1"/>
    <xf numFmtId="166" fontId="105" fillId="0" borderId="0" xfId="0" applyNumberFormat="1" applyFont="1" applyFill="1"/>
    <xf numFmtId="0" fontId="95" fillId="0" borderId="65" xfId="0" applyFont="1" applyFill="1" applyBorder="1" applyAlignment="1">
      <alignment horizontal="center" vertical="center"/>
    </xf>
    <xf numFmtId="0" fontId="95" fillId="0" borderId="24" xfId="0" applyFont="1" applyFill="1" applyBorder="1" applyAlignment="1">
      <alignment horizontal="center" vertical="center"/>
    </xf>
    <xf numFmtId="0" fontId="95" fillId="0" borderId="25" xfId="0" applyFont="1" applyFill="1" applyBorder="1"/>
    <xf numFmtId="0" fontId="95" fillId="0" borderId="25" xfId="0" applyFont="1" applyFill="1" applyBorder="1" applyAlignment="1">
      <alignment horizontal="center"/>
    </xf>
    <xf numFmtId="0" fontId="95" fillId="0" borderId="25" xfId="0" applyFont="1" applyFill="1" applyBorder="1" applyAlignment="1">
      <alignment horizontal="center" vertical="center"/>
    </xf>
    <xf numFmtId="166" fontId="95" fillId="0" borderId="25" xfId="1" applyFont="1" applyFill="1" applyBorder="1" applyAlignment="1">
      <alignment horizontal="center" vertical="center"/>
    </xf>
    <xf numFmtId="166" fontId="95" fillId="0" borderId="25" xfId="1" applyFont="1" applyFill="1" applyBorder="1"/>
    <xf numFmtId="0" fontId="95" fillId="0" borderId="35" xfId="0" applyFont="1" applyFill="1" applyBorder="1" applyAlignment="1">
      <alignment horizontal="center" vertical="center"/>
    </xf>
    <xf numFmtId="0" fontId="95" fillId="0" borderId="36" xfId="0" applyFont="1" applyFill="1" applyBorder="1"/>
    <xf numFmtId="0" fontId="95" fillId="0" borderId="36" xfId="0" applyFont="1" applyFill="1" applyBorder="1" applyAlignment="1">
      <alignment horizontal="center"/>
    </xf>
    <xf numFmtId="0" fontId="95" fillId="0" borderId="36" xfId="0" applyFont="1" applyFill="1" applyBorder="1" applyAlignment="1">
      <alignment horizontal="center" vertical="center"/>
    </xf>
    <xf numFmtId="166" fontId="95" fillId="0" borderId="36" xfId="1" applyFont="1" applyFill="1" applyBorder="1" applyAlignment="1">
      <alignment horizontal="center" vertical="center"/>
    </xf>
    <xf numFmtId="166" fontId="95" fillId="0" borderId="36" xfId="1" applyFont="1" applyFill="1" applyBorder="1"/>
    <xf numFmtId="2" fontId="95" fillId="0" borderId="36" xfId="1" applyNumberFormat="1" applyFont="1" applyFill="1" applyBorder="1" applyAlignment="1">
      <alignment horizontal="right" vertical="center"/>
    </xf>
    <xf numFmtId="166" fontId="95" fillId="0" borderId="36" xfId="1" applyFont="1" applyFill="1" applyBorder="1" applyAlignment="1">
      <alignment horizontal="center"/>
    </xf>
    <xf numFmtId="0" fontId="95" fillId="0" borderId="40" xfId="0" applyFont="1" applyFill="1" applyBorder="1" applyAlignment="1">
      <alignment horizontal="center" vertical="center"/>
    </xf>
    <xf numFmtId="0" fontId="94" fillId="0" borderId="41" xfId="0" applyFont="1" applyFill="1" applyBorder="1"/>
    <xf numFmtId="0" fontId="95" fillId="0" borderId="41" xfId="0" applyFont="1" applyFill="1" applyBorder="1"/>
    <xf numFmtId="0" fontId="95" fillId="0" borderId="41" xfId="0" applyFont="1" applyFill="1" applyBorder="1" applyAlignment="1">
      <alignment horizontal="center"/>
    </xf>
    <xf numFmtId="166" fontId="95" fillId="0" borderId="41" xfId="1" applyFont="1" applyFill="1" applyBorder="1" applyAlignment="1">
      <alignment horizontal="center"/>
    </xf>
    <xf numFmtId="0" fontId="95" fillId="0" borderId="43" xfId="0" applyFont="1" applyFill="1" applyBorder="1"/>
    <xf numFmtId="166" fontId="99" fillId="0" borderId="51" xfId="0" applyNumberFormat="1" applyFont="1" applyFill="1" applyBorder="1" applyAlignment="1"/>
    <xf numFmtId="166" fontId="94" fillId="0" borderId="51" xfId="1" applyFont="1" applyFill="1" applyBorder="1"/>
    <xf numFmtId="0" fontId="94" fillId="0" borderId="52" xfId="0" applyFont="1" applyFill="1" applyBorder="1"/>
    <xf numFmtId="2" fontId="95" fillId="0" borderId="36" xfId="0" applyNumberFormat="1" applyFont="1" applyFill="1" applyBorder="1"/>
    <xf numFmtId="166" fontId="95" fillId="0" borderId="36" xfId="1" applyNumberFormat="1" applyFont="1" applyFill="1" applyBorder="1"/>
    <xf numFmtId="0" fontId="95" fillId="0" borderId="39" xfId="0" applyFont="1" applyFill="1" applyBorder="1"/>
    <xf numFmtId="0" fontId="38" fillId="0" borderId="157" xfId="0" applyFont="1" applyFill="1" applyBorder="1" applyAlignment="1">
      <alignment horizontal="center"/>
    </xf>
    <xf numFmtId="166" fontId="99" fillId="0" borderId="152" xfId="0" applyNumberFormat="1" applyFont="1" applyFill="1" applyBorder="1" applyAlignment="1"/>
    <xf numFmtId="166" fontId="99" fillId="0" borderId="115" xfId="0" applyNumberFormat="1" applyFont="1" applyFill="1" applyBorder="1"/>
    <xf numFmtId="0" fontId="94" fillId="0" borderId="118" xfId="0" applyFont="1" applyFill="1" applyBorder="1"/>
    <xf numFmtId="0" fontId="97" fillId="0" borderId="0" xfId="0" applyFont="1"/>
    <xf numFmtId="0" fontId="108" fillId="0" borderId="42" xfId="0" applyFont="1" applyBorder="1" applyAlignment="1">
      <alignment horizontal="left"/>
    </xf>
    <xf numFmtId="0" fontId="108" fillId="0" borderId="37" xfId="0" applyFont="1" applyBorder="1" applyAlignment="1">
      <alignment horizontal="center"/>
    </xf>
    <xf numFmtId="2" fontId="108" fillId="0" borderId="37" xfId="0" applyNumberFormat="1" applyFont="1" applyBorder="1" applyAlignment="1">
      <alignment horizontal="center"/>
    </xf>
    <xf numFmtId="0" fontId="97" fillId="0" borderId="38" xfId="0" applyFont="1" applyBorder="1" applyAlignment="1">
      <alignment horizontal="center"/>
    </xf>
    <xf numFmtId="0" fontId="108" fillId="0" borderId="35" xfId="0" applyFont="1" applyBorder="1" applyAlignment="1">
      <alignment horizontal="left"/>
    </xf>
    <xf numFmtId="0" fontId="108" fillId="0" borderId="36" xfId="0" applyFont="1" applyBorder="1" applyAlignment="1">
      <alignment horizontal="center"/>
    </xf>
    <xf numFmtId="2" fontId="108" fillId="0" borderId="36" xfId="0" applyNumberFormat="1" applyFont="1" applyBorder="1" applyAlignment="1">
      <alignment horizontal="center"/>
    </xf>
    <xf numFmtId="0" fontId="97" fillId="0" borderId="39" xfId="0" applyFont="1" applyBorder="1" applyAlignment="1">
      <alignment horizontal="center"/>
    </xf>
    <xf numFmtId="0" fontId="108" fillId="0" borderId="40" xfId="0" applyFont="1" applyBorder="1" applyAlignment="1">
      <alignment horizontal="left"/>
    </xf>
    <xf numFmtId="0" fontId="108" fillId="0" borderId="41" xfId="0" applyFont="1" applyBorder="1" applyAlignment="1">
      <alignment horizontal="center"/>
    </xf>
    <xf numFmtId="2" fontId="108" fillId="0" borderId="41" xfId="0" applyNumberFormat="1" applyFont="1" applyBorder="1" applyAlignment="1">
      <alignment horizontal="center"/>
    </xf>
    <xf numFmtId="0" fontId="97" fillId="0" borderId="43" xfId="0" applyFont="1" applyBorder="1" applyAlignment="1">
      <alignment horizontal="center"/>
    </xf>
    <xf numFmtId="170" fontId="109" fillId="0" borderId="163" xfId="8053" applyNumberFormat="1" applyFont="1" applyBorder="1" applyAlignment="1">
      <alignment horizontal="center"/>
    </xf>
    <xf numFmtId="166" fontId="109" fillId="0" borderId="164" xfId="8053" applyFont="1" applyFill="1" applyBorder="1"/>
    <xf numFmtId="166" fontId="109" fillId="0" borderId="164" xfId="8053" applyFont="1" applyBorder="1"/>
    <xf numFmtId="1" fontId="109" fillId="0" borderId="164" xfId="8053" applyNumberFormat="1" applyFont="1" applyBorder="1" applyAlignment="1">
      <alignment horizontal="center"/>
    </xf>
    <xf numFmtId="170" fontId="109" fillId="0" borderId="165" xfId="8053" applyNumberFormat="1" applyFont="1" applyBorder="1" applyAlignment="1">
      <alignment horizontal="center"/>
    </xf>
    <xf numFmtId="166" fontId="109" fillId="0" borderId="90" xfId="8053" applyFont="1" applyFill="1" applyBorder="1"/>
    <xf numFmtId="166" fontId="109" fillId="0" borderId="90" xfId="8053" applyFont="1" applyBorder="1"/>
    <xf numFmtId="1" fontId="109" fillId="0" borderId="90" xfId="8053" applyNumberFormat="1" applyFont="1" applyBorder="1" applyAlignment="1">
      <alignment horizontal="center"/>
    </xf>
    <xf numFmtId="166" fontId="111" fillId="0" borderId="90" xfId="8053" applyFont="1" applyFill="1" applyBorder="1"/>
    <xf numFmtId="166" fontId="110" fillId="0" borderId="90" xfId="8053" applyFont="1" applyBorder="1" applyAlignment="1"/>
    <xf numFmtId="166" fontId="110" fillId="0" borderId="167" xfId="8053" applyFont="1" applyBorder="1" applyAlignment="1">
      <alignment horizontal="center" vertical="center"/>
    </xf>
    <xf numFmtId="0" fontId="38" fillId="0" borderId="0" xfId="14927" applyFont="1" applyFill="1"/>
    <xf numFmtId="0" fontId="92" fillId="0" borderId="114" xfId="14927" applyFont="1" applyFill="1" applyBorder="1" applyAlignment="1">
      <alignment horizontal="center"/>
    </xf>
    <xf numFmtId="0" fontId="92" fillId="0" borderId="168" xfId="14927" applyFont="1" applyFill="1" applyBorder="1" applyAlignment="1">
      <alignment horizontal="center"/>
    </xf>
    <xf numFmtId="0" fontId="92" fillId="0" borderId="115" xfId="14927" applyFont="1" applyFill="1" applyBorder="1" applyAlignment="1">
      <alignment horizontal="center" wrapText="1"/>
    </xf>
    <xf numFmtId="0" fontId="92" fillId="0" borderId="115" xfId="14927" applyFont="1" applyFill="1" applyBorder="1" applyAlignment="1">
      <alignment horizontal="center"/>
    </xf>
    <xf numFmtId="0" fontId="92" fillId="0" borderId="118" xfId="14927" applyFont="1" applyFill="1" applyBorder="1" applyAlignment="1">
      <alignment horizontal="center"/>
    </xf>
    <xf numFmtId="0" fontId="92" fillId="0" borderId="0" xfId="14927" applyFont="1" applyFill="1"/>
    <xf numFmtId="0" fontId="38" fillId="0" borderId="0" xfId="14927" applyFont="1" applyFill="1" applyAlignment="1">
      <alignment horizontal="center"/>
    </xf>
    <xf numFmtId="0" fontId="38" fillId="0" borderId="0" xfId="14927" applyFont="1" applyFill="1" applyAlignment="1">
      <alignment horizontal="center" wrapText="1"/>
    </xf>
    <xf numFmtId="0" fontId="95" fillId="0" borderId="35" xfId="14927" applyFont="1" applyFill="1" applyBorder="1" applyAlignment="1">
      <alignment horizontal="center" vertical="center"/>
    </xf>
    <xf numFmtId="191" fontId="95" fillId="0" borderId="36" xfId="14927" applyNumberFormat="1" applyFont="1" applyFill="1" applyBorder="1" applyAlignment="1">
      <alignment horizontal="center" vertical="center"/>
    </xf>
    <xf numFmtId="0" fontId="95" fillId="0" borderId="36" xfId="14927" applyFont="1" applyFill="1" applyBorder="1" applyAlignment="1">
      <alignment horizontal="center" vertical="center"/>
    </xf>
    <xf numFmtId="0" fontId="95" fillId="0" borderId="36" xfId="0" applyFont="1" applyFill="1" applyBorder="1" applyAlignment="1">
      <alignment vertical="center"/>
    </xf>
    <xf numFmtId="0" fontId="95" fillId="0" borderId="39" xfId="14927" applyFont="1" applyFill="1" applyBorder="1" applyAlignment="1">
      <alignment horizontal="center" vertical="center" wrapText="1"/>
    </xf>
    <xf numFmtId="0" fontId="95" fillId="0" borderId="39" xfId="14927" applyFont="1" applyFill="1" applyBorder="1" applyAlignment="1">
      <alignment horizontal="center" vertical="center"/>
    </xf>
    <xf numFmtId="0" fontId="95" fillId="0" borderId="36" xfId="14927" applyFont="1" applyFill="1" applyBorder="1" applyAlignment="1">
      <alignment horizontal="left" vertical="center"/>
    </xf>
    <xf numFmtId="0" fontId="95" fillId="0" borderId="36" xfId="0" applyFont="1" applyFill="1" applyBorder="1" applyAlignment="1">
      <alignment horizontal="left" vertical="center"/>
    </xf>
    <xf numFmtId="0" fontId="95" fillId="0" borderId="39" xfId="14927" applyFont="1" applyFill="1" applyBorder="1" applyAlignment="1">
      <alignment horizontal="left" vertical="center" wrapText="1"/>
    </xf>
    <xf numFmtId="0" fontId="95" fillId="0" borderId="50" xfId="14927" applyFont="1" applyFill="1" applyBorder="1" applyAlignment="1">
      <alignment horizontal="center" vertical="center"/>
    </xf>
    <xf numFmtId="191" fontId="95" fillId="0" borderId="51" xfId="14927" applyNumberFormat="1" applyFont="1" applyFill="1" applyBorder="1" applyAlignment="1">
      <alignment horizontal="center" vertical="center"/>
    </xf>
    <xf numFmtId="0" fontId="95" fillId="0" borderId="51" xfId="14927" applyFont="1" applyFill="1" applyBorder="1" applyAlignment="1">
      <alignment horizontal="center" vertical="center"/>
    </xf>
    <xf numFmtId="0" fontId="95" fillId="0" borderId="51" xfId="0" applyFont="1" applyFill="1" applyBorder="1" applyAlignment="1">
      <alignment vertical="center"/>
    </xf>
    <xf numFmtId="0" fontId="95" fillId="0" borderId="51" xfId="14927" applyFont="1" applyFill="1" applyBorder="1" applyAlignment="1">
      <alignment horizontal="left" vertical="center"/>
    </xf>
    <xf numFmtId="0" fontId="95" fillId="0" borderId="52" xfId="14927" applyFont="1" applyFill="1" applyBorder="1" applyAlignment="1">
      <alignment horizontal="center" vertical="center" wrapText="1"/>
    </xf>
    <xf numFmtId="0" fontId="94" fillId="0" borderId="114" xfId="14927" applyFont="1" applyFill="1" applyBorder="1" applyAlignment="1">
      <alignment horizontal="center"/>
    </xf>
    <xf numFmtId="0" fontId="94" fillId="0" borderId="115" xfId="14927" applyFont="1" applyFill="1" applyBorder="1" applyAlignment="1">
      <alignment horizontal="center"/>
    </xf>
    <xf numFmtId="0" fontId="94" fillId="0" borderId="118" xfId="14927" applyFont="1" applyFill="1" applyBorder="1" applyAlignment="1">
      <alignment horizontal="center"/>
    </xf>
    <xf numFmtId="0" fontId="95" fillId="0" borderId="0" xfId="14927" applyFont="1" applyFill="1" applyAlignment="1">
      <alignment horizontal="center"/>
    </xf>
    <xf numFmtId="0" fontId="94" fillId="0" borderId="111" xfId="14927" applyFont="1" applyFill="1" applyBorder="1" applyAlignment="1">
      <alignment vertical="center" wrapText="1"/>
    </xf>
    <xf numFmtId="0" fontId="94" fillId="0" borderId="171" xfId="14927" applyFont="1" applyFill="1" applyBorder="1" applyAlignment="1">
      <alignment vertical="center" wrapText="1"/>
    </xf>
    <xf numFmtId="0" fontId="95" fillId="0" borderId="32" xfId="14927" applyFont="1" applyFill="1" applyBorder="1" applyAlignment="1">
      <alignment horizontal="center" vertical="center"/>
    </xf>
    <xf numFmtId="191" fontId="95" fillId="0" borderId="33" xfId="14927" applyNumberFormat="1" applyFont="1" applyFill="1" applyBorder="1" applyAlignment="1">
      <alignment horizontal="center" vertical="center"/>
    </xf>
    <xf numFmtId="0" fontId="95" fillId="0" borderId="33" xfId="14927" applyFont="1" applyFill="1" applyBorder="1" applyAlignment="1">
      <alignment horizontal="center" vertical="center"/>
    </xf>
    <xf numFmtId="0" fontId="95" fillId="0" borderId="33" xfId="0" applyFont="1" applyFill="1" applyBorder="1" applyAlignment="1">
      <alignment vertical="center"/>
    </xf>
    <xf numFmtId="0" fontId="95" fillId="0" borderId="33" xfId="14927" applyFont="1" applyFill="1" applyBorder="1" applyAlignment="1">
      <alignment horizontal="left" vertical="center"/>
    </xf>
    <xf numFmtId="0" fontId="95" fillId="0" borderId="34" xfId="14927" applyFont="1" applyFill="1" applyBorder="1" applyAlignment="1">
      <alignment horizontal="center" vertical="center"/>
    </xf>
    <xf numFmtId="0" fontId="95" fillId="0" borderId="35" xfId="14927" applyFont="1" applyFill="1" applyBorder="1" applyAlignment="1">
      <alignment horizontal="center"/>
    </xf>
    <xf numFmtId="0" fontId="95" fillId="0" borderId="36" xfId="14927" applyFont="1" applyFill="1" applyBorder="1" applyAlignment="1">
      <alignment horizontal="center"/>
    </xf>
    <xf numFmtId="0" fontId="95" fillId="0" borderId="39" xfId="14927" applyFont="1" applyFill="1" applyBorder="1" applyAlignment="1">
      <alignment horizontal="center"/>
    </xf>
    <xf numFmtId="0" fontId="94" fillId="0" borderId="35" xfId="14927" applyFont="1" applyFill="1" applyBorder="1" applyAlignment="1">
      <alignment horizontal="center"/>
    </xf>
    <xf numFmtId="0" fontId="94" fillId="0" borderId="36" xfId="14927" applyFont="1" applyFill="1" applyBorder="1" applyAlignment="1">
      <alignment horizontal="center"/>
    </xf>
    <xf numFmtId="0" fontId="94" fillId="0" borderId="39" xfId="14927" applyFont="1" applyFill="1" applyBorder="1" applyAlignment="1">
      <alignment horizontal="center"/>
    </xf>
    <xf numFmtId="0" fontId="95" fillId="0" borderId="50" xfId="14927" applyFont="1" applyFill="1" applyBorder="1" applyAlignment="1">
      <alignment horizontal="center"/>
    </xf>
    <xf numFmtId="0" fontId="95" fillId="0" borderId="51" xfId="14927" applyFont="1" applyFill="1" applyBorder="1" applyAlignment="1">
      <alignment horizontal="center"/>
    </xf>
    <xf numFmtId="0" fontId="95" fillId="0" borderId="52" xfId="14927" applyFont="1" applyFill="1" applyBorder="1" applyAlignment="1">
      <alignment horizontal="center"/>
    </xf>
    <xf numFmtId="0" fontId="105" fillId="0" borderId="172" xfId="0" applyFont="1" applyFill="1" applyBorder="1"/>
    <xf numFmtId="0" fontId="105" fillId="0" borderId="96" xfId="0" applyFont="1" applyFill="1" applyBorder="1"/>
    <xf numFmtId="0" fontId="106" fillId="0" borderId="96" xfId="0" applyFont="1" applyFill="1" applyBorder="1" applyAlignment="1"/>
    <xf numFmtId="0" fontId="106" fillId="0" borderId="177" xfId="0" applyFont="1" applyFill="1" applyBorder="1" applyAlignment="1"/>
    <xf numFmtId="0" fontId="115" fillId="0" borderId="97" xfId="36355" applyFont="1" applyFill="1" applyBorder="1" applyAlignment="1"/>
    <xf numFmtId="0" fontId="97" fillId="0" borderId="44" xfId="0" applyFont="1" applyBorder="1"/>
    <xf numFmtId="0" fontId="118" fillId="0" borderId="97" xfId="0" applyFont="1" applyBorder="1"/>
    <xf numFmtId="0" fontId="97" fillId="0" borderId="79" xfId="0" applyFont="1" applyBorder="1" applyAlignment="1">
      <alignment horizontal="center"/>
    </xf>
    <xf numFmtId="0" fontId="92" fillId="0" borderId="0" xfId="0" quotePrefix="1" applyFont="1" applyAlignment="1">
      <alignment horizontal="center"/>
    </xf>
    <xf numFmtId="0" fontId="92" fillId="0" borderId="0" xfId="0" applyFont="1" applyAlignment="1"/>
    <xf numFmtId="0" fontId="92" fillId="0" borderId="0" xfId="0" applyFont="1"/>
    <xf numFmtId="0" fontId="92" fillId="0" borderId="0" xfId="0" applyFont="1" applyAlignment="1">
      <alignment horizontal="center"/>
    </xf>
    <xf numFmtId="16" fontId="38" fillId="0" borderId="0" xfId="0" applyNumberFormat="1" applyFont="1" applyAlignment="1">
      <alignment horizontal="center"/>
    </xf>
    <xf numFmtId="0" fontId="38" fillId="0" borderId="0" xfId="0" applyFont="1" applyAlignment="1">
      <alignment horizontal="left"/>
    </xf>
    <xf numFmtId="0" fontId="120" fillId="0" borderId="0" xfId="0" applyFont="1"/>
    <xf numFmtId="0" fontId="121" fillId="0" borderId="0" xfId="0" applyFont="1" applyAlignment="1">
      <alignment horizontal="center"/>
    </xf>
    <xf numFmtId="0" fontId="121" fillId="0" borderId="0" xfId="0" applyFont="1"/>
    <xf numFmtId="0" fontId="122" fillId="33" borderId="0" xfId="0" quotePrefix="1" applyFont="1" applyFill="1" applyAlignment="1">
      <alignment horizontal="center"/>
    </xf>
    <xf numFmtId="0" fontId="38" fillId="33" borderId="0" xfId="0" applyFont="1" applyFill="1"/>
    <xf numFmtId="0" fontId="121" fillId="33" borderId="0" xfId="0" applyFont="1" applyFill="1"/>
    <xf numFmtId="0" fontId="121" fillId="33" borderId="0" xfId="0" applyFont="1" applyFill="1" applyAlignment="1">
      <alignment horizontal="center"/>
    </xf>
    <xf numFmtId="0" fontId="120" fillId="33" borderId="0" xfId="0" applyFont="1" applyFill="1"/>
    <xf numFmtId="0" fontId="116" fillId="0" borderId="79" xfId="0" applyFont="1" applyBorder="1" applyAlignment="1">
      <alignment horizontal="center"/>
    </xf>
    <xf numFmtId="166" fontId="97" fillId="0" borderId="0" xfId="1" applyFont="1" applyFill="1" applyBorder="1"/>
    <xf numFmtId="0" fontId="97" fillId="0" borderId="0" xfId="0" applyFont="1" applyFill="1" applyBorder="1"/>
    <xf numFmtId="175" fontId="97" fillId="0" borderId="0" xfId="0" applyNumberFormat="1" applyFont="1" applyFill="1" applyBorder="1"/>
    <xf numFmtId="1" fontId="38" fillId="0" borderId="42" xfId="0" applyNumberFormat="1" applyFont="1" applyBorder="1" applyAlignment="1">
      <alignment horizontal="center"/>
    </xf>
    <xf numFmtId="0" fontId="38" fillId="0" borderId="37" xfId="0" applyNumberFormat="1" applyFont="1" applyBorder="1"/>
    <xf numFmtId="0" fontId="38" fillId="0" borderId="37" xfId="0" applyNumberFormat="1" applyFont="1" applyFill="1" applyBorder="1" applyAlignment="1">
      <alignment horizontal="center" vertical="center" wrapText="1"/>
    </xf>
    <xf numFmtId="166" fontId="97" fillId="0" borderId="37" xfId="1" applyFont="1" applyFill="1" applyBorder="1" applyAlignment="1">
      <alignment horizontal="center"/>
    </xf>
    <xf numFmtId="166" fontId="97" fillId="0" borderId="37" xfId="1" applyFont="1" applyFill="1" applyBorder="1"/>
    <xf numFmtId="175" fontId="97" fillId="0" borderId="37" xfId="0" applyNumberFormat="1" applyFont="1" applyFill="1" applyBorder="1"/>
    <xf numFmtId="1" fontId="38" fillId="0" borderId="35" xfId="0" applyNumberFormat="1" applyFont="1" applyBorder="1" applyAlignment="1">
      <alignment horizontal="center"/>
    </xf>
    <xf numFmtId="0" fontId="38" fillId="0" borderId="36" xfId="0" applyNumberFormat="1" applyFont="1" applyBorder="1"/>
    <xf numFmtId="0" fontId="38" fillId="0" borderId="36" xfId="0" applyNumberFormat="1" applyFont="1" applyFill="1" applyBorder="1" applyAlignment="1">
      <alignment horizontal="center" vertical="center" wrapText="1"/>
    </xf>
    <xf numFmtId="166" fontId="97" fillId="0" borderId="36" xfId="1" applyFont="1" applyFill="1" applyBorder="1" applyAlignment="1">
      <alignment horizontal="center"/>
    </xf>
    <xf numFmtId="166" fontId="97" fillId="0" borderId="36" xfId="1" applyFont="1" applyFill="1" applyBorder="1"/>
    <xf numFmtId="175" fontId="97" fillId="0" borderId="36" xfId="0" applyNumberFormat="1" applyFont="1" applyFill="1" applyBorder="1"/>
    <xf numFmtId="166" fontId="97" fillId="77" borderId="36" xfId="1" applyFont="1" applyFill="1" applyBorder="1"/>
    <xf numFmtId="166" fontId="97" fillId="0" borderId="51" xfId="1" applyFont="1" applyFill="1" applyBorder="1" applyAlignment="1">
      <alignment horizontal="center"/>
    </xf>
    <xf numFmtId="0" fontId="97" fillId="0" borderId="0" xfId="0" applyFont="1" applyFill="1" applyAlignment="1">
      <alignment horizontal="center"/>
    </xf>
    <xf numFmtId="0" fontId="118" fillId="0" borderId="97" xfId="0" applyFont="1" applyBorder="1" applyAlignment="1">
      <alignment horizontal="left" vertical="top"/>
    </xf>
    <xf numFmtId="0" fontId="38" fillId="0" borderId="204" xfId="0" applyFont="1" applyBorder="1" applyAlignment="1">
      <alignment horizontal="center" vertical="center"/>
    </xf>
    <xf numFmtId="0" fontId="38" fillId="0" borderId="172" xfId="0" applyFont="1" applyBorder="1" applyAlignment="1">
      <alignment vertical="center" wrapText="1"/>
    </xf>
    <xf numFmtId="0" fontId="38" fillId="0" borderId="172" xfId="0" applyFont="1" applyBorder="1" applyAlignment="1">
      <alignment vertical="center"/>
    </xf>
    <xf numFmtId="0" fontId="38" fillId="0" borderId="172" xfId="0" applyFont="1" applyBorder="1" applyAlignment="1">
      <alignment horizontal="left" vertical="center" wrapText="1"/>
    </xf>
    <xf numFmtId="0" fontId="38" fillId="0" borderId="172" xfId="0" applyFont="1" applyBorder="1"/>
    <xf numFmtId="0" fontId="38" fillId="0" borderId="172" xfId="0" applyFont="1" applyBorder="1" applyAlignment="1">
      <alignment horizontal="center" vertical="center"/>
    </xf>
    <xf numFmtId="0" fontId="38" fillId="0" borderId="172" xfId="0" applyFont="1" applyBorder="1" applyAlignment="1">
      <alignment wrapText="1"/>
    </xf>
    <xf numFmtId="0" fontId="38" fillId="0" borderId="205" xfId="0" applyFont="1" applyBorder="1"/>
    <xf numFmtId="0" fontId="38" fillId="0" borderId="206" xfId="0" applyFont="1" applyBorder="1" applyAlignment="1">
      <alignment horizontal="center" vertical="center"/>
    </xf>
    <xf numFmtId="0" fontId="38" fillId="0" borderId="96" xfId="0" applyFont="1" applyBorder="1" applyAlignment="1">
      <alignment vertical="center" wrapText="1"/>
    </xf>
    <xf numFmtId="0" fontId="38" fillId="0" borderId="96" xfId="0" applyFont="1" applyBorder="1" applyAlignment="1">
      <alignment vertical="center"/>
    </xf>
    <xf numFmtId="0" fontId="38" fillId="0" borderId="96" xfId="0" applyFont="1" applyBorder="1" applyAlignment="1">
      <alignment horizontal="left" vertical="center" wrapText="1"/>
    </xf>
    <xf numFmtId="0" fontId="38" fillId="0" borderId="96" xfId="0" applyFont="1" applyBorder="1"/>
    <xf numFmtId="0" fontId="38" fillId="0" borderId="96" xfId="0" applyFont="1" applyBorder="1" applyAlignment="1">
      <alignment horizontal="center" vertical="center"/>
    </xf>
    <xf numFmtId="0" fontId="38" fillId="0" borderId="96" xfId="0" applyFont="1" applyBorder="1" applyAlignment="1">
      <alignment wrapText="1"/>
    </xf>
    <xf numFmtId="0" fontId="38" fillId="0" borderId="102" xfId="0" applyFont="1" applyBorder="1"/>
    <xf numFmtId="0" fontId="38" fillId="0" borderId="206" xfId="0" applyFont="1" applyBorder="1" applyAlignment="1">
      <alignment horizontal="right" vertical="center"/>
    </xf>
    <xf numFmtId="0" fontId="38" fillId="0" borderId="207" xfId="0" applyFont="1" applyBorder="1" applyAlignment="1">
      <alignment horizontal="left"/>
    </xf>
    <xf numFmtId="0" fontId="38" fillId="0" borderId="208" xfId="0" applyFont="1" applyFill="1" applyBorder="1" applyAlignment="1">
      <alignment vertical="center" wrapText="1"/>
    </xf>
    <xf numFmtId="0" fontId="38" fillId="0" borderId="208" xfId="0" applyFont="1" applyBorder="1"/>
    <xf numFmtId="0" fontId="38" fillId="0" borderId="208" xfId="0" applyFont="1" applyBorder="1" applyAlignment="1">
      <alignment vertical="center" wrapText="1"/>
    </xf>
    <xf numFmtId="0" fontId="38" fillId="0" borderId="209" xfId="0" applyFont="1" applyBorder="1"/>
    <xf numFmtId="0" fontId="95" fillId="77" borderId="175" xfId="14867" applyFont="1" applyFill="1" applyBorder="1" applyAlignment="1">
      <alignment horizontal="left"/>
    </xf>
    <xf numFmtId="166" fontId="97" fillId="0" borderId="211" xfId="8053" applyFont="1" applyBorder="1" applyAlignment="1">
      <alignment horizontal="right"/>
    </xf>
    <xf numFmtId="166" fontId="97" fillId="0" borderId="212" xfId="8053" applyFont="1" applyBorder="1" applyAlignment="1">
      <alignment horizontal="right"/>
    </xf>
    <xf numFmtId="166" fontId="97" fillId="0" borderId="213" xfId="8053" applyFont="1" applyBorder="1" applyAlignment="1">
      <alignment horizontal="right"/>
    </xf>
    <xf numFmtId="166" fontId="97" fillId="0" borderId="206" xfId="8053" applyFont="1" applyBorder="1" applyAlignment="1">
      <alignment horizontal="right"/>
    </xf>
    <xf numFmtId="2" fontId="97" fillId="0" borderId="96" xfId="0" applyNumberFormat="1" applyFont="1" applyBorder="1" applyAlignment="1">
      <alignment horizontal="center"/>
    </xf>
    <xf numFmtId="0" fontId="97" fillId="0" borderId="96" xfId="0" applyFont="1" applyBorder="1" applyAlignment="1">
      <alignment wrapText="1"/>
    </xf>
    <xf numFmtId="2" fontId="97" fillId="0" borderId="102" xfId="0" applyNumberFormat="1" applyFont="1" applyBorder="1" applyAlignment="1">
      <alignment horizontal="center"/>
    </xf>
    <xf numFmtId="0" fontId="40" fillId="0" borderId="102" xfId="0" applyFont="1" applyBorder="1" applyAlignment="1">
      <alignment horizontal="center" wrapText="1"/>
    </xf>
    <xf numFmtId="166" fontId="97" fillId="0" borderId="96" xfId="8053" applyFont="1" applyBorder="1" applyAlignment="1">
      <alignment horizontal="right"/>
    </xf>
    <xf numFmtId="166" fontId="97" fillId="0" borderId="102" xfId="8053" applyFont="1" applyBorder="1" applyAlignment="1">
      <alignment horizontal="right"/>
    </xf>
    <xf numFmtId="2" fontId="97" fillId="0" borderId="96" xfId="0" applyNumberFormat="1" applyFont="1" applyBorder="1" applyAlignment="1">
      <alignment horizontal="center" vertical="center"/>
    </xf>
    <xf numFmtId="166" fontId="109" fillId="0" borderId="96" xfId="8053" applyFont="1" applyBorder="1"/>
    <xf numFmtId="166" fontId="108" fillId="0" borderId="102" xfId="8053" applyFont="1" applyBorder="1" applyAlignment="1">
      <alignment horizontal="center"/>
    </xf>
    <xf numFmtId="185" fontId="110" fillId="0" borderId="206" xfId="8053" applyNumberFormat="1" applyFont="1" applyBorder="1" applyAlignment="1">
      <alignment horizontal="right"/>
    </xf>
    <xf numFmtId="166" fontId="110" fillId="0" borderId="96" xfId="8053" applyFont="1" applyBorder="1" applyAlignment="1"/>
    <xf numFmtId="166" fontId="110" fillId="0" borderId="102" xfId="8053" applyFont="1" applyBorder="1" applyAlignment="1"/>
    <xf numFmtId="166" fontId="110" fillId="0" borderId="207" xfId="8053" applyFont="1" applyBorder="1" applyAlignment="1">
      <alignment horizontal="right"/>
    </xf>
    <xf numFmtId="166" fontId="109" fillId="0" borderId="208" xfId="8053" applyFont="1" applyBorder="1" applyAlignment="1">
      <alignment horizontal="center"/>
    </xf>
    <xf numFmtId="166" fontId="109" fillId="0" borderId="209" xfId="8053" applyFont="1" applyBorder="1" applyAlignment="1">
      <alignment horizontal="center"/>
    </xf>
    <xf numFmtId="0" fontId="38" fillId="0" borderId="175" xfId="36706" applyFont="1" applyBorder="1" applyAlignment="1">
      <alignment horizontal="left" vertical="center"/>
    </xf>
    <xf numFmtId="0" fontId="38" fillId="0" borderId="178" xfId="36706" applyFont="1" applyBorder="1" applyAlignment="1">
      <alignment horizontal="center" vertical="center"/>
    </xf>
    <xf numFmtId="0" fontId="95" fillId="0" borderId="56" xfId="0" applyFont="1" applyFill="1" applyBorder="1"/>
    <xf numFmtId="0" fontId="95" fillId="0" borderId="155" xfId="0" applyFont="1" applyFill="1" applyBorder="1"/>
    <xf numFmtId="0" fontId="95" fillId="0" borderId="96" xfId="0" applyFont="1" applyFill="1" applyBorder="1" applyAlignment="1"/>
    <xf numFmtId="0" fontId="95" fillId="0" borderId="79" xfId="36355" applyFont="1" applyFill="1" applyBorder="1" applyAlignment="1">
      <alignment horizontal="center"/>
    </xf>
    <xf numFmtId="0" fontId="40" fillId="77" borderId="175" xfId="14867" applyFont="1" applyFill="1" applyBorder="1" applyAlignment="1">
      <alignment horizontal="left" vertical="top"/>
    </xf>
    <xf numFmtId="0" fontId="114" fillId="0" borderId="173" xfId="36706" applyFont="1" applyBorder="1" applyAlignment="1">
      <alignment vertical="top"/>
    </xf>
    <xf numFmtId="0" fontId="114" fillId="0" borderId="175" xfId="36706" applyFont="1" applyBorder="1" applyAlignment="1">
      <alignment vertical="top"/>
    </xf>
    <xf numFmtId="0" fontId="92" fillId="77" borderId="53" xfId="0" applyFont="1" applyFill="1" applyBorder="1" applyAlignment="1">
      <alignment horizontal="center" vertical="center" wrapText="1"/>
    </xf>
    <xf numFmtId="0" fontId="92" fillId="77" borderId="54" xfId="0" applyFont="1" applyFill="1" applyBorder="1" applyAlignment="1">
      <alignment horizontal="center" vertical="center" wrapText="1"/>
    </xf>
    <xf numFmtId="0" fontId="92" fillId="77" borderId="55" xfId="0" applyFont="1" applyFill="1" applyBorder="1" applyAlignment="1">
      <alignment horizontal="center" vertical="center" wrapText="1"/>
    </xf>
    <xf numFmtId="0" fontId="92" fillId="77" borderId="56" xfId="0" applyFont="1" applyFill="1" applyBorder="1" applyAlignment="1">
      <alignment horizontal="center" vertical="center" wrapText="1"/>
    </xf>
    <xf numFmtId="0" fontId="97" fillId="0" borderId="44" xfId="0" applyFont="1" applyBorder="1" applyAlignment="1"/>
    <xf numFmtId="0" fontId="118" fillId="0" borderId="96" xfId="0" applyFont="1" applyBorder="1" applyAlignment="1"/>
    <xf numFmtId="0" fontId="95" fillId="0" borderId="61" xfId="0" applyFont="1" applyBorder="1" applyAlignment="1">
      <alignment horizontal="center"/>
    </xf>
    <xf numFmtId="0" fontId="95" fillId="0" borderId="0" xfId="0" applyFont="1"/>
    <xf numFmtId="0" fontId="40" fillId="0" borderId="96" xfId="238" applyFont="1" applyFill="1" applyBorder="1" applyAlignment="1" applyProtection="1">
      <alignment horizontal="center" vertical="center"/>
    </xf>
    <xf numFmtId="0" fontId="38" fillId="77" borderId="214" xfId="0" applyFont="1" applyFill="1" applyBorder="1" applyAlignment="1">
      <alignment horizontal="center" vertical="center"/>
    </xf>
    <xf numFmtId="0" fontId="114" fillId="77" borderId="173" xfId="14867" applyFont="1" applyFill="1" applyBorder="1" applyAlignment="1">
      <alignment horizontal="left" vertical="top"/>
    </xf>
    <xf numFmtId="0" fontId="94" fillId="77" borderId="61" xfId="0" applyFont="1" applyFill="1" applyBorder="1" applyAlignment="1">
      <alignment horizontal="center"/>
    </xf>
    <xf numFmtId="0" fontId="94" fillId="77" borderId="62" xfId="0" applyFont="1" applyFill="1" applyBorder="1" applyAlignment="1">
      <alignment horizontal="center"/>
    </xf>
    <xf numFmtId="0" fontId="94" fillId="77" borderId="63" xfId="0" applyFont="1" applyFill="1" applyBorder="1" applyAlignment="1">
      <alignment horizontal="center"/>
    </xf>
    <xf numFmtId="0" fontId="95" fillId="77" borderId="61" xfId="0" applyFont="1" applyFill="1" applyBorder="1" applyAlignment="1">
      <alignment horizontal="center"/>
    </xf>
    <xf numFmtId="166" fontId="95" fillId="77" borderId="62" xfId="1" applyFont="1" applyFill="1" applyBorder="1"/>
    <xf numFmtId="166" fontId="95" fillId="77" borderId="63" xfId="1" applyFont="1" applyFill="1" applyBorder="1"/>
    <xf numFmtId="166" fontId="94" fillId="77" borderId="62" xfId="0" applyNumberFormat="1" applyFont="1" applyFill="1" applyBorder="1" applyAlignment="1"/>
    <xf numFmtId="166" fontId="94" fillId="77" borderId="63" xfId="0" applyNumberFormat="1" applyFont="1" applyFill="1" applyBorder="1" applyAlignment="1"/>
    <xf numFmtId="0" fontId="95" fillId="77" borderId="0" xfId="0" applyFont="1" applyFill="1"/>
    <xf numFmtId="0" fontId="95" fillId="77" borderId="64" xfId="0" applyFont="1" applyFill="1" applyBorder="1" applyAlignment="1">
      <alignment horizontal="center"/>
    </xf>
    <xf numFmtId="166" fontId="95" fillId="77" borderId="65" xfId="1" applyFont="1" applyFill="1" applyBorder="1"/>
    <xf numFmtId="166" fontId="95" fillId="77" borderId="66" xfId="1" applyFont="1" applyFill="1" applyBorder="1"/>
    <xf numFmtId="0" fontId="95" fillId="77" borderId="0" xfId="0" applyFont="1" applyFill="1" applyAlignment="1">
      <alignment horizontal="center"/>
    </xf>
    <xf numFmtId="166" fontId="95" fillId="77" borderId="0" xfId="0" applyNumberFormat="1" applyFont="1" applyFill="1"/>
    <xf numFmtId="2" fontId="92" fillId="77" borderId="67" xfId="12002" applyNumberFormat="1" applyFont="1" applyFill="1" applyBorder="1" applyAlignment="1">
      <alignment horizontal="center" vertical="center" wrapText="1"/>
    </xf>
    <xf numFmtId="2" fontId="92" fillId="77" borderId="53" xfId="12002" applyNumberFormat="1" applyFont="1" applyFill="1" applyBorder="1" applyAlignment="1">
      <alignment horizontal="center" vertical="center" wrapText="1"/>
    </xf>
    <xf numFmtId="183" fontId="92" fillId="77" borderId="54" xfId="12002" applyNumberFormat="1" applyFont="1" applyFill="1" applyBorder="1" applyAlignment="1">
      <alignment horizontal="center" vertical="center" wrapText="1"/>
    </xf>
    <xf numFmtId="2" fontId="92" fillId="77" borderId="54" xfId="2338" applyNumberFormat="1" applyFont="1" applyFill="1" applyBorder="1" applyAlignment="1">
      <alignment horizontal="center" vertical="center" wrapText="1"/>
    </xf>
    <xf numFmtId="166" fontId="92" fillId="77" borderId="54" xfId="2338" applyFont="1" applyFill="1" applyBorder="1" applyAlignment="1">
      <alignment horizontal="left" vertical="center" wrapText="1"/>
    </xf>
    <xf numFmtId="166" fontId="92" fillId="77" borderId="54" xfId="2338" applyFont="1" applyFill="1" applyBorder="1" applyAlignment="1">
      <alignment horizontal="center" vertical="center" wrapText="1"/>
    </xf>
    <xf numFmtId="166" fontId="92" fillId="77" borderId="44" xfId="1" applyFont="1" applyFill="1" applyBorder="1" applyAlignment="1">
      <alignment horizontal="center" vertical="center" wrapText="1"/>
    </xf>
    <xf numFmtId="2" fontId="92" fillId="77" borderId="44" xfId="2338" applyNumberFormat="1" applyFont="1" applyFill="1" applyBorder="1" applyAlignment="1">
      <alignment horizontal="center" vertical="center" wrapText="1"/>
    </xf>
    <xf numFmtId="2" fontId="92" fillId="77" borderId="56" xfId="2338" applyNumberFormat="1" applyFont="1" applyFill="1" applyBorder="1" applyAlignment="1">
      <alignment horizontal="center" vertical="center" wrapText="1"/>
    </xf>
    <xf numFmtId="2" fontId="92" fillId="77" borderId="32" xfId="12002" applyNumberFormat="1" applyFont="1" applyFill="1" applyBorder="1" applyAlignment="1">
      <alignment horizontal="center" vertical="center" wrapText="1"/>
    </xf>
    <xf numFmtId="2" fontId="92" fillId="77" borderId="61" xfId="14855" applyNumberFormat="1" applyFont="1" applyFill="1" applyBorder="1" applyAlignment="1" applyProtection="1">
      <alignment horizontal="center" vertical="center" wrapText="1"/>
    </xf>
    <xf numFmtId="2" fontId="92" fillId="77" borderId="61" xfId="14855" applyNumberFormat="1" applyFont="1" applyFill="1" applyBorder="1" applyAlignment="1" applyProtection="1">
      <alignment horizontal="center" vertical="center" wrapText="1"/>
      <protection locked="0"/>
    </xf>
    <xf numFmtId="2" fontId="38" fillId="77" borderId="61" xfId="14855" applyNumberFormat="1" applyFont="1" applyFill="1" applyBorder="1" applyAlignment="1">
      <alignment horizontal="center" vertical="center"/>
    </xf>
    <xf numFmtId="2" fontId="38" fillId="77" borderId="61" xfId="14855" applyNumberFormat="1" applyFont="1" applyFill="1" applyBorder="1" applyAlignment="1">
      <alignment horizontal="center" vertical="center" wrapText="1"/>
    </xf>
    <xf numFmtId="2" fontId="38" fillId="77" borderId="61" xfId="14855" applyNumberFormat="1" applyFont="1" applyFill="1" applyBorder="1" applyAlignment="1" applyProtection="1">
      <alignment horizontal="center" vertical="center" wrapText="1"/>
      <protection locked="0"/>
    </xf>
    <xf numFmtId="2" fontId="38" fillId="77" borderId="72" xfId="12002" applyNumberFormat="1" applyFont="1" applyFill="1" applyBorder="1" applyAlignment="1">
      <alignment horizontal="center" vertical="center"/>
    </xf>
    <xf numFmtId="183" fontId="92" fillId="77" borderId="73" xfId="12002" applyNumberFormat="1" applyFont="1" applyFill="1" applyBorder="1" applyAlignment="1">
      <alignment horizontal="right" vertical="center" wrapText="1"/>
    </xf>
    <xf numFmtId="183" fontId="38" fillId="77" borderId="73" xfId="12002" applyNumberFormat="1" applyFont="1" applyFill="1" applyBorder="1" applyAlignment="1">
      <alignment horizontal="center" vertical="center"/>
    </xf>
    <xf numFmtId="2" fontId="38" fillId="77" borderId="73" xfId="2338" applyNumberFormat="1" applyFont="1" applyFill="1" applyBorder="1" applyAlignment="1">
      <alignment horizontal="center" vertical="center"/>
    </xf>
    <xf numFmtId="166" fontId="38" fillId="77" borderId="73" xfId="2338" applyFont="1" applyFill="1" applyBorder="1" applyAlignment="1">
      <alignment horizontal="left" vertical="center"/>
    </xf>
    <xf numFmtId="166" fontId="92" fillId="77" borderId="73" xfId="2338" applyFont="1" applyFill="1" applyBorder="1" applyAlignment="1">
      <alignment vertical="center"/>
    </xf>
    <xf numFmtId="2" fontId="38" fillId="77" borderId="74" xfId="2338" applyNumberFormat="1" applyFont="1" applyFill="1" applyBorder="1" applyAlignment="1">
      <alignment horizontal="center" vertical="center"/>
    </xf>
    <xf numFmtId="2" fontId="92" fillId="77" borderId="75" xfId="12002" applyNumberFormat="1" applyFont="1" applyFill="1" applyBorder="1" applyAlignment="1">
      <alignment horizontal="center" vertical="center" wrapText="1"/>
    </xf>
    <xf numFmtId="2" fontId="92" fillId="77" borderId="61" xfId="12002" applyNumberFormat="1" applyFont="1" applyFill="1" applyBorder="1" applyAlignment="1">
      <alignment horizontal="center" vertical="center"/>
    </xf>
    <xf numFmtId="2" fontId="38" fillId="77" borderId="61" xfId="12002" applyNumberFormat="1" applyFont="1" applyFill="1" applyBorder="1" applyAlignment="1">
      <alignment horizontal="center" vertical="center"/>
    </xf>
    <xf numFmtId="183" fontId="92" fillId="77" borderId="73" xfId="12002" applyNumberFormat="1" applyFont="1" applyFill="1" applyBorder="1" applyAlignment="1">
      <alignment horizontal="left" vertical="center" wrapText="1"/>
    </xf>
    <xf numFmtId="183" fontId="38" fillId="77" borderId="73" xfId="12002" applyNumberFormat="1" applyFont="1" applyFill="1" applyBorder="1" applyAlignment="1">
      <alignment horizontal="center" vertical="center" wrapText="1"/>
    </xf>
    <xf numFmtId="2" fontId="38" fillId="77" borderId="73" xfId="8080" applyNumberFormat="1" applyFont="1" applyFill="1" applyBorder="1" applyAlignment="1">
      <alignment horizontal="center" vertical="center"/>
    </xf>
    <xf numFmtId="166" fontId="38" fillId="77" borderId="73" xfId="1" applyFont="1" applyFill="1" applyBorder="1" applyAlignment="1">
      <alignment horizontal="center" vertical="center"/>
    </xf>
    <xf numFmtId="2" fontId="38" fillId="77" borderId="74" xfId="8080" applyNumberFormat="1" applyFont="1" applyFill="1" applyBorder="1" applyAlignment="1">
      <alignment horizontal="center" vertical="center"/>
    </xf>
    <xf numFmtId="2" fontId="92" fillId="77" borderId="40" xfId="12002" applyNumberFormat="1" applyFont="1" applyFill="1" applyBorder="1" applyAlignment="1">
      <alignment horizontal="center" vertical="center" wrapText="1"/>
    </xf>
    <xf numFmtId="2" fontId="92" fillId="77" borderId="61" xfId="36777" applyNumberFormat="1" applyFont="1" applyFill="1" applyBorder="1" applyAlignment="1" applyProtection="1">
      <alignment horizontal="center" vertical="center" wrapText="1"/>
    </xf>
    <xf numFmtId="2" fontId="38" fillId="77" borderId="78" xfId="12002" applyNumberFormat="1" applyFont="1" applyFill="1" applyBorder="1" applyAlignment="1">
      <alignment horizontal="center" vertical="center"/>
    </xf>
    <xf numFmtId="183" fontId="92" fillId="77" borderId="79" xfId="12002" applyNumberFormat="1" applyFont="1" applyFill="1" applyBorder="1" applyAlignment="1">
      <alignment horizontal="left" vertical="center" wrapText="1"/>
    </xf>
    <xf numFmtId="183" fontId="38" fillId="77" borderId="79" xfId="12002" applyNumberFormat="1" applyFont="1" applyFill="1" applyBorder="1" applyAlignment="1">
      <alignment horizontal="center" vertical="center"/>
    </xf>
    <xf numFmtId="2" fontId="38" fillId="77" borderId="79" xfId="2338" applyNumberFormat="1" applyFont="1" applyFill="1" applyBorder="1" applyAlignment="1">
      <alignment horizontal="center" vertical="center"/>
    </xf>
    <xf numFmtId="166" fontId="38" fillId="77" borderId="79" xfId="2338" applyFont="1" applyFill="1" applyBorder="1" applyAlignment="1">
      <alignment horizontal="left" vertical="center"/>
    </xf>
    <xf numFmtId="166" fontId="92" fillId="77" borderId="79" xfId="2338" applyFont="1" applyFill="1" applyBorder="1" applyAlignment="1">
      <alignment vertical="center"/>
    </xf>
    <xf numFmtId="166" fontId="38" fillId="77" borderId="79" xfId="1" applyFont="1" applyFill="1" applyBorder="1" applyAlignment="1">
      <alignment horizontal="center" vertical="center"/>
    </xf>
    <xf numFmtId="2" fontId="38" fillId="77" borderId="80" xfId="2338" applyNumberFormat="1" applyFont="1" applyFill="1" applyBorder="1" applyAlignment="1">
      <alignment horizontal="center" vertical="center"/>
    </xf>
    <xf numFmtId="0" fontId="92" fillId="77" borderId="27" xfId="0" applyFont="1" applyFill="1" applyBorder="1" applyAlignment="1">
      <alignment horizontal="center" vertical="center" wrapText="1"/>
    </xf>
    <xf numFmtId="0" fontId="38" fillId="77" borderId="42" xfId="0" applyFont="1" applyFill="1" applyBorder="1" applyAlignment="1">
      <alignment horizontal="center" vertical="center"/>
    </xf>
    <xf numFmtId="0" fontId="38" fillId="77" borderId="32" xfId="0" applyFont="1" applyFill="1" applyBorder="1" applyAlignment="1">
      <alignment horizontal="center" vertical="center"/>
    </xf>
    <xf numFmtId="0" fontId="38" fillId="77" borderId="35" xfId="0" applyFont="1" applyFill="1" applyBorder="1" applyAlignment="1">
      <alignment horizontal="center" vertical="center"/>
    </xf>
    <xf numFmtId="0" fontId="92" fillId="77" borderId="33" xfId="0" applyFont="1" applyFill="1" applyBorder="1" applyAlignment="1">
      <alignment horizontal="left" vertical="center" wrapText="1"/>
    </xf>
    <xf numFmtId="0" fontId="94" fillId="0" borderId="44" xfId="14927" applyFont="1" applyFill="1" applyBorder="1" applyAlignment="1">
      <alignment horizontal="center" vertical="center" wrapText="1"/>
    </xf>
    <xf numFmtId="183" fontId="92" fillId="77" borderId="117" xfId="12002" applyNumberFormat="1" applyFont="1" applyFill="1" applyBorder="1" applyAlignment="1" applyProtection="1">
      <alignment vertical="center" wrapText="1"/>
      <protection locked="0"/>
    </xf>
    <xf numFmtId="183" fontId="92" fillId="77" borderId="92" xfId="12002" applyNumberFormat="1" applyFont="1" applyFill="1" applyBorder="1" applyAlignment="1" applyProtection="1">
      <alignment vertical="center" wrapText="1"/>
      <protection locked="0"/>
    </xf>
    <xf numFmtId="183" fontId="92" fillId="77" borderId="108" xfId="12002" applyNumberFormat="1" applyFont="1" applyFill="1" applyBorder="1" applyAlignment="1" applyProtection="1">
      <alignment vertical="center" wrapText="1"/>
      <protection locked="0"/>
    </xf>
    <xf numFmtId="183" fontId="92" fillId="77" borderId="109" xfId="12002" applyNumberFormat="1" applyFont="1" applyFill="1" applyBorder="1" applyAlignment="1" applyProtection="1">
      <alignment vertical="center" wrapText="1"/>
      <protection locked="0"/>
    </xf>
    <xf numFmtId="183" fontId="92" fillId="77" borderId="169" xfId="12002" applyNumberFormat="1" applyFont="1" applyFill="1" applyBorder="1" applyAlignment="1" applyProtection="1">
      <alignment vertical="center" wrapText="1"/>
      <protection locked="0"/>
    </xf>
    <xf numFmtId="183" fontId="92" fillId="77" borderId="110" xfId="12002" applyNumberFormat="1" applyFont="1" applyFill="1" applyBorder="1" applyAlignment="1" applyProtection="1">
      <alignment vertical="center" wrapText="1"/>
      <protection locked="0"/>
    </xf>
    <xf numFmtId="183" fontId="38" fillId="77" borderId="93" xfId="12002" applyNumberFormat="1" applyFont="1" applyFill="1" applyBorder="1" applyAlignment="1" applyProtection="1">
      <alignment horizontal="center" vertical="center" wrapText="1"/>
      <protection locked="0"/>
    </xf>
    <xf numFmtId="183" fontId="38" fillId="77" borderId="94" xfId="12002" applyNumberFormat="1" applyFont="1" applyFill="1" applyBorder="1" applyAlignment="1" applyProtection="1">
      <alignment horizontal="center" vertical="center" wrapText="1"/>
      <protection locked="0"/>
    </xf>
    <xf numFmtId="183" fontId="38" fillId="77" borderId="193" xfId="12002" applyNumberFormat="1" applyFont="1" applyFill="1" applyBorder="1" applyAlignment="1" applyProtection="1">
      <alignment horizontal="center" vertical="center" wrapText="1"/>
      <protection locked="0"/>
    </xf>
    <xf numFmtId="183" fontId="114" fillId="77" borderId="93" xfId="12002" applyNumberFormat="1" applyFont="1" applyFill="1" applyBorder="1" applyAlignment="1" applyProtection="1">
      <alignment horizontal="left" vertical="center" wrapText="1"/>
      <protection locked="0"/>
    </xf>
    <xf numFmtId="2" fontId="38" fillId="77" borderId="96" xfId="12002" applyNumberFormat="1" applyFont="1" applyFill="1" applyBorder="1" applyAlignment="1">
      <alignment horizontal="center" vertical="center"/>
    </xf>
    <xf numFmtId="183" fontId="38" fillId="77" borderId="96" xfId="12002" applyNumberFormat="1" applyFont="1" applyFill="1" applyBorder="1" applyAlignment="1">
      <alignment vertical="center" wrapText="1"/>
    </xf>
    <xf numFmtId="183" fontId="38" fillId="77" borderId="96" xfId="12002" applyNumberFormat="1" applyFont="1" applyFill="1" applyBorder="1" applyAlignment="1">
      <alignment horizontal="center" vertical="center"/>
    </xf>
    <xf numFmtId="2" fontId="38" fillId="77" borderId="96" xfId="2338" applyNumberFormat="1" applyFont="1" applyFill="1" applyBorder="1" applyAlignment="1">
      <alignment horizontal="center" vertical="center"/>
    </xf>
    <xf numFmtId="166" fontId="38" fillId="77" borderId="96" xfId="2338" applyFont="1" applyFill="1" applyBorder="1" applyAlignment="1">
      <alignment horizontal="left" vertical="center"/>
    </xf>
    <xf numFmtId="166" fontId="38" fillId="77" borderId="96" xfId="2338" applyFont="1" applyFill="1" applyBorder="1" applyAlignment="1">
      <alignment horizontal="center" vertical="center"/>
    </xf>
    <xf numFmtId="166" fontId="38" fillId="77" borderId="96" xfId="1" applyFont="1" applyFill="1" applyBorder="1" applyAlignment="1">
      <alignment horizontal="center" vertical="center" wrapText="1"/>
    </xf>
    <xf numFmtId="183" fontId="38" fillId="77" borderId="96" xfId="12002" applyNumberFormat="1" applyFont="1" applyFill="1" applyBorder="1" applyAlignment="1">
      <alignment horizontal="justify" vertical="center"/>
    </xf>
    <xf numFmtId="183" fontId="38" fillId="77" borderId="96" xfId="12002" applyNumberFormat="1" applyFont="1" applyFill="1" applyBorder="1" applyAlignment="1">
      <alignment vertical="center"/>
    </xf>
    <xf numFmtId="166" fontId="38" fillId="77" borderId="96" xfId="1" applyFont="1" applyFill="1" applyBorder="1" applyAlignment="1">
      <alignment horizontal="center" vertical="center"/>
    </xf>
    <xf numFmtId="2" fontId="38" fillId="77" borderId="96" xfId="12002" applyNumberFormat="1" applyFont="1" applyFill="1" applyBorder="1" applyAlignment="1">
      <alignment vertical="center"/>
    </xf>
    <xf numFmtId="166" fontId="92" fillId="77" borderId="89" xfId="1" applyFont="1" applyFill="1" applyBorder="1" applyAlignment="1">
      <alignment vertical="center"/>
    </xf>
    <xf numFmtId="166" fontId="92" fillId="77" borderId="90" xfId="1" applyFont="1" applyFill="1" applyBorder="1" applyAlignment="1">
      <alignment vertical="center"/>
    </xf>
    <xf numFmtId="166" fontId="38" fillId="77" borderId="68" xfId="1" applyFont="1" applyFill="1" applyBorder="1" applyAlignment="1"/>
    <xf numFmtId="166" fontId="38" fillId="77" borderId="68" xfId="1" applyFont="1" applyFill="1" applyBorder="1" applyAlignment="1">
      <alignment horizontal="center"/>
    </xf>
    <xf numFmtId="0" fontId="92" fillId="77" borderId="87" xfId="1" applyNumberFormat="1" applyFont="1" applyFill="1" applyBorder="1" applyAlignment="1">
      <alignment horizontal="center"/>
    </xf>
    <xf numFmtId="166" fontId="92" fillId="77" borderId="88" xfId="1" applyFont="1" applyFill="1" applyBorder="1" applyAlignment="1">
      <alignment horizontal="center" vertical="center"/>
    </xf>
    <xf numFmtId="166" fontId="92" fillId="77" borderId="88" xfId="1" applyFont="1" applyFill="1" applyBorder="1" applyAlignment="1">
      <alignment horizontal="center"/>
    </xf>
    <xf numFmtId="166" fontId="92" fillId="77" borderId="88" xfId="1" applyFont="1" applyFill="1" applyBorder="1" applyAlignment="1"/>
    <xf numFmtId="166" fontId="92" fillId="77" borderId="88" xfId="1" applyFont="1" applyFill="1" applyBorder="1" applyAlignment="1">
      <alignment horizontal="center" wrapText="1"/>
    </xf>
    <xf numFmtId="166" fontId="92" fillId="77" borderId="88" xfId="1" applyFont="1" applyFill="1" applyBorder="1" applyAlignment="1">
      <alignment horizontal="center" vertical="center" wrapText="1"/>
    </xf>
    <xf numFmtId="166" fontId="38" fillId="77" borderId="88" xfId="1" applyFont="1" applyFill="1" applyBorder="1" applyAlignment="1">
      <alignment horizontal="left" vertical="center"/>
    </xf>
    <xf numFmtId="166" fontId="92" fillId="77" borderId="88" xfId="1" applyFont="1" applyFill="1" applyBorder="1" applyAlignment="1">
      <alignment horizontal="left" vertical="center"/>
    </xf>
    <xf numFmtId="0" fontId="38" fillId="77" borderId="89" xfId="1" applyNumberFormat="1" applyFont="1" applyFill="1" applyBorder="1" applyAlignment="1">
      <alignment horizontal="center" vertical="center"/>
    </xf>
    <xf numFmtId="166" fontId="38" fillId="77" borderId="90" xfId="1" applyFont="1" applyFill="1" applyBorder="1" applyAlignment="1">
      <alignment vertical="center"/>
    </xf>
    <xf numFmtId="166" fontId="38" fillId="77" borderId="90" xfId="1" applyFont="1" applyFill="1" applyBorder="1" applyAlignment="1">
      <alignment horizontal="left" vertical="center" wrapText="1"/>
    </xf>
    <xf numFmtId="166" fontId="38" fillId="77" borderId="90" xfId="1" applyFont="1" applyFill="1" applyBorder="1" applyAlignment="1">
      <alignment horizontal="left" vertical="center"/>
    </xf>
    <xf numFmtId="9" fontId="38" fillId="77" borderId="90" xfId="2" applyNumberFormat="1" applyFont="1" applyFill="1" applyBorder="1" applyAlignment="1">
      <alignment vertical="center"/>
    </xf>
    <xf numFmtId="166" fontId="38" fillId="77" borderId="90" xfId="1" applyFont="1" applyFill="1" applyBorder="1" applyAlignment="1">
      <alignment horizontal="center" vertical="center" wrapText="1"/>
    </xf>
    <xf numFmtId="166" fontId="38" fillId="77" borderId="90" xfId="1" applyFont="1" applyFill="1" applyBorder="1" applyAlignment="1">
      <alignment horizontal="center" vertical="center"/>
    </xf>
    <xf numFmtId="166" fontId="38" fillId="77" borderId="91" xfId="1" applyFont="1" applyFill="1" applyBorder="1" applyAlignment="1">
      <alignment vertical="center" wrapText="1"/>
    </xf>
    <xf numFmtId="166" fontId="38" fillId="77" borderId="91" xfId="1" applyFont="1" applyFill="1" applyBorder="1" applyAlignment="1">
      <alignment horizontal="left" vertical="center" wrapText="1"/>
    </xf>
    <xf numFmtId="0" fontId="38" fillId="77" borderId="89" xfId="1" applyNumberFormat="1" applyFont="1" applyFill="1" applyBorder="1" applyAlignment="1">
      <alignment vertical="center"/>
    </xf>
    <xf numFmtId="2" fontId="38" fillId="77" borderId="90" xfId="1" applyNumberFormat="1" applyFont="1" applyFill="1" applyBorder="1" applyAlignment="1">
      <alignment vertical="center"/>
    </xf>
    <xf numFmtId="2" fontId="38" fillId="77" borderId="90" xfId="1" applyNumberFormat="1" applyFont="1" applyFill="1" applyBorder="1" applyAlignment="1">
      <alignment horizontal="left" vertical="center" wrapText="1"/>
    </xf>
    <xf numFmtId="166" fontId="38" fillId="77" borderId="90" xfId="1" applyFont="1" applyFill="1" applyBorder="1" applyAlignment="1">
      <alignment horizontal="right" vertical="center"/>
    </xf>
    <xf numFmtId="2" fontId="38" fillId="77" borderId="90" xfId="1" applyNumberFormat="1" applyFont="1" applyFill="1" applyBorder="1" applyAlignment="1">
      <alignment horizontal="right" vertical="center"/>
    </xf>
    <xf numFmtId="166" fontId="38" fillId="77" borderId="90" xfId="1" applyFont="1" applyFill="1" applyBorder="1" applyAlignment="1">
      <alignment vertical="center" wrapText="1"/>
    </xf>
    <xf numFmtId="166" fontId="38" fillId="77" borderId="90" xfId="1" applyFont="1" applyFill="1" applyBorder="1" applyAlignment="1">
      <alignment horizontal="left" wrapText="1"/>
    </xf>
    <xf numFmtId="9" fontId="38" fillId="77" borderId="90" xfId="2" applyFont="1" applyFill="1" applyBorder="1" applyAlignment="1">
      <alignment horizontal="center" vertical="center"/>
    </xf>
    <xf numFmtId="9" fontId="92" fillId="77" borderId="90" xfId="2" applyFont="1" applyFill="1" applyBorder="1" applyAlignment="1">
      <alignment horizontal="center" vertical="center"/>
    </xf>
    <xf numFmtId="166" fontId="92" fillId="77" borderId="89" xfId="1" applyFont="1" applyFill="1" applyBorder="1" applyAlignment="1">
      <alignment vertical="center" wrapText="1"/>
    </xf>
    <xf numFmtId="166" fontId="92" fillId="77" borderId="90" xfId="1" applyFont="1" applyFill="1" applyBorder="1" applyAlignment="1">
      <alignment vertical="center" wrapText="1"/>
    </xf>
    <xf numFmtId="166" fontId="92" fillId="77" borderId="90" xfId="1" applyFont="1" applyFill="1" applyBorder="1" applyAlignment="1">
      <alignment horizontal="center" vertical="center"/>
    </xf>
    <xf numFmtId="166" fontId="92" fillId="77" borderId="90" xfId="1" applyFont="1" applyFill="1" applyBorder="1"/>
    <xf numFmtId="166" fontId="92" fillId="77" borderId="90" xfId="1" applyFont="1" applyFill="1" applyBorder="1" applyAlignment="1">
      <alignment horizontal="center"/>
    </xf>
    <xf numFmtId="166" fontId="92" fillId="77" borderId="91" xfId="1" applyFont="1" applyFill="1" applyBorder="1" applyAlignment="1">
      <alignment horizontal="left"/>
    </xf>
    <xf numFmtId="166" fontId="38" fillId="77" borderId="90" xfId="1" applyFont="1" applyFill="1" applyBorder="1" applyAlignment="1"/>
    <xf numFmtId="166" fontId="38" fillId="77" borderId="90" xfId="1" applyFont="1" applyFill="1" applyBorder="1" applyAlignment="1">
      <alignment horizontal="center"/>
    </xf>
    <xf numFmtId="166" fontId="38" fillId="77" borderId="91" xfId="1" applyFont="1" applyFill="1" applyBorder="1" applyAlignment="1">
      <alignment horizontal="left"/>
    </xf>
    <xf numFmtId="0" fontId="92" fillId="77" borderId="89" xfId="1" applyNumberFormat="1" applyFont="1" applyFill="1" applyBorder="1" applyAlignment="1">
      <alignment vertical="center"/>
    </xf>
    <xf numFmtId="166" fontId="92" fillId="77" borderId="90" xfId="1" applyFont="1" applyFill="1" applyBorder="1" applyAlignment="1">
      <alignment horizontal="center" vertical="center" wrapText="1"/>
    </xf>
    <xf numFmtId="166" fontId="92" fillId="77" borderId="91" xfId="1" applyFont="1" applyFill="1" applyBorder="1" applyAlignment="1">
      <alignment vertical="center"/>
    </xf>
    <xf numFmtId="166" fontId="92" fillId="77" borderId="90" xfId="1" applyFont="1" applyFill="1" applyBorder="1" applyAlignment="1">
      <alignment horizontal="left" vertical="center"/>
    </xf>
    <xf numFmtId="166" fontId="38" fillId="77" borderId="90" xfId="1" applyFont="1" applyFill="1" applyBorder="1"/>
    <xf numFmtId="0" fontId="38" fillId="77" borderId="0" xfId="1" applyNumberFormat="1" applyFont="1" applyFill="1" applyAlignment="1">
      <alignment horizontal="center"/>
    </xf>
    <xf numFmtId="166" fontId="38" fillId="77" borderId="0" xfId="1" applyFont="1" applyFill="1"/>
    <xf numFmtId="166" fontId="38" fillId="77" borderId="0" xfId="1" applyFont="1" applyFill="1" applyAlignment="1"/>
    <xf numFmtId="166" fontId="38" fillId="77" borderId="0" xfId="1" applyFont="1" applyFill="1" applyAlignment="1">
      <alignment horizontal="left"/>
    </xf>
    <xf numFmtId="166" fontId="38" fillId="77" borderId="0" xfId="1" applyFont="1" applyFill="1" applyAlignment="1">
      <alignment horizontal="center"/>
    </xf>
    <xf numFmtId="166" fontId="38" fillId="77" borderId="79" xfId="1" applyFont="1" applyFill="1" applyBorder="1" applyAlignment="1"/>
    <xf numFmtId="166" fontId="38" fillId="77" borderId="73" xfId="1" applyFont="1" applyFill="1" applyBorder="1" applyAlignment="1">
      <alignment horizontal="left" vertical="center"/>
    </xf>
    <xf numFmtId="166" fontId="38" fillId="77" borderId="73" xfId="1" applyFont="1" applyFill="1" applyBorder="1" applyAlignment="1">
      <alignment vertical="center"/>
    </xf>
    <xf numFmtId="166" fontId="38" fillId="77" borderId="79" xfId="1" applyFont="1" applyFill="1" applyBorder="1" applyAlignment="1">
      <alignment horizontal="center"/>
    </xf>
    <xf numFmtId="166" fontId="95" fillId="0" borderId="0" xfId="1" applyFont="1" applyBorder="1"/>
    <xf numFmtId="166" fontId="38" fillId="77" borderId="0" xfId="1" applyFont="1" applyFill="1" applyBorder="1" applyAlignment="1">
      <alignment horizontal="left"/>
    </xf>
    <xf numFmtId="166" fontId="92" fillId="77" borderId="217" xfId="1" applyFont="1" applyFill="1" applyBorder="1" applyAlignment="1">
      <alignment horizontal="left"/>
    </xf>
    <xf numFmtId="0" fontId="125" fillId="0" borderId="0" xfId="0" applyFont="1"/>
    <xf numFmtId="0" fontId="95" fillId="0" borderId="0" xfId="0" applyFont="1" applyAlignment="1">
      <alignment horizontal="right"/>
    </xf>
    <xf numFmtId="0" fontId="95" fillId="78" borderId="0" xfId="0" applyFont="1" applyFill="1"/>
    <xf numFmtId="0" fontId="95" fillId="0" borderId="100" xfId="36708" applyNumberFormat="1" applyFont="1" applyFill="1" applyBorder="1" applyAlignment="1">
      <alignment horizontal="center" vertical="center"/>
    </xf>
    <xf numFmtId="0" fontId="95" fillId="0" borderId="101" xfId="36708" applyNumberFormat="1" applyFont="1" applyFill="1" applyBorder="1" applyAlignment="1">
      <alignment vertical="center" wrapText="1"/>
    </xf>
    <xf numFmtId="1" fontId="40" fillId="0" borderId="101" xfId="36708" applyNumberFormat="1" applyFont="1" applyBorder="1" applyAlignment="1">
      <alignment horizontal="center" vertical="center" wrapText="1"/>
    </xf>
    <xf numFmtId="166" fontId="95" fillId="0" borderId="100" xfId="1" applyFont="1" applyFill="1" applyBorder="1" applyAlignment="1">
      <alignment horizontal="center" vertical="center"/>
    </xf>
    <xf numFmtId="166" fontId="95" fillId="0" borderId="96" xfId="1" applyFont="1" applyBorder="1"/>
    <xf numFmtId="166" fontId="95" fillId="0" borderId="102" xfId="1" applyFont="1" applyBorder="1"/>
    <xf numFmtId="166" fontId="95" fillId="0" borderId="61" xfId="1" applyFont="1" applyBorder="1"/>
    <xf numFmtId="0" fontId="95" fillId="77" borderId="101" xfId="36708" applyNumberFormat="1" applyFont="1" applyFill="1" applyBorder="1" applyAlignment="1">
      <alignment vertical="center" wrapText="1"/>
    </xf>
    <xf numFmtId="0" fontId="95" fillId="0" borderId="101" xfId="36708" applyNumberFormat="1" applyFont="1" applyFill="1" applyBorder="1" applyAlignment="1">
      <alignment vertical="center"/>
    </xf>
    <xf numFmtId="0" fontId="95" fillId="0" borderId="96" xfId="0" applyFont="1" applyBorder="1"/>
    <xf numFmtId="0" fontId="94" fillId="0" borderId="66" xfId="0" applyFont="1" applyBorder="1" applyAlignment="1">
      <alignment horizontal="center"/>
    </xf>
    <xf numFmtId="166" fontId="94" fillId="0" borderId="104" xfId="1" applyFont="1" applyBorder="1"/>
    <xf numFmtId="166" fontId="94" fillId="0" borderId="65" xfId="1" applyFont="1" applyBorder="1"/>
    <xf numFmtId="166" fontId="94" fillId="0" borderId="66" xfId="1" applyFont="1" applyBorder="1"/>
    <xf numFmtId="0" fontId="94" fillId="0" borderId="0" xfId="0" applyFont="1"/>
    <xf numFmtId="166" fontId="94" fillId="0" borderId="64" xfId="1" applyFont="1" applyBorder="1"/>
    <xf numFmtId="0" fontId="94" fillId="78" borderId="0" xfId="0" applyFont="1" applyFill="1" applyAlignment="1">
      <alignment horizontal="center" vertical="center"/>
    </xf>
    <xf numFmtId="0" fontId="95" fillId="0" borderId="102" xfId="0" applyFont="1" applyBorder="1" applyAlignment="1">
      <alignment horizontal="center"/>
    </xf>
    <xf numFmtId="166" fontId="95" fillId="0" borderId="95" xfId="1" applyFont="1" applyBorder="1"/>
    <xf numFmtId="166" fontId="95" fillId="0" borderId="95" xfId="1" applyFont="1" applyFill="1" applyBorder="1"/>
    <xf numFmtId="0" fontId="95" fillId="0" borderId="61" xfId="0" applyFont="1" applyFill="1" applyBorder="1" applyAlignment="1">
      <alignment horizontal="center"/>
    </xf>
    <xf numFmtId="0" fontId="95" fillId="0" borderId="96" xfId="0" applyFont="1" applyFill="1" applyBorder="1"/>
    <xf numFmtId="0" fontId="95" fillId="0" borderId="102" xfId="0" applyFont="1" applyFill="1" applyBorder="1" applyAlignment="1">
      <alignment horizontal="center"/>
    </xf>
    <xf numFmtId="166" fontId="95" fillId="0" borderId="102" xfId="1" applyFont="1" applyFill="1" applyBorder="1"/>
    <xf numFmtId="0" fontId="95" fillId="0" borderId="0" xfId="0" applyFont="1" applyFill="1"/>
    <xf numFmtId="166" fontId="95" fillId="0" borderId="61" xfId="1" applyFont="1" applyFill="1" applyBorder="1"/>
    <xf numFmtId="166" fontId="94" fillId="0" borderId="102" xfId="1" applyFont="1" applyBorder="1" applyAlignment="1"/>
    <xf numFmtId="166" fontId="94" fillId="0" borderId="95" xfId="1" applyFont="1" applyBorder="1"/>
    <xf numFmtId="166" fontId="94" fillId="0" borderId="102" xfId="1" applyFont="1" applyBorder="1"/>
    <xf numFmtId="166" fontId="94" fillId="0" borderId="0" xfId="1" applyFont="1"/>
    <xf numFmtId="166" fontId="94" fillId="0" borderId="61" xfId="1" applyFont="1" applyBorder="1"/>
    <xf numFmtId="166" fontId="94" fillId="78" borderId="66" xfId="1" applyFont="1" applyFill="1" applyBorder="1" applyAlignment="1"/>
    <xf numFmtId="166" fontId="94" fillId="78" borderId="104" xfId="1" applyFont="1" applyFill="1" applyBorder="1"/>
    <xf numFmtId="166" fontId="94" fillId="78" borderId="65" xfId="1" applyFont="1" applyFill="1" applyBorder="1"/>
    <xf numFmtId="166" fontId="94" fillId="78" borderId="66" xfId="1" applyFont="1" applyFill="1" applyBorder="1"/>
    <xf numFmtId="166" fontId="94" fillId="78" borderId="0" xfId="1" applyFont="1" applyFill="1"/>
    <xf numFmtId="166" fontId="94" fillId="78" borderId="64" xfId="1" applyFont="1" applyFill="1" applyBorder="1"/>
    <xf numFmtId="0" fontId="114" fillId="0" borderId="96" xfId="0" applyFont="1" applyBorder="1" applyAlignment="1">
      <alignment horizontal="left" vertical="top"/>
    </xf>
    <xf numFmtId="0" fontId="38" fillId="0" borderId="180" xfId="0" applyFont="1" applyBorder="1"/>
    <xf numFmtId="0" fontId="114" fillId="0" borderId="181" xfId="0" applyFont="1" applyBorder="1"/>
    <xf numFmtId="0" fontId="95" fillId="0" borderId="182" xfId="0" applyFont="1" applyBorder="1" applyAlignment="1">
      <alignment horizontal="left"/>
    </xf>
    <xf numFmtId="0" fontId="128" fillId="0" borderId="32" xfId="0" applyFont="1" applyFill="1" applyBorder="1" applyAlignment="1">
      <alignment horizontal="center"/>
    </xf>
    <xf numFmtId="0" fontId="128" fillId="0" borderId="33" xfId="0" applyFont="1" applyFill="1" applyBorder="1"/>
    <xf numFmtId="166" fontId="128" fillId="0" borderId="33" xfId="1" applyFont="1" applyFill="1" applyBorder="1" applyAlignment="1">
      <alignment horizontal="center"/>
    </xf>
    <xf numFmtId="166" fontId="129" fillId="0" borderId="33" xfId="1" applyFont="1" applyFill="1" applyBorder="1" applyAlignment="1">
      <alignment horizontal="center"/>
    </xf>
    <xf numFmtId="166" fontId="124" fillId="0" borderId="33" xfId="1" applyFont="1" applyFill="1" applyBorder="1" applyAlignment="1">
      <alignment horizontal="center"/>
    </xf>
    <xf numFmtId="166" fontId="128" fillId="0" borderId="34" xfId="1" applyFont="1" applyFill="1" applyBorder="1" applyAlignment="1">
      <alignment horizontal="center"/>
    </xf>
    <xf numFmtId="0" fontId="97" fillId="0" borderId="35" xfId="0" applyFont="1" applyFill="1" applyBorder="1" applyAlignment="1">
      <alignment horizontal="center"/>
    </xf>
    <xf numFmtId="0" fontId="128" fillId="0" borderId="36" xfId="0" applyFont="1" applyFill="1" applyBorder="1"/>
    <xf numFmtId="0" fontId="124" fillId="0" borderId="36" xfId="0" applyFont="1" applyFill="1" applyBorder="1"/>
    <xf numFmtId="0" fontId="124" fillId="0" borderId="36" xfId="0" applyFont="1" applyFill="1" applyBorder="1" applyAlignment="1">
      <alignment horizontal="center"/>
    </xf>
    <xf numFmtId="166" fontId="128" fillId="0" borderId="36" xfId="1" applyFont="1" applyFill="1" applyBorder="1" applyAlignment="1">
      <alignment horizontal="center"/>
    </xf>
    <xf numFmtId="166" fontId="129" fillId="0" borderId="36" xfId="1" applyFont="1" applyFill="1" applyBorder="1" applyAlignment="1">
      <alignment horizontal="center"/>
    </xf>
    <xf numFmtId="166" fontId="124" fillId="0" borderId="36" xfId="1" applyFont="1" applyFill="1" applyBorder="1" applyAlignment="1">
      <alignment horizontal="center"/>
    </xf>
    <xf numFmtId="166" fontId="128" fillId="0" borderId="39" xfId="1" applyFont="1" applyFill="1" applyBorder="1" applyAlignment="1">
      <alignment horizontal="center"/>
    </xf>
    <xf numFmtId="0" fontId="130" fillId="0" borderId="36" xfId="0" applyFont="1" applyFill="1" applyBorder="1" applyAlignment="1">
      <alignment horizontal="left"/>
    </xf>
    <xf numFmtId="166" fontId="130" fillId="0" borderId="36" xfId="1" applyFont="1" applyFill="1" applyBorder="1" applyAlignment="1">
      <alignment horizontal="center"/>
    </xf>
    <xf numFmtId="166" fontId="131" fillId="0" borderId="36" xfId="1" applyFont="1" applyFill="1" applyBorder="1" applyAlignment="1">
      <alignment horizontal="center"/>
    </xf>
    <xf numFmtId="0" fontId="97" fillId="0" borderId="50" xfId="0" applyFont="1" applyFill="1" applyBorder="1" applyAlignment="1">
      <alignment horizontal="center"/>
    </xf>
    <xf numFmtId="0" fontId="97" fillId="0" borderId="51" xfId="0" applyFont="1" applyFill="1" applyBorder="1"/>
    <xf numFmtId="166" fontId="95" fillId="0" borderId="51" xfId="1" applyFont="1" applyFill="1" applyBorder="1" applyAlignment="1">
      <alignment horizontal="center"/>
    </xf>
    <xf numFmtId="166" fontId="98" fillId="0" borderId="52" xfId="1" applyFont="1" applyFill="1" applyBorder="1" applyAlignment="1">
      <alignment horizontal="center"/>
    </xf>
    <xf numFmtId="166" fontId="98" fillId="0" borderId="105" xfId="1" applyFont="1" applyFill="1" applyBorder="1" applyAlignment="1">
      <alignment horizontal="center"/>
    </xf>
    <xf numFmtId="0" fontId="95" fillId="0" borderId="0" xfId="0" applyFont="1" applyFill="1" applyAlignment="1">
      <alignment horizontal="center"/>
    </xf>
    <xf numFmtId="0" fontId="110" fillId="0" borderId="73" xfId="0" applyFont="1" applyFill="1" applyBorder="1" applyAlignment="1">
      <alignment horizontal="center" wrapText="1"/>
    </xf>
    <xf numFmtId="0" fontId="99" fillId="0" borderId="73" xfId="0" applyFont="1" applyFill="1" applyBorder="1" applyAlignment="1">
      <alignment horizontal="center" vertical="center" wrapText="1"/>
    </xf>
    <xf numFmtId="0" fontId="110" fillId="0" borderId="74" xfId="0" applyFont="1" applyFill="1" applyBorder="1" applyAlignment="1">
      <alignment horizontal="center" wrapText="1"/>
    </xf>
    <xf numFmtId="0" fontId="115" fillId="0" borderId="121" xfId="0" applyFont="1" applyFill="1" applyBorder="1" applyAlignment="1"/>
    <xf numFmtId="0" fontId="115" fillId="0" borderId="32" xfId="0" applyFont="1" applyFill="1" applyBorder="1" applyAlignment="1">
      <alignment horizontal="center"/>
    </xf>
    <xf numFmtId="0" fontId="115" fillId="0" borderId="33" xfId="0" applyFont="1" applyFill="1" applyBorder="1"/>
    <xf numFmtId="0" fontId="115" fillId="0" borderId="33" xfId="0" applyFont="1" applyFill="1" applyBorder="1" applyAlignment="1">
      <alignment horizontal="center" vertical="center" wrapText="1"/>
    </xf>
    <xf numFmtId="187" fontId="115" fillId="0" borderId="124" xfId="0" applyNumberFormat="1" applyFont="1" applyFill="1" applyBorder="1"/>
    <xf numFmtId="2" fontId="115" fillId="0" borderId="125" xfId="1" applyNumberFormat="1" applyFont="1" applyFill="1" applyBorder="1"/>
    <xf numFmtId="166" fontId="115" fillId="0" borderId="33" xfId="1" applyFont="1" applyFill="1" applyBorder="1" applyAlignment="1"/>
    <xf numFmtId="166" fontId="115" fillId="0" borderId="37" xfId="1" applyFont="1" applyFill="1" applyBorder="1" applyAlignment="1"/>
    <xf numFmtId="166" fontId="115" fillId="0" borderId="37" xfId="1" applyFont="1" applyFill="1" applyBorder="1" applyAlignment="1">
      <alignment horizontal="center"/>
    </xf>
    <xf numFmtId="2" fontId="115" fillId="0" borderId="37" xfId="1" applyNumberFormat="1" applyFont="1" applyFill="1" applyBorder="1"/>
    <xf numFmtId="0" fontId="115" fillId="0" borderId="35" xfId="0" applyFont="1" applyFill="1" applyBorder="1" applyAlignment="1">
      <alignment horizontal="center"/>
    </xf>
    <xf numFmtId="0" fontId="115" fillId="0" borderId="36" xfId="0" applyFont="1" applyFill="1" applyBorder="1"/>
    <xf numFmtId="0" fontId="115" fillId="0" borderId="36" xfId="0" applyFont="1" applyFill="1" applyBorder="1" applyAlignment="1">
      <alignment horizontal="center" vertical="center" wrapText="1"/>
    </xf>
    <xf numFmtId="187" fontId="115" fillId="0" borderId="127" xfId="0" applyNumberFormat="1" applyFont="1" applyFill="1" applyBorder="1"/>
    <xf numFmtId="2" fontId="115" fillId="0" borderId="128" xfId="1" applyNumberFormat="1" applyFont="1" applyFill="1" applyBorder="1"/>
    <xf numFmtId="166" fontId="115" fillId="0" borderId="36" xfId="1" applyFont="1" applyFill="1" applyBorder="1" applyAlignment="1"/>
    <xf numFmtId="166" fontId="115" fillId="0" borderId="36" xfId="1" applyFont="1" applyFill="1" applyBorder="1" applyAlignment="1">
      <alignment horizontal="center"/>
    </xf>
    <xf numFmtId="2" fontId="115" fillId="0" borderId="36" xfId="1" applyNumberFormat="1" applyFont="1" applyFill="1" applyBorder="1"/>
    <xf numFmtId="166" fontId="114" fillId="0" borderId="36" xfId="1" applyFont="1" applyFill="1" applyBorder="1" applyAlignment="1"/>
    <xf numFmtId="0" fontId="115" fillId="0" borderId="42" xfId="0" applyFont="1" applyFill="1" applyBorder="1" applyAlignment="1">
      <alignment horizontal="center"/>
    </xf>
    <xf numFmtId="0" fontId="115" fillId="0" borderId="37" xfId="0" applyFont="1" applyFill="1" applyBorder="1"/>
    <xf numFmtId="0" fontId="115" fillId="0" borderId="37" xfId="0" applyFont="1" applyFill="1" applyBorder="1" applyAlignment="1">
      <alignment horizontal="center" vertical="center" wrapText="1"/>
    </xf>
    <xf numFmtId="188" fontId="115" fillId="0" borderId="37" xfId="0" applyNumberFormat="1" applyFont="1" applyFill="1" applyBorder="1" applyAlignment="1">
      <alignment horizontal="center" vertical="center" wrapText="1"/>
    </xf>
    <xf numFmtId="187" fontId="115" fillId="0" borderId="130" xfId="0" applyNumberFormat="1" applyFont="1" applyFill="1" applyBorder="1"/>
    <xf numFmtId="2" fontId="115" fillId="0" borderId="126" xfId="1" applyNumberFormat="1" applyFont="1" applyFill="1" applyBorder="1" applyAlignment="1"/>
    <xf numFmtId="166" fontId="115" fillId="0" borderId="130" xfId="1" applyFont="1" applyFill="1" applyBorder="1" applyAlignment="1">
      <alignment horizontal="center"/>
    </xf>
    <xf numFmtId="2" fontId="115" fillId="0" borderId="126" xfId="1" applyNumberFormat="1" applyFont="1" applyFill="1" applyBorder="1"/>
    <xf numFmtId="189" fontId="115" fillId="0" borderId="127" xfId="0" applyNumberFormat="1" applyFont="1" applyFill="1" applyBorder="1" applyAlignment="1">
      <alignment horizontal="left"/>
    </xf>
    <xf numFmtId="166" fontId="115" fillId="0" borderId="127" xfId="1" applyFont="1" applyFill="1" applyBorder="1" applyAlignment="1">
      <alignment horizontal="center"/>
    </xf>
    <xf numFmtId="0" fontId="133" fillId="0" borderId="36" xfId="0" applyFont="1" applyFill="1" applyBorder="1" applyAlignment="1">
      <alignment horizontal="center" vertical="center"/>
    </xf>
    <xf numFmtId="0" fontId="133" fillId="0" borderId="127" xfId="0" applyFont="1" applyFill="1" applyBorder="1" applyAlignment="1">
      <alignment horizontal="center" vertical="center" wrapText="1"/>
    </xf>
    <xf numFmtId="2" fontId="115" fillId="0" borderId="128" xfId="1" applyNumberFormat="1" applyFont="1" applyFill="1" applyBorder="1" applyAlignment="1"/>
    <xf numFmtId="189" fontId="115" fillId="0" borderId="130" xfId="0" applyNumberFormat="1" applyFont="1" applyFill="1" applyBorder="1" applyAlignment="1">
      <alignment horizontal="left"/>
    </xf>
    <xf numFmtId="0" fontId="115" fillId="0" borderId="36" xfId="0" applyFont="1" applyFill="1" applyBorder="1" applyAlignment="1">
      <alignment horizontal="center"/>
    </xf>
    <xf numFmtId="0" fontId="133" fillId="0" borderId="127" xfId="0" applyFont="1" applyFill="1" applyBorder="1" applyAlignment="1">
      <alignment horizontal="center" vertical="center"/>
    </xf>
    <xf numFmtId="0" fontId="115" fillId="0" borderId="127" xfId="0" applyFont="1" applyFill="1" applyBorder="1"/>
    <xf numFmtId="0" fontId="115" fillId="0" borderId="41" xfId="0" applyFont="1" applyFill="1" applyBorder="1" applyAlignment="1">
      <alignment horizontal="center"/>
    </xf>
    <xf numFmtId="0" fontId="115" fillId="0" borderId="131" xfId="0" applyFont="1" applyFill="1" applyBorder="1"/>
    <xf numFmtId="2" fontId="115" fillId="0" borderId="132" xfId="1" applyNumberFormat="1" applyFont="1" applyFill="1" applyBorder="1" applyAlignment="1">
      <alignment horizontal="center"/>
    </xf>
    <xf numFmtId="166" fontId="115" fillId="0" borderId="41" xfId="1" applyFont="1" applyFill="1" applyBorder="1" applyAlignment="1"/>
    <xf numFmtId="166" fontId="115" fillId="0" borderId="131" xfId="1" applyFont="1" applyFill="1" applyBorder="1" applyAlignment="1">
      <alignment horizontal="center"/>
    </xf>
    <xf numFmtId="2" fontId="115" fillId="0" borderId="132" xfId="1" applyNumberFormat="1" applyFont="1" applyFill="1" applyBorder="1" applyAlignment="1">
      <alignment horizontal="right"/>
    </xf>
    <xf numFmtId="0" fontId="115" fillId="0" borderId="44" xfId="0" applyFont="1" applyFill="1" applyBorder="1" applyAlignment="1">
      <alignment horizontal="center"/>
    </xf>
    <xf numFmtId="186" fontId="115" fillId="0" borderId="127" xfId="0" applyNumberFormat="1" applyFont="1" applyFill="1" applyBorder="1" applyAlignment="1">
      <alignment horizontal="center"/>
    </xf>
    <xf numFmtId="2" fontId="115" fillId="0" borderId="126" xfId="1" applyNumberFormat="1" applyFont="1" applyFill="1" applyBorder="1" applyAlignment="1">
      <alignment horizontal="center"/>
    </xf>
    <xf numFmtId="0" fontId="115" fillId="0" borderId="41" xfId="0" applyFont="1" applyFill="1" applyBorder="1"/>
    <xf numFmtId="0" fontId="133" fillId="0" borderId="41" xfId="0" applyFont="1" applyFill="1" applyBorder="1" applyAlignment="1">
      <alignment horizontal="center" vertical="center"/>
    </xf>
    <xf numFmtId="0" fontId="133" fillId="0" borderId="131" xfId="0" applyFont="1" applyFill="1" applyBorder="1" applyAlignment="1">
      <alignment horizontal="center" vertical="center"/>
    </xf>
    <xf numFmtId="2" fontId="115" fillId="0" borderId="132" xfId="1" applyNumberFormat="1" applyFont="1" applyFill="1" applyBorder="1" applyAlignment="1"/>
    <xf numFmtId="0" fontId="115" fillId="0" borderId="114" xfId="0" applyFont="1" applyFill="1" applyBorder="1" applyAlignment="1">
      <alignment horizontal="center"/>
    </xf>
    <xf numFmtId="0" fontId="115" fillId="0" borderId="51" xfId="0" applyFont="1" applyFill="1" applyBorder="1"/>
    <xf numFmtId="0" fontId="114" fillId="0" borderId="51" xfId="0" applyFont="1" applyFill="1" applyBorder="1" applyAlignment="1">
      <alignment horizontal="center"/>
    </xf>
    <xf numFmtId="0" fontId="115" fillId="0" borderId="51" xfId="0" applyFont="1" applyFill="1" applyBorder="1" applyAlignment="1">
      <alignment horizontal="center"/>
    </xf>
    <xf numFmtId="0" fontId="115" fillId="0" borderId="133" xfId="0" applyFont="1" applyFill="1" applyBorder="1"/>
    <xf numFmtId="2" fontId="115" fillId="0" borderId="134" xfId="1" applyNumberFormat="1" applyFont="1" applyFill="1" applyBorder="1"/>
    <xf numFmtId="166" fontId="115" fillId="0" borderId="51" xfId="1" applyFont="1" applyFill="1" applyBorder="1" applyAlignment="1"/>
    <xf numFmtId="166" fontId="115" fillId="0" borderId="133" xfId="1" applyFont="1" applyFill="1" applyBorder="1" applyAlignment="1">
      <alignment horizontal="center"/>
    </xf>
    <xf numFmtId="2" fontId="115" fillId="0" borderId="128" xfId="1" applyNumberFormat="1" applyFont="1" applyFill="1" applyBorder="1" applyAlignment="1">
      <alignment horizontal="center"/>
    </xf>
    <xf numFmtId="2" fontId="114" fillId="0" borderId="128" xfId="1" applyNumberFormat="1" applyFont="1" applyFill="1" applyBorder="1" applyAlignment="1">
      <alignment horizontal="center"/>
    </xf>
    <xf numFmtId="186" fontId="115" fillId="0" borderId="36" xfId="0" applyNumberFormat="1" applyFont="1" applyFill="1" applyBorder="1" applyAlignment="1">
      <alignment horizontal="center"/>
    </xf>
    <xf numFmtId="0" fontId="114" fillId="0" borderId="0" xfId="0" applyFont="1" applyFill="1" applyAlignment="1">
      <alignment horizontal="center"/>
    </xf>
    <xf numFmtId="0" fontId="114" fillId="0" borderId="0" xfId="0" applyFont="1" applyFill="1"/>
    <xf numFmtId="2" fontId="114" fillId="0" borderId="0" xfId="0" applyNumberFormat="1" applyFont="1" applyFill="1"/>
    <xf numFmtId="0" fontId="114" fillId="0" borderId="0" xfId="0" applyFont="1" applyFill="1" applyBorder="1" applyAlignment="1">
      <alignment horizontal="left"/>
    </xf>
    <xf numFmtId="0" fontId="114" fillId="0" borderId="0" xfId="0" applyFont="1" applyFill="1" applyBorder="1"/>
    <xf numFmtId="0" fontId="114" fillId="0" borderId="0" xfId="0" applyFont="1" applyFill="1" applyBorder="1" applyAlignment="1">
      <alignment horizontal="center"/>
    </xf>
    <xf numFmtId="0" fontId="115" fillId="0" borderId="96" xfId="0" applyFont="1" applyFill="1" applyBorder="1" applyAlignment="1">
      <alignment horizontal="center"/>
    </xf>
    <xf numFmtId="0" fontId="115" fillId="0" borderId="45" xfId="0" applyFont="1" applyFill="1" applyBorder="1" applyAlignment="1">
      <alignment horizontal="center"/>
    </xf>
    <xf numFmtId="0" fontId="115" fillId="0" borderId="96" xfId="0" applyFont="1" applyFill="1" applyBorder="1"/>
    <xf numFmtId="0" fontId="38" fillId="0" borderId="42" xfId="0" applyFont="1" applyFill="1" applyBorder="1" applyAlignment="1">
      <alignment horizontal="center"/>
    </xf>
    <xf numFmtId="0" fontId="38" fillId="0" borderId="147" xfId="0" applyFont="1" applyFill="1" applyBorder="1"/>
    <xf numFmtId="0" fontId="38" fillId="0" borderId="125" xfId="0" applyFont="1" applyFill="1" applyBorder="1" applyAlignment="1">
      <alignment horizontal="center" vertical="center" wrapText="1"/>
    </xf>
    <xf numFmtId="0" fontId="38" fillId="0" borderId="37" xfId="0" applyFont="1" applyFill="1" applyBorder="1" applyAlignment="1">
      <alignment horizontal="center" vertical="center" wrapText="1"/>
    </xf>
    <xf numFmtId="0" fontId="95" fillId="0" borderId="33" xfId="0" applyFont="1" applyFill="1" applyBorder="1" applyAlignment="1">
      <alignment horizontal="center"/>
    </xf>
    <xf numFmtId="166" fontId="95" fillId="0" borderId="33" xfId="1" applyFont="1" applyFill="1" applyBorder="1" applyAlignment="1">
      <alignment horizontal="center"/>
    </xf>
    <xf numFmtId="166" fontId="95" fillId="0" borderId="34" xfId="1" applyFont="1" applyFill="1" applyBorder="1" applyAlignment="1">
      <alignment horizontal="center"/>
    </xf>
    <xf numFmtId="0" fontId="38" fillId="0" borderId="35" xfId="0" applyFont="1" applyFill="1" applyBorder="1" applyAlignment="1">
      <alignment horizontal="center"/>
    </xf>
    <xf numFmtId="0" fontId="38" fillId="0" borderId="129" xfId="0" applyFont="1" applyFill="1" applyBorder="1"/>
    <xf numFmtId="0" fontId="38" fillId="0" borderId="128" xfId="0" applyFont="1" applyFill="1" applyBorder="1" applyAlignment="1">
      <alignment horizontal="center" vertical="center" wrapText="1"/>
    </xf>
    <xf numFmtId="0" fontId="38" fillId="0" borderId="36" xfId="0" applyFont="1" applyFill="1" applyBorder="1" applyAlignment="1">
      <alignment horizontal="center" vertical="center" wrapText="1"/>
    </xf>
    <xf numFmtId="166" fontId="95" fillId="0" borderId="39" xfId="1" applyFont="1" applyFill="1" applyBorder="1" applyAlignment="1">
      <alignment horizontal="center"/>
    </xf>
    <xf numFmtId="0" fontId="38" fillId="0" borderId="148" xfId="0" applyFont="1" applyFill="1" applyBorder="1"/>
    <xf numFmtId="188" fontId="38" fillId="0" borderId="37" xfId="0" applyNumberFormat="1" applyFont="1" applyFill="1" applyBorder="1" applyAlignment="1">
      <alignment horizontal="center" vertical="center" wrapText="1"/>
    </xf>
    <xf numFmtId="0" fontId="38" fillId="0" borderId="149" xfId="0" applyFont="1" applyFill="1" applyBorder="1"/>
    <xf numFmtId="0" fontId="38" fillId="0" borderId="41" xfId="0" applyFont="1" applyFill="1" applyBorder="1" applyAlignment="1">
      <alignment horizontal="center"/>
    </xf>
    <xf numFmtId="190" fontId="38" fillId="0" borderId="41" xfId="0" applyNumberFormat="1" applyFont="1" applyFill="1" applyBorder="1" applyAlignment="1">
      <alignment horizontal="center"/>
    </xf>
    <xf numFmtId="0" fontId="38" fillId="0" borderId="150" xfId="0" applyFont="1" applyFill="1" applyBorder="1"/>
    <xf numFmtId="0" fontId="92" fillId="0" borderId="150" xfId="0" applyFont="1" applyFill="1" applyBorder="1"/>
    <xf numFmtId="166" fontId="94" fillId="0" borderId="52" xfId="1" applyFont="1" applyFill="1" applyBorder="1"/>
    <xf numFmtId="0" fontId="95" fillId="0" borderId="0" xfId="0" applyFont="1" applyFill="1" applyBorder="1" applyAlignment="1">
      <alignment horizontal="center"/>
    </xf>
    <xf numFmtId="166" fontId="95" fillId="0" borderId="33" xfId="0" applyNumberFormat="1" applyFont="1" applyFill="1" applyBorder="1" applyAlignment="1">
      <alignment horizontal="center"/>
    </xf>
    <xf numFmtId="0" fontId="95" fillId="0" borderId="35" xfId="0" applyFont="1" applyFill="1" applyBorder="1" applyAlignment="1">
      <alignment horizontal="center"/>
    </xf>
    <xf numFmtId="0" fontId="95" fillId="0" borderId="37" xfId="0" applyFont="1" applyFill="1" applyBorder="1"/>
    <xf numFmtId="0" fontId="95" fillId="0" borderId="37" xfId="0" applyFont="1" applyFill="1" applyBorder="1" applyAlignment="1">
      <alignment horizontal="center"/>
    </xf>
    <xf numFmtId="166" fontId="95" fillId="0" borderId="37" xfId="1" applyFont="1" applyFill="1" applyBorder="1" applyAlignment="1">
      <alignment horizontal="center"/>
    </xf>
    <xf numFmtId="166" fontId="95" fillId="0" borderId="38" xfId="1" applyFont="1" applyFill="1" applyBorder="1" applyAlignment="1">
      <alignment horizontal="center"/>
    </xf>
    <xf numFmtId="0" fontId="38" fillId="0" borderId="36" xfId="0" applyFont="1" applyFill="1" applyBorder="1" applyAlignment="1">
      <alignment horizontal="center"/>
    </xf>
    <xf numFmtId="0" fontId="95" fillId="0" borderId="153" xfId="0" applyFont="1" applyFill="1" applyBorder="1"/>
    <xf numFmtId="0" fontId="95" fillId="0" borderId="153" xfId="0" applyFont="1" applyFill="1" applyBorder="1" applyAlignment="1">
      <alignment horizontal="center"/>
    </xf>
    <xf numFmtId="166" fontId="95" fillId="0" borderId="153" xfId="1" applyFont="1" applyFill="1" applyBorder="1" applyAlignment="1">
      <alignment horizontal="center"/>
    </xf>
    <xf numFmtId="166" fontId="95" fillId="0" borderId="154" xfId="1" applyFont="1" applyFill="1" applyBorder="1" applyAlignment="1">
      <alignment horizontal="center"/>
    </xf>
    <xf numFmtId="166" fontId="95" fillId="0" borderId="37" xfId="1" applyFont="1" applyFill="1" applyBorder="1"/>
    <xf numFmtId="166" fontId="95" fillId="0" borderId="38" xfId="1" applyFont="1" applyFill="1" applyBorder="1"/>
    <xf numFmtId="166" fontId="95" fillId="0" borderId="0" xfId="1" applyFont="1" applyFill="1"/>
    <xf numFmtId="0" fontId="92" fillId="0" borderId="144" xfId="0" applyFont="1" applyFill="1" applyBorder="1" applyAlignment="1">
      <alignment horizontal="center" vertical="center"/>
    </xf>
    <xf numFmtId="0" fontId="92" fillId="0" borderId="139" xfId="0" applyFont="1" applyFill="1" applyBorder="1" applyAlignment="1">
      <alignment horizontal="center" vertical="center" wrapText="1"/>
    </xf>
    <xf numFmtId="0" fontId="92" fillId="0" borderId="139" xfId="0" applyFont="1" applyFill="1" applyBorder="1" applyAlignment="1">
      <alignment horizontal="center" vertical="center"/>
    </xf>
    <xf numFmtId="166" fontId="92" fillId="0" borderId="139" xfId="1" applyFont="1" applyFill="1" applyBorder="1" applyAlignment="1">
      <alignment horizontal="center" vertical="center" wrapText="1"/>
    </xf>
    <xf numFmtId="0" fontId="92" fillId="0" borderId="140" xfId="0" applyFont="1" applyFill="1" applyBorder="1" applyAlignment="1">
      <alignment horizontal="center" vertical="center" wrapText="1"/>
    </xf>
    <xf numFmtId="0" fontId="38" fillId="0" borderId="41" xfId="0" applyFont="1" applyFill="1" applyBorder="1" applyAlignment="1">
      <alignment horizontal="center" vertical="center"/>
    </xf>
    <xf numFmtId="0" fontId="95" fillId="0" borderId="42" xfId="0" applyFont="1" applyFill="1" applyBorder="1" applyAlignment="1">
      <alignment horizontal="center"/>
    </xf>
    <xf numFmtId="0" fontId="95" fillId="0" borderId="96" xfId="0" applyFont="1" applyFill="1" applyBorder="1" applyAlignment="1">
      <alignment horizontal="center"/>
    </xf>
    <xf numFmtId="1" fontId="38" fillId="77" borderId="35" xfId="0" applyNumberFormat="1" applyFont="1" applyFill="1" applyBorder="1" applyAlignment="1">
      <alignment horizontal="center"/>
    </xf>
    <xf numFmtId="0" fontId="38" fillId="77" borderId="36" xfId="0" applyNumberFormat="1" applyFont="1" applyFill="1" applyBorder="1"/>
    <xf numFmtId="0" fontId="38" fillId="77" borderId="36" xfId="0" applyNumberFormat="1" applyFont="1" applyFill="1" applyBorder="1" applyAlignment="1">
      <alignment horizontal="center" vertical="center" wrapText="1"/>
    </xf>
    <xf numFmtId="166" fontId="97" fillId="77" borderId="36" xfId="1" applyFont="1" applyFill="1" applyBorder="1" applyAlignment="1">
      <alignment horizontal="center"/>
    </xf>
    <xf numFmtId="175" fontId="97" fillId="77" borderId="36" xfId="0" applyNumberFormat="1" applyFont="1" applyFill="1" applyBorder="1"/>
    <xf numFmtId="9" fontId="97" fillId="0" borderId="96" xfId="2" applyFont="1" applyFill="1" applyBorder="1" applyAlignment="1">
      <alignment horizontal="center"/>
    </xf>
    <xf numFmtId="9" fontId="97" fillId="77" borderId="96" xfId="2" applyFont="1" applyFill="1" applyBorder="1" applyAlignment="1">
      <alignment horizontal="center"/>
    </xf>
    <xf numFmtId="9" fontId="97" fillId="77" borderId="96" xfId="2" applyFont="1" applyFill="1" applyBorder="1"/>
    <xf numFmtId="1" fontId="38" fillId="77" borderId="40" xfId="0" applyNumberFormat="1" applyFont="1" applyFill="1" applyBorder="1" applyAlignment="1">
      <alignment horizontal="center"/>
    </xf>
    <xf numFmtId="0" fontId="38" fillId="77" borderId="41" xfId="0" applyNumberFormat="1" applyFont="1" applyFill="1" applyBorder="1"/>
    <xf numFmtId="0" fontId="38" fillId="77" borderId="41" xfId="0" applyNumberFormat="1" applyFont="1" applyFill="1" applyBorder="1" applyAlignment="1">
      <alignment horizontal="center" vertical="center" wrapText="1"/>
    </xf>
    <xf numFmtId="166" fontId="97" fillId="77" borderId="41" xfId="1" applyFont="1" applyFill="1" applyBorder="1"/>
    <xf numFmtId="175" fontId="97" fillId="77" borderId="41" xfId="0" applyNumberFormat="1" applyFont="1" applyFill="1" applyBorder="1"/>
    <xf numFmtId="9" fontId="97" fillId="77" borderId="97" xfId="2" applyFont="1" applyFill="1" applyBorder="1"/>
    <xf numFmtId="1" fontId="38" fillId="77" borderId="96" xfId="0" applyNumberFormat="1" applyFont="1" applyFill="1" applyBorder="1" applyAlignment="1">
      <alignment horizontal="center"/>
    </xf>
    <xf numFmtId="0" fontId="38" fillId="77" borderId="96" xfId="0" applyNumberFormat="1" applyFont="1" applyFill="1" applyBorder="1"/>
    <xf numFmtId="0" fontId="38" fillId="77" borderId="96" xfId="0" applyNumberFormat="1" applyFont="1" applyFill="1" applyBorder="1" applyAlignment="1">
      <alignment horizontal="center" vertical="center" wrapText="1"/>
    </xf>
    <xf numFmtId="166" fontId="97" fillId="77" borderId="96" xfId="1" applyFont="1" applyFill="1" applyBorder="1"/>
    <xf numFmtId="175" fontId="97" fillId="77" borderId="96" xfId="0" applyNumberFormat="1" applyFont="1" applyFill="1" applyBorder="1"/>
    <xf numFmtId="0" fontId="38" fillId="0" borderId="40" xfId="0" applyFont="1" applyFill="1" applyBorder="1" applyAlignment="1">
      <alignment horizontal="center"/>
    </xf>
    <xf numFmtId="170" fontId="134" fillId="0" borderId="161" xfId="8053" applyNumberFormat="1" applyFont="1" applyBorder="1" applyAlignment="1">
      <alignment horizontal="center"/>
    </xf>
    <xf numFmtId="166" fontId="134" fillId="0" borderId="162" xfId="8053" applyFont="1" applyFill="1" applyBorder="1"/>
    <xf numFmtId="166" fontId="134" fillId="0" borderId="162" xfId="8053" applyFont="1" applyBorder="1"/>
    <xf numFmtId="1" fontId="134" fillId="0" borderId="162" xfId="8053" applyNumberFormat="1" applyFont="1" applyBorder="1" applyAlignment="1">
      <alignment horizontal="center"/>
    </xf>
    <xf numFmtId="166" fontId="118" fillId="0" borderId="210" xfId="8053" applyFont="1" applyBorder="1" applyAlignment="1">
      <alignment horizontal="right"/>
    </xf>
    <xf numFmtId="166" fontId="118" fillId="0" borderId="206" xfId="8053" applyFont="1" applyBorder="1" applyAlignment="1">
      <alignment horizontal="right"/>
    </xf>
    <xf numFmtId="2" fontId="118" fillId="0" borderId="96" xfId="0" applyNumberFormat="1" applyFont="1" applyBorder="1" applyAlignment="1">
      <alignment horizontal="center"/>
    </xf>
    <xf numFmtId="0" fontId="118" fillId="0" borderId="96" xfId="0" applyFont="1" applyBorder="1" applyAlignment="1">
      <alignment wrapText="1"/>
    </xf>
    <xf numFmtId="2" fontId="118" fillId="0" borderId="102" xfId="0" applyNumberFormat="1" applyFont="1" applyBorder="1" applyAlignment="1">
      <alignment horizontal="center"/>
    </xf>
    <xf numFmtId="170" fontId="134" fillId="0" borderId="163" xfId="8053" applyNumberFormat="1" applyFont="1" applyBorder="1" applyAlignment="1">
      <alignment horizontal="center"/>
    </xf>
    <xf numFmtId="166" fontId="134" fillId="0" borderId="164" xfId="8053" applyFont="1" applyFill="1" applyBorder="1"/>
    <xf numFmtId="166" fontId="134" fillId="0" borderId="164" xfId="8053" applyFont="1" applyBorder="1"/>
    <xf numFmtId="1" fontId="134" fillId="0" borderId="164" xfId="8053" applyNumberFormat="1" applyFont="1" applyBorder="1" applyAlignment="1">
      <alignment horizontal="center"/>
    </xf>
    <xf numFmtId="166" fontId="118" fillId="0" borderId="211" xfId="8053" applyFont="1" applyBorder="1" applyAlignment="1">
      <alignment horizontal="right"/>
    </xf>
    <xf numFmtId="0" fontId="135" fillId="0" borderId="65" xfId="0" applyFont="1" applyBorder="1" applyAlignment="1">
      <alignment horizontal="center" vertical="center" wrapText="1"/>
    </xf>
    <xf numFmtId="0" fontId="135" fillId="0" borderId="96" xfId="0" applyFont="1" applyBorder="1" applyAlignment="1">
      <alignment horizontal="center" vertical="center" wrapText="1"/>
    </xf>
    <xf numFmtId="0" fontId="135" fillId="0" borderId="96" xfId="0" applyFont="1" applyBorder="1" applyAlignment="1">
      <alignment horizontal="center" vertical="center" textRotation="90" wrapText="1"/>
    </xf>
    <xf numFmtId="0" fontId="135" fillId="0" borderId="206" xfId="0" applyFont="1" applyBorder="1" applyAlignment="1">
      <alignment horizontal="center" vertical="center" textRotation="90" wrapText="1"/>
    </xf>
    <xf numFmtId="0" fontId="136" fillId="0" borderId="96" xfId="0" applyFont="1" applyBorder="1" applyAlignment="1">
      <alignment horizontal="center" vertical="center" textRotation="90" wrapText="1"/>
    </xf>
    <xf numFmtId="0" fontId="136" fillId="0" borderId="102" xfId="0" applyFont="1" applyBorder="1" applyAlignment="1">
      <alignment horizontal="center" vertical="center" textRotation="90" wrapText="1"/>
    </xf>
    <xf numFmtId="0" fontId="92" fillId="0" borderId="97" xfId="14927" applyFont="1" applyFill="1" applyBorder="1" applyAlignment="1">
      <alignment horizontal="center" vertical="center" wrapText="1"/>
    </xf>
    <xf numFmtId="0" fontId="92" fillId="0" borderId="97" xfId="14927" applyFont="1" applyFill="1" applyBorder="1" applyAlignment="1">
      <alignment horizontal="center" vertical="center"/>
    </xf>
    <xf numFmtId="0" fontId="92" fillId="0" borderId="141" xfId="14927" applyFont="1" applyFill="1" applyBorder="1" applyAlignment="1">
      <alignment horizontal="center" wrapText="1"/>
    </xf>
    <xf numFmtId="0" fontId="92" fillId="0" borderId="221" xfId="14927" applyFont="1" applyFill="1" applyBorder="1" applyAlignment="1">
      <alignment vertical="center" wrapText="1"/>
    </xf>
    <xf numFmtId="0" fontId="92" fillId="0" borderId="221" xfId="14927" applyFont="1" applyFill="1" applyBorder="1" applyAlignment="1">
      <alignment horizontal="center" wrapText="1"/>
    </xf>
    <xf numFmtId="0" fontId="92" fillId="0" borderId="221" xfId="14927" applyFont="1" applyFill="1" applyBorder="1" applyAlignment="1">
      <alignment horizontal="center" vertical="center" wrapText="1"/>
    </xf>
    <xf numFmtId="0" fontId="92" fillId="0" borderId="221" xfId="14927" applyFont="1" applyFill="1" applyBorder="1" applyAlignment="1">
      <alignment horizontal="center" vertical="center"/>
    </xf>
    <xf numFmtId="0" fontId="92" fillId="0" borderId="221" xfId="0" applyFont="1" applyFill="1" applyBorder="1" applyAlignment="1">
      <alignment horizontal="center" vertical="center" wrapText="1"/>
    </xf>
    <xf numFmtId="0" fontId="92" fillId="0" borderId="142" xfId="14927" applyFont="1" applyFill="1" applyBorder="1" applyAlignment="1">
      <alignment horizontal="center" vertical="center" wrapText="1"/>
    </xf>
    <xf numFmtId="0" fontId="38" fillId="0" borderId="141" xfId="14927" applyFont="1" applyFill="1" applyBorder="1" applyAlignment="1">
      <alignment horizontal="center" vertical="center"/>
    </xf>
    <xf numFmtId="191" fontId="38" fillId="0" borderId="221" xfId="14927" applyNumberFormat="1" applyFont="1" applyFill="1" applyBorder="1" applyAlignment="1">
      <alignment horizontal="center" vertical="center"/>
    </xf>
    <xf numFmtId="2" fontId="38" fillId="0" borderId="221" xfId="14927" applyNumberFormat="1" applyFont="1" applyFill="1" applyBorder="1" applyAlignment="1">
      <alignment horizontal="center" vertical="center" wrapText="1"/>
    </xf>
    <xf numFmtId="0" fontId="112" fillId="0" borderId="221" xfId="0" applyFont="1" applyBorder="1" applyAlignment="1">
      <alignment vertical="center" wrapText="1"/>
    </xf>
    <xf numFmtId="0" fontId="95" fillId="0" borderId="221" xfId="14927" applyFont="1" applyFill="1" applyBorder="1" applyAlignment="1">
      <alignment vertical="center" wrapText="1"/>
    </xf>
    <xf numFmtId="0" fontId="38" fillId="0" borderId="221" xfId="14927" applyFont="1" applyFill="1" applyBorder="1" applyAlignment="1">
      <alignment horizontal="left" vertical="center"/>
    </xf>
    <xf numFmtId="0" fontId="38" fillId="0" borderId="221" xfId="14927" applyFont="1" applyFill="1" applyBorder="1" applyAlignment="1">
      <alignment horizontal="center" vertical="center"/>
    </xf>
    <xf numFmtId="0" fontId="38" fillId="0" borderId="142" xfId="14927" applyFont="1" applyFill="1" applyBorder="1" applyAlignment="1">
      <alignment horizontal="center" vertical="center" wrapText="1"/>
    </xf>
    <xf numFmtId="0" fontId="113" fillId="0" borderId="221" xfId="0" applyFont="1" applyBorder="1" applyAlignment="1">
      <alignment vertical="center"/>
    </xf>
    <xf numFmtId="0" fontId="38" fillId="0" borderId="221" xfId="14927" applyFont="1" applyFill="1" applyBorder="1" applyAlignment="1">
      <alignment vertical="center" wrapText="1"/>
    </xf>
    <xf numFmtId="0" fontId="38" fillId="0" borderId="222" xfId="14927" applyFont="1" applyFill="1" applyBorder="1" applyAlignment="1">
      <alignment horizontal="center" vertical="center"/>
    </xf>
    <xf numFmtId="0" fontId="38" fillId="0" borderId="223" xfId="14927" applyFont="1" applyFill="1" applyBorder="1" applyAlignment="1">
      <alignment horizontal="center" vertical="center"/>
    </xf>
    <xf numFmtId="191" fontId="38" fillId="0" borderId="223" xfId="14927" applyNumberFormat="1" applyFont="1" applyFill="1" applyBorder="1" applyAlignment="1">
      <alignment horizontal="center" vertical="center" wrapText="1"/>
    </xf>
    <xf numFmtId="0" fontId="38" fillId="0" borderId="223" xfId="0" applyFont="1" applyFill="1" applyBorder="1" applyAlignment="1">
      <alignment vertical="center"/>
    </xf>
    <xf numFmtId="0" fontId="38" fillId="0" borderId="223" xfId="14927" applyFont="1" applyFill="1" applyBorder="1" applyAlignment="1">
      <alignment horizontal="left" vertical="center" wrapText="1"/>
    </xf>
    <xf numFmtId="0" fontId="38" fillId="0" borderId="224" xfId="0" applyFont="1" applyFill="1" applyBorder="1" applyAlignment="1">
      <alignment vertical="center"/>
    </xf>
    <xf numFmtId="0" fontId="115" fillId="0" borderId="65" xfId="14927" applyFont="1" applyFill="1" applyBorder="1" applyAlignment="1">
      <alignment horizontal="center" vertical="center" wrapText="1"/>
    </xf>
    <xf numFmtId="0" fontId="114" fillId="0" borderId="42" xfId="14927" applyFont="1" applyFill="1" applyBorder="1" applyAlignment="1">
      <alignment horizontal="center" vertical="center"/>
    </xf>
    <xf numFmtId="191" fontId="114" fillId="0" borderId="37" xfId="14927" applyNumberFormat="1" applyFont="1" applyFill="1" applyBorder="1" applyAlignment="1">
      <alignment horizontal="center" vertical="center"/>
    </xf>
    <xf numFmtId="0" fontId="114" fillId="0" borderId="37" xfId="14927" applyFont="1" applyFill="1" applyBorder="1" applyAlignment="1">
      <alignment horizontal="center" vertical="center"/>
    </xf>
    <xf numFmtId="0" fontId="114" fillId="0" borderId="37" xfId="0" applyFont="1" applyFill="1" applyBorder="1" applyAlignment="1">
      <alignment vertical="center"/>
    </xf>
    <xf numFmtId="0" fontId="114" fillId="0" borderId="38" xfId="14927" applyFont="1" applyFill="1" applyBorder="1" applyAlignment="1">
      <alignment horizontal="center" vertical="center" wrapText="1"/>
    </xf>
    <xf numFmtId="0" fontId="114" fillId="0" borderId="35" xfId="14927" applyFont="1" applyFill="1" applyBorder="1" applyAlignment="1">
      <alignment horizontal="center" vertical="center"/>
    </xf>
    <xf numFmtId="191" fontId="114" fillId="0" borderId="36" xfId="14927" applyNumberFormat="1" applyFont="1" applyFill="1" applyBorder="1" applyAlignment="1">
      <alignment horizontal="center" vertical="center"/>
    </xf>
    <xf numFmtId="0" fontId="114" fillId="0" borderId="36" xfId="14927" applyFont="1" applyFill="1" applyBorder="1" applyAlignment="1">
      <alignment horizontal="center" vertical="center"/>
    </xf>
    <xf numFmtId="0" fontId="114" fillId="0" borderId="36" xfId="0" applyFont="1" applyFill="1" applyBorder="1" applyAlignment="1">
      <alignment vertical="center"/>
    </xf>
    <xf numFmtId="0" fontId="114" fillId="0" borderId="39" xfId="14927" applyFont="1" applyFill="1" applyBorder="1" applyAlignment="1">
      <alignment horizontal="center" vertical="center" wrapText="1"/>
    </xf>
    <xf numFmtId="0" fontId="102" fillId="0" borderId="75" xfId="14927" applyFont="1" applyFill="1" applyBorder="1" applyAlignment="1">
      <alignment horizontal="center" vertical="center" wrapText="1"/>
    </xf>
    <xf numFmtId="0" fontId="102" fillId="0" borderId="77" xfId="14927" applyFont="1" applyFill="1" applyBorder="1" applyAlignment="1">
      <alignment horizontal="center" vertical="center" wrapText="1"/>
    </xf>
    <xf numFmtId="0" fontId="38" fillId="77" borderId="181" xfId="0" applyFont="1" applyFill="1" applyBorder="1" applyAlignment="1">
      <alignment horizontal="center"/>
    </xf>
    <xf numFmtId="0" fontId="92" fillId="77" borderId="117" xfId="14867" applyFont="1" applyFill="1" applyBorder="1" applyAlignment="1"/>
    <xf numFmtId="0" fontId="92" fillId="77" borderId="92" xfId="14867" applyFont="1" applyFill="1" applyBorder="1" applyAlignment="1"/>
    <xf numFmtId="0" fontId="92" fillId="77" borderId="169" xfId="14867" applyFont="1" applyFill="1" applyBorder="1" applyAlignment="1"/>
    <xf numFmtId="0" fontId="92" fillId="77" borderId="108" xfId="0" applyNumberFormat="1" applyFont="1" applyFill="1" applyBorder="1" applyAlignment="1">
      <alignment vertical="center"/>
    </xf>
    <xf numFmtId="0" fontId="92" fillId="77" borderId="109" xfId="0" applyNumberFormat="1" applyFont="1" applyFill="1" applyBorder="1" applyAlignment="1">
      <alignment vertical="center"/>
    </xf>
    <xf numFmtId="0" fontId="92" fillId="77" borderId="110" xfId="0" applyNumberFormat="1" applyFont="1" applyFill="1" applyBorder="1" applyAlignment="1">
      <alignment vertical="center"/>
    </xf>
    <xf numFmtId="0" fontId="38" fillId="77" borderId="76" xfId="0" applyFont="1" applyFill="1" applyBorder="1"/>
    <xf numFmtId="0" fontId="99" fillId="77" borderId="53" xfId="0" applyFont="1" applyFill="1" applyBorder="1" applyAlignment="1">
      <alignment horizontal="center" vertical="center" wrapText="1"/>
    </xf>
    <xf numFmtId="0" fontId="99" fillId="77" borderId="54" xfId="0" applyFont="1" applyFill="1" applyBorder="1" applyAlignment="1">
      <alignment horizontal="center" vertical="center" wrapText="1"/>
    </xf>
    <xf numFmtId="0" fontId="99" fillId="77" borderId="55" xfId="0" applyFont="1" applyFill="1" applyBorder="1" applyAlignment="1">
      <alignment horizontal="center" vertical="center" wrapText="1"/>
    </xf>
    <xf numFmtId="0" fontId="99" fillId="77" borderId="56" xfId="0" applyFont="1" applyFill="1" applyBorder="1" applyAlignment="1">
      <alignment horizontal="center" vertical="center" wrapText="1"/>
    </xf>
    <xf numFmtId="0" fontId="38" fillId="0" borderId="75" xfId="0" applyFont="1" applyBorder="1" applyAlignment="1">
      <alignment horizontal="center" vertical="center"/>
    </xf>
    <xf numFmtId="0" fontId="38" fillId="0" borderId="76" xfId="0" applyFont="1" applyBorder="1" applyAlignment="1">
      <alignment vertical="center" wrapText="1"/>
    </xf>
    <xf numFmtId="0" fontId="38" fillId="0" borderId="76" xfId="0" applyFont="1" applyBorder="1" applyAlignment="1">
      <alignment vertical="center"/>
    </xf>
    <xf numFmtId="0" fontId="38" fillId="0" borderId="76" xfId="0" applyFont="1" applyBorder="1" applyAlignment="1">
      <alignment horizontal="left" vertical="center" wrapText="1"/>
    </xf>
    <xf numFmtId="0" fontId="38" fillId="0" borderId="76" xfId="0" applyFont="1" applyBorder="1"/>
    <xf numFmtId="0" fontId="38" fillId="0" borderId="76" xfId="0" applyFont="1" applyBorder="1" applyAlignment="1">
      <alignment horizontal="center" vertical="center"/>
    </xf>
    <xf numFmtId="0" fontId="38" fillId="0" borderId="76" xfId="0" applyFont="1" applyBorder="1" applyAlignment="1">
      <alignment wrapText="1"/>
    </xf>
    <xf numFmtId="0" fontId="38" fillId="0" borderId="77" xfId="0" applyFont="1" applyBorder="1"/>
    <xf numFmtId="166" fontId="95" fillId="0" borderId="0" xfId="0" applyNumberFormat="1" applyFont="1" applyAlignment="1">
      <alignment textRotation="30"/>
    </xf>
    <xf numFmtId="0" fontId="95" fillId="0" borderId="93" xfId="0" applyFont="1" applyBorder="1" applyAlignment="1"/>
    <xf numFmtId="0" fontId="95" fillId="0" borderId="95" xfId="0" applyFont="1" applyBorder="1" applyAlignment="1"/>
    <xf numFmtId="0" fontId="114" fillId="0" borderId="97" xfId="0" applyFont="1" applyFill="1" applyBorder="1" applyAlignment="1">
      <alignment horizontal="center" vertical="center"/>
    </xf>
    <xf numFmtId="0" fontId="114" fillId="0" borderId="97" xfId="0" applyFont="1" applyFill="1" applyBorder="1" applyAlignment="1">
      <alignment horizontal="center" vertical="center" wrapText="1"/>
    </xf>
    <xf numFmtId="0" fontId="97" fillId="0" borderId="186" xfId="0" applyFont="1" applyBorder="1" applyAlignment="1">
      <alignment horizontal="center" wrapText="1"/>
    </xf>
    <xf numFmtId="0" fontId="97" fillId="0" borderId="195" xfId="0" applyFont="1" applyBorder="1" applyAlignment="1">
      <alignment horizontal="center" wrapText="1"/>
    </xf>
    <xf numFmtId="0" fontId="97" fillId="0" borderId="187" xfId="0" applyFont="1" applyBorder="1" applyAlignment="1">
      <alignment horizontal="center" wrapText="1"/>
    </xf>
    <xf numFmtId="0" fontId="97" fillId="0" borderId="188" xfId="0" applyFont="1" applyBorder="1" applyAlignment="1">
      <alignment horizontal="center" wrapText="1"/>
    </xf>
    <xf numFmtId="0" fontId="97" fillId="0" borderId="109" xfId="0" applyFont="1" applyBorder="1" applyAlignment="1">
      <alignment horizontal="center" wrapText="1"/>
    </xf>
    <xf numFmtId="0" fontId="97" fillId="0" borderId="110" xfId="0" applyFont="1" applyBorder="1" applyAlignment="1">
      <alignment horizontal="center" wrapText="1"/>
    </xf>
    <xf numFmtId="0" fontId="97" fillId="0" borderId="174" xfId="0" applyFont="1" applyBorder="1" applyAlignment="1">
      <alignment horizontal="center"/>
    </xf>
    <xf numFmtId="0" fontId="97" fillId="0" borderId="96" xfId="0" applyFont="1" applyBorder="1" applyAlignment="1">
      <alignment horizontal="center"/>
    </xf>
    <xf numFmtId="0" fontId="97" fillId="0" borderId="176" xfId="0" applyFont="1" applyBorder="1" applyAlignment="1">
      <alignment horizontal="center"/>
    </xf>
    <xf numFmtId="0" fontId="97" fillId="0" borderId="177" xfId="0" applyFont="1" applyBorder="1" applyAlignment="1">
      <alignment horizontal="center"/>
    </xf>
    <xf numFmtId="0" fontId="98" fillId="0" borderId="198" xfId="0" applyFont="1" applyBorder="1" applyAlignment="1">
      <alignment horizontal="center" vertical="center"/>
    </xf>
    <xf numFmtId="0" fontId="98" fillId="0" borderId="76" xfId="0" applyFont="1" applyBorder="1" applyAlignment="1">
      <alignment horizontal="center" vertical="center"/>
    </xf>
    <xf numFmtId="0" fontId="38" fillId="0" borderId="0" xfId="0" applyFont="1" applyAlignment="1">
      <alignment horizontal="center"/>
    </xf>
    <xf numFmtId="0" fontId="119" fillId="0" borderId="0" xfId="0" applyFont="1" applyAlignment="1">
      <alignment horizontal="center"/>
    </xf>
    <xf numFmtId="0" fontId="38" fillId="0" borderId="0" xfId="0" applyFont="1" applyAlignment="1">
      <alignment horizontal="left"/>
    </xf>
    <xf numFmtId="0" fontId="38" fillId="0" borderId="195" xfId="14867" applyFont="1" applyBorder="1" applyAlignment="1">
      <alignment horizontal="left"/>
    </xf>
    <xf numFmtId="0" fontId="92" fillId="0" borderId="199" xfId="0" applyNumberFormat="1" applyFont="1" applyFill="1" applyBorder="1" applyAlignment="1">
      <alignment horizontal="left" vertical="center"/>
    </xf>
    <xf numFmtId="0" fontId="40" fillId="0" borderId="191" xfId="14867" applyFont="1" applyBorder="1" applyAlignment="1">
      <alignment horizontal="left" vertical="top"/>
    </xf>
    <xf numFmtId="0" fontId="40" fillId="0" borderId="192" xfId="14867" applyFont="1" applyBorder="1" applyAlignment="1">
      <alignment horizontal="left" vertical="top"/>
    </xf>
    <xf numFmtId="0" fontId="40" fillId="0" borderId="93" xfId="14867" applyFont="1" applyBorder="1" applyAlignment="1">
      <alignment horizontal="left"/>
    </xf>
    <xf numFmtId="0" fontId="40" fillId="0" borderId="193" xfId="14867" applyFont="1" applyBorder="1" applyAlignment="1">
      <alignment horizontal="left"/>
    </xf>
    <xf numFmtId="0" fontId="40" fillId="0" borderId="93" xfId="14867" applyFont="1" applyBorder="1" applyAlignment="1">
      <alignment horizontal="left" vertical="top"/>
    </xf>
    <xf numFmtId="0" fontId="40" fillId="0" borderId="193" xfId="14867" applyFont="1" applyBorder="1" applyAlignment="1">
      <alignment horizontal="left" vertical="top"/>
    </xf>
    <xf numFmtId="0" fontId="38" fillId="0" borderId="177" xfId="0" applyFont="1" applyBorder="1" applyAlignment="1">
      <alignment horizontal="center"/>
    </xf>
    <xf numFmtId="0" fontId="38" fillId="0" borderId="178" xfId="0" applyFont="1" applyBorder="1" applyAlignment="1">
      <alignment horizontal="center"/>
    </xf>
    <xf numFmtId="0" fontId="102" fillId="0" borderId="186" xfId="14867" applyFont="1" applyBorder="1" applyAlignment="1">
      <alignment horizontal="center" vertical="center" wrapText="1"/>
    </xf>
    <xf numFmtId="0" fontId="102" fillId="0" borderId="187" xfId="14867" applyFont="1" applyBorder="1" applyAlignment="1">
      <alignment horizontal="center" vertical="center" wrapText="1"/>
    </xf>
    <xf numFmtId="0" fontId="102" fillId="0" borderId="188" xfId="14867" applyFont="1" applyBorder="1" applyAlignment="1">
      <alignment horizontal="center" vertical="center" wrapText="1"/>
    </xf>
    <xf numFmtId="0" fontId="102" fillId="0" borderId="110" xfId="14867" applyFont="1" applyBorder="1" applyAlignment="1">
      <alignment horizontal="center" vertical="center" wrapText="1"/>
    </xf>
    <xf numFmtId="0" fontId="92" fillId="0" borderId="174" xfId="14867" applyFont="1" applyBorder="1" applyAlignment="1">
      <alignment horizontal="center"/>
    </xf>
    <xf numFmtId="0" fontId="92" fillId="0" borderId="96" xfId="14867" applyFont="1" applyBorder="1" applyAlignment="1">
      <alignment horizontal="center"/>
    </xf>
    <xf numFmtId="0" fontId="92" fillId="0" borderId="176" xfId="14867" applyFont="1" applyBorder="1" applyAlignment="1">
      <alignment horizontal="center"/>
    </xf>
    <xf numFmtId="0" fontId="92" fillId="0" borderId="177" xfId="14867" applyFont="1" applyBorder="1" applyAlignment="1">
      <alignment horizontal="center"/>
    </xf>
    <xf numFmtId="0" fontId="92" fillId="0" borderId="194" xfId="14867" applyFont="1" applyBorder="1" applyAlignment="1">
      <alignment horizontal="center" vertical="center"/>
    </xf>
    <xf numFmtId="0" fontId="92" fillId="0" borderId="195" xfId="14867" applyFont="1" applyBorder="1" applyAlignment="1">
      <alignment horizontal="center" vertical="center"/>
    </xf>
    <xf numFmtId="0" fontId="92" fillId="0" borderId="187" xfId="14867" applyFont="1" applyBorder="1" applyAlignment="1">
      <alignment horizontal="center" vertical="center"/>
    </xf>
    <xf numFmtId="0" fontId="92" fillId="0" borderId="108" xfId="14867" applyFont="1" applyBorder="1" applyAlignment="1">
      <alignment horizontal="center" vertical="center"/>
    </xf>
    <xf numFmtId="0" fontId="92" fillId="0" borderId="109" xfId="14867" applyFont="1" applyBorder="1" applyAlignment="1">
      <alignment horizontal="center" vertical="center"/>
    </xf>
    <xf numFmtId="0" fontId="92" fillId="0" borderId="110" xfId="14867" applyFont="1" applyBorder="1" applyAlignment="1">
      <alignment horizontal="center" vertical="center"/>
    </xf>
    <xf numFmtId="0" fontId="114" fillId="0" borderId="117" xfId="14867" applyFont="1" applyBorder="1" applyAlignment="1">
      <alignment horizontal="left" vertical="top"/>
    </xf>
    <xf numFmtId="0" fontId="114" fillId="0" borderId="92" xfId="14867" applyFont="1" applyBorder="1" applyAlignment="1">
      <alignment horizontal="left" vertical="top"/>
    </xf>
    <xf numFmtId="0" fontId="114" fillId="0" borderId="169" xfId="14867" applyFont="1" applyBorder="1" applyAlignment="1">
      <alignment horizontal="left" vertical="top"/>
    </xf>
    <xf numFmtId="0" fontId="102" fillId="0" borderId="189" xfId="14867" applyFont="1" applyBorder="1" applyAlignment="1">
      <alignment horizontal="center" vertical="center"/>
    </xf>
    <xf numFmtId="0" fontId="102" fillId="0" borderId="49" xfId="14867" applyFont="1" applyBorder="1" applyAlignment="1">
      <alignment horizontal="center" vertical="center"/>
    </xf>
    <xf numFmtId="0" fontId="102" fillId="0" borderId="190" xfId="14867" applyFont="1" applyBorder="1" applyAlignment="1">
      <alignment horizontal="center" vertical="center"/>
    </xf>
    <xf numFmtId="0" fontId="92" fillId="0" borderId="186" xfId="14867" applyFont="1" applyBorder="1" applyAlignment="1">
      <alignment horizontal="center" vertical="center" wrapText="1"/>
    </xf>
    <xf numFmtId="0" fontId="92" fillId="0" borderId="187" xfId="14867" applyFont="1" applyBorder="1" applyAlignment="1">
      <alignment horizontal="center" vertical="center" wrapText="1"/>
    </xf>
    <xf numFmtId="0" fontId="92" fillId="0" borderId="188" xfId="14867" applyFont="1" applyBorder="1" applyAlignment="1">
      <alignment horizontal="center" vertical="center" wrapText="1"/>
    </xf>
    <xf numFmtId="0" fontId="92" fillId="0" borderId="110" xfId="14867" applyFont="1" applyBorder="1" applyAlignment="1">
      <alignment horizontal="center" vertical="center" wrapText="1"/>
    </xf>
    <xf numFmtId="0" fontId="114" fillId="0" borderId="191" xfId="14867" applyFont="1" applyBorder="1" applyAlignment="1">
      <alignment horizontal="left" vertical="top"/>
    </xf>
    <xf numFmtId="0" fontId="114" fillId="0" borderId="192" xfId="14867" applyFont="1" applyBorder="1" applyAlignment="1">
      <alignment horizontal="left" vertical="top"/>
    </xf>
    <xf numFmtId="0" fontId="114" fillId="0" borderId="93" xfId="14867" applyFont="1" applyBorder="1" applyAlignment="1">
      <alignment horizontal="left" vertical="top"/>
    </xf>
    <xf numFmtId="0" fontId="114" fillId="0" borderId="193" xfId="14867" applyFont="1" applyBorder="1" applyAlignment="1">
      <alignment horizontal="left" vertical="top"/>
    </xf>
    <xf numFmtId="0" fontId="92" fillId="0" borderId="189" xfId="14867" applyFont="1" applyBorder="1" applyAlignment="1">
      <alignment horizontal="center" vertical="center"/>
    </xf>
    <xf numFmtId="0" fontId="92" fillId="0" borderId="49" xfId="14867" applyFont="1" applyBorder="1" applyAlignment="1">
      <alignment horizontal="center" vertical="center"/>
    </xf>
    <xf numFmtId="0" fontId="92" fillId="0" borderId="190" xfId="14867" applyFont="1" applyBorder="1" applyAlignment="1">
      <alignment horizontal="center" vertical="center"/>
    </xf>
    <xf numFmtId="0" fontId="98" fillId="0" borderId="0" xfId="0" applyFont="1" applyFill="1" applyAlignment="1">
      <alignment horizontal="left" wrapText="1"/>
    </xf>
    <xf numFmtId="0" fontId="97" fillId="0" borderId="0" xfId="0" applyFont="1" applyFill="1" applyAlignment="1">
      <alignment horizontal="left"/>
    </xf>
    <xf numFmtId="0" fontId="98" fillId="0" borderId="0" xfId="0" applyFont="1" applyFill="1" applyAlignment="1">
      <alignment horizontal="left"/>
    </xf>
    <xf numFmtId="0" fontId="92" fillId="77" borderId="0" xfId="36355" applyFont="1" applyFill="1" applyBorder="1" applyAlignment="1">
      <alignment horizontal="center"/>
    </xf>
    <xf numFmtId="0" fontId="92" fillId="0" borderId="0" xfId="36355" applyFont="1" applyFill="1" applyAlignment="1">
      <alignment horizontal="left"/>
    </xf>
    <xf numFmtId="0" fontId="97" fillId="0" borderId="186" xfId="0" applyFont="1" applyFill="1" applyBorder="1" applyAlignment="1">
      <alignment horizontal="center" vertical="center" wrapText="1"/>
    </xf>
    <xf numFmtId="0" fontId="97" fillId="0" borderId="195" xfId="0" applyFont="1" applyFill="1" applyBorder="1" applyAlignment="1">
      <alignment horizontal="center" vertical="center" wrapText="1"/>
    </xf>
    <xf numFmtId="0" fontId="97" fillId="0" borderId="187" xfId="0" applyFont="1" applyFill="1" applyBorder="1" applyAlignment="1">
      <alignment horizontal="center" vertical="center" wrapText="1"/>
    </xf>
    <xf numFmtId="0" fontId="97" fillId="0" borderId="188" xfId="0" applyFont="1" applyFill="1" applyBorder="1" applyAlignment="1">
      <alignment horizontal="center" vertical="center" wrapText="1"/>
    </xf>
    <xf numFmtId="0" fontId="97" fillId="0" borderId="109" xfId="0" applyFont="1" applyFill="1" applyBorder="1" applyAlignment="1">
      <alignment horizontal="center" vertical="center" wrapText="1"/>
    </xf>
    <xf numFmtId="0" fontId="97" fillId="0" borderId="110" xfId="0" applyFont="1" applyFill="1" applyBorder="1" applyAlignment="1">
      <alignment horizontal="center" vertical="center" wrapText="1"/>
    </xf>
    <xf numFmtId="0" fontId="96" fillId="0" borderId="174" xfId="36355" applyFont="1" applyFill="1" applyBorder="1" applyAlignment="1">
      <alignment horizontal="center"/>
    </xf>
    <xf numFmtId="0" fontId="96" fillId="0" borderId="96" xfId="36355" applyFont="1" applyFill="1" applyBorder="1" applyAlignment="1">
      <alignment horizontal="center"/>
    </xf>
    <xf numFmtId="0" fontId="96" fillId="0" borderId="176" xfId="36355" applyFont="1" applyFill="1" applyBorder="1" applyAlignment="1">
      <alignment horizontal="center"/>
    </xf>
    <xf numFmtId="0" fontId="96" fillId="0" borderId="177" xfId="36355" applyFont="1" applyFill="1" applyBorder="1" applyAlignment="1">
      <alignment horizontal="center"/>
    </xf>
    <xf numFmtId="0" fontId="116" fillId="0" borderId="172" xfId="0" applyFont="1" applyFill="1" applyBorder="1" applyAlignment="1">
      <alignment horizontal="center"/>
    </xf>
    <xf numFmtId="0" fontId="116" fillId="0" borderId="96" xfId="0" applyFont="1" applyFill="1" applyBorder="1" applyAlignment="1">
      <alignment horizontal="center"/>
    </xf>
    <xf numFmtId="0" fontId="102" fillId="0" borderId="117" xfId="36355" applyFont="1" applyFill="1" applyBorder="1" applyAlignment="1">
      <alignment horizontal="center" wrapText="1"/>
    </xf>
    <xf numFmtId="0" fontId="102" fillId="0" borderId="92" xfId="36355" applyFont="1" applyFill="1" applyBorder="1" applyAlignment="1">
      <alignment horizontal="center" wrapText="1"/>
    </xf>
    <xf numFmtId="0" fontId="102" fillId="0" borderId="169" xfId="36355" applyFont="1" applyFill="1" applyBorder="1" applyAlignment="1">
      <alignment horizontal="center" wrapText="1"/>
    </xf>
    <xf numFmtId="0" fontId="102" fillId="0" borderId="189" xfId="36355" applyFont="1" applyFill="1" applyBorder="1" applyAlignment="1">
      <alignment horizontal="center" wrapText="1"/>
    </xf>
    <xf numFmtId="0" fontId="102" fillId="0" borderId="49" xfId="36355" applyFont="1" applyFill="1" applyBorder="1" applyAlignment="1">
      <alignment horizontal="center" wrapText="1"/>
    </xf>
    <xf numFmtId="0" fontId="102" fillId="0" borderId="190" xfId="36355" applyFont="1" applyFill="1" applyBorder="1" applyAlignment="1">
      <alignment horizontal="center" wrapText="1"/>
    </xf>
    <xf numFmtId="0" fontId="104" fillId="77" borderId="186" xfId="14867" applyFont="1" applyFill="1" applyBorder="1" applyAlignment="1">
      <alignment horizontal="center" wrapText="1"/>
    </xf>
    <xf numFmtId="0" fontId="104" fillId="77" borderId="187" xfId="14867" applyFont="1" applyFill="1" applyBorder="1" applyAlignment="1">
      <alignment horizontal="center" wrapText="1"/>
    </xf>
    <xf numFmtId="0" fontId="104" fillId="77" borderId="188" xfId="14867" applyFont="1" applyFill="1" applyBorder="1" applyAlignment="1">
      <alignment horizontal="center" wrapText="1"/>
    </xf>
    <xf numFmtId="0" fontId="104" fillId="77" borderId="110" xfId="14867" applyFont="1" applyFill="1" applyBorder="1" applyAlignment="1">
      <alignment horizontal="center" wrapText="1"/>
    </xf>
    <xf numFmtId="0" fontId="92" fillId="77" borderId="194" xfId="14867" applyFont="1" applyFill="1" applyBorder="1" applyAlignment="1">
      <alignment horizontal="center" vertical="center"/>
    </xf>
    <xf numFmtId="0" fontId="92" fillId="77" borderId="195" xfId="14867" applyFont="1" applyFill="1" applyBorder="1" applyAlignment="1">
      <alignment horizontal="center" vertical="center"/>
    </xf>
    <xf numFmtId="0" fontId="92" fillId="77" borderId="187" xfId="14867" applyFont="1" applyFill="1" applyBorder="1" applyAlignment="1">
      <alignment horizontal="center" vertical="center"/>
    </xf>
    <xf numFmtId="0" fontId="92" fillId="77" borderId="108" xfId="14867" applyFont="1" applyFill="1" applyBorder="1" applyAlignment="1">
      <alignment horizontal="center" vertical="center"/>
    </xf>
    <xf numFmtId="0" fontId="92" fillId="77" borderId="109" xfId="14867" applyFont="1" applyFill="1" applyBorder="1" applyAlignment="1">
      <alignment horizontal="center" vertical="center"/>
    </xf>
    <xf numFmtId="0" fontId="92" fillId="77" borderId="110" xfId="14867" applyFont="1" applyFill="1" applyBorder="1" applyAlignment="1">
      <alignment horizontal="center" vertical="center"/>
    </xf>
    <xf numFmtId="0" fontId="92" fillId="77" borderId="174" xfId="14867" applyFont="1" applyFill="1" applyBorder="1" applyAlignment="1">
      <alignment horizontal="center"/>
    </xf>
    <xf numFmtId="0" fontId="92" fillId="77" borderId="96" xfId="14867" applyFont="1" applyFill="1" applyBorder="1" applyAlignment="1">
      <alignment horizontal="center"/>
    </xf>
    <xf numFmtId="0" fontId="92" fillId="77" borderId="112" xfId="14867" applyFont="1" applyFill="1" applyBorder="1" applyAlignment="1">
      <alignment horizontal="center"/>
    </xf>
    <xf numFmtId="0" fontId="92" fillId="77" borderId="97" xfId="14867" applyFont="1" applyFill="1" applyBorder="1" applyAlignment="1">
      <alignment horizontal="center"/>
    </xf>
    <xf numFmtId="0" fontId="102" fillId="77" borderId="111" xfId="0" applyFont="1" applyFill="1" applyBorder="1" applyAlignment="1">
      <alignment horizontal="center" vertical="center"/>
    </xf>
    <xf numFmtId="0" fontId="102" fillId="77" borderId="0" xfId="0" applyFont="1" applyFill="1" applyBorder="1" applyAlignment="1">
      <alignment horizontal="center" vertical="center"/>
    </xf>
    <xf numFmtId="0" fontId="102" fillId="77" borderId="171" xfId="0" applyFont="1" applyFill="1" applyBorder="1" applyAlignment="1">
      <alignment horizontal="center" vertical="center"/>
    </xf>
    <xf numFmtId="0" fontId="92" fillId="77" borderId="42" xfId="0" applyFont="1" applyFill="1" applyBorder="1" applyAlignment="1">
      <alignment horizontal="center" vertical="center" wrapText="1"/>
    </xf>
    <xf numFmtId="0" fontId="92" fillId="77" borderId="26" xfId="0" applyFont="1" applyFill="1" applyBorder="1" applyAlignment="1">
      <alignment horizontal="center" vertical="center" wrapText="1"/>
    </xf>
    <xf numFmtId="0" fontId="92" fillId="77" borderId="37" xfId="0" applyFont="1" applyFill="1" applyBorder="1" applyAlignment="1">
      <alignment horizontal="center" vertical="center" wrapText="1"/>
    </xf>
    <xf numFmtId="0" fontId="92" fillId="77" borderId="27" xfId="0" applyFont="1" applyFill="1" applyBorder="1" applyAlignment="1">
      <alignment horizontal="center" vertical="center" wrapText="1"/>
    </xf>
    <xf numFmtId="0" fontId="92" fillId="77" borderId="38" xfId="0" applyFont="1" applyFill="1" applyBorder="1" applyAlignment="1">
      <alignment horizontal="center" vertical="center" wrapText="1"/>
    </xf>
    <xf numFmtId="0" fontId="92" fillId="77" borderId="28" xfId="0" applyFont="1" applyFill="1" applyBorder="1" applyAlignment="1">
      <alignment horizontal="center" vertical="center" wrapText="1"/>
    </xf>
    <xf numFmtId="0" fontId="38" fillId="77" borderId="40" xfId="0" applyFont="1" applyFill="1" applyBorder="1" applyAlignment="1">
      <alignment horizontal="center" vertical="center"/>
    </xf>
    <xf numFmtId="0" fontId="38" fillId="77" borderId="45" xfId="0" applyFont="1" applyFill="1" applyBorder="1" applyAlignment="1">
      <alignment horizontal="center" vertical="center"/>
    </xf>
    <xf numFmtId="0" fontId="38" fillId="77" borderId="42" xfId="0" applyFont="1" applyFill="1" applyBorder="1" applyAlignment="1">
      <alignment horizontal="center" vertical="center"/>
    </xf>
    <xf numFmtId="0" fontId="94" fillId="77" borderId="41" xfId="0" applyFont="1" applyFill="1" applyBorder="1" applyAlignment="1">
      <alignment horizontal="left" vertical="center"/>
    </xf>
    <xf numFmtId="0" fontId="94" fillId="77" borderId="44" xfId="0" applyFont="1" applyFill="1" applyBorder="1" applyAlignment="1">
      <alignment horizontal="left" vertical="center"/>
    </xf>
    <xf numFmtId="0" fontId="94" fillId="77" borderId="37" xfId="0" applyFont="1" applyFill="1" applyBorder="1" applyAlignment="1">
      <alignment horizontal="left" vertical="center"/>
    </xf>
    <xf numFmtId="0" fontId="92" fillId="0" borderId="47" xfId="0" applyFont="1" applyBorder="1" applyAlignment="1">
      <alignment horizontal="left" vertical="center" wrapText="1"/>
    </xf>
    <xf numFmtId="0" fontId="92" fillId="0" borderId="48" xfId="0" applyFont="1" applyBorder="1" applyAlignment="1">
      <alignment horizontal="left" vertical="center" wrapText="1"/>
    </xf>
    <xf numFmtId="0" fontId="38" fillId="77" borderId="32" xfId="0" applyFont="1" applyFill="1" applyBorder="1" applyAlignment="1">
      <alignment horizontal="center" vertical="center"/>
    </xf>
    <xf numFmtId="0" fontId="38" fillId="77" borderId="35" xfId="0" applyFont="1" applyFill="1" applyBorder="1" applyAlignment="1">
      <alignment horizontal="center" vertical="center"/>
    </xf>
    <xf numFmtId="0" fontId="92" fillId="77" borderId="33" xfId="0" applyFont="1" applyFill="1" applyBorder="1" applyAlignment="1">
      <alignment horizontal="left" vertical="center" wrapText="1"/>
    </xf>
    <xf numFmtId="0" fontId="92" fillId="77" borderId="36" xfId="0" applyFont="1" applyFill="1" applyBorder="1" applyAlignment="1">
      <alignment horizontal="left" vertical="center" wrapText="1"/>
    </xf>
    <xf numFmtId="0" fontId="92" fillId="77" borderId="41" xfId="0" applyFont="1" applyFill="1" applyBorder="1" applyAlignment="1">
      <alignment horizontal="left" vertical="center" wrapText="1"/>
    </xf>
    <xf numFmtId="0" fontId="92" fillId="77" borderId="37" xfId="0" applyFont="1" applyFill="1" applyBorder="1" applyAlignment="1">
      <alignment horizontal="left" vertical="center" wrapText="1"/>
    </xf>
    <xf numFmtId="0" fontId="92" fillId="77" borderId="44" xfId="0" applyFont="1" applyFill="1" applyBorder="1" applyAlignment="1">
      <alignment horizontal="left" vertical="center" wrapText="1"/>
    </xf>
    <xf numFmtId="0" fontId="95" fillId="77" borderId="65" xfId="0" applyFont="1" applyFill="1" applyBorder="1"/>
    <xf numFmtId="0" fontId="95" fillId="77" borderId="62" xfId="0" applyFont="1" applyFill="1" applyBorder="1"/>
    <xf numFmtId="0" fontId="95" fillId="0" borderId="62" xfId="0" applyFont="1" applyBorder="1"/>
    <xf numFmtId="0" fontId="95" fillId="0" borderId="61" xfId="0" applyFont="1" applyBorder="1"/>
    <xf numFmtId="0" fontId="95" fillId="0" borderId="61" xfId="0" applyFont="1" applyBorder="1" applyAlignment="1">
      <alignment horizontal="center"/>
    </xf>
    <xf numFmtId="0" fontId="95" fillId="0" borderId="62" xfId="0" applyFont="1" applyBorder="1" applyAlignment="1">
      <alignment horizontal="center"/>
    </xf>
    <xf numFmtId="0" fontId="94" fillId="77" borderId="61" xfId="0" applyFont="1" applyFill="1" applyBorder="1" applyAlignment="1">
      <alignment horizontal="center"/>
    </xf>
    <xf numFmtId="0" fontId="94" fillId="77" borderId="62" xfId="0" applyFont="1" applyFill="1" applyBorder="1" applyAlignment="1">
      <alignment horizontal="center"/>
    </xf>
    <xf numFmtId="0" fontId="95" fillId="0" borderId="62" xfId="0" applyFont="1" applyBorder="1" applyAlignment="1">
      <alignment horizontal="left"/>
    </xf>
    <xf numFmtId="0" fontId="95" fillId="77" borderId="61" xfId="0" applyFont="1" applyFill="1" applyBorder="1" applyAlignment="1">
      <alignment horizontal="center"/>
    </xf>
    <xf numFmtId="0" fontId="95" fillId="77" borderId="62" xfId="0" applyFont="1" applyFill="1" applyBorder="1" applyAlignment="1">
      <alignment horizontal="center"/>
    </xf>
    <xf numFmtId="0" fontId="95" fillId="77" borderId="61" xfId="0" applyFont="1" applyFill="1" applyBorder="1"/>
    <xf numFmtId="0" fontId="95" fillId="77" borderId="63" xfId="0" applyFont="1" applyFill="1" applyBorder="1"/>
    <xf numFmtId="4" fontId="40" fillId="0" borderId="62" xfId="36706" applyNumberFormat="1" applyFont="1" applyBorder="1" applyAlignment="1">
      <alignment wrapText="1"/>
    </xf>
    <xf numFmtId="0" fontId="38" fillId="0" borderId="186" xfId="36706" applyFont="1" applyBorder="1" applyAlignment="1">
      <alignment horizontal="center" vertical="center" wrapText="1"/>
    </xf>
    <xf numFmtId="0" fontId="38" fillId="0" borderId="195" xfId="36706" applyFont="1" applyBorder="1" applyAlignment="1">
      <alignment horizontal="center" vertical="center" wrapText="1"/>
    </xf>
    <xf numFmtId="0" fontId="38" fillId="0" borderId="187" xfId="36706" applyFont="1" applyBorder="1" applyAlignment="1">
      <alignment horizontal="center" vertical="center" wrapText="1"/>
    </xf>
    <xf numFmtId="0" fontId="38" fillId="0" borderId="188" xfId="36706" applyFont="1" applyBorder="1" applyAlignment="1">
      <alignment horizontal="center" vertical="center" wrapText="1"/>
    </xf>
    <xf numFmtId="0" fontId="38" fillId="0" borderId="109" xfId="36706" applyFont="1" applyBorder="1" applyAlignment="1">
      <alignment horizontal="center" vertical="center" wrapText="1"/>
    </xf>
    <xf numFmtId="0" fontId="38" fillId="0" borderId="110" xfId="36706" applyFont="1" applyBorder="1" applyAlignment="1">
      <alignment horizontal="center" vertical="center" wrapText="1"/>
    </xf>
    <xf numFmtId="0" fontId="101" fillId="0" borderId="174" xfId="36706" applyFont="1" applyBorder="1" applyAlignment="1">
      <alignment horizontal="center" vertical="center"/>
    </xf>
    <xf numFmtId="0" fontId="101" fillId="0" borderId="96" xfId="36706" applyFont="1" applyBorder="1" applyAlignment="1">
      <alignment horizontal="center" vertical="center"/>
    </xf>
    <xf numFmtId="0" fontId="101" fillId="0" borderId="176" xfId="36706" applyFont="1" applyBorder="1" applyAlignment="1">
      <alignment horizontal="center" vertical="center"/>
    </xf>
    <xf numFmtId="0" fontId="101" fillId="0" borderId="177" xfId="36706" applyFont="1" applyBorder="1" applyAlignment="1">
      <alignment horizontal="center" vertical="center"/>
    </xf>
    <xf numFmtId="0" fontId="92" fillId="0" borderId="172" xfId="36706" applyFont="1" applyBorder="1" applyAlignment="1">
      <alignment horizontal="center" vertical="center"/>
    </xf>
    <xf numFmtId="0" fontId="92" fillId="0" borderId="96" xfId="36706" applyFont="1" applyBorder="1" applyAlignment="1">
      <alignment horizontal="center" vertical="center"/>
    </xf>
    <xf numFmtId="0" fontId="38" fillId="0" borderId="195" xfId="36706" applyFont="1" applyBorder="1" applyAlignment="1">
      <alignment horizontal="left" vertical="center"/>
    </xf>
    <xf numFmtId="0" fontId="94" fillId="77" borderId="58" xfId="0" applyFont="1" applyFill="1" applyBorder="1" applyAlignment="1">
      <alignment horizontal="center"/>
    </xf>
    <xf numFmtId="0" fontId="94" fillId="77" borderId="59" xfId="0" applyFont="1" applyFill="1" applyBorder="1" applyAlignment="1">
      <alignment horizontal="center"/>
    </xf>
    <xf numFmtId="0" fontId="94" fillId="77" borderId="60" xfId="0" applyFont="1" applyFill="1" applyBorder="1" applyAlignment="1">
      <alignment horizontal="center"/>
    </xf>
    <xf numFmtId="0" fontId="102" fillId="0" borderId="117" xfId="36706" applyFont="1" applyBorder="1" applyAlignment="1">
      <alignment horizontal="center" vertical="center"/>
    </xf>
    <xf numFmtId="0" fontId="102" fillId="0" borderId="169" xfId="36706" applyFont="1" applyBorder="1" applyAlignment="1">
      <alignment horizontal="center" vertical="center"/>
    </xf>
    <xf numFmtId="0" fontId="102" fillId="0" borderId="189" xfId="36706" applyFont="1" applyBorder="1" applyAlignment="1">
      <alignment horizontal="center" vertical="center"/>
    </xf>
    <xf numFmtId="0" fontId="102" fillId="0" borderId="190" xfId="36706" applyFont="1" applyBorder="1" applyAlignment="1">
      <alignment horizontal="center" vertical="center"/>
    </xf>
    <xf numFmtId="0" fontId="95" fillId="0" borderId="199" xfId="0" applyFont="1" applyBorder="1" applyAlignment="1">
      <alignment horizontal="left" vertical="top"/>
    </xf>
    <xf numFmtId="183" fontId="102" fillId="77" borderId="92" xfId="12002" applyNumberFormat="1" applyFont="1" applyFill="1" applyBorder="1" applyAlignment="1" applyProtection="1">
      <alignment horizontal="center" vertical="center" wrapText="1"/>
      <protection locked="0"/>
    </xf>
    <xf numFmtId="183" fontId="102" fillId="77" borderId="188" xfId="12002" applyNumberFormat="1" applyFont="1" applyFill="1" applyBorder="1" applyAlignment="1" applyProtection="1">
      <alignment horizontal="center" vertical="center" wrapText="1"/>
      <protection locked="0"/>
    </xf>
    <xf numFmtId="183" fontId="102" fillId="77" borderId="110" xfId="12002" applyNumberFormat="1" applyFont="1" applyFill="1" applyBorder="1" applyAlignment="1" applyProtection="1">
      <alignment horizontal="center" vertical="center" wrapText="1"/>
      <protection locked="0"/>
    </xf>
    <xf numFmtId="0" fontId="92" fillId="77" borderId="195" xfId="36706" applyFont="1" applyFill="1" applyBorder="1" applyAlignment="1">
      <alignment horizontal="left" vertical="center"/>
    </xf>
    <xf numFmtId="0" fontId="94" fillId="77" borderId="69" xfId="0" applyFont="1" applyFill="1" applyBorder="1" applyAlignment="1">
      <alignment horizontal="center" vertical="center"/>
    </xf>
    <xf numFmtId="0" fontId="94" fillId="77" borderId="70" xfId="0" applyFont="1" applyFill="1" applyBorder="1" applyAlignment="1">
      <alignment horizontal="center" vertical="center"/>
    </xf>
    <xf numFmtId="0" fontId="94" fillId="77" borderId="71" xfId="0" applyFont="1" applyFill="1" applyBorder="1" applyAlignment="1">
      <alignment horizontal="center" vertical="center"/>
    </xf>
    <xf numFmtId="4" fontId="102" fillId="77" borderId="174" xfId="0" applyNumberFormat="1" applyFont="1" applyFill="1" applyBorder="1" applyAlignment="1">
      <alignment horizontal="center" vertical="center"/>
    </xf>
    <xf numFmtId="4" fontId="102" fillId="77" borderId="96" xfId="0" applyNumberFormat="1" applyFont="1" applyFill="1" applyBorder="1" applyAlignment="1">
      <alignment horizontal="center" vertical="center"/>
    </xf>
    <xf numFmtId="4" fontId="102" fillId="77" borderId="176" xfId="0" applyNumberFormat="1" applyFont="1" applyFill="1" applyBorder="1" applyAlignment="1">
      <alignment horizontal="center" vertical="center"/>
    </xf>
    <xf numFmtId="4" fontId="102" fillId="77" borderId="177" xfId="0" applyNumberFormat="1" applyFont="1" applyFill="1" applyBorder="1" applyAlignment="1">
      <alignment horizontal="center" vertical="center"/>
    </xf>
    <xf numFmtId="0" fontId="102" fillId="77" borderId="97" xfId="0" applyFont="1" applyFill="1" applyBorder="1" applyAlignment="1">
      <alignment horizontal="center" vertical="center"/>
    </xf>
    <xf numFmtId="183" fontId="102" fillId="77" borderId="79" xfId="12002" applyNumberFormat="1" applyFont="1" applyFill="1" applyBorder="1" applyAlignment="1" applyProtection="1">
      <alignment horizontal="center" vertical="center" wrapText="1"/>
      <protection locked="0"/>
    </xf>
    <xf numFmtId="0" fontId="114" fillId="77" borderId="117" xfId="0" applyFont="1" applyFill="1" applyBorder="1" applyAlignment="1">
      <alignment horizontal="left" vertical="center"/>
    </xf>
    <xf numFmtId="0" fontId="114" fillId="77" borderId="92" xfId="0" applyFont="1" applyFill="1" applyBorder="1" applyAlignment="1">
      <alignment horizontal="left" vertical="center"/>
    </xf>
    <xf numFmtId="0" fontId="114" fillId="77" borderId="197" xfId="0" applyFont="1" applyFill="1" applyBorder="1" applyAlignment="1">
      <alignment horizontal="left" vertical="center"/>
    </xf>
    <xf numFmtId="49" fontId="92" fillId="77" borderId="79" xfId="12002" applyNumberFormat="1" applyFont="1" applyFill="1" applyBorder="1" applyAlignment="1" applyProtection="1">
      <alignment horizontal="center" vertical="center" wrapText="1"/>
      <protection locked="0"/>
    </xf>
    <xf numFmtId="49" fontId="92" fillId="77" borderId="182" xfId="12002" applyNumberFormat="1" applyFont="1" applyFill="1" applyBorder="1" applyAlignment="1" applyProtection="1">
      <alignment horizontal="center" vertical="center" wrapText="1"/>
      <protection locked="0"/>
    </xf>
    <xf numFmtId="183" fontId="102" fillId="77" borderId="216" xfId="12002" applyNumberFormat="1" applyFont="1" applyFill="1" applyBorder="1" applyAlignment="1" applyProtection="1">
      <alignment horizontal="center" vertical="center" wrapText="1"/>
      <protection locked="0"/>
    </xf>
    <xf numFmtId="183" fontId="102" fillId="77" borderId="169" xfId="12002" applyNumberFormat="1" applyFont="1" applyFill="1" applyBorder="1" applyAlignment="1" applyProtection="1">
      <alignment horizontal="center" vertical="center" wrapText="1"/>
      <protection locked="0"/>
    </xf>
    <xf numFmtId="166" fontId="38" fillId="77" borderId="54" xfId="1" applyFont="1" applyFill="1" applyBorder="1" applyAlignment="1">
      <alignment horizontal="center" vertical="center" wrapText="1"/>
    </xf>
    <xf numFmtId="166" fontId="38" fillId="77" borderId="79" xfId="1" applyFont="1" applyFill="1" applyBorder="1" applyAlignment="1">
      <alignment horizontal="center" vertical="center" wrapText="1"/>
    </xf>
    <xf numFmtId="166" fontId="38" fillId="77" borderId="82" xfId="1" applyFont="1" applyFill="1" applyBorder="1" applyAlignment="1">
      <alignment horizontal="center" vertical="center" wrapText="1"/>
    </xf>
    <xf numFmtId="166" fontId="38" fillId="77" borderId="86" xfId="1" applyFont="1" applyFill="1" applyBorder="1" applyAlignment="1">
      <alignment horizontal="center" vertical="center" wrapText="1"/>
    </xf>
    <xf numFmtId="166" fontId="38" fillId="77" borderId="83" xfId="1" applyFont="1" applyFill="1" applyBorder="1" applyAlignment="1">
      <alignment horizontal="center" vertical="center" wrapText="1"/>
    </xf>
    <xf numFmtId="166" fontId="38" fillId="77" borderId="96" xfId="1" applyFont="1" applyFill="1" applyBorder="1" applyAlignment="1">
      <alignment horizontal="center" vertical="center"/>
    </xf>
    <xf numFmtId="0" fontId="38" fillId="77" borderId="81" xfId="1" applyNumberFormat="1" applyFont="1" applyFill="1" applyBorder="1" applyAlignment="1">
      <alignment horizontal="center"/>
    </xf>
    <xf numFmtId="0" fontId="38" fillId="77" borderId="199" xfId="1" applyNumberFormat="1" applyFont="1" applyFill="1" applyBorder="1" applyAlignment="1">
      <alignment horizontal="center"/>
    </xf>
    <xf numFmtId="166" fontId="92" fillId="77" borderId="195" xfId="1" applyFont="1" applyFill="1" applyBorder="1" applyAlignment="1">
      <alignment horizontal="left"/>
    </xf>
    <xf numFmtId="166" fontId="92" fillId="77" borderId="0" xfId="1" applyFont="1" applyFill="1" applyBorder="1" applyAlignment="1">
      <alignment horizontal="left"/>
    </xf>
    <xf numFmtId="166" fontId="92" fillId="77" borderId="0" xfId="1" applyFont="1" applyFill="1" applyAlignment="1">
      <alignment horizontal="center"/>
    </xf>
    <xf numFmtId="0" fontId="38" fillId="77" borderId="53" xfId="1" applyNumberFormat="1" applyFont="1" applyFill="1" applyBorder="1" applyAlignment="1">
      <alignment horizontal="center" vertical="center"/>
    </xf>
    <xf numFmtId="0" fontId="38" fillId="77" borderId="78" xfId="1" applyNumberFormat="1" applyFont="1" applyFill="1" applyBorder="1" applyAlignment="1">
      <alignment horizontal="center" vertical="center"/>
    </xf>
    <xf numFmtId="166" fontId="38" fillId="77" borderId="54" xfId="1" applyFont="1" applyFill="1" applyBorder="1" applyAlignment="1">
      <alignment horizontal="center" vertical="center"/>
    </xf>
    <xf numFmtId="166" fontId="38" fillId="77" borderId="79" xfId="1" applyFont="1" applyFill="1" applyBorder="1" applyAlignment="1">
      <alignment horizontal="center" vertical="center"/>
    </xf>
    <xf numFmtId="166" fontId="38" fillId="77" borderId="82" xfId="1" applyFont="1" applyFill="1" applyBorder="1" applyAlignment="1">
      <alignment horizontal="center"/>
    </xf>
    <xf numFmtId="166" fontId="38" fillId="77" borderId="83" xfId="1" applyFont="1" applyFill="1" applyBorder="1" applyAlignment="1">
      <alignment horizontal="center"/>
    </xf>
    <xf numFmtId="166" fontId="38" fillId="77" borderId="55" xfId="1" applyFont="1" applyFill="1" applyBorder="1" applyAlignment="1">
      <alignment horizontal="center" vertical="center"/>
    </xf>
    <xf numFmtId="166" fontId="38" fillId="77" borderId="84" xfId="1" applyFont="1" applyFill="1" applyBorder="1" applyAlignment="1">
      <alignment horizontal="center" vertical="center"/>
    </xf>
    <xf numFmtId="166" fontId="38" fillId="77" borderId="85" xfId="1" applyFont="1" applyFill="1" applyBorder="1" applyAlignment="1">
      <alignment horizontal="center" vertical="center"/>
    </xf>
    <xf numFmtId="166" fontId="102" fillId="77" borderId="96" xfId="1" applyFont="1" applyFill="1" applyBorder="1" applyAlignment="1">
      <alignment horizontal="center" vertical="center" wrapText="1"/>
    </xf>
    <xf numFmtId="166" fontId="92" fillId="77" borderId="172" xfId="1" applyFont="1" applyFill="1" applyBorder="1" applyAlignment="1">
      <alignment horizontal="center" vertical="center"/>
    </xf>
    <xf numFmtId="166" fontId="92" fillId="77" borderId="96" xfId="1" applyFont="1" applyFill="1" applyBorder="1" applyAlignment="1">
      <alignment horizontal="center" vertical="center"/>
    </xf>
    <xf numFmtId="166" fontId="114" fillId="77" borderId="96" xfId="1" applyFont="1" applyFill="1" applyBorder="1" applyAlignment="1">
      <alignment vertical="top"/>
    </xf>
    <xf numFmtId="166" fontId="38" fillId="77" borderId="76" xfId="1" applyFont="1" applyFill="1" applyBorder="1" applyAlignment="1">
      <alignment vertical="center"/>
    </xf>
    <xf numFmtId="166" fontId="38" fillId="77" borderId="180" xfId="1" applyFont="1" applyFill="1" applyBorder="1" applyAlignment="1">
      <alignment vertical="center"/>
    </xf>
    <xf numFmtId="166" fontId="92" fillId="77" borderId="174" xfId="1" applyFont="1" applyFill="1" applyBorder="1" applyAlignment="1">
      <alignment horizontal="center" vertical="center"/>
    </xf>
    <xf numFmtId="166" fontId="92" fillId="77" borderId="176" xfId="1" applyFont="1" applyFill="1" applyBorder="1" applyAlignment="1">
      <alignment horizontal="center" vertical="center"/>
    </xf>
    <xf numFmtId="166" fontId="92" fillId="77" borderId="177" xfId="1" applyFont="1" applyFill="1" applyBorder="1" applyAlignment="1">
      <alignment horizontal="center" vertical="center"/>
    </xf>
    <xf numFmtId="166" fontId="92" fillId="77" borderId="97" xfId="1" applyFont="1" applyFill="1" applyBorder="1" applyAlignment="1">
      <alignment horizontal="center" vertical="center"/>
    </xf>
    <xf numFmtId="166" fontId="114" fillId="77" borderId="97" xfId="1" applyFont="1" applyFill="1" applyBorder="1" applyAlignment="1">
      <alignment vertical="center"/>
    </xf>
    <xf numFmtId="166" fontId="114" fillId="77" borderId="181" xfId="1" applyFont="1" applyFill="1" applyBorder="1" applyAlignment="1">
      <alignment vertical="center"/>
    </xf>
    <xf numFmtId="166" fontId="92" fillId="77" borderId="189" xfId="1" applyFont="1" applyFill="1" applyBorder="1" applyAlignment="1">
      <alignment horizontal="center" vertical="center"/>
    </xf>
    <xf numFmtId="166" fontId="92" fillId="77" borderId="49" xfId="1" applyFont="1" applyFill="1" applyBorder="1" applyAlignment="1">
      <alignment horizontal="center" vertical="center"/>
    </xf>
    <xf numFmtId="166" fontId="92" fillId="77" borderId="190" xfId="1" applyFont="1" applyFill="1" applyBorder="1" applyAlignment="1">
      <alignment horizontal="center" vertical="center"/>
    </xf>
    <xf numFmtId="0" fontId="92" fillId="77" borderId="96" xfId="1" applyNumberFormat="1" applyFont="1" applyFill="1" applyBorder="1" applyAlignment="1">
      <alignment horizontal="center" vertical="center"/>
    </xf>
    <xf numFmtId="0" fontId="114" fillId="0" borderId="97" xfId="36776" applyFont="1" applyFill="1" applyBorder="1" applyAlignment="1">
      <alignment horizontal="center" vertical="center"/>
    </xf>
    <xf numFmtId="0" fontId="114" fillId="0" borderId="44" xfId="36776" applyFont="1" applyFill="1" applyBorder="1" applyAlignment="1">
      <alignment horizontal="center" vertical="center"/>
    </xf>
    <xf numFmtId="0" fontId="114" fillId="0" borderId="76" xfId="36776" applyFont="1" applyFill="1" applyBorder="1" applyAlignment="1">
      <alignment horizontal="center" vertical="center"/>
    </xf>
    <xf numFmtId="0" fontId="92" fillId="0" borderId="0" xfId="36776" applyFont="1" applyFill="1" applyAlignment="1">
      <alignment horizontal="center" vertical="center"/>
    </xf>
    <xf numFmtId="0" fontId="92" fillId="0" borderId="0" xfId="36776" applyFont="1" applyFill="1" applyAlignment="1">
      <alignment horizontal="left" vertical="center"/>
    </xf>
    <xf numFmtId="0" fontId="95" fillId="0" borderId="96" xfId="36776" applyFont="1" applyFill="1" applyBorder="1" applyAlignment="1">
      <alignment horizontal="center" vertical="center"/>
    </xf>
    <xf numFmtId="166" fontId="40" fillId="0" borderId="96" xfId="1" applyFont="1" applyFill="1" applyBorder="1" applyAlignment="1" applyProtection="1">
      <alignment horizontal="center" vertical="center" textRotation="90"/>
    </xf>
    <xf numFmtId="0" fontId="95" fillId="0" borderId="96" xfId="2669" applyNumberFormat="1" applyFont="1" applyFill="1" applyBorder="1" applyAlignment="1" applyProtection="1">
      <alignment horizontal="center" vertical="center" wrapText="1"/>
    </xf>
    <xf numFmtId="0" fontId="40" fillId="0" borderId="96" xfId="238" applyFont="1" applyFill="1" applyBorder="1" applyAlignment="1" applyProtection="1">
      <alignment horizontal="center" vertical="center"/>
    </xf>
    <xf numFmtId="184" fontId="40" fillId="0" borderId="96" xfId="238" applyNumberFormat="1" applyFont="1" applyFill="1" applyBorder="1" applyAlignment="1" applyProtection="1">
      <alignment horizontal="center" vertical="center"/>
    </xf>
    <xf numFmtId="166" fontId="40" fillId="0" borderId="96" xfId="238" applyNumberFormat="1" applyFont="1" applyFill="1" applyBorder="1" applyAlignment="1" applyProtection="1">
      <alignment horizontal="center" vertical="center"/>
    </xf>
    <xf numFmtId="0" fontId="114" fillId="0" borderId="96" xfId="238" applyFont="1" applyFill="1" applyBorder="1" applyAlignment="1" applyProtection="1">
      <alignment horizontal="center" vertical="center" wrapText="1"/>
    </xf>
    <xf numFmtId="166" fontId="114" fillId="0" borderId="96" xfId="2339" applyFont="1" applyFill="1" applyBorder="1" applyAlignment="1" applyProtection="1">
      <alignment horizontal="center" vertical="center" wrapText="1"/>
    </xf>
    <xf numFmtId="0" fontId="114" fillId="0" borderId="96" xfId="238" applyFont="1" applyFill="1" applyBorder="1" applyAlignment="1" applyProtection="1">
      <alignment horizontal="center" vertical="center"/>
    </xf>
    <xf numFmtId="0" fontId="114" fillId="0" borderId="97" xfId="238" applyFont="1" applyFill="1" applyBorder="1" applyAlignment="1" applyProtection="1">
      <alignment horizontal="center" vertical="center" wrapText="1"/>
    </xf>
    <xf numFmtId="0" fontId="114" fillId="0" borderId="76" xfId="238" applyFont="1" applyFill="1" applyBorder="1" applyAlignment="1" applyProtection="1">
      <alignment horizontal="center" vertical="center" wrapText="1"/>
    </xf>
    <xf numFmtId="1" fontId="114" fillId="0" borderId="96" xfId="238" applyNumberFormat="1" applyFont="1" applyFill="1" applyBorder="1" applyAlignment="1" applyProtection="1">
      <alignment horizontal="center" vertical="center"/>
    </xf>
    <xf numFmtId="0" fontId="92" fillId="0" borderId="195" xfId="238" applyFont="1" applyFill="1" applyBorder="1" applyAlignment="1" applyProtection="1">
      <alignment horizontal="left"/>
    </xf>
    <xf numFmtId="0" fontId="114" fillId="0" borderId="93" xfId="238" applyFont="1" applyFill="1" applyBorder="1" applyAlignment="1" applyProtection="1">
      <alignment horizontal="center" vertical="center"/>
    </xf>
    <xf numFmtId="0" fontId="114" fillId="0" borderId="94" xfId="238" applyFont="1" applyFill="1" applyBorder="1" applyAlignment="1" applyProtection="1">
      <alignment horizontal="center" vertical="center"/>
    </xf>
    <xf numFmtId="0" fontId="114" fillId="0" borderId="95" xfId="238" applyFont="1" applyFill="1" applyBorder="1" applyAlignment="1" applyProtection="1">
      <alignment horizontal="center" vertical="center"/>
    </xf>
    <xf numFmtId="0" fontId="114" fillId="0" borderId="93" xfId="238" applyFont="1" applyFill="1" applyBorder="1" applyAlignment="1" applyProtection="1">
      <alignment horizontal="center" vertical="center" wrapText="1"/>
    </xf>
    <xf numFmtId="0" fontId="114" fillId="0" borderId="94" xfId="238" applyFont="1" applyFill="1" applyBorder="1" applyAlignment="1" applyProtection="1">
      <alignment horizontal="center" vertical="center" wrapText="1"/>
    </xf>
    <xf numFmtId="0" fontId="114" fillId="0" borderId="95" xfId="238" applyFont="1" applyFill="1" applyBorder="1" applyAlignment="1" applyProtection="1">
      <alignment horizontal="center" vertical="center" wrapText="1"/>
    </xf>
    <xf numFmtId="0" fontId="114" fillId="0" borderId="44" xfId="238" applyFont="1" applyFill="1" applyBorder="1" applyAlignment="1" applyProtection="1">
      <alignment horizontal="center" vertical="center" wrapText="1"/>
    </xf>
    <xf numFmtId="0" fontId="104" fillId="0" borderId="186" xfId="36776" applyFont="1" applyFill="1" applyBorder="1" applyAlignment="1">
      <alignment horizontal="center" vertical="center" wrapText="1"/>
    </xf>
    <xf numFmtId="0" fontId="104" fillId="0" borderId="195" xfId="36776" applyFont="1" applyFill="1" applyBorder="1" applyAlignment="1">
      <alignment horizontal="center" vertical="center" wrapText="1"/>
    </xf>
    <xf numFmtId="0" fontId="104" fillId="0" borderId="187" xfId="36776" applyFont="1" applyFill="1" applyBorder="1" applyAlignment="1">
      <alignment horizontal="center" vertical="center" wrapText="1"/>
    </xf>
    <xf numFmtId="0" fontId="104" fillId="0" borderId="188" xfId="36776" applyFont="1" applyFill="1" applyBorder="1" applyAlignment="1">
      <alignment horizontal="center" vertical="center" wrapText="1"/>
    </xf>
    <xf numFmtId="0" fontId="104" fillId="0" borderId="109" xfId="36776" applyFont="1" applyFill="1" applyBorder="1" applyAlignment="1">
      <alignment horizontal="center" vertical="center" wrapText="1"/>
    </xf>
    <xf numFmtId="0" fontId="104" fillId="0" borderId="110" xfId="36776" applyFont="1" applyFill="1" applyBorder="1" applyAlignment="1">
      <alignment horizontal="center" vertical="center" wrapText="1"/>
    </xf>
    <xf numFmtId="0" fontId="92" fillId="0" borderId="172" xfId="36776" applyFont="1" applyFill="1" applyBorder="1" applyAlignment="1">
      <alignment horizontal="center" vertical="center"/>
    </xf>
    <xf numFmtId="0" fontId="92" fillId="0" borderId="96" xfId="36776" applyFont="1" applyFill="1" applyBorder="1" applyAlignment="1">
      <alignment horizontal="center" vertical="center"/>
    </xf>
    <xf numFmtId="0" fontId="114" fillId="0" borderId="194" xfId="36776" applyFont="1" applyFill="1" applyBorder="1" applyAlignment="1">
      <alignment horizontal="left" vertical="top"/>
    </xf>
    <xf numFmtId="0" fontId="114" fillId="0" borderId="195" xfId="36776" applyFont="1" applyFill="1" applyBorder="1" applyAlignment="1">
      <alignment horizontal="left" vertical="top"/>
    </xf>
    <xf numFmtId="0" fontId="114" fillId="0" borderId="196" xfId="36776" applyFont="1" applyFill="1" applyBorder="1" applyAlignment="1">
      <alignment horizontal="left" vertical="top"/>
    </xf>
    <xf numFmtId="0" fontId="95" fillId="0" borderId="108" xfId="36776" applyFont="1" applyFill="1" applyBorder="1" applyAlignment="1">
      <alignment horizontal="left" vertical="center"/>
    </xf>
    <xf numFmtId="0" fontId="95" fillId="0" borderId="109" xfId="36776" applyFont="1" applyFill="1" applyBorder="1" applyAlignment="1">
      <alignment horizontal="left" vertical="center"/>
    </xf>
    <xf numFmtId="0" fontId="95" fillId="0" borderId="215" xfId="36776" applyFont="1" applyFill="1" applyBorder="1" applyAlignment="1">
      <alignment horizontal="left" vertical="center"/>
    </xf>
    <xf numFmtId="0" fontId="95" fillId="0" borderId="174" xfId="36776" applyFont="1" applyFill="1" applyBorder="1" applyAlignment="1">
      <alignment horizontal="center" vertical="center"/>
    </xf>
    <xf numFmtId="0" fontId="95" fillId="0" borderId="176" xfId="36776" applyFont="1" applyFill="1" applyBorder="1" applyAlignment="1">
      <alignment horizontal="center" vertical="center"/>
    </xf>
    <xf numFmtId="0" fontId="95" fillId="0" borderId="177" xfId="36776" applyFont="1" applyFill="1" applyBorder="1" applyAlignment="1">
      <alignment horizontal="center" vertical="center"/>
    </xf>
    <xf numFmtId="0" fontId="95" fillId="0" borderId="97" xfId="36776" applyFont="1" applyFill="1" applyBorder="1" applyAlignment="1">
      <alignment horizontal="center" vertical="center"/>
    </xf>
    <xf numFmtId="0" fontId="114" fillId="0" borderId="96" xfId="36776" applyFont="1" applyFill="1" applyBorder="1" applyAlignment="1">
      <alignment horizontal="left" vertical="center"/>
    </xf>
    <xf numFmtId="0" fontId="92" fillId="0" borderId="79" xfId="36776" applyFont="1" applyFill="1" applyBorder="1" applyAlignment="1">
      <alignment horizontal="center" vertical="center"/>
    </xf>
    <xf numFmtId="0" fontId="95" fillId="0" borderId="79" xfId="36776" applyFont="1" applyFill="1" applyBorder="1" applyAlignment="1">
      <alignment horizontal="center" vertical="center"/>
    </xf>
    <xf numFmtId="0" fontId="95" fillId="0" borderId="182" xfId="36776" applyFont="1" applyFill="1" applyBorder="1" applyAlignment="1">
      <alignment horizontal="center" vertical="center"/>
    </xf>
    <xf numFmtId="0" fontId="105" fillId="0" borderId="0" xfId="0" applyFont="1"/>
    <xf numFmtId="0" fontId="94" fillId="78" borderId="60" xfId="0" applyFont="1" applyFill="1" applyBorder="1" applyAlignment="1">
      <alignment horizontal="center" vertical="center"/>
    </xf>
    <xf numFmtId="0" fontId="94" fillId="78" borderId="102" xfId="0" applyFont="1" applyFill="1" applyBorder="1" applyAlignment="1">
      <alignment horizontal="center" vertical="center"/>
    </xf>
    <xf numFmtId="0" fontId="94" fillId="78" borderId="58" xfId="0" applyFont="1" applyFill="1" applyBorder="1" applyAlignment="1">
      <alignment horizontal="center" vertical="center"/>
    </xf>
    <xf numFmtId="0" fontId="94" fillId="78" borderId="61" xfId="0" applyFont="1" applyFill="1" applyBorder="1" applyAlignment="1">
      <alignment horizontal="center" vertical="center"/>
    </xf>
    <xf numFmtId="166" fontId="94" fillId="0" borderId="61" xfId="1" applyFont="1" applyBorder="1"/>
    <xf numFmtId="166" fontId="94" fillId="0" borderId="96" xfId="1" applyFont="1" applyBorder="1"/>
    <xf numFmtId="166" fontId="94" fillId="78" borderId="64" xfId="1" applyFont="1" applyFill="1" applyBorder="1"/>
    <xf numFmtId="166" fontId="94" fillId="78" borderId="65" xfId="1" applyFont="1" applyFill="1" applyBorder="1"/>
    <xf numFmtId="0" fontId="94" fillId="78" borderId="99" xfId="36708" applyNumberFormat="1" applyFont="1" applyFill="1" applyBorder="1" applyAlignment="1">
      <alignment horizontal="center" vertical="center" wrapText="1"/>
    </xf>
    <xf numFmtId="186" fontId="95" fillId="78" borderId="101" xfId="36708" applyNumberFormat="1" applyFont="1" applyFill="1" applyBorder="1" applyAlignment="1">
      <alignment horizontal="center" vertical="center"/>
    </xf>
    <xf numFmtId="0" fontId="94" fillId="78" borderId="83" xfId="0" applyFont="1" applyFill="1" applyBorder="1" applyAlignment="1">
      <alignment horizontal="center" vertical="center"/>
    </xf>
    <xf numFmtId="0" fontId="94" fillId="78" borderId="95" xfId="0" applyFont="1" applyFill="1" applyBorder="1" applyAlignment="1">
      <alignment horizontal="center" vertical="center"/>
    </xf>
    <xf numFmtId="0" fontId="94" fillId="78" borderId="59" xfId="0" applyFont="1" applyFill="1" applyBorder="1" applyAlignment="1">
      <alignment horizontal="center" vertical="center"/>
    </xf>
    <xf numFmtId="0" fontId="94" fillId="78" borderId="96" xfId="0" applyFont="1" applyFill="1" applyBorder="1" applyAlignment="1">
      <alignment horizontal="center" vertical="center"/>
    </xf>
    <xf numFmtId="0" fontId="94" fillId="0" borderId="103" xfId="0" applyFont="1" applyBorder="1"/>
    <xf numFmtId="0" fontId="94" fillId="0" borderId="104" xfId="0" applyFont="1" applyBorder="1"/>
    <xf numFmtId="0" fontId="95" fillId="0" borderId="0" xfId="0" applyFont="1"/>
    <xf numFmtId="0" fontId="94" fillId="78" borderId="98" xfId="36708" applyNumberFormat="1" applyFont="1" applyFill="1" applyBorder="1" applyAlignment="1">
      <alignment horizontal="center" vertical="center" wrapText="1"/>
    </xf>
    <xf numFmtId="186" fontId="94" fillId="78" borderId="100" xfId="36708" applyNumberFormat="1" applyFont="1" applyFill="1" applyBorder="1" applyAlignment="1">
      <alignment horizontal="center" vertical="center"/>
    </xf>
    <xf numFmtId="186" fontId="94" fillId="78" borderId="101" xfId="36708" applyNumberFormat="1" applyFont="1" applyFill="1" applyBorder="1" applyAlignment="1">
      <alignment horizontal="center" vertical="center"/>
    </xf>
    <xf numFmtId="0" fontId="38" fillId="0" borderId="195" xfId="36708" applyFont="1" applyBorder="1" applyAlignment="1">
      <alignment horizontal="left" vertical="center"/>
    </xf>
    <xf numFmtId="0" fontId="95" fillId="0" borderId="0" xfId="0" applyFont="1" applyAlignment="1">
      <alignment horizontal="right"/>
    </xf>
    <xf numFmtId="0" fontId="104" fillId="0" borderId="186" xfId="36708" applyFont="1" applyBorder="1" applyAlignment="1">
      <alignment horizontal="center" vertical="center" wrapText="1"/>
    </xf>
    <xf numFmtId="0" fontId="104" fillId="0" borderId="195" xfId="36708" applyFont="1" applyBorder="1" applyAlignment="1">
      <alignment horizontal="center" vertical="center" wrapText="1"/>
    </xf>
    <xf numFmtId="0" fontId="104" fillId="0" borderId="187" xfId="36708" applyFont="1" applyBorder="1" applyAlignment="1">
      <alignment horizontal="center" vertical="center" wrapText="1"/>
    </xf>
    <xf numFmtId="0" fontId="104" fillId="0" borderId="188" xfId="36708" applyFont="1" applyBorder="1" applyAlignment="1">
      <alignment horizontal="center" vertical="center" wrapText="1"/>
    </xf>
    <xf numFmtId="0" fontId="104" fillId="0" borderId="109" xfId="36708" applyFont="1" applyBorder="1" applyAlignment="1">
      <alignment horizontal="center" vertical="center" wrapText="1"/>
    </xf>
    <xf numFmtId="0" fontId="104" fillId="0" borderId="110" xfId="36708" applyFont="1" applyBorder="1" applyAlignment="1">
      <alignment horizontal="center" vertical="center" wrapText="1"/>
    </xf>
    <xf numFmtId="0" fontId="126" fillId="0" borderId="174" xfId="36708" applyFont="1" applyBorder="1" applyAlignment="1">
      <alignment horizontal="center" vertical="center"/>
    </xf>
    <xf numFmtId="0" fontId="126" fillId="0" borderId="96" xfId="36708" applyFont="1" applyBorder="1" applyAlignment="1">
      <alignment horizontal="center" vertical="center"/>
    </xf>
    <xf numFmtId="0" fontId="126" fillId="0" borderId="176" xfId="36708" applyFont="1" applyBorder="1" applyAlignment="1">
      <alignment horizontal="center" vertical="center"/>
    </xf>
    <xf numFmtId="0" fontId="126" fillId="0" borderId="177" xfId="36708" applyFont="1" applyBorder="1" applyAlignment="1">
      <alignment horizontal="center" vertical="center"/>
    </xf>
    <xf numFmtId="0" fontId="92" fillId="0" borderId="172" xfId="36708" applyFont="1" applyBorder="1" applyAlignment="1">
      <alignment horizontal="center" vertical="center"/>
    </xf>
    <xf numFmtId="0" fontId="92" fillId="0" borderId="96" xfId="36708" applyFont="1" applyBorder="1" applyAlignment="1">
      <alignment horizontal="center" vertical="center"/>
    </xf>
    <xf numFmtId="0" fontId="126" fillId="0" borderId="97" xfId="36708" applyFont="1" applyBorder="1" applyAlignment="1">
      <alignment horizontal="center" vertical="center"/>
    </xf>
    <xf numFmtId="0" fontId="92" fillId="0" borderId="79" xfId="36708" applyFont="1" applyBorder="1" applyAlignment="1">
      <alignment horizontal="center" vertical="center"/>
    </xf>
    <xf numFmtId="166" fontId="98" fillId="0" borderId="51" xfId="1" applyFont="1" applyFill="1" applyBorder="1" applyAlignment="1">
      <alignment horizontal="center"/>
    </xf>
    <xf numFmtId="0" fontId="98" fillId="0" borderId="195" xfId="0" applyFont="1" applyFill="1" applyBorder="1" applyAlignment="1">
      <alignment horizontal="left"/>
    </xf>
    <xf numFmtId="0" fontId="98" fillId="0" borderId="0" xfId="0" applyFont="1" applyFill="1" applyAlignment="1">
      <alignment horizontal="center"/>
    </xf>
    <xf numFmtId="0" fontId="110" fillId="0" borderId="58" xfId="0" applyFont="1" applyFill="1" applyBorder="1" applyAlignment="1">
      <alignment horizontal="center"/>
    </xf>
    <xf numFmtId="0" fontId="110" fillId="0" borderId="72" xfId="0" applyFont="1" applyFill="1" applyBorder="1" applyAlignment="1">
      <alignment horizontal="center"/>
    </xf>
    <xf numFmtId="0" fontId="110" fillId="0" borderId="59" xfId="0" applyFont="1" applyFill="1" applyBorder="1" applyAlignment="1">
      <alignment horizontal="center"/>
    </xf>
    <xf numFmtId="0" fontId="110" fillId="0" borderId="73" xfId="0" applyFont="1" applyFill="1" applyBorder="1" applyAlignment="1">
      <alignment horizontal="center"/>
    </xf>
    <xf numFmtId="0" fontId="124" fillId="0" borderId="73" xfId="0" applyFont="1" applyFill="1" applyBorder="1"/>
    <xf numFmtId="0" fontId="110" fillId="0" borderId="59" xfId="0" applyFont="1" applyFill="1" applyBorder="1" applyAlignment="1">
      <alignment horizontal="center" wrapText="1"/>
    </xf>
    <xf numFmtId="0" fontId="124" fillId="0" borderId="73" xfId="0" applyFont="1" applyFill="1" applyBorder="1" applyAlignment="1">
      <alignment horizontal="center"/>
    </xf>
    <xf numFmtId="0" fontId="110" fillId="0" borderId="60" xfId="0" applyFont="1" applyFill="1" applyBorder="1" applyAlignment="1">
      <alignment horizontal="center"/>
    </xf>
    <xf numFmtId="0" fontId="127" fillId="0" borderId="186" xfId="0" applyFont="1" applyFill="1" applyBorder="1" applyAlignment="1">
      <alignment horizontal="center" wrapText="1"/>
    </xf>
    <xf numFmtId="0" fontId="127" fillId="0" borderId="195" xfId="0" applyFont="1" applyFill="1" applyBorder="1" applyAlignment="1">
      <alignment horizontal="center" wrapText="1"/>
    </xf>
    <xf numFmtId="0" fontId="127" fillId="0" borderId="187" xfId="0" applyFont="1" applyFill="1" applyBorder="1" applyAlignment="1">
      <alignment horizontal="center" wrapText="1"/>
    </xf>
    <xf numFmtId="0" fontId="127" fillId="0" borderId="188" xfId="0" applyFont="1" applyFill="1" applyBorder="1" applyAlignment="1">
      <alignment horizontal="center" wrapText="1"/>
    </xf>
    <xf numFmtId="0" fontId="127" fillId="0" borderId="109" xfId="0" applyFont="1" applyFill="1" applyBorder="1" applyAlignment="1">
      <alignment horizontal="center" wrapText="1"/>
    </xf>
    <xf numFmtId="0" fontId="127" fillId="0" borderId="110" xfId="0" applyFont="1" applyFill="1" applyBorder="1" applyAlignment="1">
      <alignment horizontal="center" wrapText="1"/>
    </xf>
    <xf numFmtId="0" fontId="118" fillId="0" borderId="194" xfId="0" applyFont="1" applyFill="1" applyBorder="1" applyAlignment="1">
      <alignment horizontal="left" vertical="top"/>
    </xf>
    <xf numFmtId="0" fontId="118" fillId="0" borderId="195" xfId="0" applyFont="1" applyFill="1" applyBorder="1" applyAlignment="1">
      <alignment horizontal="left" vertical="top"/>
    </xf>
    <xf numFmtId="0" fontId="118" fillId="0" borderId="196" xfId="0" applyFont="1" applyFill="1" applyBorder="1" applyAlignment="1">
      <alignment horizontal="left" vertical="top"/>
    </xf>
    <xf numFmtId="0" fontId="113" fillId="0" borderId="93" xfId="0" applyFont="1" applyFill="1" applyBorder="1" applyAlignment="1">
      <alignment horizontal="left"/>
    </xf>
    <xf numFmtId="0" fontId="113" fillId="0" borderId="94" xfId="0" applyFont="1" applyFill="1" applyBorder="1" applyAlignment="1">
      <alignment horizontal="left"/>
    </xf>
    <xf numFmtId="0" fontId="113" fillId="0" borderId="95" xfId="0" applyFont="1" applyFill="1" applyBorder="1" applyAlignment="1">
      <alignment horizontal="left"/>
    </xf>
    <xf numFmtId="0" fontId="97" fillId="0" borderId="174" xfId="0" applyFont="1" applyFill="1" applyBorder="1" applyAlignment="1">
      <alignment horizontal="center"/>
    </xf>
    <xf numFmtId="0" fontId="97" fillId="0" borderId="96" xfId="0" applyFont="1" applyFill="1" applyBorder="1" applyAlignment="1">
      <alignment horizontal="center"/>
    </xf>
    <xf numFmtId="0" fontId="97" fillId="0" borderId="176" xfId="0" applyFont="1" applyFill="1" applyBorder="1" applyAlignment="1">
      <alignment horizontal="center"/>
    </xf>
    <xf numFmtId="0" fontId="97" fillId="0" borderId="177" xfId="0" applyFont="1" applyFill="1" applyBorder="1" applyAlignment="1">
      <alignment horizontal="center"/>
    </xf>
    <xf numFmtId="0" fontId="127" fillId="0" borderId="97" xfId="0" applyFont="1" applyFill="1" applyBorder="1" applyAlignment="1">
      <alignment horizontal="center"/>
    </xf>
    <xf numFmtId="0" fontId="118" fillId="0" borderId="96" xfId="0" applyFont="1" applyFill="1" applyBorder="1" applyAlignment="1">
      <alignment horizontal="left"/>
    </xf>
    <xf numFmtId="0" fontId="116" fillId="0" borderId="189" xfId="0" applyFont="1" applyFill="1" applyBorder="1" applyAlignment="1">
      <alignment horizontal="center" vertical="center"/>
    </xf>
    <xf numFmtId="0" fontId="116" fillId="0" borderId="49" xfId="0" applyFont="1" applyFill="1" applyBorder="1" applyAlignment="1">
      <alignment horizontal="center" vertical="center"/>
    </xf>
    <xf numFmtId="0" fontId="116" fillId="0" borderId="190" xfId="0" applyFont="1" applyFill="1" applyBorder="1" applyAlignment="1">
      <alignment horizontal="center" vertical="center"/>
    </xf>
    <xf numFmtId="0" fontId="98" fillId="0" borderId="189" xfId="0" applyFont="1" applyFill="1" applyBorder="1" applyAlignment="1">
      <alignment horizontal="left" vertical="center"/>
    </xf>
    <xf numFmtId="0" fontId="98" fillId="0" borderId="49" xfId="0" applyFont="1" applyFill="1" applyBorder="1" applyAlignment="1">
      <alignment horizontal="left" vertical="center"/>
    </xf>
    <xf numFmtId="0" fontId="98" fillId="0" borderId="201" xfId="0" applyFont="1" applyFill="1" applyBorder="1" applyAlignment="1">
      <alignment horizontal="left" vertical="center"/>
    </xf>
    <xf numFmtId="49" fontId="114" fillId="0" borderId="108" xfId="0" applyNumberFormat="1" applyFont="1" applyFill="1" applyBorder="1" applyAlignment="1">
      <alignment horizontal="center" wrapText="1"/>
    </xf>
    <xf numFmtId="49" fontId="114" fillId="0" borderId="109" xfId="0" applyNumberFormat="1" applyFont="1" applyFill="1" applyBorder="1" applyAlignment="1">
      <alignment horizontal="center" wrapText="1"/>
    </xf>
    <xf numFmtId="49" fontId="114" fillId="0" borderId="110" xfId="0" applyNumberFormat="1" applyFont="1" applyFill="1" applyBorder="1" applyAlignment="1">
      <alignment horizontal="center" wrapText="1"/>
    </xf>
    <xf numFmtId="49" fontId="114" fillId="0" borderId="179" xfId="0" applyNumberFormat="1" applyFont="1" applyFill="1" applyBorder="1" applyAlignment="1">
      <alignment horizontal="center" wrapText="1"/>
    </xf>
    <xf numFmtId="49" fontId="114" fillId="0" borderId="218" xfId="0" applyNumberFormat="1" applyFont="1" applyFill="1" applyBorder="1" applyAlignment="1">
      <alignment horizontal="center" wrapText="1"/>
    </xf>
    <xf numFmtId="49" fontId="114" fillId="0" borderId="225" xfId="0" applyNumberFormat="1" applyFont="1" applyFill="1" applyBorder="1" applyAlignment="1">
      <alignment horizontal="center" vertical="center"/>
    </xf>
    <xf numFmtId="49" fontId="114" fillId="0" borderId="116" xfId="0" applyNumberFormat="1" applyFont="1" applyFill="1" applyBorder="1" applyAlignment="1">
      <alignment horizontal="center" vertical="center"/>
    </xf>
    <xf numFmtId="0" fontId="115" fillId="0" borderId="135" xfId="0" applyFont="1" applyFill="1" applyBorder="1" applyAlignment="1">
      <alignment horizontal="center"/>
    </xf>
    <xf numFmtId="0" fontId="115" fillId="0" borderId="136" xfId="0" applyFont="1" applyFill="1" applyBorder="1" applyAlignment="1">
      <alignment horizontal="center"/>
    </xf>
    <xf numFmtId="0" fontId="115" fillId="0" borderId="137" xfId="0" applyFont="1" applyFill="1" applyBorder="1" applyAlignment="1">
      <alignment horizontal="center"/>
    </xf>
    <xf numFmtId="0" fontId="115" fillId="0" borderId="138" xfId="0" applyFont="1" applyFill="1" applyBorder="1" applyAlignment="1">
      <alignment horizontal="center"/>
    </xf>
    <xf numFmtId="0" fontId="115" fillId="0" borderId="119" xfId="0" applyFont="1" applyFill="1" applyBorder="1" applyAlignment="1">
      <alignment horizontal="center"/>
    </xf>
    <xf numFmtId="0" fontId="115" fillId="0" borderId="120" xfId="0" applyFont="1" applyFill="1" applyBorder="1" applyAlignment="1">
      <alignment horizontal="center"/>
    </xf>
    <xf numFmtId="0" fontId="115" fillId="0" borderId="106" xfId="0" applyFont="1" applyFill="1" applyBorder="1" applyAlignment="1">
      <alignment horizontal="center"/>
    </xf>
    <xf numFmtId="0" fontId="115" fillId="0" borderId="122" xfId="0" applyFont="1" applyFill="1" applyBorder="1" applyAlignment="1">
      <alignment horizontal="center"/>
    </xf>
    <xf numFmtId="0" fontId="115" fillId="0" borderId="123" xfId="0" applyFont="1" applyFill="1" applyBorder="1" applyAlignment="1">
      <alignment horizontal="center"/>
    </xf>
    <xf numFmtId="187" fontId="114" fillId="0" borderId="200" xfId="0" applyNumberFormat="1" applyFont="1" applyFill="1" applyBorder="1" applyAlignment="1">
      <alignment horizontal="center"/>
    </xf>
    <xf numFmtId="187" fontId="114" fillId="0" borderId="79" xfId="0" applyNumberFormat="1" applyFont="1" applyFill="1" applyBorder="1" applyAlignment="1">
      <alignment horizontal="center"/>
    </xf>
    <xf numFmtId="0" fontId="114" fillId="0" borderId="45" xfId="0" applyFont="1" applyFill="1" applyBorder="1" applyAlignment="1">
      <alignment horizontal="center" vertical="center"/>
    </xf>
    <xf numFmtId="0" fontId="114" fillId="0" borderId="114" xfId="0" applyFont="1" applyFill="1" applyBorder="1" applyAlignment="1">
      <alignment horizontal="center" vertical="center"/>
    </xf>
    <xf numFmtId="49" fontId="114" fillId="0" borderId="44" xfId="0" applyNumberFormat="1" applyFont="1" applyFill="1" applyBorder="1" applyAlignment="1">
      <alignment horizontal="center" vertical="center" wrapText="1"/>
    </xf>
    <xf numFmtId="49" fontId="114" fillId="0" borderId="115" xfId="0" applyNumberFormat="1" applyFont="1" applyFill="1" applyBorder="1" applyAlignment="1">
      <alignment horizontal="center" vertical="center" wrapText="1"/>
    </xf>
    <xf numFmtId="49" fontId="114" fillId="0" borderId="107" xfId="0" applyNumberFormat="1" applyFont="1" applyFill="1" applyBorder="1" applyAlignment="1">
      <alignment horizontal="center" vertical="center" wrapText="1"/>
    </xf>
    <xf numFmtId="49" fontId="114" fillId="0" borderId="107" xfId="0" applyNumberFormat="1" applyFont="1" applyFill="1" applyBorder="1" applyAlignment="1">
      <alignment horizontal="center" wrapText="1"/>
    </xf>
    <xf numFmtId="2" fontId="114" fillId="0" borderId="225" xfId="0" applyNumberFormat="1" applyFont="1" applyFill="1" applyBorder="1" applyAlignment="1">
      <alignment horizontal="center" vertical="center"/>
    </xf>
    <xf numFmtId="2" fontId="114" fillId="0" borderId="116" xfId="0" applyNumberFormat="1" applyFont="1" applyFill="1" applyBorder="1" applyAlignment="1">
      <alignment horizontal="center" vertical="center"/>
    </xf>
    <xf numFmtId="49" fontId="114" fillId="0" borderId="225" xfId="0" applyNumberFormat="1" applyFont="1" applyFill="1" applyBorder="1" applyAlignment="1">
      <alignment horizontal="left" vertical="center"/>
    </xf>
    <xf numFmtId="49" fontId="114" fillId="0" borderId="116" xfId="0" applyNumberFormat="1" applyFont="1" applyFill="1" applyBorder="1" applyAlignment="1">
      <alignment horizontal="left" vertical="center"/>
    </xf>
    <xf numFmtId="0" fontId="95" fillId="0" borderId="49" xfId="0" applyFont="1" applyFill="1" applyBorder="1" applyAlignment="1">
      <alignment horizontal="center"/>
    </xf>
    <xf numFmtId="0" fontId="94" fillId="0" borderId="143" xfId="0" applyFont="1" applyFill="1" applyBorder="1" applyAlignment="1">
      <alignment horizontal="center"/>
    </xf>
    <xf numFmtId="0" fontId="94" fillId="0" borderId="151" xfId="0" applyFont="1" applyFill="1" applyBorder="1" applyAlignment="1">
      <alignment horizontal="center"/>
    </xf>
    <xf numFmtId="0" fontId="94" fillId="0" borderId="152" xfId="0" applyFont="1" applyFill="1" applyBorder="1" applyAlignment="1">
      <alignment horizontal="center"/>
    </xf>
    <xf numFmtId="0" fontId="38" fillId="0" borderId="195" xfId="0" applyFont="1" applyFill="1" applyBorder="1" applyAlignment="1">
      <alignment horizontal="left"/>
    </xf>
    <xf numFmtId="0" fontId="95" fillId="0" borderId="183" xfId="0" applyFont="1" applyFill="1" applyBorder="1" applyAlignment="1">
      <alignment horizontal="left"/>
    </xf>
    <xf numFmtId="0" fontId="92" fillId="0" borderId="145" xfId="0" applyFont="1" applyFill="1" applyBorder="1" applyAlignment="1">
      <alignment horizontal="center" vertical="center"/>
    </xf>
    <xf numFmtId="0" fontId="92" fillId="0" borderId="49" xfId="0" applyFont="1" applyFill="1" applyBorder="1" applyAlignment="1">
      <alignment horizontal="center" vertical="center"/>
    </xf>
    <xf numFmtId="0" fontId="92" fillId="0" borderId="146" xfId="0" applyFont="1" applyFill="1" applyBorder="1" applyAlignment="1">
      <alignment horizontal="center" vertical="center"/>
    </xf>
    <xf numFmtId="0" fontId="104" fillId="0" borderId="186" xfId="0" applyFont="1" applyFill="1" applyBorder="1" applyAlignment="1">
      <alignment horizontal="center" wrapText="1"/>
    </xf>
    <xf numFmtId="0" fontId="104" fillId="0" borderId="187" xfId="0" applyFont="1" applyFill="1" applyBorder="1" applyAlignment="1">
      <alignment horizontal="center" wrapText="1"/>
    </xf>
    <xf numFmtId="0" fontId="104" fillId="0" borderId="188" xfId="0" applyFont="1" applyFill="1" applyBorder="1" applyAlignment="1">
      <alignment horizontal="center" wrapText="1"/>
    </xf>
    <xf numFmtId="0" fontId="104" fillId="0" borderId="110" xfId="0" applyFont="1" applyFill="1" applyBorder="1" applyAlignment="1">
      <alignment horizontal="center" wrapText="1"/>
    </xf>
    <xf numFmtId="0" fontId="106" fillId="0" borderId="174" xfId="0" applyFont="1" applyFill="1" applyBorder="1" applyAlignment="1">
      <alignment horizontal="center"/>
    </xf>
    <xf numFmtId="0" fontId="106" fillId="0" borderId="96" xfId="0" applyFont="1" applyFill="1" applyBorder="1" applyAlignment="1">
      <alignment horizontal="center"/>
    </xf>
    <xf numFmtId="0" fontId="106" fillId="0" borderId="176" xfId="0" applyFont="1" applyFill="1" applyBorder="1" applyAlignment="1">
      <alignment horizontal="center"/>
    </xf>
    <xf numFmtId="0" fontId="106" fillId="0" borderId="177" xfId="0" applyFont="1" applyFill="1" applyBorder="1" applyAlignment="1">
      <alignment horizontal="center"/>
    </xf>
    <xf numFmtId="0" fontId="38" fillId="0" borderId="172" xfId="0" applyFont="1" applyFill="1" applyBorder="1" applyAlignment="1">
      <alignment horizontal="center"/>
    </xf>
    <xf numFmtId="0" fontId="38" fillId="0" borderId="96" xfId="0" applyFont="1" applyFill="1" applyBorder="1" applyAlignment="1">
      <alignment horizontal="center"/>
    </xf>
    <xf numFmtId="166" fontId="114" fillId="0" borderId="191" xfId="1" applyFont="1" applyFill="1" applyBorder="1" applyAlignment="1">
      <alignment horizontal="left" vertical="top"/>
    </xf>
    <xf numFmtId="166" fontId="114" fillId="0" borderId="192" xfId="1" applyFont="1" applyFill="1" applyBorder="1" applyAlignment="1">
      <alignment horizontal="left" vertical="top"/>
    </xf>
    <xf numFmtId="166" fontId="38" fillId="0" borderId="93" xfId="1" applyFont="1" applyFill="1" applyBorder="1" applyAlignment="1">
      <alignment horizontal="left"/>
    </xf>
    <xf numFmtId="166" fontId="38" fillId="0" borderId="193" xfId="1" applyFont="1" applyFill="1" applyBorder="1" applyAlignment="1">
      <alignment horizontal="left"/>
    </xf>
    <xf numFmtId="0" fontId="114" fillId="0" borderId="93" xfId="0" applyFont="1" applyFill="1" applyBorder="1" applyAlignment="1">
      <alignment horizontal="left" vertical="top"/>
    </xf>
    <xf numFmtId="0" fontId="114" fillId="0" borderId="193" xfId="0" applyFont="1" applyFill="1" applyBorder="1" applyAlignment="1">
      <alignment horizontal="left" vertical="top"/>
    </xf>
    <xf numFmtId="0" fontId="38" fillId="0" borderId="177" xfId="0" applyFont="1" applyFill="1" applyBorder="1" applyAlignment="1">
      <alignment horizontal="center"/>
    </xf>
    <xf numFmtId="0" fontId="38" fillId="0" borderId="178" xfId="0" applyFont="1" applyFill="1" applyBorder="1" applyAlignment="1">
      <alignment horizontal="center"/>
    </xf>
    <xf numFmtId="0" fontId="123" fillId="0" borderId="117" xfId="0" applyFont="1" applyFill="1" applyBorder="1" applyAlignment="1">
      <alignment horizontal="left"/>
    </xf>
    <xf numFmtId="0" fontId="123" fillId="0" borderId="92" xfId="0" applyFont="1" applyFill="1" applyBorder="1" applyAlignment="1">
      <alignment horizontal="left"/>
    </xf>
    <xf numFmtId="0" fontId="123" fillId="0" borderId="169" xfId="0" applyFont="1" applyFill="1" applyBorder="1" applyAlignment="1">
      <alignment horizontal="left"/>
    </xf>
    <xf numFmtId="0" fontId="102" fillId="0" borderId="189" xfId="0" applyFont="1" applyFill="1" applyBorder="1" applyAlignment="1">
      <alignment horizontal="center" vertical="center"/>
    </xf>
    <xf numFmtId="0" fontId="102" fillId="0" borderId="49" xfId="0" applyFont="1" applyFill="1" applyBorder="1" applyAlignment="1">
      <alignment horizontal="center" vertical="center"/>
    </xf>
    <xf numFmtId="0" fontId="102" fillId="0" borderId="190" xfId="0" applyFont="1" applyFill="1" applyBorder="1" applyAlignment="1">
      <alignment horizontal="center" vertical="center"/>
    </xf>
    <xf numFmtId="1" fontId="127" fillId="0" borderId="186" xfId="0" applyNumberFormat="1" applyFont="1" applyBorder="1" applyAlignment="1">
      <alignment horizontal="center" wrapText="1"/>
    </xf>
    <xf numFmtId="1" fontId="127" fillId="0" borderId="195" xfId="0" applyNumberFormat="1" applyFont="1" applyBorder="1" applyAlignment="1">
      <alignment horizontal="center" wrapText="1"/>
    </xf>
    <xf numFmtId="1" fontId="127" fillId="0" borderId="187" xfId="0" applyNumberFormat="1" applyFont="1" applyBorder="1" applyAlignment="1">
      <alignment horizontal="center" wrapText="1"/>
    </xf>
    <xf numFmtId="1" fontId="127" fillId="0" borderId="188" xfId="0" applyNumberFormat="1" applyFont="1" applyBorder="1" applyAlignment="1">
      <alignment horizontal="center" wrapText="1"/>
    </xf>
    <xf numFmtId="1" fontId="127" fillId="0" borderId="109" xfId="0" applyNumberFormat="1" applyFont="1" applyBorder="1" applyAlignment="1">
      <alignment horizontal="center" wrapText="1"/>
    </xf>
    <xf numFmtId="1" fontId="127" fillId="0" borderId="110" xfId="0" applyNumberFormat="1" applyFont="1" applyBorder="1" applyAlignment="1">
      <alignment horizontal="center" wrapText="1"/>
    </xf>
    <xf numFmtId="166" fontId="116" fillId="0" borderId="172" xfId="1" applyFont="1" applyFill="1" applyBorder="1" applyAlignment="1">
      <alignment horizontal="center"/>
    </xf>
    <xf numFmtId="166" fontId="116" fillId="0" borderId="96" xfId="1" applyFont="1" applyFill="1" applyBorder="1" applyAlignment="1">
      <alignment horizontal="center"/>
    </xf>
    <xf numFmtId="175" fontId="118" fillId="0" borderId="191" xfId="0" applyNumberFormat="1" applyFont="1" applyFill="1" applyBorder="1" applyAlignment="1">
      <alignment horizontal="left" vertical="top"/>
    </xf>
    <xf numFmtId="175" fontId="118" fillId="0" borderId="192" xfId="0" applyNumberFormat="1" applyFont="1" applyFill="1" applyBorder="1" applyAlignment="1">
      <alignment horizontal="left" vertical="top"/>
    </xf>
    <xf numFmtId="175" fontId="113" fillId="0" borderId="93" xfId="0" applyNumberFormat="1" applyFont="1" applyFill="1" applyBorder="1" applyAlignment="1">
      <alignment horizontal="left"/>
    </xf>
    <xf numFmtId="175" fontId="113" fillId="0" borderId="193" xfId="0" applyNumberFormat="1" applyFont="1" applyFill="1" applyBorder="1" applyAlignment="1">
      <alignment horizontal="left"/>
    </xf>
    <xf numFmtId="1" fontId="98" fillId="0" borderId="174" xfId="0" applyNumberFormat="1" applyFont="1" applyBorder="1" applyAlignment="1">
      <alignment horizontal="center"/>
    </xf>
    <xf numFmtId="1" fontId="98" fillId="0" borderId="96" xfId="0" applyNumberFormat="1" applyFont="1" applyBorder="1" applyAlignment="1">
      <alignment horizontal="center"/>
    </xf>
    <xf numFmtId="1" fontId="98" fillId="0" borderId="176" xfId="0" applyNumberFormat="1" applyFont="1" applyBorder="1" applyAlignment="1">
      <alignment horizontal="center"/>
    </xf>
    <xf numFmtId="1" fontId="98" fillId="0" borderId="177" xfId="0" applyNumberFormat="1" applyFont="1" applyBorder="1" applyAlignment="1">
      <alignment horizontal="center"/>
    </xf>
    <xf numFmtId="1" fontId="108" fillId="0" borderId="117" xfId="0" applyNumberFormat="1" applyFont="1" applyBorder="1" applyAlignment="1">
      <alignment horizontal="left" vertical="top"/>
    </xf>
    <xf numFmtId="1" fontId="108" fillId="0" borderId="92" xfId="0" applyNumberFormat="1" applyFont="1" applyBorder="1" applyAlignment="1">
      <alignment horizontal="left" vertical="top"/>
    </xf>
    <xf numFmtId="1" fontId="108" fillId="0" borderId="169" xfId="0" applyNumberFormat="1" applyFont="1" applyBorder="1" applyAlignment="1">
      <alignment horizontal="left" vertical="top"/>
    </xf>
    <xf numFmtId="1" fontId="118" fillId="0" borderId="93" xfId="0" applyNumberFormat="1" applyFont="1" applyBorder="1" applyAlignment="1">
      <alignment horizontal="left" vertical="top"/>
    </xf>
    <xf numFmtId="1" fontId="118" fillId="0" borderId="193" xfId="0" applyNumberFormat="1" applyFont="1" applyBorder="1" applyAlignment="1">
      <alignment horizontal="left" vertical="top"/>
    </xf>
    <xf numFmtId="1" fontId="116" fillId="0" borderId="189" xfId="0" applyNumberFormat="1" applyFont="1" applyBorder="1" applyAlignment="1">
      <alignment horizontal="center" vertical="center"/>
    </xf>
    <xf numFmtId="1" fontId="116" fillId="0" borderId="49" xfId="0" applyNumberFormat="1" applyFont="1" applyBorder="1" applyAlignment="1">
      <alignment horizontal="center" vertical="center"/>
    </xf>
    <xf numFmtId="1" fontId="116" fillId="0" borderId="190" xfId="0" applyNumberFormat="1" applyFont="1" applyBorder="1" applyAlignment="1">
      <alignment horizontal="center" vertical="center"/>
    </xf>
    <xf numFmtId="1" fontId="97" fillId="0" borderId="177" xfId="0" applyNumberFormat="1" applyFont="1" applyBorder="1" applyAlignment="1">
      <alignment horizontal="center"/>
    </xf>
    <xf numFmtId="1" fontId="97" fillId="0" borderId="178" xfId="0" applyNumberFormat="1" applyFont="1" applyBorder="1" applyAlignment="1">
      <alignment horizontal="center"/>
    </xf>
    <xf numFmtId="175" fontId="99" fillId="0" borderId="59" xfId="0" applyNumberFormat="1" applyFont="1" applyBorder="1" applyAlignment="1">
      <alignment horizontal="justify" vertical="center"/>
    </xf>
    <xf numFmtId="175" fontId="99" fillId="0" borderId="65" xfId="0" applyNumberFormat="1" applyFont="1" applyBorder="1" applyAlignment="1">
      <alignment horizontal="justify" vertical="center"/>
    </xf>
    <xf numFmtId="0" fontId="99" fillId="0" borderId="96" xfId="0" applyFont="1" applyBorder="1" applyAlignment="1">
      <alignment horizontal="center" vertical="center"/>
    </xf>
    <xf numFmtId="1" fontId="98" fillId="0" borderId="195" xfId="0" applyNumberFormat="1" applyFont="1" applyBorder="1" applyAlignment="1">
      <alignment horizontal="left"/>
    </xf>
    <xf numFmtId="0" fontId="98" fillId="0" borderId="0" xfId="0" applyFont="1" applyBorder="1" applyAlignment="1">
      <alignment horizontal="left"/>
    </xf>
    <xf numFmtId="0" fontId="99" fillId="0" borderId="58" xfId="0" applyFont="1" applyBorder="1" applyAlignment="1">
      <alignment horizontal="center" vertical="center"/>
    </xf>
    <xf numFmtId="0" fontId="99" fillId="0" borderId="64" xfId="0" applyFont="1" applyBorder="1" applyAlignment="1">
      <alignment horizontal="center" vertical="center"/>
    </xf>
    <xf numFmtId="0" fontId="99" fillId="0" borderId="59" xfId="0" applyFont="1" applyBorder="1" applyAlignment="1">
      <alignment horizontal="center" vertical="center"/>
    </xf>
    <xf numFmtId="0" fontId="98" fillId="0" borderId="65" xfId="0" applyFont="1" applyBorder="1" applyAlignment="1">
      <alignment horizontal="center" vertical="center"/>
    </xf>
    <xf numFmtId="0" fontId="99" fillId="0" borderId="59" xfId="0" applyNumberFormat="1" applyFont="1" applyFill="1" applyBorder="1" applyAlignment="1">
      <alignment horizontal="center" vertical="center"/>
    </xf>
    <xf numFmtId="0" fontId="99" fillId="0" borderId="65" xfId="0" applyNumberFormat="1" applyFont="1" applyFill="1" applyBorder="1" applyAlignment="1">
      <alignment horizontal="center" vertical="center"/>
    </xf>
    <xf numFmtId="166" fontId="99" fillId="0" borderId="54" xfId="1" applyFont="1" applyFill="1" applyBorder="1" applyAlignment="1">
      <alignment horizontal="center" vertical="center" wrapText="1"/>
    </xf>
    <xf numFmtId="166" fontId="99" fillId="0" borderId="115" xfId="1" applyFont="1" applyFill="1" applyBorder="1" applyAlignment="1">
      <alignment horizontal="center" vertical="center" wrapText="1"/>
    </xf>
    <xf numFmtId="0" fontId="99" fillId="0" borderId="54" xfId="0" applyFont="1" applyBorder="1" applyAlignment="1">
      <alignment horizontal="center" vertical="center" wrapText="1"/>
    </xf>
    <xf numFmtId="0" fontId="99" fillId="0" borderId="115" xfId="0" applyFont="1" applyBorder="1" applyAlignment="1">
      <alignment horizontal="center" vertical="center" wrapText="1"/>
    </xf>
    <xf numFmtId="0" fontId="95" fillId="0" borderId="136" xfId="0" applyFont="1" applyFill="1" applyBorder="1" applyAlignment="1">
      <alignment horizontal="center"/>
    </xf>
    <xf numFmtId="0" fontId="99" fillId="0" borderId="50" xfId="0" applyFont="1" applyFill="1" applyBorder="1" applyAlignment="1">
      <alignment horizontal="center"/>
    </xf>
    <xf numFmtId="0" fontId="99" fillId="0" borderId="51" xfId="0" applyFont="1" applyFill="1" applyBorder="1" applyAlignment="1">
      <alignment horizontal="center"/>
    </xf>
    <xf numFmtId="0" fontId="38" fillId="0" borderId="135" xfId="0" applyFont="1" applyFill="1" applyBorder="1" applyAlignment="1">
      <alignment horizontal="center"/>
    </xf>
    <xf numFmtId="0" fontId="38" fillId="0" borderId="136" xfId="0" applyFont="1" applyFill="1" applyBorder="1" applyAlignment="1">
      <alignment horizontal="center"/>
    </xf>
    <xf numFmtId="0" fontId="38" fillId="0" borderId="156" xfId="0" applyFont="1" applyFill="1" applyBorder="1" applyAlignment="1">
      <alignment horizontal="center"/>
    </xf>
    <xf numFmtId="0" fontId="99" fillId="0" borderId="158" xfId="0" applyFont="1" applyFill="1" applyBorder="1" applyAlignment="1">
      <alignment horizontal="center"/>
    </xf>
    <xf numFmtId="0" fontId="99" fillId="0" borderId="151" xfId="0" applyFont="1" applyFill="1" applyBorder="1" applyAlignment="1">
      <alignment horizontal="center"/>
    </xf>
    <xf numFmtId="0" fontId="40" fillId="0" borderId="68" xfId="0" applyNumberFormat="1" applyFont="1" applyFill="1" applyBorder="1" applyAlignment="1">
      <alignment horizontal="right" vertical="center" wrapText="1"/>
    </xf>
    <xf numFmtId="0" fontId="95" fillId="0" borderId="58" xfId="0" applyFont="1" applyFill="1" applyBorder="1" applyAlignment="1">
      <alignment horizontal="center" vertical="center" wrapText="1"/>
    </xf>
    <xf numFmtId="0" fontId="95" fillId="0" borderId="61" xfId="0" applyFont="1" applyFill="1" applyBorder="1" applyAlignment="1">
      <alignment horizontal="center" vertical="center" wrapText="1"/>
    </xf>
    <xf numFmtId="0" fontId="95" fillId="0" borderId="64" xfId="0" applyFont="1" applyFill="1" applyBorder="1" applyAlignment="1">
      <alignment horizontal="center" vertical="center" wrapText="1"/>
    </xf>
    <xf numFmtId="0" fontId="95" fillId="0" borderId="59" xfId="0" applyFont="1" applyFill="1" applyBorder="1" applyAlignment="1">
      <alignment horizontal="center" vertical="center" wrapText="1"/>
    </xf>
    <xf numFmtId="0" fontId="95" fillId="0" borderId="96" xfId="0" applyFont="1" applyFill="1" applyBorder="1" applyAlignment="1">
      <alignment horizontal="center" vertical="center" wrapText="1"/>
    </xf>
    <xf numFmtId="0" fontId="95" fillId="0" borderId="65" xfId="0" applyFont="1" applyFill="1" applyBorder="1" applyAlignment="1">
      <alignment horizontal="center" vertical="center" wrapText="1"/>
    </xf>
    <xf numFmtId="166" fontId="95" fillId="0" borderId="59" xfId="1" applyFont="1" applyFill="1" applyBorder="1" applyAlignment="1">
      <alignment horizontal="center" vertical="center" wrapText="1"/>
    </xf>
    <xf numFmtId="166" fontId="95" fillId="0" borderId="96" xfId="1" applyFont="1" applyFill="1" applyBorder="1" applyAlignment="1">
      <alignment horizontal="center" vertical="center" wrapText="1"/>
    </xf>
    <xf numFmtId="166" fontId="95" fillId="0" borderId="65" xfId="1" applyFont="1" applyFill="1" applyBorder="1" applyAlignment="1">
      <alignment horizontal="center" vertical="center" wrapText="1"/>
    </xf>
    <xf numFmtId="0" fontId="95" fillId="0" borderId="54" xfId="0" applyFont="1" applyFill="1" applyBorder="1" applyAlignment="1">
      <alignment horizontal="center" vertical="center" wrapText="1"/>
    </xf>
    <xf numFmtId="0" fontId="95" fillId="0" borderId="44" xfId="0" applyFont="1" applyFill="1" applyBorder="1" applyAlignment="1">
      <alignment horizontal="center" vertical="center" wrapText="1"/>
    </xf>
    <xf numFmtId="0" fontId="95" fillId="0" borderId="115" xfId="0" applyFont="1" applyFill="1" applyBorder="1" applyAlignment="1">
      <alignment horizontal="center" vertical="center" wrapText="1"/>
    </xf>
    <xf numFmtId="0" fontId="95" fillId="0" borderId="59" xfId="0" applyFont="1" applyFill="1" applyBorder="1" applyAlignment="1">
      <alignment horizontal="center" vertical="center"/>
    </xf>
    <xf numFmtId="0" fontId="95" fillId="0" borderId="60" xfId="0" applyFont="1" applyFill="1" applyBorder="1" applyAlignment="1">
      <alignment horizontal="center" vertical="center"/>
    </xf>
    <xf numFmtId="0" fontId="95" fillId="0" borderId="102" xfId="0" applyFont="1" applyFill="1" applyBorder="1" applyAlignment="1">
      <alignment horizontal="center" vertical="center"/>
    </xf>
    <xf numFmtId="0" fontId="95" fillId="0" borderId="66" xfId="0" applyFont="1" applyFill="1" applyBorder="1" applyAlignment="1">
      <alignment horizontal="center" vertical="center"/>
    </xf>
    <xf numFmtId="0" fontId="95" fillId="0" borderId="96" xfId="0" applyFont="1" applyFill="1" applyBorder="1" applyAlignment="1">
      <alignment horizontal="center" vertical="center"/>
    </xf>
    <xf numFmtId="0" fontId="95" fillId="0" borderId="186" xfId="0" applyFont="1" applyFill="1" applyBorder="1" applyAlignment="1">
      <alignment horizontal="center" vertical="center" wrapText="1"/>
    </xf>
    <xf numFmtId="0" fontId="95" fillId="0" borderId="195" xfId="0" applyFont="1" applyFill="1" applyBorder="1" applyAlignment="1">
      <alignment horizontal="center" vertical="center" wrapText="1"/>
    </xf>
    <xf numFmtId="0" fontId="95" fillId="0" borderId="187" xfId="0" applyFont="1" applyFill="1" applyBorder="1" applyAlignment="1">
      <alignment horizontal="center" vertical="center" wrapText="1"/>
    </xf>
    <xf numFmtId="0" fontId="95" fillId="0" borderId="188" xfId="0" applyFont="1" applyFill="1" applyBorder="1" applyAlignment="1">
      <alignment horizontal="center" vertical="center" wrapText="1"/>
    </xf>
    <xf numFmtId="0" fontId="95" fillId="0" borderId="109" xfId="0" applyFont="1" applyFill="1" applyBorder="1" applyAlignment="1">
      <alignment horizontal="center" vertical="center" wrapText="1"/>
    </xf>
    <xf numFmtId="0" fontId="95" fillId="0" borderId="110" xfId="0" applyFont="1" applyFill="1" applyBorder="1" applyAlignment="1">
      <alignment horizontal="center" vertical="center" wrapText="1"/>
    </xf>
    <xf numFmtId="0" fontId="92" fillId="0" borderId="172" xfId="0" applyFont="1" applyFill="1" applyBorder="1" applyAlignment="1">
      <alignment horizontal="center"/>
    </xf>
    <xf numFmtId="0" fontId="92" fillId="0" borderId="96" xfId="0" applyFont="1" applyFill="1" applyBorder="1" applyAlignment="1">
      <alignment horizontal="center"/>
    </xf>
    <xf numFmtId="0" fontId="114" fillId="0" borderId="194" xfId="0" applyFont="1" applyFill="1" applyBorder="1" applyAlignment="1">
      <alignment horizontal="left" vertical="top"/>
    </xf>
    <xf numFmtId="0" fontId="114" fillId="0" borderId="196" xfId="0" applyFont="1" applyFill="1" applyBorder="1" applyAlignment="1">
      <alignment horizontal="left" vertical="top"/>
    </xf>
    <xf numFmtId="0" fontId="95" fillId="0" borderId="93" xfId="0" applyFont="1" applyFill="1" applyBorder="1" applyAlignment="1">
      <alignment horizontal="left"/>
    </xf>
    <xf numFmtId="0" fontId="95" fillId="0" borderId="95" xfId="0" applyFont="1" applyFill="1" applyBorder="1" applyAlignment="1">
      <alignment horizontal="left"/>
    </xf>
    <xf numFmtId="0" fontId="38" fillId="0" borderId="174" xfId="0" applyFont="1" applyFill="1" applyBorder="1" applyAlignment="1">
      <alignment horizontal="center"/>
    </xf>
    <xf numFmtId="0" fontId="38" fillId="0" borderId="176" xfId="0" applyFont="1" applyFill="1" applyBorder="1" applyAlignment="1">
      <alignment horizontal="center"/>
    </xf>
    <xf numFmtId="0" fontId="38" fillId="0" borderId="97" xfId="0" applyFont="1" applyFill="1" applyBorder="1" applyAlignment="1">
      <alignment horizontal="center"/>
    </xf>
    <xf numFmtId="0" fontId="114" fillId="0" borderId="117" xfId="0" applyFont="1" applyFill="1" applyBorder="1" applyAlignment="1">
      <alignment horizontal="left" vertical="top"/>
    </xf>
    <xf numFmtId="0" fontId="114" fillId="0" borderId="197" xfId="0" applyFont="1" applyFill="1" applyBorder="1" applyAlignment="1">
      <alignment horizontal="left" vertical="top"/>
    </xf>
    <xf numFmtId="0" fontId="38" fillId="0" borderId="189" xfId="0" applyFont="1" applyFill="1" applyBorder="1" applyAlignment="1">
      <alignment horizontal="left" vertical="center"/>
    </xf>
    <xf numFmtId="0" fontId="38" fillId="0" borderId="201" xfId="0" applyFont="1" applyFill="1" applyBorder="1" applyAlignment="1">
      <alignment horizontal="left" vertical="center"/>
    </xf>
    <xf numFmtId="0" fontId="104" fillId="0" borderId="96" xfId="0" applyFont="1" applyFill="1" applyBorder="1" applyAlignment="1">
      <alignment horizontal="center" wrapText="1"/>
    </xf>
    <xf numFmtId="0" fontId="92" fillId="0" borderId="97" xfId="0" applyFont="1" applyFill="1" applyBorder="1" applyAlignment="1">
      <alignment horizontal="center"/>
    </xf>
    <xf numFmtId="0" fontId="117" fillId="0" borderId="96" xfId="0" applyFont="1" applyFill="1" applyBorder="1" applyAlignment="1">
      <alignment horizontal="left" vertical="top"/>
    </xf>
    <xf numFmtId="0" fontId="115" fillId="0" borderId="93" xfId="0" applyFont="1" applyFill="1" applyBorder="1" applyAlignment="1">
      <alignment horizontal="left"/>
    </xf>
    <xf numFmtId="0" fontId="92" fillId="0" borderId="94" xfId="0" applyFont="1" applyFill="1" applyBorder="1" applyAlignment="1">
      <alignment horizontal="left"/>
    </xf>
    <xf numFmtId="0" fontId="92" fillId="0" borderId="95" xfId="0" applyFont="1" applyFill="1" applyBorder="1" applyAlignment="1">
      <alignment horizontal="left"/>
    </xf>
    <xf numFmtId="0" fontId="102" fillId="0" borderId="96" xfId="0" applyFont="1" applyFill="1" applyBorder="1" applyAlignment="1">
      <alignment horizontal="center"/>
    </xf>
    <xf numFmtId="0" fontId="102" fillId="0" borderId="93" xfId="0" applyFont="1" applyFill="1" applyBorder="1" applyAlignment="1">
      <alignment horizontal="center"/>
    </xf>
    <xf numFmtId="0" fontId="102" fillId="0" borderId="117" xfId="0" applyFont="1" applyFill="1" applyBorder="1" applyAlignment="1">
      <alignment horizontal="center" vertical="center"/>
    </xf>
    <xf numFmtId="0" fontId="102" fillId="0" borderId="92" xfId="0" applyFont="1" applyFill="1" applyBorder="1" applyAlignment="1">
      <alignment horizontal="center" vertical="center"/>
    </xf>
    <xf numFmtId="0" fontId="102" fillId="0" borderId="169" xfId="0" applyFont="1" applyFill="1" applyBorder="1" applyAlignment="1">
      <alignment horizontal="center" vertical="center"/>
    </xf>
    <xf numFmtId="0" fontId="40" fillId="0" borderId="95" xfId="0" applyFont="1" applyFill="1" applyBorder="1" applyAlignment="1">
      <alignment horizontal="left" vertical="top"/>
    </xf>
    <xf numFmtId="0" fontId="40" fillId="0" borderId="96" xfId="0" applyFont="1" applyFill="1" applyBorder="1" applyAlignment="1">
      <alignment horizontal="left" vertical="top"/>
    </xf>
    <xf numFmtId="0" fontId="102" fillId="0" borderId="108" xfId="0" applyFont="1" applyFill="1" applyBorder="1" applyAlignment="1">
      <alignment horizontal="center" vertical="center"/>
    </xf>
    <xf numFmtId="0" fontId="102" fillId="0" borderId="109" xfId="0" applyFont="1" applyFill="1" applyBorder="1" applyAlignment="1">
      <alignment horizontal="center" vertical="center"/>
    </xf>
    <xf numFmtId="0" fontId="102" fillId="0" borderId="110" xfId="0" applyFont="1" applyFill="1" applyBorder="1" applyAlignment="1">
      <alignment horizontal="center" vertical="center"/>
    </xf>
    <xf numFmtId="0" fontId="38" fillId="0" borderId="95" xfId="0" applyFont="1" applyFill="1" applyBorder="1" applyAlignment="1">
      <alignment horizontal="center"/>
    </xf>
    <xf numFmtId="0" fontId="135" fillId="77" borderId="58" xfId="0" applyFont="1" applyFill="1" applyBorder="1" applyAlignment="1">
      <alignment horizontal="center" vertical="center" wrapText="1"/>
    </xf>
    <xf numFmtId="0" fontId="135" fillId="77" borderId="59" xfId="0" applyFont="1" applyFill="1" applyBorder="1" applyAlignment="1">
      <alignment horizontal="center" vertical="center" wrapText="1"/>
    </xf>
    <xf numFmtId="0" fontId="135" fillId="77" borderId="60" xfId="0" applyFont="1" applyFill="1" applyBorder="1" applyAlignment="1">
      <alignment horizontal="center" vertical="center" wrapText="1"/>
    </xf>
    <xf numFmtId="166" fontId="109" fillId="77" borderId="165" xfId="8053" applyFont="1" applyFill="1" applyBorder="1" applyAlignment="1">
      <alignment horizontal="center"/>
    </xf>
    <xf numFmtId="166" fontId="109" fillId="77" borderId="90" xfId="8053" applyFont="1" applyFill="1" applyBorder="1" applyAlignment="1">
      <alignment horizontal="center"/>
    </xf>
    <xf numFmtId="0" fontId="102" fillId="0" borderId="0" xfId="0" applyFont="1" applyFill="1" applyBorder="1" applyAlignment="1">
      <alignment horizontal="left"/>
    </xf>
    <xf numFmtId="0" fontId="97" fillId="0" borderId="135" xfId="0" applyFont="1" applyBorder="1" applyAlignment="1">
      <alignment horizontal="center"/>
    </xf>
    <xf numFmtId="0" fontId="97" fillId="0" borderId="159" xfId="0" applyFont="1" applyBorder="1" applyAlignment="1">
      <alignment horizontal="center"/>
    </xf>
    <xf numFmtId="0" fontId="97" fillId="0" borderId="160" xfId="0" applyFont="1" applyBorder="1" applyAlignment="1">
      <alignment horizontal="center" wrapText="1"/>
    </xf>
    <xf numFmtId="0" fontId="97" fillId="0" borderId="156" xfId="0" applyFont="1" applyBorder="1" applyAlignment="1">
      <alignment horizontal="center" wrapText="1"/>
    </xf>
    <xf numFmtId="0" fontId="135" fillId="0" borderId="58" xfId="0" applyFont="1" applyBorder="1" applyAlignment="1">
      <alignment horizontal="center" vertical="center"/>
    </xf>
    <xf numFmtId="0" fontId="135" fillId="0" borderId="64" xfId="0" applyFont="1" applyBorder="1" applyAlignment="1">
      <alignment horizontal="center" vertical="center"/>
    </xf>
    <xf numFmtId="0" fontId="135" fillId="0" borderId="59" xfId="0" applyFont="1" applyBorder="1" applyAlignment="1">
      <alignment horizontal="center" vertical="center" wrapText="1"/>
    </xf>
    <xf numFmtId="0" fontId="135" fillId="0" borderId="65" xfId="0" applyFont="1" applyBorder="1" applyAlignment="1">
      <alignment horizontal="center" vertical="center" wrapText="1"/>
    </xf>
    <xf numFmtId="0" fontId="135" fillId="0" borderId="59" xfId="0" applyFont="1" applyBorder="1" applyAlignment="1">
      <alignment horizontal="center" vertical="center"/>
    </xf>
    <xf numFmtId="166" fontId="109" fillId="77" borderId="166" xfId="8053" applyFont="1" applyFill="1" applyBorder="1" applyAlignment="1">
      <alignment horizontal="center" vertical="center"/>
    </xf>
    <xf numFmtId="166" fontId="109" fillId="77" borderId="167" xfId="8053" applyFont="1" applyFill="1" applyBorder="1" applyAlignment="1">
      <alignment horizontal="center" vertical="center"/>
    </xf>
    <xf numFmtId="0" fontId="135" fillId="0" borderId="54" xfId="0" applyFont="1" applyBorder="1" applyAlignment="1">
      <alignment horizontal="center" vertical="center" textRotation="90" wrapText="1"/>
    </xf>
    <xf numFmtId="0" fontId="135" fillId="0" borderId="219" xfId="0" applyFont="1" applyBorder="1" applyAlignment="1">
      <alignment horizontal="center" vertical="center" textRotation="90" wrapText="1"/>
    </xf>
    <xf numFmtId="0" fontId="135" fillId="0" borderId="56" xfId="0" applyFont="1" applyBorder="1" applyAlignment="1">
      <alignment horizontal="center" vertical="center" textRotation="90" wrapText="1"/>
    </xf>
    <xf numFmtId="0" fontId="135" fillId="0" borderId="220" xfId="0" applyFont="1" applyBorder="1" applyAlignment="1">
      <alignment horizontal="center" vertical="center" textRotation="90" wrapText="1"/>
    </xf>
    <xf numFmtId="0" fontId="40" fillId="0" borderId="96" xfId="14927" applyFont="1" applyFill="1" applyBorder="1" applyAlignment="1">
      <alignment horizontal="left" vertical="top"/>
    </xf>
    <xf numFmtId="0" fontId="38" fillId="0" borderId="93" xfId="14927" applyFont="1" applyFill="1" applyBorder="1" applyAlignment="1">
      <alignment horizontal="center" vertical="center"/>
    </xf>
    <xf numFmtId="0" fontId="38" fillId="0" borderId="94" xfId="14927" applyFont="1" applyFill="1" applyBorder="1" applyAlignment="1">
      <alignment horizontal="center" vertical="center"/>
    </xf>
    <xf numFmtId="0" fontId="38" fillId="0" borderId="95" xfId="14927" applyFont="1" applyFill="1" applyBorder="1" applyAlignment="1">
      <alignment horizontal="center" vertical="center"/>
    </xf>
    <xf numFmtId="0" fontId="104" fillId="0" borderId="186" xfId="14927" applyFont="1" applyFill="1" applyBorder="1" applyAlignment="1">
      <alignment horizontal="center" wrapText="1"/>
    </xf>
    <xf numFmtId="0" fontId="104" fillId="0" borderId="195" xfId="14927" applyFont="1" applyFill="1" applyBorder="1" applyAlignment="1">
      <alignment horizontal="center" wrapText="1"/>
    </xf>
    <xf numFmtId="0" fontId="104" fillId="0" borderId="187" xfId="14927" applyFont="1" applyFill="1" applyBorder="1" applyAlignment="1">
      <alignment horizontal="center" wrapText="1"/>
    </xf>
    <xf numFmtId="0" fontId="104" fillId="0" borderId="188" xfId="14927" applyFont="1" applyFill="1" applyBorder="1" applyAlignment="1">
      <alignment horizontal="center" wrapText="1"/>
    </xf>
    <xf numFmtId="0" fontId="104" fillId="0" borderId="109" xfId="14927" applyFont="1" applyFill="1" applyBorder="1" applyAlignment="1">
      <alignment horizontal="center" wrapText="1"/>
    </xf>
    <xf numFmtId="0" fontId="104" fillId="0" borderId="110" xfId="14927" applyFont="1" applyFill="1" applyBorder="1" applyAlignment="1">
      <alignment horizontal="center" wrapText="1"/>
    </xf>
    <xf numFmtId="0" fontId="38" fillId="0" borderId="174" xfId="14927" applyFont="1" applyFill="1" applyBorder="1" applyAlignment="1">
      <alignment horizontal="center"/>
    </xf>
    <xf numFmtId="0" fontId="38" fillId="0" borderId="96" xfId="14927" applyFont="1" applyFill="1" applyBorder="1" applyAlignment="1">
      <alignment horizontal="center"/>
    </xf>
    <xf numFmtId="0" fontId="38" fillId="0" borderId="176" xfId="14927" applyFont="1" applyFill="1" applyBorder="1" applyAlignment="1">
      <alignment horizontal="center"/>
    </xf>
    <xf numFmtId="0" fontId="38" fillId="0" borderId="177" xfId="14927" applyFont="1" applyFill="1" applyBorder="1" applyAlignment="1">
      <alignment horizontal="center"/>
    </xf>
    <xf numFmtId="0" fontId="92" fillId="0" borderId="194" xfId="14927" applyFont="1" applyFill="1" applyBorder="1" applyAlignment="1">
      <alignment horizontal="center" vertical="center"/>
    </xf>
    <xf numFmtId="0" fontId="92" fillId="0" borderId="195" xfId="14927" applyFont="1" applyFill="1" applyBorder="1" applyAlignment="1">
      <alignment horizontal="center" vertical="center"/>
    </xf>
    <xf numFmtId="0" fontId="92" fillId="0" borderId="187" xfId="14927" applyFont="1" applyFill="1" applyBorder="1" applyAlignment="1">
      <alignment horizontal="center" vertical="center"/>
    </xf>
    <xf numFmtId="0" fontId="92" fillId="0" borderId="108" xfId="14927" applyFont="1" applyFill="1" applyBorder="1" applyAlignment="1">
      <alignment horizontal="center" vertical="center"/>
    </xf>
    <xf numFmtId="0" fontId="92" fillId="0" borderId="109" xfId="14927" applyFont="1" applyFill="1" applyBorder="1" applyAlignment="1">
      <alignment horizontal="center" vertical="center"/>
    </xf>
    <xf numFmtId="0" fontId="92" fillId="0" borderId="110" xfId="14927" applyFont="1" applyFill="1" applyBorder="1" applyAlignment="1">
      <alignment horizontal="center" vertical="center"/>
    </xf>
    <xf numFmtId="0" fontId="38" fillId="0" borderId="96" xfId="14927" applyFont="1" applyFill="1" applyBorder="1" applyAlignment="1">
      <alignment horizontal="left"/>
    </xf>
    <xf numFmtId="0" fontId="104" fillId="0" borderId="117" xfId="14927" applyFont="1" applyFill="1" applyBorder="1" applyAlignment="1">
      <alignment horizontal="center" vertical="center"/>
    </xf>
    <xf numFmtId="0" fontId="104" fillId="0" borderId="92" xfId="14927" applyFont="1" applyFill="1" applyBorder="1" applyAlignment="1">
      <alignment horizontal="center" vertical="center"/>
    </xf>
    <xf numFmtId="0" fontId="104" fillId="0" borderId="169" xfId="14927" applyFont="1" applyFill="1" applyBorder="1" applyAlignment="1">
      <alignment horizontal="center" vertical="center"/>
    </xf>
    <xf numFmtId="0" fontId="104" fillId="0" borderId="189" xfId="14927" applyFont="1" applyFill="1" applyBorder="1" applyAlignment="1">
      <alignment horizontal="center" vertical="center"/>
    </xf>
    <xf numFmtId="0" fontId="104" fillId="0" borderId="49" xfId="14927" applyFont="1" applyFill="1" applyBorder="1" applyAlignment="1">
      <alignment horizontal="center" vertical="center"/>
    </xf>
    <xf numFmtId="0" fontId="104" fillId="0" borderId="190" xfId="14927" applyFont="1" applyFill="1" applyBorder="1" applyAlignment="1">
      <alignment horizontal="center" vertical="center"/>
    </xf>
    <xf numFmtId="0" fontId="92" fillId="0" borderId="113" xfId="14927" applyFont="1" applyFill="1" applyBorder="1" applyAlignment="1">
      <alignment horizontal="center" vertical="center" wrapText="1"/>
    </xf>
    <xf numFmtId="0" fontId="92" fillId="0" borderId="155" xfId="14927" applyFont="1" applyFill="1" applyBorder="1" applyAlignment="1">
      <alignment horizontal="center" vertical="center" wrapText="1"/>
    </xf>
    <xf numFmtId="0" fontId="92" fillId="0" borderId="202" xfId="14927" applyFont="1" applyFill="1" applyBorder="1" applyAlignment="1">
      <alignment horizontal="left" vertical="center" wrapText="1"/>
    </xf>
    <xf numFmtId="0" fontId="92" fillId="0" borderId="203" xfId="14927" applyFont="1" applyFill="1" applyBorder="1" applyAlignment="1">
      <alignment horizontal="left" vertical="center" wrapText="1"/>
    </xf>
    <xf numFmtId="0" fontId="92" fillId="0" borderId="199" xfId="14927" applyFont="1" applyFill="1" applyBorder="1" applyAlignment="1">
      <alignment horizontal="left" vertical="center" wrapText="1"/>
    </xf>
    <xf numFmtId="0" fontId="92" fillId="0" borderId="185" xfId="14927" applyFont="1" applyFill="1" applyBorder="1" applyAlignment="1">
      <alignment horizontal="left" vertical="center" wrapText="1"/>
    </xf>
    <xf numFmtId="0" fontId="92" fillId="0" borderId="61" xfId="14927" applyFont="1" applyFill="1" applyBorder="1" applyAlignment="1">
      <alignment horizontal="center" vertical="center" wrapText="1"/>
    </xf>
    <xf numFmtId="0" fontId="92" fillId="0" borderId="170" xfId="14927" applyFont="1" applyFill="1" applyBorder="1" applyAlignment="1">
      <alignment horizontal="center" wrapText="1"/>
    </xf>
    <xf numFmtId="0" fontId="92" fillId="0" borderId="82" xfId="14927" applyFont="1" applyFill="1" applyBorder="1" applyAlignment="1">
      <alignment horizontal="center" vertical="center" wrapText="1"/>
    </xf>
    <xf numFmtId="0" fontId="92" fillId="0" borderId="83" xfId="14927" applyFont="1" applyFill="1" applyBorder="1" applyAlignment="1">
      <alignment horizontal="center" vertical="center" wrapText="1"/>
    </xf>
    <xf numFmtId="0" fontId="92" fillId="0" borderId="96" xfId="14927" applyFont="1" applyFill="1" applyBorder="1" applyAlignment="1">
      <alignment horizontal="center" vertical="center" wrapText="1"/>
    </xf>
    <xf numFmtId="0" fontId="92" fillId="0" borderId="97" xfId="14927" applyFont="1" applyFill="1" applyBorder="1" applyAlignment="1">
      <alignment horizontal="center" wrapText="1"/>
    </xf>
    <xf numFmtId="0" fontId="92" fillId="0" borderId="96" xfId="0" applyFont="1" applyFill="1" applyBorder="1" applyAlignment="1">
      <alignment horizontal="center" vertical="center"/>
    </xf>
    <xf numFmtId="0" fontId="92" fillId="0" borderId="96" xfId="0" applyFont="1" applyFill="1" applyBorder="1" applyAlignment="1">
      <alignment horizontal="center" vertical="center" wrapText="1"/>
    </xf>
    <xf numFmtId="0" fontId="92" fillId="0" borderId="97" xfId="0" applyFont="1" applyFill="1" applyBorder="1" applyAlignment="1">
      <alignment horizontal="center" vertical="center" wrapText="1"/>
    </xf>
    <xf numFmtId="0" fontId="92" fillId="0" borderId="44" xfId="0" applyFont="1" applyFill="1" applyBorder="1" applyAlignment="1">
      <alignment horizontal="center" vertical="center" wrapText="1"/>
    </xf>
    <xf numFmtId="0" fontId="38" fillId="0" borderId="186" xfId="14927" applyFont="1" applyFill="1" applyBorder="1" applyAlignment="1">
      <alignment horizontal="center" wrapText="1"/>
    </xf>
    <xf numFmtId="0" fontId="38" fillId="0" borderId="195" xfId="14927" applyFont="1" applyFill="1" applyBorder="1" applyAlignment="1">
      <alignment horizontal="center" wrapText="1"/>
    </xf>
    <xf numFmtId="0" fontId="38" fillId="0" borderId="187" xfId="14927" applyFont="1" applyFill="1" applyBorder="1" applyAlignment="1">
      <alignment horizontal="center" wrapText="1"/>
    </xf>
    <xf numFmtId="0" fontId="38" fillId="0" borderId="188" xfId="14927" applyFont="1" applyFill="1" applyBorder="1" applyAlignment="1">
      <alignment horizontal="center" wrapText="1"/>
    </xf>
    <xf numFmtId="0" fontId="38" fillId="0" borderId="109" xfId="14927" applyFont="1" applyFill="1" applyBorder="1" applyAlignment="1">
      <alignment horizontal="center" wrapText="1"/>
    </xf>
    <xf numFmtId="0" fontId="38" fillId="0" borderId="110" xfId="14927" applyFont="1" applyFill="1" applyBorder="1" applyAlignment="1">
      <alignment horizontal="center" wrapText="1"/>
    </xf>
    <xf numFmtId="0" fontId="92" fillId="0" borderId="172" xfId="14927" applyFont="1" applyFill="1" applyBorder="1" applyAlignment="1">
      <alignment horizontal="center"/>
    </xf>
    <xf numFmtId="0" fontId="92" fillId="0" borderId="96" xfId="14927" applyFont="1" applyFill="1" applyBorder="1" applyAlignment="1">
      <alignment horizontal="center"/>
    </xf>
    <xf numFmtId="0" fontId="92" fillId="0" borderId="93" xfId="14927" applyFont="1" applyFill="1" applyBorder="1" applyAlignment="1">
      <alignment horizontal="center"/>
    </xf>
    <xf numFmtId="0" fontId="40" fillId="0" borderId="194" xfId="14927" applyFont="1" applyFill="1" applyBorder="1" applyAlignment="1">
      <alignment horizontal="left" vertical="top"/>
    </xf>
    <xf numFmtId="0" fontId="40" fillId="0" borderId="196" xfId="14927" applyFont="1" applyFill="1" applyBorder="1" applyAlignment="1">
      <alignment horizontal="left" vertical="top"/>
    </xf>
    <xf numFmtId="0" fontId="95" fillId="0" borderId="93" xfId="14927" applyFont="1" applyFill="1" applyBorder="1" applyAlignment="1">
      <alignment horizontal="left"/>
    </xf>
    <xf numFmtId="0" fontId="95" fillId="0" borderId="95" xfId="14927" applyFont="1" applyFill="1" applyBorder="1" applyAlignment="1">
      <alignment horizontal="left"/>
    </xf>
    <xf numFmtId="0" fontId="95" fillId="0" borderId="174" xfId="14927" applyFont="1" applyFill="1" applyBorder="1" applyAlignment="1">
      <alignment horizontal="center"/>
    </xf>
    <xf numFmtId="0" fontId="95" fillId="0" borderId="96" xfId="14927" applyFont="1" applyFill="1" applyBorder="1" applyAlignment="1">
      <alignment horizontal="center"/>
    </xf>
    <xf numFmtId="0" fontId="95" fillId="0" borderId="112" xfId="14927" applyFont="1" applyFill="1" applyBorder="1" applyAlignment="1">
      <alignment horizontal="center"/>
    </xf>
    <xf numFmtId="0" fontId="95" fillId="0" borderId="97" xfId="14927" applyFont="1" applyFill="1" applyBorder="1" applyAlignment="1">
      <alignment horizontal="center"/>
    </xf>
    <xf numFmtId="0" fontId="102" fillId="0" borderId="117" xfId="14927" applyFont="1" applyFill="1" applyBorder="1" applyAlignment="1">
      <alignment horizontal="center" vertical="center"/>
    </xf>
    <xf numFmtId="0" fontId="102" fillId="0" borderId="92" xfId="14927" applyFont="1" applyFill="1" applyBorder="1" applyAlignment="1">
      <alignment horizontal="center" vertical="center"/>
    </xf>
    <xf numFmtId="0" fontId="102" fillId="0" borderId="169" xfId="14927" applyFont="1" applyFill="1" applyBorder="1" applyAlignment="1">
      <alignment horizontal="center" vertical="center"/>
    </xf>
    <xf numFmtId="0" fontId="102" fillId="0" borderId="111" xfId="14927" applyFont="1" applyFill="1" applyBorder="1" applyAlignment="1">
      <alignment horizontal="center" vertical="center"/>
    </xf>
    <xf numFmtId="0" fontId="102" fillId="0" borderId="0" xfId="14927" applyFont="1" applyFill="1" applyBorder="1" applyAlignment="1">
      <alignment horizontal="center" vertical="center"/>
    </xf>
    <xf numFmtId="0" fontId="102" fillId="0" borderId="171" xfId="14927" applyFont="1" applyFill="1" applyBorder="1" applyAlignment="1">
      <alignment horizontal="center" vertical="center"/>
    </xf>
    <xf numFmtId="0" fontId="95" fillId="0" borderId="44" xfId="14927" applyFont="1" applyFill="1" applyBorder="1" applyAlignment="1">
      <alignment horizontal="center"/>
    </xf>
    <xf numFmtId="0" fontId="95" fillId="0" borderId="107" xfId="14927" applyFont="1" applyFill="1" applyBorder="1" applyAlignment="1">
      <alignment horizontal="center"/>
    </xf>
    <xf numFmtId="0" fontId="115" fillId="0" borderId="102" xfId="14927" applyFont="1" applyFill="1" applyBorder="1" applyAlignment="1">
      <alignment horizontal="center" vertical="center" wrapText="1"/>
    </xf>
    <xf numFmtId="0" fontId="115" fillId="0" borderId="66" xfId="14927" applyFont="1" applyFill="1" applyBorder="1" applyAlignment="1">
      <alignment horizontal="center" vertical="center" wrapText="1"/>
    </xf>
    <xf numFmtId="0" fontId="38" fillId="0" borderId="96" xfId="14927" applyFont="1" applyFill="1" applyBorder="1" applyAlignment="1">
      <alignment horizontal="left" vertical="center" wrapText="1"/>
    </xf>
    <xf numFmtId="0" fontId="102" fillId="0" borderId="76" xfId="14927" applyFont="1" applyFill="1" applyBorder="1" applyAlignment="1">
      <alignment horizontal="center" vertical="center" wrapText="1"/>
    </xf>
    <xf numFmtId="0" fontId="94" fillId="0" borderId="76" xfId="14927" applyFont="1" applyFill="1" applyBorder="1" applyAlignment="1">
      <alignment horizontal="center" vertical="center" wrapText="1"/>
    </xf>
    <xf numFmtId="0" fontId="115" fillId="0" borderId="61" xfId="14927" applyFont="1" applyFill="1" applyBorder="1" applyAlignment="1">
      <alignment horizontal="center" vertical="center" wrapText="1"/>
    </xf>
    <xf numFmtId="0" fontId="114" fillId="0" borderId="64" xfId="14927" applyFont="1" applyFill="1" applyBorder="1" applyAlignment="1">
      <alignment horizontal="center" wrapText="1"/>
    </xf>
    <xf numFmtId="0" fontId="115" fillId="0" borderId="96" xfId="14927" applyFont="1" applyFill="1" applyBorder="1" applyAlignment="1">
      <alignment horizontal="center" vertical="center" wrapText="1"/>
    </xf>
    <xf numFmtId="0" fontId="114" fillId="0" borderId="65" xfId="14927" applyFont="1" applyFill="1" applyBorder="1" applyAlignment="1">
      <alignment horizontal="center" wrapText="1"/>
    </xf>
    <xf numFmtId="0" fontId="115" fillId="0" borderId="65" xfId="14927" applyFont="1" applyFill="1" applyBorder="1" applyAlignment="1">
      <alignment horizontal="center" vertical="center" wrapText="1"/>
    </xf>
    <xf numFmtId="0" fontId="94" fillId="0" borderId="93" xfId="14927" applyFont="1" applyFill="1" applyBorder="1" applyAlignment="1">
      <alignment horizontal="center" vertical="center" wrapText="1"/>
    </xf>
    <xf numFmtId="0" fontId="94" fillId="0" borderId="94" xfId="14927" applyFont="1" applyFill="1" applyBorder="1" applyAlignment="1">
      <alignment horizontal="center" vertical="center" wrapText="1"/>
    </xf>
    <xf numFmtId="0" fontId="94" fillId="0" borderId="95" xfId="14927" applyFont="1" applyFill="1" applyBorder="1" applyAlignment="1">
      <alignment horizontal="center" vertical="center" wrapText="1"/>
    </xf>
    <xf numFmtId="0" fontId="114" fillId="0" borderId="96" xfId="0" applyFont="1" applyFill="1" applyBorder="1" applyAlignment="1">
      <alignment horizontal="center" vertical="center"/>
    </xf>
    <xf numFmtId="0" fontId="114" fillId="0" borderId="93" xfId="0" applyFont="1" applyFill="1" applyBorder="1" applyAlignment="1">
      <alignment horizontal="center" vertical="center" wrapText="1"/>
    </xf>
    <xf numFmtId="0" fontId="114" fillId="0" borderId="95" xfId="0" applyFont="1" applyFill="1" applyBorder="1" applyAlignment="1">
      <alignment horizontal="center" vertical="center" wrapText="1"/>
    </xf>
    <xf numFmtId="0" fontId="114" fillId="0" borderId="96" xfId="0" applyFont="1" applyFill="1" applyBorder="1" applyAlignment="1">
      <alignment horizontal="center" vertical="center" wrapText="1"/>
    </xf>
    <xf numFmtId="0" fontId="114" fillId="0" borderId="65" xfId="0" applyFont="1" applyFill="1" applyBorder="1" applyAlignment="1">
      <alignment horizontal="center" vertical="center" wrapText="1"/>
    </xf>
    <xf numFmtId="0" fontId="104" fillId="0" borderId="186" xfId="14927" applyFont="1" applyFill="1" applyBorder="1" applyAlignment="1">
      <alignment horizontal="center" vertical="center" wrapText="1"/>
    </xf>
    <xf numFmtId="0" fontId="104" fillId="0" borderId="195" xfId="14927" applyFont="1" applyFill="1" applyBorder="1" applyAlignment="1">
      <alignment horizontal="center" vertical="center" wrapText="1"/>
    </xf>
    <xf numFmtId="0" fontId="104" fillId="0" borderId="187" xfId="14927" applyFont="1" applyFill="1" applyBorder="1" applyAlignment="1">
      <alignment horizontal="center" vertical="center" wrapText="1"/>
    </xf>
    <xf numFmtId="0" fontId="104" fillId="0" borderId="188" xfId="14927" applyFont="1" applyFill="1" applyBorder="1" applyAlignment="1">
      <alignment horizontal="center" vertical="center" wrapText="1"/>
    </xf>
    <xf numFmtId="0" fontId="104" fillId="0" borderId="109" xfId="14927" applyFont="1" applyFill="1" applyBorder="1" applyAlignment="1">
      <alignment horizontal="center" vertical="center" wrapText="1"/>
    </xf>
    <xf numFmtId="0" fontId="104" fillId="0" borderId="110" xfId="14927" applyFont="1" applyFill="1" applyBorder="1" applyAlignment="1">
      <alignment horizontal="center" vertical="center" wrapText="1"/>
    </xf>
    <xf numFmtId="0" fontId="114" fillId="0" borderId="96" xfId="14927" applyFont="1" applyFill="1" applyBorder="1" applyAlignment="1">
      <alignment horizontal="left" vertical="top"/>
    </xf>
    <xf numFmtId="0" fontId="38" fillId="0" borderId="76" xfId="14927" applyFont="1" applyFill="1" applyBorder="1" applyAlignment="1">
      <alignment horizontal="center"/>
    </xf>
    <xf numFmtId="0" fontId="38" fillId="0" borderId="180" xfId="14927" applyFont="1" applyFill="1" applyBorder="1" applyAlignment="1">
      <alignment horizontal="center"/>
    </xf>
    <xf numFmtId="0" fontId="102" fillId="0" borderId="174" xfId="14927" applyFont="1" applyFill="1" applyBorder="1" applyAlignment="1">
      <alignment horizontal="center"/>
    </xf>
    <xf numFmtId="0" fontId="102" fillId="0" borderId="96" xfId="14927" applyFont="1" applyFill="1" applyBorder="1" applyAlignment="1">
      <alignment horizontal="center"/>
    </xf>
    <xf numFmtId="0" fontId="102" fillId="0" borderId="176" xfId="14927" applyFont="1" applyFill="1" applyBorder="1" applyAlignment="1">
      <alignment horizontal="center"/>
    </xf>
    <xf numFmtId="0" fontId="102" fillId="0" borderId="177" xfId="14927" applyFont="1" applyFill="1" applyBorder="1" applyAlignment="1">
      <alignment horizontal="center"/>
    </xf>
    <xf numFmtId="0" fontId="115" fillId="0" borderId="117" xfId="14927" applyFont="1" applyFill="1" applyBorder="1" applyAlignment="1">
      <alignment horizontal="left" vertical="top"/>
    </xf>
    <xf numFmtId="0" fontId="115" fillId="0" borderId="92" xfId="14927" applyFont="1" applyFill="1" applyBorder="1" applyAlignment="1">
      <alignment horizontal="left" vertical="top"/>
    </xf>
    <xf numFmtId="0" fontId="115" fillId="0" borderId="169" xfId="14927" applyFont="1" applyFill="1" applyBorder="1" applyAlignment="1">
      <alignment horizontal="left" vertical="top"/>
    </xf>
    <xf numFmtId="0" fontId="114" fillId="0" borderId="117" xfId="14927" applyFont="1" applyFill="1" applyBorder="1" applyAlignment="1">
      <alignment horizontal="left" vertical="top"/>
    </xf>
    <xf numFmtId="0" fontId="114" fillId="0" borderId="197" xfId="14927" applyFont="1" applyFill="1" applyBorder="1" applyAlignment="1">
      <alignment horizontal="left" vertical="top"/>
    </xf>
    <xf numFmtId="0" fontId="92" fillId="0" borderId="189" xfId="14927" applyFont="1" applyFill="1" applyBorder="1" applyAlignment="1">
      <alignment horizontal="center" vertical="center"/>
    </xf>
    <xf numFmtId="0" fontId="92" fillId="0" borderId="49" xfId="14927" applyFont="1" applyFill="1" applyBorder="1" applyAlignment="1">
      <alignment horizontal="center" vertical="center"/>
    </xf>
    <xf numFmtId="0" fontId="92" fillId="0" borderId="190" xfId="14927" applyFont="1" applyFill="1" applyBorder="1" applyAlignment="1">
      <alignment horizontal="center" vertical="center"/>
    </xf>
    <xf numFmtId="0" fontId="38" fillId="0" borderId="79" xfId="14927" applyFont="1" applyFill="1" applyBorder="1" applyAlignment="1">
      <alignment horizontal="center"/>
    </xf>
    <xf numFmtId="0" fontId="38" fillId="0" borderId="182" xfId="14927" applyFont="1" applyFill="1" applyBorder="1" applyAlignment="1">
      <alignment horizontal="center"/>
    </xf>
    <xf numFmtId="0" fontId="95" fillId="0" borderId="54" xfId="12002" applyFont="1" applyFill="1" applyBorder="1" applyAlignment="1">
      <alignment horizontal="center" vertical="center" wrapText="1"/>
    </xf>
    <xf numFmtId="0" fontId="95" fillId="0" borderId="79" xfId="12002" applyFont="1" applyFill="1" applyBorder="1" applyAlignment="1">
      <alignment horizontal="center" vertical="center" wrapText="1"/>
    </xf>
    <xf numFmtId="0" fontId="94" fillId="0" borderId="56" xfId="14927" applyFont="1" applyFill="1" applyBorder="1" applyAlignment="1">
      <alignment horizontal="center" vertical="center" wrapText="1"/>
    </xf>
    <xf numFmtId="0" fontId="94" fillId="0" borderId="80" xfId="14927" applyFont="1" applyFill="1" applyBorder="1" applyAlignment="1">
      <alignment horizontal="center" vertical="center" wrapText="1"/>
    </xf>
    <xf numFmtId="0" fontId="102" fillId="0" borderId="184" xfId="14927" applyFont="1" applyFill="1" applyBorder="1" applyAlignment="1">
      <alignment horizontal="center" vertical="center" wrapText="1"/>
    </xf>
    <xf numFmtId="0" fontId="102" fillId="0" borderId="183" xfId="14927" applyFont="1" applyFill="1" applyBorder="1" applyAlignment="1">
      <alignment horizontal="center" vertical="center" wrapText="1"/>
    </xf>
    <xf numFmtId="0" fontId="102" fillId="0" borderId="0" xfId="14927" applyFont="1" applyFill="1" applyBorder="1" applyAlignment="1">
      <alignment horizontal="center" vertical="center" wrapText="1"/>
    </xf>
    <xf numFmtId="0" fontId="102" fillId="0" borderId="185" xfId="14927" applyFont="1" applyFill="1" applyBorder="1" applyAlignment="1">
      <alignment horizontal="center" vertical="center" wrapText="1"/>
    </xf>
    <xf numFmtId="0" fontId="94" fillId="0" borderId="58" xfId="14927" applyFont="1" applyFill="1" applyBorder="1" applyAlignment="1">
      <alignment horizontal="center" vertical="center" wrapText="1"/>
    </xf>
    <xf numFmtId="0" fontId="94" fillId="0" borderId="170" xfId="14927" applyFont="1" applyFill="1" applyBorder="1" applyAlignment="1">
      <alignment horizontal="center" wrapText="1"/>
    </xf>
    <xf numFmtId="0" fontId="94" fillId="0" borderId="55" xfId="14927" applyFont="1" applyFill="1" applyBorder="1" applyAlignment="1">
      <alignment horizontal="center" vertical="center" wrapText="1"/>
    </xf>
    <xf numFmtId="0" fontId="94" fillId="0" borderId="85" xfId="14927" applyFont="1" applyFill="1" applyBorder="1" applyAlignment="1">
      <alignment horizontal="center" vertical="center" wrapText="1"/>
    </xf>
    <xf numFmtId="0" fontId="94" fillId="0" borderId="54" xfId="14927" applyFont="1" applyFill="1" applyBorder="1" applyAlignment="1">
      <alignment horizontal="center" vertical="center" wrapText="1"/>
    </xf>
    <xf numFmtId="0" fontId="94" fillId="0" borderId="79" xfId="14927" applyFont="1" applyFill="1" applyBorder="1" applyAlignment="1">
      <alignment horizontal="center" vertical="center" wrapText="1"/>
    </xf>
    <xf numFmtId="0" fontId="94" fillId="0" borderId="44" xfId="14927" applyFont="1" applyFill="1" applyBorder="1" applyAlignment="1">
      <alignment horizontal="center" vertical="center" wrapText="1"/>
    </xf>
    <xf numFmtId="0" fontId="94" fillId="0" borderId="111" xfId="14927" applyFont="1" applyFill="1" applyBorder="1" applyAlignment="1">
      <alignment horizontal="center" vertical="center" wrapText="1"/>
    </xf>
    <xf numFmtId="0" fontId="97" fillId="0" borderId="117" xfId="0" applyFont="1" applyBorder="1" applyAlignment="1">
      <alignment horizontal="center" vertical="center"/>
    </xf>
    <xf numFmtId="0" fontId="97" fillId="0" borderId="169" xfId="0" applyFont="1" applyBorder="1" applyAlignment="1">
      <alignment horizontal="center" vertical="center"/>
    </xf>
    <xf numFmtId="0" fontId="97" fillId="0" borderId="96" xfId="0" applyFont="1" applyBorder="1" applyAlignment="1">
      <alignment horizontal="center" vertical="center" wrapText="1"/>
    </xf>
  </cellXfs>
  <cellStyles count="38148">
    <cellStyle name="??&amp;O?&amp;H?_x0008__x000f__x0007_?_x0007__x0001__x0001_" xfId="3"/>
    <cellStyle name="??&amp;O?&amp;H?_x0008_??_x0007__x0001__x0001_" xfId="4"/>
    <cellStyle name="?曹%U?&amp;H?_x0008_?s_x000a__x0007__x0001__x0001_" xfId="5"/>
    <cellStyle name="_17공구" xfId="6"/>
    <cellStyle name="_17공구 10" xfId="7"/>
    <cellStyle name="_17공구 2" xfId="8"/>
    <cellStyle name="_17공구 3" xfId="9"/>
    <cellStyle name="_17공구 4" xfId="10"/>
    <cellStyle name="_17공구 5" xfId="11"/>
    <cellStyle name="_17공구 6" xfId="12"/>
    <cellStyle name="_17공구 7" xfId="13"/>
    <cellStyle name="_17공구 8" xfId="14"/>
    <cellStyle name="_17공구 9" xfId="15"/>
    <cellStyle name="_19공구" xfId="16"/>
    <cellStyle name="_19공구 10" xfId="17"/>
    <cellStyle name="_19공구 2" xfId="18"/>
    <cellStyle name="_19공구 3" xfId="19"/>
    <cellStyle name="_19공구 4" xfId="20"/>
    <cellStyle name="_19공구 5" xfId="21"/>
    <cellStyle name="_19공구 6" xfId="22"/>
    <cellStyle name="_19공구 7" xfId="23"/>
    <cellStyle name="_19공구 8" xfId="24"/>
    <cellStyle name="_19공구 9" xfId="25"/>
    <cellStyle name="_20공구" xfId="26"/>
    <cellStyle name="_20공구_ActualProgress" xfId="27"/>
    <cellStyle name="_20공구_ActualProgress_JIMMA~BONGA Monthly Statement No. 02 for month of February 2009" xfId="28"/>
    <cellStyle name="_20공구_Aug 13 '07~Aug 19 '07" xfId="29"/>
    <cellStyle name="_20공구_Aug 13 '07~Aug 19 '07_JIMMA~BONGA Monthly Statement No. 02 for month of February 2009" xfId="30"/>
    <cellStyle name="_20공구_Aug 19 '07~Aug 26 '07 RE" xfId="31"/>
    <cellStyle name="_20공구_Aug 19 '07~Aug 26 '07 RE_JIMMA~BONGA Monthly Statement No. 02 for month of February 2009" xfId="32"/>
    <cellStyle name="_20공구_JIMMA~BONGA Monthly Statement No. 02 for month of February 2009" xfId="33"/>
    <cellStyle name="_Book2" xfId="34"/>
    <cellStyle name="_Book2_ActualProgress" xfId="35"/>
    <cellStyle name="_Book2_ActualProgress_JIMMA~BONGA Monthly Statement No. 02 for month of February 2009" xfId="36"/>
    <cellStyle name="_Book2_Aug 13 '07~Aug 19 '07" xfId="37"/>
    <cellStyle name="_Book2_Aug 13 '07~Aug 19 '07_JIMMA~BONGA Monthly Statement No. 02 for month of February 2009" xfId="38"/>
    <cellStyle name="_Book2_Aug 19 '07~Aug 26 '07 RE" xfId="39"/>
    <cellStyle name="_Book2_Aug 19 '07~Aug 26 '07 RE_JIMMA~BONGA Monthly Statement No. 02 for month of February 2009" xfId="40"/>
    <cellStyle name="_Book2_JIMMA~BONGA Monthly Statement No. 02 for month of February 2009" xfId="41"/>
    <cellStyle name="_업무연락" xfId="42"/>
    <cellStyle name="_업무연락 10" xfId="43"/>
    <cellStyle name="_업무연락 2" xfId="44"/>
    <cellStyle name="_업무연락 3" xfId="45"/>
    <cellStyle name="_업무연락 4" xfId="46"/>
    <cellStyle name="_업무연락 5" xfId="47"/>
    <cellStyle name="_업무연락 6" xfId="48"/>
    <cellStyle name="_업무연락 7" xfId="49"/>
    <cellStyle name="_업무연락 8" xfId="50"/>
    <cellStyle name="_업무연락 9" xfId="51"/>
    <cellStyle name="_인원계획표 " xfId="52"/>
    <cellStyle name="_인원계획표  10" xfId="53"/>
    <cellStyle name="_인원계획표  2" xfId="54"/>
    <cellStyle name="_인원계획표  3" xfId="55"/>
    <cellStyle name="_인원계획표  4" xfId="56"/>
    <cellStyle name="_인원계획표  5" xfId="57"/>
    <cellStyle name="_인원계획표  6" xfId="58"/>
    <cellStyle name="_인원계획표  7" xfId="59"/>
    <cellStyle name="_인원계획표  8" xfId="60"/>
    <cellStyle name="_인원계획표  9" xfId="61"/>
    <cellStyle name="_인원계획표 _적격 " xfId="62"/>
    <cellStyle name="_인원계획표 _적격  10" xfId="63"/>
    <cellStyle name="_인원계획표 _적격  2" xfId="64"/>
    <cellStyle name="_인원계획표 _적격  3" xfId="65"/>
    <cellStyle name="_인원계획표 _적격  4" xfId="66"/>
    <cellStyle name="_인원계획표 _적격  5" xfId="67"/>
    <cellStyle name="_인원계획표 _적격  6" xfId="68"/>
    <cellStyle name="_인원계획표 _적격  7" xfId="69"/>
    <cellStyle name="_인원계획표 _적격  8" xfId="70"/>
    <cellStyle name="_인원계획표 _적격  9" xfId="71"/>
    <cellStyle name="_입찰표지 " xfId="72"/>
    <cellStyle name="_입찰표지  10" xfId="73"/>
    <cellStyle name="_입찰표지  2" xfId="74"/>
    <cellStyle name="_입찰표지  3" xfId="75"/>
    <cellStyle name="_입찰표지  4" xfId="76"/>
    <cellStyle name="_입찰표지  5" xfId="77"/>
    <cellStyle name="_입찰표지  6" xfId="78"/>
    <cellStyle name="_입찰표지  7" xfId="79"/>
    <cellStyle name="_입찰표지  8" xfId="80"/>
    <cellStyle name="_입찰표지  9" xfId="81"/>
    <cellStyle name="_적격 " xfId="82"/>
    <cellStyle name="_적격  10" xfId="83"/>
    <cellStyle name="_적격  2" xfId="84"/>
    <cellStyle name="_적격  3" xfId="85"/>
    <cellStyle name="_적격  4" xfId="86"/>
    <cellStyle name="_적격  5" xfId="87"/>
    <cellStyle name="_적격  6" xfId="88"/>
    <cellStyle name="_적격  7" xfId="89"/>
    <cellStyle name="_적격  8" xfId="90"/>
    <cellStyle name="_적격  9" xfId="91"/>
    <cellStyle name="_적격 _집행갑지 " xfId="92"/>
    <cellStyle name="_적격 _집행갑지  10" xfId="93"/>
    <cellStyle name="_적격 _집행갑지  2" xfId="94"/>
    <cellStyle name="_적격 _집행갑지  3" xfId="95"/>
    <cellStyle name="_적격 _집행갑지  4" xfId="96"/>
    <cellStyle name="_적격 _집행갑지  5" xfId="97"/>
    <cellStyle name="_적격 _집행갑지  6" xfId="98"/>
    <cellStyle name="_적격 _집행갑지  7" xfId="99"/>
    <cellStyle name="_적격 _집행갑지  8" xfId="100"/>
    <cellStyle name="_적격 _집행갑지  9" xfId="101"/>
    <cellStyle name="_적격(화산) " xfId="102"/>
    <cellStyle name="_적격(화산)  10" xfId="103"/>
    <cellStyle name="_적격(화산)  2" xfId="104"/>
    <cellStyle name="_적격(화산)  3" xfId="105"/>
    <cellStyle name="_적격(화산)  4" xfId="106"/>
    <cellStyle name="_적격(화산)  5" xfId="107"/>
    <cellStyle name="_적격(화산)  6" xfId="108"/>
    <cellStyle name="_적격(화산)  7" xfId="109"/>
    <cellStyle name="_적격(화산)  8" xfId="110"/>
    <cellStyle name="_적격(화산)  9" xfId="111"/>
    <cellStyle name="_집행갑지 " xfId="112"/>
    <cellStyle name="_집행갑지  10" xfId="113"/>
    <cellStyle name="_집행갑지  2" xfId="114"/>
    <cellStyle name="_집행갑지  3" xfId="115"/>
    <cellStyle name="_집행갑지  4" xfId="116"/>
    <cellStyle name="_집행갑지  5" xfId="117"/>
    <cellStyle name="_집행갑지  6" xfId="118"/>
    <cellStyle name="_집행갑지  7" xfId="119"/>
    <cellStyle name="_집행갑지  8" xfId="120"/>
    <cellStyle name="_집행갑지  9" xfId="121"/>
    <cellStyle name="_투찰" xfId="122"/>
    <cellStyle name="_투찰 10" xfId="123"/>
    <cellStyle name="_투찰 2" xfId="124"/>
    <cellStyle name="_투찰 3" xfId="125"/>
    <cellStyle name="_투찰 4" xfId="126"/>
    <cellStyle name="_투찰 5" xfId="127"/>
    <cellStyle name="_투찰 6" xfId="128"/>
    <cellStyle name="_투찰 7" xfId="129"/>
    <cellStyle name="_투찰 8" xfId="130"/>
    <cellStyle name="_투찰 9" xfId="131"/>
    <cellStyle name="_평림투찰" xfId="132"/>
    <cellStyle name="_평림투찰 10" xfId="133"/>
    <cellStyle name="_평림투찰 2" xfId="134"/>
    <cellStyle name="_평림투찰 3" xfId="135"/>
    <cellStyle name="_평림투찰 4" xfId="136"/>
    <cellStyle name="_평림투찰 5" xfId="137"/>
    <cellStyle name="_평림투찰 6" xfId="138"/>
    <cellStyle name="_평림투찰 7" xfId="139"/>
    <cellStyle name="_평림투찰 8" xfId="140"/>
    <cellStyle name="_평림투찰 9" xfId="141"/>
    <cellStyle name="_博茨瓦纳第二条路SEBINA JUNCTION-NATA ROAD工路报价" xfId="142"/>
    <cellStyle name="0,0_x000d__x000a_NA_x000d__x000a_" xfId="143"/>
    <cellStyle name="20% - Accent1 10" xfId="144"/>
    <cellStyle name="20% - Accent1 11" xfId="145"/>
    <cellStyle name="20% - Accent1 12" xfId="146"/>
    <cellStyle name="20% - Accent1 13" xfId="147"/>
    <cellStyle name="20% - Accent1 14" xfId="148"/>
    <cellStyle name="20% - Accent1 15" xfId="149"/>
    <cellStyle name="20% - Accent1 16" xfId="150"/>
    <cellStyle name="20% - Accent1 17" xfId="151"/>
    <cellStyle name="20% - Accent1 18" xfId="152"/>
    <cellStyle name="20% - Accent1 19" xfId="153"/>
    <cellStyle name="20% - Accent1 2" xfId="154"/>
    <cellStyle name="20% - Accent1 20" xfId="155"/>
    <cellStyle name="20% - Accent1 21" xfId="156"/>
    <cellStyle name="20% - Accent1 22" xfId="157"/>
    <cellStyle name="20% - Accent1 23" xfId="158"/>
    <cellStyle name="20% - Accent1 24" xfId="159"/>
    <cellStyle name="20% - Accent1 25" xfId="160"/>
    <cellStyle name="20% - Accent1 26" xfId="161"/>
    <cellStyle name="20% - Accent1 27" xfId="162"/>
    <cellStyle name="20% - Accent1 28" xfId="163"/>
    <cellStyle name="20% - Accent1 29" xfId="164"/>
    <cellStyle name="20% - Accent1 3" xfId="165"/>
    <cellStyle name="20% - Accent1 30" xfId="166"/>
    <cellStyle name="20% - Accent1 31" xfId="167"/>
    <cellStyle name="20% - Accent1 32" xfId="168"/>
    <cellStyle name="20% - Accent1 33" xfId="169"/>
    <cellStyle name="20% - Accent1 34" xfId="170"/>
    <cellStyle name="20% - Accent1 35" xfId="171"/>
    <cellStyle name="20% - Accent1 36" xfId="172"/>
    <cellStyle name="20% - Accent1 37" xfId="173"/>
    <cellStyle name="20% - Accent1 38" xfId="174"/>
    <cellStyle name="20% - Accent1 39" xfId="175"/>
    <cellStyle name="20% - Accent1 4" xfId="176"/>
    <cellStyle name="20% - Accent1 40" xfId="177"/>
    <cellStyle name="20% - Accent1 41" xfId="178"/>
    <cellStyle name="20% - Accent1 42" xfId="179"/>
    <cellStyle name="20% - Accent1 43" xfId="180"/>
    <cellStyle name="20% - Accent1 44" xfId="181"/>
    <cellStyle name="20% - Accent1 45" xfId="182"/>
    <cellStyle name="20% - Accent1 46" xfId="183"/>
    <cellStyle name="20% - Accent1 47" xfId="184"/>
    <cellStyle name="20% - Accent1 48" xfId="185"/>
    <cellStyle name="20% - Accent1 49" xfId="186"/>
    <cellStyle name="20% - Accent1 5" xfId="187"/>
    <cellStyle name="20% - Accent1 50" xfId="188"/>
    <cellStyle name="20% - Accent1 51" xfId="189"/>
    <cellStyle name="20% - Accent1 52" xfId="190"/>
    <cellStyle name="20% - Accent1 53" xfId="191"/>
    <cellStyle name="20% - Accent1 54" xfId="192"/>
    <cellStyle name="20% - Accent1 55" xfId="193"/>
    <cellStyle name="20% - Accent1 56" xfId="194"/>
    <cellStyle name="20% - Accent1 57" xfId="195"/>
    <cellStyle name="20% - Accent1 58" xfId="196"/>
    <cellStyle name="20% - Accent1 59" xfId="197"/>
    <cellStyle name="20% - Accent1 6" xfId="198"/>
    <cellStyle name="20% - Accent1 7" xfId="199"/>
    <cellStyle name="20% - Accent1 8" xfId="200"/>
    <cellStyle name="20% - Accent1 9" xfId="201"/>
    <cellStyle name="20% - Accent2 10" xfId="202"/>
    <cellStyle name="20% - Accent2 11" xfId="203"/>
    <cellStyle name="20% - Accent2 12" xfId="204"/>
    <cellStyle name="20% - Accent2 13" xfId="205"/>
    <cellStyle name="20% - Accent2 14" xfId="206"/>
    <cellStyle name="20% - Accent2 15" xfId="207"/>
    <cellStyle name="20% - Accent2 16" xfId="208"/>
    <cellStyle name="20% - Accent2 17" xfId="209"/>
    <cellStyle name="20% - Accent2 18" xfId="210"/>
    <cellStyle name="20% - Accent2 19" xfId="211"/>
    <cellStyle name="20% - Accent2 2" xfId="212"/>
    <cellStyle name="20% - Accent2 20" xfId="213"/>
    <cellStyle name="20% - Accent2 21" xfId="214"/>
    <cellStyle name="20% - Accent2 22" xfId="215"/>
    <cellStyle name="20% - Accent2 23" xfId="216"/>
    <cellStyle name="20% - Accent2 24" xfId="217"/>
    <cellStyle name="20% - Accent2 25" xfId="218"/>
    <cellStyle name="20% - Accent2 26" xfId="219"/>
    <cellStyle name="20% - Accent2 27" xfId="220"/>
    <cellStyle name="20% - Accent2 28" xfId="221"/>
    <cellStyle name="20% - Accent2 29" xfId="222"/>
    <cellStyle name="20% - Accent2 3" xfId="223"/>
    <cellStyle name="20% - Accent2 30" xfId="224"/>
    <cellStyle name="20% - Accent2 31" xfId="225"/>
    <cellStyle name="20% - Accent2 32" xfId="226"/>
    <cellStyle name="20% - Accent2 33" xfId="227"/>
    <cellStyle name="20% - Accent2 34" xfId="228"/>
    <cellStyle name="20% - Accent2 35" xfId="229"/>
    <cellStyle name="20% - Accent2 36" xfId="230"/>
    <cellStyle name="20% - Accent2 37" xfId="231"/>
    <cellStyle name="20% - Accent2 38" xfId="232"/>
    <cellStyle name="20% - Accent2 39" xfId="233"/>
    <cellStyle name="20% - Accent2 4" xfId="234"/>
    <cellStyle name="20% - Accent2 40" xfId="235"/>
    <cellStyle name="20% - Accent2 41" xfId="236"/>
    <cellStyle name="20% - Accent2 42" xfId="237"/>
    <cellStyle name="20% - Accent2 42 2" xfId="238"/>
    <cellStyle name="20% - Accent2 43" xfId="239"/>
    <cellStyle name="20% - Accent2 44" xfId="240"/>
    <cellStyle name="20% - Accent2 45" xfId="241"/>
    <cellStyle name="20% - Accent2 46" xfId="242"/>
    <cellStyle name="20% - Accent2 47" xfId="243"/>
    <cellStyle name="20% - Accent2 48" xfId="244"/>
    <cellStyle name="20% - Accent2 49" xfId="245"/>
    <cellStyle name="20% - Accent2 5" xfId="246"/>
    <cellStyle name="20% - Accent2 50" xfId="247"/>
    <cellStyle name="20% - Accent2 51" xfId="248"/>
    <cellStyle name="20% - Accent2 52" xfId="249"/>
    <cellStyle name="20% - Accent2 53" xfId="250"/>
    <cellStyle name="20% - Accent2 54" xfId="251"/>
    <cellStyle name="20% - Accent2 55" xfId="252"/>
    <cellStyle name="20% - Accent2 56" xfId="253"/>
    <cellStyle name="20% - Accent2 57" xfId="254"/>
    <cellStyle name="20% - Accent2 58" xfId="255"/>
    <cellStyle name="20% - Accent2 59" xfId="256"/>
    <cellStyle name="20% - Accent2 6" xfId="257"/>
    <cellStyle name="20% - Accent2 7" xfId="258"/>
    <cellStyle name="20% - Accent2 8" xfId="259"/>
    <cellStyle name="20% - Accent2 9" xfId="260"/>
    <cellStyle name="20% - Accent3 10" xfId="261"/>
    <cellStyle name="20% - Accent3 11" xfId="262"/>
    <cellStyle name="20% - Accent3 12" xfId="263"/>
    <cellStyle name="20% - Accent3 13" xfId="264"/>
    <cellStyle name="20% - Accent3 14" xfId="265"/>
    <cellStyle name="20% - Accent3 15" xfId="266"/>
    <cellStyle name="20% - Accent3 16" xfId="267"/>
    <cellStyle name="20% - Accent3 17" xfId="268"/>
    <cellStyle name="20% - Accent3 18" xfId="269"/>
    <cellStyle name="20% - Accent3 19" xfId="270"/>
    <cellStyle name="20% - Accent3 2" xfId="271"/>
    <cellStyle name="20% - Accent3 20" xfId="272"/>
    <cellStyle name="20% - Accent3 21" xfId="273"/>
    <cellStyle name="20% - Accent3 22" xfId="274"/>
    <cellStyle name="20% - Accent3 23" xfId="275"/>
    <cellStyle name="20% - Accent3 24" xfId="276"/>
    <cellStyle name="20% - Accent3 25" xfId="277"/>
    <cellStyle name="20% - Accent3 26" xfId="278"/>
    <cellStyle name="20% - Accent3 27" xfId="279"/>
    <cellStyle name="20% - Accent3 28" xfId="280"/>
    <cellStyle name="20% - Accent3 29" xfId="281"/>
    <cellStyle name="20% - Accent3 3" xfId="282"/>
    <cellStyle name="20% - Accent3 30" xfId="283"/>
    <cellStyle name="20% - Accent3 31" xfId="284"/>
    <cellStyle name="20% - Accent3 32" xfId="285"/>
    <cellStyle name="20% - Accent3 33" xfId="286"/>
    <cellStyle name="20% - Accent3 34" xfId="287"/>
    <cellStyle name="20% - Accent3 35" xfId="288"/>
    <cellStyle name="20% - Accent3 36" xfId="289"/>
    <cellStyle name="20% - Accent3 37" xfId="290"/>
    <cellStyle name="20% - Accent3 38" xfId="291"/>
    <cellStyle name="20% - Accent3 39" xfId="292"/>
    <cellStyle name="20% - Accent3 4" xfId="293"/>
    <cellStyle name="20% - Accent3 40" xfId="294"/>
    <cellStyle name="20% - Accent3 41" xfId="295"/>
    <cellStyle name="20% - Accent3 42" xfId="296"/>
    <cellStyle name="20% - Accent3 43" xfId="297"/>
    <cellStyle name="20% - Accent3 44" xfId="298"/>
    <cellStyle name="20% - Accent3 45" xfId="299"/>
    <cellStyle name="20% - Accent3 46" xfId="300"/>
    <cellStyle name="20% - Accent3 47" xfId="301"/>
    <cellStyle name="20% - Accent3 48" xfId="302"/>
    <cellStyle name="20% - Accent3 49" xfId="303"/>
    <cellStyle name="20% - Accent3 5" xfId="304"/>
    <cellStyle name="20% - Accent3 50" xfId="305"/>
    <cellStyle name="20% - Accent3 51" xfId="306"/>
    <cellStyle name="20% - Accent3 52" xfId="307"/>
    <cellStyle name="20% - Accent3 53" xfId="308"/>
    <cellStyle name="20% - Accent3 54" xfId="309"/>
    <cellStyle name="20% - Accent3 55" xfId="310"/>
    <cellStyle name="20% - Accent3 56" xfId="311"/>
    <cellStyle name="20% - Accent3 57" xfId="312"/>
    <cellStyle name="20% - Accent3 58" xfId="313"/>
    <cellStyle name="20% - Accent3 59" xfId="314"/>
    <cellStyle name="20% - Accent3 6" xfId="315"/>
    <cellStyle name="20% - Accent3 7" xfId="316"/>
    <cellStyle name="20% - Accent3 8" xfId="317"/>
    <cellStyle name="20% - Accent3 9" xfId="318"/>
    <cellStyle name="20% - Accent4 10" xfId="319"/>
    <cellStyle name="20% - Accent4 11" xfId="320"/>
    <cellStyle name="20% - Accent4 12" xfId="321"/>
    <cellStyle name="20% - Accent4 13" xfId="322"/>
    <cellStyle name="20% - Accent4 14" xfId="323"/>
    <cellStyle name="20% - Accent4 15" xfId="324"/>
    <cellStyle name="20% - Accent4 16" xfId="325"/>
    <cellStyle name="20% - Accent4 17" xfId="326"/>
    <cellStyle name="20% - Accent4 18" xfId="327"/>
    <cellStyle name="20% - Accent4 19" xfId="328"/>
    <cellStyle name="20% - Accent4 2" xfId="329"/>
    <cellStyle name="20% - Accent4 20" xfId="330"/>
    <cellStyle name="20% - Accent4 21" xfId="331"/>
    <cellStyle name="20% - Accent4 22" xfId="332"/>
    <cellStyle name="20% - Accent4 23" xfId="333"/>
    <cellStyle name="20% - Accent4 24" xfId="334"/>
    <cellStyle name="20% - Accent4 25" xfId="335"/>
    <cellStyle name="20% - Accent4 26" xfId="336"/>
    <cellStyle name="20% - Accent4 27" xfId="337"/>
    <cellStyle name="20% - Accent4 28" xfId="338"/>
    <cellStyle name="20% - Accent4 29" xfId="339"/>
    <cellStyle name="20% - Accent4 3" xfId="340"/>
    <cellStyle name="20% - Accent4 30" xfId="341"/>
    <cellStyle name="20% - Accent4 31" xfId="342"/>
    <cellStyle name="20% - Accent4 32" xfId="343"/>
    <cellStyle name="20% - Accent4 33" xfId="344"/>
    <cellStyle name="20% - Accent4 34" xfId="345"/>
    <cellStyle name="20% - Accent4 35" xfId="346"/>
    <cellStyle name="20% - Accent4 36" xfId="347"/>
    <cellStyle name="20% - Accent4 37" xfId="348"/>
    <cellStyle name="20% - Accent4 38" xfId="349"/>
    <cellStyle name="20% - Accent4 39" xfId="350"/>
    <cellStyle name="20% - Accent4 4" xfId="351"/>
    <cellStyle name="20% - Accent4 40" xfId="352"/>
    <cellStyle name="20% - Accent4 41" xfId="353"/>
    <cellStyle name="20% - Accent4 42" xfId="354"/>
    <cellStyle name="20% - Accent4 43" xfId="355"/>
    <cellStyle name="20% - Accent4 44" xfId="356"/>
    <cellStyle name="20% - Accent4 45" xfId="357"/>
    <cellStyle name="20% - Accent4 46" xfId="358"/>
    <cellStyle name="20% - Accent4 47" xfId="359"/>
    <cellStyle name="20% - Accent4 48" xfId="360"/>
    <cellStyle name="20% - Accent4 49" xfId="361"/>
    <cellStyle name="20% - Accent4 5" xfId="362"/>
    <cellStyle name="20% - Accent4 50" xfId="363"/>
    <cellStyle name="20% - Accent4 51" xfId="364"/>
    <cellStyle name="20% - Accent4 52" xfId="365"/>
    <cellStyle name="20% - Accent4 53" xfId="366"/>
    <cellStyle name="20% - Accent4 54" xfId="367"/>
    <cellStyle name="20% - Accent4 55" xfId="368"/>
    <cellStyle name="20% - Accent4 56" xfId="369"/>
    <cellStyle name="20% - Accent4 57" xfId="370"/>
    <cellStyle name="20% - Accent4 58" xfId="371"/>
    <cellStyle name="20% - Accent4 59" xfId="372"/>
    <cellStyle name="20% - Accent4 6" xfId="373"/>
    <cellStyle name="20% - Accent4 7" xfId="374"/>
    <cellStyle name="20% - Accent4 8" xfId="375"/>
    <cellStyle name="20% - Accent4 9" xfId="376"/>
    <cellStyle name="20% - Accent5 10" xfId="377"/>
    <cellStyle name="20% - Accent5 11" xfId="378"/>
    <cellStyle name="20% - Accent5 12" xfId="379"/>
    <cellStyle name="20% - Accent5 13" xfId="380"/>
    <cellStyle name="20% - Accent5 14" xfId="381"/>
    <cellStyle name="20% - Accent5 15" xfId="382"/>
    <cellStyle name="20% - Accent5 16" xfId="383"/>
    <cellStyle name="20% - Accent5 17" xfId="384"/>
    <cellStyle name="20% - Accent5 18" xfId="385"/>
    <cellStyle name="20% - Accent5 19" xfId="386"/>
    <cellStyle name="20% - Accent5 2" xfId="387"/>
    <cellStyle name="20% - Accent5 20" xfId="388"/>
    <cellStyle name="20% - Accent5 21" xfId="389"/>
    <cellStyle name="20% - Accent5 22" xfId="390"/>
    <cellStyle name="20% - Accent5 23" xfId="391"/>
    <cellStyle name="20% - Accent5 24" xfId="392"/>
    <cellStyle name="20% - Accent5 25" xfId="393"/>
    <cellStyle name="20% - Accent5 26" xfId="394"/>
    <cellStyle name="20% - Accent5 27" xfId="395"/>
    <cellStyle name="20% - Accent5 28" xfId="396"/>
    <cellStyle name="20% - Accent5 29" xfId="397"/>
    <cellStyle name="20% - Accent5 3" xfId="398"/>
    <cellStyle name="20% - Accent5 30" xfId="399"/>
    <cellStyle name="20% - Accent5 31" xfId="400"/>
    <cellStyle name="20% - Accent5 32" xfId="401"/>
    <cellStyle name="20% - Accent5 33" xfId="402"/>
    <cellStyle name="20% - Accent5 34" xfId="403"/>
    <cellStyle name="20% - Accent5 35" xfId="404"/>
    <cellStyle name="20% - Accent5 36" xfId="405"/>
    <cellStyle name="20% - Accent5 37" xfId="406"/>
    <cellStyle name="20% - Accent5 38" xfId="407"/>
    <cellStyle name="20% - Accent5 39" xfId="408"/>
    <cellStyle name="20% - Accent5 4" xfId="409"/>
    <cellStyle name="20% - Accent5 40" xfId="410"/>
    <cellStyle name="20% - Accent5 41" xfId="411"/>
    <cellStyle name="20% - Accent5 42" xfId="412"/>
    <cellStyle name="20% - Accent5 43" xfId="413"/>
    <cellStyle name="20% - Accent5 44" xfId="414"/>
    <cellStyle name="20% - Accent5 45" xfId="415"/>
    <cellStyle name="20% - Accent5 46" xfId="416"/>
    <cellStyle name="20% - Accent5 47" xfId="417"/>
    <cellStyle name="20% - Accent5 48" xfId="418"/>
    <cellStyle name="20% - Accent5 49" xfId="419"/>
    <cellStyle name="20% - Accent5 5" xfId="420"/>
    <cellStyle name="20% - Accent5 50" xfId="421"/>
    <cellStyle name="20% - Accent5 51" xfId="422"/>
    <cellStyle name="20% - Accent5 52" xfId="423"/>
    <cellStyle name="20% - Accent5 53" xfId="424"/>
    <cellStyle name="20% - Accent5 54" xfId="425"/>
    <cellStyle name="20% - Accent5 55" xfId="426"/>
    <cellStyle name="20% - Accent5 56" xfId="427"/>
    <cellStyle name="20% - Accent5 57" xfId="428"/>
    <cellStyle name="20% - Accent5 58" xfId="429"/>
    <cellStyle name="20% - Accent5 59" xfId="430"/>
    <cellStyle name="20% - Accent5 6" xfId="431"/>
    <cellStyle name="20% - Accent5 7" xfId="432"/>
    <cellStyle name="20% - Accent5 8" xfId="433"/>
    <cellStyle name="20% - Accent5 9" xfId="434"/>
    <cellStyle name="20% - Accent6 10" xfId="435"/>
    <cellStyle name="20% - Accent6 11" xfId="436"/>
    <cellStyle name="20% - Accent6 12" xfId="437"/>
    <cellStyle name="20% - Accent6 13" xfId="438"/>
    <cellStyle name="20% - Accent6 14" xfId="439"/>
    <cellStyle name="20% - Accent6 15" xfId="440"/>
    <cellStyle name="20% - Accent6 16" xfId="441"/>
    <cellStyle name="20% - Accent6 17" xfId="442"/>
    <cellStyle name="20% - Accent6 18" xfId="443"/>
    <cellStyle name="20% - Accent6 19" xfId="444"/>
    <cellStyle name="20% - Accent6 2" xfId="445"/>
    <cellStyle name="20% - Accent6 20" xfId="446"/>
    <cellStyle name="20% - Accent6 21" xfId="447"/>
    <cellStyle name="20% - Accent6 22" xfId="448"/>
    <cellStyle name="20% - Accent6 23" xfId="449"/>
    <cellStyle name="20% - Accent6 24" xfId="450"/>
    <cellStyle name="20% - Accent6 25" xfId="451"/>
    <cellStyle name="20% - Accent6 26" xfId="452"/>
    <cellStyle name="20% - Accent6 27" xfId="453"/>
    <cellStyle name="20% - Accent6 28" xfId="454"/>
    <cellStyle name="20% - Accent6 29" xfId="455"/>
    <cellStyle name="20% - Accent6 3" xfId="456"/>
    <cellStyle name="20% - Accent6 30" xfId="457"/>
    <cellStyle name="20% - Accent6 31" xfId="458"/>
    <cellStyle name="20% - Accent6 32" xfId="459"/>
    <cellStyle name="20% - Accent6 33" xfId="460"/>
    <cellStyle name="20% - Accent6 34" xfId="461"/>
    <cellStyle name="20% - Accent6 35" xfId="462"/>
    <cellStyle name="20% - Accent6 36" xfId="463"/>
    <cellStyle name="20% - Accent6 37" xfId="464"/>
    <cellStyle name="20% - Accent6 38" xfId="465"/>
    <cellStyle name="20% - Accent6 39" xfId="466"/>
    <cellStyle name="20% - Accent6 4" xfId="467"/>
    <cellStyle name="20% - Accent6 40" xfId="468"/>
    <cellStyle name="20% - Accent6 41" xfId="469"/>
    <cellStyle name="20% - Accent6 42" xfId="470"/>
    <cellStyle name="20% - Accent6 43" xfId="471"/>
    <cellStyle name="20% - Accent6 44" xfId="472"/>
    <cellStyle name="20% - Accent6 45" xfId="473"/>
    <cellStyle name="20% - Accent6 46" xfId="474"/>
    <cellStyle name="20% - Accent6 47" xfId="475"/>
    <cellStyle name="20% - Accent6 48" xfId="476"/>
    <cellStyle name="20% - Accent6 49" xfId="477"/>
    <cellStyle name="20% - Accent6 5" xfId="478"/>
    <cellStyle name="20% - Accent6 50" xfId="479"/>
    <cellStyle name="20% - Accent6 51" xfId="480"/>
    <cellStyle name="20% - Accent6 52" xfId="481"/>
    <cellStyle name="20% - Accent6 53" xfId="482"/>
    <cellStyle name="20% - Accent6 54" xfId="483"/>
    <cellStyle name="20% - Accent6 55" xfId="484"/>
    <cellStyle name="20% - Accent6 56" xfId="485"/>
    <cellStyle name="20% - Accent6 57" xfId="486"/>
    <cellStyle name="20% - Accent6 58" xfId="487"/>
    <cellStyle name="20% - Accent6 59" xfId="488"/>
    <cellStyle name="20% - Accent6 6" xfId="489"/>
    <cellStyle name="20% - Accent6 7" xfId="490"/>
    <cellStyle name="20% - Accent6 8" xfId="491"/>
    <cellStyle name="20% - Accent6 9" xfId="492"/>
    <cellStyle name="20% - 强调文字颜色 1" xfId="493"/>
    <cellStyle name="20% - 强调文字颜色 1 2" xfId="494"/>
    <cellStyle name="20% - 强调文字颜色 2" xfId="495"/>
    <cellStyle name="20% - 强调文字颜色 2 2" xfId="496"/>
    <cellStyle name="20% - 强调文字颜色 3" xfId="497"/>
    <cellStyle name="20% - 强调文字颜色 3 2" xfId="498"/>
    <cellStyle name="20% - 强调文字颜色 4" xfId="499"/>
    <cellStyle name="20% - 强调文字颜色 4 2" xfId="500"/>
    <cellStyle name="20% - 强调文字颜色 5" xfId="501"/>
    <cellStyle name="20% - 强调文字颜色 5 2" xfId="502"/>
    <cellStyle name="20% - 强调文字颜色 6" xfId="503"/>
    <cellStyle name="20% - 强调文字颜色 6 2" xfId="504"/>
    <cellStyle name="40% - Accent1 10" xfId="505"/>
    <cellStyle name="40% - Accent1 11" xfId="506"/>
    <cellStyle name="40% - Accent1 12" xfId="507"/>
    <cellStyle name="40% - Accent1 13" xfId="508"/>
    <cellStyle name="40% - Accent1 14" xfId="509"/>
    <cellStyle name="40% - Accent1 15" xfId="510"/>
    <cellStyle name="40% - Accent1 16" xfId="511"/>
    <cellStyle name="40% - Accent1 17" xfId="512"/>
    <cellStyle name="40% - Accent1 18" xfId="513"/>
    <cellStyle name="40% - Accent1 19" xfId="514"/>
    <cellStyle name="40% - Accent1 2" xfId="515"/>
    <cellStyle name="40% - Accent1 20" xfId="516"/>
    <cellStyle name="40% - Accent1 21" xfId="517"/>
    <cellStyle name="40% - Accent1 22" xfId="518"/>
    <cellStyle name="40% - Accent1 23" xfId="519"/>
    <cellStyle name="40% - Accent1 24" xfId="520"/>
    <cellStyle name="40% - Accent1 25" xfId="521"/>
    <cellStyle name="40% - Accent1 26" xfId="522"/>
    <cellStyle name="40% - Accent1 27" xfId="523"/>
    <cellStyle name="40% - Accent1 28" xfId="524"/>
    <cellStyle name="40% - Accent1 29" xfId="525"/>
    <cellStyle name="40% - Accent1 3" xfId="526"/>
    <cellStyle name="40% - Accent1 30" xfId="527"/>
    <cellStyle name="40% - Accent1 31" xfId="528"/>
    <cellStyle name="40% - Accent1 32" xfId="529"/>
    <cellStyle name="40% - Accent1 33" xfId="530"/>
    <cellStyle name="40% - Accent1 34" xfId="531"/>
    <cellStyle name="40% - Accent1 35" xfId="532"/>
    <cellStyle name="40% - Accent1 36" xfId="533"/>
    <cellStyle name="40% - Accent1 37" xfId="534"/>
    <cellStyle name="40% - Accent1 38" xfId="535"/>
    <cellStyle name="40% - Accent1 39" xfId="536"/>
    <cellStyle name="40% - Accent1 4" xfId="537"/>
    <cellStyle name="40% - Accent1 40" xfId="538"/>
    <cellStyle name="40% - Accent1 41" xfId="539"/>
    <cellStyle name="40% - Accent1 42" xfId="540"/>
    <cellStyle name="40% - Accent1 43" xfId="541"/>
    <cellStyle name="40% - Accent1 44" xfId="542"/>
    <cellStyle name="40% - Accent1 45" xfId="543"/>
    <cellStyle name="40% - Accent1 46" xfId="544"/>
    <cellStyle name="40% - Accent1 47" xfId="545"/>
    <cellStyle name="40% - Accent1 48" xfId="546"/>
    <cellStyle name="40% - Accent1 49" xfId="547"/>
    <cellStyle name="40% - Accent1 5" xfId="548"/>
    <cellStyle name="40% - Accent1 50" xfId="549"/>
    <cellStyle name="40% - Accent1 51" xfId="550"/>
    <cellStyle name="40% - Accent1 52" xfId="551"/>
    <cellStyle name="40% - Accent1 53" xfId="552"/>
    <cellStyle name="40% - Accent1 54" xfId="553"/>
    <cellStyle name="40% - Accent1 55" xfId="554"/>
    <cellStyle name="40% - Accent1 56" xfId="555"/>
    <cellStyle name="40% - Accent1 57" xfId="556"/>
    <cellStyle name="40% - Accent1 58" xfId="557"/>
    <cellStyle name="40% - Accent1 59" xfId="558"/>
    <cellStyle name="40% - Accent1 6" xfId="559"/>
    <cellStyle name="40% - Accent1 7" xfId="560"/>
    <cellStyle name="40% - Accent1 8" xfId="561"/>
    <cellStyle name="40% - Accent1 9" xfId="562"/>
    <cellStyle name="40% - Accent2 10" xfId="563"/>
    <cellStyle name="40% - Accent2 11" xfId="564"/>
    <cellStyle name="40% - Accent2 12" xfId="565"/>
    <cellStyle name="40% - Accent2 13" xfId="566"/>
    <cellStyle name="40% - Accent2 14" xfId="567"/>
    <cellStyle name="40% - Accent2 15" xfId="568"/>
    <cellStyle name="40% - Accent2 16" xfId="569"/>
    <cellStyle name="40% - Accent2 17" xfId="570"/>
    <cellStyle name="40% - Accent2 18" xfId="571"/>
    <cellStyle name="40% - Accent2 19" xfId="572"/>
    <cellStyle name="40% - Accent2 2" xfId="573"/>
    <cellStyle name="40% - Accent2 20" xfId="574"/>
    <cellStyle name="40% - Accent2 21" xfId="575"/>
    <cellStyle name="40% - Accent2 22" xfId="576"/>
    <cellStyle name="40% - Accent2 23" xfId="577"/>
    <cellStyle name="40% - Accent2 24" xfId="578"/>
    <cellStyle name="40% - Accent2 25" xfId="579"/>
    <cellStyle name="40% - Accent2 26" xfId="580"/>
    <cellStyle name="40% - Accent2 27" xfId="581"/>
    <cellStyle name="40% - Accent2 28" xfId="582"/>
    <cellStyle name="40% - Accent2 29" xfId="583"/>
    <cellStyle name="40% - Accent2 3" xfId="584"/>
    <cellStyle name="40% - Accent2 30" xfId="585"/>
    <cellStyle name="40% - Accent2 31" xfId="586"/>
    <cellStyle name="40% - Accent2 32" xfId="587"/>
    <cellStyle name="40% - Accent2 33" xfId="588"/>
    <cellStyle name="40% - Accent2 34" xfId="589"/>
    <cellStyle name="40% - Accent2 35" xfId="590"/>
    <cellStyle name="40% - Accent2 36" xfId="591"/>
    <cellStyle name="40% - Accent2 37" xfId="592"/>
    <cellStyle name="40% - Accent2 38" xfId="593"/>
    <cellStyle name="40% - Accent2 39" xfId="594"/>
    <cellStyle name="40% - Accent2 4" xfId="595"/>
    <cellStyle name="40% - Accent2 40" xfId="596"/>
    <cellStyle name="40% - Accent2 41" xfId="597"/>
    <cellStyle name="40% - Accent2 42" xfId="598"/>
    <cellStyle name="40% - Accent2 43" xfId="599"/>
    <cellStyle name="40% - Accent2 44" xfId="600"/>
    <cellStyle name="40% - Accent2 45" xfId="601"/>
    <cellStyle name="40% - Accent2 46" xfId="602"/>
    <cellStyle name="40% - Accent2 47" xfId="603"/>
    <cellStyle name="40% - Accent2 48" xfId="604"/>
    <cellStyle name="40% - Accent2 49" xfId="605"/>
    <cellStyle name="40% - Accent2 5" xfId="606"/>
    <cellStyle name="40% - Accent2 50" xfId="607"/>
    <cellStyle name="40% - Accent2 51" xfId="608"/>
    <cellStyle name="40% - Accent2 52" xfId="609"/>
    <cellStyle name="40% - Accent2 53" xfId="610"/>
    <cellStyle name="40% - Accent2 54" xfId="611"/>
    <cellStyle name="40% - Accent2 55" xfId="612"/>
    <cellStyle name="40% - Accent2 56" xfId="613"/>
    <cellStyle name="40% - Accent2 57" xfId="614"/>
    <cellStyle name="40% - Accent2 58" xfId="615"/>
    <cellStyle name="40% - Accent2 59" xfId="616"/>
    <cellStyle name="40% - Accent2 6" xfId="617"/>
    <cellStyle name="40% - Accent2 7" xfId="618"/>
    <cellStyle name="40% - Accent2 8" xfId="619"/>
    <cellStyle name="40% - Accent2 9" xfId="620"/>
    <cellStyle name="40% - Accent3 10" xfId="621"/>
    <cellStyle name="40% - Accent3 11" xfId="622"/>
    <cellStyle name="40% - Accent3 12" xfId="623"/>
    <cellStyle name="40% - Accent3 13" xfId="624"/>
    <cellStyle name="40% - Accent3 14" xfId="625"/>
    <cellStyle name="40% - Accent3 15" xfId="626"/>
    <cellStyle name="40% - Accent3 16" xfId="627"/>
    <cellStyle name="40% - Accent3 17" xfId="628"/>
    <cellStyle name="40% - Accent3 18" xfId="629"/>
    <cellStyle name="40% - Accent3 19" xfId="630"/>
    <cellStyle name="40% - Accent3 2" xfId="631"/>
    <cellStyle name="40% - Accent3 20" xfId="632"/>
    <cellStyle name="40% - Accent3 21" xfId="633"/>
    <cellStyle name="40% - Accent3 22" xfId="634"/>
    <cellStyle name="40% - Accent3 23" xfId="635"/>
    <cellStyle name="40% - Accent3 24" xfId="636"/>
    <cellStyle name="40% - Accent3 25" xfId="637"/>
    <cellStyle name="40% - Accent3 26" xfId="638"/>
    <cellStyle name="40% - Accent3 27" xfId="639"/>
    <cellStyle name="40% - Accent3 28" xfId="640"/>
    <cellStyle name="40% - Accent3 29" xfId="641"/>
    <cellStyle name="40% - Accent3 3" xfId="642"/>
    <cellStyle name="40% - Accent3 30" xfId="643"/>
    <cellStyle name="40% - Accent3 31" xfId="644"/>
    <cellStyle name="40% - Accent3 32" xfId="645"/>
    <cellStyle name="40% - Accent3 33" xfId="646"/>
    <cellStyle name="40% - Accent3 34" xfId="647"/>
    <cellStyle name="40% - Accent3 35" xfId="648"/>
    <cellStyle name="40% - Accent3 36" xfId="649"/>
    <cellStyle name="40% - Accent3 37" xfId="650"/>
    <cellStyle name="40% - Accent3 38" xfId="651"/>
    <cellStyle name="40% - Accent3 39" xfId="652"/>
    <cellStyle name="40% - Accent3 4" xfId="653"/>
    <cellStyle name="40% - Accent3 40" xfId="654"/>
    <cellStyle name="40% - Accent3 41" xfId="655"/>
    <cellStyle name="40% - Accent3 42" xfId="656"/>
    <cellStyle name="40% - Accent3 43" xfId="657"/>
    <cellStyle name="40% - Accent3 44" xfId="658"/>
    <cellStyle name="40% - Accent3 45" xfId="659"/>
    <cellStyle name="40% - Accent3 46" xfId="660"/>
    <cellStyle name="40% - Accent3 47" xfId="661"/>
    <cellStyle name="40% - Accent3 48" xfId="662"/>
    <cellStyle name="40% - Accent3 49" xfId="663"/>
    <cellStyle name="40% - Accent3 5" xfId="664"/>
    <cellStyle name="40% - Accent3 50" xfId="665"/>
    <cellStyle name="40% - Accent3 51" xfId="666"/>
    <cellStyle name="40% - Accent3 52" xfId="667"/>
    <cellStyle name="40% - Accent3 53" xfId="668"/>
    <cellStyle name="40% - Accent3 54" xfId="669"/>
    <cellStyle name="40% - Accent3 55" xfId="670"/>
    <cellStyle name="40% - Accent3 56" xfId="671"/>
    <cellStyle name="40% - Accent3 57" xfId="672"/>
    <cellStyle name="40% - Accent3 58" xfId="673"/>
    <cellStyle name="40% - Accent3 59" xfId="674"/>
    <cellStyle name="40% - Accent3 6" xfId="675"/>
    <cellStyle name="40% - Accent3 7" xfId="676"/>
    <cellStyle name="40% - Accent3 8" xfId="677"/>
    <cellStyle name="40% - Accent3 9" xfId="678"/>
    <cellStyle name="40% - Accent4 10" xfId="679"/>
    <cellStyle name="40% - Accent4 11" xfId="680"/>
    <cellStyle name="40% - Accent4 12" xfId="681"/>
    <cellStyle name="40% - Accent4 13" xfId="682"/>
    <cellStyle name="40% - Accent4 14" xfId="683"/>
    <cellStyle name="40% - Accent4 15" xfId="684"/>
    <cellStyle name="40% - Accent4 16" xfId="685"/>
    <cellStyle name="40% - Accent4 17" xfId="686"/>
    <cellStyle name="40% - Accent4 18" xfId="687"/>
    <cellStyle name="40% - Accent4 19" xfId="688"/>
    <cellStyle name="40% - Accent4 2" xfId="689"/>
    <cellStyle name="40% - Accent4 20" xfId="690"/>
    <cellStyle name="40% - Accent4 21" xfId="691"/>
    <cellStyle name="40% - Accent4 22" xfId="692"/>
    <cellStyle name="40% - Accent4 23" xfId="693"/>
    <cellStyle name="40% - Accent4 24" xfId="694"/>
    <cellStyle name="40% - Accent4 25" xfId="695"/>
    <cellStyle name="40% - Accent4 26" xfId="696"/>
    <cellStyle name="40% - Accent4 27" xfId="697"/>
    <cellStyle name="40% - Accent4 28" xfId="698"/>
    <cellStyle name="40% - Accent4 29" xfId="699"/>
    <cellStyle name="40% - Accent4 3" xfId="700"/>
    <cellStyle name="40% - Accent4 30" xfId="701"/>
    <cellStyle name="40% - Accent4 31" xfId="702"/>
    <cellStyle name="40% - Accent4 32" xfId="703"/>
    <cellStyle name="40% - Accent4 33" xfId="704"/>
    <cellStyle name="40% - Accent4 34" xfId="705"/>
    <cellStyle name="40% - Accent4 35" xfId="706"/>
    <cellStyle name="40% - Accent4 36" xfId="707"/>
    <cellStyle name="40% - Accent4 37" xfId="708"/>
    <cellStyle name="40% - Accent4 38" xfId="709"/>
    <cellStyle name="40% - Accent4 39" xfId="710"/>
    <cellStyle name="40% - Accent4 4" xfId="711"/>
    <cellStyle name="40% - Accent4 40" xfId="712"/>
    <cellStyle name="40% - Accent4 41" xfId="713"/>
    <cellStyle name="40% - Accent4 42" xfId="714"/>
    <cellStyle name="40% - Accent4 43" xfId="715"/>
    <cellStyle name="40% - Accent4 44" xfId="716"/>
    <cellStyle name="40% - Accent4 45" xfId="717"/>
    <cellStyle name="40% - Accent4 46" xfId="718"/>
    <cellStyle name="40% - Accent4 47" xfId="719"/>
    <cellStyle name="40% - Accent4 48" xfId="720"/>
    <cellStyle name="40% - Accent4 49" xfId="721"/>
    <cellStyle name="40% - Accent4 5" xfId="722"/>
    <cellStyle name="40% - Accent4 50" xfId="723"/>
    <cellStyle name="40% - Accent4 51" xfId="724"/>
    <cellStyle name="40% - Accent4 52" xfId="725"/>
    <cellStyle name="40% - Accent4 53" xfId="726"/>
    <cellStyle name="40% - Accent4 54" xfId="727"/>
    <cellStyle name="40% - Accent4 55" xfId="728"/>
    <cellStyle name="40% - Accent4 56" xfId="729"/>
    <cellStyle name="40% - Accent4 57" xfId="730"/>
    <cellStyle name="40% - Accent4 58" xfId="731"/>
    <cellStyle name="40% - Accent4 59" xfId="732"/>
    <cellStyle name="40% - Accent4 6" xfId="733"/>
    <cellStyle name="40% - Accent4 7" xfId="734"/>
    <cellStyle name="40% - Accent4 8" xfId="735"/>
    <cellStyle name="40% - Accent4 9" xfId="736"/>
    <cellStyle name="40% - Accent5 10" xfId="737"/>
    <cellStyle name="40% - Accent5 11" xfId="738"/>
    <cellStyle name="40% - Accent5 12" xfId="739"/>
    <cellStyle name="40% - Accent5 13" xfId="740"/>
    <cellStyle name="40% - Accent5 14" xfId="741"/>
    <cellStyle name="40% - Accent5 15" xfId="742"/>
    <cellStyle name="40% - Accent5 16" xfId="743"/>
    <cellStyle name="40% - Accent5 17" xfId="744"/>
    <cellStyle name="40% - Accent5 18" xfId="745"/>
    <cellStyle name="40% - Accent5 19" xfId="746"/>
    <cellStyle name="40% - Accent5 2" xfId="747"/>
    <cellStyle name="40% - Accent5 20" xfId="748"/>
    <cellStyle name="40% - Accent5 21" xfId="749"/>
    <cellStyle name="40% - Accent5 22" xfId="750"/>
    <cellStyle name="40% - Accent5 23" xfId="751"/>
    <cellStyle name="40% - Accent5 24" xfId="752"/>
    <cellStyle name="40% - Accent5 25" xfId="753"/>
    <cellStyle name="40% - Accent5 26" xfId="754"/>
    <cellStyle name="40% - Accent5 27" xfId="755"/>
    <cellStyle name="40% - Accent5 28" xfId="756"/>
    <cellStyle name="40% - Accent5 29" xfId="757"/>
    <cellStyle name="40% - Accent5 3" xfId="758"/>
    <cellStyle name="40% - Accent5 30" xfId="759"/>
    <cellStyle name="40% - Accent5 31" xfId="760"/>
    <cellStyle name="40% - Accent5 32" xfId="761"/>
    <cellStyle name="40% - Accent5 33" xfId="762"/>
    <cellStyle name="40% - Accent5 34" xfId="763"/>
    <cellStyle name="40% - Accent5 35" xfId="764"/>
    <cellStyle name="40% - Accent5 36" xfId="765"/>
    <cellStyle name="40% - Accent5 37" xfId="766"/>
    <cellStyle name="40% - Accent5 38" xfId="767"/>
    <cellStyle name="40% - Accent5 39" xfId="768"/>
    <cellStyle name="40% - Accent5 4" xfId="769"/>
    <cellStyle name="40% - Accent5 40" xfId="770"/>
    <cellStyle name="40% - Accent5 41" xfId="771"/>
    <cellStyle name="40% - Accent5 42" xfId="772"/>
    <cellStyle name="40% - Accent5 43" xfId="773"/>
    <cellStyle name="40% - Accent5 44" xfId="774"/>
    <cellStyle name="40% - Accent5 45" xfId="775"/>
    <cellStyle name="40% - Accent5 46" xfId="776"/>
    <cellStyle name="40% - Accent5 47" xfId="777"/>
    <cellStyle name="40% - Accent5 48" xfId="778"/>
    <cellStyle name="40% - Accent5 49" xfId="779"/>
    <cellStyle name="40% - Accent5 5" xfId="780"/>
    <cellStyle name="40% - Accent5 50" xfId="781"/>
    <cellStyle name="40% - Accent5 51" xfId="782"/>
    <cellStyle name="40% - Accent5 52" xfId="783"/>
    <cellStyle name="40% - Accent5 53" xfId="784"/>
    <cellStyle name="40% - Accent5 54" xfId="785"/>
    <cellStyle name="40% - Accent5 55" xfId="786"/>
    <cellStyle name="40% - Accent5 56" xfId="787"/>
    <cellStyle name="40% - Accent5 57" xfId="788"/>
    <cellStyle name="40% - Accent5 58" xfId="789"/>
    <cellStyle name="40% - Accent5 59" xfId="790"/>
    <cellStyle name="40% - Accent5 6" xfId="791"/>
    <cellStyle name="40% - Accent5 7" xfId="792"/>
    <cellStyle name="40% - Accent5 8" xfId="793"/>
    <cellStyle name="40% - Accent5 9" xfId="794"/>
    <cellStyle name="40% - Accent6 10" xfId="795"/>
    <cellStyle name="40% - Accent6 11" xfId="796"/>
    <cellStyle name="40% - Accent6 12" xfId="797"/>
    <cellStyle name="40% - Accent6 13" xfId="798"/>
    <cellStyle name="40% - Accent6 14" xfId="799"/>
    <cellStyle name="40% - Accent6 15" xfId="800"/>
    <cellStyle name="40% - Accent6 16" xfId="801"/>
    <cellStyle name="40% - Accent6 17" xfId="802"/>
    <cellStyle name="40% - Accent6 18" xfId="803"/>
    <cellStyle name="40% - Accent6 19" xfId="804"/>
    <cellStyle name="40% - Accent6 2" xfId="805"/>
    <cellStyle name="40% - Accent6 20" xfId="806"/>
    <cellStyle name="40% - Accent6 21" xfId="807"/>
    <cellStyle name="40% - Accent6 22" xfId="808"/>
    <cellStyle name="40% - Accent6 23" xfId="809"/>
    <cellStyle name="40% - Accent6 24" xfId="810"/>
    <cellStyle name="40% - Accent6 25" xfId="811"/>
    <cellStyle name="40% - Accent6 26" xfId="812"/>
    <cellStyle name="40% - Accent6 27" xfId="813"/>
    <cellStyle name="40% - Accent6 28" xfId="814"/>
    <cellStyle name="40% - Accent6 29" xfId="815"/>
    <cellStyle name="40% - Accent6 3" xfId="816"/>
    <cellStyle name="40% - Accent6 30" xfId="817"/>
    <cellStyle name="40% - Accent6 31" xfId="818"/>
    <cellStyle name="40% - Accent6 32" xfId="819"/>
    <cellStyle name="40% - Accent6 33" xfId="820"/>
    <cellStyle name="40% - Accent6 34" xfId="821"/>
    <cellStyle name="40% - Accent6 35" xfId="822"/>
    <cellStyle name="40% - Accent6 36" xfId="823"/>
    <cellStyle name="40% - Accent6 37" xfId="824"/>
    <cellStyle name="40% - Accent6 38" xfId="825"/>
    <cellStyle name="40% - Accent6 39" xfId="826"/>
    <cellStyle name="40% - Accent6 4" xfId="827"/>
    <cellStyle name="40% - Accent6 40" xfId="828"/>
    <cellStyle name="40% - Accent6 41" xfId="829"/>
    <cellStyle name="40% - Accent6 42" xfId="830"/>
    <cellStyle name="40% - Accent6 43" xfId="831"/>
    <cellStyle name="40% - Accent6 44" xfId="832"/>
    <cellStyle name="40% - Accent6 45" xfId="833"/>
    <cellStyle name="40% - Accent6 46" xfId="834"/>
    <cellStyle name="40% - Accent6 47" xfId="835"/>
    <cellStyle name="40% - Accent6 48" xfId="836"/>
    <cellStyle name="40% - Accent6 49" xfId="837"/>
    <cellStyle name="40% - Accent6 5" xfId="838"/>
    <cellStyle name="40% - Accent6 50" xfId="839"/>
    <cellStyle name="40% - Accent6 51" xfId="840"/>
    <cellStyle name="40% - Accent6 52" xfId="841"/>
    <cellStyle name="40% - Accent6 53" xfId="842"/>
    <cellStyle name="40% - Accent6 54" xfId="843"/>
    <cellStyle name="40% - Accent6 55" xfId="844"/>
    <cellStyle name="40% - Accent6 56" xfId="845"/>
    <cellStyle name="40% - Accent6 57" xfId="846"/>
    <cellStyle name="40% - Accent6 58" xfId="847"/>
    <cellStyle name="40% - Accent6 59" xfId="848"/>
    <cellStyle name="40% - Accent6 6" xfId="849"/>
    <cellStyle name="40% - Accent6 7" xfId="850"/>
    <cellStyle name="40% - Accent6 8" xfId="851"/>
    <cellStyle name="40% - Accent6 9" xfId="852"/>
    <cellStyle name="40% - 强调文字颜色 1" xfId="853"/>
    <cellStyle name="40% - 强调文字颜色 1 2" xfId="854"/>
    <cellStyle name="40% - 强调文字颜色 2" xfId="855"/>
    <cellStyle name="40% - 强调文字颜色 2 2" xfId="856"/>
    <cellStyle name="40% - 强调文字颜色 3" xfId="857"/>
    <cellStyle name="40% - 强调文字颜色 3 2" xfId="858"/>
    <cellStyle name="40% - 强调文字颜色 4" xfId="859"/>
    <cellStyle name="40% - 强调文字颜色 4 2" xfId="860"/>
    <cellStyle name="40% - 强调文字颜色 5" xfId="861"/>
    <cellStyle name="40% - 强调文字颜色 5 2" xfId="862"/>
    <cellStyle name="40% - 强调文字颜色 6" xfId="863"/>
    <cellStyle name="40% - 强调文字颜色 6 2" xfId="864"/>
    <cellStyle name="60% - Accent1 10" xfId="865"/>
    <cellStyle name="60% - Accent1 11" xfId="866"/>
    <cellStyle name="60% - Accent1 12" xfId="867"/>
    <cellStyle name="60% - Accent1 13" xfId="868"/>
    <cellStyle name="60% - Accent1 14" xfId="869"/>
    <cellStyle name="60% - Accent1 15" xfId="870"/>
    <cellStyle name="60% - Accent1 16" xfId="871"/>
    <cellStyle name="60% - Accent1 17" xfId="872"/>
    <cellStyle name="60% - Accent1 18" xfId="873"/>
    <cellStyle name="60% - Accent1 19" xfId="874"/>
    <cellStyle name="60% - Accent1 2" xfId="875"/>
    <cellStyle name="60% - Accent1 20" xfId="876"/>
    <cellStyle name="60% - Accent1 21" xfId="877"/>
    <cellStyle name="60% - Accent1 22" xfId="878"/>
    <cellStyle name="60% - Accent1 23" xfId="879"/>
    <cellStyle name="60% - Accent1 24" xfId="880"/>
    <cellStyle name="60% - Accent1 25" xfId="881"/>
    <cellStyle name="60% - Accent1 26" xfId="882"/>
    <cellStyle name="60% - Accent1 27" xfId="883"/>
    <cellStyle name="60% - Accent1 28" xfId="884"/>
    <cellStyle name="60% - Accent1 29" xfId="885"/>
    <cellStyle name="60% - Accent1 3" xfId="886"/>
    <cellStyle name="60% - Accent1 30" xfId="887"/>
    <cellStyle name="60% - Accent1 31" xfId="888"/>
    <cellStyle name="60% - Accent1 32" xfId="889"/>
    <cellStyle name="60% - Accent1 33" xfId="890"/>
    <cellStyle name="60% - Accent1 34" xfId="891"/>
    <cellStyle name="60% - Accent1 35" xfId="892"/>
    <cellStyle name="60% - Accent1 36" xfId="893"/>
    <cellStyle name="60% - Accent1 37" xfId="894"/>
    <cellStyle name="60% - Accent1 38" xfId="895"/>
    <cellStyle name="60% - Accent1 39" xfId="896"/>
    <cellStyle name="60% - Accent1 4" xfId="897"/>
    <cellStyle name="60% - Accent1 40" xfId="898"/>
    <cellStyle name="60% - Accent1 41" xfId="899"/>
    <cellStyle name="60% - Accent1 42" xfId="900"/>
    <cellStyle name="60% - Accent1 43" xfId="901"/>
    <cellStyle name="60% - Accent1 44" xfId="902"/>
    <cellStyle name="60% - Accent1 45" xfId="903"/>
    <cellStyle name="60% - Accent1 46" xfId="904"/>
    <cellStyle name="60% - Accent1 47" xfId="905"/>
    <cellStyle name="60% - Accent1 48" xfId="906"/>
    <cellStyle name="60% - Accent1 49" xfId="907"/>
    <cellStyle name="60% - Accent1 5" xfId="908"/>
    <cellStyle name="60% - Accent1 50" xfId="909"/>
    <cellStyle name="60% - Accent1 51" xfId="910"/>
    <cellStyle name="60% - Accent1 52" xfId="911"/>
    <cellStyle name="60% - Accent1 53" xfId="912"/>
    <cellStyle name="60% - Accent1 54" xfId="913"/>
    <cellStyle name="60% - Accent1 55" xfId="914"/>
    <cellStyle name="60% - Accent1 56" xfId="915"/>
    <cellStyle name="60% - Accent1 57" xfId="916"/>
    <cellStyle name="60% - Accent1 58" xfId="917"/>
    <cellStyle name="60% - Accent1 59" xfId="918"/>
    <cellStyle name="60% - Accent1 6" xfId="919"/>
    <cellStyle name="60% - Accent1 7" xfId="920"/>
    <cellStyle name="60% - Accent1 8" xfId="921"/>
    <cellStyle name="60% - Accent1 9" xfId="922"/>
    <cellStyle name="60% - Accent2 10" xfId="923"/>
    <cellStyle name="60% - Accent2 11" xfId="924"/>
    <cellStyle name="60% - Accent2 12" xfId="925"/>
    <cellStyle name="60% - Accent2 13" xfId="926"/>
    <cellStyle name="60% - Accent2 14" xfId="927"/>
    <cellStyle name="60% - Accent2 15" xfId="928"/>
    <cellStyle name="60% - Accent2 16" xfId="929"/>
    <cellStyle name="60% - Accent2 17" xfId="930"/>
    <cellStyle name="60% - Accent2 18" xfId="931"/>
    <cellStyle name="60% - Accent2 19" xfId="932"/>
    <cellStyle name="60% - Accent2 2" xfId="933"/>
    <cellStyle name="60% - Accent2 20" xfId="934"/>
    <cellStyle name="60% - Accent2 21" xfId="935"/>
    <cellStyle name="60% - Accent2 22" xfId="936"/>
    <cellStyle name="60% - Accent2 23" xfId="937"/>
    <cellStyle name="60% - Accent2 24" xfId="938"/>
    <cellStyle name="60% - Accent2 25" xfId="939"/>
    <cellStyle name="60% - Accent2 26" xfId="940"/>
    <cellStyle name="60% - Accent2 27" xfId="941"/>
    <cellStyle name="60% - Accent2 28" xfId="942"/>
    <cellStyle name="60% - Accent2 29" xfId="943"/>
    <cellStyle name="60% - Accent2 3" xfId="944"/>
    <cellStyle name="60% - Accent2 30" xfId="945"/>
    <cellStyle name="60% - Accent2 31" xfId="946"/>
    <cellStyle name="60% - Accent2 32" xfId="947"/>
    <cellStyle name="60% - Accent2 33" xfId="948"/>
    <cellStyle name="60% - Accent2 34" xfId="949"/>
    <cellStyle name="60% - Accent2 35" xfId="950"/>
    <cellStyle name="60% - Accent2 36" xfId="951"/>
    <cellStyle name="60% - Accent2 37" xfId="952"/>
    <cellStyle name="60% - Accent2 38" xfId="953"/>
    <cellStyle name="60% - Accent2 39" xfId="954"/>
    <cellStyle name="60% - Accent2 4" xfId="955"/>
    <cellStyle name="60% - Accent2 40" xfId="956"/>
    <cellStyle name="60% - Accent2 41" xfId="957"/>
    <cellStyle name="60% - Accent2 42" xfId="958"/>
    <cellStyle name="60% - Accent2 43" xfId="959"/>
    <cellStyle name="60% - Accent2 44" xfId="960"/>
    <cellStyle name="60% - Accent2 45" xfId="961"/>
    <cellStyle name="60% - Accent2 46" xfId="962"/>
    <cellStyle name="60% - Accent2 47" xfId="963"/>
    <cellStyle name="60% - Accent2 48" xfId="964"/>
    <cellStyle name="60% - Accent2 49" xfId="965"/>
    <cellStyle name="60% - Accent2 5" xfId="966"/>
    <cellStyle name="60% - Accent2 50" xfId="967"/>
    <cellStyle name="60% - Accent2 51" xfId="968"/>
    <cellStyle name="60% - Accent2 52" xfId="969"/>
    <cellStyle name="60% - Accent2 53" xfId="970"/>
    <cellStyle name="60% - Accent2 54" xfId="971"/>
    <cellStyle name="60% - Accent2 55" xfId="972"/>
    <cellStyle name="60% - Accent2 56" xfId="973"/>
    <cellStyle name="60% - Accent2 57" xfId="974"/>
    <cellStyle name="60% - Accent2 58" xfId="975"/>
    <cellStyle name="60% - Accent2 59" xfId="976"/>
    <cellStyle name="60% - Accent2 6" xfId="977"/>
    <cellStyle name="60% - Accent2 7" xfId="978"/>
    <cellStyle name="60% - Accent2 8" xfId="979"/>
    <cellStyle name="60% - Accent2 9" xfId="980"/>
    <cellStyle name="60% - Accent3 10" xfId="981"/>
    <cellStyle name="60% - Accent3 11" xfId="982"/>
    <cellStyle name="60% - Accent3 12" xfId="983"/>
    <cellStyle name="60% - Accent3 13" xfId="984"/>
    <cellStyle name="60% - Accent3 14" xfId="985"/>
    <cellStyle name="60% - Accent3 15" xfId="986"/>
    <cellStyle name="60% - Accent3 16" xfId="987"/>
    <cellStyle name="60% - Accent3 17" xfId="988"/>
    <cellStyle name="60% - Accent3 18" xfId="989"/>
    <cellStyle name="60% - Accent3 19" xfId="990"/>
    <cellStyle name="60% - Accent3 2" xfId="991"/>
    <cellStyle name="60% - Accent3 20" xfId="992"/>
    <cellStyle name="60% - Accent3 21" xfId="993"/>
    <cellStyle name="60% - Accent3 22" xfId="994"/>
    <cellStyle name="60% - Accent3 23" xfId="995"/>
    <cellStyle name="60% - Accent3 24" xfId="996"/>
    <cellStyle name="60% - Accent3 25" xfId="997"/>
    <cellStyle name="60% - Accent3 26" xfId="998"/>
    <cellStyle name="60% - Accent3 27" xfId="999"/>
    <cellStyle name="60% - Accent3 28" xfId="1000"/>
    <cellStyle name="60% - Accent3 29" xfId="1001"/>
    <cellStyle name="60% - Accent3 3" xfId="1002"/>
    <cellStyle name="60% - Accent3 30" xfId="1003"/>
    <cellStyle name="60% - Accent3 31" xfId="1004"/>
    <cellStyle name="60% - Accent3 32" xfId="1005"/>
    <cellStyle name="60% - Accent3 33" xfId="1006"/>
    <cellStyle name="60% - Accent3 34" xfId="1007"/>
    <cellStyle name="60% - Accent3 35" xfId="1008"/>
    <cellStyle name="60% - Accent3 36" xfId="1009"/>
    <cellStyle name="60% - Accent3 37" xfId="1010"/>
    <cellStyle name="60% - Accent3 38" xfId="1011"/>
    <cellStyle name="60% - Accent3 39" xfId="1012"/>
    <cellStyle name="60% - Accent3 4" xfId="1013"/>
    <cellStyle name="60% - Accent3 40" xfId="1014"/>
    <cellStyle name="60% - Accent3 41" xfId="1015"/>
    <cellStyle name="60% - Accent3 42" xfId="1016"/>
    <cellStyle name="60% - Accent3 43" xfId="1017"/>
    <cellStyle name="60% - Accent3 44" xfId="1018"/>
    <cellStyle name="60% - Accent3 45" xfId="1019"/>
    <cellStyle name="60% - Accent3 46" xfId="1020"/>
    <cellStyle name="60% - Accent3 47" xfId="1021"/>
    <cellStyle name="60% - Accent3 48" xfId="1022"/>
    <cellStyle name="60% - Accent3 49" xfId="1023"/>
    <cellStyle name="60% - Accent3 5" xfId="1024"/>
    <cellStyle name="60% - Accent3 50" xfId="1025"/>
    <cellStyle name="60% - Accent3 51" xfId="1026"/>
    <cellStyle name="60% - Accent3 52" xfId="1027"/>
    <cellStyle name="60% - Accent3 53" xfId="1028"/>
    <cellStyle name="60% - Accent3 54" xfId="1029"/>
    <cellStyle name="60% - Accent3 55" xfId="1030"/>
    <cellStyle name="60% - Accent3 56" xfId="1031"/>
    <cellStyle name="60% - Accent3 57" xfId="1032"/>
    <cellStyle name="60% - Accent3 58" xfId="1033"/>
    <cellStyle name="60% - Accent3 59" xfId="1034"/>
    <cellStyle name="60% - Accent3 6" xfId="1035"/>
    <cellStyle name="60% - Accent3 7" xfId="1036"/>
    <cellStyle name="60% - Accent3 8" xfId="1037"/>
    <cellStyle name="60% - Accent3 9" xfId="1038"/>
    <cellStyle name="60% - Accent4 10" xfId="1039"/>
    <cellStyle name="60% - Accent4 11" xfId="1040"/>
    <cellStyle name="60% - Accent4 12" xfId="1041"/>
    <cellStyle name="60% - Accent4 13" xfId="1042"/>
    <cellStyle name="60% - Accent4 14" xfId="1043"/>
    <cellStyle name="60% - Accent4 15" xfId="1044"/>
    <cellStyle name="60% - Accent4 16" xfId="1045"/>
    <cellStyle name="60% - Accent4 17" xfId="1046"/>
    <cellStyle name="60% - Accent4 18" xfId="1047"/>
    <cellStyle name="60% - Accent4 19" xfId="1048"/>
    <cellStyle name="60% - Accent4 2" xfId="1049"/>
    <cellStyle name="60% - Accent4 20" xfId="1050"/>
    <cellStyle name="60% - Accent4 21" xfId="1051"/>
    <cellStyle name="60% - Accent4 22" xfId="1052"/>
    <cellStyle name="60% - Accent4 23" xfId="1053"/>
    <cellStyle name="60% - Accent4 24" xfId="1054"/>
    <cellStyle name="60% - Accent4 25" xfId="1055"/>
    <cellStyle name="60% - Accent4 26" xfId="1056"/>
    <cellStyle name="60% - Accent4 27" xfId="1057"/>
    <cellStyle name="60% - Accent4 28" xfId="1058"/>
    <cellStyle name="60% - Accent4 29" xfId="1059"/>
    <cellStyle name="60% - Accent4 3" xfId="1060"/>
    <cellStyle name="60% - Accent4 30" xfId="1061"/>
    <cellStyle name="60% - Accent4 31" xfId="1062"/>
    <cellStyle name="60% - Accent4 32" xfId="1063"/>
    <cellStyle name="60% - Accent4 33" xfId="1064"/>
    <cellStyle name="60% - Accent4 34" xfId="1065"/>
    <cellStyle name="60% - Accent4 35" xfId="1066"/>
    <cellStyle name="60% - Accent4 36" xfId="1067"/>
    <cellStyle name="60% - Accent4 37" xfId="1068"/>
    <cellStyle name="60% - Accent4 38" xfId="1069"/>
    <cellStyle name="60% - Accent4 39" xfId="1070"/>
    <cellStyle name="60% - Accent4 4" xfId="1071"/>
    <cellStyle name="60% - Accent4 40" xfId="1072"/>
    <cellStyle name="60% - Accent4 41" xfId="1073"/>
    <cellStyle name="60% - Accent4 42" xfId="1074"/>
    <cellStyle name="60% - Accent4 43" xfId="1075"/>
    <cellStyle name="60% - Accent4 44" xfId="1076"/>
    <cellStyle name="60% - Accent4 45" xfId="1077"/>
    <cellStyle name="60% - Accent4 46" xfId="1078"/>
    <cellStyle name="60% - Accent4 47" xfId="1079"/>
    <cellStyle name="60% - Accent4 48" xfId="1080"/>
    <cellStyle name="60% - Accent4 49" xfId="1081"/>
    <cellStyle name="60% - Accent4 5" xfId="1082"/>
    <cellStyle name="60% - Accent4 50" xfId="1083"/>
    <cellStyle name="60% - Accent4 51" xfId="1084"/>
    <cellStyle name="60% - Accent4 52" xfId="1085"/>
    <cellStyle name="60% - Accent4 53" xfId="1086"/>
    <cellStyle name="60% - Accent4 54" xfId="1087"/>
    <cellStyle name="60% - Accent4 55" xfId="1088"/>
    <cellStyle name="60% - Accent4 56" xfId="1089"/>
    <cellStyle name="60% - Accent4 57" xfId="1090"/>
    <cellStyle name="60% - Accent4 58" xfId="1091"/>
    <cellStyle name="60% - Accent4 59" xfId="1092"/>
    <cellStyle name="60% - Accent4 6" xfId="1093"/>
    <cellStyle name="60% - Accent4 7" xfId="1094"/>
    <cellStyle name="60% - Accent4 8" xfId="1095"/>
    <cellStyle name="60% - Accent4 9" xfId="1096"/>
    <cellStyle name="60% - Accent5 10" xfId="1097"/>
    <cellStyle name="60% - Accent5 11" xfId="1098"/>
    <cellStyle name="60% - Accent5 12" xfId="1099"/>
    <cellStyle name="60% - Accent5 13" xfId="1100"/>
    <cellStyle name="60% - Accent5 14" xfId="1101"/>
    <cellStyle name="60% - Accent5 15" xfId="1102"/>
    <cellStyle name="60% - Accent5 16" xfId="1103"/>
    <cellStyle name="60% - Accent5 17" xfId="1104"/>
    <cellStyle name="60% - Accent5 18" xfId="1105"/>
    <cellStyle name="60% - Accent5 19" xfId="1106"/>
    <cellStyle name="60% - Accent5 2" xfId="1107"/>
    <cellStyle name="60% - Accent5 20" xfId="1108"/>
    <cellStyle name="60% - Accent5 21" xfId="1109"/>
    <cellStyle name="60% - Accent5 22" xfId="1110"/>
    <cellStyle name="60% - Accent5 23" xfId="1111"/>
    <cellStyle name="60% - Accent5 24" xfId="1112"/>
    <cellStyle name="60% - Accent5 25" xfId="1113"/>
    <cellStyle name="60% - Accent5 26" xfId="1114"/>
    <cellStyle name="60% - Accent5 27" xfId="1115"/>
    <cellStyle name="60% - Accent5 28" xfId="1116"/>
    <cellStyle name="60% - Accent5 29" xfId="1117"/>
    <cellStyle name="60% - Accent5 3" xfId="1118"/>
    <cellStyle name="60% - Accent5 30" xfId="1119"/>
    <cellStyle name="60% - Accent5 31" xfId="1120"/>
    <cellStyle name="60% - Accent5 32" xfId="1121"/>
    <cellStyle name="60% - Accent5 33" xfId="1122"/>
    <cellStyle name="60% - Accent5 34" xfId="1123"/>
    <cellStyle name="60% - Accent5 35" xfId="1124"/>
    <cellStyle name="60% - Accent5 36" xfId="1125"/>
    <cellStyle name="60% - Accent5 37" xfId="1126"/>
    <cellStyle name="60% - Accent5 38" xfId="1127"/>
    <cellStyle name="60% - Accent5 39" xfId="1128"/>
    <cellStyle name="60% - Accent5 4" xfId="1129"/>
    <cellStyle name="60% - Accent5 40" xfId="1130"/>
    <cellStyle name="60% - Accent5 41" xfId="1131"/>
    <cellStyle name="60% - Accent5 42" xfId="1132"/>
    <cellStyle name="60% - Accent5 43" xfId="1133"/>
    <cellStyle name="60% - Accent5 44" xfId="1134"/>
    <cellStyle name="60% - Accent5 45" xfId="1135"/>
    <cellStyle name="60% - Accent5 46" xfId="1136"/>
    <cellStyle name="60% - Accent5 47" xfId="1137"/>
    <cellStyle name="60% - Accent5 48" xfId="1138"/>
    <cellStyle name="60% - Accent5 49" xfId="1139"/>
    <cellStyle name="60% - Accent5 5" xfId="1140"/>
    <cellStyle name="60% - Accent5 50" xfId="1141"/>
    <cellStyle name="60% - Accent5 51" xfId="1142"/>
    <cellStyle name="60% - Accent5 52" xfId="1143"/>
    <cellStyle name="60% - Accent5 53" xfId="1144"/>
    <cellStyle name="60% - Accent5 54" xfId="1145"/>
    <cellStyle name="60% - Accent5 55" xfId="1146"/>
    <cellStyle name="60% - Accent5 56" xfId="1147"/>
    <cellStyle name="60% - Accent5 57" xfId="1148"/>
    <cellStyle name="60% - Accent5 58" xfId="1149"/>
    <cellStyle name="60% - Accent5 59" xfId="1150"/>
    <cellStyle name="60% - Accent5 6" xfId="1151"/>
    <cellStyle name="60% - Accent5 7" xfId="1152"/>
    <cellStyle name="60% - Accent5 8" xfId="1153"/>
    <cellStyle name="60% - Accent5 9" xfId="1154"/>
    <cellStyle name="60% - Accent6 10" xfId="1155"/>
    <cellStyle name="60% - Accent6 11" xfId="1156"/>
    <cellStyle name="60% - Accent6 12" xfId="1157"/>
    <cellStyle name="60% - Accent6 13" xfId="1158"/>
    <cellStyle name="60% - Accent6 14" xfId="1159"/>
    <cellStyle name="60% - Accent6 15" xfId="1160"/>
    <cellStyle name="60% - Accent6 16" xfId="1161"/>
    <cellStyle name="60% - Accent6 17" xfId="1162"/>
    <cellStyle name="60% - Accent6 18" xfId="1163"/>
    <cellStyle name="60% - Accent6 19" xfId="1164"/>
    <cellStyle name="60% - Accent6 2" xfId="1165"/>
    <cellStyle name="60% - Accent6 20" xfId="1166"/>
    <cellStyle name="60% - Accent6 21" xfId="1167"/>
    <cellStyle name="60% - Accent6 22" xfId="1168"/>
    <cellStyle name="60% - Accent6 23" xfId="1169"/>
    <cellStyle name="60% - Accent6 24" xfId="1170"/>
    <cellStyle name="60% - Accent6 25" xfId="1171"/>
    <cellStyle name="60% - Accent6 26" xfId="1172"/>
    <cellStyle name="60% - Accent6 27" xfId="1173"/>
    <cellStyle name="60% - Accent6 28" xfId="1174"/>
    <cellStyle name="60% - Accent6 29" xfId="1175"/>
    <cellStyle name="60% - Accent6 3" xfId="1176"/>
    <cellStyle name="60% - Accent6 30" xfId="1177"/>
    <cellStyle name="60% - Accent6 31" xfId="1178"/>
    <cellStyle name="60% - Accent6 32" xfId="1179"/>
    <cellStyle name="60% - Accent6 33" xfId="1180"/>
    <cellStyle name="60% - Accent6 34" xfId="1181"/>
    <cellStyle name="60% - Accent6 35" xfId="1182"/>
    <cellStyle name="60% - Accent6 36" xfId="1183"/>
    <cellStyle name="60% - Accent6 37" xfId="1184"/>
    <cellStyle name="60% - Accent6 38" xfId="1185"/>
    <cellStyle name="60% - Accent6 39" xfId="1186"/>
    <cellStyle name="60% - Accent6 4" xfId="1187"/>
    <cellStyle name="60% - Accent6 40" xfId="1188"/>
    <cellStyle name="60% - Accent6 41" xfId="1189"/>
    <cellStyle name="60% - Accent6 42" xfId="1190"/>
    <cellStyle name="60% - Accent6 43" xfId="1191"/>
    <cellStyle name="60% - Accent6 44" xfId="1192"/>
    <cellStyle name="60% - Accent6 45" xfId="1193"/>
    <cellStyle name="60% - Accent6 46" xfId="1194"/>
    <cellStyle name="60% - Accent6 47" xfId="1195"/>
    <cellStyle name="60% - Accent6 48" xfId="1196"/>
    <cellStyle name="60% - Accent6 49" xfId="1197"/>
    <cellStyle name="60% - Accent6 5" xfId="1198"/>
    <cellStyle name="60% - Accent6 50" xfId="1199"/>
    <cellStyle name="60% - Accent6 51" xfId="1200"/>
    <cellStyle name="60% - Accent6 52" xfId="1201"/>
    <cellStyle name="60% - Accent6 53" xfId="1202"/>
    <cellStyle name="60% - Accent6 54" xfId="1203"/>
    <cellStyle name="60% - Accent6 55" xfId="1204"/>
    <cellStyle name="60% - Accent6 56" xfId="1205"/>
    <cellStyle name="60% - Accent6 57" xfId="1206"/>
    <cellStyle name="60% - Accent6 58" xfId="1207"/>
    <cellStyle name="60% - Accent6 59" xfId="1208"/>
    <cellStyle name="60% - Accent6 6" xfId="1209"/>
    <cellStyle name="60% - Accent6 7" xfId="1210"/>
    <cellStyle name="60% - Accent6 8" xfId="1211"/>
    <cellStyle name="60% - Accent6 9" xfId="1212"/>
    <cellStyle name="60% - 强调文字颜色 1" xfId="1213"/>
    <cellStyle name="60% - 强调文字颜色 1 2" xfId="1214"/>
    <cellStyle name="60% - 强调文字颜色 2" xfId="1215"/>
    <cellStyle name="60% - 强调文字颜色 2 2" xfId="1216"/>
    <cellStyle name="60% - 强调文字颜色 3" xfId="1217"/>
    <cellStyle name="60% - 强调文字颜色 3 2" xfId="1218"/>
    <cellStyle name="60% - 强调文字颜色 4" xfId="1219"/>
    <cellStyle name="60% - 强调文字颜色 4 2" xfId="1220"/>
    <cellStyle name="60% - 强调文字颜色 5" xfId="1221"/>
    <cellStyle name="60% - 强调文字颜色 5 2" xfId="1222"/>
    <cellStyle name="60% - 强调文字颜色 6" xfId="1223"/>
    <cellStyle name="60% - 强调文字颜色 6 2" xfId="1224"/>
    <cellStyle name="Accent1 - 20%" xfId="1225"/>
    <cellStyle name="Accent1 - 40%" xfId="1226"/>
    <cellStyle name="Accent1 - 60%" xfId="1227"/>
    <cellStyle name="Accent1 10" xfId="1228"/>
    <cellStyle name="Accent1 11" xfId="1229"/>
    <cellStyle name="Accent1 12" xfId="1230"/>
    <cellStyle name="Accent1 13" xfId="1231"/>
    <cellStyle name="Accent1 14" xfId="1232"/>
    <cellStyle name="Accent1 15" xfId="1233"/>
    <cellStyle name="Accent1 16" xfId="1234"/>
    <cellStyle name="Accent1 17" xfId="1235"/>
    <cellStyle name="Accent1 18" xfId="1236"/>
    <cellStyle name="Accent1 19" xfId="1237"/>
    <cellStyle name="Accent1 2" xfId="1238"/>
    <cellStyle name="Accent1 2 2" xfId="1239"/>
    <cellStyle name="Accent1 20" xfId="1240"/>
    <cellStyle name="Accent1 21" xfId="1241"/>
    <cellStyle name="Accent1 22" xfId="1242"/>
    <cellStyle name="Accent1 23" xfId="1243"/>
    <cellStyle name="Accent1 24" xfId="1244"/>
    <cellStyle name="Accent1 25" xfId="1245"/>
    <cellStyle name="Accent1 26" xfId="1246"/>
    <cellStyle name="Accent1 27" xfId="1247"/>
    <cellStyle name="Accent1 28" xfId="1248"/>
    <cellStyle name="Accent1 29" xfId="1249"/>
    <cellStyle name="Accent1 3" xfId="1250"/>
    <cellStyle name="Accent1 30" xfId="1251"/>
    <cellStyle name="Accent1 31" xfId="1252"/>
    <cellStyle name="Accent1 32" xfId="1253"/>
    <cellStyle name="Accent1 33" xfId="1254"/>
    <cellStyle name="Accent1 34" xfId="1255"/>
    <cellStyle name="Accent1 35" xfId="1256"/>
    <cellStyle name="Accent1 36" xfId="1257"/>
    <cellStyle name="Accent1 37" xfId="1258"/>
    <cellStyle name="Accent1 38" xfId="1259"/>
    <cellStyle name="Accent1 39" xfId="1260"/>
    <cellStyle name="Accent1 4" xfId="1261"/>
    <cellStyle name="Accent1 40" xfId="1262"/>
    <cellStyle name="Accent1 41" xfId="1263"/>
    <cellStyle name="Accent1 42" xfId="1264"/>
    <cellStyle name="Accent1 43" xfId="1265"/>
    <cellStyle name="Accent1 44" xfId="1266"/>
    <cellStyle name="Accent1 45" xfId="1267"/>
    <cellStyle name="Accent1 46" xfId="1268"/>
    <cellStyle name="Accent1 47" xfId="1269"/>
    <cellStyle name="Accent1 48" xfId="1270"/>
    <cellStyle name="Accent1 49" xfId="1271"/>
    <cellStyle name="Accent1 5" xfId="1272"/>
    <cellStyle name="Accent1 50" xfId="1273"/>
    <cellStyle name="Accent1 51" xfId="1274"/>
    <cellStyle name="Accent1 52" xfId="1275"/>
    <cellStyle name="Accent1 53" xfId="1276"/>
    <cellStyle name="Accent1 54" xfId="1277"/>
    <cellStyle name="Accent1 55" xfId="1278"/>
    <cellStyle name="Accent1 56" xfId="1279"/>
    <cellStyle name="Accent1 57" xfId="1280"/>
    <cellStyle name="Accent1 58" xfId="1281"/>
    <cellStyle name="Accent1 59" xfId="1282"/>
    <cellStyle name="Accent1 6" xfId="1283"/>
    <cellStyle name="Accent1 7" xfId="1284"/>
    <cellStyle name="Accent1 8" xfId="1285"/>
    <cellStyle name="Accent1 9" xfId="1286"/>
    <cellStyle name="Accent2 - 20%" xfId="1287"/>
    <cellStyle name="Accent2 - 40%" xfId="1288"/>
    <cellStyle name="Accent2 - 60%" xfId="1289"/>
    <cellStyle name="Accent2 10" xfId="1290"/>
    <cellStyle name="Accent2 11" xfId="1291"/>
    <cellStyle name="Accent2 12" xfId="1292"/>
    <cellStyle name="Accent2 13" xfId="1293"/>
    <cellStyle name="Accent2 14" xfId="1294"/>
    <cellStyle name="Accent2 15" xfId="1295"/>
    <cellStyle name="Accent2 16" xfId="1296"/>
    <cellStyle name="Accent2 17" xfId="1297"/>
    <cellStyle name="Accent2 18" xfId="1298"/>
    <cellStyle name="Accent2 19" xfId="1299"/>
    <cellStyle name="Accent2 2" xfId="1300"/>
    <cellStyle name="Accent2 2 2" xfId="1301"/>
    <cellStyle name="Accent2 20" xfId="1302"/>
    <cellStyle name="Accent2 21" xfId="1303"/>
    <cellStyle name="Accent2 22" xfId="1304"/>
    <cellStyle name="Accent2 23" xfId="1305"/>
    <cellStyle name="Accent2 24" xfId="1306"/>
    <cellStyle name="Accent2 25" xfId="1307"/>
    <cellStyle name="Accent2 26" xfId="1308"/>
    <cellStyle name="Accent2 27" xfId="1309"/>
    <cellStyle name="Accent2 28" xfId="1310"/>
    <cellStyle name="Accent2 29" xfId="1311"/>
    <cellStyle name="Accent2 3" xfId="1312"/>
    <cellStyle name="Accent2 30" xfId="1313"/>
    <cellStyle name="Accent2 31" xfId="1314"/>
    <cellStyle name="Accent2 32" xfId="1315"/>
    <cellStyle name="Accent2 33" xfId="1316"/>
    <cellStyle name="Accent2 34" xfId="1317"/>
    <cellStyle name="Accent2 35" xfId="1318"/>
    <cellStyle name="Accent2 36" xfId="1319"/>
    <cellStyle name="Accent2 37" xfId="1320"/>
    <cellStyle name="Accent2 38" xfId="1321"/>
    <cellStyle name="Accent2 39" xfId="1322"/>
    <cellStyle name="Accent2 4" xfId="1323"/>
    <cellStyle name="Accent2 40" xfId="1324"/>
    <cellStyle name="Accent2 41" xfId="1325"/>
    <cellStyle name="Accent2 42" xfId="1326"/>
    <cellStyle name="Accent2 43" xfId="1327"/>
    <cellStyle name="Accent2 44" xfId="1328"/>
    <cellStyle name="Accent2 45" xfId="1329"/>
    <cellStyle name="Accent2 46" xfId="1330"/>
    <cellStyle name="Accent2 47" xfId="1331"/>
    <cellStyle name="Accent2 48" xfId="1332"/>
    <cellStyle name="Accent2 49" xfId="1333"/>
    <cellStyle name="Accent2 5" xfId="1334"/>
    <cellStyle name="Accent2 50" xfId="1335"/>
    <cellStyle name="Accent2 51" xfId="1336"/>
    <cellStyle name="Accent2 52" xfId="1337"/>
    <cellStyle name="Accent2 53" xfId="1338"/>
    <cellStyle name="Accent2 54" xfId="1339"/>
    <cellStyle name="Accent2 55" xfId="1340"/>
    <cellStyle name="Accent2 56" xfId="1341"/>
    <cellStyle name="Accent2 57" xfId="1342"/>
    <cellStyle name="Accent2 58" xfId="1343"/>
    <cellStyle name="Accent2 59" xfId="1344"/>
    <cellStyle name="Accent2 6" xfId="1345"/>
    <cellStyle name="Accent2 7" xfId="1346"/>
    <cellStyle name="Accent2 8" xfId="1347"/>
    <cellStyle name="Accent2 9" xfId="1348"/>
    <cellStyle name="Accent3 - 20%" xfId="1349"/>
    <cellStyle name="Accent3 - 40%" xfId="1350"/>
    <cellStyle name="Accent3 - 60%" xfId="1351"/>
    <cellStyle name="Accent3 10" xfId="1352"/>
    <cellStyle name="Accent3 11" xfId="1353"/>
    <cellStyle name="Accent3 12" xfId="1354"/>
    <cellStyle name="Accent3 13" xfId="1355"/>
    <cellStyle name="Accent3 14" xfId="1356"/>
    <cellStyle name="Accent3 15" xfId="1357"/>
    <cellStyle name="Accent3 16" xfId="1358"/>
    <cellStyle name="Accent3 17" xfId="1359"/>
    <cellStyle name="Accent3 18" xfId="1360"/>
    <cellStyle name="Accent3 19" xfId="1361"/>
    <cellStyle name="Accent3 2" xfId="1362"/>
    <cellStyle name="Accent3 2 2" xfId="1363"/>
    <cellStyle name="Accent3 20" xfId="1364"/>
    <cellStyle name="Accent3 21" xfId="1365"/>
    <cellStyle name="Accent3 22" xfId="1366"/>
    <cellStyle name="Accent3 23" xfId="1367"/>
    <cellStyle name="Accent3 24" xfId="1368"/>
    <cellStyle name="Accent3 25" xfId="1369"/>
    <cellStyle name="Accent3 26" xfId="1370"/>
    <cellStyle name="Accent3 27" xfId="1371"/>
    <cellStyle name="Accent3 28" xfId="1372"/>
    <cellStyle name="Accent3 29" xfId="1373"/>
    <cellStyle name="Accent3 3" xfId="1374"/>
    <cellStyle name="Accent3 30" xfId="1375"/>
    <cellStyle name="Accent3 31" xfId="1376"/>
    <cellStyle name="Accent3 32" xfId="1377"/>
    <cellStyle name="Accent3 33" xfId="1378"/>
    <cellStyle name="Accent3 34" xfId="1379"/>
    <cellStyle name="Accent3 35" xfId="1380"/>
    <cellStyle name="Accent3 36" xfId="1381"/>
    <cellStyle name="Accent3 37" xfId="1382"/>
    <cellStyle name="Accent3 38" xfId="1383"/>
    <cellStyle name="Accent3 39" xfId="1384"/>
    <cellStyle name="Accent3 4" xfId="1385"/>
    <cellStyle name="Accent3 40" xfId="1386"/>
    <cellStyle name="Accent3 41" xfId="1387"/>
    <cellStyle name="Accent3 42" xfId="1388"/>
    <cellStyle name="Accent3 43" xfId="1389"/>
    <cellStyle name="Accent3 44" xfId="1390"/>
    <cellStyle name="Accent3 45" xfId="1391"/>
    <cellStyle name="Accent3 46" xfId="1392"/>
    <cellStyle name="Accent3 47" xfId="1393"/>
    <cellStyle name="Accent3 48" xfId="1394"/>
    <cellStyle name="Accent3 49" xfId="1395"/>
    <cellStyle name="Accent3 5" xfId="1396"/>
    <cellStyle name="Accent3 50" xfId="1397"/>
    <cellStyle name="Accent3 51" xfId="1398"/>
    <cellStyle name="Accent3 52" xfId="1399"/>
    <cellStyle name="Accent3 53" xfId="1400"/>
    <cellStyle name="Accent3 54" xfId="1401"/>
    <cellStyle name="Accent3 55" xfId="1402"/>
    <cellStyle name="Accent3 56" xfId="1403"/>
    <cellStyle name="Accent3 57" xfId="1404"/>
    <cellStyle name="Accent3 58" xfId="1405"/>
    <cellStyle name="Accent3 59" xfId="1406"/>
    <cellStyle name="Accent3 6" xfId="1407"/>
    <cellStyle name="Accent3 7" xfId="1408"/>
    <cellStyle name="Accent3 8" xfId="1409"/>
    <cellStyle name="Accent3 9" xfId="1410"/>
    <cellStyle name="Accent4 - 20%" xfId="1411"/>
    <cellStyle name="Accent4 - 40%" xfId="1412"/>
    <cellStyle name="Accent4 - 60%" xfId="1413"/>
    <cellStyle name="Accent4 10" xfId="1414"/>
    <cellStyle name="Accent4 11" xfId="1415"/>
    <cellStyle name="Accent4 12" xfId="1416"/>
    <cellStyle name="Accent4 13" xfId="1417"/>
    <cellStyle name="Accent4 14" xfId="1418"/>
    <cellStyle name="Accent4 15" xfId="1419"/>
    <cellStyle name="Accent4 16" xfId="1420"/>
    <cellStyle name="Accent4 17" xfId="1421"/>
    <cellStyle name="Accent4 18" xfId="1422"/>
    <cellStyle name="Accent4 19" xfId="1423"/>
    <cellStyle name="Accent4 2" xfId="1424"/>
    <cellStyle name="Accent4 2 2" xfId="1425"/>
    <cellStyle name="Accent4 20" xfId="1426"/>
    <cellStyle name="Accent4 21" xfId="1427"/>
    <cellStyle name="Accent4 22" xfId="1428"/>
    <cellStyle name="Accent4 23" xfId="1429"/>
    <cellStyle name="Accent4 24" xfId="1430"/>
    <cellStyle name="Accent4 25" xfId="1431"/>
    <cellStyle name="Accent4 26" xfId="1432"/>
    <cellStyle name="Accent4 27" xfId="1433"/>
    <cellStyle name="Accent4 28" xfId="1434"/>
    <cellStyle name="Accent4 29" xfId="1435"/>
    <cellStyle name="Accent4 3" xfId="1436"/>
    <cellStyle name="Accent4 30" xfId="1437"/>
    <cellStyle name="Accent4 31" xfId="1438"/>
    <cellStyle name="Accent4 32" xfId="1439"/>
    <cellStyle name="Accent4 33" xfId="1440"/>
    <cellStyle name="Accent4 34" xfId="1441"/>
    <cellStyle name="Accent4 35" xfId="1442"/>
    <cellStyle name="Accent4 36" xfId="1443"/>
    <cellStyle name="Accent4 37" xfId="1444"/>
    <cellStyle name="Accent4 38" xfId="1445"/>
    <cellStyle name="Accent4 39" xfId="1446"/>
    <cellStyle name="Accent4 4" xfId="1447"/>
    <cellStyle name="Accent4 40" xfId="1448"/>
    <cellStyle name="Accent4 41" xfId="1449"/>
    <cellStyle name="Accent4 42" xfId="1450"/>
    <cellStyle name="Accent4 43" xfId="1451"/>
    <cellStyle name="Accent4 44" xfId="1452"/>
    <cellStyle name="Accent4 45" xfId="1453"/>
    <cellStyle name="Accent4 46" xfId="1454"/>
    <cellStyle name="Accent4 47" xfId="1455"/>
    <cellStyle name="Accent4 48" xfId="1456"/>
    <cellStyle name="Accent4 49" xfId="1457"/>
    <cellStyle name="Accent4 5" xfId="1458"/>
    <cellStyle name="Accent4 50" xfId="1459"/>
    <cellStyle name="Accent4 51" xfId="1460"/>
    <cellStyle name="Accent4 52" xfId="1461"/>
    <cellStyle name="Accent4 53" xfId="1462"/>
    <cellStyle name="Accent4 54" xfId="1463"/>
    <cellStyle name="Accent4 55" xfId="1464"/>
    <cellStyle name="Accent4 56" xfId="1465"/>
    <cellStyle name="Accent4 57" xfId="1466"/>
    <cellStyle name="Accent4 58" xfId="1467"/>
    <cellStyle name="Accent4 59" xfId="1468"/>
    <cellStyle name="Accent4 6" xfId="1469"/>
    <cellStyle name="Accent4 7" xfId="1470"/>
    <cellStyle name="Accent4 8" xfId="1471"/>
    <cellStyle name="Accent4 9" xfId="1472"/>
    <cellStyle name="Accent5 - 20%" xfId="1473"/>
    <cellStyle name="Accent5 - 40%" xfId="1474"/>
    <cellStyle name="Accent5 - 60%" xfId="1475"/>
    <cellStyle name="Accent5 10" xfId="1476"/>
    <cellStyle name="Accent5 11" xfId="1477"/>
    <cellStyle name="Accent5 12" xfId="1478"/>
    <cellStyle name="Accent5 13" xfId="1479"/>
    <cellStyle name="Accent5 14" xfId="1480"/>
    <cellStyle name="Accent5 15" xfId="1481"/>
    <cellStyle name="Accent5 16" xfId="1482"/>
    <cellStyle name="Accent5 17" xfId="1483"/>
    <cellStyle name="Accent5 18" xfId="1484"/>
    <cellStyle name="Accent5 19" xfId="1485"/>
    <cellStyle name="Accent5 2" xfId="1486"/>
    <cellStyle name="Accent5 2 2" xfId="1487"/>
    <cellStyle name="Accent5 20" xfId="1488"/>
    <cellStyle name="Accent5 21" xfId="1489"/>
    <cellStyle name="Accent5 22" xfId="1490"/>
    <cellStyle name="Accent5 23" xfId="1491"/>
    <cellStyle name="Accent5 24" xfId="1492"/>
    <cellStyle name="Accent5 25" xfId="1493"/>
    <cellStyle name="Accent5 26" xfId="1494"/>
    <cellStyle name="Accent5 27" xfId="1495"/>
    <cellStyle name="Accent5 28" xfId="1496"/>
    <cellStyle name="Accent5 29" xfId="1497"/>
    <cellStyle name="Accent5 3" xfId="1498"/>
    <cellStyle name="Accent5 30" xfId="1499"/>
    <cellStyle name="Accent5 31" xfId="1500"/>
    <cellStyle name="Accent5 32" xfId="1501"/>
    <cellStyle name="Accent5 33" xfId="1502"/>
    <cellStyle name="Accent5 34" xfId="1503"/>
    <cellStyle name="Accent5 35" xfId="1504"/>
    <cellStyle name="Accent5 36" xfId="1505"/>
    <cellStyle name="Accent5 37" xfId="1506"/>
    <cellStyle name="Accent5 38" xfId="1507"/>
    <cellStyle name="Accent5 39" xfId="1508"/>
    <cellStyle name="Accent5 4" xfId="1509"/>
    <cellStyle name="Accent5 40" xfId="1510"/>
    <cellStyle name="Accent5 41" xfId="1511"/>
    <cellStyle name="Accent5 42" xfId="1512"/>
    <cellStyle name="Accent5 43" xfId="1513"/>
    <cellStyle name="Accent5 44" xfId="1514"/>
    <cellStyle name="Accent5 45" xfId="1515"/>
    <cellStyle name="Accent5 46" xfId="1516"/>
    <cellStyle name="Accent5 47" xfId="1517"/>
    <cellStyle name="Accent5 48" xfId="1518"/>
    <cellStyle name="Accent5 49" xfId="1519"/>
    <cellStyle name="Accent5 5" xfId="1520"/>
    <cellStyle name="Accent5 50" xfId="1521"/>
    <cellStyle name="Accent5 51" xfId="1522"/>
    <cellStyle name="Accent5 52" xfId="1523"/>
    <cellStyle name="Accent5 53" xfId="1524"/>
    <cellStyle name="Accent5 54" xfId="1525"/>
    <cellStyle name="Accent5 55" xfId="1526"/>
    <cellStyle name="Accent5 56" xfId="1527"/>
    <cellStyle name="Accent5 57" xfId="1528"/>
    <cellStyle name="Accent5 58" xfId="1529"/>
    <cellStyle name="Accent5 59" xfId="1530"/>
    <cellStyle name="Accent5 6" xfId="1531"/>
    <cellStyle name="Accent5 7" xfId="1532"/>
    <cellStyle name="Accent5 8" xfId="1533"/>
    <cellStyle name="Accent5 9" xfId="1534"/>
    <cellStyle name="Accent6 - 20%" xfId="1535"/>
    <cellStyle name="Accent6 - 40%" xfId="1536"/>
    <cellStyle name="Accent6 - 60%" xfId="1537"/>
    <cellStyle name="Accent6 10" xfId="1538"/>
    <cellStyle name="Accent6 11" xfId="1539"/>
    <cellStyle name="Accent6 12" xfId="1540"/>
    <cellStyle name="Accent6 13" xfId="1541"/>
    <cellStyle name="Accent6 14" xfId="1542"/>
    <cellStyle name="Accent6 15" xfId="1543"/>
    <cellStyle name="Accent6 16" xfId="1544"/>
    <cellStyle name="Accent6 17" xfId="1545"/>
    <cellStyle name="Accent6 18" xfId="1546"/>
    <cellStyle name="Accent6 19" xfId="1547"/>
    <cellStyle name="Accent6 2" xfId="1548"/>
    <cellStyle name="Accent6 2 2" xfId="1549"/>
    <cellStyle name="Accent6 20" xfId="1550"/>
    <cellStyle name="Accent6 21" xfId="1551"/>
    <cellStyle name="Accent6 22" xfId="1552"/>
    <cellStyle name="Accent6 23" xfId="1553"/>
    <cellStyle name="Accent6 24" xfId="1554"/>
    <cellStyle name="Accent6 25" xfId="1555"/>
    <cellStyle name="Accent6 26" xfId="1556"/>
    <cellStyle name="Accent6 27" xfId="1557"/>
    <cellStyle name="Accent6 28" xfId="1558"/>
    <cellStyle name="Accent6 29" xfId="1559"/>
    <cellStyle name="Accent6 3" xfId="1560"/>
    <cellStyle name="Accent6 30" xfId="1561"/>
    <cellStyle name="Accent6 31" xfId="1562"/>
    <cellStyle name="Accent6 32" xfId="1563"/>
    <cellStyle name="Accent6 33" xfId="1564"/>
    <cellStyle name="Accent6 34" xfId="1565"/>
    <cellStyle name="Accent6 35" xfId="1566"/>
    <cellStyle name="Accent6 36" xfId="1567"/>
    <cellStyle name="Accent6 37" xfId="1568"/>
    <cellStyle name="Accent6 38" xfId="1569"/>
    <cellStyle name="Accent6 39" xfId="1570"/>
    <cellStyle name="Accent6 4" xfId="1571"/>
    <cellStyle name="Accent6 40" xfId="1572"/>
    <cellStyle name="Accent6 41" xfId="1573"/>
    <cellStyle name="Accent6 42" xfId="1574"/>
    <cellStyle name="Accent6 43" xfId="1575"/>
    <cellStyle name="Accent6 44" xfId="1576"/>
    <cellStyle name="Accent6 45" xfId="1577"/>
    <cellStyle name="Accent6 46" xfId="1578"/>
    <cellStyle name="Accent6 47" xfId="1579"/>
    <cellStyle name="Accent6 48" xfId="1580"/>
    <cellStyle name="Accent6 49" xfId="1581"/>
    <cellStyle name="Accent6 5" xfId="1582"/>
    <cellStyle name="Accent6 50" xfId="1583"/>
    <cellStyle name="Accent6 51" xfId="1584"/>
    <cellStyle name="Accent6 52" xfId="1585"/>
    <cellStyle name="Accent6 53" xfId="1586"/>
    <cellStyle name="Accent6 54" xfId="1587"/>
    <cellStyle name="Accent6 55" xfId="1588"/>
    <cellStyle name="Accent6 56" xfId="1589"/>
    <cellStyle name="Accent6 57" xfId="1590"/>
    <cellStyle name="Accent6 58" xfId="1591"/>
    <cellStyle name="Accent6 59" xfId="1592"/>
    <cellStyle name="Accent6 6" xfId="1593"/>
    <cellStyle name="Accent6 7" xfId="1594"/>
    <cellStyle name="Accent6 8" xfId="1595"/>
    <cellStyle name="Accent6 9" xfId="1596"/>
    <cellStyle name="Aee­ " xfId="1597"/>
    <cellStyle name="Aee­  10" xfId="1598"/>
    <cellStyle name="Aee­  2" xfId="1599"/>
    <cellStyle name="Aee­  3" xfId="1600"/>
    <cellStyle name="Aee­  4" xfId="1601"/>
    <cellStyle name="Aee­  5" xfId="1602"/>
    <cellStyle name="Aee­  6" xfId="1603"/>
    <cellStyle name="Aee­  7" xfId="1604"/>
    <cellStyle name="Aee­  8" xfId="1605"/>
    <cellStyle name="Aee­  9" xfId="1606"/>
    <cellStyle name="ÅëÈ­ [0]_7°èÈ¹ " xfId="1607"/>
    <cellStyle name="AeE­ [0]_A¾CO½A¼³ " xfId="1608"/>
    <cellStyle name="ÅëÈ­ [0]_º»¼± ±æ¾î±úºÎ ¼ö·® Áý°èÇ¥ " xfId="1609"/>
    <cellStyle name="AeE­ [0]_º≫¼± ±æ¾i±uºI ¼o·R Ay°eC￥ " xfId="1610"/>
    <cellStyle name="Aee­ _34.01(a)" xfId="1611"/>
    <cellStyle name="ÅëÈ­_7°èÈ¹ " xfId="1612"/>
    <cellStyle name="AeE­_A¾CO½A¼³ " xfId="1613"/>
    <cellStyle name="ÅëÈ­_º»¼± ±æ¾î±úºÎ ¼ö·® Áý°èÇ¥ " xfId="1614"/>
    <cellStyle name="AeE­_º≫¼± ±æ¾i±uºI ¼o·R Ay°eC￥ " xfId="1615"/>
    <cellStyle name="ÄÞ¸¶ [0]_7°èÈ¹ " xfId="1616"/>
    <cellStyle name="AÞ¸¶ [0]_A¾CO½A¼³ " xfId="1617"/>
    <cellStyle name="ÄÞ¸¶ [0]_º»¼± ±æ¾î±úºÎ ¼ö·® Áý°èÇ¥ " xfId="1618"/>
    <cellStyle name="AÞ¸¶ [0]_º≫¼± ±æ¾i±uºI ¼o·R Ay°eC￥ " xfId="1619"/>
    <cellStyle name="ÄÞ¸¶_7°èÈ¹ " xfId="1620"/>
    <cellStyle name="AÞ¸¶_A¾CO½A¼³ " xfId="1621"/>
    <cellStyle name="ÄÞ¸¶_º»¼± ±æ¾î±úºÎ ¼ö·® Áý°èÇ¥ " xfId="1622"/>
    <cellStyle name="AÞ¸¶_º≫¼± ±æ¾i±uºI ¼o·R Ay°eC￥ " xfId="1623"/>
    <cellStyle name="Bad 10" xfId="1624"/>
    <cellStyle name="Bad 11" xfId="1625"/>
    <cellStyle name="Bad 12" xfId="1626"/>
    <cellStyle name="Bad 13" xfId="1627"/>
    <cellStyle name="Bad 14" xfId="1628"/>
    <cellStyle name="Bad 15" xfId="1629"/>
    <cellStyle name="Bad 16" xfId="1630"/>
    <cellStyle name="Bad 17" xfId="1631"/>
    <cellStyle name="Bad 18" xfId="1632"/>
    <cellStyle name="Bad 19" xfId="1633"/>
    <cellStyle name="Bad 2" xfId="1634"/>
    <cellStyle name="Bad 2 2" xfId="1635"/>
    <cellStyle name="Bad 20" xfId="1636"/>
    <cellStyle name="Bad 21" xfId="1637"/>
    <cellStyle name="Bad 22" xfId="1638"/>
    <cellStyle name="Bad 23" xfId="1639"/>
    <cellStyle name="Bad 24" xfId="1640"/>
    <cellStyle name="Bad 25" xfId="1641"/>
    <cellStyle name="Bad 26" xfId="1642"/>
    <cellStyle name="Bad 27" xfId="1643"/>
    <cellStyle name="Bad 28" xfId="1644"/>
    <cellStyle name="Bad 29" xfId="1645"/>
    <cellStyle name="Bad 3" xfId="1646"/>
    <cellStyle name="Bad 30" xfId="1647"/>
    <cellStyle name="Bad 31" xfId="1648"/>
    <cellStyle name="Bad 32" xfId="1649"/>
    <cellStyle name="Bad 33" xfId="1650"/>
    <cellStyle name="Bad 34" xfId="1651"/>
    <cellStyle name="Bad 35" xfId="1652"/>
    <cellStyle name="Bad 36" xfId="1653"/>
    <cellStyle name="Bad 37" xfId="1654"/>
    <cellStyle name="Bad 38" xfId="1655"/>
    <cellStyle name="Bad 39" xfId="1656"/>
    <cellStyle name="Bad 4" xfId="1657"/>
    <cellStyle name="Bad 40" xfId="1658"/>
    <cellStyle name="Bad 41" xfId="1659"/>
    <cellStyle name="Bad 42" xfId="1660"/>
    <cellStyle name="Bad 43" xfId="1661"/>
    <cellStyle name="Bad 44" xfId="1662"/>
    <cellStyle name="Bad 45" xfId="1663"/>
    <cellStyle name="Bad 46" xfId="1664"/>
    <cellStyle name="Bad 47" xfId="1665"/>
    <cellStyle name="Bad 48" xfId="1666"/>
    <cellStyle name="Bad 49" xfId="1667"/>
    <cellStyle name="Bad 5" xfId="1668"/>
    <cellStyle name="Bad 50" xfId="1669"/>
    <cellStyle name="Bad 51" xfId="1670"/>
    <cellStyle name="Bad 52" xfId="1671"/>
    <cellStyle name="Bad 53" xfId="1672"/>
    <cellStyle name="Bad 54" xfId="1673"/>
    <cellStyle name="Bad 55" xfId="1674"/>
    <cellStyle name="Bad 56" xfId="1675"/>
    <cellStyle name="Bad 57" xfId="1676"/>
    <cellStyle name="Bad 58" xfId="1677"/>
    <cellStyle name="Bad 59" xfId="1678"/>
    <cellStyle name="Bad 6" xfId="1679"/>
    <cellStyle name="Bad 7" xfId="1680"/>
    <cellStyle name="Bad 8" xfId="1681"/>
    <cellStyle name="Bad 9" xfId="1682"/>
    <cellStyle name="Ç¥ÁØ_¿¹»ê¿äÃ» " xfId="1683"/>
    <cellStyle name="C￥AØ_¿μ¾÷CoE² " xfId="1684"/>
    <cellStyle name="Calculation 10" xfId="1685"/>
    <cellStyle name="Calculation 11" xfId="1686"/>
    <cellStyle name="Calculation 12" xfId="1687"/>
    <cellStyle name="Calculation 13" xfId="1688"/>
    <cellStyle name="Calculation 14" xfId="1689"/>
    <cellStyle name="Calculation 15" xfId="1690"/>
    <cellStyle name="Calculation 16" xfId="1691"/>
    <cellStyle name="Calculation 17" xfId="1692"/>
    <cellStyle name="Calculation 18" xfId="1693"/>
    <cellStyle name="Calculation 19" xfId="1694"/>
    <cellStyle name="Calculation 2" xfId="1695"/>
    <cellStyle name="Calculation 2 10" xfId="1696"/>
    <cellStyle name="Calculation 2 11" xfId="1697"/>
    <cellStyle name="Calculation 2 12" xfId="1698"/>
    <cellStyle name="Calculation 2 13" xfId="1699"/>
    <cellStyle name="Calculation 2 14" xfId="1700"/>
    <cellStyle name="Calculation 2 15" xfId="1701"/>
    <cellStyle name="Calculation 2 16" xfId="1702"/>
    <cellStyle name="Calculation 2 2" xfId="1703"/>
    <cellStyle name="Calculation 2 2 10" xfId="1704"/>
    <cellStyle name="Calculation 2 2 11" xfId="1705"/>
    <cellStyle name="Calculation 2 2 12" xfId="1706"/>
    <cellStyle name="Calculation 2 2 13" xfId="1707"/>
    <cellStyle name="Calculation 2 2 14" xfId="1708"/>
    <cellStyle name="Calculation 2 2 2" xfId="1709"/>
    <cellStyle name="Calculation 2 2 2 2" xfId="1710"/>
    <cellStyle name="Calculation 2 2 2 3" xfId="1711"/>
    <cellStyle name="Calculation 2 2 2 4" xfId="1712"/>
    <cellStyle name="Calculation 2 2 2 5" xfId="1713"/>
    <cellStyle name="Calculation 2 2 2 6" xfId="1714"/>
    <cellStyle name="Calculation 2 2 2 7" xfId="1715"/>
    <cellStyle name="Calculation 2 2 2 8" xfId="1716"/>
    <cellStyle name="Calculation 2 2 3" xfId="1717"/>
    <cellStyle name="Calculation 2 2 3 2" xfId="1718"/>
    <cellStyle name="Calculation 2 2 3 3" xfId="1719"/>
    <cellStyle name="Calculation 2 2 3 4" xfId="1720"/>
    <cellStyle name="Calculation 2 2 3 5" xfId="1721"/>
    <cellStyle name="Calculation 2 2 3 6" xfId="1722"/>
    <cellStyle name="Calculation 2 2 3 7" xfId="1723"/>
    <cellStyle name="Calculation 2 2 3 8" xfId="1724"/>
    <cellStyle name="Calculation 2 2 4" xfId="1725"/>
    <cellStyle name="Calculation 2 2 4 2" xfId="1726"/>
    <cellStyle name="Calculation 2 2 4 3" xfId="1727"/>
    <cellStyle name="Calculation 2 2 4 4" xfId="1728"/>
    <cellStyle name="Calculation 2 2 4 5" xfId="1729"/>
    <cellStyle name="Calculation 2 2 4 6" xfId="1730"/>
    <cellStyle name="Calculation 2 2 4 7" xfId="1731"/>
    <cellStyle name="Calculation 2 2 4 8" xfId="1732"/>
    <cellStyle name="Calculation 2 2 5" xfId="1733"/>
    <cellStyle name="Calculation 2 2 5 10" xfId="1734"/>
    <cellStyle name="Calculation 2 2 5 11" xfId="1735"/>
    <cellStyle name="Calculation 2 2 5 2" xfId="1736"/>
    <cellStyle name="Calculation 2 2 5 2 2" xfId="1737"/>
    <cellStyle name="Calculation 2 2 5 2 3" xfId="1738"/>
    <cellStyle name="Calculation 2 2 5 2 4" xfId="1739"/>
    <cellStyle name="Calculation 2 2 5 2 5" xfId="1740"/>
    <cellStyle name="Calculation 2 2 5 2 6" xfId="1741"/>
    <cellStyle name="Calculation 2 2 5 3" xfId="1742"/>
    <cellStyle name="Calculation 2 2 5 3 2" xfId="1743"/>
    <cellStyle name="Calculation 2 2 5 3 3" xfId="1744"/>
    <cellStyle name="Calculation 2 2 5 3 4" xfId="1745"/>
    <cellStyle name="Calculation 2 2 5 3 5" xfId="1746"/>
    <cellStyle name="Calculation 2 2 5 3 6" xfId="1747"/>
    <cellStyle name="Calculation 2 2 5 4" xfId="1748"/>
    <cellStyle name="Calculation 2 2 5 5" xfId="1749"/>
    <cellStyle name="Calculation 2 2 5 6" xfId="1750"/>
    <cellStyle name="Calculation 2 2 5 7" xfId="1751"/>
    <cellStyle name="Calculation 2 2 5 8" xfId="1752"/>
    <cellStyle name="Calculation 2 2 5 9" xfId="1753"/>
    <cellStyle name="Calculation 2 2 6" xfId="1754"/>
    <cellStyle name="Calculation 2 2 6 10" xfId="1755"/>
    <cellStyle name="Calculation 2 2 6 11" xfId="1756"/>
    <cellStyle name="Calculation 2 2 6 2" xfId="1757"/>
    <cellStyle name="Calculation 2 2 6 2 2" xfId="1758"/>
    <cellStyle name="Calculation 2 2 6 2 3" xfId="1759"/>
    <cellStyle name="Calculation 2 2 6 2 4" xfId="1760"/>
    <cellStyle name="Calculation 2 2 6 2 5" xfId="1761"/>
    <cellStyle name="Calculation 2 2 6 2 6" xfId="1762"/>
    <cellStyle name="Calculation 2 2 6 3" xfId="1763"/>
    <cellStyle name="Calculation 2 2 6 3 2" xfId="1764"/>
    <cellStyle name="Calculation 2 2 6 3 3" xfId="1765"/>
    <cellStyle name="Calculation 2 2 6 3 4" xfId="1766"/>
    <cellStyle name="Calculation 2 2 6 3 5" xfId="1767"/>
    <cellStyle name="Calculation 2 2 6 3 6" xfId="1768"/>
    <cellStyle name="Calculation 2 2 6 4" xfId="1769"/>
    <cellStyle name="Calculation 2 2 6 5" xfId="1770"/>
    <cellStyle name="Calculation 2 2 6 6" xfId="1771"/>
    <cellStyle name="Calculation 2 2 6 7" xfId="1772"/>
    <cellStyle name="Calculation 2 2 6 8" xfId="1773"/>
    <cellStyle name="Calculation 2 2 6 9" xfId="1774"/>
    <cellStyle name="Calculation 2 2 7" xfId="1775"/>
    <cellStyle name="Calculation 2 2 7 10" xfId="1776"/>
    <cellStyle name="Calculation 2 2 7 11" xfId="1777"/>
    <cellStyle name="Calculation 2 2 7 2" xfId="1778"/>
    <cellStyle name="Calculation 2 2 7 2 2" xfId="1779"/>
    <cellStyle name="Calculation 2 2 7 2 3" xfId="1780"/>
    <cellStyle name="Calculation 2 2 7 2 4" xfId="1781"/>
    <cellStyle name="Calculation 2 2 7 2 5" xfId="1782"/>
    <cellStyle name="Calculation 2 2 7 2 6" xfId="1783"/>
    <cellStyle name="Calculation 2 2 7 3" xfId="1784"/>
    <cellStyle name="Calculation 2 2 7 3 2" xfId="1785"/>
    <cellStyle name="Calculation 2 2 7 3 3" xfId="1786"/>
    <cellStyle name="Calculation 2 2 7 3 4" xfId="1787"/>
    <cellStyle name="Calculation 2 2 7 3 5" xfId="1788"/>
    <cellStyle name="Calculation 2 2 7 3 6" xfId="1789"/>
    <cellStyle name="Calculation 2 2 7 4" xfId="1790"/>
    <cellStyle name="Calculation 2 2 7 5" xfId="1791"/>
    <cellStyle name="Calculation 2 2 7 6" xfId="1792"/>
    <cellStyle name="Calculation 2 2 7 7" xfId="1793"/>
    <cellStyle name="Calculation 2 2 7 8" xfId="1794"/>
    <cellStyle name="Calculation 2 2 7 9" xfId="1795"/>
    <cellStyle name="Calculation 2 2 8" xfId="1796"/>
    <cellStyle name="Calculation 2 2 9" xfId="1797"/>
    <cellStyle name="Calculation 2 3" xfId="1798"/>
    <cellStyle name="Calculation 2 3 10" xfId="1799"/>
    <cellStyle name="Calculation 2 3 11" xfId="1800"/>
    <cellStyle name="Calculation 2 3 12" xfId="1801"/>
    <cellStyle name="Calculation 2 3 13" xfId="1802"/>
    <cellStyle name="Calculation 2 3 14" xfId="1803"/>
    <cellStyle name="Calculation 2 3 2" xfId="1804"/>
    <cellStyle name="Calculation 2 3 2 2" xfId="1805"/>
    <cellStyle name="Calculation 2 3 2 3" xfId="1806"/>
    <cellStyle name="Calculation 2 3 2 4" xfId="1807"/>
    <cellStyle name="Calculation 2 3 2 5" xfId="1808"/>
    <cellStyle name="Calculation 2 3 2 6" xfId="1809"/>
    <cellStyle name="Calculation 2 3 2 7" xfId="1810"/>
    <cellStyle name="Calculation 2 3 2 8" xfId="1811"/>
    <cellStyle name="Calculation 2 3 3" xfId="1812"/>
    <cellStyle name="Calculation 2 3 3 2" xfId="1813"/>
    <cellStyle name="Calculation 2 3 3 3" xfId="1814"/>
    <cellStyle name="Calculation 2 3 3 4" xfId="1815"/>
    <cellStyle name="Calculation 2 3 3 5" xfId="1816"/>
    <cellStyle name="Calculation 2 3 3 6" xfId="1817"/>
    <cellStyle name="Calculation 2 3 3 7" xfId="1818"/>
    <cellStyle name="Calculation 2 3 3 8" xfId="1819"/>
    <cellStyle name="Calculation 2 3 4" xfId="1820"/>
    <cellStyle name="Calculation 2 3 4 2" xfId="1821"/>
    <cellStyle name="Calculation 2 3 4 3" xfId="1822"/>
    <cellStyle name="Calculation 2 3 4 4" xfId="1823"/>
    <cellStyle name="Calculation 2 3 4 5" xfId="1824"/>
    <cellStyle name="Calculation 2 3 4 6" xfId="1825"/>
    <cellStyle name="Calculation 2 3 4 7" xfId="1826"/>
    <cellStyle name="Calculation 2 3 4 8" xfId="1827"/>
    <cellStyle name="Calculation 2 3 5" xfId="1828"/>
    <cellStyle name="Calculation 2 3 5 10" xfId="1829"/>
    <cellStyle name="Calculation 2 3 5 11" xfId="1830"/>
    <cellStyle name="Calculation 2 3 5 2" xfId="1831"/>
    <cellStyle name="Calculation 2 3 5 2 2" xfId="1832"/>
    <cellStyle name="Calculation 2 3 5 2 3" xfId="1833"/>
    <cellStyle name="Calculation 2 3 5 2 4" xfId="1834"/>
    <cellStyle name="Calculation 2 3 5 2 5" xfId="1835"/>
    <cellStyle name="Calculation 2 3 5 2 6" xfId="1836"/>
    <cellStyle name="Calculation 2 3 5 3" xfId="1837"/>
    <cellStyle name="Calculation 2 3 5 3 2" xfId="1838"/>
    <cellStyle name="Calculation 2 3 5 3 3" xfId="1839"/>
    <cellStyle name="Calculation 2 3 5 3 4" xfId="1840"/>
    <cellStyle name="Calculation 2 3 5 3 5" xfId="1841"/>
    <cellStyle name="Calculation 2 3 5 3 6" xfId="1842"/>
    <cellStyle name="Calculation 2 3 5 4" xfId="1843"/>
    <cellStyle name="Calculation 2 3 5 5" xfId="1844"/>
    <cellStyle name="Calculation 2 3 5 6" xfId="1845"/>
    <cellStyle name="Calculation 2 3 5 7" xfId="1846"/>
    <cellStyle name="Calculation 2 3 5 8" xfId="1847"/>
    <cellStyle name="Calculation 2 3 5 9" xfId="1848"/>
    <cellStyle name="Calculation 2 3 6" xfId="1849"/>
    <cellStyle name="Calculation 2 3 6 10" xfId="1850"/>
    <cellStyle name="Calculation 2 3 6 11" xfId="1851"/>
    <cellStyle name="Calculation 2 3 6 2" xfId="1852"/>
    <cellStyle name="Calculation 2 3 6 2 2" xfId="1853"/>
    <cellStyle name="Calculation 2 3 6 2 3" xfId="1854"/>
    <cellStyle name="Calculation 2 3 6 2 4" xfId="1855"/>
    <cellStyle name="Calculation 2 3 6 2 5" xfId="1856"/>
    <cellStyle name="Calculation 2 3 6 2 6" xfId="1857"/>
    <cellStyle name="Calculation 2 3 6 3" xfId="1858"/>
    <cellStyle name="Calculation 2 3 6 3 2" xfId="1859"/>
    <cellStyle name="Calculation 2 3 6 3 3" xfId="1860"/>
    <cellStyle name="Calculation 2 3 6 3 4" xfId="1861"/>
    <cellStyle name="Calculation 2 3 6 3 5" xfId="1862"/>
    <cellStyle name="Calculation 2 3 6 3 6" xfId="1863"/>
    <cellStyle name="Calculation 2 3 6 4" xfId="1864"/>
    <cellStyle name="Calculation 2 3 6 5" xfId="1865"/>
    <cellStyle name="Calculation 2 3 6 6" xfId="1866"/>
    <cellStyle name="Calculation 2 3 6 7" xfId="1867"/>
    <cellStyle name="Calculation 2 3 6 8" xfId="1868"/>
    <cellStyle name="Calculation 2 3 6 9" xfId="1869"/>
    <cellStyle name="Calculation 2 3 7" xfId="1870"/>
    <cellStyle name="Calculation 2 3 7 10" xfId="1871"/>
    <cellStyle name="Calculation 2 3 7 11" xfId="1872"/>
    <cellStyle name="Calculation 2 3 7 2" xfId="1873"/>
    <cellStyle name="Calculation 2 3 7 2 2" xfId="1874"/>
    <cellStyle name="Calculation 2 3 7 2 3" xfId="1875"/>
    <cellStyle name="Calculation 2 3 7 2 4" xfId="1876"/>
    <cellStyle name="Calculation 2 3 7 2 5" xfId="1877"/>
    <cellStyle name="Calculation 2 3 7 2 6" xfId="1878"/>
    <cellStyle name="Calculation 2 3 7 3" xfId="1879"/>
    <cellStyle name="Calculation 2 3 7 3 2" xfId="1880"/>
    <cellStyle name="Calculation 2 3 7 3 3" xfId="1881"/>
    <cellStyle name="Calculation 2 3 7 3 4" xfId="1882"/>
    <cellStyle name="Calculation 2 3 7 3 5" xfId="1883"/>
    <cellStyle name="Calculation 2 3 7 3 6" xfId="1884"/>
    <cellStyle name="Calculation 2 3 7 4" xfId="1885"/>
    <cellStyle name="Calculation 2 3 7 5" xfId="1886"/>
    <cellStyle name="Calculation 2 3 7 6" xfId="1887"/>
    <cellStyle name="Calculation 2 3 7 7" xfId="1888"/>
    <cellStyle name="Calculation 2 3 7 8" xfId="1889"/>
    <cellStyle name="Calculation 2 3 7 9" xfId="1890"/>
    <cellStyle name="Calculation 2 3 8" xfId="1891"/>
    <cellStyle name="Calculation 2 3 9" xfId="1892"/>
    <cellStyle name="Calculation 2 4" xfId="1893"/>
    <cellStyle name="Calculation 2 4 2" xfId="1894"/>
    <cellStyle name="Calculation 2 4 3" xfId="1895"/>
    <cellStyle name="Calculation 2 4 4" xfId="1896"/>
    <cellStyle name="Calculation 2 4 5" xfId="1897"/>
    <cellStyle name="Calculation 2 4 6" xfId="1898"/>
    <cellStyle name="Calculation 2 4 7" xfId="1899"/>
    <cellStyle name="Calculation 2 4 8" xfId="1900"/>
    <cellStyle name="Calculation 2 5" xfId="1901"/>
    <cellStyle name="Calculation 2 5 2" xfId="1902"/>
    <cellStyle name="Calculation 2 5 3" xfId="1903"/>
    <cellStyle name="Calculation 2 5 4" xfId="1904"/>
    <cellStyle name="Calculation 2 5 5" xfId="1905"/>
    <cellStyle name="Calculation 2 5 6" xfId="1906"/>
    <cellStyle name="Calculation 2 5 7" xfId="1907"/>
    <cellStyle name="Calculation 2 5 8" xfId="1908"/>
    <cellStyle name="Calculation 2 6" xfId="1909"/>
    <cellStyle name="Calculation 2 6 2" xfId="1910"/>
    <cellStyle name="Calculation 2 6 3" xfId="1911"/>
    <cellStyle name="Calculation 2 6 4" xfId="1912"/>
    <cellStyle name="Calculation 2 6 5" xfId="1913"/>
    <cellStyle name="Calculation 2 6 6" xfId="1914"/>
    <cellStyle name="Calculation 2 6 7" xfId="1915"/>
    <cellStyle name="Calculation 2 6 8" xfId="1916"/>
    <cellStyle name="Calculation 2 7" xfId="1917"/>
    <cellStyle name="Calculation 2 7 10" xfId="1918"/>
    <cellStyle name="Calculation 2 7 11" xfId="1919"/>
    <cellStyle name="Calculation 2 7 2" xfId="1920"/>
    <cellStyle name="Calculation 2 7 2 2" xfId="1921"/>
    <cellStyle name="Calculation 2 7 2 3" xfId="1922"/>
    <cellStyle name="Calculation 2 7 2 4" xfId="1923"/>
    <cellStyle name="Calculation 2 7 2 5" xfId="1924"/>
    <cellStyle name="Calculation 2 7 2 6" xfId="1925"/>
    <cellStyle name="Calculation 2 7 3" xfId="1926"/>
    <cellStyle name="Calculation 2 7 3 2" xfId="1927"/>
    <cellStyle name="Calculation 2 7 3 3" xfId="1928"/>
    <cellStyle name="Calculation 2 7 3 4" xfId="1929"/>
    <cellStyle name="Calculation 2 7 3 5" xfId="1930"/>
    <cellStyle name="Calculation 2 7 3 6" xfId="1931"/>
    <cellStyle name="Calculation 2 7 4" xfId="1932"/>
    <cellStyle name="Calculation 2 7 5" xfId="1933"/>
    <cellStyle name="Calculation 2 7 6" xfId="1934"/>
    <cellStyle name="Calculation 2 7 7" xfId="1935"/>
    <cellStyle name="Calculation 2 7 8" xfId="1936"/>
    <cellStyle name="Calculation 2 7 9" xfId="1937"/>
    <cellStyle name="Calculation 2 8" xfId="1938"/>
    <cellStyle name="Calculation 2 8 10" xfId="1939"/>
    <cellStyle name="Calculation 2 8 11" xfId="1940"/>
    <cellStyle name="Calculation 2 8 2" xfId="1941"/>
    <cellStyle name="Calculation 2 8 2 2" xfId="1942"/>
    <cellStyle name="Calculation 2 8 2 3" xfId="1943"/>
    <cellStyle name="Calculation 2 8 2 4" xfId="1944"/>
    <cellStyle name="Calculation 2 8 2 5" xfId="1945"/>
    <cellStyle name="Calculation 2 8 2 6" xfId="1946"/>
    <cellStyle name="Calculation 2 8 3" xfId="1947"/>
    <cellStyle name="Calculation 2 8 3 2" xfId="1948"/>
    <cellStyle name="Calculation 2 8 3 3" xfId="1949"/>
    <cellStyle name="Calculation 2 8 3 4" xfId="1950"/>
    <cellStyle name="Calculation 2 8 3 5" xfId="1951"/>
    <cellStyle name="Calculation 2 8 3 6" xfId="1952"/>
    <cellStyle name="Calculation 2 8 4" xfId="1953"/>
    <cellStyle name="Calculation 2 8 5" xfId="1954"/>
    <cellStyle name="Calculation 2 8 6" xfId="1955"/>
    <cellStyle name="Calculation 2 8 7" xfId="1956"/>
    <cellStyle name="Calculation 2 8 8" xfId="1957"/>
    <cellStyle name="Calculation 2 8 9" xfId="1958"/>
    <cellStyle name="Calculation 2 9" xfId="1959"/>
    <cellStyle name="Calculation 2 9 10" xfId="1960"/>
    <cellStyle name="Calculation 2 9 11" xfId="1961"/>
    <cellStyle name="Calculation 2 9 2" xfId="1962"/>
    <cellStyle name="Calculation 2 9 2 2" xfId="1963"/>
    <cellStyle name="Calculation 2 9 2 3" xfId="1964"/>
    <cellStyle name="Calculation 2 9 2 4" xfId="1965"/>
    <cellStyle name="Calculation 2 9 2 5" xfId="1966"/>
    <cellStyle name="Calculation 2 9 2 6" xfId="1967"/>
    <cellStyle name="Calculation 2 9 3" xfId="1968"/>
    <cellStyle name="Calculation 2 9 3 2" xfId="1969"/>
    <cellStyle name="Calculation 2 9 3 3" xfId="1970"/>
    <cellStyle name="Calculation 2 9 3 4" xfId="1971"/>
    <cellStyle name="Calculation 2 9 3 5" xfId="1972"/>
    <cellStyle name="Calculation 2 9 3 6" xfId="1973"/>
    <cellStyle name="Calculation 2 9 4" xfId="1974"/>
    <cellStyle name="Calculation 2 9 5" xfId="1975"/>
    <cellStyle name="Calculation 2 9 6" xfId="1976"/>
    <cellStyle name="Calculation 2 9 7" xfId="1977"/>
    <cellStyle name="Calculation 2 9 8" xfId="1978"/>
    <cellStyle name="Calculation 2 9 9" xfId="1979"/>
    <cellStyle name="Calculation 20" xfId="1980"/>
    <cellStyle name="Calculation 21" xfId="1981"/>
    <cellStyle name="Calculation 22" xfId="1982"/>
    <cellStyle name="Calculation 23" xfId="1983"/>
    <cellStyle name="Calculation 24" xfId="1984"/>
    <cellStyle name="Calculation 25" xfId="1985"/>
    <cellStyle name="Calculation 26" xfId="1986"/>
    <cellStyle name="Calculation 27" xfId="1987"/>
    <cellStyle name="Calculation 28" xfId="1988"/>
    <cellStyle name="Calculation 29" xfId="1989"/>
    <cellStyle name="Calculation 3" xfId="1990"/>
    <cellStyle name="Calculation 3 2" xfId="1991"/>
    <cellStyle name="Calculation 3 3" xfId="1992"/>
    <cellStyle name="Calculation 3 4" xfId="1993"/>
    <cellStyle name="Calculation 3 5" xfId="1994"/>
    <cellStyle name="Calculation 3 6" xfId="1995"/>
    <cellStyle name="Calculation 3 7" xfId="1996"/>
    <cellStyle name="Calculation 3 8" xfId="1997"/>
    <cellStyle name="Calculation 30" xfId="1998"/>
    <cellStyle name="Calculation 31" xfId="1999"/>
    <cellStyle name="Calculation 32" xfId="2000"/>
    <cellStyle name="Calculation 33" xfId="2001"/>
    <cellStyle name="Calculation 34" xfId="2002"/>
    <cellStyle name="Calculation 35" xfId="2003"/>
    <cellStyle name="Calculation 36" xfId="2004"/>
    <cellStyle name="Calculation 37" xfId="2005"/>
    <cellStyle name="Calculation 38" xfId="2006"/>
    <cellStyle name="Calculation 39" xfId="2007"/>
    <cellStyle name="Calculation 4" xfId="2008"/>
    <cellStyle name="Calculation 4 2" xfId="2009"/>
    <cellStyle name="Calculation 4 3" xfId="2010"/>
    <cellStyle name="Calculation 4 4" xfId="2011"/>
    <cellStyle name="Calculation 4 5" xfId="2012"/>
    <cellStyle name="Calculation 4 6" xfId="2013"/>
    <cellStyle name="Calculation 4 7" xfId="2014"/>
    <cellStyle name="Calculation 4 8" xfId="2015"/>
    <cellStyle name="Calculation 40" xfId="2016"/>
    <cellStyle name="Calculation 41" xfId="2017"/>
    <cellStyle name="Calculation 42" xfId="2018"/>
    <cellStyle name="Calculation 43" xfId="2019"/>
    <cellStyle name="Calculation 44" xfId="2020"/>
    <cellStyle name="Calculation 45" xfId="2021"/>
    <cellStyle name="Calculation 46" xfId="2022"/>
    <cellStyle name="Calculation 47" xfId="2023"/>
    <cellStyle name="Calculation 48" xfId="2024"/>
    <cellStyle name="Calculation 49" xfId="2025"/>
    <cellStyle name="Calculation 5" xfId="2026"/>
    <cellStyle name="Calculation 5 2" xfId="2027"/>
    <cellStyle name="Calculation 5 3" xfId="2028"/>
    <cellStyle name="Calculation 5 4" xfId="2029"/>
    <cellStyle name="Calculation 5 5" xfId="2030"/>
    <cellStyle name="Calculation 5 6" xfId="2031"/>
    <cellStyle name="Calculation 5 7" xfId="2032"/>
    <cellStyle name="Calculation 5 8" xfId="2033"/>
    <cellStyle name="Calculation 50" xfId="2034"/>
    <cellStyle name="Calculation 51" xfId="2035"/>
    <cellStyle name="Calculation 52" xfId="2036"/>
    <cellStyle name="Calculation 53" xfId="2037"/>
    <cellStyle name="Calculation 54" xfId="2038"/>
    <cellStyle name="Calculation 55" xfId="2039"/>
    <cellStyle name="Calculation 56" xfId="2040"/>
    <cellStyle name="Calculation 57" xfId="2041"/>
    <cellStyle name="Calculation 58" xfId="2042"/>
    <cellStyle name="Calculation 59" xfId="2043"/>
    <cellStyle name="Calculation 6" xfId="2044"/>
    <cellStyle name="Calculation 7" xfId="2045"/>
    <cellStyle name="Calculation 8" xfId="2046"/>
    <cellStyle name="Calculation 9" xfId="2047"/>
    <cellStyle name="Check Cell 10" xfId="2048"/>
    <cellStyle name="Check Cell 11" xfId="2049"/>
    <cellStyle name="Check Cell 12" xfId="2050"/>
    <cellStyle name="Check Cell 13" xfId="2051"/>
    <cellStyle name="Check Cell 14" xfId="2052"/>
    <cellStyle name="Check Cell 15" xfId="2053"/>
    <cellStyle name="Check Cell 16" xfId="2054"/>
    <cellStyle name="Check Cell 17" xfId="2055"/>
    <cellStyle name="Check Cell 18" xfId="2056"/>
    <cellStyle name="Check Cell 19" xfId="2057"/>
    <cellStyle name="Check Cell 2" xfId="2058"/>
    <cellStyle name="Check Cell 2 10" xfId="2059"/>
    <cellStyle name="Check Cell 2 10 2" xfId="2060"/>
    <cellStyle name="Check Cell 2 10 3" xfId="2061"/>
    <cellStyle name="Check Cell 2 10 4" xfId="2062"/>
    <cellStyle name="Check Cell 2 10 5" xfId="2063"/>
    <cellStyle name="Check Cell 2 10 6" xfId="2064"/>
    <cellStyle name="Check Cell 2 11" xfId="2065"/>
    <cellStyle name="Check Cell 2 12" xfId="2066"/>
    <cellStyle name="Check Cell 2 13" xfId="2067"/>
    <cellStyle name="Check Cell 2 14" xfId="2068"/>
    <cellStyle name="Check Cell 2 15" xfId="2069"/>
    <cellStyle name="Check Cell 2 2" xfId="2070"/>
    <cellStyle name="Check Cell 2 2 10" xfId="2071"/>
    <cellStyle name="Check Cell 2 2 2" xfId="2072"/>
    <cellStyle name="Check Cell 2 2 2 2" xfId="2073"/>
    <cellStyle name="Check Cell 2 2 2 3" xfId="2074"/>
    <cellStyle name="Check Cell 2 2 2 4" xfId="2075"/>
    <cellStyle name="Check Cell 2 2 2 5" xfId="2076"/>
    <cellStyle name="Check Cell 2 2 2 6" xfId="2077"/>
    <cellStyle name="Check Cell 2 2 3" xfId="2078"/>
    <cellStyle name="Check Cell 2 2 3 2" xfId="2079"/>
    <cellStyle name="Check Cell 2 2 3 3" xfId="2080"/>
    <cellStyle name="Check Cell 2 2 3 4" xfId="2081"/>
    <cellStyle name="Check Cell 2 2 3 5" xfId="2082"/>
    <cellStyle name="Check Cell 2 2 3 6" xfId="2083"/>
    <cellStyle name="Check Cell 2 2 4" xfId="2084"/>
    <cellStyle name="Check Cell 2 2 4 2" xfId="2085"/>
    <cellStyle name="Check Cell 2 2 4 3" xfId="2086"/>
    <cellStyle name="Check Cell 2 2 4 4" xfId="2087"/>
    <cellStyle name="Check Cell 2 2 4 5" xfId="2088"/>
    <cellStyle name="Check Cell 2 2 4 6" xfId="2089"/>
    <cellStyle name="Check Cell 2 2 5" xfId="2090"/>
    <cellStyle name="Check Cell 2 2 5 2" xfId="2091"/>
    <cellStyle name="Check Cell 2 2 5 3" xfId="2092"/>
    <cellStyle name="Check Cell 2 2 5 4" xfId="2093"/>
    <cellStyle name="Check Cell 2 2 5 5" xfId="2094"/>
    <cellStyle name="Check Cell 2 2 5 6" xfId="2095"/>
    <cellStyle name="Check Cell 2 2 6" xfId="2096"/>
    <cellStyle name="Check Cell 2 2 7" xfId="2097"/>
    <cellStyle name="Check Cell 2 2 8" xfId="2098"/>
    <cellStyle name="Check Cell 2 2 9" xfId="2099"/>
    <cellStyle name="Check Cell 2 3" xfId="2100"/>
    <cellStyle name="Check Cell 2 3 10" xfId="2101"/>
    <cellStyle name="Check Cell 2 3 2" xfId="2102"/>
    <cellStyle name="Check Cell 2 3 2 2" xfId="2103"/>
    <cellStyle name="Check Cell 2 3 2 3" xfId="2104"/>
    <cellStyle name="Check Cell 2 3 2 4" xfId="2105"/>
    <cellStyle name="Check Cell 2 3 2 5" xfId="2106"/>
    <cellStyle name="Check Cell 2 3 2 6" xfId="2107"/>
    <cellStyle name="Check Cell 2 3 3" xfId="2108"/>
    <cellStyle name="Check Cell 2 3 3 2" xfId="2109"/>
    <cellStyle name="Check Cell 2 3 3 3" xfId="2110"/>
    <cellStyle name="Check Cell 2 3 3 4" xfId="2111"/>
    <cellStyle name="Check Cell 2 3 3 5" xfId="2112"/>
    <cellStyle name="Check Cell 2 3 3 6" xfId="2113"/>
    <cellStyle name="Check Cell 2 3 4" xfId="2114"/>
    <cellStyle name="Check Cell 2 3 4 2" xfId="2115"/>
    <cellStyle name="Check Cell 2 3 4 3" xfId="2116"/>
    <cellStyle name="Check Cell 2 3 4 4" xfId="2117"/>
    <cellStyle name="Check Cell 2 3 4 5" xfId="2118"/>
    <cellStyle name="Check Cell 2 3 4 6" xfId="2119"/>
    <cellStyle name="Check Cell 2 3 5" xfId="2120"/>
    <cellStyle name="Check Cell 2 3 5 2" xfId="2121"/>
    <cellStyle name="Check Cell 2 3 5 3" xfId="2122"/>
    <cellStyle name="Check Cell 2 3 5 4" xfId="2123"/>
    <cellStyle name="Check Cell 2 3 5 5" xfId="2124"/>
    <cellStyle name="Check Cell 2 3 5 6" xfId="2125"/>
    <cellStyle name="Check Cell 2 3 6" xfId="2126"/>
    <cellStyle name="Check Cell 2 3 7" xfId="2127"/>
    <cellStyle name="Check Cell 2 3 8" xfId="2128"/>
    <cellStyle name="Check Cell 2 3 9" xfId="2129"/>
    <cellStyle name="Check Cell 2 4" xfId="2130"/>
    <cellStyle name="Check Cell 2 4 10" xfId="2131"/>
    <cellStyle name="Check Cell 2 4 2" xfId="2132"/>
    <cellStyle name="Check Cell 2 4 2 2" xfId="2133"/>
    <cellStyle name="Check Cell 2 4 2 3" xfId="2134"/>
    <cellStyle name="Check Cell 2 4 2 4" xfId="2135"/>
    <cellStyle name="Check Cell 2 4 2 5" xfId="2136"/>
    <cellStyle name="Check Cell 2 4 2 6" xfId="2137"/>
    <cellStyle name="Check Cell 2 4 3" xfId="2138"/>
    <cellStyle name="Check Cell 2 4 3 2" xfId="2139"/>
    <cellStyle name="Check Cell 2 4 3 3" xfId="2140"/>
    <cellStyle name="Check Cell 2 4 3 4" xfId="2141"/>
    <cellStyle name="Check Cell 2 4 3 5" xfId="2142"/>
    <cellStyle name="Check Cell 2 4 3 6" xfId="2143"/>
    <cellStyle name="Check Cell 2 4 4" xfId="2144"/>
    <cellStyle name="Check Cell 2 4 4 2" xfId="2145"/>
    <cellStyle name="Check Cell 2 4 4 3" xfId="2146"/>
    <cellStyle name="Check Cell 2 4 4 4" xfId="2147"/>
    <cellStyle name="Check Cell 2 4 4 5" xfId="2148"/>
    <cellStyle name="Check Cell 2 4 4 6" xfId="2149"/>
    <cellStyle name="Check Cell 2 4 5" xfId="2150"/>
    <cellStyle name="Check Cell 2 4 5 2" xfId="2151"/>
    <cellStyle name="Check Cell 2 4 5 3" xfId="2152"/>
    <cellStyle name="Check Cell 2 4 5 4" xfId="2153"/>
    <cellStyle name="Check Cell 2 4 5 5" xfId="2154"/>
    <cellStyle name="Check Cell 2 4 5 6" xfId="2155"/>
    <cellStyle name="Check Cell 2 4 6" xfId="2156"/>
    <cellStyle name="Check Cell 2 4 7" xfId="2157"/>
    <cellStyle name="Check Cell 2 4 8" xfId="2158"/>
    <cellStyle name="Check Cell 2 4 9" xfId="2159"/>
    <cellStyle name="Check Cell 2 5" xfId="2160"/>
    <cellStyle name="Check Cell 2 5 10" xfId="2161"/>
    <cellStyle name="Check Cell 2 5 2" xfId="2162"/>
    <cellStyle name="Check Cell 2 5 2 2" xfId="2163"/>
    <cellStyle name="Check Cell 2 5 2 3" xfId="2164"/>
    <cellStyle name="Check Cell 2 5 2 4" xfId="2165"/>
    <cellStyle name="Check Cell 2 5 2 5" xfId="2166"/>
    <cellStyle name="Check Cell 2 5 2 6" xfId="2167"/>
    <cellStyle name="Check Cell 2 5 3" xfId="2168"/>
    <cellStyle name="Check Cell 2 5 3 2" xfId="2169"/>
    <cellStyle name="Check Cell 2 5 3 3" xfId="2170"/>
    <cellStyle name="Check Cell 2 5 3 4" xfId="2171"/>
    <cellStyle name="Check Cell 2 5 3 5" xfId="2172"/>
    <cellStyle name="Check Cell 2 5 3 6" xfId="2173"/>
    <cellStyle name="Check Cell 2 5 4" xfId="2174"/>
    <cellStyle name="Check Cell 2 5 4 2" xfId="2175"/>
    <cellStyle name="Check Cell 2 5 4 3" xfId="2176"/>
    <cellStyle name="Check Cell 2 5 4 4" xfId="2177"/>
    <cellStyle name="Check Cell 2 5 4 5" xfId="2178"/>
    <cellStyle name="Check Cell 2 5 4 6" xfId="2179"/>
    <cellStyle name="Check Cell 2 5 5" xfId="2180"/>
    <cellStyle name="Check Cell 2 5 5 2" xfId="2181"/>
    <cellStyle name="Check Cell 2 5 5 3" xfId="2182"/>
    <cellStyle name="Check Cell 2 5 5 4" xfId="2183"/>
    <cellStyle name="Check Cell 2 5 5 5" xfId="2184"/>
    <cellStyle name="Check Cell 2 5 5 6" xfId="2185"/>
    <cellStyle name="Check Cell 2 5 6" xfId="2186"/>
    <cellStyle name="Check Cell 2 5 7" xfId="2187"/>
    <cellStyle name="Check Cell 2 5 8" xfId="2188"/>
    <cellStyle name="Check Cell 2 5 9" xfId="2189"/>
    <cellStyle name="Check Cell 2 6" xfId="2190"/>
    <cellStyle name="Check Cell 2 6 10" xfId="2191"/>
    <cellStyle name="Check Cell 2 6 2" xfId="2192"/>
    <cellStyle name="Check Cell 2 6 2 2" xfId="2193"/>
    <cellStyle name="Check Cell 2 6 2 3" xfId="2194"/>
    <cellStyle name="Check Cell 2 6 2 4" xfId="2195"/>
    <cellStyle name="Check Cell 2 6 2 5" xfId="2196"/>
    <cellStyle name="Check Cell 2 6 2 6" xfId="2197"/>
    <cellStyle name="Check Cell 2 6 3" xfId="2198"/>
    <cellStyle name="Check Cell 2 6 3 2" xfId="2199"/>
    <cellStyle name="Check Cell 2 6 3 3" xfId="2200"/>
    <cellStyle name="Check Cell 2 6 3 4" xfId="2201"/>
    <cellStyle name="Check Cell 2 6 3 5" xfId="2202"/>
    <cellStyle name="Check Cell 2 6 3 6" xfId="2203"/>
    <cellStyle name="Check Cell 2 6 4" xfId="2204"/>
    <cellStyle name="Check Cell 2 6 4 2" xfId="2205"/>
    <cellStyle name="Check Cell 2 6 4 3" xfId="2206"/>
    <cellStyle name="Check Cell 2 6 4 4" xfId="2207"/>
    <cellStyle name="Check Cell 2 6 4 5" xfId="2208"/>
    <cellStyle name="Check Cell 2 6 4 6" xfId="2209"/>
    <cellStyle name="Check Cell 2 6 5" xfId="2210"/>
    <cellStyle name="Check Cell 2 6 5 2" xfId="2211"/>
    <cellStyle name="Check Cell 2 6 5 3" xfId="2212"/>
    <cellStyle name="Check Cell 2 6 5 4" xfId="2213"/>
    <cellStyle name="Check Cell 2 6 5 5" xfId="2214"/>
    <cellStyle name="Check Cell 2 6 5 6" xfId="2215"/>
    <cellStyle name="Check Cell 2 6 6" xfId="2216"/>
    <cellStyle name="Check Cell 2 6 7" xfId="2217"/>
    <cellStyle name="Check Cell 2 6 8" xfId="2218"/>
    <cellStyle name="Check Cell 2 6 9" xfId="2219"/>
    <cellStyle name="Check Cell 2 7" xfId="2220"/>
    <cellStyle name="Check Cell 2 7 2" xfId="2221"/>
    <cellStyle name="Check Cell 2 7 3" xfId="2222"/>
    <cellStyle name="Check Cell 2 7 4" xfId="2223"/>
    <cellStyle name="Check Cell 2 7 5" xfId="2224"/>
    <cellStyle name="Check Cell 2 7 6" xfId="2225"/>
    <cellStyle name="Check Cell 2 8" xfId="2226"/>
    <cellStyle name="Check Cell 2 8 2" xfId="2227"/>
    <cellStyle name="Check Cell 2 8 3" xfId="2228"/>
    <cellStyle name="Check Cell 2 8 4" xfId="2229"/>
    <cellStyle name="Check Cell 2 8 5" xfId="2230"/>
    <cellStyle name="Check Cell 2 8 6" xfId="2231"/>
    <cellStyle name="Check Cell 2 9" xfId="2232"/>
    <cellStyle name="Check Cell 2 9 2" xfId="2233"/>
    <cellStyle name="Check Cell 2 9 3" xfId="2234"/>
    <cellStyle name="Check Cell 2 9 4" xfId="2235"/>
    <cellStyle name="Check Cell 2 9 5" xfId="2236"/>
    <cellStyle name="Check Cell 2 9 6" xfId="2237"/>
    <cellStyle name="Check Cell 20" xfId="2238"/>
    <cellStyle name="Check Cell 21" xfId="2239"/>
    <cellStyle name="Check Cell 22" xfId="2240"/>
    <cellStyle name="Check Cell 23" xfId="2241"/>
    <cellStyle name="Check Cell 24" xfId="2242"/>
    <cellStyle name="Check Cell 25" xfId="2243"/>
    <cellStyle name="Check Cell 26" xfId="2244"/>
    <cellStyle name="Check Cell 27" xfId="2245"/>
    <cellStyle name="Check Cell 28" xfId="2246"/>
    <cellStyle name="Check Cell 29" xfId="2247"/>
    <cellStyle name="Check Cell 3" xfId="2248"/>
    <cellStyle name="Check Cell 3 2" xfId="2249"/>
    <cellStyle name="Check Cell 3 2 2" xfId="2250"/>
    <cellStyle name="Check Cell 3 2 3" xfId="2251"/>
    <cellStyle name="Check Cell 3 2 4" xfId="2252"/>
    <cellStyle name="Check Cell 3 2 5" xfId="2253"/>
    <cellStyle name="Check Cell 3 2 6" xfId="2254"/>
    <cellStyle name="Check Cell 3 3" xfId="2255"/>
    <cellStyle name="Check Cell 3 4" xfId="2256"/>
    <cellStyle name="Check Cell 3 5" xfId="2257"/>
    <cellStyle name="Check Cell 3 6" xfId="2258"/>
    <cellStyle name="Check Cell 3 7" xfId="2259"/>
    <cellStyle name="Check Cell 3 8" xfId="2260"/>
    <cellStyle name="Check Cell 30" xfId="2261"/>
    <cellStyle name="Check Cell 31" xfId="2262"/>
    <cellStyle name="Check Cell 32" xfId="2263"/>
    <cellStyle name="Check Cell 33" xfId="2264"/>
    <cellStyle name="Check Cell 34" xfId="2265"/>
    <cellStyle name="Check Cell 35" xfId="2266"/>
    <cellStyle name="Check Cell 36" xfId="2267"/>
    <cellStyle name="Check Cell 37" xfId="2268"/>
    <cellStyle name="Check Cell 38" xfId="2269"/>
    <cellStyle name="Check Cell 39" xfId="2270"/>
    <cellStyle name="Check Cell 4" xfId="2271"/>
    <cellStyle name="Check Cell 4 2" xfId="2272"/>
    <cellStyle name="Check Cell 4 2 2" xfId="2273"/>
    <cellStyle name="Check Cell 4 2 3" xfId="2274"/>
    <cellStyle name="Check Cell 4 2 4" xfId="2275"/>
    <cellStyle name="Check Cell 4 2 5" xfId="2276"/>
    <cellStyle name="Check Cell 4 2 6" xfId="2277"/>
    <cellStyle name="Check Cell 4 3" xfId="2278"/>
    <cellStyle name="Check Cell 4 4" xfId="2279"/>
    <cellStyle name="Check Cell 4 5" xfId="2280"/>
    <cellStyle name="Check Cell 4 6" xfId="2281"/>
    <cellStyle name="Check Cell 4 7" xfId="2282"/>
    <cellStyle name="Check Cell 4 8" xfId="2283"/>
    <cellStyle name="Check Cell 40" xfId="2284"/>
    <cellStyle name="Check Cell 41" xfId="2285"/>
    <cellStyle name="Check Cell 42" xfId="2286"/>
    <cellStyle name="Check Cell 43" xfId="2287"/>
    <cellStyle name="Check Cell 44" xfId="2288"/>
    <cellStyle name="Check Cell 45" xfId="2289"/>
    <cellStyle name="Check Cell 46" xfId="2290"/>
    <cellStyle name="Check Cell 47" xfId="2291"/>
    <cellStyle name="Check Cell 48" xfId="2292"/>
    <cellStyle name="Check Cell 49" xfId="2293"/>
    <cellStyle name="Check Cell 5" xfId="2294"/>
    <cellStyle name="Check Cell 5 2" xfId="2295"/>
    <cellStyle name="Check Cell 5 2 2" xfId="2296"/>
    <cellStyle name="Check Cell 5 2 3" xfId="2297"/>
    <cellStyle name="Check Cell 5 2 4" xfId="2298"/>
    <cellStyle name="Check Cell 5 2 5" xfId="2299"/>
    <cellStyle name="Check Cell 5 2 6" xfId="2300"/>
    <cellStyle name="Check Cell 5 3" xfId="2301"/>
    <cellStyle name="Check Cell 5 4" xfId="2302"/>
    <cellStyle name="Check Cell 5 5" xfId="2303"/>
    <cellStyle name="Check Cell 5 6" xfId="2304"/>
    <cellStyle name="Check Cell 5 7" xfId="2305"/>
    <cellStyle name="Check Cell 5 8" xfId="2306"/>
    <cellStyle name="Check Cell 50" xfId="2307"/>
    <cellStyle name="Check Cell 51" xfId="2308"/>
    <cellStyle name="Check Cell 52" xfId="2309"/>
    <cellStyle name="Check Cell 53" xfId="2310"/>
    <cellStyle name="Check Cell 54" xfId="2311"/>
    <cellStyle name="Check Cell 55" xfId="2312"/>
    <cellStyle name="Check Cell 56" xfId="2313"/>
    <cellStyle name="Check Cell 57" xfId="2314"/>
    <cellStyle name="Check Cell 58" xfId="2315"/>
    <cellStyle name="Check Cell 59" xfId="2316"/>
    <cellStyle name="Check Cell 6" xfId="2317"/>
    <cellStyle name="Check Cell 7" xfId="2318"/>
    <cellStyle name="Check Cell 8" xfId="2319"/>
    <cellStyle name="Check Cell 9" xfId="2320"/>
    <cellStyle name="Comma" xfId="1" builtinId="3"/>
    <cellStyle name="Comma [0] 10" xfId="2321"/>
    <cellStyle name="Comma [0] 2" xfId="2322"/>
    <cellStyle name="Comma [0] 2 2" xfId="2323"/>
    <cellStyle name="Comma [0] 2 3" xfId="2324"/>
    <cellStyle name="Comma [0] 2 4" xfId="2325"/>
    <cellStyle name="Comma [0] 2 5" xfId="2326"/>
    <cellStyle name="Comma [0] 3" xfId="2327"/>
    <cellStyle name="Comma [0] 3 2" xfId="2328"/>
    <cellStyle name="Comma [0] 4" xfId="2329"/>
    <cellStyle name="Comma [0] 5" xfId="2330"/>
    <cellStyle name="Comma [0] 7 2" xfId="2331"/>
    <cellStyle name="Comma [0] 7 3" xfId="2332"/>
    <cellStyle name="Comma [0] 7 4" xfId="2333"/>
    <cellStyle name="Comma [0] 8 2" xfId="2334"/>
    <cellStyle name="Comma [0] 8 3" xfId="2335"/>
    <cellStyle name="Comma 10" xfId="2336"/>
    <cellStyle name="Comma 10 2" xfId="2337"/>
    <cellStyle name="Comma 10 3" xfId="2338"/>
    <cellStyle name="Comma 10 3 2" xfId="2339"/>
    <cellStyle name="Comma 10 4" xfId="2340"/>
    <cellStyle name="Comma 11" xfId="2341"/>
    <cellStyle name="Comma 11 10" xfId="2342"/>
    <cellStyle name="Comma 11 10 10" xfId="2343"/>
    <cellStyle name="Comma 11 10 10 2" xfId="2344"/>
    <cellStyle name="Comma 11 10 10 2 2" xfId="2345"/>
    <cellStyle name="Comma 11 10 10 2 2 2" xfId="2346"/>
    <cellStyle name="Comma 11 10 10 2 2 2 2" xfId="2347"/>
    <cellStyle name="Comma 11 10 10 2 2 3" xfId="2348"/>
    <cellStyle name="Comma 11 10 10 2 3" xfId="2349"/>
    <cellStyle name="Comma 11 10 10 2 3 2" xfId="2350"/>
    <cellStyle name="Comma 11 10 10 2 4" xfId="2351"/>
    <cellStyle name="Comma 11 10 10 3" xfId="2352"/>
    <cellStyle name="Comma 11 10 10 3 2" xfId="2353"/>
    <cellStyle name="Comma 11 10 10 3 2 2" xfId="2354"/>
    <cellStyle name="Comma 11 10 10 3 2 2 2" xfId="2355"/>
    <cellStyle name="Comma 11 10 10 3 2 3" xfId="2356"/>
    <cellStyle name="Comma 11 10 10 3 3" xfId="2357"/>
    <cellStyle name="Comma 11 10 10 3 3 2" xfId="2358"/>
    <cellStyle name="Comma 11 10 10 3 4" xfId="2359"/>
    <cellStyle name="Comma 11 10 10 4" xfId="2360"/>
    <cellStyle name="Comma 11 10 10 4 2" xfId="2361"/>
    <cellStyle name="Comma 11 10 10 4 2 2" xfId="2362"/>
    <cellStyle name="Comma 11 10 10 4 3" xfId="2363"/>
    <cellStyle name="Comma 11 10 10 5" xfId="2364"/>
    <cellStyle name="Comma 11 10 10 5 2" xfId="2365"/>
    <cellStyle name="Comma 11 10 10 6" xfId="2366"/>
    <cellStyle name="Comma 11 10 11" xfId="2367"/>
    <cellStyle name="Comma 11 10 11 2" xfId="2368"/>
    <cellStyle name="Comma 11 10 11 2 2" xfId="2369"/>
    <cellStyle name="Comma 11 10 11 2 2 2" xfId="2370"/>
    <cellStyle name="Comma 11 10 11 2 2 2 2" xfId="2371"/>
    <cellStyle name="Comma 11 10 11 2 2 3" xfId="2372"/>
    <cellStyle name="Comma 11 10 11 2 3" xfId="2373"/>
    <cellStyle name="Comma 11 10 11 2 3 2" xfId="2374"/>
    <cellStyle name="Comma 11 10 11 2 4" xfId="2375"/>
    <cellStyle name="Comma 11 10 11 3" xfId="2376"/>
    <cellStyle name="Comma 11 10 11 3 2" xfId="2377"/>
    <cellStyle name="Comma 11 10 11 3 2 2" xfId="2378"/>
    <cellStyle name="Comma 11 10 11 3 2 2 2" xfId="2379"/>
    <cellStyle name="Comma 11 10 11 3 2 3" xfId="2380"/>
    <cellStyle name="Comma 11 10 11 3 3" xfId="2381"/>
    <cellStyle name="Comma 11 10 11 3 3 2" xfId="2382"/>
    <cellStyle name="Comma 11 10 11 3 4" xfId="2383"/>
    <cellStyle name="Comma 11 10 11 4" xfId="2384"/>
    <cellStyle name="Comma 11 10 11 4 2" xfId="2385"/>
    <cellStyle name="Comma 11 10 11 4 2 2" xfId="2386"/>
    <cellStyle name="Comma 11 10 11 4 3" xfId="2387"/>
    <cellStyle name="Comma 11 10 11 5" xfId="2388"/>
    <cellStyle name="Comma 11 10 11 5 2" xfId="2389"/>
    <cellStyle name="Comma 11 10 11 6" xfId="2390"/>
    <cellStyle name="Comma 11 10 12" xfId="2391"/>
    <cellStyle name="Comma 11 10 12 2" xfId="2392"/>
    <cellStyle name="Comma 11 10 12 2 2" xfId="2393"/>
    <cellStyle name="Comma 11 10 12 2 2 2" xfId="2394"/>
    <cellStyle name="Comma 11 10 12 2 2 2 2" xfId="2395"/>
    <cellStyle name="Comma 11 10 12 2 2 3" xfId="2396"/>
    <cellStyle name="Comma 11 10 12 2 3" xfId="2397"/>
    <cellStyle name="Comma 11 10 12 2 3 2" xfId="2398"/>
    <cellStyle name="Comma 11 10 12 2 4" xfId="2399"/>
    <cellStyle name="Comma 11 10 12 3" xfId="2400"/>
    <cellStyle name="Comma 11 10 12 3 2" xfId="2401"/>
    <cellStyle name="Comma 11 10 12 3 2 2" xfId="2402"/>
    <cellStyle name="Comma 11 10 12 3 2 2 2" xfId="2403"/>
    <cellStyle name="Comma 11 10 12 3 2 3" xfId="2404"/>
    <cellStyle name="Comma 11 10 12 3 3" xfId="2405"/>
    <cellStyle name="Comma 11 10 12 3 3 2" xfId="2406"/>
    <cellStyle name="Comma 11 10 12 3 4" xfId="2407"/>
    <cellStyle name="Comma 11 10 12 4" xfId="2408"/>
    <cellStyle name="Comma 11 10 12 4 2" xfId="2409"/>
    <cellStyle name="Comma 11 10 12 4 2 2" xfId="2410"/>
    <cellStyle name="Comma 11 10 12 4 3" xfId="2411"/>
    <cellStyle name="Comma 11 10 12 5" xfId="2412"/>
    <cellStyle name="Comma 11 10 12 5 2" xfId="2413"/>
    <cellStyle name="Comma 11 10 12 6" xfId="2414"/>
    <cellStyle name="Comma 11 10 13" xfId="2415"/>
    <cellStyle name="Comma 11 10 13 2" xfId="2416"/>
    <cellStyle name="Comma 11 10 13 2 2" xfId="2417"/>
    <cellStyle name="Comma 11 10 13 2 2 2" xfId="2418"/>
    <cellStyle name="Comma 11 10 13 2 2 2 2" xfId="2419"/>
    <cellStyle name="Comma 11 10 13 2 2 3" xfId="2420"/>
    <cellStyle name="Comma 11 10 13 2 3" xfId="2421"/>
    <cellStyle name="Comma 11 10 13 2 3 2" xfId="2422"/>
    <cellStyle name="Comma 11 10 13 2 4" xfId="2423"/>
    <cellStyle name="Comma 11 10 13 3" xfId="2424"/>
    <cellStyle name="Comma 11 10 13 3 2" xfId="2425"/>
    <cellStyle name="Comma 11 10 13 3 2 2" xfId="2426"/>
    <cellStyle name="Comma 11 10 13 3 2 2 2" xfId="2427"/>
    <cellStyle name="Comma 11 10 13 3 2 3" xfId="2428"/>
    <cellStyle name="Comma 11 10 13 3 3" xfId="2429"/>
    <cellStyle name="Comma 11 10 13 3 3 2" xfId="2430"/>
    <cellStyle name="Comma 11 10 13 3 4" xfId="2431"/>
    <cellStyle name="Comma 11 10 13 4" xfId="2432"/>
    <cellStyle name="Comma 11 10 13 4 2" xfId="2433"/>
    <cellStyle name="Comma 11 10 13 4 2 2" xfId="2434"/>
    <cellStyle name="Comma 11 10 13 4 3" xfId="2435"/>
    <cellStyle name="Comma 11 10 13 5" xfId="2436"/>
    <cellStyle name="Comma 11 10 13 5 2" xfId="2437"/>
    <cellStyle name="Comma 11 10 13 6" xfId="2438"/>
    <cellStyle name="Comma 11 10 14" xfId="2439"/>
    <cellStyle name="Comma 11 10 14 2" xfId="2440"/>
    <cellStyle name="Comma 11 10 14 2 2" xfId="2441"/>
    <cellStyle name="Comma 11 10 14 2 2 2" xfId="2442"/>
    <cellStyle name="Comma 11 10 14 2 3" xfId="2443"/>
    <cellStyle name="Comma 11 10 14 3" xfId="2444"/>
    <cellStyle name="Comma 11 10 14 3 2" xfId="2445"/>
    <cellStyle name="Comma 11 10 14 4" xfId="2446"/>
    <cellStyle name="Comma 11 10 15" xfId="2447"/>
    <cellStyle name="Comma 11 10 15 2" xfId="2448"/>
    <cellStyle name="Comma 11 10 15 2 2" xfId="2449"/>
    <cellStyle name="Comma 11 10 15 2 2 2" xfId="2450"/>
    <cellStyle name="Comma 11 10 15 2 3" xfId="2451"/>
    <cellStyle name="Comma 11 10 15 3" xfId="2452"/>
    <cellStyle name="Comma 11 10 15 3 2" xfId="2453"/>
    <cellStyle name="Comma 11 10 15 4" xfId="2454"/>
    <cellStyle name="Comma 11 10 16" xfId="2455"/>
    <cellStyle name="Comma 11 10 16 2" xfId="2456"/>
    <cellStyle name="Comma 11 10 16 2 2" xfId="2457"/>
    <cellStyle name="Comma 11 10 16 3" xfId="2458"/>
    <cellStyle name="Comma 11 10 17" xfId="2459"/>
    <cellStyle name="Comma 11 10 17 2" xfId="2460"/>
    <cellStyle name="Comma 11 10 18" xfId="2461"/>
    <cellStyle name="Comma 11 10 2" xfId="2462"/>
    <cellStyle name="Comma 11 10 2 2" xfId="2463"/>
    <cellStyle name="Comma 11 10 2 2 2" xfId="2464"/>
    <cellStyle name="Comma 11 10 2 2 2 2" xfId="2465"/>
    <cellStyle name="Comma 11 10 2 2 2 2 2" xfId="2466"/>
    <cellStyle name="Comma 11 10 2 2 2 3" xfId="2467"/>
    <cellStyle name="Comma 11 10 2 2 3" xfId="2468"/>
    <cellStyle name="Comma 11 10 2 2 3 2" xfId="2469"/>
    <cellStyle name="Comma 11 10 2 2 4" xfId="2470"/>
    <cellStyle name="Comma 11 10 2 3" xfId="2471"/>
    <cellStyle name="Comma 11 10 2 3 2" xfId="2472"/>
    <cellStyle name="Comma 11 10 2 3 2 2" xfId="2473"/>
    <cellStyle name="Comma 11 10 2 3 2 2 2" xfId="2474"/>
    <cellStyle name="Comma 11 10 2 3 2 3" xfId="2475"/>
    <cellStyle name="Comma 11 10 2 3 3" xfId="2476"/>
    <cellStyle name="Comma 11 10 2 3 3 2" xfId="2477"/>
    <cellStyle name="Comma 11 10 2 3 4" xfId="2478"/>
    <cellStyle name="Comma 11 10 2 4" xfId="2479"/>
    <cellStyle name="Comma 11 10 2 4 2" xfId="2480"/>
    <cellStyle name="Comma 11 10 2 4 2 2" xfId="2481"/>
    <cellStyle name="Comma 11 10 2 4 3" xfId="2482"/>
    <cellStyle name="Comma 11 10 2 5" xfId="2483"/>
    <cellStyle name="Comma 11 10 2 5 2" xfId="2484"/>
    <cellStyle name="Comma 11 10 2 6" xfId="2485"/>
    <cellStyle name="Comma 11 10 3" xfId="2486"/>
    <cellStyle name="Comma 11 10 3 2" xfId="2487"/>
    <cellStyle name="Comma 11 10 3 2 2" xfId="2488"/>
    <cellStyle name="Comma 11 10 3 2 2 2" xfId="2489"/>
    <cellStyle name="Comma 11 10 3 2 2 2 2" xfId="2490"/>
    <cellStyle name="Comma 11 10 3 2 2 3" xfId="2491"/>
    <cellStyle name="Comma 11 10 3 2 3" xfId="2492"/>
    <cellStyle name="Comma 11 10 3 2 3 2" xfId="2493"/>
    <cellStyle name="Comma 11 10 3 2 4" xfId="2494"/>
    <cellStyle name="Comma 11 10 3 3" xfId="2495"/>
    <cellStyle name="Comma 11 10 3 3 2" xfId="2496"/>
    <cellStyle name="Comma 11 10 3 3 2 2" xfId="2497"/>
    <cellStyle name="Comma 11 10 3 3 2 2 2" xfId="2498"/>
    <cellStyle name="Comma 11 10 3 3 2 3" xfId="2499"/>
    <cellStyle name="Comma 11 10 3 3 3" xfId="2500"/>
    <cellStyle name="Comma 11 10 3 3 3 2" xfId="2501"/>
    <cellStyle name="Comma 11 10 3 3 4" xfId="2502"/>
    <cellStyle name="Comma 11 10 3 4" xfId="2503"/>
    <cellStyle name="Comma 11 10 3 4 2" xfId="2504"/>
    <cellStyle name="Comma 11 10 3 4 2 2" xfId="2505"/>
    <cellStyle name="Comma 11 10 3 4 3" xfId="2506"/>
    <cellStyle name="Comma 11 10 3 5" xfId="2507"/>
    <cellStyle name="Comma 11 10 3 5 2" xfId="2508"/>
    <cellStyle name="Comma 11 10 3 6" xfId="2509"/>
    <cellStyle name="Comma 11 10 4" xfId="2510"/>
    <cellStyle name="Comma 11 10 4 2" xfId="2511"/>
    <cellStyle name="Comma 11 10 4 2 2" xfId="2512"/>
    <cellStyle name="Comma 11 10 4 2 2 2" xfId="2513"/>
    <cellStyle name="Comma 11 10 4 2 2 2 2" xfId="2514"/>
    <cellStyle name="Comma 11 10 4 2 2 3" xfId="2515"/>
    <cellStyle name="Comma 11 10 4 2 3" xfId="2516"/>
    <cellStyle name="Comma 11 10 4 2 3 2" xfId="2517"/>
    <cellStyle name="Comma 11 10 4 2 4" xfId="2518"/>
    <cellStyle name="Comma 11 10 4 3" xfId="2519"/>
    <cellStyle name="Comma 11 10 4 3 2" xfId="2520"/>
    <cellStyle name="Comma 11 10 4 3 2 2" xfId="2521"/>
    <cellStyle name="Comma 11 10 4 3 2 2 2" xfId="2522"/>
    <cellStyle name="Comma 11 10 4 3 2 3" xfId="2523"/>
    <cellStyle name="Comma 11 10 4 3 3" xfId="2524"/>
    <cellStyle name="Comma 11 10 4 3 3 2" xfId="2525"/>
    <cellStyle name="Comma 11 10 4 3 4" xfId="2526"/>
    <cellStyle name="Comma 11 10 4 4" xfId="2527"/>
    <cellStyle name="Comma 11 10 4 4 2" xfId="2528"/>
    <cellStyle name="Comma 11 10 4 4 2 2" xfId="2529"/>
    <cellStyle name="Comma 11 10 4 4 3" xfId="2530"/>
    <cellStyle name="Comma 11 10 4 5" xfId="2531"/>
    <cellStyle name="Comma 11 10 4 5 2" xfId="2532"/>
    <cellStyle name="Comma 11 10 4 6" xfId="2533"/>
    <cellStyle name="Comma 11 10 5" xfId="2534"/>
    <cellStyle name="Comma 11 10 5 2" xfId="2535"/>
    <cellStyle name="Comma 11 10 5 2 2" xfId="2536"/>
    <cellStyle name="Comma 11 10 5 2 2 2" xfId="2537"/>
    <cellStyle name="Comma 11 10 5 2 2 2 2" xfId="2538"/>
    <cellStyle name="Comma 11 10 5 2 2 3" xfId="2539"/>
    <cellStyle name="Comma 11 10 5 2 3" xfId="2540"/>
    <cellStyle name="Comma 11 10 5 2 3 2" xfId="2541"/>
    <cellStyle name="Comma 11 10 5 2 4" xfId="2542"/>
    <cellStyle name="Comma 11 10 5 3" xfId="2543"/>
    <cellStyle name="Comma 11 10 5 3 2" xfId="2544"/>
    <cellStyle name="Comma 11 10 5 3 2 2" xfId="2545"/>
    <cellStyle name="Comma 11 10 5 3 2 2 2" xfId="2546"/>
    <cellStyle name="Comma 11 10 5 3 2 3" xfId="2547"/>
    <cellStyle name="Comma 11 10 5 3 3" xfId="2548"/>
    <cellStyle name="Comma 11 10 5 3 3 2" xfId="2549"/>
    <cellStyle name="Comma 11 10 5 3 4" xfId="2550"/>
    <cellStyle name="Comma 11 10 5 4" xfId="2551"/>
    <cellStyle name="Comma 11 10 5 4 2" xfId="2552"/>
    <cellStyle name="Comma 11 10 5 4 2 2" xfId="2553"/>
    <cellStyle name="Comma 11 10 5 4 3" xfId="2554"/>
    <cellStyle name="Comma 11 10 5 5" xfId="2555"/>
    <cellStyle name="Comma 11 10 5 5 2" xfId="2556"/>
    <cellStyle name="Comma 11 10 5 6" xfId="2557"/>
    <cellStyle name="Comma 11 10 6" xfId="2558"/>
    <cellStyle name="Comma 11 10 6 2" xfId="2559"/>
    <cellStyle name="Comma 11 10 6 2 2" xfId="2560"/>
    <cellStyle name="Comma 11 10 6 2 2 2" xfId="2561"/>
    <cellStyle name="Comma 11 10 6 2 2 2 2" xfId="2562"/>
    <cellStyle name="Comma 11 10 6 2 2 3" xfId="2563"/>
    <cellStyle name="Comma 11 10 6 2 3" xfId="2564"/>
    <cellStyle name="Comma 11 10 6 2 3 2" xfId="2565"/>
    <cellStyle name="Comma 11 10 6 2 4" xfId="2566"/>
    <cellStyle name="Comma 11 10 6 3" xfId="2567"/>
    <cellStyle name="Comma 11 10 6 3 2" xfId="2568"/>
    <cellStyle name="Comma 11 10 6 3 2 2" xfId="2569"/>
    <cellStyle name="Comma 11 10 6 3 2 2 2" xfId="2570"/>
    <cellStyle name="Comma 11 10 6 3 2 3" xfId="2571"/>
    <cellStyle name="Comma 11 10 6 3 3" xfId="2572"/>
    <cellStyle name="Comma 11 10 6 3 3 2" xfId="2573"/>
    <cellStyle name="Comma 11 10 6 3 4" xfId="2574"/>
    <cellStyle name="Comma 11 10 6 4" xfId="2575"/>
    <cellStyle name="Comma 11 10 6 4 2" xfId="2576"/>
    <cellStyle name="Comma 11 10 6 4 2 2" xfId="2577"/>
    <cellStyle name="Comma 11 10 6 4 3" xfId="2578"/>
    <cellStyle name="Comma 11 10 6 5" xfId="2579"/>
    <cellStyle name="Comma 11 10 6 5 2" xfId="2580"/>
    <cellStyle name="Comma 11 10 6 6" xfId="2581"/>
    <cellStyle name="Comma 11 10 7" xfId="2582"/>
    <cellStyle name="Comma 11 10 7 2" xfId="2583"/>
    <cellStyle name="Comma 11 10 7 2 2" xfId="2584"/>
    <cellStyle name="Comma 11 10 7 2 2 2" xfId="2585"/>
    <cellStyle name="Comma 11 10 7 2 2 2 2" xfId="2586"/>
    <cellStyle name="Comma 11 10 7 2 2 3" xfId="2587"/>
    <cellStyle name="Comma 11 10 7 2 3" xfId="2588"/>
    <cellStyle name="Comma 11 10 7 2 3 2" xfId="2589"/>
    <cellStyle name="Comma 11 10 7 2 4" xfId="2590"/>
    <cellStyle name="Comma 11 10 7 3" xfId="2591"/>
    <cellStyle name="Comma 11 10 7 3 2" xfId="2592"/>
    <cellStyle name="Comma 11 10 7 3 2 2" xfId="2593"/>
    <cellStyle name="Comma 11 10 7 3 2 2 2" xfId="2594"/>
    <cellStyle name="Comma 11 10 7 3 2 3" xfId="2595"/>
    <cellStyle name="Comma 11 10 7 3 3" xfId="2596"/>
    <cellStyle name="Comma 11 10 7 3 3 2" xfId="2597"/>
    <cellStyle name="Comma 11 10 7 3 4" xfId="2598"/>
    <cellStyle name="Comma 11 10 7 4" xfId="2599"/>
    <cellStyle name="Comma 11 10 7 4 2" xfId="2600"/>
    <cellStyle name="Comma 11 10 7 4 2 2" xfId="2601"/>
    <cellStyle name="Comma 11 10 7 4 3" xfId="2602"/>
    <cellStyle name="Comma 11 10 7 5" xfId="2603"/>
    <cellStyle name="Comma 11 10 7 5 2" xfId="2604"/>
    <cellStyle name="Comma 11 10 7 6" xfId="2605"/>
    <cellStyle name="Comma 11 10 8" xfId="2606"/>
    <cellStyle name="Comma 11 10 8 2" xfId="2607"/>
    <cellStyle name="Comma 11 10 8 2 2" xfId="2608"/>
    <cellStyle name="Comma 11 10 8 2 2 2" xfId="2609"/>
    <cellStyle name="Comma 11 10 8 2 2 2 2" xfId="2610"/>
    <cellStyle name="Comma 11 10 8 2 2 3" xfId="2611"/>
    <cellStyle name="Comma 11 10 8 2 3" xfId="2612"/>
    <cellStyle name="Comma 11 10 8 2 3 2" xfId="2613"/>
    <cellStyle name="Comma 11 10 8 2 4" xfId="2614"/>
    <cellStyle name="Comma 11 10 8 3" xfId="2615"/>
    <cellStyle name="Comma 11 10 8 3 2" xfId="2616"/>
    <cellStyle name="Comma 11 10 8 3 2 2" xfId="2617"/>
    <cellStyle name="Comma 11 10 8 3 2 2 2" xfId="2618"/>
    <cellStyle name="Comma 11 10 8 3 2 3" xfId="2619"/>
    <cellStyle name="Comma 11 10 8 3 3" xfId="2620"/>
    <cellStyle name="Comma 11 10 8 3 3 2" xfId="2621"/>
    <cellStyle name="Comma 11 10 8 3 4" xfId="2622"/>
    <cellStyle name="Comma 11 10 8 4" xfId="2623"/>
    <cellStyle name="Comma 11 10 8 4 2" xfId="2624"/>
    <cellStyle name="Comma 11 10 8 4 2 2" xfId="2625"/>
    <cellStyle name="Comma 11 10 8 4 3" xfId="2626"/>
    <cellStyle name="Comma 11 10 8 5" xfId="2627"/>
    <cellStyle name="Comma 11 10 8 5 2" xfId="2628"/>
    <cellStyle name="Comma 11 10 8 6" xfId="2629"/>
    <cellStyle name="Comma 11 10 9" xfId="2630"/>
    <cellStyle name="Comma 11 10 9 2" xfId="2631"/>
    <cellStyle name="Comma 11 10 9 2 2" xfId="2632"/>
    <cellStyle name="Comma 11 10 9 2 2 2" xfId="2633"/>
    <cellStyle name="Comma 11 10 9 2 2 2 2" xfId="2634"/>
    <cellStyle name="Comma 11 10 9 2 2 3" xfId="2635"/>
    <cellStyle name="Comma 11 10 9 2 3" xfId="2636"/>
    <cellStyle name="Comma 11 10 9 2 3 2" xfId="2637"/>
    <cellStyle name="Comma 11 10 9 2 4" xfId="2638"/>
    <cellStyle name="Comma 11 10 9 3" xfId="2639"/>
    <cellStyle name="Comma 11 10 9 3 2" xfId="2640"/>
    <cellStyle name="Comma 11 10 9 3 2 2" xfId="2641"/>
    <cellStyle name="Comma 11 10 9 3 2 2 2" xfId="2642"/>
    <cellStyle name="Comma 11 10 9 3 2 3" xfId="2643"/>
    <cellStyle name="Comma 11 10 9 3 3" xfId="2644"/>
    <cellStyle name="Comma 11 10 9 3 3 2" xfId="2645"/>
    <cellStyle name="Comma 11 10 9 3 4" xfId="2646"/>
    <cellStyle name="Comma 11 10 9 4" xfId="2647"/>
    <cellStyle name="Comma 11 10 9 4 2" xfId="2648"/>
    <cellStyle name="Comma 11 10 9 4 2 2" xfId="2649"/>
    <cellStyle name="Comma 11 10 9 4 3" xfId="2650"/>
    <cellStyle name="Comma 11 10 9 5" xfId="2651"/>
    <cellStyle name="Comma 11 10 9 5 2" xfId="2652"/>
    <cellStyle name="Comma 11 10 9 6" xfId="2653"/>
    <cellStyle name="Comma 11 11" xfId="2654"/>
    <cellStyle name="Comma 11 11 10" xfId="2655"/>
    <cellStyle name="Comma 11 11 10 2" xfId="2656"/>
    <cellStyle name="Comma 11 11 10 2 2" xfId="2657"/>
    <cellStyle name="Comma 11 11 10 2 2 2" xfId="2658"/>
    <cellStyle name="Comma 11 11 10 2 2 2 2" xfId="2659"/>
    <cellStyle name="Comma 11 11 10 2 2 3" xfId="2660"/>
    <cellStyle name="Comma 11 11 10 2 3" xfId="2661"/>
    <cellStyle name="Comma 11 11 10 2 3 2" xfId="2662"/>
    <cellStyle name="Comma 11 11 10 2 4" xfId="2663"/>
    <cellStyle name="Comma 11 11 10 3" xfId="2664"/>
    <cellStyle name="Comma 11 11 10 3 2" xfId="2665"/>
    <cellStyle name="Comma 11 11 10 3 2 2" xfId="2666"/>
    <cellStyle name="Comma 11 11 10 3 2 2 2" xfId="2667"/>
    <cellStyle name="Comma 11 11 10 3 2 3" xfId="2668"/>
    <cellStyle name="Comma 11 11 10 3 2 4" xfId="2669"/>
    <cellStyle name="Comma 11 11 10 3 3" xfId="2670"/>
    <cellStyle name="Comma 11 11 10 3 3 2" xfId="2671"/>
    <cellStyle name="Comma 11 11 10 3 4" xfId="2672"/>
    <cellStyle name="Comma 11 11 10 4" xfId="2673"/>
    <cellStyle name="Comma 11 11 10 4 2" xfId="2674"/>
    <cellStyle name="Comma 11 11 10 4 2 2" xfId="2675"/>
    <cellStyle name="Comma 11 11 10 4 3" xfId="2676"/>
    <cellStyle name="Comma 11 11 10 5" xfId="2677"/>
    <cellStyle name="Comma 11 11 10 5 2" xfId="2678"/>
    <cellStyle name="Comma 11 11 10 6" xfId="2679"/>
    <cellStyle name="Comma 11 11 11" xfId="2680"/>
    <cellStyle name="Comma 11 11 11 2" xfId="2681"/>
    <cellStyle name="Comma 11 11 11 2 2" xfId="2682"/>
    <cellStyle name="Comma 11 11 11 2 2 2" xfId="2683"/>
    <cellStyle name="Comma 11 11 11 2 2 2 2" xfId="2684"/>
    <cellStyle name="Comma 11 11 11 2 2 3" xfId="2685"/>
    <cellStyle name="Comma 11 11 11 2 3" xfId="2686"/>
    <cellStyle name="Comma 11 11 11 2 3 2" xfId="2687"/>
    <cellStyle name="Comma 11 11 11 2 4" xfId="2688"/>
    <cellStyle name="Comma 11 11 11 3" xfId="2689"/>
    <cellStyle name="Comma 11 11 11 3 2" xfId="2690"/>
    <cellStyle name="Comma 11 11 11 3 2 2" xfId="2691"/>
    <cellStyle name="Comma 11 11 11 3 2 2 2" xfId="2692"/>
    <cellStyle name="Comma 11 11 11 3 2 3" xfId="2693"/>
    <cellStyle name="Comma 11 11 11 3 3" xfId="2694"/>
    <cellStyle name="Comma 11 11 11 3 3 2" xfId="2695"/>
    <cellStyle name="Comma 11 11 11 3 4" xfId="2696"/>
    <cellStyle name="Comma 11 11 11 4" xfId="2697"/>
    <cellStyle name="Comma 11 11 11 4 2" xfId="2698"/>
    <cellStyle name="Comma 11 11 11 4 2 2" xfId="2699"/>
    <cellStyle name="Comma 11 11 11 4 3" xfId="2700"/>
    <cellStyle name="Comma 11 11 11 5" xfId="2701"/>
    <cellStyle name="Comma 11 11 11 5 2" xfId="2702"/>
    <cellStyle name="Comma 11 11 11 6" xfId="2703"/>
    <cellStyle name="Comma 11 11 12" xfId="2704"/>
    <cellStyle name="Comma 11 11 12 2" xfId="2705"/>
    <cellStyle name="Comma 11 11 12 2 2" xfId="2706"/>
    <cellStyle name="Comma 11 11 12 2 2 2" xfId="2707"/>
    <cellStyle name="Comma 11 11 12 2 2 2 2" xfId="2708"/>
    <cellStyle name="Comma 11 11 12 2 2 3" xfId="2709"/>
    <cellStyle name="Comma 11 11 12 2 3" xfId="2710"/>
    <cellStyle name="Comma 11 11 12 2 3 2" xfId="2711"/>
    <cellStyle name="Comma 11 11 12 2 4" xfId="2712"/>
    <cellStyle name="Comma 11 11 12 3" xfId="2713"/>
    <cellStyle name="Comma 11 11 12 3 2" xfId="2714"/>
    <cellStyle name="Comma 11 11 12 3 2 2" xfId="2715"/>
    <cellStyle name="Comma 11 11 12 3 2 2 2" xfId="2716"/>
    <cellStyle name="Comma 11 11 12 3 2 3" xfId="2717"/>
    <cellStyle name="Comma 11 11 12 3 3" xfId="2718"/>
    <cellStyle name="Comma 11 11 12 3 3 2" xfId="2719"/>
    <cellStyle name="Comma 11 11 12 3 4" xfId="2720"/>
    <cellStyle name="Comma 11 11 12 4" xfId="2721"/>
    <cellStyle name="Comma 11 11 12 4 2" xfId="2722"/>
    <cellStyle name="Comma 11 11 12 4 2 2" xfId="2723"/>
    <cellStyle name="Comma 11 11 12 4 3" xfId="2724"/>
    <cellStyle name="Comma 11 11 12 5" xfId="2725"/>
    <cellStyle name="Comma 11 11 12 5 2" xfId="2726"/>
    <cellStyle name="Comma 11 11 12 6" xfId="2727"/>
    <cellStyle name="Comma 11 11 13" xfId="2728"/>
    <cellStyle name="Comma 11 11 13 2" xfId="2729"/>
    <cellStyle name="Comma 11 11 13 2 2" xfId="2730"/>
    <cellStyle name="Comma 11 11 13 2 2 2" xfId="2731"/>
    <cellStyle name="Comma 11 11 13 2 2 2 2" xfId="2732"/>
    <cellStyle name="Comma 11 11 13 2 2 3" xfId="2733"/>
    <cellStyle name="Comma 11 11 13 2 3" xfId="2734"/>
    <cellStyle name="Comma 11 11 13 2 3 2" xfId="2735"/>
    <cellStyle name="Comma 11 11 13 2 4" xfId="2736"/>
    <cellStyle name="Comma 11 11 13 3" xfId="2737"/>
    <cellStyle name="Comma 11 11 13 3 2" xfId="2738"/>
    <cellStyle name="Comma 11 11 13 3 2 2" xfId="2739"/>
    <cellStyle name="Comma 11 11 13 3 2 2 2" xfId="2740"/>
    <cellStyle name="Comma 11 11 13 3 2 3" xfId="2741"/>
    <cellStyle name="Comma 11 11 13 3 3" xfId="2742"/>
    <cellStyle name="Comma 11 11 13 3 3 2" xfId="2743"/>
    <cellStyle name="Comma 11 11 13 3 4" xfId="2744"/>
    <cellStyle name="Comma 11 11 13 4" xfId="2745"/>
    <cellStyle name="Comma 11 11 13 4 2" xfId="2746"/>
    <cellStyle name="Comma 11 11 13 4 2 2" xfId="2747"/>
    <cellStyle name="Comma 11 11 13 4 3" xfId="2748"/>
    <cellStyle name="Comma 11 11 13 5" xfId="2749"/>
    <cellStyle name="Comma 11 11 13 5 2" xfId="2750"/>
    <cellStyle name="Comma 11 11 13 6" xfId="2751"/>
    <cellStyle name="Comma 11 11 14" xfId="2752"/>
    <cellStyle name="Comma 11 11 14 2" xfId="2753"/>
    <cellStyle name="Comma 11 11 14 2 2" xfId="2754"/>
    <cellStyle name="Comma 11 11 14 2 2 2" xfId="2755"/>
    <cellStyle name="Comma 11 11 14 2 3" xfId="2756"/>
    <cellStyle name="Comma 11 11 14 3" xfId="2757"/>
    <cellStyle name="Comma 11 11 14 3 2" xfId="2758"/>
    <cellStyle name="Comma 11 11 14 4" xfId="2759"/>
    <cellStyle name="Comma 11 11 15" xfId="2760"/>
    <cellStyle name="Comma 11 11 15 2" xfId="2761"/>
    <cellStyle name="Comma 11 11 15 2 2" xfId="2762"/>
    <cellStyle name="Comma 11 11 15 2 2 2" xfId="2763"/>
    <cellStyle name="Comma 11 11 15 2 3" xfId="2764"/>
    <cellStyle name="Comma 11 11 15 3" xfId="2765"/>
    <cellStyle name="Comma 11 11 15 3 2" xfId="2766"/>
    <cellStyle name="Comma 11 11 15 4" xfId="2767"/>
    <cellStyle name="Comma 11 11 16" xfId="2768"/>
    <cellStyle name="Comma 11 11 16 2" xfId="2769"/>
    <cellStyle name="Comma 11 11 16 2 2" xfId="2770"/>
    <cellStyle name="Comma 11 11 16 3" xfId="2771"/>
    <cellStyle name="Comma 11 11 17" xfId="2772"/>
    <cellStyle name="Comma 11 11 17 2" xfId="2773"/>
    <cellStyle name="Comma 11 11 18" xfId="2774"/>
    <cellStyle name="Comma 11 11 2" xfId="2775"/>
    <cellStyle name="Comma 11 11 2 2" xfId="2776"/>
    <cellStyle name="Comma 11 11 2 2 2" xfId="2777"/>
    <cellStyle name="Comma 11 11 2 2 2 2" xfId="2778"/>
    <cellStyle name="Comma 11 11 2 2 2 2 2" xfId="2779"/>
    <cellStyle name="Comma 11 11 2 2 2 3" xfId="2780"/>
    <cellStyle name="Comma 11 11 2 2 3" xfId="2781"/>
    <cellStyle name="Comma 11 11 2 2 3 2" xfId="2782"/>
    <cellStyle name="Comma 11 11 2 2 4" xfId="2783"/>
    <cellStyle name="Comma 11 11 2 3" xfId="2784"/>
    <cellStyle name="Comma 11 11 2 3 2" xfId="2785"/>
    <cellStyle name="Comma 11 11 2 3 2 2" xfId="2786"/>
    <cellStyle name="Comma 11 11 2 3 2 2 2" xfId="2787"/>
    <cellStyle name="Comma 11 11 2 3 2 3" xfId="2788"/>
    <cellStyle name="Comma 11 11 2 3 3" xfId="2789"/>
    <cellStyle name="Comma 11 11 2 3 3 2" xfId="2790"/>
    <cellStyle name="Comma 11 11 2 3 4" xfId="2791"/>
    <cellStyle name="Comma 11 11 2 4" xfId="2792"/>
    <cellStyle name="Comma 11 11 2 4 2" xfId="2793"/>
    <cellStyle name="Comma 11 11 2 4 2 2" xfId="2794"/>
    <cellStyle name="Comma 11 11 2 4 3" xfId="2795"/>
    <cellStyle name="Comma 11 11 2 5" xfId="2796"/>
    <cellStyle name="Comma 11 11 2 5 2" xfId="2797"/>
    <cellStyle name="Comma 11 11 2 6" xfId="2798"/>
    <cellStyle name="Comma 11 11 3" xfId="2799"/>
    <cellStyle name="Comma 11 11 3 2" xfId="2800"/>
    <cellStyle name="Comma 11 11 3 2 2" xfId="2801"/>
    <cellStyle name="Comma 11 11 3 2 2 2" xfId="2802"/>
    <cellStyle name="Comma 11 11 3 2 2 2 2" xfId="2803"/>
    <cellStyle name="Comma 11 11 3 2 2 3" xfId="2804"/>
    <cellStyle name="Comma 11 11 3 2 3" xfId="2805"/>
    <cellStyle name="Comma 11 11 3 2 3 2" xfId="2806"/>
    <cellStyle name="Comma 11 11 3 2 4" xfId="2807"/>
    <cellStyle name="Comma 11 11 3 3" xfId="2808"/>
    <cellStyle name="Comma 11 11 3 3 2" xfId="2809"/>
    <cellStyle name="Comma 11 11 3 3 2 2" xfId="2810"/>
    <cellStyle name="Comma 11 11 3 3 2 2 2" xfId="2811"/>
    <cellStyle name="Comma 11 11 3 3 2 3" xfId="2812"/>
    <cellStyle name="Comma 11 11 3 3 3" xfId="2813"/>
    <cellStyle name="Comma 11 11 3 3 3 2" xfId="2814"/>
    <cellStyle name="Comma 11 11 3 3 4" xfId="2815"/>
    <cellStyle name="Comma 11 11 3 4" xfId="2816"/>
    <cellStyle name="Comma 11 11 3 4 2" xfId="2817"/>
    <cellStyle name="Comma 11 11 3 4 2 2" xfId="2818"/>
    <cellStyle name="Comma 11 11 3 4 3" xfId="2819"/>
    <cellStyle name="Comma 11 11 3 5" xfId="2820"/>
    <cellStyle name="Comma 11 11 3 5 2" xfId="2821"/>
    <cellStyle name="Comma 11 11 3 6" xfId="2822"/>
    <cellStyle name="Comma 11 11 4" xfId="2823"/>
    <cellStyle name="Comma 11 11 4 2" xfId="2824"/>
    <cellStyle name="Comma 11 11 4 2 2" xfId="2825"/>
    <cellStyle name="Comma 11 11 4 2 2 2" xfId="2826"/>
    <cellStyle name="Comma 11 11 4 2 2 2 2" xfId="2827"/>
    <cellStyle name="Comma 11 11 4 2 2 3" xfId="2828"/>
    <cellStyle name="Comma 11 11 4 2 3" xfId="2829"/>
    <cellStyle name="Comma 11 11 4 2 3 2" xfId="2830"/>
    <cellStyle name="Comma 11 11 4 2 4" xfId="2831"/>
    <cellStyle name="Comma 11 11 4 3" xfId="2832"/>
    <cellStyle name="Comma 11 11 4 3 2" xfId="2833"/>
    <cellStyle name="Comma 11 11 4 3 2 2" xfId="2834"/>
    <cellStyle name="Comma 11 11 4 3 2 2 2" xfId="2835"/>
    <cellStyle name="Comma 11 11 4 3 2 3" xfId="2836"/>
    <cellStyle name="Comma 11 11 4 3 3" xfId="2837"/>
    <cellStyle name="Comma 11 11 4 3 3 2" xfId="2838"/>
    <cellStyle name="Comma 11 11 4 3 4" xfId="2839"/>
    <cellStyle name="Comma 11 11 4 4" xfId="2840"/>
    <cellStyle name="Comma 11 11 4 4 2" xfId="2841"/>
    <cellStyle name="Comma 11 11 4 4 2 2" xfId="2842"/>
    <cellStyle name="Comma 11 11 4 4 3" xfId="2843"/>
    <cellStyle name="Comma 11 11 4 5" xfId="2844"/>
    <cellStyle name="Comma 11 11 4 5 2" xfId="2845"/>
    <cellStyle name="Comma 11 11 4 6" xfId="2846"/>
    <cellStyle name="Comma 11 11 5" xfId="2847"/>
    <cellStyle name="Comma 11 11 5 2" xfId="2848"/>
    <cellStyle name="Comma 11 11 5 2 2" xfId="2849"/>
    <cellStyle name="Comma 11 11 5 2 2 2" xfId="2850"/>
    <cellStyle name="Comma 11 11 5 2 2 2 2" xfId="2851"/>
    <cellStyle name="Comma 11 11 5 2 2 3" xfId="2852"/>
    <cellStyle name="Comma 11 11 5 2 3" xfId="2853"/>
    <cellStyle name="Comma 11 11 5 2 3 2" xfId="2854"/>
    <cellStyle name="Comma 11 11 5 2 4" xfId="2855"/>
    <cellStyle name="Comma 11 11 5 3" xfId="2856"/>
    <cellStyle name="Comma 11 11 5 3 2" xfId="2857"/>
    <cellStyle name="Comma 11 11 5 3 2 2" xfId="2858"/>
    <cellStyle name="Comma 11 11 5 3 2 2 2" xfId="2859"/>
    <cellStyle name="Comma 11 11 5 3 2 3" xfId="2860"/>
    <cellStyle name="Comma 11 11 5 3 3" xfId="2861"/>
    <cellStyle name="Comma 11 11 5 3 3 2" xfId="2862"/>
    <cellStyle name="Comma 11 11 5 3 4" xfId="2863"/>
    <cellStyle name="Comma 11 11 5 4" xfId="2864"/>
    <cellStyle name="Comma 11 11 5 4 2" xfId="2865"/>
    <cellStyle name="Comma 11 11 5 4 2 2" xfId="2866"/>
    <cellStyle name="Comma 11 11 5 4 3" xfId="2867"/>
    <cellStyle name="Comma 11 11 5 5" xfId="2868"/>
    <cellStyle name="Comma 11 11 5 5 2" xfId="2869"/>
    <cellStyle name="Comma 11 11 5 6" xfId="2870"/>
    <cellStyle name="Comma 11 11 6" xfId="2871"/>
    <cellStyle name="Comma 11 11 6 2" xfId="2872"/>
    <cellStyle name="Comma 11 11 6 2 2" xfId="2873"/>
    <cellStyle name="Comma 11 11 6 2 2 2" xfId="2874"/>
    <cellStyle name="Comma 11 11 6 2 2 2 2" xfId="2875"/>
    <cellStyle name="Comma 11 11 6 2 2 3" xfId="2876"/>
    <cellStyle name="Comma 11 11 6 2 3" xfId="2877"/>
    <cellStyle name="Comma 11 11 6 2 3 2" xfId="2878"/>
    <cellStyle name="Comma 11 11 6 2 4" xfId="2879"/>
    <cellStyle name="Comma 11 11 6 3" xfId="2880"/>
    <cellStyle name="Comma 11 11 6 3 2" xfId="2881"/>
    <cellStyle name="Comma 11 11 6 3 2 2" xfId="2882"/>
    <cellStyle name="Comma 11 11 6 3 2 2 2" xfId="2883"/>
    <cellStyle name="Comma 11 11 6 3 2 3" xfId="2884"/>
    <cellStyle name="Comma 11 11 6 3 3" xfId="2885"/>
    <cellStyle name="Comma 11 11 6 3 3 2" xfId="2886"/>
    <cellStyle name="Comma 11 11 6 3 4" xfId="2887"/>
    <cellStyle name="Comma 11 11 6 4" xfId="2888"/>
    <cellStyle name="Comma 11 11 6 4 2" xfId="2889"/>
    <cellStyle name="Comma 11 11 6 4 2 2" xfId="2890"/>
    <cellStyle name="Comma 11 11 6 4 3" xfId="2891"/>
    <cellStyle name="Comma 11 11 6 5" xfId="2892"/>
    <cellStyle name="Comma 11 11 6 5 2" xfId="2893"/>
    <cellStyle name="Comma 11 11 6 6" xfId="2894"/>
    <cellStyle name="Comma 11 11 7" xfId="2895"/>
    <cellStyle name="Comma 11 11 7 2" xfId="2896"/>
    <cellStyle name="Comma 11 11 7 2 2" xfId="2897"/>
    <cellStyle name="Comma 11 11 7 2 2 2" xfId="2898"/>
    <cellStyle name="Comma 11 11 7 2 2 2 2" xfId="2899"/>
    <cellStyle name="Comma 11 11 7 2 2 3" xfId="2900"/>
    <cellStyle name="Comma 11 11 7 2 3" xfId="2901"/>
    <cellStyle name="Comma 11 11 7 2 3 2" xfId="2902"/>
    <cellStyle name="Comma 11 11 7 2 4" xfId="2903"/>
    <cellStyle name="Comma 11 11 7 3" xfId="2904"/>
    <cellStyle name="Comma 11 11 7 3 2" xfId="2905"/>
    <cellStyle name="Comma 11 11 7 3 2 2" xfId="2906"/>
    <cellStyle name="Comma 11 11 7 3 2 2 2" xfId="2907"/>
    <cellStyle name="Comma 11 11 7 3 2 3" xfId="2908"/>
    <cellStyle name="Comma 11 11 7 3 3" xfId="2909"/>
    <cellStyle name="Comma 11 11 7 3 3 2" xfId="2910"/>
    <cellStyle name="Comma 11 11 7 3 4" xfId="2911"/>
    <cellStyle name="Comma 11 11 7 4" xfId="2912"/>
    <cellStyle name="Comma 11 11 7 4 2" xfId="2913"/>
    <cellStyle name="Comma 11 11 7 4 2 2" xfId="2914"/>
    <cellStyle name="Comma 11 11 7 4 3" xfId="2915"/>
    <cellStyle name="Comma 11 11 7 5" xfId="2916"/>
    <cellStyle name="Comma 11 11 7 5 2" xfId="2917"/>
    <cellStyle name="Comma 11 11 7 6" xfId="2918"/>
    <cellStyle name="Comma 11 11 8" xfId="2919"/>
    <cellStyle name="Comma 11 11 8 2" xfId="2920"/>
    <cellStyle name="Comma 11 11 8 2 2" xfId="2921"/>
    <cellStyle name="Comma 11 11 8 2 2 2" xfId="2922"/>
    <cellStyle name="Comma 11 11 8 2 2 2 2" xfId="2923"/>
    <cellStyle name="Comma 11 11 8 2 2 3" xfId="2924"/>
    <cellStyle name="Comma 11 11 8 2 3" xfId="2925"/>
    <cellStyle name="Comma 11 11 8 2 3 2" xfId="2926"/>
    <cellStyle name="Comma 11 11 8 2 4" xfId="2927"/>
    <cellStyle name="Comma 11 11 8 3" xfId="2928"/>
    <cellStyle name="Comma 11 11 8 3 2" xfId="2929"/>
    <cellStyle name="Comma 11 11 8 3 2 2" xfId="2930"/>
    <cellStyle name="Comma 11 11 8 3 2 2 2" xfId="2931"/>
    <cellStyle name="Comma 11 11 8 3 2 3" xfId="2932"/>
    <cellStyle name="Comma 11 11 8 3 3" xfId="2933"/>
    <cellStyle name="Comma 11 11 8 3 3 2" xfId="2934"/>
    <cellStyle name="Comma 11 11 8 3 4" xfId="2935"/>
    <cellStyle name="Comma 11 11 8 4" xfId="2936"/>
    <cellStyle name="Comma 11 11 8 4 2" xfId="2937"/>
    <cellStyle name="Comma 11 11 8 4 2 2" xfId="2938"/>
    <cellStyle name="Comma 11 11 8 4 3" xfId="2939"/>
    <cellStyle name="Comma 11 11 8 5" xfId="2940"/>
    <cellStyle name="Comma 11 11 8 5 2" xfId="2941"/>
    <cellStyle name="Comma 11 11 8 6" xfId="2942"/>
    <cellStyle name="Comma 11 11 9" xfId="2943"/>
    <cellStyle name="Comma 11 11 9 2" xfId="2944"/>
    <cellStyle name="Comma 11 11 9 2 2" xfId="2945"/>
    <cellStyle name="Comma 11 11 9 2 2 2" xfId="2946"/>
    <cellStyle name="Comma 11 11 9 2 2 2 2" xfId="2947"/>
    <cellStyle name="Comma 11 11 9 2 2 3" xfId="2948"/>
    <cellStyle name="Comma 11 11 9 2 3" xfId="2949"/>
    <cellStyle name="Comma 11 11 9 2 3 2" xfId="2950"/>
    <cellStyle name="Comma 11 11 9 2 4" xfId="2951"/>
    <cellStyle name="Comma 11 11 9 3" xfId="2952"/>
    <cellStyle name="Comma 11 11 9 3 2" xfId="2953"/>
    <cellStyle name="Comma 11 11 9 3 2 2" xfId="2954"/>
    <cellStyle name="Comma 11 11 9 3 2 2 2" xfId="2955"/>
    <cellStyle name="Comma 11 11 9 3 2 3" xfId="2956"/>
    <cellStyle name="Comma 11 11 9 3 3" xfId="2957"/>
    <cellStyle name="Comma 11 11 9 3 3 2" xfId="2958"/>
    <cellStyle name="Comma 11 11 9 3 4" xfId="2959"/>
    <cellStyle name="Comma 11 11 9 4" xfId="2960"/>
    <cellStyle name="Comma 11 11 9 4 2" xfId="2961"/>
    <cellStyle name="Comma 11 11 9 4 2 2" xfId="2962"/>
    <cellStyle name="Comma 11 11 9 4 3" xfId="2963"/>
    <cellStyle name="Comma 11 11 9 5" xfId="2964"/>
    <cellStyle name="Comma 11 11 9 5 2" xfId="2965"/>
    <cellStyle name="Comma 11 11 9 6" xfId="2966"/>
    <cellStyle name="Comma 11 12" xfId="2967"/>
    <cellStyle name="Comma 11 12 10" xfId="2968"/>
    <cellStyle name="Comma 11 12 10 2" xfId="2969"/>
    <cellStyle name="Comma 11 12 10 2 2" xfId="2970"/>
    <cellStyle name="Comma 11 12 10 2 2 2" xfId="2971"/>
    <cellStyle name="Comma 11 12 10 2 2 2 2" xfId="2972"/>
    <cellStyle name="Comma 11 12 10 2 2 3" xfId="2973"/>
    <cellStyle name="Comma 11 12 10 2 3" xfId="2974"/>
    <cellStyle name="Comma 11 12 10 2 3 2" xfId="2975"/>
    <cellStyle name="Comma 11 12 10 2 4" xfId="2976"/>
    <cellStyle name="Comma 11 12 10 3" xfId="2977"/>
    <cellStyle name="Comma 11 12 10 3 2" xfId="2978"/>
    <cellStyle name="Comma 11 12 10 3 2 2" xfId="2979"/>
    <cellStyle name="Comma 11 12 10 3 2 2 2" xfId="2980"/>
    <cellStyle name="Comma 11 12 10 3 2 3" xfId="2981"/>
    <cellStyle name="Comma 11 12 10 3 3" xfId="2982"/>
    <cellStyle name="Comma 11 12 10 3 3 2" xfId="2983"/>
    <cellStyle name="Comma 11 12 10 3 4" xfId="2984"/>
    <cellStyle name="Comma 11 12 10 4" xfId="2985"/>
    <cellStyle name="Comma 11 12 10 4 2" xfId="2986"/>
    <cellStyle name="Comma 11 12 10 4 2 2" xfId="2987"/>
    <cellStyle name="Comma 11 12 10 4 3" xfId="2988"/>
    <cellStyle name="Comma 11 12 10 5" xfId="2989"/>
    <cellStyle name="Comma 11 12 10 5 2" xfId="2990"/>
    <cellStyle name="Comma 11 12 10 6" xfId="2991"/>
    <cellStyle name="Comma 11 12 11" xfId="2992"/>
    <cellStyle name="Comma 11 12 11 2" xfId="2993"/>
    <cellStyle name="Comma 11 12 11 2 2" xfId="2994"/>
    <cellStyle name="Comma 11 12 11 2 2 2" xfId="2995"/>
    <cellStyle name="Comma 11 12 11 2 2 2 2" xfId="2996"/>
    <cellStyle name="Comma 11 12 11 2 2 3" xfId="2997"/>
    <cellStyle name="Comma 11 12 11 2 3" xfId="2998"/>
    <cellStyle name="Comma 11 12 11 2 3 2" xfId="2999"/>
    <cellStyle name="Comma 11 12 11 2 4" xfId="3000"/>
    <cellStyle name="Comma 11 12 11 3" xfId="3001"/>
    <cellStyle name="Comma 11 12 11 3 2" xfId="3002"/>
    <cellStyle name="Comma 11 12 11 3 2 2" xfId="3003"/>
    <cellStyle name="Comma 11 12 11 3 2 2 2" xfId="3004"/>
    <cellStyle name="Comma 11 12 11 3 2 3" xfId="3005"/>
    <cellStyle name="Comma 11 12 11 3 3" xfId="3006"/>
    <cellStyle name="Comma 11 12 11 3 3 2" xfId="3007"/>
    <cellStyle name="Comma 11 12 11 3 4" xfId="3008"/>
    <cellStyle name="Comma 11 12 11 4" xfId="3009"/>
    <cellStyle name="Comma 11 12 11 4 2" xfId="3010"/>
    <cellStyle name="Comma 11 12 11 4 2 2" xfId="3011"/>
    <cellStyle name="Comma 11 12 11 4 3" xfId="3012"/>
    <cellStyle name="Comma 11 12 11 5" xfId="3013"/>
    <cellStyle name="Comma 11 12 11 5 2" xfId="3014"/>
    <cellStyle name="Comma 11 12 11 6" xfId="3015"/>
    <cellStyle name="Comma 11 12 12" xfId="3016"/>
    <cellStyle name="Comma 11 12 12 2" xfId="3017"/>
    <cellStyle name="Comma 11 12 12 2 2" xfId="3018"/>
    <cellStyle name="Comma 11 12 12 2 2 2" xfId="3019"/>
    <cellStyle name="Comma 11 12 12 2 2 2 2" xfId="3020"/>
    <cellStyle name="Comma 11 12 12 2 2 3" xfId="3021"/>
    <cellStyle name="Comma 11 12 12 2 3" xfId="3022"/>
    <cellStyle name="Comma 11 12 12 2 3 2" xfId="3023"/>
    <cellStyle name="Comma 11 12 12 2 4" xfId="3024"/>
    <cellStyle name="Comma 11 12 12 3" xfId="3025"/>
    <cellStyle name="Comma 11 12 12 3 2" xfId="3026"/>
    <cellStyle name="Comma 11 12 12 3 2 2" xfId="3027"/>
    <cellStyle name="Comma 11 12 12 3 2 2 2" xfId="3028"/>
    <cellStyle name="Comma 11 12 12 3 2 3" xfId="3029"/>
    <cellStyle name="Comma 11 12 12 3 3" xfId="3030"/>
    <cellStyle name="Comma 11 12 12 3 3 2" xfId="3031"/>
    <cellStyle name="Comma 11 12 12 3 4" xfId="3032"/>
    <cellStyle name="Comma 11 12 12 4" xfId="3033"/>
    <cellStyle name="Comma 11 12 12 4 2" xfId="3034"/>
    <cellStyle name="Comma 11 12 12 4 2 2" xfId="3035"/>
    <cellStyle name="Comma 11 12 12 4 3" xfId="3036"/>
    <cellStyle name="Comma 11 12 12 5" xfId="3037"/>
    <cellStyle name="Comma 11 12 12 5 2" xfId="3038"/>
    <cellStyle name="Comma 11 12 12 6" xfId="3039"/>
    <cellStyle name="Comma 11 12 13" xfId="3040"/>
    <cellStyle name="Comma 11 12 13 2" xfId="3041"/>
    <cellStyle name="Comma 11 12 13 2 2" xfId="3042"/>
    <cellStyle name="Comma 11 12 13 2 2 2" xfId="3043"/>
    <cellStyle name="Comma 11 12 13 2 2 2 2" xfId="3044"/>
    <cellStyle name="Comma 11 12 13 2 2 3" xfId="3045"/>
    <cellStyle name="Comma 11 12 13 2 3" xfId="3046"/>
    <cellStyle name="Comma 11 12 13 2 3 2" xfId="3047"/>
    <cellStyle name="Comma 11 12 13 2 4" xfId="3048"/>
    <cellStyle name="Comma 11 12 13 3" xfId="3049"/>
    <cellStyle name="Comma 11 12 13 3 2" xfId="3050"/>
    <cellStyle name="Comma 11 12 13 3 2 2" xfId="3051"/>
    <cellStyle name="Comma 11 12 13 3 2 2 2" xfId="3052"/>
    <cellStyle name="Comma 11 12 13 3 2 3" xfId="3053"/>
    <cellStyle name="Comma 11 12 13 3 3" xfId="3054"/>
    <cellStyle name="Comma 11 12 13 3 3 2" xfId="3055"/>
    <cellStyle name="Comma 11 12 13 3 4" xfId="3056"/>
    <cellStyle name="Comma 11 12 13 4" xfId="3057"/>
    <cellStyle name="Comma 11 12 13 4 2" xfId="3058"/>
    <cellStyle name="Comma 11 12 13 4 2 2" xfId="3059"/>
    <cellStyle name="Comma 11 12 13 4 3" xfId="3060"/>
    <cellStyle name="Comma 11 12 13 5" xfId="3061"/>
    <cellStyle name="Comma 11 12 13 5 2" xfId="3062"/>
    <cellStyle name="Comma 11 12 13 6" xfId="3063"/>
    <cellStyle name="Comma 11 12 14" xfId="3064"/>
    <cellStyle name="Comma 11 12 14 2" xfId="3065"/>
    <cellStyle name="Comma 11 12 14 2 2" xfId="3066"/>
    <cellStyle name="Comma 11 12 14 2 2 2" xfId="3067"/>
    <cellStyle name="Comma 11 12 14 2 3" xfId="3068"/>
    <cellStyle name="Comma 11 12 14 3" xfId="3069"/>
    <cellStyle name="Comma 11 12 14 3 2" xfId="3070"/>
    <cellStyle name="Comma 11 12 14 4" xfId="3071"/>
    <cellStyle name="Comma 11 12 15" xfId="3072"/>
    <cellStyle name="Comma 11 12 15 2" xfId="3073"/>
    <cellStyle name="Comma 11 12 15 2 2" xfId="3074"/>
    <cellStyle name="Comma 11 12 15 2 2 2" xfId="3075"/>
    <cellStyle name="Comma 11 12 15 2 3" xfId="3076"/>
    <cellStyle name="Comma 11 12 15 3" xfId="3077"/>
    <cellStyle name="Comma 11 12 15 3 2" xfId="3078"/>
    <cellStyle name="Comma 11 12 15 4" xfId="3079"/>
    <cellStyle name="Comma 11 12 16" xfId="3080"/>
    <cellStyle name="Comma 11 12 16 2" xfId="3081"/>
    <cellStyle name="Comma 11 12 16 2 2" xfId="3082"/>
    <cellStyle name="Comma 11 12 16 3" xfId="3083"/>
    <cellStyle name="Comma 11 12 17" xfId="3084"/>
    <cellStyle name="Comma 11 12 17 2" xfId="3085"/>
    <cellStyle name="Comma 11 12 18" xfId="3086"/>
    <cellStyle name="Comma 11 12 2" xfId="3087"/>
    <cellStyle name="Comma 11 12 2 2" xfId="3088"/>
    <cellStyle name="Comma 11 12 2 2 2" xfId="3089"/>
    <cellStyle name="Comma 11 12 2 2 2 2" xfId="3090"/>
    <cellStyle name="Comma 11 12 2 2 2 2 2" xfId="3091"/>
    <cellStyle name="Comma 11 12 2 2 2 3" xfId="3092"/>
    <cellStyle name="Comma 11 12 2 2 3" xfId="3093"/>
    <cellStyle name="Comma 11 12 2 2 3 2" xfId="3094"/>
    <cellStyle name="Comma 11 12 2 2 4" xfId="3095"/>
    <cellStyle name="Comma 11 12 2 3" xfId="3096"/>
    <cellStyle name="Comma 11 12 2 3 2" xfId="3097"/>
    <cellStyle name="Comma 11 12 2 3 2 2" xfId="3098"/>
    <cellStyle name="Comma 11 12 2 3 2 2 2" xfId="3099"/>
    <cellStyle name="Comma 11 12 2 3 2 3" xfId="3100"/>
    <cellStyle name="Comma 11 12 2 3 3" xfId="3101"/>
    <cellStyle name="Comma 11 12 2 3 3 2" xfId="3102"/>
    <cellStyle name="Comma 11 12 2 3 4" xfId="3103"/>
    <cellStyle name="Comma 11 12 2 4" xfId="3104"/>
    <cellStyle name="Comma 11 12 2 4 2" xfId="3105"/>
    <cellStyle name="Comma 11 12 2 4 2 2" xfId="3106"/>
    <cellStyle name="Comma 11 12 2 4 3" xfId="3107"/>
    <cellStyle name="Comma 11 12 2 5" xfId="3108"/>
    <cellStyle name="Comma 11 12 2 5 2" xfId="3109"/>
    <cellStyle name="Comma 11 12 2 6" xfId="3110"/>
    <cellStyle name="Comma 11 12 3" xfId="3111"/>
    <cellStyle name="Comma 11 12 3 2" xfId="3112"/>
    <cellStyle name="Comma 11 12 3 2 2" xfId="3113"/>
    <cellStyle name="Comma 11 12 3 2 2 2" xfId="3114"/>
    <cellStyle name="Comma 11 12 3 2 2 2 2" xfId="3115"/>
    <cellStyle name="Comma 11 12 3 2 2 3" xfId="3116"/>
    <cellStyle name="Comma 11 12 3 2 3" xfId="3117"/>
    <cellStyle name="Comma 11 12 3 2 3 2" xfId="3118"/>
    <cellStyle name="Comma 11 12 3 2 4" xfId="3119"/>
    <cellStyle name="Comma 11 12 3 3" xfId="3120"/>
    <cellStyle name="Comma 11 12 3 3 2" xfId="3121"/>
    <cellStyle name="Comma 11 12 3 3 2 2" xfId="3122"/>
    <cellStyle name="Comma 11 12 3 3 2 2 2" xfId="3123"/>
    <cellStyle name="Comma 11 12 3 3 2 3" xfId="3124"/>
    <cellStyle name="Comma 11 12 3 3 3" xfId="3125"/>
    <cellStyle name="Comma 11 12 3 3 3 2" xfId="3126"/>
    <cellStyle name="Comma 11 12 3 3 4" xfId="3127"/>
    <cellStyle name="Comma 11 12 3 4" xfId="3128"/>
    <cellStyle name="Comma 11 12 3 4 2" xfId="3129"/>
    <cellStyle name="Comma 11 12 3 4 2 2" xfId="3130"/>
    <cellStyle name="Comma 11 12 3 4 3" xfId="3131"/>
    <cellStyle name="Comma 11 12 3 5" xfId="3132"/>
    <cellStyle name="Comma 11 12 3 5 2" xfId="3133"/>
    <cellStyle name="Comma 11 12 3 6" xfId="3134"/>
    <cellStyle name="Comma 11 12 4" xfId="3135"/>
    <cellStyle name="Comma 11 12 4 2" xfId="3136"/>
    <cellStyle name="Comma 11 12 4 2 2" xfId="3137"/>
    <cellStyle name="Comma 11 12 4 2 2 2" xfId="3138"/>
    <cellStyle name="Comma 11 12 4 2 2 2 2" xfId="3139"/>
    <cellStyle name="Comma 11 12 4 2 2 3" xfId="3140"/>
    <cellStyle name="Comma 11 12 4 2 3" xfId="3141"/>
    <cellStyle name="Comma 11 12 4 2 3 2" xfId="3142"/>
    <cellStyle name="Comma 11 12 4 2 4" xfId="3143"/>
    <cellStyle name="Comma 11 12 4 3" xfId="3144"/>
    <cellStyle name="Comma 11 12 4 3 2" xfId="3145"/>
    <cellStyle name="Comma 11 12 4 3 2 2" xfId="3146"/>
    <cellStyle name="Comma 11 12 4 3 2 2 2" xfId="3147"/>
    <cellStyle name="Comma 11 12 4 3 2 3" xfId="3148"/>
    <cellStyle name="Comma 11 12 4 3 3" xfId="3149"/>
    <cellStyle name="Comma 11 12 4 3 3 2" xfId="3150"/>
    <cellStyle name="Comma 11 12 4 3 4" xfId="3151"/>
    <cellStyle name="Comma 11 12 4 4" xfId="3152"/>
    <cellStyle name="Comma 11 12 4 4 2" xfId="3153"/>
    <cellStyle name="Comma 11 12 4 4 2 2" xfId="3154"/>
    <cellStyle name="Comma 11 12 4 4 3" xfId="3155"/>
    <cellStyle name="Comma 11 12 4 5" xfId="3156"/>
    <cellStyle name="Comma 11 12 4 5 2" xfId="3157"/>
    <cellStyle name="Comma 11 12 4 6" xfId="3158"/>
    <cellStyle name="Comma 11 12 5" xfId="3159"/>
    <cellStyle name="Comma 11 12 5 2" xfId="3160"/>
    <cellStyle name="Comma 11 12 5 2 2" xfId="3161"/>
    <cellStyle name="Comma 11 12 5 2 2 2" xfId="3162"/>
    <cellStyle name="Comma 11 12 5 2 2 2 2" xfId="3163"/>
    <cellStyle name="Comma 11 12 5 2 2 3" xfId="3164"/>
    <cellStyle name="Comma 11 12 5 2 3" xfId="3165"/>
    <cellStyle name="Comma 11 12 5 2 3 2" xfId="3166"/>
    <cellStyle name="Comma 11 12 5 2 4" xfId="3167"/>
    <cellStyle name="Comma 11 12 5 3" xfId="3168"/>
    <cellStyle name="Comma 11 12 5 3 2" xfId="3169"/>
    <cellStyle name="Comma 11 12 5 3 2 2" xfId="3170"/>
    <cellStyle name="Comma 11 12 5 3 2 2 2" xfId="3171"/>
    <cellStyle name="Comma 11 12 5 3 2 3" xfId="3172"/>
    <cellStyle name="Comma 11 12 5 3 3" xfId="3173"/>
    <cellStyle name="Comma 11 12 5 3 3 2" xfId="3174"/>
    <cellStyle name="Comma 11 12 5 3 4" xfId="3175"/>
    <cellStyle name="Comma 11 12 5 4" xfId="3176"/>
    <cellStyle name="Comma 11 12 5 4 2" xfId="3177"/>
    <cellStyle name="Comma 11 12 5 4 2 2" xfId="3178"/>
    <cellStyle name="Comma 11 12 5 4 3" xfId="3179"/>
    <cellStyle name="Comma 11 12 5 5" xfId="3180"/>
    <cellStyle name="Comma 11 12 5 5 2" xfId="3181"/>
    <cellStyle name="Comma 11 12 5 6" xfId="3182"/>
    <cellStyle name="Comma 11 12 6" xfId="3183"/>
    <cellStyle name="Comma 11 12 6 2" xfId="3184"/>
    <cellStyle name="Comma 11 12 6 2 2" xfId="3185"/>
    <cellStyle name="Comma 11 12 6 2 2 2" xfId="3186"/>
    <cellStyle name="Comma 11 12 6 2 2 2 2" xfId="3187"/>
    <cellStyle name="Comma 11 12 6 2 2 3" xfId="3188"/>
    <cellStyle name="Comma 11 12 6 2 3" xfId="3189"/>
    <cellStyle name="Comma 11 12 6 2 3 2" xfId="3190"/>
    <cellStyle name="Comma 11 12 6 2 4" xfId="3191"/>
    <cellStyle name="Comma 11 12 6 3" xfId="3192"/>
    <cellStyle name="Comma 11 12 6 3 2" xfId="3193"/>
    <cellStyle name="Comma 11 12 6 3 2 2" xfId="3194"/>
    <cellStyle name="Comma 11 12 6 3 2 2 2" xfId="3195"/>
    <cellStyle name="Comma 11 12 6 3 2 3" xfId="3196"/>
    <cellStyle name="Comma 11 12 6 3 3" xfId="3197"/>
    <cellStyle name="Comma 11 12 6 3 3 2" xfId="3198"/>
    <cellStyle name="Comma 11 12 6 3 4" xfId="3199"/>
    <cellStyle name="Comma 11 12 6 4" xfId="3200"/>
    <cellStyle name="Comma 11 12 6 4 2" xfId="3201"/>
    <cellStyle name="Comma 11 12 6 4 2 2" xfId="3202"/>
    <cellStyle name="Comma 11 12 6 4 3" xfId="3203"/>
    <cellStyle name="Comma 11 12 6 5" xfId="3204"/>
    <cellStyle name="Comma 11 12 6 5 2" xfId="3205"/>
    <cellStyle name="Comma 11 12 6 6" xfId="3206"/>
    <cellStyle name="Comma 11 12 7" xfId="3207"/>
    <cellStyle name="Comma 11 12 7 2" xfId="3208"/>
    <cellStyle name="Comma 11 12 7 2 2" xfId="3209"/>
    <cellStyle name="Comma 11 12 7 2 2 2" xfId="3210"/>
    <cellStyle name="Comma 11 12 7 2 2 2 2" xfId="3211"/>
    <cellStyle name="Comma 11 12 7 2 2 3" xfId="3212"/>
    <cellStyle name="Comma 11 12 7 2 3" xfId="3213"/>
    <cellStyle name="Comma 11 12 7 2 3 2" xfId="3214"/>
    <cellStyle name="Comma 11 12 7 2 4" xfId="3215"/>
    <cellStyle name="Comma 11 12 7 3" xfId="3216"/>
    <cellStyle name="Comma 11 12 7 3 2" xfId="3217"/>
    <cellStyle name="Comma 11 12 7 3 2 2" xfId="3218"/>
    <cellStyle name="Comma 11 12 7 3 2 2 2" xfId="3219"/>
    <cellStyle name="Comma 11 12 7 3 2 3" xfId="3220"/>
    <cellStyle name="Comma 11 12 7 3 3" xfId="3221"/>
    <cellStyle name="Comma 11 12 7 3 3 2" xfId="3222"/>
    <cellStyle name="Comma 11 12 7 3 4" xfId="3223"/>
    <cellStyle name="Comma 11 12 7 4" xfId="3224"/>
    <cellStyle name="Comma 11 12 7 4 2" xfId="3225"/>
    <cellStyle name="Comma 11 12 7 4 2 2" xfId="3226"/>
    <cellStyle name="Comma 11 12 7 4 3" xfId="3227"/>
    <cellStyle name="Comma 11 12 7 5" xfId="3228"/>
    <cellStyle name="Comma 11 12 7 5 2" xfId="3229"/>
    <cellStyle name="Comma 11 12 7 6" xfId="3230"/>
    <cellStyle name="Comma 11 12 8" xfId="3231"/>
    <cellStyle name="Comma 11 12 8 2" xfId="3232"/>
    <cellStyle name="Comma 11 12 8 2 2" xfId="3233"/>
    <cellStyle name="Comma 11 12 8 2 2 2" xfId="3234"/>
    <cellStyle name="Comma 11 12 8 2 2 2 2" xfId="3235"/>
    <cellStyle name="Comma 11 12 8 2 2 3" xfId="3236"/>
    <cellStyle name="Comma 11 12 8 2 3" xfId="3237"/>
    <cellStyle name="Comma 11 12 8 2 3 2" xfId="3238"/>
    <cellStyle name="Comma 11 12 8 2 4" xfId="3239"/>
    <cellStyle name="Comma 11 12 8 3" xfId="3240"/>
    <cellStyle name="Comma 11 12 8 3 2" xfId="3241"/>
    <cellStyle name="Comma 11 12 8 3 2 2" xfId="3242"/>
    <cellStyle name="Comma 11 12 8 3 2 2 2" xfId="3243"/>
    <cellStyle name="Comma 11 12 8 3 2 3" xfId="3244"/>
    <cellStyle name="Comma 11 12 8 3 3" xfId="3245"/>
    <cellStyle name="Comma 11 12 8 3 3 2" xfId="3246"/>
    <cellStyle name="Comma 11 12 8 3 4" xfId="3247"/>
    <cellStyle name="Comma 11 12 8 4" xfId="3248"/>
    <cellStyle name="Comma 11 12 8 4 2" xfId="3249"/>
    <cellStyle name="Comma 11 12 8 4 2 2" xfId="3250"/>
    <cellStyle name="Comma 11 12 8 4 3" xfId="3251"/>
    <cellStyle name="Comma 11 12 8 5" xfId="3252"/>
    <cellStyle name="Comma 11 12 8 5 2" xfId="3253"/>
    <cellStyle name="Comma 11 12 8 6" xfId="3254"/>
    <cellStyle name="Comma 11 12 9" xfId="3255"/>
    <cellStyle name="Comma 11 12 9 2" xfId="3256"/>
    <cellStyle name="Comma 11 12 9 2 2" xfId="3257"/>
    <cellStyle name="Comma 11 12 9 2 2 2" xfId="3258"/>
    <cellStyle name="Comma 11 12 9 2 2 2 2" xfId="3259"/>
    <cellStyle name="Comma 11 12 9 2 2 3" xfId="3260"/>
    <cellStyle name="Comma 11 12 9 2 3" xfId="3261"/>
    <cellStyle name="Comma 11 12 9 2 3 2" xfId="3262"/>
    <cellStyle name="Comma 11 12 9 2 4" xfId="3263"/>
    <cellStyle name="Comma 11 12 9 3" xfId="3264"/>
    <cellStyle name="Comma 11 12 9 3 2" xfId="3265"/>
    <cellStyle name="Comma 11 12 9 3 2 2" xfId="3266"/>
    <cellStyle name="Comma 11 12 9 3 2 2 2" xfId="3267"/>
    <cellStyle name="Comma 11 12 9 3 2 3" xfId="3268"/>
    <cellStyle name="Comma 11 12 9 3 3" xfId="3269"/>
    <cellStyle name="Comma 11 12 9 3 3 2" xfId="3270"/>
    <cellStyle name="Comma 11 12 9 3 4" xfId="3271"/>
    <cellStyle name="Comma 11 12 9 4" xfId="3272"/>
    <cellStyle name="Comma 11 12 9 4 2" xfId="3273"/>
    <cellStyle name="Comma 11 12 9 4 2 2" xfId="3274"/>
    <cellStyle name="Comma 11 12 9 4 3" xfId="3275"/>
    <cellStyle name="Comma 11 12 9 5" xfId="3276"/>
    <cellStyle name="Comma 11 12 9 5 2" xfId="3277"/>
    <cellStyle name="Comma 11 12 9 6" xfId="3278"/>
    <cellStyle name="Comma 11 13" xfId="3279"/>
    <cellStyle name="Comma 11 13 10" xfId="3280"/>
    <cellStyle name="Comma 11 13 10 2" xfId="3281"/>
    <cellStyle name="Comma 11 13 10 2 2" xfId="3282"/>
    <cellStyle name="Comma 11 13 10 2 2 2" xfId="3283"/>
    <cellStyle name="Comma 11 13 10 2 2 2 2" xfId="3284"/>
    <cellStyle name="Comma 11 13 10 2 2 3" xfId="3285"/>
    <cellStyle name="Comma 11 13 10 2 3" xfId="3286"/>
    <cellStyle name="Comma 11 13 10 2 3 2" xfId="3287"/>
    <cellStyle name="Comma 11 13 10 2 4" xfId="3288"/>
    <cellStyle name="Comma 11 13 10 3" xfId="3289"/>
    <cellStyle name="Comma 11 13 10 3 2" xfId="3290"/>
    <cellStyle name="Comma 11 13 10 3 2 2" xfId="3291"/>
    <cellStyle name="Comma 11 13 10 3 2 2 2" xfId="3292"/>
    <cellStyle name="Comma 11 13 10 3 2 3" xfId="3293"/>
    <cellStyle name="Comma 11 13 10 3 3" xfId="3294"/>
    <cellStyle name="Comma 11 13 10 3 3 2" xfId="3295"/>
    <cellStyle name="Comma 11 13 10 3 4" xfId="3296"/>
    <cellStyle name="Comma 11 13 10 4" xfId="3297"/>
    <cellStyle name="Comma 11 13 10 4 2" xfId="3298"/>
    <cellStyle name="Comma 11 13 10 4 2 2" xfId="3299"/>
    <cellStyle name="Comma 11 13 10 4 3" xfId="3300"/>
    <cellStyle name="Comma 11 13 10 5" xfId="3301"/>
    <cellStyle name="Comma 11 13 10 5 2" xfId="3302"/>
    <cellStyle name="Comma 11 13 10 6" xfId="3303"/>
    <cellStyle name="Comma 11 13 11" xfId="3304"/>
    <cellStyle name="Comma 11 13 11 2" xfId="3305"/>
    <cellStyle name="Comma 11 13 11 2 2" xfId="3306"/>
    <cellStyle name="Comma 11 13 11 2 2 2" xfId="3307"/>
    <cellStyle name="Comma 11 13 11 2 2 2 2" xfId="3308"/>
    <cellStyle name="Comma 11 13 11 2 2 3" xfId="3309"/>
    <cellStyle name="Comma 11 13 11 2 3" xfId="3310"/>
    <cellStyle name="Comma 11 13 11 2 3 2" xfId="3311"/>
    <cellStyle name="Comma 11 13 11 2 4" xfId="3312"/>
    <cellStyle name="Comma 11 13 11 3" xfId="3313"/>
    <cellStyle name="Comma 11 13 11 3 2" xfId="3314"/>
    <cellStyle name="Comma 11 13 11 3 2 2" xfId="3315"/>
    <cellStyle name="Comma 11 13 11 3 2 2 2" xfId="3316"/>
    <cellStyle name="Comma 11 13 11 3 2 3" xfId="3317"/>
    <cellStyle name="Comma 11 13 11 3 3" xfId="3318"/>
    <cellStyle name="Comma 11 13 11 3 3 2" xfId="3319"/>
    <cellStyle name="Comma 11 13 11 3 4" xfId="3320"/>
    <cellStyle name="Comma 11 13 11 4" xfId="3321"/>
    <cellStyle name="Comma 11 13 11 4 2" xfId="3322"/>
    <cellStyle name="Comma 11 13 11 4 2 2" xfId="3323"/>
    <cellStyle name="Comma 11 13 11 4 3" xfId="3324"/>
    <cellStyle name="Comma 11 13 11 5" xfId="3325"/>
    <cellStyle name="Comma 11 13 11 5 2" xfId="3326"/>
    <cellStyle name="Comma 11 13 11 6" xfId="3327"/>
    <cellStyle name="Comma 11 13 12" xfId="3328"/>
    <cellStyle name="Comma 11 13 12 2" xfId="3329"/>
    <cellStyle name="Comma 11 13 12 2 2" xfId="3330"/>
    <cellStyle name="Comma 11 13 12 2 2 2" xfId="3331"/>
    <cellStyle name="Comma 11 13 12 2 2 2 2" xfId="3332"/>
    <cellStyle name="Comma 11 13 12 2 2 3" xfId="3333"/>
    <cellStyle name="Comma 11 13 12 2 3" xfId="3334"/>
    <cellStyle name="Comma 11 13 12 2 3 2" xfId="3335"/>
    <cellStyle name="Comma 11 13 12 2 4" xfId="3336"/>
    <cellStyle name="Comma 11 13 12 3" xfId="3337"/>
    <cellStyle name="Comma 11 13 12 3 2" xfId="3338"/>
    <cellStyle name="Comma 11 13 12 3 2 2" xfId="3339"/>
    <cellStyle name="Comma 11 13 12 3 2 2 2" xfId="3340"/>
    <cellStyle name="Comma 11 13 12 3 2 3" xfId="3341"/>
    <cellStyle name="Comma 11 13 12 3 3" xfId="3342"/>
    <cellStyle name="Comma 11 13 12 3 3 2" xfId="3343"/>
    <cellStyle name="Comma 11 13 12 3 4" xfId="3344"/>
    <cellStyle name="Comma 11 13 12 4" xfId="3345"/>
    <cellStyle name="Comma 11 13 12 4 2" xfId="3346"/>
    <cellStyle name="Comma 11 13 12 4 2 2" xfId="3347"/>
    <cellStyle name="Comma 11 13 12 4 3" xfId="3348"/>
    <cellStyle name="Comma 11 13 12 5" xfId="3349"/>
    <cellStyle name="Comma 11 13 12 5 2" xfId="3350"/>
    <cellStyle name="Comma 11 13 12 6" xfId="3351"/>
    <cellStyle name="Comma 11 13 13" xfId="3352"/>
    <cellStyle name="Comma 11 13 13 2" xfId="3353"/>
    <cellStyle name="Comma 11 13 13 2 2" xfId="3354"/>
    <cellStyle name="Comma 11 13 13 2 2 2" xfId="3355"/>
    <cellStyle name="Comma 11 13 13 2 2 2 2" xfId="3356"/>
    <cellStyle name="Comma 11 13 13 2 2 3" xfId="3357"/>
    <cellStyle name="Comma 11 13 13 2 3" xfId="3358"/>
    <cellStyle name="Comma 11 13 13 2 3 2" xfId="3359"/>
    <cellStyle name="Comma 11 13 13 2 4" xfId="3360"/>
    <cellStyle name="Comma 11 13 13 3" xfId="3361"/>
    <cellStyle name="Comma 11 13 13 3 2" xfId="3362"/>
    <cellStyle name="Comma 11 13 13 3 2 2" xfId="3363"/>
    <cellStyle name="Comma 11 13 13 3 2 2 2" xfId="3364"/>
    <cellStyle name="Comma 11 13 13 3 2 3" xfId="3365"/>
    <cellStyle name="Comma 11 13 13 3 3" xfId="3366"/>
    <cellStyle name="Comma 11 13 13 3 3 2" xfId="3367"/>
    <cellStyle name="Comma 11 13 13 3 4" xfId="3368"/>
    <cellStyle name="Comma 11 13 13 4" xfId="3369"/>
    <cellStyle name="Comma 11 13 13 4 2" xfId="3370"/>
    <cellStyle name="Comma 11 13 13 4 2 2" xfId="3371"/>
    <cellStyle name="Comma 11 13 13 4 3" xfId="3372"/>
    <cellStyle name="Comma 11 13 13 5" xfId="3373"/>
    <cellStyle name="Comma 11 13 13 5 2" xfId="3374"/>
    <cellStyle name="Comma 11 13 13 6" xfId="3375"/>
    <cellStyle name="Comma 11 13 14" xfId="3376"/>
    <cellStyle name="Comma 11 13 14 2" xfId="3377"/>
    <cellStyle name="Comma 11 13 14 2 2" xfId="3378"/>
    <cellStyle name="Comma 11 13 14 2 2 2" xfId="3379"/>
    <cellStyle name="Comma 11 13 14 2 3" xfId="3380"/>
    <cellStyle name="Comma 11 13 14 3" xfId="3381"/>
    <cellStyle name="Comma 11 13 14 3 2" xfId="3382"/>
    <cellStyle name="Comma 11 13 14 4" xfId="3383"/>
    <cellStyle name="Comma 11 13 15" xfId="3384"/>
    <cellStyle name="Comma 11 13 15 2" xfId="3385"/>
    <cellStyle name="Comma 11 13 15 2 2" xfId="3386"/>
    <cellStyle name="Comma 11 13 15 2 2 2" xfId="3387"/>
    <cellStyle name="Comma 11 13 15 2 3" xfId="3388"/>
    <cellStyle name="Comma 11 13 15 3" xfId="3389"/>
    <cellStyle name="Comma 11 13 15 3 2" xfId="3390"/>
    <cellStyle name="Comma 11 13 15 4" xfId="3391"/>
    <cellStyle name="Comma 11 13 16" xfId="3392"/>
    <cellStyle name="Comma 11 13 16 2" xfId="3393"/>
    <cellStyle name="Comma 11 13 16 2 2" xfId="3394"/>
    <cellStyle name="Comma 11 13 16 3" xfId="3395"/>
    <cellStyle name="Comma 11 13 17" xfId="3396"/>
    <cellStyle name="Comma 11 13 17 2" xfId="3397"/>
    <cellStyle name="Comma 11 13 18" xfId="3398"/>
    <cellStyle name="Comma 11 13 2" xfId="3399"/>
    <cellStyle name="Comma 11 13 2 2" xfId="3400"/>
    <cellStyle name="Comma 11 13 2 2 2" xfId="3401"/>
    <cellStyle name="Comma 11 13 2 2 2 2" xfId="3402"/>
    <cellStyle name="Comma 11 13 2 2 2 2 2" xfId="3403"/>
    <cellStyle name="Comma 11 13 2 2 2 3" xfId="3404"/>
    <cellStyle name="Comma 11 13 2 2 3" xfId="3405"/>
    <cellStyle name="Comma 11 13 2 2 3 2" xfId="3406"/>
    <cellStyle name="Comma 11 13 2 2 4" xfId="3407"/>
    <cellStyle name="Comma 11 13 2 3" xfId="3408"/>
    <cellStyle name="Comma 11 13 2 3 2" xfId="3409"/>
    <cellStyle name="Comma 11 13 2 3 2 2" xfId="3410"/>
    <cellStyle name="Comma 11 13 2 3 2 2 2" xfId="3411"/>
    <cellStyle name="Comma 11 13 2 3 2 3" xfId="3412"/>
    <cellStyle name="Comma 11 13 2 3 3" xfId="3413"/>
    <cellStyle name="Comma 11 13 2 3 3 2" xfId="3414"/>
    <cellStyle name="Comma 11 13 2 3 4" xfId="3415"/>
    <cellStyle name="Comma 11 13 2 4" xfId="3416"/>
    <cellStyle name="Comma 11 13 2 4 2" xfId="3417"/>
    <cellStyle name="Comma 11 13 2 4 2 2" xfId="3418"/>
    <cellStyle name="Comma 11 13 2 4 3" xfId="3419"/>
    <cellStyle name="Comma 11 13 2 5" xfId="3420"/>
    <cellStyle name="Comma 11 13 2 5 2" xfId="3421"/>
    <cellStyle name="Comma 11 13 2 6" xfId="3422"/>
    <cellStyle name="Comma 11 13 3" xfId="3423"/>
    <cellStyle name="Comma 11 13 3 2" xfId="3424"/>
    <cellStyle name="Comma 11 13 3 2 2" xfId="3425"/>
    <cellStyle name="Comma 11 13 3 2 2 2" xfId="3426"/>
    <cellStyle name="Comma 11 13 3 2 2 2 2" xfId="3427"/>
    <cellStyle name="Comma 11 13 3 2 2 3" xfId="3428"/>
    <cellStyle name="Comma 11 13 3 2 3" xfId="3429"/>
    <cellStyle name="Comma 11 13 3 2 3 2" xfId="3430"/>
    <cellStyle name="Comma 11 13 3 2 4" xfId="3431"/>
    <cellStyle name="Comma 11 13 3 3" xfId="3432"/>
    <cellStyle name="Comma 11 13 3 3 2" xfId="3433"/>
    <cellStyle name="Comma 11 13 3 3 2 2" xfId="3434"/>
    <cellStyle name="Comma 11 13 3 3 2 2 2" xfId="3435"/>
    <cellStyle name="Comma 11 13 3 3 2 3" xfId="3436"/>
    <cellStyle name="Comma 11 13 3 3 3" xfId="3437"/>
    <cellStyle name="Comma 11 13 3 3 3 2" xfId="3438"/>
    <cellStyle name="Comma 11 13 3 3 4" xfId="3439"/>
    <cellStyle name="Comma 11 13 3 4" xfId="3440"/>
    <cellStyle name="Comma 11 13 3 4 2" xfId="3441"/>
    <cellStyle name="Comma 11 13 3 4 2 2" xfId="3442"/>
    <cellStyle name="Comma 11 13 3 4 3" xfId="3443"/>
    <cellStyle name="Comma 11 13 3 5" xfId="3444"/>
    <cellStyle name="Comma 11 13 3 5 2" xfId="3445"/>
    <cellStyle name="Comma 11 13 3 6" xfId="3446"/>
    <cellStyle name="Comma 11 13 4" xfId="3447"/>
    <cellStyle name="Comma 11 13 4 2" xfId="3448"/>
    <cellStyle name="Comma 11 13 4 2 2" xfId="3449"/>
    <cellStyle name="Comma 11 13 4 2 2 2" xfId="3450"/>
    <cellStyle name="Comma 11 13 4 2 2 2 2" xfId="3451"/>
    <cellStyle name="Comma 11 13 4 2 2 3" xfId="3452"/>
    <cellStyle name="Comma 11 13 4 2 3" xfId="3453"/>
    <cellStyle name="Comma 11 13 4 2 3 2" xfId="3454"/>
    <cellStyle name="Comma 11 13 4 2 4" xfId="3455"/>
    <cellStyle name="Comma 11 13 4 3" xfId="3456"/>
    <cellStyle name="Comma 11 13 4 3 2" xfId="3457"/>
    <cellStyle name="Comma 11 13 4 3 2 2" xfId="3458"/>
    <cellStyle name="Comma 11 13 4 3 2 2 2" xfId="3459"/>
    <cellStyle name="Comma 11 13 4 3 2 3" xfId="3460"/>
    <cellStyle name="Comma 11 13 4 3 3" xfId="3461"/>
    <cellStyle name="Comma 11 13 4 3 3 2" xfId="3462"/>
    <cellStyle name="Comma 11 13 4 3 4" xfId="3463"/>
    <cellStyle name="Comma 11 13 4 4" xfId="3464"/>
    <cellStyle name="Comma 11 13 4 4 2" xfId="3465"/>
    <cellStyle name="Comma 11 13 4 4 2 2" xfId="3466"/>
    <cellStyle name="Comma 11 13 4 4 3" xfId="3467"/>
    <cellStyle name="Comma 11 13 4 5" xfId="3468"/>
    <cellStyle name="Comma 11 13 4 5 2" xfId="3469"/>
    <cellStyle name="Comma 11 13 4 6" xfId="3470"/>
    <cellStyle name="Comma 11 13 5" xfId="3471"/>
    <cellStyle name="Comma 11 13 5 2" xfId="3472"/>
    <cellStyle name="Comma 11 13 5 2 2" xfId="3473"/>
    <cellStyle name="Comma 11 13 5 2 2 2" xfId="3474"/>
    <cellStyle name="Comma 11 13 5 2 2 2 2" xfId="3475"/>
    <cellStyle name="Comma 11 13 5 2 2 3" xfId="3476"/>
    <cellStyle name="Comma 11 13 5 2 3" xfId="3477"/>
    <cellStyle name="Comma 11 13 5 2 3 2" xfId="3478"/>
    <cellStyle name="Comma 11 13 5 2 4" xfId="3479"/>
    <cellStyle name="Comma 11 13 5 3" xfId="3480"/>
    <cellStyle name="Comma 11 13 5 3 2" xfId="3481"/>
    <cellStyle name="Comma 11 13 5 3 2 2" xfId="3482"/>
    <cellStyle name="Comma 11 13 5 3 2 2 2" xfId="3483"/>
    <cellStyle name="Comma 11 13 5 3 2 3" xfId="3484"/>
    <cellStyle name="Comma 11 13 5 3 3" xfId="3485"/>
    <cellStyle name="Comma 11 13 5 3 3 2" xfId="3486"/>
    <cellStyle name="Comma 11 13 5 3 4" xfId="3487"/>
    <cellStyle name="Comma 11 13 5 4" xfId="3488"/>
    <cellStyle name="Comma 11 13 5 4 2" xfId="3489"/>
    <cellStyle name="Comma 11 13 5 4 2 2" xfId="3490"/>
    <cellStyle name="Comma 11 13 5 4 3" xfId="3491"/>
    <cellStyle name="Comma 11 13 5 5" xfId="3492"/>
    <cellStyle name="Comma 11 13 5 5 2" xfId="3493"/>
    <cellStyle name="Comma 11 13 5 6" xfId="3494"/>
    <cellStyle name="Comma 11 13 6" xfId="3495"/>
    <cellStyle name="Comma 11 13 6 2" xfId="3496"/>
    <cellStyle name="Comma 11 13 6 2 2" xfId="3497"/>
    <cellStyle name="Comma 11 13 6 2 2 2" xfId="3498"/>
    <cellStyle name="Comma 11 13 6 2 2 2 2" xfId="3499"/>
    <cellStyle name="Comma 11 13 6 2 2 3" xfId="3500"/>
    <cellStyle name="Comma 11 13 6 2 3" xfId="3501"/>
    <cellStyle name="Comma 11 13 6 2 3 2" xfId="3502"/>
    <cellStyle name="Comma 11 13 6 2 4" xfId="3503"/>
    <cellStyle name="Comma 11 13 6 3" xfId="3504"/>
    <cellStyle name="Comma 11 13 6 3 2" xfId="3505"/>
    <cellStyle name="Comma 11 13 6 3 2 2" xfId="3506"/>
    <cellStyle name="Comma 11 13 6 3 2 2 2" xfId="3507"/>
    <cellStyle name="Comma 11 13 6 3 2 3" xfId="3508"/>
    <cellStyle name="Comma 11 13 6 3 3" xfId="3509"/>
    <cellStyle name="Comma 11 13 6 3 3 2" xfId="3510"/>
    <cellStyle name="Comma 11 13 6 3 4" xfId="3511"/>
    <cellStyle name="Comma 11 13 6 4" xfId="3512"/>
    <cellStyle name="Comma 11 13 6 4 2" xfId="3513"/>
    <cellStyle name="Comma 11 13 6 4 2 2" xfId="3514"/>
    <cellStyle name="Comma 11 13 6 4 3" xfId="3515"/>
    <cellStyle name="Comma 11 13 6 5" xfId="3516"/>
    <cellStyle name="Comma 11 13 6 5 2" xfId="3517"/>
    <cellStyle name="Comma 11 13 6 6" xfId="3518"/>
    <cellStyle name="Comma 11 13 7" xfId="3519"/>
    <cellStyle name="Comma 11 13 7 2" xfId="3520"/>
    <cellStyle name="Comma 11 13 7 2 2" xfId="3521"/>
    <cellStyle name="Comma 11 13 7 2 2 2" xfId="3522"/>
    <cellStyle name="Comma 11 13 7 2 2 2 2" xfId="3523"/>
    <cellStyle name="Comma 11 13 7 2 2 3" xfId="3524"/>
    <cellStyle name="Comma 11 13 7 2 3" xfId="3525"/>
    <cellStyle name="Comma 11 13 7 2 3 2" xfId="3526"/>
    <cellStyle name="Comma 11 13 7 2 4" xfId="3527"/>
    <cellStyle name="Comma 11 13 7 3" xfId="3528"/>
    <cellStyle name="Comma 11 13 7 3 2" xfId="3529"/>
    <cellStyle name="Comma 11 13 7 3 2 2" xfId="3530"/>
    <cellStyle name="Comma 11 13 7 3 2 2 2" xfId="3531"/>
    <cellStyle name="Comma 11 13 7 3 2 3" xfId="3532"/>
    <cellStyle name="Comma 11 13 7 3 3" xfId="3533"/>
    <cellStyle name="Comma 11 13 7 3 3 2" xfId="3534"/>
    <cellStyle name="Comma 11 13 7 3 4" xfId="3535"/>
    <cellStyle name="Comma 11 13 7 4" xfId="3536"/>
    <cellStyle name="Comma 11 13 7 4 2" xfId="3537"/>
    <cellStyle name="Comma 11 13 7 4 2 2" xfId="3538"/>
    <cellStyle name="Comma 11 13 7 4 3" xfId="3539"/>
    <cellStyle name="Comma 11 13 7 5" xfId="3540"/>
    <cellStyle name="Comma 11 13 7 5 2" xfId="3541"/>
    <cellStyle name="Comma 11 13 7 6" xfId="3542"/>
    <cellStyle name="Comma 11 13 8" xfId="3543"/>
    <cellStyle name="Comma 11 13 8 2" xfId="3544"/>
    <cellStyle name="Comma 11 13 8 2 2" xfId="3545"/>
    <cellStyle name="Comma 11 13 8 2 2 2" xfId="3546"/>
    <cellStyle name="Comma 11 13 8 2 2 2 2" xfId="3547"/>
    <cellStyle name="Comma 11 13 8 2 2 3" xfId="3548"/>
    <cellStyle name="Comma 11 13 8 2 3" xfId="3549"/>
    <cellStyle name="Comma 11 13 8 2 3 2" xfId="3550"/>
    <cellStyle name="Comma 11 13 8 2 4" xfId="3551"/>
    <cellStyle name="Comma 11 13 8 3" xfId="3552"/>
    <cellStyle name="Comma 11 13 8 3 2" xfId="3553"/>
    <cellStyle name="Comma 11 13 8 3 2 2" xfId="3554"/>
    <cellStyle name="Comma 11 13 8 3 2 2 2" xfId="3555"/>
    <cellStyle name="Comma 11 13 8 3 2 3" xfId="3556"/>
    <cellStyle name="Comma 11 13 8 3 3" xfId="3557"/>
    <cellStyle name="Comma 11 13 8 3 3 2" xfId="3558"/>
    <cellStyle name="Comma 11 13 8 3 4" xfId="3559"/>
    <cellStyle name="Comma 11 13 8 4" xfId="3560"/>
    <cellStyle name="Comma 11 13 8 4 2" xfId="3561"/>
    <cellStyle name="Comma 11 13 8 4 2 2" xfId="3562"/>
    <cellStyle name="Comma 11 13 8 4 3" xfId="3563"/>
    <cellStyle name="Comma 11 13 8 5" xfId="3564"/>
    <cellStyle name="Comma 11 13 8 5 2" xfId="3565"/>
    <cellStyle name="Comma 11 13 8 6" xfId="3566"/>
    <cellStyle name="Comma 11 13 9" xfId="3567"/>
    <cellStyle name="Comma 11 13 9 2" xfId="3568"/>
    <cellStyle name="Comma 11 13 9 2 2" xfId="3569"/>
    <cellStyle name="Comma 11 13 9 2 2 2" xfId="3570"/>
    <cellStyle name="Comma 11 13 9 2 2 2 2" xfId="3571"/>
    <cellStyle name="Comma 11 13 9 2 2 3" xfId="3572"/>
    <cellStyle name="Comma 11 13 9 2 3" xfId="3573"/>
    <cellStyle name="Comma 11 13 9 2 3 2" xfId="3574"/>
    <cellStyle name="Comma 11 13 9 2 4" xfId="3575"/>
    <cellStyle name="Comma 11 13 9 3" xfId="3576"/>
    <cellStyle name="Comma 11 13 9 3 2" xfId="3577"/>
    <cellStyle name="Comma 11 13 9 3 2 2" xfId="3578"/>
    <cellStyle name="Comma 11 13 9 3 2 2 2" xfId="3579"/>
    <cellStyle name="Comma 11 13 9 3 2 3" xfId="3580"/>
    <cellStyle name="Comma 11 13 9 3 3" xfId="3581"/>
    <cellStyle name="Comma 11 13 9 3 3 2" xfId="3582"/>
    <cellStyle name="Comma 11 13 9 3 4" xfId="3583"/>
    <cellStyle name="Comma 11 13 9 4" xfId="3584"/>
    <cellStyle name="Comma 11 13 9 4 2" xfId="3585"/>
    <cellStyle name="Comma 11 13 9 4 2 2" xfId="3586"/>
    <cellStyle name="Comma 11 13 9 4 3" xfId="3587"/>
    <cellStyle name="Comma 11 13 9 5" xfId="3588"/>
    <cellStyle name="Comma 11 13 9 5 2" xfId="3589"/>
    <cellStyle name="Comma 11 13 9 6" xfId="3590"/>
    <cellStyle name="Comma 11 14" xfId="3591"/>
    <cellStyle name="Comma 11 14 10" xfId="3592"/>
    <cellStyle name="Comma 11 14 10 2" xfId="3593"/>
    <cellStyle name="Comma 11 14 10 2 2" xfId="3594"/>
    <cellStyle name="Comma 11 14 10 2 2 2" xfId="3595"/>
    <cellStyle name="Comma 11 14 10 2 2 2 2" xfId="3596"/>
    <cellStyle name="Comma 11 14 10 2 2 3" xfId="3597"/>
    <cellStyle name="Comma 11 14 10 2 3" xfId="3598"/>
    <cellStyle name="Comma 11 14 10 2 3 2" xfId="3599"/>
    <cellStyle name="Comma 11 14 10 2 4" xfId="3600"/>
    <cellStyle name="Comma 11 14 10 3" xfId="3601"/>
    <cellStyle name="Comma 11 14 10 3 2" xfId="3602"/>
    <cellStyle name="Comma 11 14 10 3 2 2" xfId="3603"/>
    <cellStyle name="Comma 11 14 10 3 2 2 2" xfId="3604"/>
    <cellStyle name="Comma 11 14 10 3 2 3" xfId="3605"/>
    <cellStyle name="Comma 11 14 10 3 3" xfId="3606"/>
    <cellStyle name="Comma 11 14 10 3 3 2" xfId="3607"/>
    <cellStyle name="Comma 11 14 10 3 4" xfId="3608"/>
    <cellStyle name="Comma 11 14 10 4" xfId="3609"/>
    <cellStyle name="Comma 11 14 10 4 2" xfId="3610"/>
    <cellStyle name="Comma 11 14 10 4 2 2" xfId="3611"/>
    <cellStyle name="Comma 11 14 10 4 3" xfId="3612"/>
    <cellStyle name="Comma 11 14 10 5" xfId="3613"/>
    <cellStyle name="Comma 11 14 10 5 2" xfId="3614"/>
    <cellStyle name="Comma 11 14 10 6" xfId="3615"/>
    <cellStyle name="Comma 11 14 11" xfId="3616"/>
    <cellStyle name="Comma 11 14 11 2" xfId="3617"/>
    <cellStyle name="Comma 11 14 11 2 2" xfId="3618"/>
    <cellStyle name="Comma 11 14 11 2 2 2" xfId="3619"/>
    <cellStyle name="Comma 11 14 11 2 2 2 2" xfId="3620"/>
    <cellStyle name="Comma 11 14 11 2 2 3" xfId="3621"/>
    <cellStyle name="Comma 11 14 11 2 3" xfId="3622"/>
    <cellStyle name="Comma 11 14 11 2 3 2" xfId="3623"/>
    <cellStyle name="Comma 11 14 11 2 4" xfId="3624"/>
    <cellStyle name="Comma 11 14 11 3" xfId="3625"/>
    <cellStyle name="Comma 11 14 11 3 2" xfId="3626"/>
    <cellStyle name="Comma 11 14 11 3 2 2" xfId="3627"/>
    <cellStyle name="Comma 11 14 11 3 2 2 2" xfId="3628"/>
    <cellStyle name="Comma 11 14 11 3 2 3" xfId="3629"/>
    <cellStyle name="Comma 11 14 11 3 3" xfId="3630"/>
    <cellStyle name="Comma 11 14 11 3 3 2" xfId="3631"/>
    <cellStyle name="Comma 11 14 11 3 4" xfId="3632"/>
    <cellStyle name="Comma 11 14 11 4" xfId="3633"/>
    <cellStyle name="Comma 11 14 11 4 2" xfId="3634"/>
    <cellStyle name="Comma 11 14 11 4 2 2" xfId="3635"/>
    <cellStyle name="Comma 11 14 11 4 3" xfId="3636"/>
    <cellStyle name="Comma 11 14 11 5" xfId="3637"/>
    <cellStyle name="Comma 11 14 11 5 2" xfId="3638"/>
    <cellStyle name="Comma 11 14 11 6" xfId="3639"/>
    <cellStyle name="Comma 11 14 12" xfId="3640"/>
    <cellStyle name="Comma 11 14 12 2" xfId="3641"/>
    <cellStyle name="Comma 11 14 12 2 2" xfId="3642"/>
    <cellStyle name="Comma 11 14 12 2 2 2" xfId="3643"/>
    <cellStyle name="Comma 11 14 12 2 2 2 2" xfId="3644"/>
    <cellStyle name="Comma 11 14 12 2 2 3" xfId="3645"/>
    <cellStyle name="Comma 11 14 12 2 3" xfId="3646"/>
    <cellStyle name="Comma 11 14 12 2 3 2" xfId="3647"/>
    <cellStyle name="Comma 11 14 12 2 4" xfId="3648"/>
    <cellStyle name="Comma 11 14 12 3" xfId="3649"/>
    <cellStyle name="Comma 11 14 12 3 2" xfId="3650"/>
    <cellStyle name="Comma 11 14 12 3 2 2" xfId="3651"/>
    <cellStyle name="Comma 11 14 12 3 2 2 2" xfId="3652"/>
    <cellStyle name="Comma 11 14 12 3 2 3" xfId="3653"/>
    <cellStyle name="Comma 11 14 12 3 3" xfId="3654"/>
    <cellStyle name="Comma 11 14 12 3 3 2" xfId="3655"/>
    <cellStyle name="Comma 11 14 12 3 4" xfId="3656"/>
    <cellStyle name="Comma 11 14 12 4" xfId="3657"/>
    <cellStyle name="Comma 11 14 12 4 2" xfId="3658"/>
    <cellStyle name="Comma 11 14 12 4 2 2" xfId="3659"/>
    <cellStyle name="Comma 11 14 12 4 3" xfId="3660"/>
    <cellStyle name="Comma 11 14 12 5" xfId="3661"/>
    <cellStyle name="Comma 11 14 12 5 2" xfId="3662"/>
    <cellStyle name="Comma 11 14 12 6" xfId="3663"/>
    <cellStyle name="Comma 11 14 13" xfId="3664"/>
    <cellStyle name="Comma 11 14 13 2" xfId="3665"/>
    <cellStyle name="Comma 11 14 13 2 2" xfId="3666"/>
    <cellStyle name="Comma 11 14 13 2 2 2" xfId="3667"/>
    <cellStyle name="Comma 11 14 13 2 2 2 2" xfId="3668"/>
    <cellStyle name="Comma 11 14 13 2 2 3" xfId="3669"/>
    <cellStyle name="Comma 11 14 13 2 3" xfId="3670"/>
    <cellStyle name="Comma 11 14 13 2 3 2" xfId="3671"/>
    <cellStyle name="Comma 11 14 13 2 4" xfId="3672"/>
    <cellStyle name="Comma 11 14 13 3" xfId="3673"/>
    <cellStyle name="Comma 11 14 13 3 2" xfId="3674"/>
    <cellStyle name="Comma 11 14 13 3 2 2" xfId="3675"/>
    <cellStyle name="Comma 11 14 13 3 2 2 2" xfId="3676"/>
    <cellStyle name="Comma 11 14 13 3 2 3" xfId="3677"/>
    <cellStyle name="Comma 11 14 13 3 3" xfId="3678"/>
    <cellStyle name="Comma 11 14 13 3 3 2" xfId="3679"/>
    <cellStyle name="Comma 11 14 13 3 4" xfId="3680"/>
    <cellStyle name="Comma 11 14 13 4" xfId="3681"/>
    <cellStyle name="Comma 11 14 13 4 2" xfId="3682"/>
    <cellStyle name="Comma 11 14 13 4 2 2" xfId="3683"/>
    <cellStyle name="Comma 11 14 13 4 3" xfId="3684"/>
    <cellStyle name="Comma 11 14 13 5" xfId="3685"/>
    <cellStyle name="Comma 11 14 13 5 2" xfId="3686"/>
    <cellStyle name="Comma 11 14 13 6" xfId="3687"/>
    <cellStyle name="Comma 11 14 14" xfId="3688"/>
    <cellStyle name="Comma 11 14 14 2" xfId="3689"/>
    <cellStyle name="Comma 11 14 14 2 2" xfId="3690"/>
    <cellStyle name="Comma 11 14 14 2 2 2" xfId="3691"/>
    <cellStyle name="Comma 11 14 14 2 3" xfId="3692"/>
    <cellStyle name="Comma 11 14 14 3" xfId="3693"/>
    <cellStyle name="Comma 11 14 14 3 2" xfId="3694"/>
    <cellStyle name="Comma 11 14 14 4" xfId="3695"/>
    <cellStyle name="Comma 11 14 15" xfId="3696"/>
    <cellStyle name="Comma 11 14 15 2" xfId="3697"/>
    <cellStyle name="Comma 11 14 15 2 2" xfId="3698"/>
    <cellStyle name="Comma 11 14 15 2 2 2" xfId="3699"/>
    <cellStyle name="Comma 11 14 15 2 3" xfId="3700"/>
    <cellStyle name="Comma 11 14 15 3" xfId="3701"/>
    <cellStyle name="Comma 11 14 15 3 2" xfId="3702"/>
    <cellStyle name="Comma 11 14 15 4" xfId="3703"/>
    <cellStyle name="Comma 11 14 16" xfId="3704"/>
    <cellStyle name="Comma 11 14 16 2" xfId="3705"/>
    <cellStyle name="Comma 11 14 16 2 2" xfId="3706"/>
    <cellStyle name="Comma 11 14 16 3" xfId="3707"/>
    <cellStyle name="Comma 11 14 17" xfId="3708"/>
    <cellStyle name="Comma 11 14 17 2" xfId="3709"/>
    <cellStyle name="Comma 11 14 18" xfId="3710"/>
    <cellStyle name="Comma 11 14 2" xfId="3711"/>
    <cellStyle name="Comma 11 14 2 2" xfId="3712"/>
    <cellStyle name="Comma 11 14 2 2 2" xfId="3713"/>
    <cellStyle name="Comma 11 14 2 2 2 2" xfId="3714"/>
    <cellStyle name="Comma 11 14 2 2 2 2 2" xfId="3715"/>
    <cellStyle name="Comma 11 14 2 2 2 3" xfId="3716"/>
    <cellStyle name="Comma 11 14 2 2 3" xfId="3717"/>
    <cellStyle name="Comma 11 14 2 2 3 2" xfId="3718"/>
    <cellStyle name="Comma 11 14 2 2 4" xfId="3719"/>
    <cellStyle name="Comma 11 14 2 3" xfId="3720"/>
    <cellStyle name="Comma 11 14 2 3 2" xfId="3721"/>
    <cellStyle name="Comma 11 14 2 3 2 2" xfId="3722"/>
    <cellStyle name="Comma 11 14 2 3 2 2 2" xfId="3723"/>
    <cellStyle name="Comma 11 14 2 3 2 3" xfId="3724"/>
    <cellStyle name="Comma 11 14 2 3 3" xfId="3725"/>
    <cellStyle name="Comma 11 14 2 3 3 2" xfId="3726"/>
    <cellStyle name="Comma 11 14 2 3 4" xfId="3727"/>
    <cellStyle name="Comma 11 14 2 4" xfId="3728"/>
    <cellStyle name="Comma 11 14 2 4 2" xfId="3729"/>
    <cellStyle name="Comma 11 14 2 4 2 2" xfId="3730"/>
    <cellStyle name="Comma 11 14 2 4 3" xfId="3731"/>
    <cellStyle name="Comma 11 14 2 5" xfId="3732"/>
    <cellStyle name="Comma 11 14 2 5 2" xfId="3733"/>
    <cellStyle name="Comma 11 14 2 6" xfId="3734"/>
    <cellStyle name="Comma 11 14 3" xfId="3735"/>
    <cellStyle name="Comma 11 14 3 2" xfId="3736"/>
    <cellStyle name="Comma 11 14 3 2 2" xfId="3737"/>
    <cellStyle name="Comma 11 14 3 2 2 2" xfId="3738"/>
    <cellStyle name="Comma 11 14 3 2 2 2 2" xfId="3739"/>
    <cellStyle name="Comma 11 14 3 2 2 3" xfId="3740"/>
    <cellStyle name="Comma 11 14 3 2 3" xfId="3741"/>
    <cellStyle name="Comma 11 14 3 2 3 2" xfId="3742"/>
    <cellStyle name="Comma 11 14 3 2 4" xfId="3743"/>
    <cellStyle name="Comma 11 14 3 3" xfId="3744"/>
    <cellStyle name="Comma 11 14 3 3 2" xfId="3745"/>
    <cellStyle name="Comma 11 14 3 3 2 2" xfId="3746"/>
    <cellStyle name="Comma 11 14 3 3 2 2 2" xfId="3747"/>
    <cellStyle name="Comma 11 14 3 3 2 3" xfId="3748"/>
    <cellStyle name="Comma 11 14 3 3 3" xfId="3749"/>
    <cellStyle name="Comma 11 14 3 3 3 2" xfId="3750"/>
    <cellStyle name="Comma 11 14 3 3 4" xfId="3751"/>
    <cellStyle name="Comma 11 14 3 4" xfId="3752"/>
    <cellStyle name="Comma 11 14 3 4 2" xfId="3753"/>
    <cellStyle name="Comma 11 14 3 4 2 2" xfId="3754"/>
    <cellStyle name="Comma 11 14 3 4 3" xfId="3755"/>
    <cellStyle name="Comma 11 14 3 5" xfId="3756"/>
    <cellStyle name="Comma 11 14 3 5 2" xfId="3757"/>
    <cellStyle name="Comma 11 14 3 6" xfId="3758"/>
    <cellStyle name="Comma 11 14 4" xfId="3759"/>
    <cellStyle name="Comma 11 14 4 2" xfId="3760"/>
    <cellStyle name="Comma 11 14 4 2 2" xfId="3761"/>
    <cellStyle name="Comma 11 14 4 2 2 2" xfId="3762"/>
    <cellStyle name="Comma 11 14 4 2 2 2 2" xfId="3763"/>
    <cellStyle name="Comma 11 14 4 2 2 3" xfId="3764"/>
    <cellStyle name="Comma 11 14 4 2 3" xfId="3765"/>
    <cellStyle name="Comma 11 14 4 2 3 2" xfId="3766"/>
    <cellStyle name="Comma 11 14 4 2 4" xfId="3767"/>
    <cellStyle name="Comma 11 14 4 3" xfId="3768"/>
    <cellStyle name="Comma 11 14 4 3 2" xfId="3769"/>
    <cellStyle name="Comma 11 14 4 3 2 2" xfId="3770"/>
    <cellStyle name="Comma 11 14 4 3 2 2 2" xfId="3771"/>
    <cellStyle name="Comma 11 14 4 3 2 3" xfId="3772"/>
    <cellStyle name="Comma 11 14 4 3 3" xfId="3773"/>
    <cellStyle name="Comma 11 14 4 3 3 2" xfId="3774"/>
    <cellStyle name="Comma 11 14 4 3 4" xfId="3775"/>
    <cellStyle name="Comma 11 14 4 4" xfId="3776"/>
    <cellStyle name="Comma 11 14 4 4 2" xfId="3777"/>
    <cellStyle name="Comma 11 14 4 4 2 2" xfId="3778"/>
    <cellStyle name="Comma 11 14 4 4 3" xfId="3779"/>
    <cellStyle name="Comma 11 14 4 5" xfId="3780"/>
    <cellStyle name="Comma 11 14 4 5 2" xfId="3781"/>
    <cellStyle name="Comma 11 14 4 6" xfId="3782"/>
    <cellStyle name="Comma 11 14 5" xfId="3783"/>
    <cellStyle name="Comma 11 14 5 2" xfId="3784"/>
    <cellStyle name="Comma 11 14 5 2 2" xfId="3785"/>
    <cellStyle name="Comma 11 14 5 2 2 2" xfId="3786"/>
    <cellStyle name="Comma 11 14 5 2 2 2 2" xfId="3787"/>
    <cellStyle name="Comma 11 14 5 2 2 3" xfId="3788"/>
    <cellStyle name="Comma 11 14 5 2 3" xfId="3789"/>
    <cellStyle name="Comma 11 14 5 2 3 2" xfId="3790"/>
    <cellStyle name="Comma 11 14 5 2 4" xfId="3791"/>
    <cellStyle name="Comma 11 14 5 3" xfId="3792"/>
    <cellStyle name="Comma 11 14 5 3 2" xfId="3793"/>
    <cellStyle name="Comma 11 14 5 3 2 2" xfId="3794"/>
    <cellStyle name="Comma 11 14 5 3 2 2 2" xfId="3795"/>
    <cellStyle name="Comma 11 14 5 3 2 3" xfId="3796"/>
    <cellStyle name="Comma 11 14 5 3 3" xfId="3797"/>
    <cellStyle name="Comma 11 14 5 3 3 2" xfId="3798"/>
    <cellStyle name="Comma 11 14 5 3 4" xfId="3799"/>
    <cellStyle name="Comma 11 14 5 4" xfId="3800"/>
    <cellStyle name="Comma 11 14 5 4 2" xfId="3801"/>
    <cellStyle name="Comma 11 14 5 4 2 2" xfId="3802"/>
    <cellStyle name="Comma 11 14 5 4 3" xfId="3803"/>
    <cellStyle name="Comma 11 14 5 5" xfId="3804"/>
    <cellStyle name="Comma 11 14 5 5 2" xfId="3805"/>
    <cellStyle name="Comma 11 14 5 6" xfId="3806"/>
    <cellStyle name="Comma 11 14 6" xfId="3807"/>
    <cellStyle name="Comma 11 14 6 2" xfId="3808"/>
    <cellStyle name="Comma 11 14 6 2 2" xfId="3809"/>
    <cellStyle name="Comma 11 14 6 2 2 2" xfId="3810"/>
    <cellStyle name="Comma 11 14 6 2 2 2 2" xfId="3811"/>
    <cellStyle name="Comma 11 14 6 2 2 3" xfId="3812"/>
    <cellStyle name="Comma 11 14 6 2 3" xfId="3813"/>
    <cellStyle name="Comma 11 14 6 2 3 2" xfId="3814"/>
    <cellStyle name="Comma 11 14 6 2 4" xfId="3815"/>
    <cellStyle name="Comma 11 14 6 3" xfId="3816"/>
    <cellStyle name="Comma 11 14 6 3 2" xfId="3817"/>
    <cellStyle name="Comma 11 14 6 3 2 2" xfId="3818"/>
    <cellStyle name="Comma 11 14 6 3 2 2 2" xfId="3819"/>
    <cellStyle name="Comma 11 14 6 3 2 3" xfId="3820"/>
    <cellStyle name="Comma 11 14 6 3 3" xfId="3821"/>
    <cellStyle name="Comma 11 14 6 3 3 2" xfId="3822"/>
    <cellStyle name="Comma 11 14 6 3 4" xfId="3823"/>
    <cellStyle name="Comma 11 14 6 4" xfId="3824"/>
    <cellStyle name="Comma 11 14 6 4 2" xfId="3825"/>
    <cellStyle name="Comma 11 14 6 4 2 2" xfId="3826"/>
    <cellStyle name="Comma 11 14 6 4 3" xfId="3827"/>
    <cellStyle name="Comma 11 14 6 5" xfId="3828"/>
    <cellStyle name="Comma 11 14 6 5 2" xfId="3829"/>
    <cellStyle name="Comma 11 14 6 6" xfId="3830"/>
    <cellStyle name="Comma 11 14 7" xfId="3831"/>
    <cellStyle name="Comma 11 14 7 2" xfId="3832"/>
    <cellStyle name="Comma 11 14 7 2 2" xfId="3833"/>
    <cellStyle name="Comma 11 14 7 2 2 2" xfId="3834"/>
    <cellStyle name="Comma 11 14 7 2 2 2 2" xfId="3835"/>
    <cellStyle name="Comma 11 14 7 2 2 3" xfId="3836"/>
    <cellStyle name="Comma 11 14 7 2 3" xfId="3837"/>
    <cellStyle name="Comma 11 14 7 2 3 2" xfId="3838"/>
    <cellStyle name="Comma 11 14 7 2 4" xfId="3839"/>
    <cellStyle name="Comma 11 14 7 3" xfId="3840"/>
    <cellStyle name="Comma 11 14 7 3 2" xfId="3841"/>
    <cellStyle name="Comma 11 14 7 3 2 2" xfId="3842"/>
    <cellStyle name="Comma 11 14 7 3 2 2 2" xfId="3843"/>
    <cellStyle name="Comma 11 14 7 3 2 3" xfId="3844"/>
    <cellStyle name="Comma 11 14 7 3 3" xfId="3845"/>
    <cellStyle name="Comma 11 14 7 3 3 2" xfId="3846"/>
    <cellStyle name="Comma 11 14 7 3 4" xfId="3847"/>
    <cellStyle name="Comma 11 14 7 4" xfId="3848"/>
    <cellStyle name="Comma 11 14 7 4 2" xfId="3849"/>
    <cellStyle name="Comma 11 14 7 4 2 2" xfId="3850"/>
    <cellStyle name="Comma 11 14 7 4 3" xfId="3851"/>
    <cellStyle name="Comma 11 14 7 5" xfId="3852"/>
    <cellStyle name="Comma 11 14 7 5 2" xfId="3853"/>
    <cellStyle name="Comma 11 14 7 6" xfId="3854"/>
    <cellStyle name="Comma 11 14 8" xfId="3855"/>
    <cellStyle name="Comma 11 14 8 2" xfId="3856"/>
    <cellStyle name="Comma 11 14 8 2 2" xfId="3857"/>
    <cellStyle name="Comma 11 14 8 2 2 2" xfId="3858"/>
    <cellStyle name="Comma 11 14 8 2 2 2 2" xfId="3859"/>
    <cellStyle name="Comma 11 14 8 2 2 3" xfId="3860"/>
    <cellStyle name="Comma 11 14 8 2 3" xfId="3861"/>
    <cellStyle name="Comma 11 14 8 2 3 2" xfId="3862"/>
    <cellStyle name="Comma 11 14 8 2 4" xfId="3863"/>
    <cellStyle name="Comma 11 14 8 3" xfId="3864"/>
    <cellStyle name="Comma 11 14 8 3 2" xfId="3865"/>
    <cellStyle name="Comma 11 14 8 3 2 2" xfId="3866"/>
    <cellStyle name="Comma 11 14 8 3 2 2 2" xfId="3867"/>
    <cellStyle name="Comma 11 14 8 3 2 3" xfId="3868"/>
    <cellStyle name="Comma 11 14 8 3 3" xfId="3869"/>
    <cellStyle name="Comma 11 14 8 3 3 2" xfId="3870"/>
    <cellStyle name="Comma 11 14 8 3 4" xfId="3871"/>
    <cellStyle name="Comma 11 14 8 4" xfId="3872"/>
    <cellStyle name="Comma 11 14 8 4 2" xfId="3873"/>
    <cellStyle name="Comma 11 14 8 4 2 2" xfId="3874"/>
    <cellStyle name="Comma 11 14 8 4 3" xfId="3875"/>
    <cellStyle name="Comma 11 14 8 5" xfId="3876"/>
    <cellStyle name="Comma 11 14 8 5 2" xfId="3877"/>
    <cellStyle name="Comma 11 14 8 6" xfId="3878"/>
    <cellStyle name="Comma 11 14 9" xfId="3879"/>
    <cellStyle name="Comma 11 14 9 2" xfId="3880"/>
    <cellStyle name="Comma 11 14 9 2 2" xfId="3881"/>
    <cellStyle name="Comma 11 14 9 2 2 2" xfId="3882"/>
    <cellStyle name="Comma 11 14 9 2 2 2 2" xfId="3883"/>
    <cellStyle name="Comma 11 14 9 2 2 3" xfId="3884"/>
    <cellStyle name="Comma 11 14 9 2 3" xfId="3885"/>
    <cellStyle name="Comma 11 14 9 2 3 2" xfId="3886"/>
    <cellStyle name="Comma 11 14 9 2 4" xfId="3887"/>
    <cellStyle name="Comma 11 14 9 3" xfId="3888"/>
    <cellStyle name="Comma 11 14 9 3 2" xfId="3889"/>
    <cellStyle name="Comma 11 14 9 3 2 2" xfId="3890"/>
    <cellStyle name="Comma 11 14 9 3 2 2 2" xfId="3891"/>
    <cellStyle name="Comma 11 14 9 3 2 3" xfId="3892"/>
    <cellStyle name="Comma 11 14 9 3 3" xfId="3893"/>
    <cellStyle name="Comma 11 14 9 3 3 2" xfId="3894"/>
    <cellStyle name="Comma 11 14 9 3 4" xfId="3895"/>
    <cellStyle name="Comma 11 14 9 4" xfId="3896"/>
    <cellStyle name="Comma 11 14 9 4 2" xfId="3897"/>
    <cellStyle name="Comma 11 14 9 4 2 2" xfId="3898"/>
    <cellStyle name="Comma 11 14 9 4 3" xfId="3899"/>
    <cellStyle name="Comma 11 14 9 5" xfId="3900"/>
    <cellStyle name="Comma 11 14 9 5 2" xfId="3901"/>
    <cellStyle name="Comma 11 14 9 6" xfId="3902"/>
    <cellStyle name="Comma 11 15" xfId="3903"/>
    <cellStyle name="Comma 11 15 10" xfId="3904"/>
    <cellStyle name="Comma 11 15 10 2" xfId="3905"/>
    <cellStyle name="Comma 11 15 10 2 2" xfId="3906"/>
    <cellStyle name="Comma 11 15 10 2 2 2" xfId="3907"/>
    <cellStyle name="Comma 11 15 10 2 2 2 2" xfId="3908"/>
    <cellStyle name="Comma 11 15 10 2 2 3" xfId="3909"/>
    <cellStyle name="Comma 11 15 10 2 3" xfId="3910"/>
    <cellStyle name="Comma 11 15 10 2 3 2" xfId="3911"/>
    <cellStyle name="Comma 11 15 10 2 4" xfId="3912"/>
    <cellStyle name="Comma 11 15 10 3" xfId="3913"/>
    <cellStyle name="Comma 11 15 10 3 2" xfId="3914"/>
    <cellStyle name="Comma 11 15 10 3 2 2" xfId="3915"/>
    <cellStyle name="Comma 11 15 10 3 2 2 2" xfId="3916"/>
    <cellStyle name="Comma 11 15 10 3 2 3" xfId="3917"/>
    <cellStyle name="Comma 11 15 10 3 3" xfId="3918"/>
    <cellStyle name="Comma 11 15 10 3 3 2" xfId="3919"/>
    <cellStyle name="Comma 11 15 10 3 4" xfId="3920"/>
    <cellStyle name="Comma 11 15 10 4" xfId="3921"/>
    <cellStyle name="Comma 11 15 10 4 2" xfId="3922"/>
    <cellStyle name="Comma 11 15 10 4 2 2" xfId="3923"/>
    <cellStyle name="Comma 11 15 10 4 3" xfId="3924"/>
    <cellStyle name="Comma 11 15 10 5" xfId="3925"/>
    <cellStyle name="Comma 11 15 10 5 2" xfId="3926"/>
    <cellStyle name="Comma 11 15 10 6" xfId="3927"/>
    <cellStyle name="Comma 11 15 11" xfId="3928"/>
    <cellStyle name="Comma 11 15 11 2" xfId="3929"/>
    <cellStyle name="Comma 11 15 11 2 2" xfId="3930"/>
    <cellStyle name="Comma 11 15 11 2 2 2" xfId="3931"/>
    <cellStyle name="Comma 11 15 11 2 2 2 2" xfId="3932"/>
    <cellStyle name="Comma 11 15 11 2 2 3" xfId="3933"/>
    <cellStyle name="Comma 11 15 11 2 3" xfId="3934"/>
    <cellStyle name="Comma 11 15 11 2 3 2" xfId="3935"/>
    <cellStyle name="Comma 11 15 11 2 4" xfId="3936"/>
    <cellStyle name="Comma 11 15 11 3" xfId="3937"/>
    <cellStyle name="Comma 11 15 11 3 2" xfId="3938"/>
    <cellStyle name="Comma 11 15 11 3 2 2" xfId="3939"/>
    <cellStyle name="Comma 11 15 11 3 2 2 2" xfId="3940"/>
    <cellStyle name="Comma 11 15 11 3 2 3" xfId="3941"/>
    <cellStyle name="Comma 11 15 11 3 3" xfId="3942"/>
    <cellStyle name="Comma 11 15 11 3 3 2" xfId="3943"/>
    <cellStyle name="Comma 11 15 11 3 4" xfId="3944"/>
    <cellStyle name="Comma 11 15 11 4" xfId="3945"/>
    <cellStyle name="Comma 11 15 11 4 2" xfId="3946"/>
    <cellStyle name="Comma 11 15 11 4 2 2" xfId="3947"/>
    <cellStyle name="Comma 11 15 11 4 3" xfId="3948"/>
    <cellStyle name="Comma 11 15 11 5" xfId="3949"/>
    <cellStyle name="Comma 11 15 11 5 2" xfId="3950"/>
    <cellStyle name="Comma 11 15 11 6" xfId="3951"/>
    <cellStyle name="Comma 11 15 12" xfId="3952"/>
    <cellStyle name="Comma 11 15 12 2" xfId="3953"/>
    <cellStyle name="Comma 11 15 12 2 2" xfId="3954"/>
    <cellStyle name="Comma 11 15 12 2 2 2" xfId="3955"/>
    <cellStyle name="Comma 11 15 12 2 2 2 2" xfId="3956"/>
    <cellStyle name="Comma 11 15 12 2 2 3" xfId="3957"/>
    <cellStyle name="Comma 11 15 12 2 3" xfId="3958"/>
    <cellStyle name="Comma 11 15 12 2 3 2" xfId="3959"/>
    <cellStyle name="Comma 11 15 12 2 4" xfId="3960"/>
    <cellStyle name="Comma 11 15 12 3" xfId="3961"/>
    <cellStyle name="Comma 11 15 12 3 2" xfId="3962"/>
    <cellStyle name="Comma 11 15 12 3 2 2" xfId="3963"/>
    <cellStyle name="Comma 11 15 12 3 2 2 2" xfId="3964"/>
    <cellStyle name="Comma 11 15 12 3 2 3" xfId="3965"/>
    <cellStyle name="Comma 11 15 12 3 3" xfId="3966"/>
    <cellStyle name="Comma 11 15 12 3 3 2" xfId="3967"/>
    <cellStyle name="Comma 11 15 12 3 4" xfId="3968"/>
    <cellStyle name="Comma 11 15 12 4" xfId="3969"/>
    <cellStyle name="Comma 11 15 12 4 2" xfId="3970"/>
    <cellStyle name="Comma 11 15 12 4 2 2" xfId="3971"/>
    <cellStyle name="Comma 11 15 12 4 3" xfId="3972"/>
    <cellStyle name="Comma 11 15 12 5" xfId="3973"/>
    <cellStyle name="Comma 11 15 12 5 2" xfId="3974"/>
    <cellStyle name="Comma 11 15 12 6" xfId="3975"/>
    <cellStyle name="Comma 11 15 13" xfId="3976"/>
    <cellStyle name="Comma 11 15 13 2" xfId="3977"/>
    <cellStyle name="Comma 11 15 13 2 2" xfId="3978"/>
    <cellStyle name="Comma 11 15 13 2 2 2" xfId="3979"/>
    <cellStyle name="Comma 11 15 13 2 2 2 2" xfId="3980"/>
    <cellStyle name="Comma 11 15 13 2 2 3" xfId="3981"/>
    <cellStyle name="Comma 11 15 13 2 3" xfId="3982"/>
    <cellStyle name="Comma 11 15 13 2 3 2" xfId="3983"/>
    <cellStyle name="Comma 11 15 13 2 4" xfId="3984"/>
    <cellStyle name="Comma 11 15 13 3" xfId="3985"/>
    <cellStyle name="Comma 11 15 13 3 2" xfId="3986"/>
    <cellStyle name="Comma 11 15 13 3 2 2" xfId="3987"/>
    <cellStyle name="Comma 11 15 13 3 2 2 2" xfId="3988"/>
    <cellStyle name="Comma 11 15 13 3 2 3" xfId="3989"/>
    <cellStyle name="Comma 11 15 13 3 3" xfId="3990"/>
    <cellStyle name="Comma 11 15 13 3 3 2" xfId="3991"/>
    <cellStyle name="Comma 11 15 13 3 4" xfId="3992"/>
    <cellStyle name="Comma 11 15 13 4" xfId="3993"/>
    <cellStyle name="Comma 11 15 13 4 2" xfId="3994"/>
    <cellStyle name="Comma 11 15 13 4 2 2" xfId="3995"/>
    <cellStyle name="Comma 11 15 13 4 3" xfId="3996"/>
    <cellStyle name="Comma 11 15 13 5" xfId="3997"/>
    <cellStyle name="Comma 11 15 13 5 2" xfId="3998"/>
    <cellStyle name="Comma 11 15 13 6" xfId="3999"/>
    <cellStyle name="Comma 11 15 14" xfId="4000"/>
    <cellStyle name="Comma 11 15 14 2" xfId="4001"/>
    <cellStyle name="Comma 11 15 14 2 2" xfId="4002"/>
    <cellStyle name="Comma 11 15 14 2 2 2" xfId="4003"/>
    <cellStyle name="Comma 11 15 14 2 3" xfId="4004"/>
    <cellStyle name="Comma 11 15 14 3" xfId="4005"/>
    <cellStyle name="Comma 11 15 14 3 2" xfId="4006"/>
    <cellStyle name="Comma 11 15 14 4" xfId="4007"/>
    <cellStyle name="Comma 11 15 15" xfId="4008"/>
    <cellStyle name="Comma 11 15 15 2" xfId="4009"/>
    <cellStyle name="Comma 11 15 15 2 2" xfId="4010"/>
    <cellStyle name="Comma 11 15 15 2 2 2" xfId="4011"/>
    <cellStyle name="Comma 11 15 15 2 3" xfId="4012"/>
    <cellStyle name="Comma 11 15 15 3" xfId="4013"/>
    <cellStyle name="Comma 11 15 15 3 2" xfId="4014"/>
    <cellStyle name="Comma 11 15 15 4" xfId="4015"/>
    <cellStyle name="Comma 11 15 16" xfId="4016"/>
    <cellStyle name="Comma 11 15 16 2" xfId="4017"/>
    <cellStyle name="Comma 11 15 16 2 2" xfId="4018"/>
    <cellStyle name="Comma 11 15 16 3" xfId="4019"/>
    <cellStyle name="Comma 11 15 17" xfId="4020"/>
    <cellStyle name="Comma 11 15 17 2" xfId="4021"/>
    <cellStyle name="Comma 11 15 18" xfId="4022"/>
    <cellStyle name="Comma 11 15 2" xfId="4023"/>
    <cellStyle name="Comma 11 15 2 2" xfId="4024"/>
    <cellStyle name="Comma 11 15 2 2 2" xfId="4025"/>
    <cellStyle name="Comma 11 15 2 2 2 2" xfId="4026"/>
    <cellStyle name="Comma 11 15 2 2 2 2 2" xfId="4027"/>
    <cellStyle name="Comma 11 15 2 2 2 3" xfId="4028"/>
    <cellStyle name="Comma 11 15 2 2 3" xfId="4029"/>
    <cellStyle name="Comma 11 15 2 2 3 2" xfId="4030"/>
    <cellStyle name="Comma 11 15 2 2 4" xfId="4031"/>
    <cellStyle name="Comma 11 15 2 3" xfId="4032"/>
    <cellStyle name="Comma 11 15 2 3 2" xfId="4033"/>
    <cellStyle name="Comma 11 15 2 3 2 2" xfId="4034"/>
    <cellStyle name="Comma 11 15 2 3 2 2 2" xfId="4035"/>
    <cellStyle name="Comma 11 15 2 3 2 3" xfId="4036"/>
    <cellStyle name="Comma 11 15 2 3 3" xfId="4037"/>
    <cellStyle name="Comma 11 15 2 3 3 2" xfId="4038"/>
    <cellStyle name="Comma 11 15 2 3 4" xfId="4039"/>
    <cellStyle name="Comma 11 15 2 4" xfId="4040"/>
    <cellStyle name="Comma 11 15 2 4 2" xfId="4041"/>
    <cellStyle name="Comma 11 15 2 4 2 2" xfId="4042"/>
    <cellStyle name="Comma 11 15 2 4 3" xfId="4043"/>
    <cellStyle name="Comma 11 15 2 5" xfId="4044"/>
    <cellStyle name="Comma 11 15 2 5 2" xfId="4045"/>
    <cellStyle name="Comma 11 15 2 6" xfId="4046"/>
    <cellStyle name="Comma 11 15 3" xfId="4047"/>
    <cellStyle name="Comma 11 15 3 2" xfId="4048"/>
    <cellStyle name="Comma 11 15 3 2 2" xfId="4049"/>
    <cellStyle name="Comma 11 15 3 2 2 2" xfId="4050"/>
    <cellStyle name="Comma 11 15 3 2 2 2 2" xfId="4051"/>
    <cellStyle name="Comma 11 15 3 2 2 3" xfId="4052"/>
    <cellStyle name="Comma 11 15 3 2 3" xfId="4053"/>
    <cellStyle name="Comma 11 15 3 2 3 2" xfId="4054"/>
    <cellStyle name="Comma 11 15 3 2 4" xfId="4055"/>
    <cellStyle name="Comma 11 15 3 3" xfId="4056"/>
    <cellStyle name="Comma 11 15 3 3 2" xfId="4057"/>
    <cellStyle name="Comma 11 15 3 3 2 2" xfId="4058"/>
    <cellStyle name="Comma 11 15 3 3 2 2 2" xfId="4059"/>
    <cellStyle name="Comma 11 15 3 3 2 3" xfId="4060"/>
    <cellStyle name="Comma 11 15 3 3 3" xfId="4061"/>
    <cellStyle name="Comma 11 15 3 3 3 2" xfId="4062"/>
    <cellStyle name="Comma 11 15 3 3 4" xfId="4063"/>
    <cellStyle name="Comma 11 15 3 4" xfId="4064"/>
    <cellStyle name="Comma 11 15 3 4 2" xfId="4065"/>
    <cellStyle name="Comma 11 15 3 4 2 2" xfId="4066"/>
    <cellStyle name="Comma 11 15 3 4 3" xfId="4067"/>
    <cellStyle name="Comma 11 15 3 5" xfId="4068"/>
    <cellStyle name="Comma 11 15 3 5 2" xfId="4069"/>
    <cellStyle name="Comma 11 15 3 6" xfId="4070"/>
    <cellStyle name="Comma 11 15 4" xfId="4071"/>
    <cellStyle name="Comma 11 15 4 2" xfId="4072"/>
    <cellStyle name="Comma 11 15 4 2 2" xfId="4073"/>
    <cellStyle name="Comma 11 15 4 2 2 2" xfId="4074"/>
    <cellStyle name="Comma 11 15 4 2 2 2 2" xfId="4075"/>
    <cellStyle name="Comma 11 15 4 2 2 3" xfId="4076"/>
    <cellStyle name="Comma 11 15 4 2 3" xfId="4077"/>
    <cellStyle name="Comma 11 15 4 2 3 2" xfId="4078"/>
    <cellStyle name="Comma 11 15 4 2 4" xfId="4079"/>
    <cellStyle name="Comma 11 15 4 3" xfId="4080"/>
    <cellStyle name="Comma 11 15 4 3 2" xfId="4081"/>
    <cellStyle name="Comma 11 15 4 3 2 2" xfId="4082"/>
    <cellStyle name="Comma 11 15 4 3 2 2 2" xfId="4083"/>
    <cellStyle name="Comma 11 15 4 3 2 3" xfId="4084"/>
    <cellStyle name="Comma 11 15 4 3 3" xfId="4085"/>
    <cellStyle name="Comma 11 15 4 3 3 2" xfId="4086"/>
    <cellStyle name="Comma 11 15 4 3 4" xfId="4087"/>
    <cellStyle name="Comma 11 15 4 4" xfId="4088"/>
    <cellStyle name="Comma 11 15 4 4 2" xfId="4089"/>
    <cellStyle name="Comma 11 15 4 4 2 2" xfId="4090"/>
    <cellStyle name="Comma 11 15 4 4 3" xfId="4091"/>
    <cellStyle name="Comma 11 15 4 5" xfId="4092"/>
    <cellStyle name="Comma 11 15 4 5 2" xfId="4093"/>
    <cellStyle name="Comma 11 15 4 6" xfId="4094"/>
    <cellStyle name="Comma 11 15 5" xfId="4095"/>
    <cellStyle name="Comma 11 15 5 2" xfId="4096"/>
    <cellStyle name="Comma 11 15 5 2 2" xfId="4097"/>
    <cellStyle name="Comma 11 15 5 2 2 2" xfId="4098"/>
    <cellStyle name="Comma 11 15 5 2 2 2 2" xfId="4099"/>
    <cellStyle name="Comma 11 15 5 2 2 3" xfId="4100"/>
    <cellStyle name="Comma 11 15 5 2 3" xfId="4101"/>
    <cellStyle name="Comma 11 15 5 2 3 2" xfId="4102"/>
    <cellStyle name="Comma 11 15 5 2 4" xfId="4103"/>
    <cellStyle name="Comma 11 15 5 3" xfId="4104"/>
    <cellStyle name="Comma 11 15 5 3 2" xfId="4105"/>
    <cellStyle name="Comma 11 15 5 3 2 2" xfId="4106"/>
    <cellStyle name="Comma 11 15 5 3 2 2 2" xfId="4107"/>
    <cellStyle name="Comma 11 15 5 3 2 3" xfId="4108"/>
    <cellStyle name="Comma 11 15 5 3 3" xfId="4109"/>
    <cellStyle name="Comma 11 15 5 3 3 2" xfId="4110"/>
    <cellStyle name="Comma 11 15 5 3 4" xfId="4111"/>
    <cellStyle name="Comma 11 15 5 4" xfId="4112"/>
    <cellStyle name="Comma 11 15 5 4 2" xfId="4113"/>
    <cellStyle name="Comma 11 15 5 4 2 2" xfId="4114"/>
    <cellStyle name="Comma 11 15 5 4 3" xfId="4115"/>
    <cellStyle name="Comma 11 15 5 5" xfId="4116"/>
    <cellStyle name="Comma 11 15 5 5 2" xfId="4117"/>
    <cellStyle name="Comma 11 15 5 6" xfId="4118"/>
    <cellStyle name="Comma 11 15 6" xfId="4119"/>
    <cellStyle name="Comma 11 15 6 2" xfId="4120"/>
    <cellStyle name="Comma 11 15 6 2 2" xfId="4121"/>
    <cellStyle name="Comma 11 15 6 2 2 2" xfId="4122"/>
    <cellStyle name="Comma 11 15 6 2 2 2 2" xfId="4123"/>
    <cellStyle name="Comma 11 15 6 2 2 3" xfId="4124"/>
    <cellStyle name="Comma 11 15 6 2 3" xfId="4125"/>
    <cellStyle name="Comma 11 15 6 2 3 2" xfId="4126"/>
    <cellStyle name="Comma 11 15 6 2 4" xfId="4127"/>
    <cellStyle name="Comma 11 15 6 3" xfId="4128"/>
    <cellStyle name="Comma 11 15 6 3 2" xfId="4129"/>
    <cellStyle name="Comma 11 15 6 3 2 2" xfId="4130"/>
    <cellStyle name="Comma 11 15 6 3 2 2 2" xfId="4131"/>
    <cellStyle name="Comma 11 15 6 3 2 3" xfId="4132"/>
    <cellStyle name="Comma 11 15 6 3 3" xfId="4133"/>
    <cellStyle name="Comma 11 15 6 3 3 2" xfId="4134"/>
    <cellStyle name="Comma 11 15 6 3 4" xfId="4135"/>
    <cellStyle name="Comma 11 15 6 4" xfId="4136"/>
    <cellStyle name="Comma 11 15 6 4 2" xfId="4137"/>
    <cellStyle name="Comma 11 15 6 4 2 2" xfId="4138"/>
    <cellStyle name="Comma 11 15 6 4 3" xfId="4139"/>
    <cellStyle name="Comma 11 15 6 5" xfId="4140"/>
    <cellStyle name="Comma 11 15 6 5 2" xfId="4141"/>
    <cellStyle name="Comma 11 15 6 6" xfId="4142"/>
    <cellStyle name="Comma 11 15 7" xfId="4143"/>
    <cellStyle name="Comma 11 15 7 2" xfId="4144"/>
    <cellStyle name="Comma 11 15 7 2 2" xfId="4145"/>
    <cellStyle name="Comma 11 15 7 2 2 2" xfId="4146"/>
    <cellStyle name="Comma 11 15 7 2 2 2 2" xfId="4147"/>
    <cellStyle name="Comma 11 15 7 2 2 3" xfId="4148"/>
    <cellStyle name="Comma 11 15 7 2 3" xfId="4149"/>
    <cellStyle name="Comma 11 15 7 2 3 2" xfId="4150"/>
    <cellStyle name="Comma 11 15 7 2 4" xfId="4151"/>
    <cellStyle name="Comma 11 15 7 3" xfId="4152"/>
    <cellStyle name="Comma 11 15 7 3 2" xfId="4153"/>
    <cellStyle name="Comma 11 15 7 3 2 2" xfId="4154"/>
    <cellStyle name="Comma 11 15 7 3 2 2 2" xfId="4155"/>
    <cellStyle name="Comma 11 15 7 3 2 3" xfId="4156"/>
    <cellStyle name="Comma 11 15 7 3 3" xfId="4157"/>
    <cellStyle name="Comma 11 15 7 3 3 2" xfId="4158"/>
    <cellStyle name="Comma 11 15 7 3 4" xfId="4159"/>
    <cellStyle name="Comma 11 15 7 4" xfId="4160"/>
    <cellStyle name="Comma 11 15 7 4 2" xfId="4161"/>
    <cellStyle name="Comma 11 15 7 4 2 2" xfId="4162"/>
    <cellStyle name="Comma 11 15 7 4 3" xfId="4163"/>
    <cellStyle name="Comma 11 15 7 5" xfId="4164"/>
    <cellStyle name="Comma 11 15 7 5 2" xfId="4165"/>
    <cellStyle name="Comma 11 15 7 6" xfId="4166"/>
    <cellStyle name="Comma 11 15 8" xfId="4167"/>
    <cellStyle name="Comma 11 15 8 2" xfId="4168"/>
    <cellStyle name="Comma 11 15 8 2 2" xfId="4169"/>
    <cellStyle name="Comma 11 15 8 2 2 2" xfId="4170"/>
    <cellStyle name="Comma 11 15 8 2 2 2 2" xfId="4171"/>
    <cellStyle name="Comma 11 15 8 2 2 3" xfId="4172"/>
    <cellStyle name="Comma 11 15 8 2 3" xfId="4173"/>
    <cellStyle name="Comma 11 15 8 2 3 2" xfId="4174"/>
    <cellStyle name="Comma 11 15 8 2 4" xfId="4175"/>
    <cellStyle name="Comma 11 15 8 3" xfId="4176"/>
    <cellStyle name="Comma 11 15 8 3 2" xfId="4177"/>
    <cellStyle name="Comma 11 15 8 3 2 2" xfId="4178"/>
    <cellStyle name="Comma 11 15 8 3 2 2 2" xfId="4179"/>
    <cellStyle name="Comma 11 15 8 3 2 3" xfId="4180"/>
    <cellStyle name="Comma 11 15 8 3 3" xfId="4181"/>
    <cellStyle name="Comma 11 15 8 3 3 2" xfId="4182"/>
    <cellStyle name="Comma 11 15 8 3 4" xfId="4183"/>
    <cellStyle name="Comma 11 15 8 4" xfId="4184"/>
    <cellStyle name="Comma 11 15 8 4 2" xfId="4185"/>
    <cellStyle name="Comma 11 15 8 4 2 2" xfId="4186"/>
    <cellStyle name="Comma 11 15 8 4 3" xfId="4187"/>
    <cellStyle name="Comma 11 15 8 5" xfId="4188"/>
    <cellStyle name="Comma 11 15 8 5 2" xfId="4189"/>
    <cellStyle name="Comma 11 15 8 6" xfId="4190"/>
    <cellStyle name="Comma 11 15 9" xfId="4191"/>
    <cellStyle name="Comma 11 15 9 2" xfId="4192"/>
    <cellStyle name="Comma 11 15 9 2 2" xfId="4193"/>
    <cellStyle name="Comma 11 15 9 2 2 2" xfId="4194"/>
    <cellStyle name="Comma 11 15 9 2 2 2 2" xfId="4195"/>
    <cellStyle name="Comma 11 15 9 2 2 3" xfId="4196"/>
    <cellStyle name="Comma 11 15 9 2 3" xfId="4197"/>
    <cellStyle name="Comma 11 15 9 2 3 2" xfId="4198"/>
    <cellStyle name="Comma 11 15 9 2 4" xfId="4199"/>
    <cellStyle name="Comma 11 15 9 3" xfId="4200"/>
    <cellStyle name="Comma 11 15 9 3 2" xfId="4201"/>
    <cellStyle name="Comma 11 15 9 3 2 2" xfId="4202"/>
    <cellStyle name="Comma 11 15 9 3 2 2 2" xfId="4203"/>
    <cellStyle name="Comma 11 15 9 3 2 3" xfId="4204"/>
    <cellStyle name="Comma 11 15 9 3 3" xfId="4205"/>
    <cellStyle name="Comma 11 15 9 3 3 2" xfId="4206"/>
    <cellStyle name="Comma 11 15 9 3 4" xfId="4207"/>
    <cellStyle name="Comma 11 15 9 4" xfId="4208"/>
    <cellStyle name="Comma 11 15 9 4 2" xfId="4209"/>
    <cellStyle name="Comma 11 15 9 4 2 2" xfId="4210"/>
    <cellStyle name="Comma 11 15 9 4 3" xfId="4211"/>
    <cellStyle name="Comma 11 15 9 5" xfId="4212"/>
    <cellStyle name="Comma 11 15 9 5 2" xfId="4213"/>
    <cellStyle name="Comma 11 15 9 6" xfId="4214"/>
    <cellStyle name="Comma 11 16" xfId="4215"/>
    <cellStyle name="Comma 11 16 10" xfId="4216"/>
    <cellStyle name="Comma 11 16 10 2" xfId="4217"/>
    <cellStyle name="Comma 11 16 10 2 2" xfId="4218"/>
    <cellStyle name="Comma 11 16 10 2 2 2" xfId="4219"/>
    <cellStyle name="Comma 11 16 10 2 2 2 2" xfId="4220"/>
    <cellStyle name="Comma 11 16 10 2 2 3" xfId="4221"/>
    <cellStyle name="Comma 11 16 10 2 3" xfId="4222"/>
    <cellStyle name="Comma 11 16 10 2 3 2" xfId="4223"/>
    <cellStyle name="Comma 11 16 10 2 4" xfId="4224"/>
    <cellStyle name="Comma 11 16 10 3" xfId="4225"/>
    <cellStyle name="Comma 11 16 10 3 2" xfId="4226"/>
    <cellStyle name="Comma 11 16 10 3 2 2" xfId="4227"/>
    <cellStyle name="Comma 11 16 10 3 2 2 2" xfId="4228"/>
    <cellStyle name="Comma 11 16 10 3 2 3" xfId="4229"/>
    <cellStyle name="Comma 11 16 10 3 3" xfId="4230"/>
    <cellStyle name="Comma 11 16 10 3 3 2" xfId="4231"/>
    <cellStyle name="Comma 11 16 10 3 4" xfId="4232"/>
    <cellStyle name="Comma 11 16 10 4" xfId="4233"/>
    <cellStyle name="Comma 11 16 10 4 2" xfId="4234"/>
    <cellStyle name="Comma 11 16 10 4 2 2" xfId="4235"/>
    <cellStyle name="Comma 11 16 10 4 3" xfId="4236"/>
    <cellStyle name="Comma 11 16 10 5" xfId="4237"/>
    <cellStyle name="Comma 11 16 10 5 2" xfId="4238"/>
    <cellStyle name="Comma 11 16 10 6" xfId="4239"/>
    <cellStyle name="Comma 11 16 11" xfId="4240"/>
    <cellStyle name="Comma 11 16 11 2" xfId="4241"/>
    <cellStyle name="Comma 11 16 11 2 2" xfId="4242"/>
    <cellStyle name="Comma 11 16 11 2 2 2" xfId="4243"/>
    <cellStyle name="Comma 11 16 11 2 2 2 2" xfId="4244"/>
    <cellStyle name="Comma 11 16 11 2 2 3" xfId="4245"/>
    <cellStyle name="Comma 11 16 11 2 3" xfId="4246"/>
    <cellStyle name="Comma 11 16 11 2 3 2" xfId="4247"/>
    <cellStyle name="Comma 11 16 11 2 4" xfId="4248"/>
    <cellStyle name="Comma 11 16 11 3" xfId="4249"/>
    <cellStyle name="Comma 11 16 11 3 2" xfId="4250"/>
    <cellStyle name="Comma 11 16 11 3 2 2" xfId="4251"/>
    <cellStyle name="Comma 11 16 11 3 2 2 2" xfId="4252"/>
    <cellStyle name="Comma 11 16 11 3 2 3" xfId="4253"/>
    <cellStyle name="Comma 11 16 11 3 3" xfId="4254"/>
    <cellStyle name="Comma 11 16 11 3 3 2" xfId="4255"/>
    <cellStyle name="Comma 11 16 11 3 4" xfId="4256"/>
    <cellStyle name="Comma 11 16 11 4" xfId="4257"/>
    <cellStyle name="Comma 11 16 11 4 2" xfId="4258"/>
    <cellStyle name="Comma 11 16 11 4 2 2" xfId="4259"/>
    <cellStyle name="Comma 11 16 11 4 3" xfId="4260"/>
    <cellStyle name="Comma 11 16 11 5" xfId="4261"/>
    <cellStyle name="Comma 11 16 11 5 2" xfId="4262"/>
    <cellStyle name="Comma 11 16 11 6" xfId="4263"/>
    <cellStyle name="Comma 11 16 12" xfId="4264"/>
    <cellStyle name="Comma 11 16 12 2" xfId="4265"/>
    <cellStyle name="Comma 11 16 12 2 2" xfId="4266"/>
    <cellStyle name="Comma 11 16 12 2 2 2" xfId="4267"/>
    <cellStyle name="Comma 11 16 12 2 2 2 2" xfId="4268"/>
    <cellStyle name="Comma 11 16 12 2 2 3" xfId="4269"/>
    <cellStyle name="Comma 11 16 12 2 3" xfId="4270"/>
    <cellStyle name="Comma 11 16 12 2 3 2" xfId="4271"/>
    <cellStyle name="Comma 11 16 12 2 4" xfId="4272"/>
    <cellStyle name="Comma 11 16 12 3" xfId="4273"/>
    <cellStyle name="Comma 11 16 12 3 2" xfId="4274"/>
    <cellStyle name="Comma 11 16 12 3 2 2" xfId="4275"/>
    <cellStyle name="Comma 11 16 12 3 2 2 2" xfId="4276"/>
    <cellStyle name="Comma 11 16 12 3 2 3" xfId="4277"/>
    <cellStyle name="Comma 11 16 12 3 3" xfId="4278"/>
    <cellStyle name="Comma 11 16 12 3 3 2" xfId="4279"/>
    <cellStyle name="Comma 11 16 12 3 4" xfId="4280"/>
    <cellStyle name="Comma 11 16 12 4" xfId="4281"/>
    <cellStyle name="Comma 11 16 12 4 2" xfId="4282"/>
    <cellStyle name="Comma 11 16 12 4 2 2" xfId="4283"/>
    <cellStyle name="Comma 11 16 12 4 3" xfId="4284"/>
    <cellStyle name="Comma 11 16 12 5" xfId="4285"/>
    <cellStyle name="Comma 11 16 12 5 2" xfId="4286"/>
    <cellStyle name="Comma 11 16 12 6" xfId="4287"/>
    <cellStyle name="Comma 11 16 13" xfId="4288"/>
    <cellStyle name="Comma 11 16 13 2" xfId="4289"/>
    <cellStyle name="Comma 11 16 13 2 2" xfId="4290"/>
    <cellStyle name="Comma 11 16 13 2 2 2" xfId="4291"/>
    <cellStyle name="Comma 11 16 13 2 2 2 2" xfId="4292"/>
    <cellStyle name="Comma 11 16 13 2 2 3" xfId="4293"/>
    <cellStyle name="Comma 11 16 13 2 3" xfId="4294"/>
    <cellStyle name="Comma 11 16 13 2 3 2" xfId="4295"/>
    <cellStyle name="Comma 11 16 13 2 4" xfId="4296"/>
    <cellStyle name="Comma 11 16 13 3" xfId="4297"/>
    <cellStyle name="Comma 11 16 13 3 2" xfId="4298"/>
    <cellStyle name="Comma 11 16 13 3 2 2" xfId="4299"/>
    <cellStyle name="Comma 11 16 13 3 2 2 2" xfId="4300"/>
    <cellStyle name="Comma 11 16 13 3 2 3" xfId="4301"/>
    <cellStyle name="Comma 11 16 13 3 3" xfId="4302"/>
    <cellStyle name="Comma 11 16 13 3 3 2" xfId="4303"/>
    <cellStyle name="Comma 11 16 13 3 4" xfId="4304"/>
    <cellStyle name="Comma 11 16 13 4" xfId="4305"/>
    <cellStyle name="Comma 11 16 13 4 2" xfId="4306"/>
    <cellStyle name="Comma 11 16 13 4 2 2" xfId="4307"/>
    <cellStyle name="Comma 11 16 13 4 3" xfId="4308"/>
    <cellStyle name="Comma 11 16 13 5" xfId="4309"/>
    <cellStyle name="Comma 11 16 13 5 2" xfId="4310"/>
    <cellStyle name="Comma 11 16 13 6" xfId="4311"/>
    <cellStyle name="Comma 11 16 14" xfId="4312"/>
    <cellStyle name="Comma 11 16 14 2" xfId="4313"/>
    <cellStyle name="Comma 11 16 14 2 2" xfId="4314"/>
    <cellStyle name="Comma 11 16 14 2 2 2" xfId="4315"/>
    <cellStyle name="Comma 11 16 14 2 3" xfId="4316"/>
    <cellStyle name="Comma 11 16 14 3" xfId="4317"/>
    <cellStyle name="Comma 11 16 14 3 2" xfId="4318"/>
    <cellStyle name="Comma 11 16 14 4" xfId="4319"/>
    <cellStyle name="Comma 11 16 15" xfId="4320"/>
    <cellStyle name="Comma 11 16 15 2" xfId="4321"/>
    <cellStyle name="Comma 11 16 15 2 2" xfId="4322"/>
    <cellStyle name="Comma 11 16 15 2 2 2" xfId="4323"/>
    <cellStyle name="Comma 11 16 15 2 3" xfId="4324"/>
    <cellStyle name="Comma 11 16 15 3" xfId="4325"/>
    <cellStyle name="Comma 11 16 15 3 2" xfId="4326"/>
    <cellStyle name="Comma 11 16 15 4" xfId="4327"/>
    <cellStyle name="Comma 11 16 16" xfId="4328"/>
    <cellStyle name="Comma 11 16 16 2" xfId="4329"/>
    <cellStyle name="Comma 11 16 16 2 2" xfId="4330"/>
    <cellStyle name="Comma 11 16 16 3" xfId="4331"/>
    <cellStyle name="Comma 11 16 17" xfId="4332"/>
    <cellStyle name="Comma 11 16 17 2" xfId="4333"/>
    <cellStyle name="Comma 11 16 18" xfId="4334"/>
    <cellStyle name="Comma 11 16 2" xfId="4335"/>
    <cellStyle name="Comma 11 16 2 2" xfId="4336"/>
    <cellStyle name="Comma 11 16 2 2 2" xfId="4337"/>
    <cellStyle name="Comma 11 16 2 2 2 2" xfId="4338"/>
    <cellStyle name="Comma 11 16 2 2 2 2 2" xfId="4339"/>
    <cellStyle name="Comma 11 16 2 2 2 3" xfId="4340"/>
    <cellStyle name="Comma 11 16 2 2 3" xfId="4341"/>
    <cellStyle name="Comma 11 16 2 2 3 2" xfId="4342"/>
    <cellStyle name="Comma 11 16 2 2 4" xfId="4343"/>
    <cellStyle name="Comma 11 16 2 3" xfId="4344"/>
    <cellStyle name="Comma 11 16 2 3 2" xfId="4345"/>
    <cellStyle name="Comma 11 16 2 3 2 2" xfId="4346"/>
    <cellStyle name="Comma 11 16 2 3 2 2 2" xfId="4347"/>
    <cellStyle name="Comma 11 16 2 3 2 3" xfId="4348"/>
    <cellStyle name="Comma 11 16 2 3 3" xfId="4349"/>
    <cellStyle name="Comma 11 16 2 3 3 2" xfId="4350"/>
    <cellStyle name="Comma 11 16 2 3 4" xfId="4351"/>
    <cellStyle name="Comma 11 16 2 4" xfId="4352"/>
    <cellStyle name="Comma 11 16 2 4 2" xfId="4353"/>
    <cellStyle name="Comma 11 16 2 4 2 2" xfId="4354"/>
    <cellStyle name="Comma 11 16 2 4 3" xfId="4355"/>
    <cellStyle name="Comma 11 16 2 5" xfId="4356"/>
    <cellStyle name="Comma 11 16 2 5 2" xfId="4357"/>
    <cellStyle name="Comma 11 16 2 6" xfId="4358"/>
    <cellStyle name="Comma 11 16 3" xfId="4359"/>
    <cellStyle name="Comma 11 16 3 2" xfId="4360"/>
    <cellStyle name="Comma 11 16 3 2 2" xfId="4361"/>
    <cellStyle name="Comma 11 16 3 2 2 2" xfId="4362"/>
    <cellStyle name="Comma 11 16 3 2 2 2 2" xfId="4363"/>
    <cellStyle name="Comma 11 16 3 2 2 3" xfId="4364"/>
    <cellStyle name="Comma 11 16 3 2 3" xfId="4365"/>
    <cellStyle name="Comma 11 16 3 2 3 2" xfId="4366"/>
    <cellStyle name="Comma 11 16 3 2 4" xfId="4367"/>
    <cellStyle name="Comma 11 16 3 3" xfId="4368"/>
    <cellStyle name="Comma 11 16 3 3 2" xfId="4369"/>
    <cellStyle name="Comma 11 16 3 3 2 2" xfId="4370"/>
    <cellStyle name="Comma 11 16 3 3 2 2 2" xfId="4371"/>
    <cellStyle name="Comma 11 16 3 3 2 3" xfId="4372"/>
    <cellStyle name="Comma 11 16 3 3 3" xfId="4373"/>
    <cellStyle name="Comma 11 16 3 3 3 2" xfId="4374"/>
    <cellStyle name="Comma 11 16 3 3 4" xfId="4375"/>
    <cellStyle name="Comma 11 16 3 4" xfId="4376"/>
    <cellStyle name="Comma 11 16 3 4 2" xfId="4377"/>
    <cellStyle name="Comma 11 16 3 4 2 2" xfId="4378"/>
    <cellStyle name="Comma 11 16 3 4 3" xfId="4379"/>
    <cellStyle name="Comma 11 16 3 5" xfId="4380"/>
    <cellStyle name="Comma 11 16 3 5 2" xfId="4381"/>
    <cellStyle name="Comma 11 16 3 6" xfId="4382"/>
    <cellStyle name="Comma 11 16 4" xfId="4383"/>
    <cellStyle name="Comma 11 16 4 2" xfId="4384"/>
    <cellStyle name="Comma 11 16 4 2 2" xfId="4385"/>
    <cellStyle name="Comma 11 16 4 2 2 2" xfId="4386"/>
    <cellStyle name="Comma 11 16 4 2 2 2 2" xfId="4387"/>
    <cellStyle name="Comma 11 16 4 2 2 3" xfId="4388"/>
    <cellStyle name="Comma 11 16 4 2 3" xfId="4389"/>
    <cellStyle name="Comma 11 16 4 2 3 2" xfId="4390"/>
    <cellStyle name="Comma 11 16 4 2 4" xfId="4391"/>
    <cellStyle name="Comma 11 16 4 3" xfId="4392"/>
    <cellStyle name="Comma 11 16 4 3 2" xfId="4393"/>
    <cellStyle name="Comma 11 16 4 3 2 2" xfId="4394"/>
    <cellStyle name="Comma 11 16 4 3 2 2 2" xfId="4395"/>
    <cellStyle name="Comma 11 16 4 3 2 3" xfId="4396"/>
    <cellStyle name="Comma 11 16 4 3 3" xfId="4397"/>
    <cellStyle name="Comma 11 16 4 3 3 2" xfId="4398"/>
    <cellStyle name="Comma 11 16 4 3 4" xfId="4399"/>
    <cellStyle name="Comma 11 16 4 4" xfId="4400"/>
    <cellStyle name="Comma 11 16 4 4 2" xfId="4401"/>
    <cellStyle name="Comma 11 16 4 4 2 2" xfId="4402"/>
    <cellStyle name="Comma 11 16 4 4 3" xfId="4403"/>
    <cellStyle name="Comma 11 16 4 5" xfId="4404"/>
    <cellStyle name="Comma 11 16 4 5 2" xfId="4405"/>
    <cellStyle name="Comma 11 16 4 6" xfId="4406"/>
    <cellStyle name="Comma 11 16 5" xfId="4407"/>
    <cellStyle name="Comma 11 16 5 2" xfId="4408"/>
    <cellStyle name="Comma 11 16 5 2 2" xfId="4409"/>
    <cellStyle name="Comma 11 16 5 2 2 2" xfId="4410"/>
    <cellStyle name="Comma 11 16 5 2 2 2 2" xfId="4411"/>
    <cellStyle name="Comma 11 16 5 2 2 3" xfId="4412"/>
    <cellStyle name="Comma 11 16 5 2 3" xfId="4413"/>
    <cellStyle name="Comma 11 16 5 2 3 2" xfId="4414"/>
    <cellStyle name="Comma 11 16 5 2 4" xfId="4415"/>
    <cellStyle name="Comma 11 16 5 3" xfId="4416"/>
    <cellStyle name="Comma 11 16 5 3 2" xfId="4417"/>
    <cellStyle name="Comma 11 16 5 3 2 2" xfId="4418"/>
    <cellStyle name="Comma 11 16 5 3 2 2 2" xfId="4419"/>
    <cellStyle name="Comma 11 16 5 3 2 3" xfId="4420"/>
    <cellStyle name="Comma 11 16 5 3 3" xfId="4421"/>
    <cellStyle name="Comma 11 16 5 3 3 2" xfId="4422"/>
    <cellStyle name="Comma 11 16 5 3 4" xfId="4423"/>
    <cellStyle name="Comma 11 16 5 4" xfId="4424"/>
    <cellStyle name="Comma 11 16 5 4 2" xfId="4425"/>
    <cellStyle name="Comma 11 16 5 4 2 2" xfId="4426"/>
    <cellStyle name="Comma 11 16 5 4 3" xfId="4427"/>
    <cellStyle name="Comma 11 16 5 5" xfId="4428"/>
    <cellStyle name="Comma 11 16 5 5 2" xfId="4429"/>
    <cellStyle name="Comma 11 16 5 6" xfId="4430"/>
    <cellStyle name="Comma 11 16 6" xfId="4431"/>
    <cellStyle name="Comma 11 16 6 2" xfId="4432"/>
    <cellStyle name="Comma 11 16 6 2 2" xfId="4433"/>
    <cellStyle name="Comma 11 16 6 2 2 2" xfId="4434"/>
    <cellStyle name="Comma 11 16 6 2 2 2 2" xfId="4435"/>
    <cellStyle name="Comma 11 16 6 2 2 3" xfId="4436"/>
    <cellStyle name="Comma 11 16 6 2 3" xfId="4437"/>
    <cellStyle name="Comma 11 16 6 2 3 2" xfId="4438"/>
    <cellStyle name="Comma 11 16 6 2 4" xfId="4439"/>
    <cellStyle name="Comma 11 16 6 3" xfId="4440"/>
    <cellStyle name="Comma 11 16 6 3 2" xfId="4441"/>
    <cellStyle name="Comma 11 16 6 3 2 2" xfId="4442"/>
    <cellStyle name="Comma 11 16 6 3 2 2 2" xfId="4443"/>
    <cellStyle name="Comma 11 16 6 3 2 3" xfId="4444"/>
    <cellStyle name="Comma 11 16 6 3 3" xfId="4445"/>
    <cellStyle name="Comma 11 16 6 3 3 2" xfId="4446"/>
    <cellStyle name="Comma 11 16 6 3 4" xfId="4447"/>
    <cellStyle name="Comma 11 16 6 4" xfId="4448"/>
    <cellStyle name="Comma 11 16 6 4 2" xfId="4449"/>
    <cellStyle name="Comma 11 16 6 4 2 2" xfId="4450"/>
    <cellStyle name="Comma 11 16 6 4 3" xfId="4451"/>
    <cellStyle name="Comma 11 16 6 5" xfId="4452"/>
    <cellStyle name="Comma 11 16 6 5 2" xfId="4453"/>
    <cellStyle name="Comma 11 16 6 6" xfId="4454"/>
    <cellStyle name="Comma 11 16 7" xfId="4455"/>
    <cellStyle name="Comma 11 16 7 2" xfId="4456"/>
    <cellStyle name="Comma 11 16 7 2 2" xfId="4457"/>
    <cellStyle name="Comma 11 16 7 2 2 2" xfId="4458"/>
    <cellStyle name="Comma 11 16 7 2 2 2 2" xfId="4459"/>
    <cellStyle name="Comma 11 16 7 2 2 3" xfId="4460"/>
    <cellStyle name="Comma 11 16 7 2 3" xfId="4461"/>
    <cellStyle name="Comma 11 16 7 2 3 2" xfId="4462"/>
    <cellStyle name="Comma 11 16 7 2 4" xfId="4463"/>
    <cellStyle name="Comma 11 16 7 3" xfId="4464"/>
    <cellStyle name="Comma 11 16 7 3 2" xfId="4465"/>
    <cellStyle name="Comma 11 16 7 3 2 2" xfId="4466"/>
    <cellStyle name="Comma 11 16 7 3 2 2 2" xfId="4467"/>
    <cellStyle name="Comma 11 16 7 3 2 3" xfId="4468"/>
    <cellStyle name="Comma 11 16 7 3 3" xfId="4469"/>
    <cellStyle name="Comma 11 16 7 3 3 2" xfId="4470"/>
    <cellStyle name="Comma 11 16 7 3 4" xfId="4471"/>
    <cellStyle name="Comma 11 16 7 4" xfId="4472"/>
    <cellStyle name="Comma 11 16 7 4 2" xfId="4473"/>
    <cellStyle name="Comma 11 16 7 4 2 2" xfId="4474"/>
    <cellStyle name="Comma 11 16 7 4 3" xfId="4475"/>
    <cellStyle name="Comma 11 16 7 5" xfId="4476"/>
    <cellStyle name="Comma 11 16 7 5 2" xfId="4477"/>
    <cellStyle name="Comma 11 16 7 6" xfId="4478"/>
    <cellStyle name="Comma 11 16 8" xfId="4479"/>
    <cellStyle name="Comma 11 16 8 2" xfId="4480"/>
    <cellStyle name="Comma 11 16 8 2 2" xfId="4481"/>
    <cellStyle name="Comma 11 16 8 2 2 2" xfId="4482"/>
    <cellStyle name="Comma 11 16 8 2 2 2 2" xfId="4483"/>
    <cellStyle name="Comma 11 16 8 2 2 3" xfId="4484"/>
    <cellStyle name="Comma 11 16 8 2 3" xfId="4485"/>
    <cellStyle name="Comma 11 16 8 2 3 2" xfId="4486"/>
    <cellStyle name="Comma 11 16 8 2 4" xfId="4487"/>
    <cellStyle name="Comma 11 16 8 3" xfId="4488"/>
    <cellStyle name="Comma 11 16 8 3 2" xfId="4489"/>
    <cellStyle name="Comma 11 16 8 3 2 2" xfId="4490"/>
    <cellStyle name="Comma 11 16 8 3 2 2 2" xfId="4491"/>
    <cellStyle name="Comma 11 16 8 3 2 3" xfId="4492"/>
    <cellStyle name="Comma 11 16 8 3 3" xfId="4493"/>
    <cellStyle name="Comma 11 16 8 3 3 2" xfId="4494"/>
    <cellStyle name="Comma 11 16 8 3 4" xfId="4495"/>
    <cellStyle name="Comma 11 16 8 4" xfId="4496"/>
    <cellStyle name="Comma 11 16 8 4 2" xfId="4497"/>
    <cellStyle name="Comma 11 16 8 4 2 2" xfId="4498"/>
    <cellStyle name="Comma 11 16 8 4 3" xfId="4499"/>
    <cellStyle name="Comma 11 16 8 5" xfId="4500"/>
    <cellStyle name="Comma 11 16 8 5 2" xfId="4501"/>
    <cellStyle name="Comma 11 16 8 6" xfId="4502"/>
    <cellStyle name="Comma 11 16 9" xfId="4503"/>
    <cellStyle name="Comma 11 16 9 2" xfId="4504"/>
    <cellStyle name="Comma 11 16 9 2 2" xfId="4505"/>
    <cellStyle name="Comma 11 16 9 2 2 2" xfId="4506"/>
    <cellStyle name="Comma 11 16 9 2 2 2 2" xfId="4507"/>
    <cellStyle name="Comma 11 16 9 2 2 3" xfId="4508"/>
    <cellStyle name="Comma 11 16 9 2 3" xfId="4509"/>
    <cellStyle name="Comma 11 16 9 2 3 2" xfId="4510"/>
    <cellStyle name="Comma 11 16 9 2 4" xfId="4511"/>
    <cellStyle name="Comma 11 16 9 3" xfId="4512"/>
    <cellStyle name="Comma 11 16 9 3 2" xfId="4513"/>
    <cellStyle name="Comma 11 16 9 3 2 2" xfId="4514"/>
    <cellStyle name="Comma 11 16 9 3 2 2 2" xfId="4515"/>
    <cellStyle name="Comma 11 16 9 3 2 3" xfId="4516"/>
    <cellStyle name="Comma 11 16 9 3 3" xfId="4517"/>
    <cellStyle name="Comma 11 16 9 3 3 2" xfId="4518"/>
    <cellStyle name="Comma 11 16 9 3 4" xfId="4519"/>
    <cellStyle name="Comma 11 16 9 4" xfId="4520"/>
    <cellStyle name="Comma 11 16 9 4 2" xfId="4521"/>
    <cellStyle name="Comma 11 16 9 4 2 2" xfId="4522"/>
    <cellStyle name="Comma 11 16 9 4 3" xfId="4523"/>
    <cellStyle name="Comma 11 16 9 5" xfId="4524"/>
    <cellStyle name="Comma 11 16 9 5 2" xfId="4525"/>
    <cellStyle name="Comma 11 16 9 6" xfId="4526"/>
    <cellStyle name="Comma 11 17" xfId="4527"/>
    <cellStyle name="Comma 11 17 10" xfId="4528"/>
    <cellStyle name="Comma 11 17 10 2" xfId="4529"/>
    <cellStyle name="Comma 11 17 10 2 2" xfId="4530"/>
    <cellStyle name="Comma 11 17 10 2 2 2" xfId="4531"/>
    <cellStyle name="Comma 11 17 10 2 2 2 2" xfId="4532"/>
    <cellStyle name="Comma 11 17 10 2 2 3" xfId="4533"/>
    <cellStyle name="Comma 11 17 10 2 3" xfId="4534"/>
    <cellStyle name="Comma 11 17 10 2 3 2" xfId="4535"/>
    <cellStyle name="Comma 11 17 10 2 4" xfId="4536"/>
    <cellStyle name="Comma 11 17 10 3" xfId="4537"/>
    <cellStyle name="Comma 11 17 10 3 2" xfId="4538"/>
    <cellStyle name="Comma 11 17 10 3 2 2" xfId="4539"/>
    <cellStyle name="Comma 11 17 10 3 2 2 2" xfId="4540"/>
    <cellStyle name="Comma 11 17 10 3 2 3" xfId="4541"/>
    <cellStyle name="Comma 11 17 10 3 3" xfId="4542"/>
    <cellStyle name="Comma 11 17 10 3 3 2" xfId="4543"/>
    <cellStyle name="Comma 11 17 10 3 4" xfId="4544"/>
    <cellStyle name="Comma 11 17 10 4" xfId="4545"/>
    <cellStyle name="Comma 11 17 10 4 2" xfId="4546"/>
    <cellStyle name="Comma 11 17 10 4 2 2" xfId="4547"/>
    <cellStyle name="Comma 11 17 10 4 3" xfId="4548"/>
    <cellStyle name="Comma 11 17 10 5" xfId="4549"/>
    <cellStyle name="Comma 11 17 10 5 2" xfId="4550"/>
    <cellStyle name="Comma 11 17 10 6" xfId="4551"/>
    <cellStyle name="Comma 11 17 11" xfId="4552"/>
    <cellStyle name="Comma 11 17 11 2" xfId="4553"/>
    <cellStyle name="Comma 11 17 11 2 2" xfId="4554"/>
    <cellStyle name="Comma 11 17 11 2 2 2" xfId="4555"/>
    <cellStyle name="Comma 11 17 11 2 2 2 2" xfId="4556"/>
    <cellStyle name="Comma 11 17 11 2 2 3" xfId="4557"/>
    <cellStyle name="Comma 11 17 11 2 3" xfId="4558"/>
    <cellStyle name="Comma 11 17 11 2 3 2" xfId="4559"/>
    <cellStyle name="Comma 11 17 11 2 4" xfId="4560"/>
    <cellStyle name="Comma 11 17 11 3" xfId="4561"/>
    <cellStyle name="Comma 11 17 11 3 2" xfId="4562"/>
    <cellStyle name="Comma 11 17 11 3 2 2" xfId="4563"/>
    <cellStyle name="Comma 11 17 11 3 2 2 2" xfId="4564"/>
    <cellStyle name="Comma 11 17 11 3 2 3" xfId="4565"/>
    <cellStyle name="Comma 11 17 11 3 3" xfId="4566"/>
    <cellStyle name="Comma 11 17 11 3 3 2" xfId="4567"/>
    <cellStyle name="Comma 11 17 11 3 4" xfId="4568"/>
    <cellStyle name="Comma 11 17 11 4" xfId="4569"/>
    <cellStyle name="Comma 11 17 11 4 2" xfId="4570"/>
    <cellStyle name="Comma 11 17 11 4 2 2" xfId="4571"/>
    <cellStyle name="Comma 11 17 11 4 3" xfId="4572"/>
    <cellStyle name="Comma 11 17 11 5" xfId="4573"/>
    <cellStyle name="Comma 11 17 11 5 2" xfId="4574"/>
    <cellStyle name="Comma 11 17 11 6" xfId="4575"/>
    <cellStyle name="Comma 11 17 12" xfId="4576"/>
    <cellStyle name="Comma 11 17 12 2" xfId="4577"/>
    <cellStyle name="Comma 11 17 12 2 2" xfId="4578"/>
    <cellStyle name="Comma 11 17 12 2 2 2" xfId="4579"/>
    <cellStyle name="Comma 11 17 12 2 2 2 2" xfId="4580"/>
    <cellStyle name="Comma 11 17 12 2 2 3" xfId="4581"/>
    <cellStyle name="Comma 11 17 12 2 3" xfId="4582"/>
    <cellStyle name="Comma 11 17 12 2 3 2" xfId="4583"/>
    <cellStyle name="Comma 11 17 12 2 4" xfId="4584"/>
    <cellStyle name="Comma 11 17 12 3" xfId="4585"/>
    <cellStyle name="Comma 11 17 12 3 2" xfId="4586"/>
    <cellStyle name="Comma 11 17 12 3 2 2" xfId="4587"/>
    <cellStyle name="Comma 11 17 12 3 2 2 2" xfId="4588"/>
    <cellStyle name="Comma 11 17 12 3 2 3" xfId="4589"/>
    <cellStyle name="Comma 11 17 12 3 3" xfId="4590"/>
    <cellStyle name="Comma 11 17 12 3 3 2" xfId="4591"/>
    <cellStyle name="Comma 11 17 12 3 4" xfId="4592"/>
    <cellStyle name="Comma 11 17 12 4" xfId="4593"/>
    <cellStyle name="Comma 11 17 12 4 2" xfId="4594"/>
    <cellStyle name="Comma 11 17 12 4 2 2" xfId="4595"/>
    <cellStyle name="Comma 11 17 12 4 3" xfId="4596"/>
    <cellStyle name="Comma 11 17 12 5" xfId="4597"/>
    <cellStyle name="Comma 11 17 12 5 2" xfId="4598"/>
    <cellStyle name="Comma 11 17 12 6" xfId="4599"/>
    <cellStyle name="Comma 11 17 13" xfId="4600"/>
    <cellStyle name="Comma 11 17 13 2" xfId="4601"/>
    <cellStyle name="Comma 11 17 13 2 2" xfId="4602"/>
    <cellStyle name="Comma 11 17 13 2 2 2" xfId="4603"/>
    <cellStyle name="Comma 11 17 13 2 2 2 2" xfId="4604"/>
    <cellStyle name="Comma 11 17 13 2 2 3" xfId="4605"/>
    <cellStyle name="Comma 11 17 13 2 3" xfId="4606"/>
    <cellStyle name="Comma 11 17 13 2 3 2" xfId="4607"/>
    <cellStyle name="Comma 11 17 13 2 4" xfId="4608"/>
    <cellStyle name="Comma 11 17 13 3" xfId="4609"/>
    <cellStyle name="Comma 11 17 13 3 2" xfId="4610"/>
    <cellStyle name="Comma 11 17 13 3 2 2" xfId="4611"/>
    <cellStyle name="Comma 11 17 13 3 2 2 2" xfId="4612"/>
    <cellStyle name="Comma 11 17 13 3 2 3" xfId="4613"/>
    <cellStyle name="Comma 11 17 13 3 3" xfId="4614"/>
    <cellStyle name="Comma 11 17 13 3 3 2" xfId="4615"/>
    <cellStyle name="Comma 11 17 13 3 4" xfId="4616"/>
    <cellStyle name="Comma 11 17 13 4" xfId="4617"/>
    <cellStyle name="Comma 11 17 13 4 2" xfId="4618"/>
    <cellStyle name="Comma 11 17 13 4 2 2" xfId="4619"/>
    <cellStyle name="Comma 11 17 13 4 3" xfId="4620"/>
    <cellStyle name="Comma 11 17 13 5" xfId="4621"/>
    <cellStyle name="Comma 11 17 13 5 2" xfId="4622"/>
    <cellStyle name="Comma 11 17 13 6" xfId="4623"/>
    <cellStyle name="Comma 11 17 14" xfId="4624"/>
    <cellStyle name="Comma 11 17 14 2" xfId="4625"/>
    <cellStyle name="Comma 11 17 14 2 2" xfId="4626"/>
    <cellStyle name="Comma 11 17 14 2 2 2" xfId="4627"/>
    <cellStyle name="Comma 11 17 14 2 3" xfId="4628"/>
    <cellStyle name="Comma 11 17 14 3" xfId="4629"/>
    <cellStyle name="Comma 11 17 14 3 2" xfId="4630"/>
    <cellStyle name="Comma 11 17 14 4" xfId="4631"/>
    <cellStyle name="Comma 11 17 15" xfId="4632"/>
    <cellStyle name="Comma 11 17 15 2" xfId="4633"/>
    <cellStyle name="Comma 11 17 15 2 2" xfId="4634"/>
    <cellStyle name="Comma 11 17 15 2 2 2" xfId="4635"/>
    <cellStyle name="Comma 11 17 15 2 3" xfId="4636"/>
    <cellStyle name="Comma 11 17 15 3" xfId="4637"/>
    <cellStyle name="Comma 11 17 15 3 2" xfId="4638"/>
    <cellStyle name="Comma 11 17 15 4" xfId="4639"/>
    <cellStyle name="Comma 11 17 16" xfId="4640"/>
    <cellStyle name="Comma 11 17 16 2" xfId="4641"/>
    <cellStyle name="Comma 11 17 16 2 2" xfId="4642"/>
    <cellStyle name="Comma 11 17 16 3" xfId="4643"/>
    <cellStyle name="Comma 11 17 17" xfId="4644"/>
    <cellStyle name="Comma 11 17 17 2" xfId="4645"/>
    <cellStyle name="Comma 11 17 18" xfId="4646"/>
    <cellStyle name="Comma 11 17 2" xfId="4647"/>
    <cellStyle name="Comma 11 17 2 2" xfId="4648"/>
    <cellStyle name="Comma 11 17 2 2 2" xfId="4649"/>
    <cellStyle name="Comma 11 17 2 2 2 2" xfId="4650"/>
    <cellStyle name="Comma 11 17 2 2 2 2 2" xfId="4651"/>
    <cellStyle name="Comma 11 17 2 2 2 3" xfId="4652"/>
    <cellStyle name="Comma 11 17 2 2 3" xfId="4653"/>
    <cellStyle name="Comma 11 17 2 2 3 2" xfId="4654"/>
    <cellStyle name="Comma 11 17 2 2 4" xfId="4655"/>
    <cellStyle name="Comma 11 17 2 3" xfId="4656"/>
    <cellStyle name="Comma 11 17 2 3 2" xfId="4657"/>
    <cellStyle name="Comma 11 17 2 3 2 2" xfId="4658"/>
    <cellStyle name="Comma 11 17 2 3 2 2 2" xfId="4659"/>
    <cellStyle name="Comma 11 17 2 3 2 3" xfId="4660"/>
    <cellStyle name="Comma 11 17 2 3 3" xfId="4661"/>
    <cellStyle name="Comma 11 17 2 3 3 2" xfId="4662"/>
    <cellStyle name="Comma 11 17 2 3 4" xfId="4663"/>
    <cellStyle name="Comma 11 17 2 4" xfId="4664"/>
    <cellStyle name="Comma 11 17 2 4 2" xfId="4665"/>
    <cellStyle name="Comma 11 17 2 4 2 2" xfId="4666"/>
    <cellStyle name="Comma 11 17 2 4 3" xfId="4667"/>
    <cellStyle name="Comma 11 17 2 5" xfId="4668"/>
    <cellStyle name="Comma 11 17 2 5 2" xfId="4669"/>
    <cellStyle name="Comma 11 17 2 6" xfId="4670"/>
    <cellStyle name="Comma 11 17 3" xfId="4671"/>
    <cellStyle name="Comma 11 17 3 2" xfId="4672"/>
    <cellStyle name="Comma 11 17 3 2 2" xfId="4673"/>
    <cellStyle name="Comma 11 17 3 2 2 2" xfId="4674"/>
    <cellStyle name="Comma 11 17 3 2 2 2 2" xfId="4675"/>
    <cellStyle name="Comma 11 17 3 2 2 3" xfId="4676"/>
    <cellStyle name="Comma 11 17 3 2 3" xfId="4677"/>
    <cellStyle name="Comma 11 17 3 2 3 2" xfId="4678"/>
    <cellStyle name="Comma 11 17 3 2 4" xfId="4679"/>
    <cellStyle name="Comma 11 17 3 3" xfId="4680"/>
    <cellStyle name="Comma 11 17 3 3 2" xfId="4681"/>
    <cellStyle name="Comma 11 17 3 3 2 2" xfId="4682"/>
    <cellStyle name="Comma 11 17 3 3 2 2 2" xfId="4683"/>
    <cellStyle name="Comma 11 17 3 3 2 3" xfId="4684"/>
    <cellStyle name="Comma 11 17 3 3 3" xfId="4685"/>
    <cellStyle name="Comma 11 17 3 3 3 2" xfId="4686"/>
    <cellStyle name="Comma 11 17 3 3 4" xfId="4687"/>
    <cellStyle name="Comma 11 17 3 4" xfId="4688"/>
    <cellStyle name="Comma 11 17 3 4 2" xfId="4689"/>
    <cellStyle name="Comma 11 17 3 4 2 2" xfId="4690"/>
    <cellStyle name="Comma 11 17 3 4 3" xfId="4691"/>
    <cellStyle name="Comma 11 17 3 5" xfId="4692"/>
    <cellStyle name="Comma 11 17 3 5 2" xfId="4693"/>
    <cellStyle name="Comma 11 17 3 6" xfId="4694"/>
    <cellStyle name="Comma 11 17 4" xfId="4695"/>
    <cellStyle name="Comma 11 17 4 2" xfId="4696"/>
    <cellStyle name="Comma 11 17 4 2 2" xfId="4697"/>
    <cellStyle name="Comma 11 17 4 2 2 2" xfId="4698"/>
    <cellStyle name="Comma 11 17 4 2 2 2 2" xfId="4699"/>
    <cellStyle name="Comma 11 17 4 2 2 3" xfId="4700"/>
    <cellStyle name="Comma 11 17 4 2 3" xfId="4701"/>
    <cellStyle name="Comma 11 17 4 2 3 2" xfId="4702"/>
    <cellStyle name="Comma 11 17 4 2 4" xfId="4703"/>
    <cellStyle name="Comma 11 17 4 3" xfId="4704"/>
    <cellStyle name="Comma 11 17 4 3 2" xfId="4705"/>
    <cellStyle name="Comma 11 17 4 3 2 2" xfId="4706"/>
    <cellStyle name="Comma 11 17 4 3 2 2 2" xfId="4707"/>
    <cellStyle name="Comma 11 17 4 3 2 3" xfId="4708"/>
    <cellStyle name="Comma 11 17 4 3 3" xfId="4709"/>
    <cellStyle name="Comma 11 17 4 3 3 2" xfId="4710"/>
    <cellStyle name="Comma 11 17 4 3 4" xfId="4711"/>
    <cellStyle name="Comma 11 17 4 4" xfId="4712"/>
    <cellStyle name="Comma 11 17 4 4 2" xfId="4713"/>
    <cellStyle name="Comma 11 17 4 4 2 2" xfId="4714"/>
    <cellStyle name="Comma 11 17 4 4 3" xfId="4715"/>
    <cellStyle name="Comma 11 17 4 5" xfId="4716"/>
    <cellStyle name="Comma 11 17 4 5 2" xfId="4717"/>
    <cellStyle name="Comma 11 17 4 6" xfId="4718"/>
    <cellStyle name="Comma 11 17 5" xfId="4719"/>
    <cellStyle name="Comma 11 17 5 2" xfId="4720"/>
    <cellStyle name="Comma 11 17 5 2 2" xfId="4721"/>
    <cellStyle name="Comma 11 17 5 2 2 2" xfId="4722"/>
    <cellStyle name="Comma 11 17 5 2 2 2 2" xfId="4723"/>
    <cellStyle name="Comma 11 17 5 2 2 2 2 2" xfId="4724"/>
    <cellStyle name="Comma 11 17 5 2 2 3" xfId="4725"/>
    <cellStyle name="Comma 11 17 5 2 3" xfId="4726"/>
    <cellStyle name="Comma 11 17 5 2 3 2" xfId="4727"/>
    <cellStyle name="Comma 11 17 5 2 4" xfId="4728"/>
    <cellStyle name="Comma 11 17 5 3" xfId="4729"/>
    <cellStyle name="Comma 11 17 5 3 2" xfId="4730"/>
    <cellStyle name="Comma 11 17 5 3 2 2" xfId="4731"/>
    <cellStyle name="Comma 11 17 5 3 2 2 2" xfId="4732"/>
    <cellStyle name="Comma 11 17 5 3 2 3" xfId="4733"/>
    <cellStyle name="Comma 11 17 5 3 3" xfId="4734"/>
    <cellStyle name="Comma 11 17 5 3 3 2" xfId="4735"/>
    <cellStyle name="Comma 11 17 5 3 4" xfId="4736"/>
    <cellStyle name="Comma 11 17 5 4" xfId="4737"/>
    <cellStyle name="Comma 11 17 5 4 2" xfId="4738"/>
    <cellStyle name="Comma 11 17 5 4 2 2" xfId="4739"/>
    <cellStyle name="Comma 11 17 5 4 3" xfId="4740"/>
    <cellStyle name="Comma 11 17 5 5" xfId="4741"/>
    <cellStyle name="Comma 11 17 5 5 2" xfId="4742"/>
    <cellStyle name="Comma 11 17 5 6" xfId="4743"/>
    <cellStyle name="Comma 11 17 6" xfId="4744"/>
    <cellStyle name="Comma 11 17 6 2" xfId="4745"/>
    <cellStyle name="Comma 11 17 6 2 2" xfId="4746"/>
    <cellStyle name="Comma 11 17 6 2 2 2" xfId="4747"/>
    <cellStyle name="Comma 11 17 6 2 2 2 2" xfId="4748"/>
    <cellStyle name="Comma 11 17 6 2 2 3" xfId="4749"/>
    <cellStyle name="Comma 11 17 6 2 3" xfId="4750"/>
    <cellStyle name="Comma 11 17 6 2 3 2" xfId="4751"/>
    <cellStyle name="Comma 11 17 6 2 4" xfId="4752"/>
    <cellStyle name="Comma 11 17 6 3" xfId="4753"/>
    <cellStyle name="Comma 11 17 6 3 2" xfId="4754"/>
    <cellStyle name="Comma 11 17 6 3 2 2" xfId="4755"/>
    <cellStyle name="Comma 11 17 6 3 2 2 2" xfId="4756"/>
    <cellStyle name="Comma 11 17 6 3 2 3" xfId="4757"/>
    <cellStyle name="Comma 11 17 6 3 3" xfId="4758"/>
    <cellStyle name="Comma 11 17 6 3 3 2" xfId="4759"/>
    <cellStyle name="Comma 11 17 6 3 4" xfId="4760"/>
    <cellStyle name="Comma 11 17 6 4" xfId="4761"/>
    <cellStyle name="Comma 11 17 6 4 2" xfId="4762"/>
    <cellStyle name="Comma 11 17 6 4 2 2" xfId="4763"/>
    <cellStyle name="Comma 11 17 6 4 3" xfId="4764"/>
    <cellStyle name="Comma 11 17 6 5" xfId="4765"/>
    <cellStyle name="Comma 11 17 6 5 2" xfId="4766"/>
    <cellStyle name="Comma 11 17 6 6" xfId="4767"/>
    <cellStyle name="Comma 11 17 7" xfId="4768"/>
    <cellStyle name="Comma 11 17 7 2" xfId="4769"/>
    <cellStyle name="Comma 11 17 7 2 2" xfId="4770"/>
    <cellStyle name="Comma 11 17 7 2 2 2" xfId="4771"/>
    <cellStyle name="Comma 11 17 7 2 2 2 2" xfId="4772"/>
    <cellStyle name="Comma 11 17 7 2 2 3" xfId="4773"/>
    <cellStyle name="Comma 11 17 7 2 3" xfId="4774"/>
    <cellStyle name="Comma 11 17 7 2 3 2" xfId="4775"/>
    <cellStyle name="Comma 11 17 7 2 4" xfId="4776"/>
    <cellStyle name="Comma 11 17 7 3" xfId="4777"/>
    <cellStyle name="Comma 11 17 7 3 2" xfId="4778"/>
    <cellStyle name="Comma 11 17 7 3 2 2" xfId="4779"/>
    <cellStyle name="Comma 11 17 7 3 2 2 2" xfId="4780"/>
    <cellStyle name="Comma 11 17 7 3 2 3" xfId="4781"/>
    <cellStyle name="Comma 11 17 7 3 3" xfId="4782"/>
    <cellStyle name="Comma 11 17 7 3 3 2" xfId="4783"/>
    <cellStyle name="Comma 11 17 7 3 4" xfId="4784"/>
    <cellStyle name="Comma 11 17 7 4" xfId="4785"/>
    <cellStyle name="Comma 11 17 7 4 2" xfId="4786"/>
    <cellStyle name="Comma 11 17 7 4 2 2" xfId="4787"/>
    <cellStyle name="Comma 11 17 7 4 3" xfId="4788"/>
    <cellStyle name="Comma 11 17 7 5" xfId="4789"/>
    <cellStyle name="Comma 11 17 7 5 2" xfId="4790"/>
    <cellStyle name="Comma 11 17 7 6" xfId="4791"/>
    <cellStyle name="Comma 11 17 8" xfId="4792"/>
    <cellStyle name="Comma 11 17 8 2" xfId="4793"/>
    <cellStyle name="Comma 11 17 8 2 2" xfId="4794"/>
    <cellStyle name="Comma 11 17 8 2 2 2" xfId="4795"/>
    <cellStyle name="Comma 11 17 8 2 2 2 2" xfId="4796"/>
    <cellStyle name="Comma 11 17 8 2 2 3" xfId="4797"/>
    <cellStyle name="Comma 11 17 8 2 3" xfId="4798"/>
    <cellStyle name="Comma 11 17 8 2 3 2" xfId="4799"/>
    <cellStyle name="Comma 11 17 8 2 4" xfId="4800"/>
    <cellStyle name="Comma 11 17 8 3" xfId="4801"/>
    <cellStyle name="Comma 11 17 8 3 2" xfId="4802"/>
    <cellStyle name="Comma 11 17 8 3 2 2" xfId="4803"/>
    <cellStyle name="Comma 11 17 8 3 2 2 2" xfId="4804"/>
    <cellStyle name="Comma 11 17 8 3 2 3" xfId="4805"/>
    <cellStyle name="Comma 11 17 8 3 3" xfId="4806"/>
    <cellStyle name="Comma 11 17 8 3 3 2" xfId="4807"/>
    <cellStyle name="Comma 11 17 8 3 4" xfId="4808"/>
    <cellStyle name="Comma 11 17 8 4" xfId="4809"/>
    <cellStyle name="Comma 11 17 8 4 2" xfId="4810"/>
    <cellStyle name="Comma 11 17 8 4 2 2" xfId="4811"/>
    <cellStyle name="Comma 11 17 8 4 3" xfId="4812"/>
    <cellStyle name="Comma 11 17 8 5" xfId="4813"/>
    <cellStyle name="Comma 11 17 8 5 2" xfId="4814"/>
    <cellStyle name="Comma 11 17 8 6" xfId="4815"/>
    <cellStyle name="Comma 11 17 9" xfId="4816"/>
    <cellStyle name="Comma 11 17 9 2" xfId="4817"/>
    <cellStyle name="Comma 11 17 9 2 2" xfId="4818"/>
    <cellStyle name="Comma 11 17 9 2 2 2" xfId="4819"/>
    <cellStyle name="Comma 11 17 9 2 2 2 2" xfId="4820"/>
    <cellStyle name="Comma 11 17 9 2 2 3" xfId="4821"/>
    <cellStyle name="Comma 11 17 9 2 3" xfId="4822"/>
    <cellStyle name="Comma 11 17 9 2 3 2" xfId="4823"/>
    <cellStyle name="Comma 11 17 9 2 4" xfId="4824"/>
    <cellStyle name="Comma 11 17 9 3" xfId="4825"/>
    <cellStyle name="Comma 11 17 9 3 2" xfId="4826"/>
    <cellStyle name="Comma 11 17 9 3 2 2" xfId="4827"/>
    <cellStyle name="Comma 11 17 9 3 2 2 2" xfId="4828"/>
    <cellStyle name="Comma 11 17 9 3 2 3" xfId="4829"/>
    <cellStyle name="Comma 11 17 9 3 3" xfId="4830"/>
    <cellStyle name="Comma 11 17 9 3 3 2" xfId="4831"/>
    <cellStyle name="Comma 11 17 9 3 4" xfId="4832"/>
    <cellStyle name="Comma 11 17 9 4" xfId="4833"/>
    <cellStyle name="Comma 11 17 9 4 2" xfId="4834"/>
    <cellStyle name="Comma 11 17 9 4 2 2" xfId="4835"/>
    <cellStyle name="Comma 11 17 9 4 3" xfId="4836"/>
    <cellStyle name="Comma 11 17 9 5" xfId="4837"/>
    <cellStyle name="Comma 11 17 9 5 2" xfId="4838"/>
    <cellStyle name="Comma 11 17 9 6" xfId="4839"/>
    <cellStyle name="Comma 11 18" xfId="4840"/>
    <cellStyle name="Comma 11 18 10" xfId="4841"/>
    <cellStyle name="Comma 11 18 10 2" xfId="4842"/>
    <cellStyle name="Comma 11 18 10 2 2" xfId="4843"/>
    <cellStyle name="Comma 11 18 10 2 2 2" xfId="4844"/>
    <cellStyle name="Comma 11 18 10 2 2 2 2" xfId="4845"/>
    <cellStyle name="Comma 11 18 10 2 2 3" xfId="4846"/>
    <cellStyle name="Comma 11 18 10 2 3" xfId="4847"/>
    <cellStyle name="Comma 11 18 10 2 3 2" xfId="4848"/>
    <cellStyle name="Comma 11 18 10 2 4" xfId="4849"/>
    <cellStyle name="Comma 11 18 10 3" xfId="4850"/>
    <cellStyle name="Comma 11 18 10 3 2" xfId="4851"/>
    <cellStyle name="Comma 11 18 10 3 2 2" xfId="4852"/>
    <cellStyle name="Comma 11 18 10 3 2 2 2" xfId="4853"/>
    <cellStyle name="Comma 11 18 10 3 2 3" xfId="4854"/>
    <cellStyle name="Comma 11 18 10 3 3" xfId="4855"/>
    <cellStyle name="Comma 11 18 10 3 3 2" xfId="4856"/>
    <cellStyle name="Comma 11 18 10 3 4" xfId="4857"/>
    <cellStyle name="Comma 11 18 10 4" xfId="4858"/>
    <cellStyle name="Comma 11 18 10 4 2" xfId="4859"/>
    <cellStyle name="Comma 11 18 10 4 2 2" xfId="4860"/>
    <cellStyle name="Comma 11 18 10 4 3" xfId="4861"/>
    <cellStyle name="Comma 11 18 10 5" xfId="4862"/>
    <cellStyle name="Comma 11 18 10 5 2" xfId="4863"/>
    <cellStyle name="Comma 11 18 10 6" xfId="4864"/>
    <cellStyle name="Comma 11 18 11" xfId="4865"/>
    <cellStyle name="Comma 11 18 11 2" xfId="4866"/>
    <cellStyle name="Comma 11 18 11 2 2" xfId="4867"/>
    <cellStyle name="Comma 11 18 11 2 2 2" xfId="4868"/>
    <cellStyle name="Comma 11 18 11 2 2 2 2" xfId="4869"/>
    <cellStyle name="Comma 11 18 11 2 2 3" xfId="4870"/>
    <cellStyle name="Comma 11 18 11 2 3" xfId="4871"/>
    <cellStyle name="Comma 11 18 11 2 3 2" xfId="4872"/>
    <cellStyle name="Comma 11 18 11 2 4" xfId="4873"/>
    <cellStyle name="Comma 11 18 11 3" xfId="4874"/>
    <cellStyle name="Comma 11 18 11 3 2" xfId="4875"/>
    <cellStyle name="Comma 11 18 11 3 2 2" xfId="4876"/>
    <cellStyle name="Comma 11 18 11 3 2 2 2" xfId="4877"/>
    <cellStyle name="Comma 11 18 11 3 2 3" xfId="4878"/>
    <cellStyle name="Comma 11 18 11 3 3" xfId="4879"/>
    <cellStyle name="Comma 11 18 11 3 3 2" xfId="4880"/>
    <cellStyle name="Comma 11 18 11 3 4" xfId="4881"/>
    <cellStyle name="Comma 11 18 11 4" xfId="4882"/>
    <cellStyle name="Comma 11 18 11 4 2" xfId="4883"/>
    <cellStyle name="Comma 11 18 11 4 2 2" xfId="4884"/>
    <cellStyle name="Comma 11 18 11 4 3" xfId="4885"/>
    <cellStyle name="Comma 11 18 11 5" xfId="4886"/>
    <cellStyle name="Comma 11 18 11 5 2" xfId="4887"/>
    <cellStyle name="Comma 11 18 11 6" xfId="4888"/>
    <cellStyle name="Comma 11 18 12" xfId="4889"/>
    <cellStyle name="Comma 11 18 12 2" xfId="4890"/>
    <cellStyle name="Comma 11 18 12 2 2" xfId="4891"/>
    <cellStyle name="Comma 11 18 12 2 2 2" xfId="4892"/>
    <cellStyle name="Comma 11 18 12 2 2 2 2" xfId="4893"/>
    <cellStyle name="Comma 11 18 12 2 2 3" xfId="4894"/>
    <cellStyle name="Comma 11 18 12 2 3" xfId="4895"/>
    <cellStyle name="Comma 11 18 12 2 3 2" xfId="4896"/>
    <cellStyle name="Comma 11 18 12 2 4" xfId="4897"/>
    <cellStyle name="Comma 11 18 12 3" xfId="4898"/>
    <cellStyle name="Comma 11 18 12 3 2" xfId="4899"/>
    <cellStyle name="Comma 11 18 12 3 2 2" xfId="4900"/>
    <cellStyle name="Comma 11 18 12 3 2 2 2" xfId="4901"/>
    <cellStyle name="Comma 11 18 12 3 2 3" xfId="4902"/>
    <cellStyle name="Comma 11 18 12 3 3" xfId="4903"/>
    <cellStyle name="Comma 11 18 12 3 3 2" xfId="4904"/>
    <cellStyle name="Comma 11 18 12 3 4" xfId="4905"/>
    <cellStyle name="Comma 11 18 12 4" xfId="4906"/>
    <cellStyle name="Comma 11 18 12 4 2" xfId="4907"/>
    <cellStyle name="Comma 11 18 12 4 2 2" xfId="4908"/>
    <cellStyle name="Comma 11 18 12 4 3" xfId="4909"/>
    <cellStyle name="Comma 11 18 12 5" xfId="4910"/>
    <cellStyle name="Comma 11 18 12 5 2" xfId="4911"/>
    <cellStyle name="Comma 11 18 12 6" xfId="4912"/>
    <cellStyle name="Comma 11 18 13" xfId="4913"/>
    <cellStyle name="Comma 11 18 13 2" xfId="4914"/>
    <cellStyle name="Comma 11 18 13 2 2" xfId="4915"/>
    <cellStyle name="Comma 11 18 13 2 2 2" xfId="4916"/>
    <cellStyle name="Comma 11 18 13 2 2 2 2" xfId="4917"/>
    <cellStyle name="Comma 11 18 13 2 2 3" xfId="4918"/>
    <cellStyle name="Comma 11 18 13 2 3" xfId="4919"/>
    <cellStyle name="Comma 11 18 13 2 3 2" xfId="4920"/>
    <cellStyle name="Comma 11 18 13 2 4" xfId="4921"/>
    <cellStyle name="Comma 11 18 13 3" xfId="4922"/>
    <cellStyle name="Comma 11 18 13 3 2" xfId="4923"/>
    <cellStyle name="Comma 11 18 13 3 2 2" xfId="4924"/>
    <cellStyle name="Comma 11 18 13 3 2 2 2" xfId="4925"/>
    <cellStyle name="Comma 11 18 13 3 2 3" xfId="4926"/>
    <cellStyle name="Comma 11 18 13 3 3" xfId="4927"/>
    <cellStyle name="Comma 11 18 13 3 3 2" xfId="4928"/>
    <cellStyle name="Comma 11 18 13 3 4" xfId="4929"/>
    <cellStyle name="Comma 11 18 13 4" xfId="4930"/>
    <cellStyle name="Comma 11 18 13 4 2" xfId="4931"/>
    <cellStyle name="Comma 11 18 13 4 2 2" xfId="4932"/>
    <cellStyle name="Comma 11 18 13 4 3" xfId="4933"/>
    <cellStyle name="Comma 11 18 13 5" xfId="4934"/>
    <cellStyle name="Comma 11 18 13 5 2" xfId="4935"/>
    <cellStyle name="Comma 11 18 13 6" xfId="4936"/>
    <cellStyle name="Comma 11 18 14" xfId="4937"/>
    <cellStyle name="Comma 11 18 14 2" xfId="4938"/>
    <cellStyle name="Comma 11 18 14 2 2" xfId="4939"/>
    <cellStyle name="Comma 11 18 14 2 2 2" xfId="4940"/>
    <cellStyle name="Comma 11 18 14 2 3" xfId="4941"/>
    <cellStyle name="Comma 11 18 14 3" xfId="4942"/>
    <cellStyle name="Comma 11 18 14 3 2" xfId="4943"/>
    <cellStyle name="Comma 11 18 14 4" xfId="4944"/>
    <cellStyle name="Comma 11 18 15" xfId="4945"/>
    <cellStyle name="Comma 11 18 15 2" xfId="4946"/>
    <cellStyle name="Comma 11 18 15 2 2" xfId="4947"/>
    <cellStyle name="Comma 11 18 15 2 2 2" xfId="4948"/>
    <cellStyle name="Comma 11 18 15 2 3" xfId="4949"/>
    <cellStyle name="Comma 11 18 15 3" xfId="4950"/>
    <cellStyle name="Comma 11 18 15 3 2" xfId="4951"/>
    <cellStyle name="Comma 11 18 15 4" xfId="4952"/>
    <cellStyle name="Comma 11 18 16" xfId="4953"/>
    <cellStyle name="Comma 11 18 16 2" xfId="4954"/>
    <cellStyle name="Comma 11 18 16 2 2" xfId="4955"/>
    <cellStyle name="Comma 11 18 16 3" xfId="4956"/>
    <cellStyle name="Comma 11 18 17" xfId="4957"/>
    <cellStyle name="Comma 11 18 17 2" xfId="4958"/>
    <cellStyle name="Comma 11 18 18" xfId="4959"/>
    <cellStyle name="Comma 11 18 2" xfId="4960"/>
    <cellStyle name="Comma 11 18 2 2" xfId="4961"/>
    <cellStyle name="Comma 11 18 2 2 2" xfId="4962"/>
    <cellStyle name="Comma 11 18 2 2 2 2" xfId="4963"/>
    <cellStyle name="Comma 11 18 2 2 2 2 2" xfId="4964"/>
    <cellStyle name="Comma 11 18 2 2 2 3" xfId="4965"/>
    <cellStyle name="Comma 11 18 2 2 3" xfId="4966"/>
    <cellStyle name="Comma 11 18 2 2 3 2" xfId="4967"/>
    <cellStyle name="Comma 11 18 2 2 4" xfId="4968"/>
    <cellStyle name="Comma 11 18 2 3" xfId="4969"/>
    <cellStyle name="Comma 11 18 2 3 2" xfId="4970"/>
    <cellStyle name="Comma 11 18 2 3 2 2" xfId="4971"/>
    <cellStyle name="Comma 11 18 2 3 2 2 2" xfId="4972"/>
    <cellStyle name="Comma 11 18 2 3 2 3" xfId="4973"/>
    <cellStyle name="Comma 11 18 2 3 3" xfId="4974"/>
    <cellStyle name="Comma 11 18 2 3 3 2" xfId="4975"/>
    <cellStyle name="Comma 11 18 2 3 4" xfId="4976"/>
    <cellStyle name="Comma 11 18 2 4" xfId="4977"/>
    <cellStyle name="Comma 11 18 2 4 2" xfId="4978"/>
    <cellStyle name="Comma 11 18 2 4 2 2" xfId="4979"/>
    <cellStyle name="Comma 11 18 2 4 3" xfId="4980"/>
    <cellStyle name="Comma 11 18 2 5" xfId="4981"/>
    <cellStyle name="Comma 11 18 2 5 2" xfId="4982"/>
    <cellStyle name="Comma 11 18 2 6" xfId="4983"/>
    <cellStyle name="Comma 11 18 3" xfId="4984"/>
    <cellStyle name="Comma 11 18 3 2" xfId="4985"/>
    <cellStyle name="Comma 11 18 3 2 2" xfId="4986"/>
    <cellStyle name="Comma 11 18 3 2 2 2" xfId="4987"/>
    <cellStyle name="Comma 11 18 3 2 2 2 2" xfId="4988"/>
    <cellStyle name="Comma 11 18 3 2 2 3" xfId="4989"/>
    <cellStyle name="Comma 11 18 3 2 3" xfId="4990"/>
    <cellStyle name="Comma 11 18 3 2 3 2" xfId="4991"/>
    <cellStyle name="Comma 11 18 3 2 4" xfId="4992"/>
    <cellStyle name="Comma 11 18 3 3" xfId="4993"/>
    <cellStyle name="Comma 11 18 3 3 2" xfId="4994"/>
    <cellStyle name="Comma 11 18 3 3 2 2" xfId="4995"/>
    <cellStyle name="Comma 11 18 3 3 2 2 2" xfId="4996"/>
    <cellStyle name="Comma 11 18 3 3 2 3" xfId="4997"/>
    <cellStyle name="Comma 11 18 3 3 3" xfId="4998"/>
    <cellStyle name="Comma 11 18 3 3 3 2" xfId="4999"/>
    <cellStyle name="Comma 11 18 3 3 4" xfId="5000"/>
    <cellStyle name="Comma 11 18 3 4" xfId="5001"/>
    <cellStyle name="Comma 11 18 3 4 2" xfId="5002"/>
    <cellStyle name="Comma 11 18 3 4 2 2" xfId="5003"/>
    <cellStyle name="Comma 11 18 3 4 3" xfId="5004"/>
    <cellStyle name="Comma 11 18 3 5" xfId="5005"/>
    <cellStyle name="Comma 11 18 3 5 2" xfId="5006"/>
    <cellStyle name="Comma 11 18 3 6" xfId="5007"/>
    <cellStyle name="Comma 11 18 4" xfId="5008"/>
    <cellStyle name="Comma 11 18 4 2" xfId="5009"/>
    <cellStyle name="Comma 11 18 4 2 2" xfId="5010"/>
    <cellStyle name="Comma 11 18 4 2 2 2" xfId="5011"/>
    <cellStyle name="Comma 11 18 4 2 2 2 2" xfId="5012"/>
    <cellStyle name="Comma 11 18 4 2 2 3" xfId="5013"/>
    <cellStyle name="Comma 11 18 4 2 3" xfId="5014"/>
    <cellStyle name="Comma 11 18 4 2 3 2" xfId="5015"/>
    <cellStyle name="Comma 11 18 4 2 4" xfId="5016"/>
    <cellStyle name="Comma 11 18 4 3" xfId="5017"/>
    <cellStyle name="Comma 11 18 4 3 2" xfId="5018"/>
    <cellStyle name="Comma 11 18 4 3 2 2" xfId="5019"/>
    <cellStyle name="Comma 11 18 4 3 2 2 2" xfId="5020"/>
    <cellStyle name="Comma 11 18 4 3 2 3" xfId="5021"/>
    <cellStyle name="Comma 11 18 4 3 3" xfId="5022"/>
    <cellStyle name="Comma 11 18 4 3 3 2" xfId="5023"/>
    <cellStyle name="Comma 11 18 4 3 4" xfId="5024"/>
    <cellStyle name="Comma 11 18 4 4" xfId="5025"/>
    <cellStyle name="Comma 11 18 4 4 2" xfId="5026"/>
    <cellStyle name="Comma 11 18 4 4 2 2" xfId="5027"/>
    <cellStyle name="Comma 11 18 4 4 3" xfId="5028"/>
    <cellStyle name="Comma 11 18 4 5" xfId="5029"/>
    <cellStyle name="Comma 11 18 4 5 2" xfId="5030"/>
    <cellStyle name="Comma 11 18 4 6" xfId="5031"/>
    <cellStyle name="Comma 11 18 5" xfId="5032"/>
    <cellStyle name="Comma 11 18 5 2" xfId="5033"/>
    <cellStyle name="Comma 11 18 5 2 2" xfId="5034"/>
    <cellStyle name="Comma 11 18 5 2 2 2" xfId="5035"/>
    <cellStyle name="Comma 11 18 5 2 2 2 2" xfId="5036"/>
    <cellStyle name="Comma 11 18 5 2 2 3" xfId="5037"/>
    <cellStyle name="Comma 11 18 5 2 3" xfId="5038"/>
    <cellStyle name="Comma 11 18 5 2 3 2" xfId="5039"/>
    <cellStyle name="Comma 11 18 5 2 4" xfId="5040"/>
    <cellStyle name="Comma 11 18 5 3" xfId="5041"/>
    <cellStyle name="Comma 11 18 5 3 2" xfId="5042"/>
    <cellStyle name="Comma 11 18 5 3 2 2" xfId="5043"/>
    <cellStyle name="Comma 11 18 5 3 2 2 2" xfId="5044"/>
    <cellStyle name="Comma 11 18 5 3 2 3" xfId="5045"/>
    <cellStyle name="Comma 11 18 5 3 3" xfId="5046"/>
    <cellStyle name="Comma 11 18 5 3 3 2" xfId="5047"/>
    <cellStyle name="Comma 11 18 5 3 4" xfId="5048"/>
    <cellStyle name="Comma 11 18 5 4" xfId="5049"/>
    <cellStyle name="Comma 11 18 5 4 2" xfId="5050"/>
    <cellStyle name="Comma 11 18 5 4 2 2" xfId="5051"/>
    <cellStyle name="Comma 11 18 5 4 3" xfId="5052"/>
    <cellStyle name="Comma 11 18 5 5" xfId="5053"/>
    <cellStyle name="Comma 11 18 5 5 2" xfId="5054"/>
    <cellStyle name="Comma 11 18 5 6" xfId="5055"/>
    <cellStyle name="Comma 11 18 6" xfId="5056"/>
    <cellStyle name="Comma 11 18 6 2" xfId="5057"/>
    <cellStyle name="Comma 11 18 6 2 2" xfId="5058"/>
    <cellStyle name="Comma 11 18 6 2 2 2" xfId="5059"/>
    <cellStyle name="Comma 11 18 6 2 2 2 2" xfId="5060"/>
    <cellStyle name="Comma 11 18 6 2 2 3" xfId="5061"/>
    <cellStyle name="Comma 11 18 6 2 3" xfId="5062"/>
    <cellStyle name="Comma 11 18 6 2 3 2" xfId="5063"/>
    <cellStyle name="Comma 11 18 6 2 4" xfId="5064"/>
    <cellStyle name="Comma 11 18 6 3" xfId="5065"/>
    <cellStyle name="Comma 11 18 6 3 2" xfId="5066"/>
    <cellStyle name="Comma 11 18 6 3 2 2" xfId="5067"/>
    <cellStyle name="Comma 11 18 6 3 2 2 2" xfId="5068"/>
    <cellStyle name="Comma 11 18 6 3 2 3" xfId="5069"/>
    <cellStyle name="Comma 11 18 6 3 3" xfId="5070"/>
    <cellStyle name="Comma 11 18 6 3 3 2" xfId="5071"/>
    <cellStyle name="Comma 11 18 6 3 4" xfId="5072"/>
    <cellStyle name="Comma 11 18 6 4" xfId="5073"/>
    <cellStyle name="Comma 11 18 6 4 2" xfId="5074"/>
    <cellStyle name="Comma 11 18 6 4 2 2" xfId="5075"/>
    <cellStyle name="Comma 11 18 6 4 3" xfId="5076"/>
    <cellStyle name="Comma 11 18 6 5" xfId="5077"/>
    <cellStyle name="Comma 11 18 6 5 2" xfId="5078"/>
    <cellStyle name="Comma 11 18 6 6" xfId="5079"/>
    <cellStyle name="Comma 11 18 7" xfId="5080"/>
    <cellStyle name="Comma 11 18 7 2" xfId="5081"/>
    <cellStyle name="Comma 11 18 7 2 2" xfId="5082"/>
    <cellStyle name="Comma 11 18 7 2 2 2" xfId="5083"/>
    <cellStyle name="Comma 11 18 7 2 2 2 2" xfId="5084"/>
    <cellStyle name="Comma 11 18 7 2 2 3" xfId="5085"/>
    <cellStyle name="Comma 11 18 7 2 3" xfId="5086"/>
    <cellStyle name="Comma 11 18 7 2 3 2" xfId="5087"/>
    <cellStyle name="Comma 11 18 7 2 4" xfId="5088"/>
    <cellStyle name="Comma 11 18 7 3" xfId="5089"/>
    <cellStyle name="Comma 11 18 7 3 2" xfId="5090"/>
    <cellStyle name="Comma 11 18 7 3 2 2" xfId="5091"/>
    <cellStyle name="Comma 11 18 7 3 2 2 2" xfId="5092"/>
    <cellStyle name="Comma 11 18 7 3 2 3" xfId="5093"/>
    <cellStyle name="Comma 11 18 7 3 3" xfId="5094"/>
    <cellStyle name="Comma 11 18 7 3 3 2" xfId="5095"/>
    <cellStyle name="Comma 11 18 7 3 4" xfId="5096"/>
    <cellStyle name="Comma 11 18 7 4" xfId="5097"/>
    <cellStyle name="Comma 11 18 7 4 2" xfId="5098"/>
    <cellStyle name="Comma 11 18 7 4 2 2" xfId="5099"/>
    <cellStyle name="Comma 11 18 7 4 3" xfId="5100"/>
    <cellStyle name="Comma 11 18 7 5" xfId="5101"/>
    <cellStyle name="Comma 11 18 7 5 2" xfId="5102"/>
    <cellStyle name="Comma 11 18 7 6" xfId="5103"/>
    <cellStyle name="Comma 11 18 8" xfId="5104"/>
    <cellStyle name="Comma 11 18 8 2" xfId="5105"/>
    <cellStyle name="Comma 11 18 8 2 2" xfId="5106"/>
    <cellStyle name="Comma 11 18 8 2 2 2" xfId="5107"/>
    <cellStyle name="Comma 11 18 8 2 2 2 2" xfId="5108"/>
    <cellStyle name="Comma 11 18 8 2 2 3" xfId="5109"/>
    <cellStyle name="Comma 11 18 8 2 3" xfId="5110"/>
    <cellStyle name="Comma 11 18 8 2 3 2" xfId="5111"/>
    <cellStyle name="Comma 11 18 8 2 4" xfId="5112"/>
    <cellStyle name="Comma 11 18 8 3" xfId="5113"/>
    <cellStyle name="Comma 11 18 8 3 2" xfId="5114"/>
    <cellStyle name="Comma 11 18 8 3 2 2" xfId="5115"/>
    <cellStyle name="Comma 11 18 8 3 2 2 2" xfId="5116"/>
    <cellStyle name="Comma 11 18 8 3 2 3" xfId="5117"/>
    <cellStyle name="Comma 11 18 8 3 3" xfId="5118"/>
    <cellStyle name="Comma 11 18 8 3 3 2" xfId="5119"/>
    <cellStyle name="Comma 11 18 8 3 4" xfId="5120"/>
    <cellStyle name="Comma 11 18 8 4" xfId="5121"/>
    <cellStyle name="Comma 11 18 8 4 2" xfId="5122"/>
    <cellStyle name="Comma 11 18 8 4 2 2" xfId="5123"/>
    <cellStyle name="Comma 11 18 8 4 3" xfId="5124"/>
    <cellStyle name="Comma 11 18 8 5" xfId="5125"/>
    <cellStyle name="Comma 11 18 8 5 2" xfId="5126"/>
    <cellStyle name="Comma 11 18 8 6" xfId="5127"/>
    <cellStyle name="Comma 11 18 9" xfId="5128"/>
    <cellStyle name="Comma 11 18 9 2" xfId="5129"/>
    <cellStyle name="Comma 11 18 9 2 2" xfId="5130"/>
    <cellStyle name="Comma 11 18 9 2 2 2" xfId="5131"/>
    <cellStyle name="Comma 11 18 9 2 2 2 2" xfId="5132"/>
    <cellStyle name="Comma 11 18 9 2 2 3" xfId="5133"/>
    <cellStyle name="Comma 11 18 9 2 3" xfId="5134"/>
    <cellStyle name="Comma 11 18 9 2 3 2" xfId="5135"/>
    <cellStyle name="Comma 11 18 9 2 4" xfId="5136"/>
    <cellStyle name="Comma 11 18 9 3" xfId="5137"/>
    <cellStyle name="Comma 11 18 9 3 2" xfId="5138"/>
    <cellStyle name="Comma 11 18 9 3 2 2" xfId="5139"/>
    <cellStyle name="Comma 11 18 9 3 2 2 2" xfId="5140"/>
    <cellStyle name="Comma 11 18 9 3 2 3" xfId="5141"/>
    <cellStyle name="Comma 11 18 9 3 3" xfId="5142"/>
    <cellStyle name="Comma 11 18 9 3 3 2" xfId="5143"/>
    <cellStyle name="Comma 11 18 9 3 4" xfId="5144"/>
    <cellStyle name="Comma 11 18 9 4" xfId="5145"/>
    <cellStyle name="Comma 11 18 9 4 2" xfId="5146"/>
    <cellStyle name="Comma 11 18 9 4 2 2" xfId="5147"/>
    <cellStyle name="Comma 11 18 9 4 3" xfId="5148"/>
    <cellStyle name="Comma 11 18 9 5" xfId="5149"/>
    <cellStyle name="Comma 11 18 9 5 2" xfId="5150"/>
    <cellStyle name="Comma 11 18 9 6" xfId="5151"/>
    <cellStyle name="Comma 11 19" xfId="5152"/>
    <cellStyle name="Comma 11 19 2" xfId="5153"/>
    <cellStyle name="Comma 11 19 2 2" xfId="5154"/>
    <cellStyle name="Comma 11 19 2 2 2" xfId="5155"/>
    <cellStyle name="Comma 11 19 2 2 2 2" xfId="5156"/>
    <cellStyle name="Comma 11 19 2 2 3" xfId="5157"/>
    <cellStyle name="Comma 11 19 2 3" xfId="5158"/>
    <cellStyle name="Comma 11 19 2 3 2" xfId="5159"/>
    <cellStyle name="Comma 11 19 2 4" xfId="5160"/>
    <cellStyle name="Comma 11 19 3" xfId="5161"/>
    <cellStyle name="Comma 11 19 3 2" xfId="5162"/>
    <cellStyle name="Comma 11 19 3 2 2" xfId="5163"/>
    <cellStyle name="Comma 11 19 3 2 2 2" xfId="5164"/>
    <cellStyle name="Comma 11 19 3 2 3" xfId="5165"/>
    <cellStyle name="Comma 11 19 3 3" xfId="5166"/>
    <cellStyle name="Comma 11 19 3 3 2" xfId="5167"/>
    <cellStyle name="Comma 11 19 3 4" xfId="5168"/>
    <cellStyle name="Comma 11 19 4" xfId="5169"/>
    <cellStyle name="Comma 11 19 4 2" xfId="5170"/>
    <cellStyle name="Comma 11 19 4 2 2" xfId="5171"/>
    <cellStyle name="Comma 11 19 4 3" xfId="5172"/>
    <cellStyle name="Comma 11 19 5" xfId="5173"/>
    <cellStyle name="Comma 11 19 5 2" xfId="5174"/>
    <cellStyle name="Comma 11 19 6" xfId="5175"/>
    <cellStyle name="Comma 11 2" xfId="5176"/>
    <cellStyle name="Comma 11 2 10" xfId="5177"/>
    <cellStyle name="Comma 11 2 10 2" xfId="5178"/>
    <cellStyle name="Comma 11 2 10 2 2" xfId="5179"/>
    <cellStyle name="Comma 11 2 10 2 2 2" xfId="5180"/>
    <cellStyle name="Comma 11 2 10 2 2 2 2" xfId="5181"/>
    <cellStyle name="Comma 11 2 10 2 2 3" xfId="5182"/>
    <cellStyle name="Comma 11 2 10 2 3" xfId="5183"/>
    <cellStyle name="Comma 11 2 10 2 3 2" xfId="5184"/>
    <cellStyle name="Comma 11 2 10 2 4" xfId="5185"/>
    <cellStyle name="Comma 11 2 10 3" xfId="5186"/>
    <cellStyle name="Comma 11 2 10 3 2" xfId="5187"/>
    <cellStyle name="Comma 11 2 10 3 2 2" xfId="5188"/>
    <cellStyle name="Comma 11 2 10 3 2 2 2" xfId="5189"/>
    <cellStyle name="Comma 11 2 10 3 2 3" xfId="5190"/>
    <cellStyle name="Comma 11 2 10 3 3" xfId="5191"/>
    <cellStyle name="Comma 11 2 10 3 3 2" xfId="5192"/>
    <cellStyle name="Comma 11 2 10 3 4" xfId="5193"/>
    <cellStyle name="Comma 11 2 10 4" xfId="5194"/>
    <cellStyle name="Comma 11 2 10 4 2" xfId="5195"/>
    <cellStyle name="Comma 11 2 10 4 2 2" xfId="5196"/>
    <cellStyle name="Comma 11 2 10 4 3" xfId="5197"/>
    <cellStyle name="Comma 11 2 10 5" xfId="5198"/>
    <cellStyle name="Comma 11 2 10 5 2" xfId="5199"/>
    <cellStyle name="Comma 11 2 10 6" xfId="5200"/>
    <cellStyle name="Comma 11 2 11" xfId="5201"/>
    <cellStyle name="Comma 11 2 11 2" xfId="5202"/>
    <cellStyle name="Comma 11 2 11 2 2" xfId="5203"/>
    <cellStyle name="Comma 11 2 11 2 2 2" xfId="5204"/>
    <cellStyle name="Comma 11 2 11 2 2 2 2" xfId="5205"/>
    <cellStyle name="Comma 11 2 11 2 2 3" xfId="5206"/>
    <cellStyle name="Comma 11 2 11 2 3" xfId="5207"/>
    <cellStyle name="Comma 11 2 11 2 3 2" xfId="5208"/>
    <cellStyle name="Comma 11 2 11 2 4" xfId="5209"/>
    <cellStyle name="Comma 11 2 11 3" xfId="5210"/>
    <cellStyle name="Comma 11 2 11 3 2" xfId="5211"/>
    <cellStyle name="Comma 11 2 11 3 2 2" xfId="5212"/>
    <cellStyle name="Comma 11 2 11 3 2 2 2" xfId="5213"/>
    <cellStyle name="Comma 11 2 11 3 2 3" xfId="5214"/>
    <cellStyle name="Comma 11 2 11 3 3" xfId="5215"/>
    <cellStyle name="Comma 11 2 11 3 3 2" xfId="5216"/>
    <cellStyle name="Comma 11 2 11 3 4" xfId="5217"/>
    <cellStyle name="Comma 11 2 11 4" xfId="5218"/>
    <cellStyle name="Comma 11 2 11 4 2" xfId="5219"/>
    <cellStyle name="Comma 11 2 11 4 2 2" xfId="5220"/>
    <cellStyle name="Comma 11 2 11 4 3" xfId="5221"/>
    <cellStyle name="Comma 11 2 11 5" xfId="5222"/>
    <cellStyle name="Comma 11 2 11 5 2" xfId="5223"/>
    <cellStyle name="Comma 11 2 11 6" xfId="5224"/>
    <cellStyle name="Comma 11 2 12" xfId="5225"/>
    <cellStyle name="Comma 11 2 12 2" xfId="5226"/>
    <cellStyle name="Comma 11 2 12 2 2" xfId="5227"/>
    <cellStyle name="Comma 11 2 12 2 2 2" xfId="5228"/>
    <cellStyle name="Comma 11 2 12 2 2 2 2" xfId="5229"/>
    <cellStyle name="Comma 11 2 12 2 2 3" xfId="5230"/>
    <cellStyle name="Comma 11 2 12 2 3" xfId="5231"/>
    <cellStyle name="Comma 11 2 12 2 3 2" xfId="5232"/>
    <cellStyle name="Comma 11 2 12 2 4" xfId="5233"/>
    <cellStyle name="Comma 11 2 12 3" xfId="5234"/>
    <cellStyle name="Comma 11 2 12 3 2" xfId="5235"/>
    <cellStyle name="Comma 11 2 12 3 2 2" xfId="5236"/>
    <cellStyle name="Comma 11 2 12 3 2 2 2" xfId="5237"/>
    <cellStyle name="Comma 11 2 12 3 2 3" xfId="5238"/>
    <cellStyle name="Comma 11 2 12 3 3" xfId="5239"/>
    <cellStyle name="Comma 11 2 12 3 3 2" xfId="5240"/>
    <cellStyle name="Comma 11 2 12 3 4" xfId="5241"/>
    <cellStyle name="Comma 11 2 12 4" xfId="5242"/>
    <cellStyle name="Comma 11 2 12 4 2" xfId="5243"/>
    <cellStyle name="Comma 11 2 12 4 2 2" xfId="5244"/>
    <cellStyle name="Comma 11 2 12 4 3" xfId="5245"/>
    <cellStyle name="Comma 11 2 12 5" xfId="5246"/>
    <cellStyle name="Comma 11 2 12 5 2" xfId="5247"/>
    <cellStyle name="Comma 11 2 12 6" xfId="5248"/>
    <cellStyle name="Comma 11 2 13" xfId="5249"/>
    <cellStyle name="Comma 11 2 13 2" xfId="5250"/>
    <cellStyle name="Comma 11 2 13 2 2" xfId="5251"/>
    <cellStyle name="Comma 11 2 13 2 2 2" xfId="5252"/>
    <cellStyle name="Comma 11 2 13 2 2 2 2" xfId="5253"/>
    <cellStyle name="Comma 11 2 13 2 2 3" xfId="5254"/>
    <cellStyle name="Comma 11 2 13 2 3" xfId="5255"/>
    <cellStyle name="Comma 11 2 13 2 3 2" xfId="5256"/>
    <cellStyle name="Comma 11 2 13 2 4" xfId="5257"/>
    <cellStyle name="Comma 11 2 13 3" xfId="5258"/>
    <cellStyle name="Comma 11 2 13 3 2" xfId="5259"/>
    <cellStyle name="Comma 11 2 13 3 2 2" xfId="5260"/>
    <cellStyle name="Comma 11 2 13 3 2 2 2" xfId="5261"/>
    <cellStyle name="Comma 11 2 13 3 2 3" xfId="5262"/>
    <cellStyle name="Comma 11 2 13 3 3" xfId="5263"/>
    <cellStyle name="Comma 11 2 13 3 3 2" xfId="5264"/>
    <cellStyle name="Comma 11 2 13 3 4" xfId="5265"/>
    <cellStyle name="Comma 11 2 13 4" xfId="5266"/>
    <cellStyle name="Comma 11 2 13 4 2" xfId="5267"/>
    <cellStyle name="Comma 11 2 13 4 2 2" xfId="5268"/>
    <cellStyle name="Comma 11 2 13 4 3" xfId="5269"/>
    <cellStyle name="Comma 11 2 13 5" xfId="5270"/>
    <cellStyle name="Comma 11 2 13 5 2" xfId="5271"/>
    <cellStyle name="Comma 11 2 13 6" xfId="5272"/>
    <cellStyle name="Comma 11 2 14" xfId="5273"/>
    <cellStyle name="Comma 11 2 14 2" xfId="5274"/>
    <cellStyle name="Comma 11 2 14 2 2" xfId="5275"/>
    <cellStyle name="Comma 11 2 14 2 2 2" xfId="5276"/>
    <cellStyle name="Comma 11 2 14 2 3" xfId="5277"/>
    <cellStyle name="Comma 11 2 14 3" xfId="5278"/>
    <cellStyle name="Comma 11 2 14 3 2" xfId="5279"/>
    <cellStyle name="Comma 11 2 14 4" xfId="5280"/>
    <cellStyle name="Comma 11 2 15" xfId="5281"/>
    <cellStyle name="Comma 11 2 15 2" xfId="5282"/>
    <cellStyle name="Comma 11 2 15 2 2" xfId="5283"/>
    <cellStyle name="Comma 11 2 15 2 2 2" xfId="5284"/>
    <cellStyle name="Comma 11 2 15 2 3" xfId="5285"/>
    <cellStyle name="Comma 11 2 15 3" xfId="5286"/>
    <cellStyle name="Comma 11 2 15 3 2" xfId="5287"/>
    <cellStyle name="Comma 11 2 15 4" xfId="5288"/>
    <cellStyle name="Comma 11 2 16" xfId="5289"/>
    <cellStyle name="Comma 11 2 16 2" xfId="5290"/>
    <cellStyle name="Comma 11 2 16 2 2" xfId="5291"/>
    <cellStyle name="Comma 11 2 16 3" xfId="5292"/>
    <cellStyle name="Comma 11 2 17" xfId="5293"/>
    <cellStyle name="Comma 11 2 17 2" xfId="5294"/>
    <cellStyle name="Comma 11 2 18" xfId="5295"/>
    <cellStyle name="Comma 11 2 2" xfId="5296"/>
    <cellStyle name="Comma 11 2 2 2" xfId="5297"/>
    <cellStyle name="Comma 11 2 2 2 2" xfId="5298"/>
    <cellStyle name="Comma 11 2 2 2 2 2" xfId="5299"/>
    <cellStyle name="Comma 11 2 2 2 2 2 2" xfId="5300"/>
    <cellStyle name="Comma 11 2 2 2 2 3" xfId="5301"/>
    <cellStyle name="Comma 11 2 2 2 3" xfId="5302"/>
    <cellStyle name="Comma 11 2 2 2 3 2" xfId="5303"/>
    <cellStyle name="Comma 11 2 2 2 4" xfId="5304"/>
    <cellStyle name="Comma 11 2 2 3" xfId="5305"/>
    <cellStyle name="Comma 11 2 2 3 2" xfId="5306"/>
    <cellStyle name="Comma 11 2 2 3 2 2" xfId="5307"/>
    <cellStyle name="Comma 11 2 2 3 2 2 2" xfId="5308"/>
    <cellStyle name="Comma 11 2 2 3 2 3" xfId="5309"/>
    <cellStyle name="Comma 11 2 2 3 3" xfId="5310"/>
    <cellStyle name="Comma 11 2 2 3 3 2" xfId="5311"/>
    <cellStyle name="Comma 11 2 2 3 4" xfId="5312"/>
    <cellStyle name="Comma 11 2 2 4" xfId="5313"/>
    <cellStyle name="Comma 11 2 2 4 2" xfId="5314"/>
    <cellStyle name="Comma 11 2 2 4 2 2" xfId="5315"/>
    <cellStyle name="Comma 11 2 2 4 3" xfId="5316"/>
    <cellStyle name="Comma 11 2 2 5" xfId="5317"/>
    <cellStyle name="Comma 11 2 2 5 2" xfId="5318"/>
    <cellStyle name="Comma 11 2 2 6" xfId="5319"/>
    <cellStyle name="Comma 11 2 3" xfId="5320"/>
    <cellStyle name="Comma 11 2 3 2" xfId="5321"/>
    <cellStyle name="Comma 11 2 3 2 2" xfId="5322"/>
    <cellStyle name="Comma 11 2 3 2 2 2" xfId="5323"/>
    <cellStyle name="Comma 11 2 3 2 2 2 2" xfId="5324"/>
    <cellStyle name="Comma 11 2 3 2 2 3" xfId="5325"/>
    <cellStyle name="Comma 11 2 3 2 3" xfId="5326"/>
    <cellStyle name="Comma 11 2 3 2 3 2" xfId="5327"/>
    <cellStyle name="Comma 11 2 3 2 4" xfId="5328"/>
    <cellStyle name="Comma 11 2 3 3" xfId="5329"/>
    <cellStyle name="Comma 11 2 3 3 2" xfId="5330"/>
    <cellStyle name="Comma 11 2 3 3 2 2" xfId="5331"/>
    <cellStyle name="Comma 11 2 3 3 2 2 2" xfId="5332"/>
    <cellStyle name="Comma 11 2 3 3 2 3" xfId="5333"/>
    <cellStyle name="Comma 11 2 3 3 3" xfId="5334"/>
    <cellStyle name="Comma 11 2 3 3 3 2" xfId="5335"/>
    <cellStyle name="Comma 11 2 3 3 4" xfId="5336"/>
    <cellStyle name="Comma 11 2 3 4" xfId="5337"/>
    <cellStyle name="Comma 11 2 3 4 2" xfId="5338"/>
    <cellStyle name="Comma 11 2 3 4 2 2" xfId="5339"/>
    <cellStyle name="Comma 11 2 3 4 3" xfId="5340"/>
    <cellStyle name="Comma 11 2 3 5" xfId="5341"/>
    <cellStyle name="Comma 11 2 3 5 2" xfId="5342"/>
    <cellStyle name="Comma 11 2 3 6" xfId="5343"/>
    <cellStyle name="Comma 11 2 4" xfId="5344"/>
    <cellStyle name="Comma 11 2 4 2" xfId="5345"/>
    <cellStyle name="Comma 11 2 4 2 2" xfId="5346"/>
    <cellStyle name="Comma 11 2 4 2 2 2" xfId="5347"/>
    <cellStyle name="Comma 11 2 4 2 2 2 2" xfId="5348"/>
    <cellStyle name="Comma 11 2 4 2 2 3" xfId="5349"/>
    <cellStyle name="Comma 11 2 4 2 3" xfId="5350"/>
    <cellStyle name="Comma 11 2 4 2 3 2" xfId="5351"/>
    <cellStyle name="Comma 11 2 4 2 4" xfId="5352"/>
    <cellStyle name="Comma 11 2 4 3" xfId="5353"/>
    <cellStyle name="Comma 11 2 4 3 2" xfId="5354"/>
    <cellStyle name="Comma 11 2 4 3 2 2" xfId="5355"/>
    <cellStyle name="Comma 11 2 4 3 2 2 2" xfId="5356"/>
    <cellStyle name="Comma 11 2 4 3 2 3" xfId="5357"/>
    <cellStyle name="Comma 11 2 4 3 3" xfId="5358"/>
    <cellStyle name="Comma 11 2 4 3 3 2" xfId="5359"/>
    <cellStyle name="Comma 11 2 4 3 4" xfId="5360"/>
    <cellStyle name="Comma 11 2 4 4" xfId="5361"/>
    <cellStyle name="Comma 11 2 4 4 2" xfId="5362"/>
    <cellStyle name="Comma 11 2 4 4 2 2" xfId="5363"/>
    <cellStyle name="Comma 11 2 4 4 3" xfId="5364"/>
    <cellStyle name="Comma 11 2 4 5" xfId="5365"/>
    <cellStyle name="Comma 11 2 4 5 2" xfId="5366"/>
    <cellStyle name="Comma 11 2 4 6" xfId="5367"/>
    <cellStyle name="Comma 11 2 5" xfId="5368"/>
    <cellStyle name="Comma 11 2 5 2" xfId="5369"/>
    <cellStyle name="Comma 11 2 5 2 2" xfId="5370"/>
    <cellStyle name="Comma 11 2 5 2 2 2" xfId="5371"/>
    <cellStyle name="Comma 11 2 5 2 2 2 2" xfId="5372"/>
    <cellStyle name="Comma 11 2 5 2 2 3" xfId="5373"/>
    <cellStyle name="Comma 11 2 5 2 3" xfId="5374"/>
    <cellStyle name="Comma 11 2 5 2 3 2" xfId="5375"/>
    <cellStyle name="Comma 11 2 5 2 4" xfId="5376"/>
    <cellStyle name="Comma 11 2 5 3" xfId="5377"/>
    <cellStyle name="Comma 11 2 5 3 2" xfId="5378"/>
    <cellStyle name="Comma 11 2 5 3 2 2" xfId="5379"/>
    <cellStyle name="Comma 11 2 5 3 2 2 2" xfId="5380"/>
    <cellStyle name="Comma 11 2 5 3 2 3" xfId="5381"/>
    <cellStyle name="Comma 11 2 5 3 3" xfId="5382"/>
    <cellStyle name="Comma 11 2 5 3 3 2" xfId="5383"/>
    <cellStyle name="Comma 11 2 5 3 4" xfId="5384"/>
    <cellStyle name="Comma 11 2 5 4" xfId="5385"/>
    <cellStyle name="Comma 11 2 5 4 2" xfId="5386"/>
    <cellStyle name="Comma 11 2 5 4 2 2" xfId="5387"/>
    <cellStyle name="Comma 11 2 5 4 3" xfId="5388"/>
    <cellStyle name="Comma 11 2 5 5" xfId="5389"/>
    <cellStyle name="Comma 11 2 5 5 2" xfId="5390"/>
    <cellStyle name="Comma 11 2 5 6" xfId="5391"/>
    <cellStyle name="Comma 11 2 6" xfId="5392"/>
    <cellStyle name="Comma 11 2 6 2" xfId="5393"/>
    <cellStyle name="Comma 11 2 6 2 2" xfId="5394"/>
    <cellStyle name="Comma 11 2 6 2 2 2" xfId="5395"/>
    <cellStyle name="Comma 11 2 6 2 2 2 2" xfId="5396"/>
    <cellStyle name="Comma 11 2 6 2 2 3" xfId="5397"/>
    <cellStyle name="Comma 11 2 6 2 3" xfId="5398"/>
    <cellStyle name="Comma 11 2 6 2 3 2" xfId="5399"/>
    <cellStyle name="Comma 11 2 6 2 4" xfId="5400"/>
    <cellStyle name="Comma 11 2 6 3" xfId="5401"/>
    <cellStyle name="Comma 11 2 6 3 2" xfId="5402"/>
    <cellStyle name="Comma 11 2 6 3 2 2" xfId="5403"/>
    <cellStyle name="Comma 11 2 6 3 2 2 2" xfId="5404"/>
    <cellStyle name="Comma 11 2 6 3 2 3" xfId="5405"/>
    <cellStyle name="Comma 11 2 6 3 3" xfId="5406"/>
    <cellStyle name="Comma 11 2 6 3 3 2" xfId="5407"/>
    <cellStyle name="Comma 11 2 6 3 4" xfId="5408"/>
    <cellStyle name="Comma 11 2 6 4" xfId="5409"/>
    <cellStyle name="Comma 11 2 6 4 2" xfId="5410"/>
    <cellStyle name="Comma 11 2 6 4 2 2" xfId="5411"/>
    <cellStyle name="Comma 11 2 6 4 3" xfId="5412"/>
    <cellStyle name="Comma 11 2 6 5" xfId="5413"/>
    <cellStyle name="Comma 11 2 6 5 2" xfId="5414"/>
    <cellStyle name="Comma 11 2 6 6" xfId="5415"/>
    <cellStyle name="Comma 11 2 7" xfId="5416"/>
    <cellStyle name="Comma 11 2 7 2" xfId="5417"/>
    <cellStyle name="Comma 11 2 7 2 2" xfId="5418"/>
    <cellStyle name="Comma 11 2 7 2 2 2" xfId="5419"/>
    <cellStyle name="Comma 11 2 7 2 2 2 2" xfId="5420"/>
    <cellStyle name="Comma 11 2 7 2 2 3" xfId="5421"/>
    <cellStyle name="Comma 11 2 7 2 3" xfId="5422"/>
    <cellStyle name="Comma 11 2 7 2 3 2" xfId="5423"/>
    <cellStyle name="Comma 11 2 7 2 4" xfId="5424"/>
    <cellStyle name="Comma 11 2 7 3" xfId="5425"/>
    <cellStyle name="Comma 11 2 7 3 2" xfId="5426"/>
    <cellStyle name="Comma 11 2 7 3 2 2" xfId="5427"/>
    <cellStyle name="Comma 11 2 7 3 2 2 2" xfId="5428"/>
    <cellStyle name="Comma 11 2 7 3 2 3" xfId="5429"/>
    <cellStyle name="Comma 11 2 7 3 3" xfId="5430"/>
    <cellStyle name="Comma 11 2 7 3 3 2" xfId="5431"/>
    <cellStyle name="Comma 11 2 7 3 4" xfId="5432"/>
    <cellStyle name="Comma 11 2 7 4" xfId="5433"/>
    <cellStyle name="Comma 11 2 7 4 2" xfId="5434"/>
    <cellStyle name="Comma 11 2 7 4 2 2" xfId="5435"/>
    <cellStyle name="Comma 11 2 7 4 3" xfId="5436"/>
    <cellStyle name="Comma 11 2 7 5" xfId="5437"/>
    <cellStyle name="Comma 11 2 7 5 2" xfId="5438"/>
    <cellStyle name="Comma 11 2 7 6" xfId="5439"/>
    <cellStyle name="Comma 11 2 8" xfId="5440"/>
    <cellStyle name="Comma 11 2 8 2" xfId="5441"/>
    <cellStyle name="Comma 11 2 8 2 2" xfId="5442"/>
    <cellStyle name="Comma 11 2 8 2 2 2" xfId="5443"/>
    <cellStyle name="Comma 11 2 8 2 2 2 2" xfId="5444"/>
    <cellStyle name="Comma 11 2 8 2 2 3" xfId="5445"/>
    <cellStyle name="Comma 11 2 8 2 3" xfId="5446"/>
    <cellStyle name="Comma 11 2 8 2 3 2" xfId="5447"/>
    <cellStyle name="Comma 11 2 8 2 4" xfId="5448"/>
    <cellStyle name="Comma 11 2 8 3" xfId="5449"/>
    <cellStyle name="Comma 11 2 8 3 2" xfId="5450"/>
    <cellStyle name="Comma 11 2 8 3 2 2" xfId="5451"/>
    <cellStyle name="Comma 11 2 8 3 2 2 2" xfId="5452"/>
    <cellStyle name="Comma 11 2 8 3 2 3" xfId="5453"/>
    <cellStyle name="Comma 11 2 8 3 3" xfId="5454"/>
    <cellStyle name="Comma 11 2 8 3 3 2" xfId="5455"/>
    <cellStyle name="Comma 11 2 8 3 4" xfId="5456"/>
    <cellStyle name="Comma 11 2 8 4" xfId="5457"/>
    <cellStyle name="Comma 11 2 8 4 2" xfId="5458"/>
    <cellStyle name="Comma 11 2 8 4 2 2" xfId="5459"/>
    <cellStyle name="Comma 11 2 8 4 3" xfId="5460"/>
    <cellStyle name="Comma 11 2 8 5" xfId="5461"/>
    <cellStyle name="Comma 11 2 8 5 2" xfId="5462"/>
    <cellStyle name="Comma 11 2 8 6" xfId="5463"/>
    <cellStyle name="Comma 11 2 9" xfId="5464"/>
    <cellStyle name="Comma 11 2 9 2" xfId="5465"/>
    <cellStyle name="Comma 11 2 9 2 2" xfId="5466"/>
    <cellStyle name="Comma 11 2 9 2 2 2" xfId="5467"/>
    <cellStyle name="Comma 11 2 9 2 2 2 2" xfId="5468"/>
    <cellStyle name="Comma 11 2 9 2 2 3" xfId="5469"/>
    <cellStyle name="Comma 11 2 9 2 3" xfId="5470"/>
    <cellStyle name="Comma 11 2 9 2 3 2" xfId="5471"/>
    <cellStyle name="Comma 11 2 9 2 4" xfId="5472"/>
    <cellStyle name="Comma 11 2 9 3" xfId="5473"/>
    <cellStyle name="Comma 11 2 9 3 2" xfId="5474"/>
    <cellStyle name="Comma 11 2 9 3 2 2" xfId="5475"/>
    <cellStyle name="Comma 11 2 9 3 2 2 2" xfId="5476"/>
    <cellStyle name="Comma 11 2 9 3 2 3" xfId="5477"/>
    <cellStyle name="Comma 11 2 9 3 3" xfId="5478"/>
    <cellStyle name="Comma 11 2 9 3 3 2" xfId="5479"/>
    <cellStyle name="Comma 11 2 9 3 4" xfId="5480"/>
    <cellStyle name="Comma 11 2 9 4" xfId="5481"/>
    <cellStyle name="Comma 11 2 9 4 2" xfId="5482"/>
    <cellStyle name="Comma 11 2 9 4 2 2" xfId="5483"/>
    <cellStyle name="Comma 11 2 9 4 3" xfId="5484"/>
    <cellStyle name="Comma 11 2 9 5" xfId="5485"/>
    <cellStyle name="Comma 11 2 9 5 2" xfId="5486"/>
    <cellStyle name="Comma 11 2 9 6" xfId="5487"/>
    <cellStyle name="Comma 11 20" xfId="5488"/>
    <cellStyle name="Comma 11 20 2" xfId="5489"/>
    <cellStyle name="Comma 11 20 2 2" xfId="5490"/>
    <cellStyle name="Comma 11 20 2 2 2" xfId="5491"/>
    <cellStyle name="Comma 11 20 2 2 2 2" xfId="5492"/>
    <cellStyle name="Comma 11 20 2 2 3" xfId="5493"/>
    <cellStyle name="Comma 11 20 2 3" xfId="5494"/>
    <cellStyle name="Comma 11 20 2 3 2" xfId="5495"/>
    <cellStyle name="Comma 11 20 2 4" xfId="5496"/>
    <cellStyle name="Comma 11 20 3" xfId="5497"/>
    <cellStyle name="Comma 11 20 3 2" xfId="5498"/>
    <cellStyle name="Comma 11 20 3 2 2" xfId="5499"/>
    <cellStyle name="Comma 11 20 3 2 2 2" xfId="5500"/>
    <cellStyle name="Comma 11 20 3 2 3" xfId="5501"/>
    <cellStyle name="Comma 11 20 3 3" xfId="5502"/>
    <cellStyle name="Comma 11 20 3 3 2" xfId="5503"/>
    <cellStyle name="Comma 11 20 3 4" xfId="5504"/>
    <cellStyle name="Comma 11 20 4" xfId="5505"/>
    <cellStyle name="Comma 11 20 4 2" xfId="5506"/>
    <cellStyle name="Comma 11 20 4 2 2" xfId="5507"/>
    <cellStyle name="Comma 11 20 4 3" xfId="5508"/>
    <cellStyle name="Comma 11 20 5" xfId="5509"/>
    <cellStyle name="Comma 11 20 5 2" xfId="5510"/>
    <cellStyle name="Comma 11 20 6" xfId="5511"/>
    <cellStyle name="Comma 11 21" xfId="5512"/>
    <cellStyle name="Comma 11 21 2" xfId="5513"/>
    <cellStyle name="Comma 11 21 2 2" xfId="5514"/>
    <cellStyle name="Comma 11 21 2 2 2" xfId="5515"/>
    <cellStyle name="Comma 11 21 2 2 2 2" xfId="5516"/>
    <cellStyle name="Comma 11 21 2 2 3" xfId="5517"/>
    <cellStyle name="Comma 11 21 2 3" xfId="5518"/>
    <cellStyle name="Comma 11 21 2 3 2" xfId="5519"/>
    <cellStyle name="Comma 11 21 2 4" xfId="5520"/>
    <cellStyle name="Comma 11 21 3" xfId="5521"/>
    <cellStyle name="Comma 11 21 3 2" xfId="5522"/>
    <cellStyle name="Comma 11 21 3 2 2" xfId="5523"/>
    <cellStyle name="Comma 11 21 3 2 2 2" xfId="5524"/>
    <cellStyle name="Comma 11 21 3 2 3" xfId="5525"/>
    <cellStyle name="Comma 11 21 3 3" xfId="5526"/>
    <cellStyle name="Comma 11 21 3 3 2" xfId="5527"/>
    <cellStyle name="Comma 11 21 3 4" xfId="5528"/>
    <cellStyle name="Comma 11 21 4" xfId="5529"/>
    <cellStyle name="Comma 11 21 4 2" xfId="5530"/>
    <cellStyle name="Comma 11 21 4 2 2" xfId="5531"/>
    <cellStyle name="Comma 11 21 4 3" xfId="5532"/>
    <cellStyle name="Comma 11 21 5" xfId="5533"/>
    <cellStyle name="Comma 11 21 5 2" xfId="5534"/>
    <cellStyle name="Comma 11 21 6" xfId="5535"/>
    <cellStyle name="Comma 11 22" xfId="5536"/>
    <cellStyle name="Comma 11 22 2" xfId="5537"/>
    <cellStyle name="Comma 11 22 2 2" xfId="5538"/>
    <cellStyle name="Comma 11 22 2 2 2" xfId="5539"/>
    <cellStyle name="Comma 11 22 2 2 2 2" xfId="5540"/>
    <cellStyle name="Comma 11 22 2 2 3" xfId="5541"/>
    <cellStyle name="Comma 11 22 2 3" xfId="5542"/>
    <cellStyle name="Comma 11 22 2 3 2" xfId="5543"/>
    <cellStyle name="Comma 11 22 2 4" xfId="5544"/>
    <cellStyle name="Comma 11 22 3" xfId="5545"/>
    <cellStyle name="Comma 11 22 3 2" xfId="5546"/>
    <cellStyle name="Comma 11 22 3 2 2" xfId="5547"/>
    <cellStyle name="Comma 11 22 3 2 2 2" xfId="5548"/>
    <cellStyle name="Comma 11 22 3 2 3" xfId="5549"/>
    <cellStyle name="Comma 11 22 3 3" xfId="5550"/>
    <cellStyle name="Comma 11 22 3 3 2" xfId="5551"/>
    <cellStyle name="Comma 11 22 3 4" xfId="5552"/>
    <cellStyle name="Comma 11 22 4" xfId="5553"/>
    <cellStyle name="Comma 11 22 4 2" xfId="5554"/>
    <cellStyle name="Comma 11 22 4 2 2" xfId="5555"/>
    <cellStyle name="Comma 11 22 4 3" xfId="5556"/>
    <cellStyle name="Comma 11 22 5" xfId="5557"/>
    <cellStyle name="Comma 11 22 5 2" xfId="5558"/>
    <cellStyle name="Comma 11 22 6" xfId="5559"/>
    <cellStyle name="Comma 11 23" xfId="5560"/>
    <cellStyle name="Comma 11 23 2" xfId="5561"/>
    <cellStyle name="Comma 11 23 2 2" xfId="5562"/>
    <cellStyle name="Comma 11 23 2 2 2" xfId="5563"/>
    <cellStyle name="Comma 11 23 2 2 2 2" xfId="5564"/>
    <cellStyle name="Comma 11 23 2 2 3" xfId="5565"/>
    <cellStyle name="Comma 11 23 2 3" xfId="5566"/>
    <cellStyle name="Comma 11 23 2 3 2" xfId="5567"/>
    <cellStyle name="Comma 11 23 2 4" xfId="5568"/>
    <cellStyle name="Comma 11 23 3" xfId="5569"/>
    <cellStyle name="Comma 11 23 3 2" xfId="5570"/>
    <cellStyle name="Comma 11 23 3 2 2" xfId="5571"/>
    <cellStyle name="Comma 11 23 3 2 2 2" xfId="5572"/>
    <cellStyle name="Comma 11 23 3 2 3" xfId="5573"/>
    <cellStyle name="Comma 11 23 3 3" xfId="5574"/>
    <cellStyle name="Comma 11 23 3 3 2" xfId="5575"/>
    <cellStyle name="Comma 11 23 3 4" xfId="5576"/>
    <cellStyle name="Comma 11 23 4" xfId="5577"/>
    <cellStyle name="Comma 11 23 4 2" xfId="5578"/>
    <cellStyle name="Comma 11 23 4 2 2" xfId="5579"/>
    <cellStyle name="Comma 11 23 4 3" xfId="5580"/>
    <cellStyle name="Comma 11 23 5" xfId="5581"/>
    <cellStyle name="Comma 11 23 5 2" xfId="5582"/>
    <cellStyle name="Comma 11 23 6" xfId="5583"/>
    <cellStyle name="Comma 11 24" xfId="5584"/>
    <cellStyle name="Comma 11 24 2" xfId="5585"/>
    <cellStyle name="Comma 11 24 2 2" xfId="5586"/>
    <cellStyle name="Comma 11 24 2 2 2" xfId="5587"/>
    <cellStyle name="Comma 11 24 2 2 2 2" xfId="5588"/>
    <cellStyle name="Comma 11 24 2 2 3" xfId="5589"/>
    <cellStyle name="Comma 11 24 2 3" xfId="5590"/>
    <cellStyle name="Comma 11 24 2 3 2" xfId="5591"/>
    <cellStyle name="Comma 11 24 2 4" xfId="5592"/>
    <cellStyle name="Comma 11 24 3" xfId="5593"/>
    <cellStyle name="Comma 11 24 3 2" xfId="5594"/>
    <cellStyle name="Comma 11 24 3 2 2" xfId="5595"/>
    <cellStyle name="Comma 11 24 3 2 2 2" xfId="5596"/>
    <cellStyle name="Comma 11 24 3 2 3" xfId="5597"/>
    <cellStyle name="Comma 11 24 3 3" xfId="5598"/>
    <cellStyle name="Comma 11 24 3 3 2" xfId="5599"/>
    <cellStyle name="Comma 11 24 3 4" xfId="5600"/>
    <cellStyle name="Comma 11 24 4" xfId="5601"/>
    <cellStyle name="Comma 11 24 4 2" xfId="5602"/>
    <cellStyle name="Comma 11 24 4 2 2" xfId="5603"/>
    <cellStyle name="Comma 11 24 4 3" xfId="5604"/>
    <cellStyle name="Comma 11 24 5" xfId="5605"/>
    <cellStyle name="Comma 11 24 5 2" xfId="5606"/>
    <cellStyle name="Comma 11 24 6" xfId="5607"/>
    <cellStyle name="Comma 11 25" xfId="5608"/>
    <cellStyle name="Comma 11 25 2" xfId="5609"/>
    <cellStyle name="Comma 11 25 2 2" xfId="5610"/>
    <cellStyle name="Comma 11 25 2 2 2" xfId="5611"/>
    <cellStyle name="Comma 11 25 2 2 2 2" xfId="5612"/>
    <cellStyle name="Comma 11 25 2 2 3" xfId="5613"/>
    <cellStyle name="Comma 11 25 2 3" xfId="5614"/>
    <cellStyle name="Comma 11 25 2 3 2" xfId="5615"/>
    <cellStyle name="Comma 11 25 2 4" xfId="5616"/>
    <cellStyle name="Comma 11 25 3" xfId="5617"/>
    <cellStyle name="Comma 11 25 3 2" xfId="5618"/>
    <cellStyle name="Comma 11 25 3 2 2" xfId="5619"/>
    <cellStyle name="Comma 11 25 3 2 2 2" xfId="5620"/>
    <cellStyle name="Comma 11 25 3 2 3" xfId="5621"/>
    <cellStyle name="Comma 11 25 3 3" xfId="5622"/>
    <cellStyle name="Comma 11 25 3 3 2" xfId="5623"/>
    <cellStyle name="Comma 11 25 3 4" xfId="5624"/>
    <cellStyle name="Comma 11 25 4" xfId="5625"/>
    <cellStyle name="Comma 11 25 4 2" xfId="5626"/>
    <cellStyle name="Comma 11 25 4 2 2" xfId="5627"/>
    <cellStyle name="Comma 11 25 4 3" xfId="5628"/>
    <cellStyle name="Comma 11 25 5" xfId="5629"/>
    <cellStyle name="Comma 11 25 5 2" xfId="5630"/>
    <cellStyle name="Comma 11 25 6" xfId="5631"/>
    <cellStyle name="Comma 11 26" xfId="5632"/>
    <cellStyle name="Comma 11 26 2" xfId="5633"/>
    <cellStyle name="Comma 11 26 2 2" xfId="5634"/>
    <cellStyle name="Comma 11 26 2 2 2" xfId="5635"/>
    <cellStyle name="Comma 11 26 2 2 2 2" xfId="5636"/>
    <cellStyle name="Comma 11 26 2 2 3" xfId="5637"/>
    <cellStyle name="Comma 11 26 2 3" xfId="5638"/>
    <cellStyle name="Comma 11 26 2 3 2" xfId="5639"/>
    <cellStyle name="Comma 11 26 2 4" xfId="5640"/>
    <cellStyle name="Comma 11 26 3" xfId="5641"/>
    <cellStyle name="Comma 11 26 3 2" xfId="5642"/>
    <cellStyle name="Comma 11 26 3 2 2" xfId="5643"/>
    <cellStyle name="Comma 11 26 3 2 2 2" xfId="5644"/>
    <cellStyle name="Comma 11 26 3 2 3" xfId="5645"/>
    <cellStyle name="Comma 11 26 3 3" xfId="5646"/>
    <cellStyle name="Comma 11 26 3 3 2" xfId="5647"/>
    <cellStyle name="Comma 11 26 3 4" xfId="5648"/>
    <cellStyle name="Comma 11 26 4" xfId="5649"/>
    <cellStyle name="Comma 11 26 4 2" xfId="5650"/>
    <cellStyle name="Comma 11 26 4 2 2" xfId="5651"/>
    <cellStyle name="Comma 11 26 4 3" xfId="5652"/>
    <cellStyle name="Comma 11 26 5" xfId="5653"/>
    <cellStyle name="Comma 11 26 5 2" xfId="5654"/>
    <cellStyle name="Comma 11 26 6" xfId="5655"/>
    <cellStyle name="Comma 11 27" xfId="5656"/>
    <cellStyle name="Comma 11 27 2" xfId="5657"/>
    <cellStyle name="Comma 11 27 2 2" xfId="5658"/>
    <cellStyle name="Comma 11 27 2 2 2" xfId="5659"/>
    <cellStyle name="Comma 11 27 2 2 2 2" xfId="5660"/>
    <cellStyle name="Comma 11 27 2 2 3" xfId="5661"/>
    <cellStyle name="Comma 11 27 2 3" xfId="5662"/>
    <cellStyle name="Comma 11 27 2 3 2" xfId="5663"/>
    <cellStyle name="Comma 11 27 2 4" xfId="5664"/>
    <cellStyle name="Comma 11 27 3" xfId="5665"/>
    <cellStyle name="Comma 11 27 3 2" xfId="5666"/>
    <cellStyle name="Comma 11 27 3 2 2" xfId="5667"/>
    <cellStyle name="Comma 11 27 3 2 2 2" xfId="5668"/>
    <cellStyle name="Comma 11 27 3 2 3" xfId="5669"/>
    <cellStyle name="Comma 11 27 3 3" xfId="5670"/>
    <cellStyle name="Comma 11 27 3 3 2" xfId="5671"/>
    <cellStyle name="Comma 11 27 3 4" xfId="5672"/>
    <cellStyle name="Comma 11 27 4" xfId="5673"/>
    <cellStyle name="Comma 11 27 4 2" xfId="5674"/>
    <cellStyle name="Comma 11 27 4 2 2" xfId="5675"/>
    <cellStyle name="Comma 11 27 4 3" xfId="5676"/>
    <cellStyle name="Comma 11 27 5" xfId="5677"/>
    <cellStyle name="Comma 11 27 5 2" xfId="5678"/>
    <cellStyle name="Comma 11 27 6" xfId="5679"/>
    <cellStyle name="Comma 11 28" xfId="5680"/>
    <cellStyle name="Comma 11 28 2" xfId="5681"/>
    <cellStyle name="Comma 11 28 2 2" xfId="5682"/>
    <cellStyle name="Comma 11 28 2 2 2" xfId="5683"/>
    <cellStyle name="Comma 11 28 2 2 2 2" xfId="5684"/>
    <cellStyle name="Comma 11 28 2 2 3" xfId="5685"/>
    <cellStyle name="Comma 11 28 2 3" xfId="5686"/>
    <cellStyle name="Comma 11 28 2 3 2" xfId="5687"/>
    <cellStyle name="Comma 11 28 2 4" xfId="5688"/>
    <cellStyle name="Comma 11 28 3" xfId="5689"/>
    <cellStyle name="Comma 11 28 3 2" xfId="5690"/>
    <cellStyle name="Comma 11 28 3 2 2" xfId="5691"/>
    <cellStyle name="Comma 11 28 3 2 2 2" xfId="5692"/>
    <cellStyle name="Comma 11 28 3 2 3" xfId="5693"/>
    <cellStyle name="Comma 11 28 3 3" xfId="5694"/>
    <cellStyle name="Comma 11 28 3 3 2" xfId="5695"/>
    <cellStyle name="Comma 11 28 3 4" xfId="5696"/>
    <cellStyle name="Comma 11 28 4" xfId="5697"/>
    <cellStyle name="Comma 11 28 4 2" xfId="5698"/>
    <cellStyle name="Comma 11 28 4 2 2" xfId="5699"/>
    <cellStyle name="Comma 11 28 4 3" xfId="5700"/>
    <cellStyle name="Comma 11 28 5" xfId="5701"/>
    <cellStyle name="Comma 11 28 5 2" xfId="5702"/>
    <cellStyle name="Comma 11 28 6" xfId="5703"/>
    <cellStyle name="Comma 11 29" xfId="5704"/>
    <cellStyle name="Comma 11 29 2" xfId="5705"/>
    <cellStyle name="Comma 11 29 2 2" xfId="5706"/>
    <cellStyle name="Comma 11 29 2 2 2" xfId="5707"/>
    <cellStyle name="Comma 11 29 2 2 2 2" xfId="5708"/>
    <cellStyle name="Comma 11 29 2 2 3" xfId="5709"/>
    <cellStyle name="Comma 11 29 2 3" xfId="5710"/>
    <cellStyle name="Comma 11 29 2 3 2" xfId="5711"/>
    <cellStyle name="Comma 11 29 2 4" xfId="5712"/>
    <cellStyle name="Comma 11 29 3" xfId="5713"/>
    <cellStyle name="Comma 11 29 3 2" xfId="5714"/>
    <cellStyle name="Comma 11 29 3 2 2" xfId="5715"/>
    <cellStyle name="Comma 11 29 3 2 2 2" xfId="5716"/>
    <cellStyle name="Comma 11 29 3 2 3" xfId="5717"/>
    <cellStyle name="Comma 11 29 3 3" xfId="5718"/>
    <cellStyle name="Comma 11 29 3 3 2" xfId="5719"/>
    <cellStyle name="Comma 11 29 3 4" xfId="5720"/>
    <cellStyle name="Comma 11 29 4" xfId="5721"/>
    <cellStyle name="Comma 11 29 4 2" xfId="5722"/>
    <cellStyle name="Comma 11 29 4 2 2" xfId="5723"/>
    <cellStyle name="Comma 11 29 4 3" xfId="5724"/>
    <cellStyle name="Comma 11 29 5" xfId="5725"/>
    <cellStyle name="Comma 11 29 5 2" xfId="5726"/>
    <cellStyle name="Comma 11 29 6" xfId="5727"/>
    <cellStyle name="Comma 11 3" xfId="5728"/>
    <cellStyle name="Comma 11 3 10" xfId="5729"/>
    <cellStyle name="Comma 11 3 10 2" xfId="5730"/>
    <cellStyle name="Comma 11 3 10 2 2" xfId="5731"/>
    <cellStyle name="Comma 11 3 10 2 2 2" xfId="5732"/>
    <cellStyle name="Comma 11 3 10 2 2 2 2" xfId="5733"/>
    <cellStyle name="Comma 11 3 10 2 2 3" xfId="5734"/>
    <cellStyle name="Comma 11 3 10 2 3" xfId="5735"/>
    <cellStyle name="Comma 11 3 10 2 3 2" xfId="5736"/>
    <cellStyle name="Comma 11 3 10 2 4" xfId="5737"/>
    <cellStyle name="Comma 11 3 10 3" xfId="5738"/>
    <cellStyle name="Comma 11 3 10 3 2" xfId="5739"/>
    <cellStyle name="Comma 11 3 10 3 2 2" xfId="5740"/>
    <cellStyle name="Comma 11 3 10 3 2 2 2" xfId="5741"/>
    <cellStyle name="Comma 11 3 10 3 2 3" xfId="5742"/>
    <cellStyle name="Comma 11 3 10 3 3" xfId="5743"/>
    <cellStyle name="Comma 11 3 10 3 3 2" xfId="5744"/>
    <cellStyle name="Comma 11 3 10 3 4" xfId="5745"/>
    <cellStyle name="Comma 11 3 10 4" xfId="5746"/>
    <cellStyle name="Comma 11 3 10 4 2" xfId="5747"/>
    <cellStyle name="Comma 11 3 10 4 2 2" xfId="5748"/>
    <cellStyle name="Comma 11 3 10 4 3" xfId="5749"/>
    <cellStyle name="Comma 11 3 10 5" xfId="5750"/>
    <cellStyle name="Comma 11 3 10 5 2" xfId="5751"/>
    <cellStyle name="Comma 11 3 10 6" xfId="5752"/>
    <cellStyle name="Comma 11 3 11" xfId="5753"/>
    <cellStyle name="Comma 11 3 11 2" xfId="5754"/>
    <cellStyle name="Comma 11 3 11 2 2" xfId="5755"/>
    <cellStyle name="Comma 11 3 11 2 2 2" xfId="5756"/>
    <cellStyle name="Comma 11 3 11 2 2 2 2" xfId="5757"/>
    <cellStyle name="Comma 11 3 11 2 2 3" xfId="5758"/>
    <cellStyle name="Comma 11 3 11 2 3" xfId="5759"/>
    <cellStyle name="Comma 11 3 11 2 3 2" xfId="5760"/>
    <cellStyle name="Comma 11 3 11 2 4" xfId="5761"/>
    <cellStyle name="Comma 11 3 11 3" xfId="5762"/>
    <cellStyle name="Comma 11 3 11 3 2" xfId="5763"/>
    <cellStyle name="Comma 11 3 11 3 2 2" xfId="5764"/>
    <cellStyle name="Comma 11 3 11 3 2 2 2" xfId="5765"/>
    <cellStyle name="Comma 11 3 11 3 2 3" xfId="5766"/>
    <cellStyle name="Comma 11 3 11 3 3" xfId="5767"/>
    <cellStyle name="Comma 11 3 11 3 3 2" xfId="5768"/>
    <cellStyle name="Comma 11 3 11 3 4" xfId="5769"/>
    <cellStyle name="Comma 11 3 11 4" xfId="5770"/>
    <cellStyle name="Comma 11 3 11 4 2" xfId="5771"/>
    <cellStyle name="Comma 11 3 11 4 2 2" xfId="5772"/>
    <cellStyle name="Comma 11 3 11 4 3" xfId="5773"/>
    <cellStyle name="Comma 11 3 11 5" xfId="5774"/>
    <cellStyle name="Comma 11 3 11 5 2" xfId="5775"/>
    <cellStyle name="Comma 11 3 11 6" xfId="5776"/>
    <cellStyle name="Comma 11 3 12" xfId="5777"/>
    <cellStyle name="Comma 11 3 12 2" xfId="5778"/>
    <cellStyle name="Comma 11 3 12 2 2" xfId="5779"/>
    <cellStyle name="Comma 11 3 12 2 2 2" xfId="5780"/>
    <cellStyle name="Comma 11 3 12 2 2 2 2" xfId="5781"/>
    <cellStyle name="Comma 11 3 12 2 2 3" xfId="5782"/>
    <cellStyle name="Comma 11 3 12 2 3" xfId="5783"/>
    <cellStyle name="Comma 11 3 12 2 3 2" xfId="5784"/>
    <cellStyle name="Comma 11 3 12 2 4" xfId="5785"/>
    <cellStyle name="Comma 11 3 12 3" xfId="5786"/>
    <cellStyle name="Comma 11 3 12 3 2" xfId="5787"/>
    <cellStyle name="Comma 11 3 12 3 2 2" xfId="5788"/>
    <cellStyle name="Comma 11 3 12 3 2 2 2" xfId="5789"/>
    <cellStyle name="Comma 11 3 12 3 2 3" xfId="5790"/>
    <cellStyle name="Comma 11 3 12 3 3" xfId="5791"/>
    <cellStyle name="Comma 11 3 12 3 3 2" xfId="5792"/>
    <cellStyle name="Comma 11 3 12 3 4" xfId="5793"/>
    <cellStyle name="Comma 11 3 12 4" xfId="5794"/>
    <cellStyle name="Comma 11 3 12 4 2" xfId="5795"/>
    <cellStyle name="Comma 11 3 12 4 2 2" xfId="5796"/>
    <cellStyle name="Comma 11 3 12 4 3" xfId="5797"/>
    <cellStyle name="Comma 11 3 12 5" xfId="5798"/>
    <cellStyle name="Comma 11 3 12 5 2" xfId="5799"/>
    <cellStyle name="Comma 11 3 12 6" xfId="5800"/>
    <cellStyle name="Comma 11 3 13" xfId="5801"/>
    <cellStyle name="Comma 11 3 13 2" xfId="5802"/>
    <cellStyle name="Comma 11 3 13 2 2" xfId="5803"/>
    <cellStyle name="Comma 11 3 13 2 2 2" xfId="5804"/>
    <cellStyle name="Comma 11 3 13 2 2 2 2" xfId="5805"/>
    <cellStyle name="Comma 11 3 13 2 2 3" xfId="5806"/>
    <cellStyle name="Comma 11 3 13 2 3" xfId="5807"/>
    <cellStyle name="Comma 11 3 13 2 3 2" xfId="5808"/>
    <cellStyle name="Comma 11 3 13 2 4" xfId="5809"/>
    <cellStyle name="Comma 11 3 13 3" xfId="5810"/>
    <cellStyle name="Comma 11 3 13 3 2" xfId="5811"/>
    <cellStyle name="Comma 11 3 13 3 2 2" xfId="5812"/>
    <cellStyle name="Comma 11 3 13 3 2 2 2" xfId="5813"/>
    <cellStyle name="Comma 11 3 13 3 2 3" xfId="5814"/>
    <cellStyle name="Comma 11 3 13 3 3" xfId="5815"/>
    <cellStyle name="Comma 11 3 13 3 3 2" xfId="5816"/>
    <cellStyle name="Comma 11 3 13 3 4" xfId="5817"/>
    <cellStyle name="Comma 11 3 13 4" xfId="5818"/>
    <cellStyle name="Comma 11 3 13 4 2" xfId="5819"/>
    <cellStyle name="Comma 11 3 13 4 2 2" xfId="5820"/>
    <cellStyle name="Comma 11 3 13 4 3" xfId="5821"/>
    <cellStyle name="Comma 11 3 13 5" xfId="5822"/>
    <cellStyle name="Comma 11 3 13 5 2" xfId="5823"/>
    <cellStyle name="Comma 11 3 13 6" xfId="5824"/>
    <cellStyle name="Comma 11 3 14" xfId="5825"/>
    <cellStyle name="Comma 11 3 14 2" xfId="5826"/>
    <cellStyle name="Comma 11 3 14 2 2" xfId="5827"/>
    <cellStyle name="Comma 11 3 14 2 2 2" xfId="5828"/>
    <cellStyle name="Comma 11 3 14 2 3" xfId="5829"/>
    <cellStyle name="Comma 11 3 14 3" xfId="5830"/>
    <cellStyle name="Comma 11 3 14 3 2" xfId="5831"/>
    <cellStyle name="Comma 11 3 14 4" xfId="5832"/>
    <cellStyle name="Comma 11 3 15" xfId="5833"/>
    <cellStyle name="Comma 11 3 15 2" xfId="5834"/>
    <cellStyle name="Comma 11 3 15 2 2" xfId="5835"/>
    <cellStyle name="Comma 11 3 15 2 2 2" xfId="5836"/>
    <cellStyle name="Comma 11 3 15 2 3" xfId="5837"/>
    <cellStyle name="Comma 11 3 15 3" xfId="5838"/>
    <cellStyle name="Comma 11 3 15 3 2" xfId="5839"/>
    <cellStyle name="Comma 11 3 15 4" xfId="5840"/>
    <cellStyle name="Comma 11 3 16" xfId="5841"/>
    <cellStyle name="Comma 11 3 16 2" xfId="5842"/>
    <cellStyle name="Comma 11 3 16 2 2" xfId="5843"/>
    <cellStyle name="Comma 11 3 16 3" xfId="5844"/>
    <cellStyle name="Comma 11 3 17" xfId="5845"/>
    <cellStyle name="Comma 11 3 17 2" xfId="5846"/>
    <cellStyle name="Comma 11 3 18" xfId="5847"/>
    <cellStyle name="Comma 11 3 2" xfId="5848"/>
    <cellStyle name="Comma 11 3 2 2" xfId="5849"/>
    <cellStyle name="Comma 11 3 2 2 2" xfId="5850"/>
    <cellStyle name="Comma 11 3 2 2 2 2" xfId="5851"/>
    <cellStyle name="Comma 11 3 2 2 2 2 2" xfId="5852"/>
    <cellStyle name="Comma 11 3 2 2 2 3" xfId="5853"/>
    <cellStyle name="Comma 11 3 2 2 3" xfId="5854"/>
    <cellStyle name="Comma 11 3 2 2 3 2" xfId="5855"/>
    <cellStyle name="Comma 11 3 2 2 4" xfId="5856"/>
    <cellStyle name="Comma 11 3 2 3" xfId="5857"/>
    <cellStyle name="Comma 11 3 2 3 2" xfId="5858"/>
    <cellStyle name="Comma 11 3 2 3 2 2" xfId="5859"/>
    <cellStyle name="Comma 11 3 2 3 2 2 2" xfId="5860"/>
    <cellStyle name="Comma 11 3 2 3 2 3" xfId="5861"/>
    <cellStyle name="Comma 11 3 2 3 3" xfId="5862"/>
    <cellStyle name="Comma 11 3 2 3 3 2" xfId="5863"/>
    <cellStyle name="Comma 11 3 2 3 4" xfId="5864"/>
    <cellStyle name="Comma 11 3 2 4" xfId="5865"/>
    <cellStyle name="Comma 11 3 2 4 2" xfId="5866"/>
    <cellStyle name="Comma 11 3 2 4 2 2" xfId="5867"/>
    <cellStyle name="Comma 11 3 2 4 3" xfId="5868"/>
    <cellStyle name="Comma 11 3 2 5" xfId="5869"/>
    <cellStyle name="Comma 11 3 2 5 2" xfId="5870"/>
    <cellStyle name="Comma 11 3 2 6" xfId="5871"/>
    <cellStyle name="Comma 11 3 3" xfId="5872"/>
    <cellStyle name="Comma 11 3 3 2" xfId="5873"/>
    <cellStyle name="Comma 11 3 3 2 2" xfId="5874"/>
    <cellStyle name="Comma 11 3 3 2 2 2" xfId="5875"/>
    <cellStyle name="Comma 11 3 3 2 2 2 2" xfId="5876"/>
    <cellStyle name="Comma 11 3 3 2 2 3" xfId="5877"/>
    <cellStyle name="Comma 11 3 3 2 3" xfId="5878"/>
    <cellStyle name="Comma 11 3 3 2 3 2" xfId="5879"/>
    <cellStyle name="Comma 11 3 3 2 4" xfId="5880"/>
    <cellStyle name="Comma 11 3 3 3" xfId="5881"/>
    <cellStyle name="Comma 11 3 3 3 2" xfId="5882"/>
    <cellStyle name="Comma 11 3 3 3 2 2" xfId="5883"/>
    <cellStyle name="Comma 11 3 3 3 2 2 2" xfId="5884"/>
    <cellStyle name="Comma 11 3 3 3 2 3" xfId="5885"/>
    <cellStyle name="Comma 11 3 3 3 3" xfId="5886"/>
    <cellStyle name="Comma 11 3 3 3 3 2" xfId="5887"/>
    <cellStyle name="Comma 11 3 3 3 4" xfId="5888"/>
    <cellStyle name="Comma 11 3 3 4" xfId="5889"/>
    <cellStyle name="Comma 11 3 3 4 2" xfId="5890"/>
    <cellStyle name="Comma 11 3 3 4 2 2" xfId="5891"/>
    <cellStyle name="Comma 11 3 3 4 3" xfId="5892"/>
    <cellStyle name="Comma 11 3 3 5" xfId="5893"/>
    <cellStyle name="Comma 11 3 3 5 2" xfId="5894"/>
    <cellStyle name="Comma 11 3 3 6" xfId="5895"/>
    <cellStyle name="Comma 11 3 4" xfId="5896"/>
    <cellStyle name="Comma 11 3 4 2" xfId="5897"/>
    <cellStyle name="Comma 11 3 4 2 2" xfId="5898"/>
    <cellStyle name="Comma 11 3 4 2 2 2" xfId="5899"/>
    <cellStyle name="Comma 11 3 4 2 2 2 2" xfId="5900"/>
    <cellStyle name="Comma 11 3 4 2 2 3" xfId="5901"/>
    <cellStyle name="Comma 11 3 4 2 3" xfId="5902"/>
    <cellStyle name="Comma 11 3 4 2 3 2" xfId="5903"/>
    <cellStyle name="Comma 11 3 4 2 4" xfId="5904"/>
    <cellStyle name="Comma 11 3 4 3" xfId="5905"/>
    <cellStyle name="Comma 11 3 4 3 2" xfId="5906"/>
    <cellStyle name="Comma 11 3 4 3 2 2" xfId="5907"/>
    <cellStyle name="Comma 11 3 4 3 2 2 2" xfId="5908"/>
    <cellStyle name="Comma 11 3 4 3 2 3" xfId="5909"/>
    <cellStyle name="Comma 11 3 4 3 3" xfId="5910"/>
    <cellStyle name="Comma 11 3 4 3 3 2" xfId="5911"/>
    <cellStyle name="Comma 11 3 4 3 4" xfId="5912"/>
    <cellStyle name="Comma 11 3 4 4" xfId="5913"/>
    <cellStyle name="Comma 11 3 4 4 2" xfId="5914"/>
    <cellStyle name="Comma 11 3 4 4 2 2" xfId="5915"/>
    <cellStyle name="Comma 11 3 4 4 3" xfId="5916"/>
    <cellStyle name="Comma 11 3 4 5" xfId="5917"/>
    <cellStyle name="Comma 11 3 4 5 2" xfId="5918"/>
    <cellStyle name="Comma 11 3 4 6" xfId="5919"/>
    <cellStyle name="Comma 11 3 5" xfId="5920"/>
    <cellStyle name="Comma 11 3 5 2" xfId="5921"/>
    <cellStyle name="Comma 11 3 5 2 2" xfId="5922"/>
    <cellStyle name="Comma 11 3 5 2 2 2" xfId="5923"/>
    <cellStyle name="Comma 11 3 5 2 2 2 2" xfId="5924"/>
    <cellStyle name="Comma 11 3 5 2 2 3" xfId="5925"/>
    <cellStyle name="Comma 11 3 5 2 3" xfId="5926"/>
    <cellStyle name="Comma 11 3 5 2 3 2" xfId="5927"/>
    <cellStyle name="Comma 11 3 5 2 4" xfId="5928"/>
    <cellStyle name="Comma 11 3 5 3" xfId="5929"/>
    <cellStyle name="Comma 11 3 5 3 2" xfId="5930"/>
    <cellStyle name="Comma 11 3 5 3 2 2" xfId="5931"/>
    <cellStyle name="Comma 11 3 5 3 2 2 2" xfId="5932"/>
    <cellStyle name="Comma 11 3 5 3 2 3" xfId="5933"/>
    <cellStyle name="Comma 11 3 5 3 3" xfId="5934"/>
    <cellStyle name="Comma 11 3 5 3 3 2" xfId="5935"/>
    <cellStyle name="Comma 11 3 5 3 4" xfId="5936"/>
    <cellStyle name="Comma 11 3 5 4" xfId="5937"/>
    <cellStyle name="Comma 11 3 5 4 2" xfId="5938"/>
    <cellStyle name="Comma 11 3 5 4 2 2" xfId="5939"/>
    <cellStyle name="Comma 11 3 5 4 3" xfId="5940"/>
    <cellStyle name="Comma 11 3 5 5" xfId="5941"/>
    <cellStyle name="Comma 11 3 5 5 2" xfId="5942"/>
    <cellStyle name="Comma 11 3 5 6" xfId="5943"/>
    <cellStyle name="Comma 11 3 6" xfId="5944"/>
    <cellStyle name="Comma 11 3 6 2" xfId="5945"/>
    <cellStyle name="Comma 11 3 6 2 2" xfId="5946"/>
    <cellStyle name="Comma 11 3 6 2 2 2" xfId="5947"/>
    <cellStyle name="Comma 11 3 6 2 2 2 2" xfId="5948"/>
    <cellStyle name="Comma 11 3 6 2 2 3" xfId="5949"/>
    <cellStyle name="Comma 11 3 6 2 3" xfId="5950"/>
    <cellStyle name="Comma 11 3 6 2 3 2" xfId="5951"/>
    <cellStyle name="Comma 11 3 6 2 4" xfId="5952"/>
    <cellStyle name="Comma 11 3 6 3" xfId="5953"/>
    <cellStyle name="Comma 11 3 6 3 2" xfId="5954"/>
    <cellStyle name="Comma 11 3 6 3 2 2" xfId="5955"/>
    <cellStyle name="Comma 11 3 6 3 2 2 2" xfId="5956"/>
    <cellStyle name="Comma 11 3 6 3 2 3" xfId="5957"/>
    <cellStyle name="Comma 11 3 6 3 3" xfId="5958"/>
    <cellStyle name="Comma 11 3 6 3 3 2" xfId="5959"/>
    <cellStyle name="Comma 11 3 6 3 4" xfId="5960"/>
    <cellStyle name="Comma 11 3 6 4" xfId="5961"/>
    <cellStyle name="Comma 11 3 6 4 2" xfId="5962"/>
    <cellStyle name="Comma 11 3 6 4 2 2" xfId="5963"/>
    <cellStyle name="Comma 11 3 6 4 3" xfId="5964"/>
    <cellStyle name="Comma 11 3 6 5" xfId="5965"/>
    <cellStyle name="Comma 11 3 6 5 2" xfId="5966"/>
    <cellStyle name="Comma 11 3 6 6" xfId="5967"/>
    <cellStyle name="Comma 11 3 7" xfId="5968"/>
    <cellStyle name="Comma 11 3 7 2" xfId="5969"/>
    <cellStyle name="Comma 11 3 7 2 2" xfId="5970"/>
    <cellStyle name="Comma 11 3 7 2 2 2" xfId="5971"/>
    <cellStyle name="Comma 11 3 7 2 2 2 2" xfId="5972"/>
    <cellStyle name="Comma 11 3 7 2 2 3" xfId="5973"/>
    <cellStyle name="Comma 11 3 7 2 3" xfId="5974"/>
    <cellStyle name="Comma 11 3 7 2 3 2" xfId="5975"/>
    <cellStyle name="Comma 11 3 7 2 4" xfId="5976"/>
    <cellStyle name="Comma 11 3 7 3" xfId="5977"/>
    <cellStyle name="Comma 11 3 7 3 2" xfId="5978"/>
    <cellStyle name="Comma 11 3 7 3 2 2" xfId="5979"/>
    <cellStyle name="Comma 11 3 7 3 2 2 2" xfId="5980"/>
    <cellStyle name="Comma 11 3 7 3 2 3" xfId="5981"/>
    <cellStyle name="Comma 11 3 7 3 3" xfId="5982"/>
    <cellStyle name="Comma 11 3 7 3 3 2" xfId="5983"/>
    <cellStyle name="Comma 11 3 7 3 4" xfId="5984"/>
    <cellStyle name="Comma 11 3 7 4" xfId="5985"/>
    <cellStyle name="Comma 11 3 7 4 2" xfId="5986"/>
    <cellStyle name="Comma 11 3 7 4 2 2" xfId="5987"/>
    <cellStyle name="Comma 11 3 7 4 3" xfId="5988"/>
    <cellStyle name="Comma 11 3 7 5" xfId="5989"/>
    <cellStyle name="Comma 11 3 7 5 2" xfId="5990"/>
    <cellStyle name="Comma 11 3 7 6" xfId="5991"/>
    <cellStyle name="Comma 11 3 8" xfId="5992"/>
    <cellStyle name="Comma 11 3 8 2" xfId="5993"/>
    <cellStyle name="Comma 11 3 8 2 2" xfId="5994"/>
    <cellStyle name="Comma 11 3 8 2 2 2" xfId="5995"/>
    <cellStyle name="Comma 11 3 8 2 2 2 2" xfId="5996"/>
    <cellStyle name="Comma 11 3 8 2 2 3" xfId="5997"/>
    <cellStyle name="Comma 11 3 8 2 3" xfId="5998"/>
    <cellStyle name="Comma 11 3 8 2 3 2" xfId="5999"/>
    <cellStyle name="Comma 11 3 8 2 4" xfId="6000"/>
    <cellStyle name="Comma 11 3 8 3" xfId="6001"/>
    <cellStyle name="Comma 11 3 8 3 2" xfId="6002"/>
    <cellStyle name="Comma 11 3 8 3 2 2" xfId="6003"/>
    <cellStyle name="Comma 11 3 8 3 2 2 2" xfId="6004"/>
    <cellStyle name="Comma 11 3 8 3 2 3" xfId="6005"/>
    <cellStyle name="Comma 11 3 8 3 3" xfId="6006"/>
    <cellStyle name="Comma 11 3 8 3 3 2" xfId="6007"/>
    <cellStyle name="Comma 11 3 8 3 4" xfId="6008"/>
    <cellStyle name="Comma 11 3 8 4" xfId="6009"/>
    <cellStyle name="Comma 11 3 8 4 2" xfId="6010"/>
    <cellStyle name="Comma 11 3 8 4 2 2" xfId="6011"/>
    <cellStyle name="Comma 11 3 8 4 3" xfId="6012"/>
    <cellStyle name="Comma 11 3 8 5" xfId="6013"/>
    <cellStyle name="Comma 11 3 8 5 2" xfId="6014"/>
    <cellStyle name="Comma 11 3 8 6" xfId="6015"/>
    <cellStyle name="Comma 11 3 9" xfId="6016"/>
    <cellStyle name="Comma 11 3 9 2" xfId="6017"/>
    <cellStyle name="Comma 11 3 9 2 2" xfId="6018"/>
    <cellStyle name="Comma 11 3 9 2 2 2" xfId="6019"/>
    <cellStyle name="Comma 11 3 9 2 2 2 2" xfId="6020"/>
    <cellStyle name="Comma 11 3 9 2 2 3" xfId="6021"/>
    <cellStyle name="Comma 11 3 9 2 3" xfId="6022"/>
    <cellStyle name="Comma 11 3 9 2 3 2" xfId="6023"/>
    <cellStyle name="Comma 11 3 9 2 4" xfId="6024"/>
    <cellStyle name="Comma 11 3 9 3" xfId="6025"/>
    <cellStyle name="Comma 11 3 9 3 2" xfId="6026"/>
    <cellStyle name="Comma 11 3 9 3 2 2" xfId="6027"/>
    <cellStyle name="Comma 11 3 9 3 2 2 2" xfId="6028"/>
    <cellStyle name="Comma 11 3 9 3 2 3" xfId="6029"/>
    <cellStyle name="Comma 11 3 9 3 3" xfId="6030"/>
    <cellStyle name="Comma 11 3 9 3 3 2" xfId="6031"/>
    <cellStyle name="Comma 11 3 9 3 4" xfId="6032"/>
    <cellStyle name="Comma 11 3 9 4" xfId="6033"/>
    <cellStyle name="Comma 11 3 9 4 2" xfId="6034"/>
    <cellStyle name="Comma 11 3 9 4 2 2" xfId="6035"/>
    <cellStyle name="Comma 11 3 9 4 3" xfId="6036"/>
    <cellStyle name="Comma 11 3 9 5" xfId="6037"/>
    <cellStyle name="Comma 11 3 9 5 2" xfId="6038"/>
    <cellStyle name="Comma 11 3 9 6" xfId="6039"/>
    <cellStyle name="Comma 11 30" xfId="6040"/>
    <cellStyle name="Comma 11 30 2" xfId="6041"/>
    <cellStyle name="Comma 11 30 2 2" xfId="6042"/>
    <cellStyle name="Comma 11 30 2 2 2" xfId="6043"/>
    <cellStyle name="Comma 11 30 2 2 2 2" xfId="6044"/>
    <cellStyle name="Comma 11 30 2 2 3" xfId="6045"/>
    <cellStyle name="Comma 11 30 2 3" xfId="6046"/>
    <cellStyle name="Comma 11 30 2 3 2" xfId="6047"/>
    <cellStyle name="Comma 11 30 2 4" xfId="6048"/>
    <cellStyle name="Comma 11 30 3" xfId="6049"/>
    <cellStyle name="Comma 11 30 3 2" xfId="6050"/>
    <cellStyle name="Comma 11 30 3 2 2" xfId="6051"/>
    <cellStyle name="Comma 11 30 3 2 2 2" xfId="6052"/>
    <cellStyle name="Comma 11 30 3 2 3" xfId="6053"/>
    <cellStyle name="Comma 11 30 3 3" xfId="6054"/>
    <cellStyle name="Comma 11 30 3 3 2" xfId="6055"/>
    <cellStyle name="Comma 11 30 3 4" xfId="6056"/>
    <cellStyle name="Comma 11 30 4" xfId="6057"/>
    <cellStyle name="Comma 11 30 4 2" xfId="6058"/>
    <cellStyle name="Comma 11 30 4 2 2" xfId="6059"/>
    <cellStyle name="Comma 11 30 4 3" xfId="6060"/>
    <cellStyle name="Comma 11 30 5" xfId="6061"/>
    <cellStyle name="Comma 11 30 5 2" xfId="6062"/>
    <cellStyle name="Comma 11 30 6" xfId="6063"/>
    <cellStyle name="Comma 11 31" xfId="6064"/>
    <cellStyle name="Comma 11 31 2" xfId="6065"/>
    <cellStyle name="Comma 11 31 2 2" xfId="6066"/>
    <cellStyle name="Comma 11 31 2 2 2" xfId="6067"/>
    <cellStyle name="Comma 11 31 2 2 2 2" xfId="6068"/>
    <cellStyle name="Comma 11 31 2 2 3" xfId="6069"/>
    <cellStyle name="Comma 11 31 2 3" xfId="6070"/>
    <cellStyle name="Comma 11 31 2 3 2" xfId="6071"/>
    <cellStyle name="Comma 11 31 2 4" xfId="6072"/>
    <cellStyle name="Comma 11 31 3" xfId="6073"/>
    <cellStyle name="Comma 11 31 3 2" xfId="6074"/>
    <cellStyle name="Comma 11 31 3 2 2" xfId="6075"/>
    <cellStyle name="Comma 11 31 3 2 2 2" xfId="6076"/>
    <cellStyle name="Comma 11 31 3 2 3" xfId="6077"/>
    <cellStyle name="Comma 11 31 3 3" xfId="6078"/>
    <cellStyle name="Comma 11 31 3 3 2" xfId="6079"/>
    <cellStyle name="Comma 11 31 3 4" xfId="6080"/>
    <cellStyle name="Comma 11 31 4" xfId="6081"/>
    <cellStyle name="Comma 11 31 4 2" xfId="6082"/>
    <cellStyle name="Comma 11 31 4 2 2" xfId="6083"/>
    <cellStyle name="Comma 11 31 4 3" xfId="6084"/>
    <cellStyle name="Comma 11 31 5" xfId="6085"/>
    <cellStyle name="Comma 11 31 5 2" xfId="6086"/>
    <cellStyle name="Comma 11 31 6" xfId="6087"/>
    <cellStyle name="Comma 11 32" xfId="6088"/>
    <cellStyle name="Comma 11 32 2" xfId="6089"/>
    <cellStyle name="Comma 11 32 2 2" xfId="6090"/>
    <cellStyle name="Comma 11 32 2 2 2" xfId="6091"/>
    <cellStyle name="Comma 11 32 2 2 2 2" xfId="6092"/>
    <cellStyle name="Comma 11 32 2 2 3" xfId="6093"/>
    <cellStyle name="Comma 11 32 2 3" xfId="6094"/>
    <cellStyle name="Comma 11 32 2 3 2" xfId="6095"/>
    <cellStyle name="Comma 11 32 2 4" xfId="6096"/>
    <cellStyle name="Comma 11 32 3" xfId="6097"/>
    <cellStyle name="Comma 11 32 3 2" xfId="6098"/>
    <cellStyle name="Comma 11 32 3 2 2" xfId="6099"/>
    <cellStyle name="Comma 11 32 3 2 2 2" xfId="6100"/>
    <cellStyle name="Comma 11 32 3 2 3" xfId="6101"/>
    <cellStyle name="Comma 11 32 3 3" xfId="6102"/>
    <cellStyle name="Comma 11 32 3 3 2" xfId="6103"/>
    <cellStyle name="Comma 11 32 3 4" xfId="6104"/>
    <cellStyle name="Comma 11 32 4" xfId="6105"/>
    <cellStyle name="Comma 11 32 4 2" xfId="6106"/>
    <cellStyle name="Comma 11 32 4 2 2" xfId="6107"/>
    <cellStyle name="Comma 11 32 4 3" xfId="6108"/>
    <cellStyle name="Comma 11 32 5" xfId="6109"/>
    <cellStyle name="Comma 11 32 5 2" xfId="6110"/>
    <cellStyle name="Comma 11 32 6" xfId="6111"/>
    <cellStyle name="Comma 11 33" xfId="6112"/>
    <cellStyle name="Comma 11 33 2" xfId="6113"/>
    <cellStyle name="Comma 11 33 2 2" xfId="6114"/>
    <cellStyle name="Comma 11 33 2 2 2" xfId="6115"/>
    <cellStyle name="Comma 11 33 2 3" xfId="6116"/>
    <cellStyle name="Comma 11 33 3" xfId="6117"/>
    <cellStyle name="Comma 11 33 3 2" xfId="6118"/>
    <cellStyle name="Comma 11 33 4" xfId="6119"/>
    <cellStyle name="Comma 11 34" xfId="6120"/>
    <cellStyle name="Comma 11 34 2" xfId="6121"/>
    <cellStyle name="Comma 11 34 2 2" xfId="6122"/>
    <cellStyle name="Comma 11 34 2 2 2" xfId="6123"/>
    <cellStyle name="Comma 11 34 2 3" xfId="6124"/>
    <cellStyle name="Comma 11 34 3" xfId="6125"/>
    <cellStyle name="Comma 11 34 3 2" xfId="6126"/>
    <cellStyle name="Comma 11 34 4" xfId="6127"/>
    <cellStyle name="Comma 11 35" xfId="6128"/>
    <cellStyle name="Comma 11 35 2" xfId="6129"/>
    <cellStyle name="Comma 11 35 2 2" xfId="6130"/>
    <cellStyle name="Comma 11 35 3" xfId="6131"/>
    <cellStyle name="Comma 11 36" xfId="6132"/>
    <cellStyle name="Comma 11 36 2" xfId="6133"/>
    <cellStyle name="Comma 11 36 2 2" xfId="6134"/>
    <cellStyle name="Comma 11 36 3" xfId="6135"/>
    <cellStyle name="Comma 11 37" xfId="6136"/>
    <cellStyle name="Comma 11 37 2" xfId="6137"/>
    <cellStyle name="Comma 11 37 2 2" xfId="6138"/>
    <cellStyle name="Comma 11 37 3" xfId="6139"/>
    <cellStyle name="Comma 11 38" xfId="6140"/>
    <cellStyle name="Comma 11 38 2" xfId="6141"/>
    <cellStyle name="Comma 11 38 2 2" xfId="6142"/>
    <cellStyle name="Comma 11 38 3" xfId="6143"/>
    <cellStyle name="Comma 11 39" xfId="6144"/>
    <cellStyle name="Comma 11 39 2" xfId="6145"/>
    <cellStyle name="Comma 11 39 2 2" xfId="6146"/>
    <cellStyle name="Comma 11 39 3" xfId="6147"/>
    <cellStyle name="Comma 11 4" xfId="6148"/>
    <cellStyle name="Comma 11 4 10" xfId="6149"/>
    <cellStyle name="Comma 11 4 10 2" xfId="6150"/>
    <cellStyle name="Comma 11 4 10 2 2" xfId="6151"/>
    <cellStyle name="Comma 11 4 10 2 2 2" xfId="6152"/>
    <cellStyle name="Comma 11 4 10 2 2 2 2" xfId="6153"/>
    <cellStyle name="Comma 11 4 10 2 2 3" xfId="6154"/>
    <cellStyle name="Comma 11 4 10 2 3" xfId="6155"/>
    <cellStyle name="Comma 11 4 10 2 3 2" xfId="6156"/>
    <cellStyle name="Comma 11 4 10 2 4" xfId="6157"/>
    <cellStyle name="Comma 11 4 10 3" xfId="6158"/>
    <cellStyle name="Comma 11 4 10 3 2" xfId="6159"/>
    <cellStyle name="Comma 11 4 10 3 2 2" xfId="6160"/>
    <cellStyle name="Comma 11 4 10 3 2 2 2" xfId="6161"/>
    <cellStyle name="Comma 11 4 10 3 2 3" xfId="6162"/>
    <cellStyle name="Comma 11 4 10 3 3" xfId="6163"/>
    <cellStyle name="Comma 11 4 10 3 3 2" xfId="6164"/>
    <cellStyle name="Comma 11 4 10 3 4" xfId="6165"/>
    <cellStyle name="Comma 11 4 10 4" xfId="6166"/>
    <cellStyle name="Comma 11 4 10 4 2" xfId="6167"/>
    <cellStyle name="Comma 11 4 10 4 2 2" xfId="6168"/>
    <cellStyle name="Comma 11 4 10 4 3" xfId="6169"/>
    <cellStyle name="Comma 11 4 10 5" xfId="6170"/>
    <cellStyle name="Comma 11 4 10 5 2" xfId="6171"/>
    <cellStyle name="Comma 11 4 10 6" xfId="6172"/>
    <cellStyle name="Comma 11 4 11" xfId="6173"/>
    <cellStyle name="Comma 11 4 11 2" xfId="6174"/>
    <cellStyle name="Comma 11 4 11 2 2" xfId="6175"/>
    <cellStyle name="Comma 11 4 11 2 2 2" xfId="6176"/>
    <cellStyle name="Comma 11 4 11 2 2 2 2" xfId="6177"/>
    <cellStyle name="Comma 11 4 11 2 2 3" xfId="6178"/>
    <cellStyle name="Comma 11 4 11 2 3" xfId="6179"/>
    <cellStyle name="Comma 11 4 11 2 3 2" xfId="6180"/>
    <cellStyle name="Comma 11 4 11 2 4" xfId="6181"/>
    <cellStyle name="Comma 11 4 11 3" xfId="6182"/>
    <cellStyle name="Comma 11 4 11 3 2" xfId="6183"/>
    <cellStyle name="Comma 11 4 11 3 2 2" xfId="6184"/>
    <cellStyle name="Comma 11 4 11 3 2 2 2" xfId="6185"/>
    <cellStyle name="Comma 11 4 11 3 2 3" xfId="6186"/>
    <cellStyle name="Comma 11 4 11 3 3" xfId="6187"/>
    <cellStyle name="Comma 11 4 11 3 3 2" xfId="6188"/>
    <cellStyle name="Comma 11 4 11 3 4" xfId="6189"/>
    <cellStyle name="Comma 11 4 11 4" xfId="6190"/>
    <cellStyle name="Comma 11 4 11 4 2" xfId="6191"/>
    <cellStyle name="Comma 11 4 11 4 2 2" xfId="6192"/>
    <cellStyle name="Comma 11 4 11 4 3" xfId="6193"/>
    <cellStyle name="Comma 11 4 11 5" xfId="6194"/>
    <cellStyle name="Comma 11 4 11 5 2" xfId="6195"/>
    <cellStyle name="Comma 11 4 11 6" xfId="6196"/>
    <cellStyle name="Comma 11 4 12" xfId="6197"/>
    <cellStyle name="Comma 11 4 12 2" xfId="6198"/>
    <cellStyle name="Comma 11 4 12 2 2" xfId="6199"/>
    <cellStyle name="Comma 11 4 12 2 2 2" xfId="6200"/>
    <cellStyle name="Comma 11 4 12 2 2 2 2" xfId="6201"/>
    <cellStyle name="Comma 11 4 12 2 2 3" xfId="6202"/>
    <cellStyle name="Comma 11 4 12 2 3" xfId="6203"/>
    <cellStyle name="Comma 11 4 12 2 3 2" xfId="6204"/>
    <cellStyle name="Comma 11 4 12 2 4" xfId="6205"/>
    <cellStyle name="Comma 11 4 12 3" xfId="6206"/>
    <cellStyle name="Comma 11 4 12 3 2" xfId="6207"/>
    <cellStyle name="Comma 11 4 12 3 2 2" xfId="6208"/>
    <cellStyle name="Comma 11 4 12 3 2 2 2" xfId="6209"/>
    <cellStyle name="Comma 11 4 12 3 2 3" xfId="6210"/>
    <cellStyle name="Comma 11 4 12 3 3" xfId="6211"/>
    <cellStyle name="Comma 11 4 12 3 3 2" xfId="6212"/>
    <cellStyle name="Comma 11 4 12 3 4" xfId="6213"/>
    <cellStyle name="Comma 11 4 12 4" xfId="6214"/>
    <cellStyle name="Comma 11 4 12 4 2" xfId="6215"/>
    <cellStyle name="Comma 11 4 12 4 2 2" xfId="6216"/>
    <cellStyle name="Comma 11 4 12 4 3" xfId="6217"/>
    <cellStyle name="Comma 11 4 12 5" xfId="6218"/>
    <cellStyle name="Comma 11 4 12 5 2" xfId="6219"/>
    <cellStyle name="Comma 11 4 12 6" xfId="6220"/>
    <cellStyle name="Comma 11 4 13" xfId="6221"/>
    <cellStyle name="Comma 11 4 13 2" xfId="6222"/>
    <cellStyle name="Comma 11 4 13 2 2" xfId="6223"/>
    <cellStyle name="Comma 11 4 13 2 2 2" xfId="6224"/>
    <cellStyle name="Comma 11 4 13 2 2 2 2" xfId="6225"/>
    <cellStyle name="Comma 11 4 13 2 2 3" xfId="6226"/>
    <cellStyle name="Comma 11 4 13 2 3" xfId="6227"/>
    <cellStyle name="Comma 11 4 13 2 3 2" xfId="6228"/>
    <cellStyle name="Comma 11 4 13 2 4" xfId="6229"/>
    <cellStyle name="Comma 11 4 13 3" xfId="6230"/>
    <cellStyle name="Comma 11 4 13 3 2" xfId="6231"/>
    <cellStyle name="Comma 11 4 13 3 2 2" xfId="6232"/>
    <cellStyle name="Comma 11 4 13 3 2 2 2" xfId="6233"/>
    <cellStyle name="Comma 11 4 13 3 2 3" xfId="6234"/>
    <cellStyle name="Comma 11 4 13 3 3" xfId="6235"/>
    <cellStyle name="Comma 11 4 13 3 3 2" xfId="6236"/>
    <cellStyle name="Comma 11 4 13 3 4" xfId="6237"/>
    <cellStyle name="Comma 11 4 13 4" xfId="6238"/>
    <cellStyle name="Comma 11 4 13 4 2" xfId="6239"/>
    <cellStyle name="Comma 11 4 13 4 2 2" xfId="6240"/>
    <cellStyle name="Comma 11 4 13 4 3" xfId="6241"/>
    <cellStyle name="Comma 11 4 13 5" xfId="6242"/>
    <cellStyle name="Comma 11 4 13 5 2" xfId="6243"/>
    <cellStyle name="Comma 11 4 13 6" xfId="6244"/>
    <cellStyle name="Comma 11 4 14" xfId="6245"/>
    <cellStyle name="Comma 11 4 14 2" xfId="6246"/>
    <cellStyle name="Comma 11 4 14 2 2" xfId="6247"/>
    <cellStyle name="Comma 11 4 14 2 2 2" xfId="6248"/>
    <cellStyle name="Comma 11 4 14 2 3" xfId="6249"/>
    <cellStyle name="Comma 11 4 14 3" xfId="6250"/>
    <cellStyle name="Comma 11 4 14 3 2" xfId="6251"/>
    <cellStyle name="Comma 11 4 14 4" xfId="6252"/>
    <cellStyle name="Comma 11 4 15" xfId="6253"/>
    <cellStyle name="Comma 11 4 15 2" xfId="6254"/>
    <cellStyle name="Comma 11 4 15 2 2" xfId="6255"/>
    <cellStyle name="Comma 11 4 15 2 2 2" xfId="6256"/>
    <cellStyle name="Comma 11 4 15 2 3" xfId="6257"/>
    <cellStyle name="Comma 11 4 15 3" xfId="6258"/>
    <cellStyle name="Comma 11 4 15 3 2" xfId="6259"/>
    <cellStyle name="Comma 11 4 15 4" xfId="6260"/>
    <cellStyle name="Comma 11 4 16" xfId="6261"/>
    <cellStyle name="Comma 11 4 16 2" xfId="6262"/>
    <cellStyle name="Comma 11 4 16 2 2" xfId="6263"/>
    <cellStyle name="Comma 11 4 16 3" xfId="6264"/>
    <cellStyle name="Comma 11 4 17" xfId="6265"/>
    <cellStyle name="Comma 11 4 17 2" xfId="6266"/>
    <cellStyle name="Comma 11 4 18" xfId="6267"/>
    <cellStyle name="Comma 11 4 2" xfId="6268"/>
    <cellStyle name="Comma 11 4 2 2" xfId="6269"/>
    <cellStyle name="Comma 11 4 2 2 2" xfId="6270"/>
    <cellStyle name="Comma 11 4 2 2 2 2" xfId="6271"/>
    <cellStyle name="Comma 11 4 2 2 2 2 2" xfId="6272"/>
    <cellStyle name="Comma 11 4 2 2 2 3" xfId="6273"/>
    <cellStyle name="Comma 11 4 2 2 3" xfId="6274"/>
    <cellStyle name="Comma 11 4 2 2 3 2" xfId="6275"/>
    <cellStyle name="Comma 11 4 2 2 4" xfId="6276"/>
    <cellStyle name="Comma 11 4 2 3" xfId="6277"/>
    <cellStyle name="Comma 11 4 2 3 2" xfId="6278"/>
    <cellStyle name="Comma 11 4 2 3 2 2" xfId="6279"/>
    <cellStyle name="Comma 11 4 2 3 2 2 2" xfId="6280"/>
    <cellStyle name="Comma 11 4 2 3 2 3" xfId="6281"/>
    <cellStyle name="Comma 11 4 2 3 3" xfId="6282"/>
    <cellStyle name="Comma 11 4 2 3 3 2" xfId="6283"/>
    <cellStyle name="Comma 11 4 2 3 4" xfId="6284"/>
    <cellStyle name="Comma 11 4 2 4" xfId="6285"/>
    <cellStyle name="Comma 11 4 2 4 2" xfId="6286"/>
    <cellStyle name="Comma 11 4 2 4 2 2" xfId="6287"/>
    <cellStyle name="Comma 11 4 2 4 3" xfId="6288"/>
    <cellStyle name="Comma 11 4 2 5" xfId="6289"/>
    <cellStyle name="Comma 11 4 2 5 2" xfId="6290"/>
    <cellStyle name="Comma 11 4 2 6" xfId="6291"/>
    <cellStyle name="Comma 11 4 3" xfId="6292"/>
    <cellStyle name="Comma 11 4 3 2" xfId="6293"/>
    <cellStyle name="Comma 11 4 3 2 2" xfId="6294"/>
    <cellStyle name="Comma 11 4 3 2 2 2" xfId="6295"/>
    <cellStyle name="Comma 11 4 3 2 2 2 2" xfId="6296"/>
    <cellStyle name="Comma 11 4 3 2 2 3" xfId="6297"/>
    <cellStyle name="Comma 11 4 3 2 3" xfId="6298"/>
    <cellStyle name="Comma 11 4 3 2 3 2" xfId="6299"/>
    <cellStyle name="Comma 11 4 3 2 4" xfId="6300"/>
    <cellStyle name="Comma 11 4 3 3" xfId="6301"/>
    <cellStyle name="Comma 11 4 3 3 2" xfId="6302"/>
    <cellStyle name="Comma 11 4 3 3 2 2" xfId="6303"/>
    <cellStyle name="Comma 11 4 3 3 2 2 2" xfId="6304"/>
    <cellStyle name="Comma 11 4 3 3 2 3" xfId="6305"/>
    <cellStyle name="Comma 11 4 3 3 3" xfId="6306"/>
    <cellStyle name="Comma 11 4 3 3 3 2" xfId="6307"/>
    <cellStyle name="Comma 11 4 3 3 4" xfId="6308"/>
    <cellStyle name="Comma 11 4 3 4" xfId="6309"/>
    <cellStyle name="Comma 11 4 3 4 2" xfId="6310"/>
    <cellStyle name="Comma 11 4 3 4 2 2" xfId="6311"/>
    <cellStyle name="Comma 11 4 3 4 3" xfId="6312"/>
    <cellStyle name="Comma 11 4 3 5" xfId="6313"/>
    <cellStyle name="Comma 11 4 3 5 2" xfId="6314"/>
    <cellStyle name="Comma 11 4 3 6" xfId="6315"/>
    <cellStyle name="Comma 11 4 4" xfId="6316"/>
    <cellStyle name="Comma 11 4 4 2" xfId="6317"/>
    <cellStyle name="Comma 11 4 4 2 2" xfId="6318"/>
    <cellStyle name="Comma 11 4 4 2 2 2" xfId="6319"/>
    <cellStyle name="Comma 11 4 4 2 2 2 2" xfId="6320"/>
    <cellStyle name="Comma 11 4 4 2 2 3" xfId="6321"/>
    <cellStyle name="Comma 11 4 4 2 3" xfId="6322"/>
    <cellStyle name="Comma 11 4 4 2 3 2" xfId="6323"/>
    <cellStyle name="Comma 11 4 4 2 4" xfId="6324"/>
    <cellStyle name="Comma 11 4 4 3" xfId="6325"/>
    <cellStyle name="Comma 11 4 4 3 2" xfId="6326"/>
    <cellStyle name="Comma 11 4 4 3 2 2" xfId="6327"/>
    <cellStyle name="Comma 11 4 4 3 2 2 2" xfId="6328"/>
    <cellStyle name="Comma 11 4 4 3 2 3" xfId="6329"/>
    <cellStyle name="Comma 11 4 4 3 3" xfId="6330"/>
    <cellStyle name="Comma 11 4 4 3 3 2" xfId="6331"/>
    <cellStyle name="Comma 11 4 4 3 4" xfId="6332"/>
    <cellStyle name="Comma 11 4 4 4" xfId="6333"/>
    <cellStyle name="Comma 11 4 4 4 2" xfId="6334"/>
    <cellStyle name="Comma 11 4 4 4 2 2" xfId="6335"/>
    <cellStyle name="Comma 11 4 4 4 3" xfId="6336"/>
    <cellStyle name="Comma 11 4 4 5" xfId="6337"/>
    <cellStyle name="Comma 11 4 4 5 2" xfId="6338"/>
    <cellStyle name="Comma 11 4 4 6" xfId="6339"/>
    <cellStyle name="Comma 11 4 5" xfId="6340"/>
    <cellStyle name="Comma 11 4 5 2" xfId="6341"/>
    <cellStyle name="Comma 11 4 5 2 2" xfId="6342"/>
    <cellStyle name="Comma 11 4 5 2 2 2" xfId="6343"/>
    <cellStyle name="Comma 11 4 5 2 2 2 2" xfId="6344"/>
    <cellStyle name="Comma 11 4 5 2 2 3" xfId="6345"/>
    <cellStyle name="Comma 11 4 5 2 3" xfId="6346"/>
    <cellStyle name="Comma 11 4 5 2 3 2" xfId="6347"/>
    <cellStyle name="Comma 11 4 5 2 4" xfId="6348"/>
    <cellStyle name="Comma 11 4 5 3" xfId="6349"/>
    <cellStyle name="Comma 11 4 5 3 2" xfId="6350"/>
    <cellStyle name="Comma 11 4 5 3 2 2" xfId="6351"/>
    <cellStyle name="Comma 11 4 5 3 2 2 2" xfId="6352"/>
    <cellStyle name="Comma 11 4 5 3 2 3" xfId="6353"/>
    <cellStyle name="Comma 11 4 5 3 3" xfId="6354"/>
    <cellStyle name="Comma 11 4 5 3 3 2" xfId="6355"/>
    <cellStyle name="Comma 11 4 5 3 4" xfId="6356"/>
    <cellStyle name="Comma 11 4 5 4" xfId="6357"/>
    <cellStyle name="Comma 11 4 5 4 2" xfId="6358"/>
    <cellStyle name="Comma 11 4 5 4 2 2" xfId="6359"/>
    <cellStyle name="Comma 11 4 5 4 3" xfId="6360"/>
    <cellStyle name="Comma 11 4 5 5" xfId="6361"/>
    <cellStyle name="Comma 11 4 5 5 2" xfId="6362"/>
    <cellStyle name="Comma 11 4 5 6" xfId="6363"/>
    <cellStyle name="Comma 11 4 6" xfId="6364"/>
    <cellStyle name="Comma 11 4 6 2" xfId="6365"/>
    <cellStyle name="Comma 11 4 6 2 2" xfId="6366"/>
    <cellStyle name="Comma 11 4 6 2 2 2" xfId="6367"/>
    <cellStyle name="Comma 11 4 6 2 2 2 2" xfId="6368"/>
    <cellStyle name="Comma 11 4 6 2 2 3" xfId="6369"/>
    <cellStyle name="Comma 11 4 6 2 3" xfId="6370"/>
    <cellStyle name="Comma 11 4 6 2 3 2" xfId="6371"/>
    <cellStyle name="Comma 11 4 6 2 4" xfId="6372"/>
    <cellStyle name="Comma 11 4 6 3" xfId="6373"/>
    <cellStyle name="Comma 11 4 6 3 2" xfId="6374"/>
    <cellStyle name="Comma 11 4 6 3 2 2" xfId="6375"/>
    <cellStyle name="Comma 11 4 6 3 2 2 2" xfId="6376"/>
    <cellStyle name="Comma 11 4 6 3 2 3" xfId="6377"/>
    <cellStyle name="Comma 11 4 6 3 3" xfId="6378"/>
    <cellStyle name="Comma 11 4 6 3 3 2" xfId="6379"/>
    <cellStyle name="Comma 11 4 6 3 4" xfId="6380"/>
    <cellStyle name="Comma 11 4 6 4" xfId="6381"/>
    <cellStyle name="Comma 11 4 6 4 2" xfId="6382"/>
    <cellStyle name="Comma 11 4 6 4 2 2" xfId="6383"/>
    <cellStyle name="Comma 11 4 6 4 3" xfId="6384"/>
    <cellStyle name="Comma 11 4 6 5" xfId="6385"/>
    <cellStyle name="Comma 11 4 6 5 2" xfId="6386"/>
    <cellStyle name="Comma 11 4 6 6" xfId="6387"/>
    <cellStyle name="Comma 11 4 7" xfId="6388"/>
    <cellStyle name="Comma 11 4 7 2" xfId="6389"/>
    <cellStyle name="Comma 11 4 7 2 2" xfId="6390"/>
    <cellStyle name="Comma 11 4 7 2 2 2" xfId="6391"/>
    <cellStyle name="Comma 11 4 7 2 2 2 2" xfId="6392"/>
    <cellStyle name="Comma 11 4 7 2 2 3" xfId="6393"/>
    <cellStyle name="Comma 11 4 7 2 3" xfId="6394"/>
    <cellStyle name="Comma 11 4 7 2 3 2" xfId="6395"/>
    <cellStyle name="Comma 11 4 7 2 4" xfId="6396"/>
    <cellStyle name="Comma 11 4 7 3" xfId="6397"/>
    <cellStyle name="Comma 11 4 7 3 2" xfId="6398"/>
    <cellStyle name="Comma 11 4 7 3 2 2" xfId="6399"/>
    <cellStyle name="Comma 11 4 7 3 2 2 2" xfId="6400"/>
    <cellStyle name="Comma 11 4 7 3 2 3" xfId="6401"/>
    <cellStyle name="Comma 11 4 7 3 3" xfId="6402"/>
    <cellStyle name="Comma 11 4 7 3 3 2" xfId="6403"/>
    <cellStyle name="Comma 11 4 7 3 4" xfId="6404"/>
    <cellStyle name="Comma 11 4 7 4" xfId="6405"/>
    <cellStyle name="Comma 11 4 7 4 2" xfId="6406"/>
    <cellStyle name="Comma 11 4 7 4 2 2" xfId="6407"/>
    <cellStyle name="Comma 11 4 7 4 3" xfId="6408"/>
    <cellStyle name="Comma 11 4 7 5" xfId="6409"/>
    <cellStyle name="Comma 11 4 7 5 2" xfId="6410"/>
    <cellStyle name="Comma 11 4 7 6" xfId="6411"/>
    <cellStyle name="Comma 11 4 8" xfId="6412"/>
    <cellStyle name="Comma 11 4 8 2" xfId="6413"/>
    <cellStyle name="Comma 11 4 8 2 2" xfId="6414"/>
    <cellStyle name="Comma 11 4 8 2 2 2" xfId="6415"/>
    <cellStyle name="Comma 11 4 8 2 2 2 2" xfId="6416"/>
    <cellStyle name="Comma 11 4 8 2 2 3" xfId="6417"/>
    <cellStyle name="Comma 11 4 8 2 3" xfId="6418"/>
    <cellStyle name="Comma 11 4 8 2 3 2" xfId="6419"/>
    <cellStyle name="Comma 11 4 8 2 4" xfId="6420"/>
    <cellStyle name="Comma 11 4 8 3" xfId="6421"/>
    <cellStyle name="Comma 11 4 8 3 2" xfId="6422"/>
    <cellStyle name="Comma 11 4 8 3 2 2" xfId="6423"/>
    <cellStyle name="Comma 11 4 8 3 2 2 2" xfId="6424"/>
    <cellStyle name="Comma 11 4 8 3 2 3" xfId="6425"/>
    <cellStyle name="Comma 11 4 8 3 3" xfId="6426"/>
    <cellStyle name="Comma 11 4 8 3 3 2" xfId="6427"/>
    <cellStyle name="Comma 11 4 8 3 4" xfId="6428"/>
    <cellStyle name="Comma 11 4 8 4" xfId="6429"/>
    <cellStyle name="Comma 11 4 8 4 2" xfId="6430"/>
    <cellStyle name="Comma 11 4 8 4 2 2" xfId="6431"/>
    <cellStyle name="Comma 11 4 8 4 3" xfId="6432"/>
    <cellStyle name="Comma 11 4 8 5" xfId="6433"/>
    <cellStyle name="Comma 11 4 8 5 2" xfId="6434"/>
    <cellStyle name="Comma 11 4 8 6" xfId="6435"/>
    <cellStyle name="Comma 11 4 9" xfId="6436"/>
    <cellStyle name="Comma 11 4 9 2" xfId="6437"/>
    <cellStyle name="Comma 11 4 9 2 2" xfId="6438"/>
    <cellStyle name="Comma 11 4 9 2 2 2" xfId="6439"/>
    <cellStyle name="Comma 11 4 9 2 2 2 2" xfId="6440"/>
    <cellStyle name="Comma 11 4 9 2 2 3" xfId="6441"/>
    <cellStyle name="Comma 11 4 9 2 3" xfId="6442"/>
    <cellStyle name="Comma 11 4 9 2 3 2" xfId="6443"/>
    <cellStyle name="Comma 11 4 9 2 4" xfId="6444"/>
    <cellStyle name="Comma 11 4 9 3" xfId="6445"/>
    <cellStyle name="Comma 11 4 9 3 2" xfId="6446"/>
    <cellStyle name="Comma 11 4 9 3 2 2" xfId="6447"/>
    <cellStyle name="Comma 11 4 9 3 2 2 2" xfId="6448"/>
    <cellStyle name="Comma 11 4 9 3 2 3" xfId="6449"/>
    <cellStyle name="Comma 11 4 9 3 3" xfId="6450"/>
    <cellStyle name="Comma 11 4 9 3 3 2" xfId="6451"/>
    <cellStyle name="Comma 11 4 9 3 4" xfId="6452"/>
    <cellStyle name="Comma 11 4 9 4" xfId="6453"/>
    <cellStyle name="Comma 11 4 9 4 2" xfId="6454"/>
    <cellStyle name="Comma 11 4 9 4 2 2" xfId="6455"/>
    <cellStyle name="Comma 11 4 9 4 3" xfId="6456"/>
    <cellStyle name="Comma 11 4 9 5" xfId="6457"/>
    <cellStyle name="Comma 11 4 9 5 2" xfId="6458"/>
    <cellStyle name="Comma 11 4 9 6" xfId="6459"/>
    <cellStyle name="Comma 11 40" xfId="6460"/>
    <cellStyle name="Comma 11 40 2" xfId="6461"/>
    <cellStyle name="Comma 11 41" xfId="6462"/>
    <cellStyle name="Comma 11 41 2" xfId="6463"/>
    <cellStyle name="Comma 11 42" xfId="6464"/>
    <cellStyle name="Comma 11 42 2" xfId="6465"/>
    <cellStyle name="Comma 11 43" xfId="6466"/>
    <cellStyle name="Comma 11 43 2" xfId="6467"/>
    <cellStyle name="Comma 11 44" xfId="6468"/>
    <cellStyle name="Comma 11 44 2" xfId="6469"/>
    <cellStyle name="Comma 11 45" xfId="6470"/>
    <cellStyle name="Comma 11 45 2" xfId="6471"/>
    <cellStyle name="Comma 11 46" xfId="6472"/>
    <cellStyle name="Comma 11 46 2" xfId="6473"/>
    <cellStyle name="Comma 11 47" xfId="6474"/>
    <cellStyle name="Comma 11 47 2" xfId="6475"/>
    <cellStyle name="Comma 11 48" xfId="6476"/>
    <cellStyle name="Comma 11 49" xfId="6477"/>
    <cellStyle name="Comma 11 5" xfId="6478"/>
    <cellStyle name="Comma 11 5 10" xfId="6479"/>
    <cellStyle name="Comma 11 5 10 2" xfId="6480"/>
    <cellStyle name="Comma 11 5 10 2 2" xfId="6481"/>
    <cellStyle name="Comma 11 5 10 2 2 2" xfId="6482"/>
    <cellStyle name="Comma 11 5 10 2 2 2 2" xfId="6483"/>
    <cellStyle name="Comma 11 5 10 2 2 3" xfId="6484"/>
    <cellStyle name="Comma 11 5 10 2 3" xfId="6485"/>
    <cellStyle name="Comma 11 5 10 2 3 2" xfId="6486"/>
    <cellStyle name="Comma 11 5 10 2 4" xfId="6487"/>
    <cellStyle name="Comma 11 5 10 3" xfId="6488"/>
    <cellStyle name="Comma 11 5 10 3 2" xfId="6489"/>
    <cellStyle name="Comma 11 5 10 3 2 2" xfId="6490"/>
    <cellStyle name="Comma 11 5 10 3 2 2 2" xfId="6491"/>
    <cellStyle name="Comma 11 5 10 3 2 3" xfId="6492"/>
    <cellStyle name="Comma 11 5 10 3 3" xfId="6493"/>
    <cellStyle name="Comma 11 5 10 3 3 2" xfId="6494"/>
    <cellStyle name="Comma 11 5 10 3 4" xfId="6495"/>
    <cellStyle name="Comma 11 5 10 4" xfId="6496"/>
    <cellStyle name="Comma 11 5 10 4 2" xfId="6497"/>
    <cellStyle name="Comma 11 5 10 4 2 2" xfId="6498"/>
    <cellStyle name="Comma 11 5 10 4 3" xfId="6499"/>
    <cellStyle name="Comma 11 5 10 5" xfId="6500"/>
    <cellStyle name="Comma 11 5 10 5 2" xfId="6501"/>
    <cellStyle name="Comma 11 5 10 6" xfId="6502"/>
    <cellStyle name="Comma 11 5 11" xfId="6503"/>
    <cellStyle name="Comma 11 5 11 2" xfId="6504"/>
    <cellStyle name="Comma 11 5 11 2 2" xfId="6505"/>
    <cellStyle name="Comma 11 5 11 2 2 2" xfId="6506"/>
    <cellStyle name="Comma 11 5 11 2 2 2 2" xfId="6507"/>
    <cellStyle name="Comma 11 5 11 2 2 3" xfId="6508"/>
    <cellStyle name="Comma 11 5 11 2 3" xfId="6509"/>
    <cellStyle name="Comma 11 5 11 2 3 2" xfId="6510"/>
    <cellStyle name="Comma 11 5 11 2 4" xfId="6511"/>
    <cellStyle name="Comma 11 5 11 3" xfId="6512"/>
    <cellStyle name="Comma 11 5 11 3 2" xfId="6513"/>
    <cellStyle name="Comma 11 5 11 3 2 2" xfId="6514"/>
    <cellStyle name="Comma 11 5 11 3 2 2 2" xfId="6515"/>
    <cellStyle name="Comma 11 5 11 3 2 3" xfId="6516"/>
    <cellStyle name="Comma 11 5 11 3 3" xfId="6517"/>
    <cellStyle name="Comma 11 5 11 3 3 2" xfId="6518"/>
    <cellStyle name="Comma 11 5 11 3 4" xfId="6519"/>
    <cellStyle name="Comma 11 5 11 4" xfId="6520"/>
    <cellStyle name="Comma 11 5 11 4 2" xfId="6521"/>
    <cellStyle name="Comma 11 5 11 4 2 2" xfId="6522"/>
    <cellStyle name="Comma 11 5 11 4 3" xfId="6523"/>
    <cellStyle name="Comma 11 5 11 5" xfId="6524"/>
    <cellStyle name="Comma 11 5 11 5 2" xfId="6525"/>
    <cellStyle name="Comma 11 5 11 6" xfId="6526"/>
    <cellStyle name="Comma 11 5 12" xfId="6527"/>
    <cellStyle name="Comma 11 5 12 2" xfId="6528"/>
    <cellStyle name="Comma 11 5 12 2 2" xfId="6529"/>
    <cellStyle name="Comma 11 5 12 2 2 2" xfId="6530"/>
    <cellStyle name="Comma 11 5 12 2 2 2 2" xfId="6531"/>
    <cellStyle name="Comma 11 5 12 2 2 3" xfId="6532"/>
    <cellStyle name="Comma 11 5 12 2 3" xfId="6533"/>
    <cellStyle name="Comma 11 5 12 2 3 2" xfId="6534"/>
    <cellStyle name="Comma 11 5 12 2 4" xfId="6535"/>
    <cellStyle name="Comma 11 5 12 3" xfId="6536"/>
    <cellStyle name="Comma 11 5 12 3 2" xfId="6537"/>
    <cellStyle name="Comma 11 5 12 3 2 2" xfId="6538"/>
    <cellStyle name="Comma 11 5 12 3 2 2 2" xfId="6539"/>
    <cellStyle name="Comma 11 5 12 3 2 3" xfId="6540"/>
    <cellStyle name="Comma 11 5 12 3 3" xfId="6541"/>
    <cellStyle name="Comma 11 5 12 3 3 2" xfId="6542"/>
    <cellStyle name="Comma 11 5 12 3 4" xfId="6543"/>
    <cellStyle name="Comma 11 5 12 4" xfId="6544"/>
    <cellStyle name="Comma 11 5 12 4 2" xfId="6545"/>
    <cellStyle name="Comma 11 5 12 4 2 2" xfId="6546"/>
    <cellStyle name="Comma 11 5 12 4 3" xfId="6547"/>
    <cellStyle name="Comma 11 5 12 5" xfId="6548"/>
    <cellStyle name="Comma 11 5 12 5 2" xfId="6549"/>
    <cellStyle name="Comma 11 5 12 6" xfId="6550"/>
    <cellStyle name="Comma 11 5 13" xfId="6551"/>
    <cellStyle name="Comma 11 5 13 2" xfId="6552"/>
    <cellStyle name="Comma 11 5 13 2 2" xfId="6553"/>
    <cellStyle name="Comma 11 5 13 2 2 2" xfId="6554"/>
    <cellStyle name="Comma 11 5 13 2 2 2 2" xfId="6555"/>
    <cellStyle name="Comma 11 5 13 2 2 3" xfId="6556"/>
    <cellStyle name="Comma 11 5 13 2 3" xfId="6557"/>
    <cellStyle name="Comma 11 5 13 2 3 2" xfId="6558"/>
    <cellStyle name="Comma 11 5 13 2 4" xfId="6559"/>
    <cellStyle name="Comma 11 5 13 3" xfId="6560"/>
    <cellStyle name="Comma 11 5 13 3 2" xfId="6561"/>
    <cellStyle name="Comma 11 5 13 3 2 2" xfId="6562"/>
    <cellStyle name="Comma 11 5 13 3 2 2 2" xfId="6563"/>
    <cellStyle name="Comma 11 5 13 3 2 3" xfId="6564"/>
    <cellStyle name="Comma 11 5 13 3 3" xfId="6565"/>
    <cellStyle name="Comma 11 5 13 3 3 2" xfId="6566"/>
    <cellStyle name="Comma 11 5 13 3 4" xfId="6567"/>
    <cellStyle name="Comma 11 5 13 4" xfId="6568"/>
    <cellStyle name="Comma 11 5 13 4 2" xfId="6569"/>
    <cellStyle name="Comma 11 5 13 4 2 2" xfId="6570"/>
    <cellStyle name="Comma 11 5 13 4 3" xfId="6571"/>
    <cellStyle name="Comma 11 5 13 5" xfId="6572"/>
    <cellStyle name="Comma 11 5 13 5 2" xfId="6573"/>
    <cellStyle name="Comma 11 5 13 6" xfId="6574"/>
    <cellStyle name="Comma 11 5 14" xfId="6575"/>
    <cellStyle name="Comma 11 5 14 2" xfId="6576"/>
    <cellStyle name="Comma 11 5 14 2 2" xfId="6577"/>
    <cellStyle name="Comma 11 5 14 2 2 2" xfId="6578"/>
    <cellStyle name="Comma 11 5 14 2 3" xfId="6579"/>
    <cellStyle name="Comma 11 5 14 3" xfId="6580"/>
    <cellStyle name="Comma 11 5 14 3 2" xfId="6581"/>
    <cellStyle name="Comma 11 5 14 4" xfId="6582"/>
    <cellStyle name="Comma 11 5 15" xfId="6583"/>
    <cellStyle name="Comma 11 5 15 2" xfId="6584"/>
    <cellStyle name="Comma 11 5 15 2 2" xfId="6585"/>
    <cellStyle name="Comma 11 5 15 2 2 2" xfId="6586"/>
    <cellStyle name="Comma 11 5 15 2 3" xfId="6587"/>
    <cellStyle name="Comma 11 5 15 3" xfId="6588"/>
    <cellStyle name="Comma 11 5 15 3 2" xfId="6589"/>
    <cellStyle name="Comma 11 5 15 4" xfId="6590"/>
    <cellStyle name="Comma 11 5 16" xfId="6591"/>
    <cellStyle name="Comma 11 5 16 2" xfId="6592"/>
    <cellStyle name="Comma 11 5 16 2 2" xfId="6593"/>
    <cellStyle name="Comma 11 5 16 3" xfId="6594"/>
    <cellStyle name="Comma 11 5 17" xfId="6595"/>
    <cellStyle name="Comma 11 5 17 2" xfId="6596"/>
    <cellStyle name="Comma 11 5 18" xfId="6597"/>
    <cellStyle name="Comma 11 5 2" xfId="6598"/>
    <cellStyle name="Comma 11 5 2 2" xfId="6599"/>
    <cellStyle name="Comma 11 5 2 2 2" xfId="6600"/>
    <cellStyle name="Comma 11 5 2 2 2 2" xfId="6601"/>
    <cellStyle name="Comma 11 5 2 2 2 2 2" xfId="6602"/>
    <cellStyle name="Comma 11 5 2 2 2 3" xfId="6603"/>
    <cellStyle name="Comma 11 5 2 2 3" xfId="6604"/>
    <cellStyle name="Comma 11 5 2 2 3 2" xfId="6605"/>
    <cellStyle name="Comma 11 5 2 2 4" xfId="6606"/>
    <cellStyle name="Comma 11 5 2 3" xfId="6607"/>
    <cellStyle name="Comma 11 5 2 3 2" xfId="6608"/>
    <cellStyle name="Comma 11 5 2 3 2 2" xfId="6609"/>
    <cellStyle name="Comma 11 5 2 3 2 2 2" xfId="6610"/>
    <cellStyle name="Comma 11 5 2 3 2 3" xfId="6611"/>
    <cellStyle name="Comma 11 5 2 3 3" xfId="6612"/>
    <cellStyle name="Comma 11 5 2 3 3 2" xfId="6613"/>
    <cellStyle name="Comma 11 5 2 3 4" xfId="6614"/>
    <cellStyle name="Comma 11 5 2 4" xfId="6615"/>
    <cellStyle name="Comma 11 5 2 4 2" xfId="6616"/>
    <cellStyle name="Comma 11 5 2 4 2 2" xfId="6617"/>
    <cellStyle name="Comma 11 5 2 4 3" xfId="6618"/>
    <cellStyle name="Comma 11 5 2 5" xfId="6619"/>
    <cellStyle name="Comma 11 5 2 5 2" xfId="6620"/>
    <cellStyle name="Comma 11 5 2 6" xfId="6621"/>
    <cellStyle name="Comma 11 5 3" xfId="6622"/>
    <cellStyle name="Comma 11 5 3 2" xfId="6623"/>
    <cellStyle name="Comma 11 5 3 2 2" xfId="6624"/>
    <cellStyle name="Comma 11 5 3 2 2 2" xfId="6625"/>
    <cellStyle name="Comma 11 5 3 2 2 2 2" xfId="6626"/>
    <cellStyle name="Comma 11 5 3 2 2 3" xfId="6627"/>
    <cellStyle name="Comma 11 5 3 2 3" xfId="6628"/>
    <cellStyle name="Comma 11 5 3 2 3 2" xfId="6629"/>
    <cellStyle name="Comma 11 5 3 2 4" xfId="6630"/>
    <cellStyle name="Comma 11 5 3 3" xfId="6631"/>
    <cellStyle name="Comma 11 5 3 3 2" xfId="6632"/>
    <cellStyle name="Comma 11 5 3 3 2 2" xfId="6633"/>
    <cellStyle name="Comma 11 5 3 3 2 2 2" xfId="6634"/>
    <cellStyle name="Comma 11 5 3 3 2 3" xfId="6635"/>
    <cellStyle name="Comma 11 5 3 3 3" xfId="6636"/>
    <cellStyle name="Comma 11 5 3 3 3 2" xfId="6637"/>
    <cellStyle name="Comma 11 5 3 3 4" xfId="6638"/>
    <cellStyle name="Comma 11 5 3 4" xfId="6639"/>
    <cellStyle name="Comma 11 5 3 4 2" xfId="6640"/>
    <cellStyle name="Comma 11 5 3 4 2 2" xfId="6641"/>
    <cellStyle name="Comma 11 5 3 4 3" xfId="6642"/>
    <cellStyle name="Comma 11 5 3 5" xfId="6643"/>
    <cellStyle name="Comma 11 5 3 5 2" xfId="6644"/>
    <cellStyle name="Comma 11 5 3 6" xfId="6645"/>
    <cellStyle name="Comma 11 5 4" xfId="6646"/>
    <cellStyle name="Comma 11 5 4 2" xfId="6647"/>
    <cellStyle name="Comma 11 5 4 2 2" xfId="6648"/>
    <cellStyle name="Comma 11 5 4 2 2 2" xfId="6649"/>
    <cellStyle name="Comma 11 5 4 2 2 2 2" xfId="6650"/>
    <cellStyle name="Comma 11 5 4 2 2 3" xfId="6651"/>
    <cellStyle name="Comma 11 5 4 2 3" xfId="6652"/>
    <cellStyle name="Comma 11 5 4 2 3 2" xfId="6653"/>
    <cellStyle name="Comma 11 5 4 2 4" xfId="6654"/>
    <cellStyle name="Comma 11 5 4 3" xfId="6655"/>
    <cellStyle name="Comma 11 5 4 3 2" xfId="6656"/>
    <cellStyle name="Comma 11 5 4 3 2 2" xfId="6657"/>
    <cellStyle name="Comma 11 5 4 3 2 2 2" xfId="6658"/>
    <cellStyle name="Comma 11 5 4 3 2 3" xfId="6659"/>
    <cellStyle name="Comma 11 5 4 3 3" xfId="6660"/>
    <cellStyle name="Comma 11 5 4 3 3 2" xfId="6661"/>
    <cellStyle name="Comma 11 5 4 3 4" xfId="6662"/>
    <cellStyle name="Comma 11 5 4 4" xfId="6663"/>
    <cellStyle name="Comma 11 5 4 4 2" xfId="6664"/>
    <cellStyle name="Comma 11 5 4 4 2 2" xfId="6665"/>
    <cellStyle name="Comma 11 5 4 4 3" xfId="6666"/>
    <cellStyle name="Comma 11 5 4 5" xfId="6667"/>
    <cellStyle name="Comma 11 5 4 5 2" xfId="6668"/>
    <cellStyle name="Comma 11 5 4 6" xfId="6669"/>
    <cellStyle name="Comma 11 5 5" xfId="6670"/>
    <cellStyle name="Comma 11 5 5 2" xfId="6671"/>
    <cellStyle name="Comma 11 5 5 2 2" xfId="6672"/>
    <cellStyle name="Comma 11 5 5 2 2 2" xfId="6673"/>
    <cellStyle name="Comma 11 5 5 2 2 2 2" xfId="6674"/>
    <cellStyle name="Comma 11 5 5 2 2 3" xfId="6675"/>
    <cellStyle name="Comma 11 5 5 2 3" xfId="6676"/>
    <cellStyle name="Comma 11 5 5 2 3 2" xfId="6677"/>
    <cellStyle name="Comma 11 5 5 2 4" xfId="6678"/>
    <cellStyle name="Comma 11 5 5 3" xfId="6679"/>
    <cellStyle name="Comma 11 5 5 3 2" xfId="6680"/>
    <cellStyle name="Comma 11 5 5 3 2 2" xfId="6681"/>
    <cellStyle name="Comma 11 5 5 3 2 2 2" xfId="6682"/>
    <cellStyle name="Comma 11 5 5 3 2 3" xfId="6683"/>
    <cellStyle name="Comma 11 5 5 3 3" xfId="6684"/>
    <cellStyle name="Comma 11 5 5 3 3 2" xfId="6685"/>
    <cellStyle name="Comma 11 5 5 3 4" xfId="6686"/>
    <cellStyle name="Comma 11 5 5 4" xfId="6687"/>
    <cellStyle name="Comma 11 5 5 4 2" xfId="6688"/>
    <cellStyle name="Comma 11 5 5 4 2 2" xfId="6689"/>
    <cellStyle name="Comma 11 5 5 4 3" xfId="6690"/>
    <cellStyle name="Comma 11 5 5 5" xfId="6691"/>
    <cellStyle name="Comma 11 5 5 5 2" xfId="6692"/>
    <cellStyle name="Comma 11 5 5 6" xfId="6693"/>
    <cellStyle name="Comma 11 5 6" xfId="6694"/>
    <cellStyle name="Comma 11 5 6 2" xfId="6695"/>
    <cellStyle name="Comma 11 5 6 2 2" xfId="6696"/>
    <cellStyle name="Comma 11 5 6 2 2 2" xfId="6697"/>
    <cellStyle name="Comma 11 5 6 2 2 2 2" xfId="6698"/>
    <cellStyle name="Comma 11 5 6 2 2 3" xfId="6699"/>
    <cellStyle name="Comma 11 5 6 2 3" xfId="6700"/>
    <cellStyle name="Comma 11 5 6 2 3 2" xfId="6701"/>
    <cellStyle name="Comma 11 5 6 2 4" xfId="6702"/>
    <cellStyle name="Comma 11 5 6 3" xfId="6703"/>
    <cellStyle name="Comma 11 5 6 3 2" xfId="6704"/>
    <cellStyle name="Comma 11 5 6 3 2 2" xfId="6705"/>
    <cellStyle name="Comma 11 5 6 3 2 2 2" xfId="6706"/>
    <cellStyle name="Comma 11 5 6 3 2 3" xfId="6707"/>
    <cellStyle name="Comma 11 5 6 3 3" xfId="6708"/>
    <cellStyle name="Comma 11 5 6 3 3 2" xfId="6709"/>
    <cellStyle name="Comma 11 5 6 3 4" xfId="6710"/>
    <cellStyle name="Comma 11 5 6 4" xfId="6711"/>
    <cellStyle name="Comma 11 5 6 4 2" xfId="6712"/>
    <cellStyle name="Comma 11 5 6 4 2 2" xfId="6713"/>
    <cellStyle name="Comma 11 5 6 4 3" xfId="6714"/>
    <cellStyle name="Comma 11 5 6 5" xfId="6715"/>
    <cellStyle name="Comma 11 5 6 5 2" xfId="6716"/>
    <cellStyle name="Comma 11 5 6 6" xfId="6717"/>
    <cellStyle name="Comma 11 5 7" xfId="6718"/>
    <cellStyle name="Comma 11 5 7 2" xfId="6719"/>
    <cellStyle name="Comma 11 5 7 2 2" xfId="6720"/>
    <cellStyle name="Comma 11 5 7 2 2 2" xfId="6721"/>
    <cellStyle name="Comma 11 5 7 2 2 2 2" xfId="6722"/>
    <cellStyle name="Comma 11 5 7 2 2 3" xfId="6723"/>
    <cellStyle name="Comma 11 5 7 2 3" xfId="6724"/>
    <cellStyle name="Comma 11 5 7 2 3 2" xfId="6725"/>
    <cellStyle name="Comma 11 5 7 2 4" xfId="6726"/>
    <cellStyle name="Comma 11 5 7 3" xfId="6727"/>
    <cellStyle name="Comma 11 5 7 3 2" xfId="6728"/>
    <cellStyle name="Comma 11 5 7 3 2 2" xfId="6729"/>
    <cellStyle name="Comma 11 5 7 3 2 2 2" xfId="6730"/>
    <cellStyle name="Comma 11 5 7 3 2 3" xfId="6731"/>
    <cellStyle name="Comma 11 5 7 3 3" xfId="6732"/>
    <cellStyle name="Comma 11 5 7 3 3 2" xfId="6733"/>
    <cellStyle name="Comma 11 5 7 3 4" xfId="6734"/>
    <cellStyle name="Comma 11 5 7 4" xfId="6735"/>
    <cellStyle name="Comma 11 5 7 4 2" xfId="6736"/>
    <cellStyle name="Comma 11 5 7 4 2 2" xfId="6737"/>
    <cellStyle name="Comma 11 5 7 4 3" xfId="6738"/>
    <cellStyle name="Comma 11 5 7 5" xfId="6739"/>
    <cellStyle name="Comma 11 5 7 5 2" xfId="6740"/>
    <cellStyle name="Comma 11 5 7 6" xfId="6741"/>
    <cellStyle name="Comma 11 5 8" xfId="6742"/>
    <cellStyle name="Comma 11 5 8 2" xfId="6743"/>
    <cellStyle name="Comma 11 5 8 2 2" xfId="6744"/>
    <cellStyle name="Comma 11 5 8 2 2 2" xfId="6745"/>
    <cellStyle name="Comma 11 5 8 2 2 2 2" xfId="6746"/>
    <cellStyle name="Comma 11 5 8 2 2 3" xfId="6747"/>
    <cellStyle name="Comma 11 5 8 2 3" xfId="6748"/>
    <cellStyle name="Comma 11 5 8 2 3 2" xfId="6749"/>
    <cellStyle name="Comma 11 5 8 2 4" xfId="6750"/>
    <cellStyle name="Comma 11 5 8 3" xfId="6751"/>
    <cellStyle name="Comma 11 5 8 3 2" xfId="6752"/>
    <cellStyle name="Comma 11 5 8 3 2 2" xfId="6753"/>
    <cellStyle name="Comma 11 5 8 3 2 2 2" xfId="6754"/>
    <cellStyle name="Comma 11 5 8 3 2 3" xfId="6755"/>
    <cellStyle name="Comma 11 5 8 3 3" xfId="6756"/>
    <cellStyle name="Comma 11 5 8 3 3 2" xfId="6757"/>
    <cellStyle name="Comma 11 5 8 3 4" xfId="6758"/>
    <cellStyle name="Comma 11 5 8 4" xfId="6759"/>
    <cellStyle name="Comma 11 5 8 4 2" xfId="6760"/>
    <cellStyle name="Comma 11 5 8 4 2 2" xfId="6761"/>
    <cellStyle name="Comma 11 5 8 4 3" xfId="6762"/>
    <cellStyle name="Comma 11 5 8 5" xfId="6763"/>
    <cellStyle name="Comma 11 5 8 5 2" xfId="6764"/>
    <cellStyle name="Comma 11 5 8 6" xfId="6765"/>
    <cellStyle name="Comma 11 5 9" xfId="6766"/>
    <cellStyle name="Comma 11 5 9 2" xfId="6767"/>
    <cellStyle name="Comma 11 5 9 2 2" xfId="6768"/>
    <cellStyle name="Comma 11 5 9 2 2 2" xfId="6769"/>
    <cellStyle name="Comma 11 5 9 2 2 2 2" xfId="6770"/>
    <cellStyle name="Comma 11 5 9 2 2 3" xfId="6771"/>
    <cellStyle name="Comma 11 5 9 2 3" xfId="6772"/>
    <cellStyle name="Comma 11 5 9 2 3 2" xfId="6773"/>
    <cellStyle name="Comma 11 5 9 2 4" xfId="6774"/>
    <cellStyle name="Comma 11 5 9 3" xfId="6775"/>
    <cellStyle name="Comma 11 5 9 3 2" xfId="6776"/>
    <cellStyle name="Comma 11 5 9 3 2 2" xfId="6777"/>
    <cellStyle name="Comma 11 5 9 3 2 2 2" xfId="6778"/>
    <cellStyle name="Comma 11 5 9 3 2 3" xfId="6779"/>
    <cellStyle name="Comma 11 5 9 3 3" xfId="6780"/>
    <cellStyle name="Comma 11 5 9 3 3 2" xfId="6781"/>
    <cellStyle name="Comma 11 5 9 3 4" xfId="6782"/>
    <cellStyle name="Comma 11 5 9 4" xfId="6783"/>
    <cellStyle name="Comma 11 5 9 4 2" xfId="6784"/>
    <cellStyle name="Comma 11 5 9 4 2 2" xfId="6785"/>
    <cellStyle name="Comma 11 5 9 4 3" xfId="6786"/>
    <cellStyle name="Comma 11 5 9 5" xfId="6787"/>
    <cellStyle name="Comma 11 5 9 5 2" xfId="6788"/>
    <cellStyle name="Comma 11 5 9 6" xfId="6789"/>
    <cellStyle name="Comma 11 50" xfId="6790"/>
    <cellStyle name="Comma 11 6" xfId="6791"/>
    <cellStyle name="Comma 11 6 10" xfId="6792"/>
    <cellStyle name="Comma 11 6 10 2" xfId="6793"/>
    <cellStyle name="Comma 11 6 10 2 2" xfId="6794"/>
    <cellStyle name="Comma 11 6 10 2 2 2" xfId="6795"/>
    <cellStyle name="Comma 11 6 10 2 2 2 2" xfId="6796"/>
    <cellStyle name="Comma 11 6 10 2 2 3" xfId="6797"/>
    <cellStyle name="Comma 11 6 10 2 3" xfId="6798"/>
    <cellStyle name="Comma 11 6 10 2 3 2" xfId="6799"/>
    <cellStyle name="Comma 11 6 10 2 4" xfId="6800"/>
    <cellStyle name="Comma 11 6 10 3" xfId="6801"/>
    <cellStyle name="Comma 11 6 10 3 2" xfId="6802"/>
    <cellStyle name="Comma 11 6 10 3 2 2" xfId="6803"/>
    <cellStyle name="Comma 11 6 10 3 2 2 2" xfId="6804"/>
    <cellStyle name="Comma 11 6 10 3 2 3" xfId="6805"/>
    <cellStyle name="Comma 11 6 10 3 3" xfId="6806"/>
    <cellStyle name="Comma 11 6 10 3 3 2" xfId="6807"/>
    <cellStyle name="Comma 11 6 10 3 4" xfId="6808"/>
    <cellStyle name="Comma 11 6 10 4" xfId="6809"/>
    <cellStyle name="Comma 11 6 10 4 2" xfId="6810"/>
    <cellStyle name="Comma 11 6 10 4 2 2" xfId="6811"/>
    <cellStyle name="Comma 11 6 10 4 3" xfId="6812"/>
    <cellStyle name="Comma 11 6 10 5" xfId="6813"/>
    <cellStyle name="Comma 11 6 10 5 2" xfId="6814"/>
    <cellStyle name="Comma 11 6 10 6" xfId="6815"/>
    <cellStyle name="Comma 11 6 11" xfId="6816"/>
    <cellStyle name="Comma 11 6 11 2" xfId="6817"/>
    <cellStyle name="Comma 11 6 11 2 2" xfId="6818"/>
    <cellStyle name="Comma 11 6 11 2 2 2" xfId="6819"/>
    <cellStyle name="Comma 11 6 11 2 2 2 2" xfId="6820"/>
    <cellStyle name="Comma 11 6 11 2 2 3" xfId="6821"/>
    <cellStyle name="Comma 11 6 11 2 3" xfId="6822"/>
    <cellStyle name="Comma 11 6 11 2 3 2" xfId="6823"/>
    <cellStyle name="Comma 11 6 11 2 4" xfId="6824"/>
    <cellStyle name="Comma 11 6 11 3" xfId="6825"/>
    <cellStyle name="Comma 11 6 11 3 2" xfId="6826"/>
    <cellStyle name="Comma 11 6 11 3 2 2" xfId="6827"/>
    <cellStyle name="Comma 11 6 11 3 2 2 2" xfId="6828"/>
    <cellStyle name="Comma 11 6 11 3 2 3" xfId="6829"/>
    <cellStyle name="Comma 11 6 11 3 3" xfId="6830"/>
    <cellStyle name="Comma 11 6 11 3 3 2" xfId="6831"/>
    <cellStyle name="Comma 11 6 11 3 4" xfId="6832"/>
    <cellStyle name="Comma 11 6 11 4" xfId="6833"/>
    <cellStyle name="Comma 11 6 11 4 2" xfId="6834"/>
    <cellStyle name="Comma 11 6 11 4 2 2" xfId="6835"/>
    <cellStyle name="Comma 11 6 11 4 3" xfId="6836"/>
    <cellStyle name="Comma 11 6 11 5" xfId="6837"/>
    <cellStyle name="Comma 11 6 11 5 2" xfId="6838"/>
    <cellStyle name="Comma 11 6 11 6" xfId="6839"/>
    <cellStyle name="Comma 11 6 12" xfId="6840"/>
    <cellStyle name="Comma 11 6 12 2" xfId="6841"/>
    <cellStyle name="Comma 11 6 12 2 2" xfId="6842"/>
    <cellStyle name="Comma 11 6 12 2 2 2" xfId="6843"/>
    <cellStyle name="Comma 11 6 12 2 2 2 2" xfId="6844"/>
    <cellStyle name="Comma 11 6 12 2 2 3" xfId="6845"/>
    <cellStyle name="Comma 11 6 12 2 3" xfId="6846"/>
    <cellStyle name="Comma 11 6 12 2 3 2" xfId="6847"/>
    <cellStyle name="Comma 11 6 12 2 4" xfId="6848"/>
    <cellStyle name="Comma 11 6 12 3" xfId="6849"/>
    <cellStyle name="Comma 11 6 12 3 2" xfId="6850"/>
    <cellStyle name="Comma 11 6 12 3 2 2" xfId="6851"/>
    <cellStyle name="Comma 11 6 12 3 2 2 2" xfId="6852"/>
    <cellStyle name="Comma 11 6 12 3 2 3" xfId="6853"/>
    <cellStyle name="Comma 11 6 12 3 3" xfId="6854"/>
    <cellStyle name="Comma 11 6 12 3 3 2" xfId="6855"/>
    <cellStyle name="Comma 11 6 12 3 4" xfId="6856"/>
    <cellStyle name="Comma 11 6 12 4" xfId="6857"/>
    <cellStyle name="Comma 11 6 12 4 2" xfId="6858"/>
    <cellStyle name="Comma 11 6 12 4 2 2" xfId="6859"/>
    <cellStyle name="Comma 11 6 12 4 3" xfId="6860"/>
    <cellStyle name="Comma 11 6 12 5" xfId="6861"/>
    <cellStyle name="Comma 11 6 12 5 2" xfId="6862"/>
    <cellStyle name="Comma 11 6 12 6" xfId="6863"/>
    <cellStyle name="Comma 11 6 13" xfId="6864"/>
    <cellStyle name="Comma 11 6 13 2" xfId="6865"/>
    <cellStyle name="Comma 11 6 13 2 2" xfId="6866"/>
    <cellStyle name="Comma 11 6 13 2 2 2" xfId="6867"/>
    <cellStyle name="Comma 11 6 13 2 2 2 2" xfId="6868"/>
    <cellStyle name="Comma 11 6 13 2 2 3" xfId="6869"/>
    <cellStyle name="Comma 11 6 13 2 3" xfId="6870"/>
    <cellStyle name="Comma 11 6 13 2 3 2" xfId="6871"/>
    <cellStyle name="Comma 11 6 13 2 4" xfId="6872"/>
    <cellStyle name="Comma 11 6 13 3" xfId="6873"/>
    <cellStyle name="Comma 11 6 13 3 2" xfId="6874"/>
    <cellStyle name="Comma 11 6 13 3 2 2" xfId="6875"/>
    <cellStyle name="Comma 11 6 13 3 2 2 2" xfId="6876"/>
    <cellStyle name="Comma 11 6 13 3 2 3" xfId="6877"/>
    <cellStyle name="Comma 11 6 13 3 3" xfId="6878"/>
    <cellStyle name="Comma 11 6 13 3 3 2" xfId="6879"/>
    <cellStyle name="Comma 11 6 13 3 4" xfId="6880"/>
    <cellStyle name="Comma 11 6 13 4" xfId="6881"/>
    <cellStyle name="Comma 11 6 13 4 2" xfId="6882"/>
    <cellStyle name="Comma 11 6 13 4 2 2" xfId="6883"/>
    <cellStyle name="Comma 11 6 13 4 3" xfId="6884"/>
    <cellStyle name="Comma 11 6 13 5" xfId="6885"/>
    <cellStyle name="Comma 11 6 13 5 2" xfId="6886"/>
    <cellStyle name="Comma 11 6 13 6" xfId="6887"/>
    <cellStyle name="Comma 11 6 14" xfId="6888"/>
    <cellStyle name="Comma 11 6 14 2" xfId="6889"/>
    <cellStyle name="Comma 11 6 14 2 2" xfId="6890"/>
    <cellStyle name="Comma 11 6 14 2 2 2" xfId="6891"/>
    <cellStyle name="Comma 11 6 14 2 3" xfId="6892"/>
    <cellStyle name="Comma 11 6 14 3" xfId="6893"/>
    <cellStyle name="Comma 11 6 14 3 2" xfId="6894"/>
    <cellStyle name="Comma 11 6 14 4" xfId="6895"/>
    <cellStyle name="Comma 11 6 15" xfId="6896"/>
    <cellStyle name="Comma 11 6 15 2" xfId="6897"/>
    <cellStyle name="Comma 11 6 15 2 2" xfId="6898"/>
    <cellStyle name="Comma 11 6 15 2 2 2" xfId="6899"/>
    <cellStyle name="Comma 11 6 15 2 3" xfId="6900"/>
    <cellStyle name="Comma 11 6 15 3" xfId="6901"/>
    <cellStyle name="Comma 11 6 15 3 2" xfId="6902"/>
    <cellStyle name="Comma 11 6 15 4" xfId="6903"/>
    <cellStyle name="Comma 11 6 16" xfId="6904"/>
    <cellStyle name="Comma 11 6 16 2" xfId="6905"/>
    <cellStyle name="Comma 11 6 16 2 2" xfId="6906"/>
    <cellStyle name="Comma 11 6 16 3" xfId="6907"/>
    <cellStyle name="Comma 11 6 17" xfId="6908"/>
    <cellStyle name="Comma 11 6 17 2" xfId="6909"/>
    <cellStyle name="Comma 11 6 18" xfId="6910"/>
    <cellStyle name="Comma 11 6 2" xfId="6911"/>
    <cellStyle name="Comma 11 6 2 2" xfId="6912"/>
    <cellStyle name="Comma 11 6 2 2 2" xfId="6913"/>
    <cellStyle name="Comma 11 6 2 2 2 2" xfId="6914"/>
    <cellStyle name="Comma 11 6 2 2 2 2 2" xfId="6915"/>
    <cellStyle name="Comma 11 6 2 2 2 3" xfId="6916"/>
    <cellStyle name="Comma 11 6 2 2 3" xfId="6917"/>
    <cellStyle name="Comma 11 6 2 2 3 2" xfId="6918"/>
    <cellStyle name="Comma 11 6 2 2 4" xfId="6919"/>
    <cellStyle name="Comma 11 6 2 3" xfId="6920"/>
    <cellStyle name="Comma 11 6 2 3 2" xfId="6921"/>
    <cellStyle name="Comma 11 6 2 3 2 2" xfId="6922"/>
    <cellStyle name="Comma 11 6 2 3 2 2 2" xfId="6923"/>
    <cellStyle name="Comma 11 6 2 3 2 3" xfId="6924"/>
    <cellStyle name="Comma 11 6 2 3 3" xfId="6925"/>
    <cellStyle name="Comma 11 6 2 3 3 2" xfId="6926"/>
    <cellStyle name="Comma 11 6 2 3 4" xfId="6927"/>
    <cellStyle name="Comma 11 6 2 4" xfId="6928"/>
    <cellStyle name="Comma 11 6 2 4 2" xfId="6929"/>
    <cellStyle name="Comma 11 6 2 4 2 2" xfId="6930"/>
    <cellStyle name="Comma 11 6 2 4 3" xfId="6931"/>
    <cellStyle name="Comma 11 6 2 5" xfId="6932"/>
    <cellStyle name="Comma 11 6 2 5 2" xfId="6933"/>
    <cellStyle name="Comma 11 6 2 6" xfId="6934"/>
    <cellStyle name="Comma 11 6 3" xfId="6935"/>
    <cellStyle name="Comma 11 6 3 2" xfId="6936"/>
    <cellStyle name="Comma 11 6 3 2 2" xfId="6937"/>
    <cellStyle name="Comma 11 6 3 2 2 2" xfId="6938"/>
    <cellStyle name="Comma 11 6 3 2 2 2 2" xfId="6939"/>
    <cellStyle name="Comma 11 6 3 2 2 3" xfId="6940"/>
    <cellStyle name="Comma 11 6 3 2 3" xfId="6941"/>
    <cellStyle name="Comma 11 6 3 2 3 2" xfId="6942"/>
    <cellStyle name="Comma 11 6 3 2 4" xfId="6943"/>
    <cellStyle name="Comma 11 6 3 3" xfId="6944"/>
    <cellStyle name="Comma 11 6 3 3 2" xfId="6945"/>
    <cellStyle name="Comma 11 6 3 3 2 2" xfId="6946"/>
    <cellStyle name="Comma 11 6 3 3 2 2 2" xfId="6947"/>
    <cellStyle name="Comma 11 6 3 3 2 3" xfId="6948"/>
    <cellStyle name="Comma 11 6 3 3 3" xfId="6949"/>
    <cellStyle name="Comma 11 6 3 3 3 2" xfId="6950"/>
    <cellStyle name="Comma 11 6 3 3 4" xfId="6951"/>
    <cellStyle name="Comma 11 6 3 4" xfId="6952"/>
    <cellStyle name="Comma 11 6 3 4 2" xfId="6953"/>
    <cellStyle name="Comma 11 6 3 4 2 2" xfId="6954"/>
    <cellStyle name="Comma 11 6 3 4 3" xfId="6955"/>
    <cellStyle name="Comma 11 6 3 5" xfId="6956"/>
    <cellStyle name="Comma 11 6 3 5 2" xfId="6957"/>
    <cellStyle name="Comma 11 6 3 6" xfId="6958"/>
    <cellStyle name="Comma 11 6 4" xfId="6959"/>
    <cellStyle name="Comma 11 6 4 2" xfId="6960"/>
    <cellStyle name="Comma 11 6 4 2 2" xfId="6961"/>
    <cellStyle name="Comma 11 6 4 2 2 2" xfId="6962"/>
    <cellStyle name="Comma 11 6 4 2 2 2 2" xfId="6963"/>
    <cellStyle name="Comma 11 6 4 2 2 3" xfId="6964"/>
    <cellStyle name="Comma 11 6 4 2 3" xfId="6965"/>
    <cellStyle name="Comma 11 6 4 2 3 2" xfId="6966"/>
    <cellStyle name="Comma 11 6 4 2 4" xfId="6967"/>
    <cellStyle name="Comma 11 6 4 3" xfId="6968"/>
    <cellStyle name="Comma 11 6 4 3 2" xfId="6969"/>
    <cellStyle name="Comma 11 6 4 3 2 2" xfId="6970"/>
    <cellStyle name="Comma 11 6 4 3 2 2 2" xfId="6971"/>
    <cellStyle name="Comma 11 6 4 3 2 3" xfId="6972"/>
    <cellStyle name="Comma 11 6 4 3 3" xfId="6973"/>
    <cellStyle name="Comma 11 6 4 3 3 2" xfId="6974"/>
    <cellStyle name="Comma 11 6 4 3 4" xfId="6975"/>
    <cellStyle name="Comma 11 6 4 4" xfId="6976"/>
    <cellStyle name="Comma 11 6 4 4 2" xfId="6977"/>
    <cellStyle name="Comma 11 6 4 4 2 2" xfId="6978"/>
    <cellStyle name="Comma 11 6 4 4 3" xfId="6979"/>
    <cellStyle name="Comma 11 6 4 5" xfId="6980"/>
    <cellStyle name="Comma 11 6 4 5 2" xfId="6981"/>
    <cellStyle name="Comma 11 6 4 6" xfId="6982"/>
    <cellStyle name="Comma 11 6 5" xfId="6983"/>
    <cellStyle name="Comma 11 6 5 2" xfId="6984"/>
    <cellStyle name="Comma 11 6 5 2 2" xfId="6985"/>
    <cellStyle name="Comma 11 6 5 2 2 2" xfId="6986"/>
    <cellStyle name="Comma 11 6 5 2 2 2 2" xfId="6987"/>
    <cellStyle name="Comma 11 6 5 2 2 3" xfId="6988"/>
    <cellStyle name="Comma 11 6 5 2 3" xfId="6989"/>
    <cellStyle name="Comma 11 6 5 2 3 2" xfId="6990"/>
    <cellStyle name="Comma 11 6 5 2 4" xfId="6991"/>
    <cellStyle name="Comma 11 6 5 3" xfId="6992"/>
    <cellStyle name="Comma 11 6 5 3 2" xfId="6993"/>
    <cellStyle name="Comma 11 6 5 3 2 2" xfId="6994"/>
    <cellStyle name="Comma 11 6 5 3 2 2 2" xfId="6995"/>
    <cellStyle name="Comma 11 6 5 3 2 3" xfId="6996"/>
    <cellStyle name="Comma 11 6 5 3 3" xfId="6997"/>
    <cellStyle name="Comma 11 6 5 3 3 2" xfId="6998"/>
    <cellStyle name="Comma 11 6 5 3 4" xfId="6999"/>
    <cellStyle name="Comma 11 6 5 4" xfId="7000"/>
    <cellStyle name="Comma 11 6 5 4 2" xfId="7001"/>
    <cellStyle name="Comma 11 6 5 4 2 2" xfId="7002"/>
    <cellStyle name="Comma 11 6 5 4 3" xfId="7003"/>
    <cellStyle name="Comma 11 6 5 5" xfId="7004"/>
    <cellStyle name="Comma 11 6 5 5 2" xfId="7005"/>
    <cellStyle name="Comma 11 6 5 6" xfId="7006"/>
    <cellStyle name="Comma 11 6 6" xfId="7007"/>
    <cellStyle name="Comma 11 6 6 2" xfId="7008"/>
    <cellStyle name="Comma 11 6 6 2 2" xfId="7009"/>
    <cellStyle name="Comma 11 6 6 2 2 2" xfId="7010"/>
    <cellStyle name="Comma 11 6 6 2 2 2 2" xfId="7011"/>
    <cellStyle name="Comma 11 6 6 2 2 3" xfId="7012"/>
    <cellStyle name="Comma 11 6 6 2 3" xfId="7013"/>
    <cellStyle name="Comma 11 6 6 2 3 2" xfId="7014"/>
    <cellStyle name="Comma 11 6 6 2 4" xfId="7015"/>
    <cellStyle name="Comma 11 6 6 3" xfId="7016"/>
    <cellStyle name="Comma 11 6 6 3 2" xfId="7017"/>
    <cellStyle name="Comma 11 6 6 3 2 2" xfId="7018"/>
    <cellStyle name="Comma 11 6 6 3 2 2 2" xfId="7019"/>
    <cellStyle name="Comma 11 6 6 3 2 3" xfId="7020"/>
    <cellStyle name="Comma 11 6 6 3 3" xfId="7021"/>
    <cellStyle name="Comma 11 6 6 3 3 2" xfId="7022"/>
    <cellStyle name="Comma 11 6 6 3 4" xfId="7023"/>
    <cellStyle name="Comma 11 6 6 4" xfId="7024"/>
    <cellStyle name="Comma 11 6 6 4 2" xfId="7025"/>
    <cellStyle name="Comma 11 6 6 4 2 2" xfId="7026"/>
    <cellStyle name="Comma 11 6 6 4 3" xfId="7027"/>
    <cellStyle name="Comma 11 6 6 5" xfId="7028"/>
    <cellStyle name="Comma 11 6 6 5 2" xfId="7029"/>
    <cellStyle name="Comma 11 6 6 6" xfId="7030"/>
    <cellStyle name="Comma 11 6 7" xfId="7031"/>
    <cellStyle name="Comma 11 6 7 2" xfId="7032"/>
    <cellStyle name="Comma 11 6 7 2 2" xfId="7033"/>
    <cellStyle name="Comma 11 6 7 2 2 2" xfId="7034"/>
    <cellStyle name="Comma 11 6 7 2 2 2 2" xfId="7035"/>
    <cellStyle name="Comma 11 6 7 2 2 3" xfId="7036"/>
    <cellStyle name="Comma 11 6 7 2 3" xfId="7037"/>
    <cellStyle name="Comma 11 6 7 2 3 2" xfId="7038"/>
    <cellStyle name="Comma 11 6 7 2 4" xfId="7039"/>
    <cellStyle name="Comma 11 6 7 3" xfId="7040"/>
    <cellStyle name="Comma 11 6 7 3 2" xfId="7041"/>
    <cellStyle name="Comma 11 6 7 3 2 2" xfId="7042"/>
    <cellStyle name="Comma 11 6 7 3 2 2 2" xfId="7043"/>
    <cellStyle name="Comma 11 6 7 3 2 3" xfId="7044"/>
    <cellStyle name="Comma 11 6 7 3 3" xfId="7045"/>
    <cellStyle name="Comma 11 6 7 3 3 2" xfId="7046"/>
    <cellStyle name="Comma 11 6 7 3 4" xfId="7047"/>
    <cellStyle name="Comma 11 6 7 4" xfId="7048"/>
    <cellStyle name="Comma 11 6 7 4 2" xfId="7049"/>
    <cellStyle name="Comma 11 6 7 4 2 2" xfId="7050"/>
    <cellStyle name="Comma 11 6 7 4 3" xfId="7051"/>
    <cellStyle name="Comma 11 6 7 5" xfId="7052"/>
    <cellStyle name="Comma 11 6 7 5 2" xfId="7053"/>
    <cellStyle name="Comma 11 6 7 6" xfId="7054"/>
    <cellStyle name="Comma 11 6 8" xfId="7055"/>
    <cellStyle name="Comma 11 6 8 2" xfId="7056"/>
    <cellStyle name="Comma 11 6 8 2 2" xfId="7057"/>
    <cellStyle name="Comma 11 6 8 2 2 2" xfId="7058"/>
    <cellStyle name="Comma 11 6 8 2 2 2 2" xfId="7059"/>
    <cellStyle name="Comma 11 6 8 2 2 3" xfId="7060"/>
    <cellStyle name="Comma 11 6 8 2 3" xfId="7061"/>
    <cellStyle name="Comma 11 6 8 2 3 2" xfId="7062"/>
    <cellStyle name="Comma 11 6 8 2 4" xfId="7063"/>
    <cellStyle name="Comma 11 6 8 3" xfId="7064"/>
    <cellStyle name="Comma 11 6 8 3 2" xfId="7065"/>
    <cellStyle name="Comma 11 6 8 3 2 2" xfId="7066"/>
    <cellStyle name="Comma 11 6 8 3 2 2 2" xfId="7067"/>
    <cellStyle name="Comma 11 6 8 3 2 3" xfId="7068"/>
    <cellStyle name="Comma 11 6 8 3 3" xfId="7069"/>
    <cellStyle name="Comma 11 6 8 3 3 2" xfId="7070"/>
    <cellStyle name="Comma 11 6 8 3 4" xfId="7071"/>
    <cellStyle name="Comma 11 6 8 4" xfId="7072"/>
    <cellStyle name="Comma 11 6 8 4 2" xfId="7073"/>
    <cellStyle name="Comma 11 6 8 4 2 2" xfId="7074"/>
    <cellStyle name="Comma 11 6 8 4 3" xfId="7075"/>
    <cellStyle name="Comma 11 6 8 5" xfId="7076"/>
    <cellStyle name="Comma 11 6 8 5 2" xfId="7077"/>
    <cellStyle name="Comma 11 6 8 6" xfId="7078"/>
    <cellStyle name="Comma 11 6 9" xfId="7079"/>
    <cellStyle name="Comma 11 6 9 2" xfId="7080"/>
    <cellStyle name="Comma 11 6 9 2 2" xfId="7081"/>
    <cellStyle name="Comma 11 6 9 2 2 2" xfId="7082"/>
    <cellStyle name="Comma 11 6 9 2 2 2 2" xfId="7083"/>
    <cellStyle name="Comma 11 6 9 2 2 3" xfId="7084"/>
    <cellStyle name="Comma 11 6 9 2 3" xfId="7085"/>
    <cellStyle name="Comma 11 6 9 2 3 2" xfId="7086"/>
    <cellStyle name="Comma 11 6 9 2 4" xfId="7087"/>
    <cellStyle name="Comma 11 6 9 3" xfId="7088"/>
    <cellStyle name="Comma 11 6 9 3 2" xfId="7089"/>
    <cellStyle name="Comma 11 6 9 3 2 2" xfId="7090"/>
    <cellStyle name="Comma 11 6 9 3 2 2 2" xfId="7091"/>
    <cellStyle name="Comma 11 6 9 3 2 3" xfId="7092"/>
    <cellStyle name="Comma 11 6 9 3 3" xfId="7093"/>
    <cellStyle name="Comma 11 6 9 3 3 2" xfId="7094"/>
    <cellStyle name="Comma 11 6 9 3 4" xfId="7095"/>
    <cellStyle name="Comma 11 6 9 4" xfId="7096"/>
    <cellStyle name="Comma 11 6 9 4 2" xfId="7097"/>
    <cellStyle name="Comma 11 6 9 4 2 2" xfId="7098"/>
    <cellStyle name="Comma 11 6 9 4 3" xfId="7099"/>
    <cellStyle name="Comma 11 6 9 5" xfId="7100"/>
    <cellStyle name="Comma 11 6 9 5 2" xfId="7101"/>
    <cellStyle name="Comma 11 6 9 6" xfId="7102"/>
    <cellStyle name="Comma 11 7" xfId="7103"/>
    <cellStyle name="Comma 11 7 10" xfId="7104"/>
    <cellStyle name="Comma 11 7 10 2" xfId="7105"/>
    <cellStyle name="Comma 11 7 10 2 2" xfId="7106"/>
    <cellStyle name="Comma 11 7 10 2 2 2" xfId="7107"/>
    <cellStyle name="Comma 11 7 10 2 2 2 2" xfId="7108"/>
    <cellStyle name="Comma 11 7 10 2 2 3" xfId="7109"/>
    <cellStyle name="Comma 11 7 10 2 3" xfId="7110"/>
    <cellStyle name="Comma 11 7 10 2 3 2" xfId="7111"/>
    <cellStyle name="Comma 11 7 10 2 4" xfId="7112"/>
    <cellStyle name="Comma 11 7 10 3" xfId="7113"/>
    <cellStyle name="Comma 11 7 10 3 2" xfId="7114"/>
    <cellStyle name="Comma 11 7 10 3 2 2" xfId="7115"/>
    <cellStyle name="Comma 11 7 10 3 2 2 2" xfId="7116"/>
    <cellStyle name="Comma 11 7 10 3 2 3" xfId="7117"/>
    <cellStyle name="Comma 11 7 10 3 3" xfId="7118"/>
    <cellStyle name="Comma 11 7 10 3 3 2" xfId="7119"/>
    <cellStyle name="Comma 11 7 10 3 4" xfId="7120"/>
    <cellStyle name="Comma 11 7 10 4" xfId="7121"/>
    <cellStyle name="Comma 11 7 10 4 2" xfId="7122"/>
    <cellStyle name="Comma 11 7 10 4 2 2" xfId="7123"/>
    <cellStyle name="Comma 11 7 10 4 3" xfId="7124"/>
    <cellStyle name="Comma 11 7 10 5" xfId="7125"/>
    <cellStyle name="Comma 11 7 10 5 2" xfId="7126"/>
    <cellStyle name="Comma 11 7 10 6" xfId="7127"/>
    <cellStyle name="Comma 11 7 11" xfId="7128"/>
    <cellStyle name="Comma 11 7 11 2" xfId="7129"/>
    <cellStyle name="Comma 11 7 11 2 2" xfId="7130"/>
    <cellStyle name="Comma 11 7 11 2 2 2" xfId="7131"/>
    <cellStyle name="Comma 11 7 11 2 2 2 2" xfId="7132"/>
    <cellStyle name="Comma 11 7 11 2 2 3" xfId="7133"/>
    <cellStyle name="Comma 11 7 11 2 3" xfId="7134"/>
    <cellStyle name="Comma 11 7 11 2 3 2" xfId="7135"/>
    <cellStyle name="Comma 11 7 11 2 4" xfId="7136"/>
    <cellStyle name="Comma 11 7 11 3" xfId="7137"/>
    <cellStyle name="Comma 11 7 11 3 2" xfId="7138"/>
    <cellStyle name="Comma 11 7 11 3 2 2" xfId="7139"/>
    <cellStyle name="Comma 11 7 11 3 2 2 2" xfId="7140"/>
    <cellStyle name="Comma 11 7 11 3 2 3" xfId="7141"/>
    <cellStyle name="Comma 11 7 11 3 3" xfId="7142"/>
    <cellStyle name="Comma 11 7 11 3 3 2" xfId="7143"/>
    <cellStyle name="Comma 11 7 11 3 4" xfId="7144"/>
    <cellStyle name="Comma 11 7 11 4" xfId="7145"/>
    <cellStyle name="Comma 11 7 11 4 2" xfId="7146"/>
    <cellStyle name="Comma 11 7 11 4 2 2" xfId="7147"/>
    <cellStyle name="Comma 11 7 11 4 3" xfId="7148"/>
    <cellStyle name="Comma 11 7 11 5" xfId="7149"/>
    <cellStyle name="Comma 11 7 11 5 2" xfId="7150"/>
    <cellStyle name="Comma 11 7 11 6" xfId="7151"/>
    <cellStyle name="Comma 11 7 12" xfId="7152"/>
    <cellStyle name="Comma 11 7 12 2" xfId="7153"/>
    <cellStyle name="Comma 11 7 12 2 2" xfId="7154"/>
    <cellStyle name="Comma 11 7 12 2 2 2" xfId="7155"/>
    <cellStyle name="Comma 11 7 12 2 2 2 2" xfId="7156"/>
    <cellStyle name="Comma 11 7 12 2 2 3" xfId="7157"/>
    <cellStyle name="Comma 11 7 12 2 3" xfId="7158"/>
    <cellStyle name="Comma 11 7 12 2 3 2" xfId="7159"/>
    <cellStyle name="Comma 11 7 12 2 4" xfId="7160"/>
    <cellStyle name="Comma 11 7 12 3" xfId="7161"/>
    <cellStyle name="Comma 11 7 12 3 2" xfId="7162"/>
    <cellStyle name="Comma 11 7 12 3 2 2" xfId="7163"/>
    <cellStyle name="Comma 11 7 12 3 2 2 2" xfId="7164"/>
    <cellStyle name="Comma 11 7 12 3 2 3" xfId="7165"/>
    <cellStyle name="Comma 11 7 12 3 3" xfId="7166"/>
    <cellStyle name="Comma 11 7 12 3 3 2" xfId="7167"/>
    <cellStyle name="Comma 11 7 12 3 4" xfId="7168"/>
    <cellStyle name="Comma 11 7 12 4" xfId="7169"/>
    <cellStyle name="Comma 11 7 12 4 2" xfId="7170"/>
    <cellStyle name="Comma 11 7 12 4 2 2" xfId="7171"/>
    <cellStyle name="Comma 11 7 12 4 3" xfId="7172"/>
    <cellStyle name="Comma 11 7 12 5" xfId="7173"/>
    <cellStyle name="Comma 11 7 12 5 2" xfId="7174"/>
    <cellStyle name="Comma 11 7 12 6" xfId="7175"/>
    <cellStyle name="Comma 11 7 13" xfId="7176"/>
    <cellStyle name="Comma 11 7 13 2" xfId="7177"/>
    <cellStyle name="Comma 11 7 13 2 2" xfId="7178"/>
    <cellStyle name="Comma 11 7 13 2 2 2" xfId="7179"/>
    <cellStyle name="Comma 11 7 13 2 2 2 2" xfId="7180"/>
    <cellStyle name="Comma 11 7 13 2 2 3" xfId="7181"/>
    <cellStyle name="Comma 11 7 13 2 3" xfId="7182"/>
    <cellStyle name="Comma 11 7 13 2 3 2" xfId="7183"/>
    <cellStyle name="Comma 11 7 13 2 4" xfId="7184"/>
    <cellStyle name="Comma 11 7 13 3" xfId="7185"/>
    <cellStyle name="Comma 11 7 13 3 2" xfId="7186"/>
    <cellStyle name="Comma 11 7 13 3 2 2" xfId="7187"/>
    <cellStyle name="Comma 11 7 13 3 2 2 2" xfId="7188"/>
    <cellStyle name="Comma 11 7 13 3 2 3" xfId="7189"/>
    <cellStyle name="Comma 11 7 13 3 3" xfId="7190"/>
    <cellStyle name="Comma 11 7 13 3 3 2" xfId="7191"/>
    <cellStyle name="Comma 11 7 13 3 4" xfId="7192"/>
    <cellStyle name="Comma 11 7 13 4" xfId="7193"/>
    <cellStyle name="Comma 11 7 13 4 2" xfId="7194"/>
    <cellStyle name="Comma 11 7 13 4 2 2" xfId="7195"/>
    <cellStyle name="Comma 11 7 13 4 3" xfId="7196"/>
    <cellStyle name="Comma 11 7 13 5" xfId="7197"/>
    <cellStyle name="Comma 11 7 13 5 2" xfId="7198"/>
    <cellStyle name="Comma 11 7 13 6" xfId="7199"/>
    <cellStyle name="Comma 11 7 14" xfId="7200"/>
    <cellStyle name="Comma 11 7 14 2" xfId="7201"/>
    <cellStyle name="Comma 11 7 14 2 2" xfId="7202"/>
    <cellStyle name="Comma 11 7 14 2 2 2" xfId="7203"/>
    <cellStyle name="Comma 11 7 14 2 3" xfId="7204"/>
    <cellStyle name="Comma 11 7 14 3" xfId="7205"/>
    <cellStyle name="Comma 11 7 14 3 2" xfId="7206"/>
    <cellStyle name="Comma 11 7 14 4" xfId="7207"/>
    <cellStyle name="Comma 11 7 15" xfId="7208"/>
    <cellStyle name="Comma 11 7 15 2" xfId="7209"/>
    <cellStyle name="Comma 11 7 15 2 2" xfId="7210"/>
    <cellStyle name="Comma 11 7 15 2 2 2" xfId="7211"/>
    <cellStyle name="Comma 11 7 15 2 3" xfId="7212"/>
    <cellStyle name="Comma 11 7 15 3" xfId="7213"/>
    <cellStyle name="Comma 11 7 15 3 2" xfId="7214"/>
    <cellStyle name="Comma 11 7 15 4" xfId="7215"/>
    <cellStyle name="Comma 11 7 16" xfId="7216"/>
    <cellStyle name="Comma 11 7 16 2" xfId="7217"/>
    <cellStyle name="Comma 11 7 16 2 2" xfId="7218"/>
    <cellStyle name="Comma 11 7 16 3" xfId="7219"/>
    <cellStyle name="Comma 11 7 17" xfId="7220"/>
    <cellStyle name="Comma 11 7 17 2" xfId="7221"/>
    <cellStyle name="Comma 11 7 18" xfId="7222"/>
    <cellStyle name="Comma 11 7 2" xfId="7223"/>
    <cellStyle name="Comma 11 7 2 2" xfId="7224"/>
    <cellStyle name="Comma 11 7 2 2 2" xfId="7225"/>
    <cellStyle name="Comma 11 7 2 2 2 2" xfId="7226"/>
    <cellStyle name="Comma 11 7 2 2 2 2 2" xfId="7227"/>
    <cellStyle name="Comma 11 7 2 2 2 3" xfId="7228"/>
    <cellStyle name="Comma 11 7 2 2 3" xfId="7229"/>
    <cellStyle name="Comma 11 7 2 2 3 2" xfId="7230"/>
    <cellStyle name="Comma 11 7 2 2 4" xfId="7231"/>
    <cellStyle name="Comma 11 7 2 3" xfId="7232"/>
    <cellStyle name="Comma 11 7 2 3 2" xfId="7233"/>
    <cellStyle name="Comma 11 7 2 3 2 2" xfId="7234"/>
    <cellStyle name="Comma 11 7 2 3 2 2 2" xfId="7235"/>
    <cellStyle name="Comma 11 7 2 3 2 3" xfId="7236"/>
    <cellStyle name="Comma 11 7 2 3 3" xfId="7237"/>
    <cellStyle name="Comma 11 7 2 3 3 2" xfId="7238"/>
    <cellStyle name="Comma 11 7 2 3 4" xfId="7239"/>
    <cellStyle name="Comma 11 7 2 4" xfId="7240"/>
    <cellStyle name="Comma 11 7 2 4 2" xfId="7241"/>
    <cellStyle name="Comma 11 7 2 4 2 2" xfId="7242"/>
    <cellStyle name="Comma 11 7 2 4 3" xfId="7243"/>
    <cellStyle name="Comma 11 7 2 5" xfId="7244"/>
    <cellStyle name="Comma 11 7 2 5 2" xfId="7245"/>
    <cellStyle name="Comma 11 7 2 6" xfId="7246"/>
    <cellStyle name="Comma 11 7 3" xfId="7247"/>
    <cellStyle name="Comma 11 7 3 2" xfId="7248"/>
    <cellStyle name="Comma 11 7 3 2 2" xfId="7249"/>
    <cellStyle name="Comma 11 7 3 2 2 2" xfId="7250"/>
    <cellStyle name="Comma 11 7 3 2 2 2 2" xfId="7251"/>
    <cellStyle name="Comma 11 7 3 2 2 3" xfId="7252"/>
    <cellStyle name="Comma 11 7 3 2 3" xfId="7253"/>
    <cellStyle name="Comma 11 7 3 2 3 2" xfId="7254"/>
    <cellStyle name="Comma 11 7 3 2 4" xfId="7255"/>
    <cellStyle name="Comma 11 7 3 3" xfId="7256"/>
    <cellStyle name="Comma 11 7 3 3 2" xfId="7257"/>
    <cellStyle name="Comma 11 7 3 3 2 2" xfId="7258"/>
    <cellStyle name="Comma 11 7 3 3 2 2 2" xfId="7259"/>
    <cellStyle name="Comma 11 7 3 3 2 3" xfId="7260"/>
    <cellStyle name="Comma 11 7 3 3 3" xfId="7261"/>
    <cellStyle name="Comma 11 7 3 3 3 2" xfId="7262"/>
    <cellStyle name="Comma 11 7 3 3 4" xfId="7263"/>
    <cellStyle name="Comma 11 7 3 4" xfId="7264"/>
    <cellStyle name="Comma 11 7 3 4 2" xfId="7265"/>
    <cellStyle name="Comma 11 7 3 4 2 2" xfId="7266"/>
    <cellStyle name="Comma 11 7 3 4 3" xfId="7267"/>
    <cellStyle name="Comma 11 7 3 5" xfId="7268"/>
    <cellStyle name="Comma 11 7 3 5 2" xfId="7269"/>
    <cellStyle name="Comma 11 7 3 6" xfId="7270"/>
    <cellStyle name="Comma 11 7 4" xfId="7271"/>
    <cellStyle name="Comma 11 7 4 2" xfId="7272"/>
    <cellStyle name="Comma 11 7 4 2 2" xfId="7273"/>
    <cellStyle name="Comma 11 7 4 2 2 2" xfId="7274"/>
    <cellStyle name="Comma 11 7 4 2 2 2 2" xfId="7275"/>
    <cellStyle name="Comma 11 7 4 2 2 3" xfId="7276"/>
    <cellStyle name="Comma 11 7 4 2 3" xfId="7277"/>
    <cellStyle name="Comma 11 7 4 2 3 2" xfId="7278"/>
    <cellStyle name="Comma 11 7 4 2 4" xfId="7279"/>
    <cellStyle name="Comma 11 7 4 3" xfId="7280"/>
    <cellStyle name="Comma 11 7 4 3 2" xfId="7281"/>
    <cellStyle name="Comma 11 7 4 3 2 2" xfId="7282"/>
    <cellStyle name="Comma 11 7 4 3 2 2 2" xfId="7283"/>
    <cellStyle name="Comma 11 7 4 3 2 3" xfId="7284"/>
    <cellStyle name="Comma 11 7 4 3 3" xfId="7285"/>
    <cellStyle name="Comma 11 7 4 3 3 2" xfId="7286"/>
    <cellStyle name="Comma 11 7 4 3 4" xfId="7287"/>
    <cellStyle name="Comma 11 7 4 4" xfId="7288"/>
    <cellStyle name="Comma 11 7 4 4 2" xfId="7289"/>
    <cellStyle name="Comma 11 7 4 4 2 2" xfId="7290"/>
    <cellStyle name="Comma 11 7 4 4 3" xfId="7291"/>
    <cellStyle name="Comma 11 7 4 5" xfId="7292"/>
    <cellStyle name="Comma 11 7 4 5 2" xfId="7293"/>
    <cellStyle name="Comma 11 7 4 6" xfId="7294"/>
    <cellStyle name="Comma 11 7 5" xfId="7295"/>
    <cellStyle name="Comma 11 7 5 2" xfId="7296"/>
    <cellStyle name="Comma 11 7 5 2 2" xfId="7297"/>
    <cellStyle name="Comma 11 7 5 2 2 2" xfId="7298"/>
    <cellStyle name="Comma 11 7 5 2 2 2 2" xfId="7299"/>
    <cellStyle name="Comma 11 7 5 2 2 3" xfId="7300"/>
    <cellStyle name="Comma 11 7 5 2 3" xfId="7301"/>
    <cellStyle name="Comma 11 7 5 2 3 2" xfId="7302"/>
    <cellStyle name="Comma 11 7 5 2 4" xfId="7303"/>
    <cellStyle name="Comma 11 7 5 3" xfId="7304"/>
    <cellStyle name="Comma 11 7 5 3 2" xfId="7305"/>
    <cellStyle name="Comma 11 7 5 3 2 2" xfId="7306"/>
    <cellStyle name="Comma 11 7 5 3 2 2 2" xfId="7307"/>
    <cellStyle name="Comma 11 7 5 3 2 3" xfId="7308"/>
    <cellStyle name="Comma 11 7 5 3 3" xfId="7309"/>
    <cellStyle name="Comma 11 7 5 3 3 2" xfId="7310"/>
    <cellStyle name="Comma 11 7 5 3 4" xfId="7311"/>
    <cellStyle name="Comma 11 7 5 4" xfId="7312"/>
    <cellStyle name="Comma 11 7 5 4 2" xfId="7313"/>
    <cellStyle name="Comma 11 7 5 4 2 2" xfId="7314"/>
    <cellStyle name="Comma 11 7 5 4 3" xfId="7315"/>
    <cellStyle name="Comma 11 7 5 5" xfId="7316"/>
    <cellStyle name="Comma 11 7 5 5 2" xfId="7317"/>
    <cellStyle name="Comma 11 7 5 6" xfId="7318"/>
    <cellStyle name="Comma 11 7 6" xfId="7319"/>
    <cellStyle name="Comma 11 7 6 2" xfId="7320"/>
    <cellStyle name="Comma 11 7 6 2 2" xfId="7321"/>
    <cellStyle name="Comma 11 7 6 2 2 2" xfId="7322"/>
    <cellStyle name="Comma 11 7 6 2 2 2 2" xfId="7323"/>
    <cellStyle name="Comma 11 7 6 2 2 3" xfId="7324"/>
    <cellStyle name="Comma 11 7 6 2 3" xfId="7325"/>
    <cellStyle name="Comma 11 7 6 2 3 2" xfId="7326"/>
    <cellStyle name="Comma 11 7 6 2 4" xfId="7327"/>
    <cellStyle name="Comma 11 7 6 3" xfId="7328"/>
    <cellStyle name="Comma 11 7 6 3 2" xfId="7329"/>
    <cellStyle name="Comma 11 7 6 3 2 2" xfId="7330"/>
    <cellStyle name="Comma 11 7 6 3 2 2 2" xfId="7331"/>
    <cellStyle name="Comma 11 7 6 3 2 3" xfId="7332"/>
    <cellStyle name="Comma 11 7 6 3 3" xfId="7333"/>
    <cellStyle name="Comma 11 7 6 3 3 2" xfId="7334"/>
    <cellStyle name="Comma 11 7 6 3 4" xfId="7335"/>
    <cellStyle name="Comma 11 7 6 4" xfId="7336"/>
    <cellStyle name="Comma 11 7 6 4 2" xfId="7337"/>
    <cellStyle name="Comma 11 7 6 4 2 2" xfId="7338"/>
    <cellStyle name="Comma 11 7 6 4 3" xfId="7339"/>
    <cellStyle name="Comma 11 7 6 5" xfId="7340"/>
    <cellStyle name="Comma 11 7 6 5 2" xfId="7341"/>
    <cellStyle name="Comma 11 7 6 6" xfId="7342"/>
    <cellStyle name="Comma 11 7 7" xfId="7343"/>
    <cellStyle name="Comma 11 7 7 2" xfId="7344"/>
    <cellStyle name="Comma 11 7 7 2 2" xfId="7345"/>
    <cellStyle name="Comma 11 7 7 2 2 2" xfId="7346"/>
    <cellStyle name="Comma 11 7 7 2 2 2 2" xfId="7347"/>
    <cellStyle name="Comma 11 7 7 2 2 3" xfId="7348"/>
    <cellStyle name="Comma 11 7 7 2 3" xfId="7349"/>
    <cellStyle name="Comma 11 7 7 2 3 2" xfId="7350"/>
    <cellStyle name="Comma 11 7 7 2 4" xfId="7351"/>
    <cellStyle name="Comma 11 7 7 3" xfId="7352"/>
    <cellStyle name="Comma 11 7 7 3 2" xfId="7353"/>
    <cellStyle name="Comma 11 7 7 3 2 2" xfId="7354"/>
    <cellStyle name="Comma 11 7 7 3 2 2 2" xfId="7355"/>
    <cellStyle name="Comma 11 7 7 3 2 3" xfId="7356"/>
    <cellStyle name="Comma 11 7 7 3 3" xfId="7357"/>
    <cellStyle name="Comma 11 7 7 3 3 2" xfId="7358"/>
    <cellStyle name="Comma 11 7 7 3 4" xfId="7359"/>
    <cellStyle name="Comma 11 7 7 4" xfId="7360"/>
    <cellStyle name="Comma 11 7 7 4 2" xfId="7361"/>
    <cellStyle name="Comma 11 7 7 4 2 2" xfId="7362"/>
    <cellStyle name="Comma 11 7 7 4 3" xfId="7363"/>
    <cellStyle name="Comma 11 7 7 5" xfId="7364"/>
    <cellStyle name="Comma 11 7 7 5 2" xfId="7365"/>
    <cellStyle name="Comma 11 7 7 6" xfId="7366"/>
    <cellStyle name="Comma 11 7 8" xfId="7367"/>
    <cellStyle name="Comma 11 7 8 2" xfId="7368"/>
    <cellStyle name="Comma 11 7 8 2 2" xfId="7369"/>
    <cellStyle name="Comma 11 7 8 2 2 2" xfId="7370"/>
    <cellStyle name="Comma 11 7 8 2 2 2 2" xfId="7371"/>
    <cellStyle name="Comma 11 7 8 2 2 3" xfId="7372"/>
    <cellStyle name="Comma 11 7 8 2 3" xfId="7373"/>
    <cellStyle name="Comma 11 7 8 2 3 2" xfId="7374"/>
    <cellStyle name="Comma 11 7 8 2 4" xfId="7375"/>
    <cellStyle name="Comma 11 7 8 3" xfId="7376"/>
    <cellStyle name="Comma 11 7 8 3 2" xfId="7377"/>
    <cellStyle name="Comma 11 7 8 3 2 2" xfId="7378"/>
    <cellStyle name="Comma 11 7 8 3 2 2 2" xfId="7379"/>
    <cellStyle name="Comma 11 7 8 3 2 3" xfId="7380"/>
    <cellStyle name="Comma 11 7 8 3 3" xfId="7381"/>
    <cellStyle name="Comma 11 7 8 3 3 2" xfId="7382"/>
    <cellStyle name="Comma 11 7 8 3 4" xfId="7383"/>
    <cellStyle name="Comma 11 7 8 4" xfId="7384"/>
    <cellStyle name="Comma 11 7 8 4 2" xfId="7385"/>
    <cellStyle name="Comma 11 7 8 4 2 2" xfId="7386"/>
    <cellStyle name="Comma 11 7 8 4 3" xfId="7387"/>
    <cellStyle name="Comma 11 7 8 5" xfId="7388"/>
    <cellStyle name="Comma 11 7 8 5 2" xfId="7389"/>
    <cellStyle name="Comma 11 7 8 6" xfId="7390"/>
    <cellStyle name="Comma 11 7 9" xfId="7391"/>
    <cellStyle name="Comma 11 7 9 2" xfId="7392"/>
    <cellStyle name="Comma 11 7 9 2 2" xfId="7393"/>
    <cellStyle name="Comma 11 7 9 2 2 2" xfId="7394"/>
    <cellStyle name="Comma 11 7 9 2 2 2 2" xfId="7395"/>
    <cellStyle name="Comma 11 7 9 2 2 3" xfId="7396"/>
    <cellStyle name="Comma 11 7 9 2 3" xfId="7397"/>
    <cellStyle name="Comma 11 7 9 2 3 2" xfId="7398"/>
    <cellStyle name="Comma 11 7 9 2 4" xfId="7399"/>
    <cellStyle name="Comma 11 7 9 3" xfId="7400"/>
    <cellStyle name="Comma 11 7 9 3 2" xfId="7401"/>
    <cellStyle name="Comma 11 7 9 3 2 2" xfId="7402"/>
    <cellStyle name="Comma 11 7 9 3 2 2 2" xfId="7403"/>
    <cellStyle name="Comma 11 7 9 3 2 3" xfId="7404"/>
    <cellStyle name="Comma 11 7 9 3 3" xfId="7405"/>
    <cellStyle name="Comma 11 7 9 3 3 2" xfId="7406"/>
    <cellStyle name="Comma 11 7 9 3 4" xfId="7407"/>
    <cellStyle name="Comma 11 7 9 4" xfId="7408"/>
    <cellStyle name="Comma 11 7 9 4 2" xfId="7409"/>
    <cellStyle name="Comma 11 7 9 4 2 2" xfId="7410"/>
    <cellStyle name="Comma 11 7 9 4 3" xfId="7411"/>
    <cellStyle name="Comma 11 7 9 5" xfId="7412"/>
    <cellStyle name="Comma 11 7 9 5 2" xfId="7413"/>
    <cellStyle name="Comma 11 7 9 6" xfId="7414"/>
    <cellStyle name="Comma 11 8" xfId="7415"/>
    <cellStyle name="Comma 11 8 10" xfId="7416"/>
    <cellStyle name="Comma 11 8 10 2" xfId="7417"/>
    <cellStyle name="Comma 11 8 10 2 2" xfId="7418"/>
    <cellStyle name="Comma 11 8 10 2 2 2" xfId="7419"/>
    <cellStyle name="Comma 11 8 10 2 2 2 2" xfId="7420"/>
    <cellStyle name="Comma 11 8 10 2 2 3" xfId="7421"/>
    <cellStyle name="Comma 11 8 10 2 3" xfId="7422"/>
    <cellStyle name="Comma 11 8 10 2 3 2" xfId="7423"/>
    <cellStyle name="Comma 11 8 10 2 4" xfId="7424"/>
    <cellStyle name="Comma 11 8 10 3" xfId="7425"/>
    <cellStyle name="Comma 11 8 10 3 2" xfId="7426"/>
    <cellStyle name="Comma 11 8 10 3 2 2" xfId="7427"/>
    <cellStyle name="Comma 11 8 10 3 2 2 2" xfId="7428"/>
    <cellStyle name="Comma 11 8 10 3 2 3" xfId="7429"/>
    <cellStyle name="Comma 11 8 10 3 3" xfId="7430"/>
    <cellStyle name="Comma 11 8 10 3 3 2" xfId="7431"/>
    <cellStyle name="Comma 11 8 10 3 4" xfId="7432"/>
    <cellStyle name="Comma 11 8 10 4" xfId="7433"/>
    <cellStyle name="Comma 11 8 10 4 2" xfId="7434"/>
    <cellStyle name="Comma 11 8 10 4 2 2" xfId="7435"/>
    <cellStyle name="Comma 11 8 10 4 3" xfId="7436"/>
    <cellStyle name="Comma 11 8 10 5" xfId="7437"/>
    <cellStyle name="Comma 11 8 10 5 2" xfId="7438"/>
    <cellStyle name="Comma 11 8 10 6" xfId="7439"/>
    <cellStyle name="Comma 11 8 11" xfId="7440"/>
    <cellStyle name="Comma 11 8 11 2" xfId="7441"/>
    <cellStyle name="Comma 11 8 11 2 2" xfId="7442"/>
    <cellStyle name="Comma 11 8 11 2 2 2" xfId="7443"/>
    <cellStyle name="Comma 11 8 11 2 2 2 2" xfId="7444"/>
    <cellStyle name="Comma 11 8 11 2 2 3" xfId="7445"/>
    <cellStyle name="Comma 11 8 11 2 3" xfId="7446"/>
    <cellStyle name="Comma 11 8 11 2 3 2" xfId="7447"/>
    <cellStyle name="Comma 11 8 11 2 4" xfId="7448"/>
    <cellStyle name="Comma 11 8 11 3" xfId="7449"/>
    <cellStyle name="Comma 11 8 11 3 2" xfId="7450"/>
    <cellStyle name="Comma 11 8 11 3 2 2" xfId="7451"/>
    <cellStyle name="Comma 11 8 11 3 2 2 2" xfId="7452"/>
    <cellStyle name="Comma 11 8 11 3 2 3" xfId="7453"/>
    <cellStyle name="Comma 11 8 11 3 3" xfId="7454"/>
    <cellStyle name="Comma 11 8 11 3 3 2" xfId="7455"/>
    <cellStyle name="Comma 11 8 11 3 4" xfId="7456"/>
    <cellStyle name="Comma 11 8 11 4" xfId="7457"/>
    <cellStyle name="Comma 11 8 11 4 2" xfId="7458"/>
    <cellStyle name="Comma 11 8 11 4 2 2" xfId="7459"/>
    <cellStyle name="Comma 11 8 11 4 3" xfId="7460"/>
    <cellStyle name="Comma 11 8 11 5" xfId="7461"/>
    <cellStyle name="Comma 11 8 11 5 2" xfId="7462"/>
    <cellStyle name="Comma 11 8 11 6" xfId="7463"/>
    <cellStyle name="Comma 11 8 12" xfId="7464"/>
    <cellStyle name="Comma 11 8 12 2" xfId="7465"/>
    <cellStyle name="Comma 11 8 12 2 2" xfId="7466"/>
    <cellStyle name="Comma 11 8 12 2 2 2" xfId="7467"/>
    <cellStyle name="Comma 11 8 12 2 2 2 2" xfId="7468"/>
    <cellStyle name="Comma 11 8 12 2 2 3" xfId="7469"/>
    <cellStyle name="Comma 11 8 12 2 3" xfId="7470"/>
    <cellStyle name="Comma 11 8 12 2 3 2" xfId="7471"/>
    <cellStyle name="Comma 11 8 12 2 4" xfId="7472"/>
    <cellStyle name="Comma 11 8 12 3" xfId="7473"/>
    <cellStyle name="Comma 11 8 12 3 2" xfId="7474"/>
    <cellStyle name="Comma 11 8 12 3 2 2" xfId="7475"/>
    <cellStyle name="Comma 11 8 12 3 2 2 2" xfId="7476"/>
    <cellStyle name="Comma 11 8 12 3 2 3" xfId="7477"/>
    <cellStyle name="Comma 11 8 12 3 3" xfId="7478"/>
    <cellStyle name="Comma 11 8 12 3 3 2" xfId="7479"/>
    <cellStyle name="Comma 11 8 12 3 4" xfId="7480"/>
    <cellStyle name="Comma 11 8 12 4" xfId="7481"/>
    <cellStyle name="Comma 11 8 12 4 2" xfId="7482"/>
    <cellStyle name="Comma 11 8 12 4 2 2" xfId="7483"/>
    <cellStyle name="Comma 11 8 12 4 3" xfId="7484"/>
    <cellStyle name="Comma 11 8 12 5" xfId="7485"/>
    <cellStyle name="Comma 11 8 12 5 2" xfId="7486"/>
    <cellStyle name="Comma 11 8 12 6" xfId="7487"/>
    <cellStyle name="Comma 11 8 13" xfId="7488"/>
    <cellStyle name="Comma 11 8 13 2" xfId="7489"/>
    <cellStyle name="Comma 11 8 13 2 2" xfId="7490"/>
    <cellStyle name="Comma 11 8 13 2 2 2" xfId="7491"/>
    <cellStyle name="Comma 11 8 13 2 2 2 2" xfId="7492"/>
    <cellStyle name="Comma 11 8 13 2 2 3" xfId="7493"/>
    <cellStyle name="Comma 11 8 13 2 3" xfId="7494"/>
    <cellStyle name="Comma 11 8 13 2 3 2" xfId="7495"/>
    <cellStyle name="Comma 11 8 13 2 4" xfId="7496"/>
    <cellStyle name="Comma 11 8 13 3" xfId="7497"/>
    <cellStyle name="Comma 11 8 13 3 2" xfId="7498"/>
    <cellStyle name="Comma 11 8 13 3 2 2" xfId="7499"/>
    <cellStyle name="Comma 11 8 13 3 2 2 2" xfId="7500"/>
    <cellStyle name="Comma 11 8 13 3 2 3" xfId="7501"/>
    <cellStyle name="Comma 11 8 13 3 3" xfId="7502"/>
    <cellStyle name="Comma 11 8 13 3 3 2" xfId="7503"/>
    <cellStyle name="Comma 11 8 13 3 4" xfId="7504"/>
    <cellStyle name="Comma 11 8 13 4" xfId="7505"/>
    <cellStyle name="Comma 11 8 13 4 2" xfId="7506"/>
    <cellStyle name="Comma 11 8 13 4 2 2" xfId="7507"/>
    <cellStyle name="Comma 11 8 13 4 3" xfId="7508"/>
    <cellStyle name="Comma 11 8 13 5" xfId="7509"/>
    <cellStyle name="Comma 11 8 13 5 2" xfId="7510"/>
    <cellStyle name="Comma 11 8 13 6" xfId="7511"/>
    <cellStyle name="Comma 11 8 14" xfId="7512"/>
    <cellStyle name="Comma 11 8 14 2" xfId="7513"/>
    <cellStyle name="Comma 11 8 14 2 2" xfId="7514"/>
    <cellStyle name="Comma 11 8 14 2 2 2" xfId="7515"/>
    <cellStyle name="Comma 11 8 14 2 3" xfId="7516"/>
    <cellStyle name="Comma 11 8 14 3" xfId="7517"/>
    <cellStyle name="Comma 11 8 14 3 2" xfId="7518"/>
    <cellStyle name="Comma 11 8 14 4" xfId="7519"/>
    <cellStyle name="Comma 11 8 15" xfId="7520"/>
    <cellStyle name="Comma 11 8 15 2" xfId="7521"/>
    <cellStyle name="Comma 11 8 15 2 2" xfId="7522"/>
    <cellStyle name="Comma 11 8 15 2 2 2" xfId="7523"/>
    <cellStyle name="Comma 11 8 15 2 3" xfId="7524"/>
    <cellStyle name="Comma 11 8 15 3" xfId="7525"/>
    <cellStyle name="Comma 11 8 15 3 2" xfId="7526"/>
    <cellStyle name="Comma 11 8 15 4" xfId="7527"/>
    <cellStyle name="Comma 11 8 16" xfId="7528"/>
    <cellStyle name="Comma 11 8 16 2" xfId="7529"/>
    <cellStyle name="Comma 11 8 16 2 2" xfId="7530"/>
    <cellStyle name="Comma 11 8 16 3" xfId="7531"/>
    <cellStyle name="Comma 11 8 17" xfId="7532"/>
    <cellStyle name="Comma 11 8 17 2" xfId="7533"/>
    <cellStyle name="Comma 11 8 18" xfId="7534"/>
    <cellStyle name="Comma 11 8 2" xfId="7535"/>
    <cellStyle name="Comma 11 8 2 2" xfId="7536"/>
    <cellStyle name="Comma 11 8 2 2 2" xfId="7537"/>
    <cellStyle name="Comma 11 8 2 2 2 2" xfId="7538"/>
    <cellStyle name="Comma 11 8 2 2 2 2 2" xfId="7539"/>
    <cellStyle name="Comma 11 8 2 2 2 3" xfId="7540"/>
    <cellStyle name="Comma 11 8 2 2 3" xfId="7541"/>
    <cellStyle name="Comma 11 8 2 2 3 2" xfId="7542"/>
    <cellStyle name="Comma 11 8 2 2 4" xfId="7543"/>
    <cellStyle name="Comma 11 8 2 3" xfId="7544"/>
    <cellStyle name="Comma 11 8 2 3 2" xfId="7545"/>
    <cellStyle name="Comma 11 8 2 3 2 2" xfId="7546"/>
    <cellStyle name="Comma 11 8 2 3 2 2 2" xfId="7547"/>
    <cellStyle name="Comma 11 8 2 3 2 3" xfId="7548"/>
    <cellStyle name="Comma 11 8 2 3 3" xfId="7549"/>
    <cellStyle name="Comma 11 8 2 3 3 2" xfId="7550"/>
    <cellStyle name="Comma 11 8 2 3 4" xfId="7551"/>
    <cellStyle name="Comma 11 8 2 4" xfId="7552"/>
    <cellStyle name="Comma 11 8 2 4 2" xfId="7553"/>
    <cellStyle name="Comma 11 8 2 4 2 2" xfId="7554"/>
    <cellStyle name="Comma 11 8 2 4 3" xfId="7555"/>
    <cellStyle name="Comma 11 8 2 5" xfId="7556"/>
    <cellStyle name="Comma 11 8 2 5 2" xfId="7557"/>
    <cellStyle name="Comma 11 8 2 6" xfId="7558"/>
    <cellStyle name="Comma 11 8 3" xfId="7559"/>
    <cellStyle name="Comma 11 8 3 2" xfId="7560"/>
    <cellStyle name="Comma 11 8 3 2 2" xfId="7561"/>
    <cellStyle name="Comma 11 8 3 2 2 2" xfId="7562"/>
    <cellStyle name="Comma 11 8 3 2 2 2 2" xfId="7563"/>
    <cellStyle name="Comma 11 8 3 2 2 3" xfId="7564"/>
    <cellStyle name="Comma 11 8 3 2 3" xfId="7565"/>
    <cellStyle name="Comma 11 8 3 2 3 2" xfId="7566"/>
    <cellStyle name="Comma 11 8 3 2 4" xfId="7567"/>
    <cellStyle name="Comma 11 8 3 3" xfId="7568"/>
    <cellStyle name="Comma 11 8 3 3 2" xfId="7569"/>
    <cellStyle name="Comma 11 8 3 3 2 2" xfId="7570"/>
    <cellStyle name="Comma 11 8 3 3 2 2 2" xfId="7571"/>
    <cellStyle name="Comma 11 8 3 3 2 3" xfId="7572"/>
    <cellStyle name="Comma 11 8 3 3 3" xfId="7573"/>
    <cellStyle name="Comma 11 8 3 3 3 2" xfId="7574"/>
    <cellStyle name="Comma 11 8 3 3 4" xfId="7575"/>
    <cellStyle name="Comma 11 8 3 4" xfId="7576"/>
    <cellStyle name="Comma 11 8 3 4 2" xfId="7577"/>
    <cellStyle name="Comma 11 8 3 4 2 2" xfId="7578"/>
    <cellStyle name="Comma 11 8 3 4 3" xfId="7579"/>
    <cellStyle name="Comma 11 8 3 5" xfId="7580"/>
    <cellStyle name="Comma 11 8 3 5 2" xfId="7581"/>
    <cellStyle name="Comma 11 8 3 6" xfId="7582"/>
    <cellStyle name="Comma 11 8 4" xfId="7583"/>
    <cellStyle name="Comma 11 8 4 2" xfId="7584"/>
    <cellStyle name="Comma 11 8 4 2 2" xfId="7585"/>
    <cellStyle name="Comma 11 8 4 2 2 2" xfId="7586"/>
    <cellStyle name="Comma 11 8 4 2 2 2 2" xfId="7587"/>
    <cellStyle name="Comma 11 8 4 2 2 3" xfId="7588"/>
    <cellStyle name="Comma 11 8 4 2 3" xfId="7589"/>
    <cellStyle name="Comma 11 8 4 2 3 2" xfId="7590"/>
    <cellStyle name="Comma 11 8 4 2 4" xfId="7591"/>
    <cellStyle name="Comma 11 8 4 3" xfId="7592"/>
    <cellStyle name="Comma 11 8 4 3 2" xfId="7593"/>
    <cellStyle name="Comma 11 8 4 3 2 2" xfId="7594"/>
    <cellStyle name="Comma 11 8 4 3 2 2 2" xfId="7595"/>
    <cellStyle name="Comma 11 8 4 3 2 3" xfId="7596"/>
    <cellStyle name="Comma 11 8 4 3 3" xfId="7597"/>
    <cellStyle name="Comma 11 8 4 3 3 2" xfId="7598"/>
    <cellStyle name="Comma 11 8 4 3 4" xfId="7599"/>
    <cellStyle name="Comma 11 8 4 4" xfId="7600"/>
    <cellStyle name="Comma 11 8 4 4 2" xfId="7601"/>
    <cellStyle name="Comma 11 8 4 4 2 2" xfId="7602"/>
    <cellStyle name="Comma 11 8 4 4 3" xfId="7603"/>
    <cellStyle name="Comma 11 8 4 5" xfId="7604"/>
    <cellStyle name="Comma 11 8 4 5 2" xfId="7605"/>
    <cellStyle name="Comma 11 8 4 6" xfId="7606"/>
    <cellStyle name="Comma 11 8 5" xfId="7607"/>
    <cellStyle name="Comma 11 8 5 2" xfId="7608"/>
    <cellStyle name="Comma 11 8 5 2 2" xfId="7609"/>
    <cellStyle name="Comma 11 8 5 2 2 2" xfId="7610"/>
    <cellStyle name="Comma 11 8 5 2 2 2 2" xfId="7611"/>
    <cellStyle name="Comma 11 8 5 2 2 3" xfId="7612"/>
    <cellStyle name="Comma 11 8 5 2 3" xfId="7613"/>
    <cellStyle name="Comma 11 8 5 2 3 2" xfId="7614"/>
    <cellStyle name="Comma 11 8 5 2 4" xfId="7615"/>
    <cellStyle name="Comma 11 8 5 3" xfId="7616"/>
    <cellStyle name="Comma 11 8 5 3 2" xfId="7617"/>
    <cellStyle name="Comma 11 8 5 3 2 2" xfId="7618"/>
    <cellStyle name="Comma 11 8 5 3 2 2 2" xfId="7619"/>
    <cellStyle name="Comma 11 8 5 3 2 3" xfId="7620"/>
    <cellStyle name="Comma 11 8 5 3 3" xfId="7621"/>
    <cellStyle name="Comma 11 8 5 3 3 2" xfId="7622"/>
    <cellStyle name="Comma 11 8 5 3 4" xfId="7623"/>
    <cellStyle name="Comma 11 8 5 4" xfId="7624"/>
    <cellStyle name="Comma 11 8 5 4 2" xfId="7625"/>
    <cellStyle name="Comma 11 8 5 4 2 2" xfId="7626"/>
    <cellStyle name="Comma 11 8 5 4 3" xfId="7627"/>
    <cellStyle name="Comma 11 8 5 5" xfId="7628"/>
    <cellStyle name="Comma 11 8 5 5 2" xfId="7629"/>
    <cellStyle name="Comma 11 8 5 6" xfId="7630"/>
    <cellStyle name="Comma 11 8 6" xfId="7631"/>
    <cellStyle name="Comma 11 8 6 2" xfId="7632"/>
    <cellStyle name="Comma 11 8 6 2 2" xfId="7633"/>
    <cellStyle name="Comma 11 8 6 2 2 2" xfId="7634"/>
    <cellStyle name="Comma 11 8 6 2 2 2 2" xfId="7635"/>
    <cellStyle name="Comma 11 8 6 2 2 3" xfId="7636"/>
    <cellStyle name="Comma 11 8 6 2 3" xfId="7637"/>
    <cellStyle name="Comma 11 8 6 2 3 2" xfId="7638"/>
    <cellStyle name="Comma 11 8 6 2 4" xfId="7639"/>
    <cellStyle name="Comma 11 8 6 3" xfId="7640"/>
    <cellStyle name="Comma 11 8 6 3 2" xfId="7641"/>
    <cellStyle name="Comma 11 8 6 3 2 2" xfId="7642"/>
    <cellStyle name="Comma 11 8 6 3 2 2 2" xfId="7643"/>
    <cellStyle name="Comma 11 8 6 3 2 3" xfId="7644"/>
    <cellStyle name="Comma 11 8 6 3 3" xfId="7645"/>
    <cellStyle name="Comma 11 8 6 3 3 2" xfId="7646"/>
    <cellStyle name="Comma 11 8 6 3 4" xfId="7647"/>
    <cellStyle name="Comma 11 8 6 4" xfId="7648"/>
    <cellStyle name="Comma 11 8 6 4 2" xfId="7649"/>
    <cellStyle name="Comma 11 8 6 4 2 2" xfId="7650"/>
    <cellStyle name="Comma 11 8 6 4 3" xfId="7651"/>
    <cellStyle name="Comma 11 8 6 5" xfId="7652"/>
    <cellStyle name="Comma 11 8 6 5 2" xfId="7653"/>
    <cellStyle name="Comma 11 8 6 6" xfId="7654"/>
    <cellStyle name="Comma 11 8 7" xfId="7655"/>
    <cellStyle name="Comma 11 8 7 2" xfId="7656"/>
    <cellStyle name="Comma 11 8 7 2 2" xfId="7657"/>
    <cellStyle name="Comma 11 8 7 2 2 2" xfId="7658"/>
    <cellStyle name="Comma 11 8 7 2 2 2 2" xfId="7659"/>
    <cellStyle name="Comma 11 8 7 2 2 3" xfId="7660"/>
    <cellStyle name="Comma 11 8 7 2 3" xfId="7661"/>
    <cellStyle name="Comma 11 8 7 2 3 2" xfId="7662"/>
    <cellStyle name="Comma 11 8 7 2 4" xfId="7663"/>
    <cellStyle name="Comma 11 8 7 3" xfId="7664"/>
    <cellStyle name="Comma 11 8 7 3 2" xfId="7665"/>
    <cellStyle name="Comma 11 8 7 3 2 2" xfId="7666"/>
    <cellStyle name="Comma 11 8 7 3 2 2 2" xfId="7667"/>
    <cellStyle name="Comma 11 8 7 3 2 3" xfId="7668"/>
    <cellStyle name="Comma 11 8 7 3 3" xfId="7669"/>
    <cellStyle name="Comma 11 8 7 3 3 2" xfId="7670"/>
    <cellStyle name="Comma 11 8 7 3 4" xfId="7671"/>
    <cellStyle name="Comma 11 8 7 4" xfId="7672"/>
    <cellStyle name="Comma 11 8 7 4 2" xfId="7673"/>
    <cellStyle name="Comma 11 8 7 4 2 2" xfId="7674"/>
    <cellStyle name="Comma 11 8 7 4 3" xfId="7675"/>
    <cellStyle name="Comma 11 8 7 5" xfId="7676"/>
    <cellStyle name="Comma 11 8 7 5 2" xfId="7677"/>
    <cellStyle name="Comma 11 8 7 6" xfId="7678"/>
    <cellStyle name="Comma 11 8 8" xfId="7679"/>
    <cellStyle name="Comma 11 8 8 2" xfId="7680"/>
    <cellStyle name="Comma 11 8 8 2 2" xfId="7681"/>
    <cellStyle name="Comma 11 8 8 2 2 2" xfId="7682"/>
    <cellStyle name="Comma 11 8 8 2 2 2 2" xfId="7683"/>
    <cellStyle name="Comma 11 8 8 2 2 3" xfId="7684"/>
    <cellStyle name="Comma 11 8 8 2 3" xfId="7685"/>
    <cellStyle name="Comma 11 8 8 2 3 2" xfId="7686"/>
    <cellStyle name="Comma 11 8 8 2 4" xfId="7687"/>
    <cellStyle name="Comma 11 8 8 3" xfId="7688"/>
    <cellStyle name="Comma 11 8 8 3 2" xfId="7689"/>
    <cellStyle name="Comma 11 8 8 3 2 2" xfId="7690"/>
    <cellStyle name="Comma 11 8 8 3 2 2 2" xfId="7691"/>
    <cellStyle name="Comma 11 8 8 3 2 3" xfId="7692"/>
    <cellStyle name="Comma 11 8 8 3 3" xfId="7693"/>
    <cellStyle name="Comma 11 8 8 3 3 2" xfId="7694"/>
    <cellStyle name="Comma 11 8 8 3 4" xfId="7695"/>
    <cellStyle name="Comma 11 8 8 4" xfId="7696"/>
    <cellStyle name="Comma 11 8 8 4 2" xfId="7697"/>
    <cellStyle name="Comma 11 8 8 4 2 2" xfId="7698"/>
    <cellStyle name="Comma 11 8 8 4 3" xfId="7699"/>
    <cellStyle name="Comma 11 8 8 5" xfId="7700"/>
    <cellStyle name="Comma 11 8 8 5 2" xfId="7701"/>
    <cellStyle name="Comma 11 8 8 6" xfId="7702"/>
    <cellStyle name="Comma 11 8 9" xfId="7703"/>
    <cellStyle name="Comma 11 8 9 2" xfId="7704"/>
    <cellStyle name="Comma 11 8 9 2 2" xfId="7705"/>
    <cellStyle name="Comma 11 8 9 2 2 2" xfId="7706"/>
    <cellStyle name="Comma 11 8 9 2 2 2 2" xfId="7707"/>
    <cellStyle name="Comma 11 8 9 2 2 3" xfId="7708"/>
    <cellStyle name="Comma 11 8 9 2 3" xfId="7709"/>
    <cellStyle name="Comma 11 8 9 2 3 2" xfId="7710"/>
    <cellStyle name="Comma 11 8 9 2 4" xfId="7711"/>
    <cellStyle name="Comma 11 8 9 3" xfId="7712"/>
    <cellStyle name="Comma 11 8 9 3 2" xfId="7713"/>
    <cellStyle name="Comma 11 8 9 3 2 2" xfId="7714"/>
    <cellStyle name="Comma 11 8 9 3 2 2 2" xfId="7715"/>
    <cellStyle name="Comma 11 8 9 3 2 3" xfId="7716"/>
    <cellStyle name="Comma 11 8 9 3 3" xfId="7717"/>
    <cellStyle name="Comma 11 8 9 3 3 2" xfId="7718"/>
    <cellStyle name="Comma 11 8 9 3 4" xfId="7719"/>
    <cellStyle name="Comma 11 8 9 4" xfId="7720"/>
    <cellStyle name="Comma 11 8 9 4 2" xfId="7721"/>
    <cellStyle name="Comma 11 8 9 4 2 2" xfId="7722"/>
    <cellStyle name="Comma 11 8 9 4 3" xfId="7723"/>
    <cellStyle name="Comma 11 8 9 5" xfId="7724"/>
    <cellStyle name="Comma 11 8 9 5 2" xfId="7725"/>
    <cellStyle name="Comma 11 8 9 6" xfId="7726"/>
    <cellStyle name="Comma 11 9" xfId="7727"/>
    <cellStyle name="Comma 11 9 10" xfId="7728"/>
    <cellStyle name="Comma 11 9 10 2" xfId="7729"/>
    <cellStyle name="Comma 11 9 10 2 2" xfId="7730"/>
    <cellStyle name="Comma 11 9 10 2 2 2" xfId="7731"/>
    <cellStyle name="Comma 11 9 10 2 2 2 2" xfId="7732"/>
    <cellStyle name="Comma 11 9 10 2 2 3" xfId="7733"/>
    <cellStyle name="Comma 11 9 10 2 3" xfId="7734"/>
    <cellStyle name="Comma 11 9 10 2 3 2" xfId="7735"/>
    <cellStyle name="Comma 11 9 10 2 4" xfId="7736"/>
    <cellStyle name="Comma 11 9 10 3" xfId="7737"/>
    <cellStyle name="Comma 11 9 10 3 2" xfId="7738"/>
    <cellStyle name="Comma 11 9 10 3 2 2" xfId="7739"/>
    <cellStyle name="Comma 11 9 10 3 2 2 2" xfId="7740"/>
    <cellStyle name="Comma 11 9 10 3 2 3" xfId="7741"/>
    <cellStyle name="Comma 11 9 10 3 3" xfId="7742"/>
    <cellStyle name="Comma 11 9 10 3 3 2" xfId="7743"/>
    <cellStyle name="Comma 11 9 10 3 4" xfId="7744"/>
    <cellStyle name="Comma 11 9 10 4" xfId="7745"/>
    <cellStyle name="Comma 11 9 10 4 2" xfId="7746"/>
    <cellStyle name="Comma 11 9 10 4 2 2" xfId="7747"/>
    <cellStyle name="Comma 11 9 10 4 3" xfId="7748"/>
    <cellStyle name="Comma 11 9 10 5" xfId="7749"/>
    <cellStyle name="Comma 11 9 10 5 2" xfId="7750"/>
    <cellStyle name="Comma 11 9 10 6" xfId="7751"/>
    <cellStyle name="Comma 11 9 11" xfId="7752"/>
    <cellStyle name="Comma 11 9 11 2" xfId="7753"/>
    <cellStyle name="Comma 11 9 11 2 2" xfId="7754"/>
    <cellStyle name="Comma 11 9 11 2 2 2" xfId="7755"/>
    <cellStyle name="Comma 11 9 11 2 2 2 2" xfId="7756"/>
    <cellStyle name="Comma 11 9 11 2 2 3" xfId="7757"/>
    <cellStyle name="Comma 11 9 11 2 3" xfId="7758"/>
    <cellStyle name="Comma 11 9 11 2 3 2" xfId="7759"/>
    <cellStyle name="Comma 11 9 11 2 4" xfId="7760"/>
    <cellStyle name="Comma 11 9 11 3" xfId="7761"/>
    <cellStyle name="Comma 11 9 11 3 2" xfId="7762"/>
    <cellStyle name="Comma 11 9 11 3 2 2" xfId="7763"/>
    <cellStyle name="Comma 11 9 11 3 2 2 2" xfId="7764"/>
    <cellStyle name="Comma 11 9 11 3 2 3" xfId="7765"/>
    <cellStyle name="Comma 11 9 11 3 3" xfId="7766"/>
    <cellStyle name="Comma 11 9 11 3 3 2" xfId="7767"/>
    <cellStyle name="Comma 11 9 11 3 4" xfId="7768"/>
    <cellStyle name="Comma 11 9 11 4" xfId="7769"/>
    <cellStyle name="Comma 11 9 11 4 2" xfId="7770"/>
    <cellStyle name="Comma 11 9 11 4 2 2" xfId="7771"/>
    <cellStyle name="Comma 11 9 11 4 3" xfId="7772"/>
    <cellStyle name="Comma 11 9 11 5" xfId="7773"/>
    <cellStyle name="Comma 11 9 11 5 2" xfId="7774"/>
    <cellStyle name="Comma 11 9 11 6" xfId="7775"/>
    <cellStyle name="Comma 11 9 12" xfId="7776"/>
    <cellStyle name="Comma 11 9 12 2" xfId="7777"/>
    <cellStyle name="Comma 11 9 12 2 2" xfId="7778"/>
    <cellStyle name="Comma 11 9 12 2 2 2" xfId="7779"/>
    <cellStyle name="Comma 11 9 12 2 2 2 2" xfId="7780"/>
    <cellStyle name="Comma 11 9 12 2 2 3" xfId="7781"/>
    <cellStyle name="Comma 11 9 12 2 3" xfId="7782"/>
    <cellStyle name="Comma 11 9 12 2 3 2" xfId="7783"/>
    <cellStyle name="Comma 11 9 12 2 4" xfId="7784"/>
    <cellStyle name="Comma 11 9 12 3" xfId="7785"/>
    <cellStyle name="Comma 11 9 12 3 2" xfId="7786"/>
    <cellStyle name="Comma 11 9 12 3 2 2" xfId="7787"/>
    <cellStyle name="Comma 11 9 12 3 2 2 2" xfId="7788"/>
    <cellStyle name="Comma 11 9 12 3 2 3" xfId="7789"/>
    <cellStyle name="Comma 11 9 12 3 3" xfId="7790"/>
    <cellStyle name="Comma 11 9 12 3 3 2" xfId="7791"/>
    <cellStyle name="Comma 11 9 12 3 4" xfId="7792"/>
    <cellStyle name="Comma 11 9 12 4" xfId="7793"/>
    <cellStyle name="Comma 11 9 12 4 2" xfId="7794"/>
    <cellStyle name="Comma 11 9 12 4 2 2" xfId="7795"/>
    <cellStyle name="Comma 11 9 12 4 3" xfId="7796"/>
    <cellStyle name="Comma 11 9 12 5" xfId="7797"/>
    <cellStyle name="Comma 11 9 12 5 2" xfId="7798"/>
    <cellStyle name="Comma 11 9 12 6" xfId="7799"/>
    <cellStyle name="Comma 11 9 13" xfId="7800"/>
    <cellStyle name="Comma 11 9 13 2" xfId="7801"/>
    <cellStyle name="Comma 11 9 13 2 2" xfId="7802"/>
    <cellStyle name="Comma 11 9 13 2 2 2" xfId="7803"/>
    <cellStyle name="Comma 11 9 13 2 2 2 2" xfId="7804"/>
    <cellStyle name="Comma 11 9 13 2 2 3" xfId="7805"/>
    <cellStyle name="Comma 11 9 13 2 3" xfId="7806"/>
    <cellStyle name="Comma 11 9 13 2 3 2" xfId="7807"/>
    <cellStyle name="Comma 11 9 13 2 4" xfId="7808"/>
    <cellStyle name="Comma 11 9 13 3" xfId="7809"/>
    <cellStyle name="Comma 11 9 13 3 2" xfId="7810"/>
    <cellStyle name="Comma 11 9 13 3 2 2" xfId="7811"/>
    <cellStyle name="Comma 11 9 13 3 2 2 2" xfId="7812"/>
    <cellStyle name="Comma 11 9 13 3 2 3" xfId="7813"/>
    <cellStyle name="Comma 11 9 13 3 3" xfId="7814"/>
    <cellStyle name="Comma 11 9 13 3 3 2" xfId="7815"/>
    <cellStyle name="Comma 11 9 13 3 4" xfId="7816"/>
    <cellStyle name="Comma 11 9 13 4" xfId="7817"/>
    <cellStyle name="Comma 11 9 13 4 2" xfId="7818"/>
    <cellStyle name="Comma 11 9 13 4 2 2" xfId="7819"/>
    <cellStyle name="Comma 11 9 13 4 3" xfId="7820"/>
    <cellStyle name="Comma 11 9 13 5" xfId="7821"/>
    <cellStyle name="Comma 11 9 13 5 2" xfId="7822"/>
    <cellStyle name="Comma 11 9 13 6" xfId="7823"/>
    <cellStyle name="Comma 11 9 14" xfId="7824"/>
    <cellStyle name="Comma 11 9 14 2" xfId="7825"/>
    <cellStyle name="Comma 11 9 14 2 2" xfId="7826"/>
    <cellStyle name="Comma 11 9 14 2 2 2" xfId="7827"/>
    <cellStyle name="Comma 11 9 14 2 3" xfId="7828"/>
    <cellStyle name="Comma 11 9 14 3" xfId="7829"/>
    <cellStyle name="Comma 11 9 14 3 2" xfId="7830"/>
    <cellStyle name="Comma 11 9 14 4" xfId="7831"/>
    <cellStyle name="Comma 11 9 15" xfId="7832"/>
    <cellStyle name="Comma 11 9 15 2" xfId="7833"/>
    <cellStyle name="Comma 11 9 15 2 2" xfId="7834"/>
    <cellStyle name="Comma 11 9 15 2 2 2" xfId="7835"/>
    <cellStyle name="Comma 11 9 15 2 3" xfId="7836"/>
    <cellStyle name="Comma 11 9 15 3" xfId="7837"/>
    <cellStyle name="Comma 11 9 15 3 2" xfId="7838"/>
    <cellStyle name="Comma 11 9 15 4" xfId="7839"/>
    <cellStyle name="Comma 11 9 16" xfId="7840"/>
    <cellStyle name="Comma 11 9 16 2" xfId="7841"/>
    <cellStyle name="Comma 11 9 16 2 2" xfId="7842"/>
    <cellStyle name="Comma 11 9 16 3" xfId="7843"/>
    <cellStyle name="Comma 11 9 17" xfId="7844"/>
    <cellStyle name="Comma 11 9 17 2" xfId="7845"/>
    <cellStyle name="Comma 11 9 18" xfId="7846"/>
    <cellStyle name="Comma 11 9 2" xfId="7847"/>
    <cellStyle name="Comma 11 9 2 2" xfId="7848"/>
    <cellStyle name="Comma 11 9 2 2 2" xfId="7849"/>
    <cellStyle name="Comma 11 9 2 2 2 2" xfId="7850"/>
    <cellStyle name="Comma 11 9 2 2 2 2 2" xfId="7851"/>
    <cellStyle name="Comma 11 9 2 2 2 3" xfId="7852"/>
    <cellStyle name="Comma 11 9 2 2 3" xfId="7853"/>
    <cellStyle name="Comma 11 9 2 2 3 2" xfId="7854"/>
    <cellStyle name="Comma 11 9 2 2 4" xfId="7855"/>
    <cellStyle name="Comma 11 9 2 3" xfId="7856"/>
    <cellStyle name="Comma 11 9 2 3 2" xfId="7857"/>
    <cellStyle name="Comma 11 9 2 3 2 2" xfId="7858"/>
    <cellStyle name="Comma 11 9 2 3 2 2 2" xfId="7859"/>
    <cellStyle name="Comma 11 9 2 3 2 3" xfId="7860"/>
    <cellStyle name="Comma 11 9 2 3 3" xfId="7861"/>
    <cellStyle name="Comma 11 9 2 3 3 2" xfId="7862"/>
    <cellStyle name="Comma 11 9 2 3 4" xfId="7863"/>
    <cellStyle name="Comma 11 9 2 4" xfId="7864"/>
    <cellStyle name="Comma 11 9 2 4 2" xfId="7865"/>
    <cellStyle name="Comma 11 9 2 4 2 2" xfId="7866"/>
    <cellStyle name="Comma 11 9 2 4 3" xfId="7867"/>
    <cellStyle name="Comma 11 9 2 5" xfId="7868"/>
    <cellStyle name="Comma 11 9 2 5 2" xfId="7869"/>
    <cellStyle name="Comma 11 9 2 6" xfId="7870"/>
    <cellStyle name="Comma 11 9 3" xfId="7871"/>
    <cellStyle name="Comma 11 9 3 2" xfId="7872"/>
    <cellStyle name="Comma 11 9 3 2 2" xfId="7873"/>
    <cellStyle name="Comma 11 9 3 2 2 2" xfId="7874"/>
    <cellStyle name="Comma 11 9 3 2 2 2 2" xfId="7875"/>
    <cellStyle name="Comma 11 9 3 2 2 3" xfId="7876"/>
    <cellStyle name="Comma 11 9 3 2 3" xfId="7877"/>
    <cellStyle name="Comma 11 9 3 2 3 2" xfId="7878"/>
    <cellStyle name="Comma 11 9 3 2 4" xfId="7879"/>
    <cellStyle name="Comma 11 9 3 3" xfId="7880"/>
    <cellStyle name="Comma 11 9 3 3 2" xfId="7881"/>
    <cellStyle name="Comma 11 9 3 3 2 2" xfId="7882"/>
    <cellStyle name="Comma 11 9 3 3 2 2 2" xfId="7883"/>
    <cellStyle name="Comma 11 9 3 3 2 3" xfId="7884"/>
    <cellStyle name="Comma 11 9 3 3 3" xfId="7885"/>
    <cellStyle name="Comma 11 9 3 3 3 2" xfId="7886"/>
    <cellStyle name="Comma 11 9 3 3 4" xfId="7887"/>
    <cellStyle name="Comma 11 9 3 4" xfId="7888"/>
    <cellStyle name="Comma 11 9 3 4 2" xfId="7889"/>
    <cellStyle name="Comma 11 9 3 4 2 2" xfId="7890"/>
    <cellStyle name="Comma 11 9 3 4 3" xfId="7891"/>
    <cellStyle name="Comma 11 9 3 5" xfId="7892"/>
    <cellStyle name="Comma 11 9 3 5 2" xfId="7893"/>
    <cellStyle name="Comma 11 9 3 6" xfId="7894"/>
    <cellStyle name="Comma 11 9 4" xfId="7895"/>
    <cellStyle name="Comma 11 9 4 2" xfId="7896"/>
    <cellStyle name="Comma 11 9 4 2 2" xfId="7897"/>
    <cellStyle name="Comma 11 9 4 2 2 2" xfId="7898"/>
    <cellStyle name="Comma 11 9 4 2 2 2 2" xfId="7899"/>
    <cellStyle name="Comma 11 9 4 2 2 3" xfId="7900"/>
    <cellStyle name="Comma 11 9 4 2 3" xfId="7901"/>
    <cellStyle name="Comma 11 9 4 2 3 2" xfId="7902"/>
    <cellStyle name="Comma 11 9 4 2 4" xfId="7903"/>
    <cellStyle name="Comma 11 9 4 3" xfId="7904"/>
    <cellStyle name="Comma 11 9 4 3 2" xfId="7905"/>
    <cellStyle name="Comma 11 9 4 3 2 2" xfId="7906"/>
    <cellStyle name="Comma 11 9 4 3 2 2 2" xfId="7907"/>
    <cellStyle name="Comma 11 9 4 3 2 3" xfId="7908"/>
    <cellStyle name="Comma 11 9 4 3 3" xfId="7909"/>
    <cellStyle name="Comma 11 9 4 3 3 2" xfId="7910"/>
    <cellStyle name="Comma 11 9 4 3 4" xfId="7911"/>
    <cellStyle name="Comma 11 9 4 4" xfId="7912"/>
    <cellStyle name="Comma 11 9 4 4 2" xfId="7913"/>
    <cellStyle name="Comma 11 9 4 4 2 2" xfId="7914"/>
    <cellStyle name="Comma 11 9 4 4 3" xfId="7915"/>
    <cellStyle name="Comma 11 9 4 5" xfId="7916"/>
    <cellStyle name="Comma 11 9 4 5 2" xfId="7917"/>
    <cellStyle name="Comma 11 9 4 6" xfId="7918"/>
    <cellStyle name="Comma 11 9 5" xfId="7919"/>
    <cellStyle name="Comma 11 9 5 2" xfId="7920"/>
    <cellStyle name="Comma 11 9 5 2 2" xfId="7921"/>
    <cellStyle name="Comma 11 9 5 2 2 2" xfId="7922"/>
    <cellStyle name="Comma 11 9 5 2 2 2 2" xfId="7923"/>
    <cellStyle name="Comma 11 9 5 2 2 3" xfId="7924"/>
    <cellStyle name="Comma 11 9 5 2 3" xfId="7925"/>
    <cellStyle name="Comma 11 9 5 2 3 2" xfId="7926"/>
    <cellStyle name="Comma 11 9 5 2 4" xfId="7927"/>
    <cellStyle name="Comma 11 9 5 3" xfId="7928"/>
    <cellStyle name="Comma 11 9 5 3 2" xfId="7929"/>
    <cellStyle name="Comma 11 9 5 3 2 2" xfId="7930"/>
    <cellStyle name="Comma 11 9 5 3 2 2 2" xfId="7931"/>
    <cellStyle name="Comma 11 9 5 3 2 3" xfId="7932"/>
    <cellStyle name="Comma 11 9 5 3 3" xfId="7933"/>
    <cellStyle name="Comma 11 9 5 3 3 2" xfId="7934"/>
    <cellStyle name="Comma 11 9 5 3 4" xfId="7935"/>
    <cellStyle name="Comma 11 9 5 4" xfId="7936"/>
    <cellStyle name="Comma 11 9 5 4 2" xfId="7937"/>
    <cellStyle name="Comma 11 9 5 4 2 2" xfId="7938"/>
    <cellStyle name="Comma 11 9 5 4 3" xfId="7939"/>
    <cellStyle name="Comma 11 9 5 5" xfId="7940"/>
    <cellStyle name="Comma 11 9 5 5 2" xfId="7941"/>
    <cellStyle name="Comma 11 9 5 6" xfId="7942"/>
    <cellStyle name="Comma 11 9 6" xfId="7943"/>
    <cellStyle name="Comma 11 9 6 2" xfId="7944"/>
    <cellStyle name="Comma 11 9 6 2 2" xfId="7945"/>
    <cellStyle name="Comma 11 9 6 2 2 2" xfId="7946"/>
    <cellStyle name="Comma 11 9 6 2 2 2 2" xfId="7947"/>
    <cellStyle name="Comma 11 9 6 2 2 3" xfId="7948"/>
    <cellStyle name="Comma 11 9 6 2 3" xfId="7949"/>
    <cellStyle name="Comma 11 9 6 2 3 2" xfId="7950"/>
    <cellStyle name="Comma 11 9 6 2 4" xfId="7951"/>
    <cellStyle name="Comma 11 9 6 3" xfId="7952"/>
    <cellStyle name="Comma 11 9 6 3 2" xfId="7953"/>
    <cellStyle name="Comma 11 9 6 3 2 2" xfId="7954"/>
    <cellStyle name="Comma 11 9 6 3 2 2 2" xfId="7955"/>
    <cellStyle name="Comma 11 9 6 3 2 3" xfId="7956"/>
    <cellStyle name="Comma 11 9 6 3 3" xfId="7957"/>
    <cellStyle name="Comma 11 9 6 3 3 2" xfId="7958"/>
    <cellStyle name="Comma 11 9 6 3 4" xfId="7959"/>
    <cellStyle name="Comma 11 9 6 4" xfId="7960"/>
    <cellStyle name="Comma 11 9 6 4 2" xfId="7961"/>
    <cellStyle name="Comma 11 9 6 4 2 2" xfId="7962"/>
    <cellStyle name="Comma 11 9 6 4 3" xfId="7963"/>
    <cellStyle name="Comma 11 9 6 5" xfId="7964"/>
    <cellStyle name="Comma 11 9 6 5 2" xfId="7965"/>
    <cellStyle name="Comma 11 9 6 6" xfId="7966"/>
    <cellStyle name="Comma 11 9 7" xfId="7967"/>
    <cellStyle name="Comma 11 9 7 2" xfId="7968"/>
    <cellStyle name="Comma 11 9 7 2 2" xfId="7969"/>
    <cellStyle name="Comma 11 9 7 2 2 2" xfId="7970"/>
    <cellStyle name="Comma 11 9 7 2 2 2 2" xfId="7971"/>
    <cellStyle name="Comma 11 9 7 2 2 3" xfId="7972"/>
    <cellStyle name="Comma 11 9 7 2 3" xfId="7973"/>
    <cellStyle name="Comma 11 9 7 2 3 2" xfId="7974"/>
    <cellStyle name="Comma 11 9 7 2 4" xfId="7975"/>
    <cellStyle name="Comma 11 9 7 3" xfId="7976"/>
    <cellStyle name="Comma 11 9 7 3 2" xfId="7977"/>
    <cellStyle name="Comma 11 9 7 3 2 2" xfId="7978"/>
    <cellStyle name="Comma 11 9 7 3 2 2 2" xfId="7979"/>
    <cellStyle name="Comma 11 9 7 3 2 3" xfId="7980"/>
    <cellStyle name="Comma 11 9 7 3 3" xfId="7981"/>
    <cellStyle name="Comma 11 9 7 3 3 2" xfId="7982"/>
    <cellStyle name="Comma 11 9 7 3 4" xfId="7983"/>
    <cellStyle name="Comma 11 9 7 4" xfId="7984"/>
    <cellStyle name="Comma 11 9 7 4 2" xfId="7985"/>
    <cellStyle name="Comma 11 9 7 4 2 2" xfId="7986"/>
    <cellStyle name="Comma 11 9 7 4 3" xfId="7987"/>
    <cellStyle name="Comma 11 9 7 5" xfId="7988"/>
    <cellStyle name="Comma 11 9 7 5 2" xfId="7989"/>
    <cellStyle name="Comma 11 9 7 6" xfId="7990"/>
    <cellStyle name="Comma 11 9 8" xfId="7991"/>
    <cellStyle name="Comma 11 9 8 2" xfId="7992"/>
    <cellStyle name="Comma 11 9 8 2 2" xfId="7993"/>
    <cellStyle name="Comma 11 9 8 2 2 2" xfId="7994"/>
    <cellStyle name="Comma 11 9 8 2 2 2 2" xfId="7995"/>
    <cellStyle name="Comma 11 9 8 2 2 3" xfId="7996"/>
    <cellStyle name="Comma 11 9 8 2 3" xfId="7997"/>
    <cellStyle name="Comma 11 9 8 2 3 2" xfId="7998"/>
    <cellStyle name="Comma 11 9 8 2 4" xfId="7999"/>
    <cellStyle name="Comma 11 9 8 3" xfId="8000"/>
    <cellStyle name="Comma 11 9 8 3 2" xfId="8001"/>
    <cellStyle name="Comma 11 9 8 3 2 2" xfId="8002"/>
    <cellStyle name="Comma 11 9 8 3 2 2 2" xfId="8003"/>
    <cellStyle name="Comma 11 9 8 3 2 3" xfId="8004"/>
    <cellStyle name="Comma 11 9 8 3 3" xfId="8005"/>
    <cellStyle name="Comma 11 9 8 3 3 2" xfId="8006"/>
    <cellStyle name="Comma 11 9 8 3 4" xfId="8007"/>
    <cellStyle name="Comma 11 9 8 4" xfId="8008"/>
    <cellStyle name="Comma 11 9 8 4 2" xfId="8009"/>
    <cellStyle name="Comma 11 9 8 4 2 2" xfId="8010"/>
    <cellStyle name="Comma 11 9 8 4 3" xfId="8011"/>
    <cellStyle name="Comma 11 9 8 5" xfId="8012"/>
    <cellStyle name="Comma 11 9 8 5 2" xfId="8013"/>
    <cellStyle name="Comma 11 9 8 6" xfId="8014"/>
    <cellStyle name="Comma 11 9 9" xfId="8015"/>
    <cellStyle name="Comma 11 9 9 2" xfId="8016"/>
    <cellStyle name="Comma 11 9 9 2 2" xfId="8017"/>
    <cellStyle name="Comma 11 9 9 2 2 2" xfId="8018"/>
    <cellStyle name="Comma 11 9 9 2 2 2 2" xfId="8019"/>
    <cellStyle name="Comma 11 9 9 2 2 3" xfId="8020"/>
    <cellStyle name="Comma 11 9 9 2 3" xfId="8021"/>
    <cellStyle name="Comma 11 9 9 2 3 2" xfId="8022"/>
    <cellStyle name="Comma 11 9 9 2 4" xfId="8023"/>
    <cellStyle name="Comma 11 9 9 3" xfId="8024"/>
    <cellStyle name="Comma 11 9 9 3 2" xfId="8025"/>
    <cellStyle name="Comma 11 9 9 3 2 2" xfId="8026"/>
    <cellStyle name="Comma 11 9 9 3 2 2 2" xfId="8027"/>
    <cellStyle name="Comma 11 9 9 3 2 3" xfId="8028"/>
    <cellStyle name="Comma 11 9 9 3 3" xfId="8029"/>
    <cellStyle name="Comma 11 9 9 3 3 2" xfId="8030"/>
    <cellStyle name="Comma 11 9 9 3 4" xfId="8031"/>
    <cellStyle name="Comma 11 9 9 4" xfId="8032"/>
    <cellStyle name="Comma 11 9 9 4 2" xfId="8033"/>
    <cellStyle name="Comma 11 9 9 4 2 2" xfId="8034"/>
    <cellStyle name="Comma 11 9 9 4 3" xfId="8035"/>
    <cellStyle name="Comma 11 9 9 5" xfId="8036"/>
    <cellStyle name="Comma 11 9 9 5 2" xfId="8037"/>
    <cellStyle name="Comma 11 9 9 6" xfId="8038"/>
    <cellStyle name="Comma 12" xfId="8039"/>
    <cellStyle name="Comma 12 2" xfId="8040"/>
    <cellStyle name="Comma 13" xfId="8041"/>
    <cellStyle name="Comma 13 2" xfId="8042"/>
    <cellStyle name="Comma 14" xfId="8043"/>
    <cellStyle name="Comma 14 2" xfId="8044"/>
    <cellStyle name="Comma 14 3" xfId="8045"/>
    <cellStyle name="Comma 15" xfId="8046"/>
    <cellStyle name="Comma 16" xfId="8047"/>
    <cellStyle name="Comma 17" xfId="8048"/>
    <cellStyle name="Comma 17 2" xfId="8049"/>
    <cellStyle name="Comma 18" xfId="8050"/>
    <cellStyle name="Comma 18 2" xfId="8051"/>
    <cellStyle name="Comma 19" xfId="8052"/>
    <cellStyle name="Comma 2" xfId="8053"/>
    <cellStyle name="Comma 2 10" xfId="8054"/>
    <cellStyle name="Comma 2 11" xfId="8055"/>
    <cellStyle name="Comma 2 12" xfId="8056"/>
    <cellStyle name="Comma 2 13" xfId="8057"/>
    <cellStyle name="Comma 2 2" xfId="8058"/>
    <cellStyle name="Comma 2 2 10" xfId="8059"/>
    <cellStyle name="Comma 2 2 11" xfId="8060"/>
    <cellStyle name="Comma 2 2 12" xfId="8061"/>
    <cellStyle name="Comma 2 2 13" xfId="8062"/>
    <cellStyle name="Comma 2 2 14" xfId="8063"/>
    <cellStyle name="Comma 2 2 15" xfId="8064"/>
    <cellStyle name="Comma 2 2 16" xfId="8065"/>
    <cellStyle name="Comma 2 2 17" xfId="8066"/>
    <cellStyle name="Comma 2 2 2" xfId="8067"/>
    <cellStyle name="Comma 2 2 3" xfId="8068"/>
    <cellStyle name="Comma 2 2 4" xfId="8069"/>
    <cellStyle name="Comma 2 2 5" xfId="8070"/>
    <cellStyle name="Comma 2 2 6" xfId="8071"/>
    <cellStyle name="Comma 2 2 7" xfId="8072"/>
    <cellStyle name="Comma 2 2 8" xfId="8073"/>
    <cellStyle name="Comma 2 2 9" xfId="8074"/>
    <cellStyle name="Comma 2 3" xfId="8075"/>
    <cellStyle name="Comma 2 4" xfId="8076"/>
    <cellStyle name="Comma 2 5" xfId="8077"/>
    <cellStyle name="Comma 2 6" xfId="8078"/>
    <cellStyle name="Comma 2 7" xfId="8079"/>
    <cellStyle name="Comma 2 7 2" xfId="8080"/>
    <cellStyle name="Comma 2 8" xfId="8081"/>
    <cellStyle name="Comma 2 9" xfId="8082"/>
    <cellStyle name="Comma 20" xfId="8083"/>
    <cellStyle name="Comma 21" xfId="8084"/>
    <cellStyle name="Comma 21 2" xfId="8085"/>
    <cellStyle name="Comma 21 2 2" xfId="8086"/>
    <cellStyle name="Comma 21 3" xfId="8087"/>
    <cellStyle name="Comma 22" xfId="8088"/>
    <cellStyle name="Comma 22 2" xfId="8089"/>
    <cellStyle name="Comma 23" xfId="8090"/>
    <cellStyle name="Comma 24" xfId="8091"/>
    <cellStyle name="Comma 25" xfId="8092"/>
    <cellStyle name="Comma 25 2" xfId="8093"/>
    <cellStyle name="Comma 26" xfId="8094"/>
    <cellStyle name="Comma 27" xfId="8095"/>
    <cellStyle name="Comma 27 2" xfId="8096"/>
    <cellStyle name="Comma 27 3" xfId="8097"/>
    <cellStyle name="Comma 28" xfId="8098"/>
    <cellStyle name="Comma 29" xfId="8099"/>
    <cellStyle name="Comma 3" xfId="8100"/>
    <cellStyle name="Comma 3 10" xfId="8101"/>
    <cellStyle name="Comma 3 11" xfId="8102"/>
    <cellStyle name="Comma 3 12" xfId="8103"/>
    <cellStyle name="Comma 3 13" xfId="8104"/>
    <cellStyle name="Comma 3 14" xfId="8105"/>
    <cellStyle name="Comma 3 15" xfId="8106"/>
    <cellStyle name="Comma 3 16" xfId="8107"/>
    <cellStyle name="Comma 3 17" xfId="8108"/>
    <cellStyle name="Comma 3 18" xfId="8109"/>
    <cellStyle name="Comma 3 19" xfId="8110"/>
    <cellStyle name="Comma 3 2" xfId="8111"/>
    <cellStyle name="Comma 3 2 2" xfId="8112"/>
    <cellStyle name="Comma 3 20" xfId="8113"/>
    <cellStyle name="Comma 3 21" xfId="8114"/>
    <cellStyle name="Comma 3 22" xfId="8115"/>
    <cellStyle name="Comma 3 23" xfId="8116"/>
    <cellStyle name="Comma 3 24" xfId="8117"/>
    <cellStyle name="Comma 3 25" xfId="8118"/>
    <cellStyle name="Comma 3 26" xfId="8119"/>
    <cellStyle name="Comma 3 27" xfId="8120"/>
    <cellStyle name="Comma 3 27 2" xfId="8121"/>
    <cellStyle name="Comma 3 27 2 2" xfId="8122"/>
    <cellStyle name="Comma 3 28" xfId="8123"/>
    <cellStyle name="Comma 3 29" xfId="8124"/>
    <cellStyle name="Comma 3 3" xfId="8125"/>
    <cellStyle name="Comma 3 4" xfId="8126"/>
    <cellStyle name="Comma 3 5" xfId="8127"/>
    <cellStyle name="Comma 3 6" xfId="8128"/>
    <cellStyle name="Comma 3 7" xfId="8129"/>
    <cellStyle name="Comma 3 8" xfId="8130"/>
    <cellStyle name="Comma 3 9" xfId="8131"/>
    <cellStyle name="Comma 30" xfId="8132"/>
    <cellStyle name="Comma 31" xfId="8133"/>
    <cellStyle name="Comma 32" xfId="8134"/>
    <cellStyle name="Comma 33" xfId="8135"/>
    <cellStyle name="Comma 4" xfId="8136"/>
    <cellStyle name="Comma 4 2" xfId="8137"/>
    <cellStyle name="Comma 4 2 2" xfId="8138"/>
    <cellStyle name="Comma 4 3" xfId="8139"/>
    <cellStyle name="Comma 41" xfId="8140"/>
    <cellStyle name="Comma 41 2" xfId="8141"/>
    <cellStyle name="Comma 41 3" xfId="8142"/>
    <cellStyle name="Comma 46" xfId="8143"/>
    <cellStyle name="Comma 5" xfId="8144"/>
    <cellStyle name="Comma 5 10" xfId="8145"/>
    <cellStyle name="Comma 5 11" xfId="8146"/>
    <cellStyle name="Comma 5 12" xfId="8147"/>
    <cellStyle name="Comma 5 13" xfId="8148"/>
    <cellStyle name="Comma 5 14" xfId="8149"/>
    <cellStyle name="Comma 5 15" xfId="8150"/>
    <cellStyle name="Comma 5 16" xfId="8151"/>
    <cellStyle name="Comma 5 17" xfId="8152"/>
    <cellStyle name="Comma 5 2" xfId="8153"/>
    <cellStyle name="Comma 5 3" xfId="8154"/>
    <cellStyle name="Comma 5 4" xfId="8155"/>
    <cellStyle name="Comma 5 5" xfId="8156"/>
    <cellStyle name="Comma 5 6" xfId="8157"/>
    <cellStyle name="Comma 5 7" xfId="8158"/>
    <cellStyle name="Comma 5 8" xfId="8159"/>
    <cellStyle name="Comma 5 9" xfId="8160"/>
    <cellStyle name="Comma 55" xfId="8161"/>
    <cellStyle name="Comma 6" xfId="8162"/>
    <cellStyle name="Comma 6 2" xfId="8163"/>
    <cellStyle name="Comma 6 3" xfId="8164"/>
    <cellStyle name="Comma 6 4" xfId="8165"/>
    <cellStyle name="Comma 6 5" xfId="8166"/>
    <cellStyle name="Comma 67" xfId="8167"/>
    <cellStyle name="Comma 7" xfId="8168"/>
    <cellStyle name="Comma 7 2" xfId="8169"/>
    <cellStyle name="Comma 7 3" xfId="8170"/>
    <cellStyle name="Comma 7 4" xfId="8171"/>
    <cellStyle name="Comma 8" xfId="8172"/>
    <cellStyle name="Comma 8 2" xfId="8173"/>
    <cellStyle name="Comma 8 3" xfId="8174"/>
    <cellStyle name="Comma 8 4" xfId="8175"/>
    <cellStyle name="Comma 8 5" xfId="8176"/>
    <cellStyle name="Comma 9" xfId="8177"/>
    <cellStyle name="Comma 98" xfId="8178"/>
    <cellStyle name="Comma 98 2" xfId="8179"/>
    <cellStyle name="comma zerodec" xfId="8180"/>
    <cellStyle name="Currency 2" xfId="8181"/>
    <cellStyle name="Currency 2 2" xfId="8182"/>
    <cellStyle name="Currency 2 3" xfId="8183"/>
    <cellStyle name="Currency 2 4" xfId="8184"/>
    <cellStyle name="Currency 2 5" xfId="8185"/>
    <cellStyle name="Currency 2 6" xfId="8186"/>
    <cellStyle name="Currency 2 7" xfId="8187"/>
    <cellStyle name="Currency1" xfId="8188"/>
    <cellStyle name="Currency1 10" xfId="8189"/>
    <cellStyle name="Currency1 2" xfId="8190"/>
    <cellStyle name="Currency1 3" xfId="8191"/>
    <cellStyle name="Currency1 4" xfId="8192"/>
    <cellStyle name="Currency1 5" xfId="8193"/>
    <cellStyle name="Currency1 6" xfId="8194"/>
    <cellStyle name="Currency1 7" xfId="8195"/>
    <cellStyle name="Currency1 8" xfId="8196"/>
    <cellStyle name="Currency1 9" xfId="8197"/>
    <cellStyle name="Dezimal [0]_Compiling Utility Macros" xfId="8198"/>
    <cellStyle name="Dezimal_Compiling Utility Macros" xfId="8199"/>
    <cellStyle name="Dollar (zero dec)" xfId="8200"/>
    <cellStyle name="Emphasis 1" xfId="8201"/>
    <cellStyle name="Emphasis 2" xfId="8202"/>
    <cellStyle name="Emphasis 3" xfId="8203"/>
    <cellStyle name="Explanatory Text 10" xfId="8204"/>
    <cellStyle name="Explanatory Text 11" xfId="8205"/>
    <cellStyle name="Explanatory Text 12" xfId="8206"/>
    <cellStyle name="Explanatory Text 13" xfId="8207"/>
    <cellStyle name="Explanatory Text 14" xfId="8208"/>
    <cellStyle name="Explanatory Text 15" xfId="8209"/>
    <cellStyle name="Explanatory Text 16" xfId="8210"/>
    <cellStyle name="Explanatory Text 17" xfId="8211"/>
    <cellStyle name="Explanatory Text 18" xfId="8212"/>
    <cellStyle name="Explanatory Text 19" xfId="8213"/>
    <cellStyle name="Explanatory Text 2" xfId="8214"/>
    <cellStyle name="Explanatory Text 20" xfId="8215"/>
    <cellStyle name="Explanatory Text 21" xfId="8216"/>
    <cellStyle name="Explanatory Text 22" xfId="8217"/>
    <cellStyle name="Explanatory Text 23" xfId="8218"/>
    <cellStyle name="Explanatory Text 24" xfId="8219"/>
    <cellStyle name="Explanatory Text 25" xfId="8220"/>
    <cellStyle name="Explanatory Text 26" xfId="8221"/>
    <cellStyle name="Explanatory Text 27" xfId="8222"/>
    <cellStyle name="Explanatory Text 28" xfId="8223"/>
    <cellStyle name="Explanatory Text 29" xfId="8224"/>
    <cellStyle name="Explanatory Text 3" xfId="8225"/>
    <cellStyle name="Explanatory Text 30" xfId="8226"/>
    <cellStyle name="Explanatory Text 31" xfId="8227"/>
    <cellStyle name="Explanatory Text 32" xfId="8228"/>
    <cellStyle name="Explanatory Text 33" xfId="8229"/>
    <cellStyle name="Explanatory Text 34" xfId="8230"/>
    <cellStyle name="Explanatory Text 35" xfId="8231"/>
    <cellStyle name="Explanatory Text 36" xfId="8232"/>
    <cellStyle name="Explanatory Text 37" xfId="8233"/>
    <cellStyle name="Explanatory Text 38" xfId="8234"/>
    <cellStyle name="Explanatory Text 39" xfId="8235"/>
    <cellStyle name="Explanatory Text 4" xfId="8236"/>
    <cellStyle name="Explanatory Text 40" xfId="8237"/>
    <cellStyle name="Explanatory Text 41" xfId="8238"/>
    <cellStyle name="Explanatory Text 42" xfId="8239"/>
    <cellStyle name="Explanatory Text 43" xfId="8240"/>
    <cellStyle name="Explanatory Text 44" xfId="8241"/>
    <cellStyle name="Explanatory Text 45" xfId="8242"/>
    <cellStyle name="Explanatory Text 46" xfId="8243"/>
    <cellStyle name="Explanatory Text 47" xfId="8244"/>
    <cellStyle name="Explanatory Text 48" xfId="8245"/>
    <cellStyle name="Explanatory Text 49" xfId="8246"/>
    <cellStyle name="Explanatory Text 5" xfId="8247"/>
    <cellStyle name="Explanatory Text 50" xfId="8248"/>
    <cellStyle name="Explanatory Text 51" xfId="8249"/>
    <cellStyle name="Explanatory Text 52" xfId="8250"/>
    <cellStyle name="Explanatory Text 53" xfId="8251"/>
    <cellStyle name="Explanatory Text 54" xfId="8252"/>
    <cellStyle name="Explanatory Text 55" xfId="8253"/>
    <cellStyle name="Explanatory Text 56" xfId="8254"/>
    <cellStyle name="Explanatory Text 57" xfId="8255"/>
    <cellStyle name="Explanatory Text 58" xfId="8256"/>
    <cellStyle name="Explanatory Text 59" xfId="8257"/>
    <cellStyle name="Explanatory Text 6" xfId="8258"/>
    <cellStyle name="Explanatory Text 7" xfId="8259"/>
    <cellStyle name="Explanatory Text 8" xfId="8260"/>
    <cellStyle name="Explanatory Text 9" xfId="8261"/>
    <cellStyle name="Good 10" xfId="8262"/>
    <cellStyle name="Good 11" xfId="8263"/>
    <cellStyle name="Good 12" xfId="8264"/>
    <cellStyle name="Good 13" xfId="8265"/>
    <cellStyle name="Good 14" xfId="8266"/>
    <cellStyle name="Good 15" xfId="8267"/>
    <cellStyle name="Good 16" xfId="8268"/>
    <cellStyle name="Good 17" xfId="8269"/>
    <cellStyle name="Good 18" xfId="8270"/>
    <cellStyle name="Good 19" xfId="8271"/>
    <cellStyle name="Good 2" xfId="8272"/>
    <cellStyle name="Good 2 2" xfId="8273"/>
    <cellStyle name="Good 20" xfId="8274"/>
    <cellStyle name="Good 21" xfId="8275"/>
    <cellStyle name="Good 22" xfId="8276"/>
    <cellStyle name="Good 23" xfId="8277"/>
    <cellStyle name="Good 24" xfId="8278"/>
    <cellStyle name="Good 25" xfId="8279"/>
    <cellStyle name="Good 26" xfId="8280"/>
    <cellStyle name="Good 27" xfId="8281"/>
    <cellStyle name="Good 28" xfId="8282"/>
    <cellStyle name="Good 29" xfId="8283"/>
    <cellStyle name="Good 3" xfId="8284"/>
    <cellStyle name="Good 30" xfId="8285"/>
    <cellStyle name="Good 31" xfId="8286"/>
    <cellStyle name="Good 32" xfId="8287"/>
    <cellStyle name="Good 33" xfId="8288"/>
    <cellStyle name="Good 34" xfId="8289"/>
    <cellStyle name="Good 35" xfId="8290"/>
    <cellStyle name="Good 36" xfId="8291"/>
    <cellStyle name="Good 37" xfId="8292"/>
    <cellStyle name="Good 38" xfId="8293"/>
    <cellStyle name="Good 39" xfId="8294"/>
    <cellStyle name="Good 4" xfId="8295"/>
    <cellStyle name="Good 40" xfId="8296"/>
    <cellStyle name="Good 41" xfId="8297"/>
    <cellStyle name="Good 42" xfId="8298"/>
    <cellStyle name="Good 43" xfId="8299"/>
    <cellStyle name="Good 44" xfId="8300"/>
    <cellStyle name="Good 45" xfId="8301"/>
    <cellStyle name="Good 46" xfId="8302"/>
    <cellStyle name="Good 47" xfId="8303"/>
    <cellStyle name="Good 48" xfId="8304"/>
    <cellStyle name="Good 49" xfId="8305"/>
    <cellStyle name="Good 5" xfId="8306"/>
    <cellStyle name="Good 50" xfId="8307"/>
    <cellStyle name="Good 51" xfId="8308"/>
    <cellStyle name="Good 52" xfId="8309"/>
    <cellStyle name="Good 53" xfId="8310"/>
    <cellStyle name="Good 54" xfId="8311"/>
    <cellStyle name="Good 55" xfId="8312"/>
    <cellStyle name="Good 56" xfId="8313"/>
    <cellStyle name="Good 57" xfId="8314"/>
    <cellStyle name="Good 58" xfId="8315"/>
    <cellStyle name="Good 59" xfId="8316"/>
    <cellStyle name="Good 6" xfId="8317"/>
    <cellStyle name="Good 7" xfId="8318"/>
    <cellStyle name="Good 8" xfId="8319"/>
    <cellStyle name="Good 9" xfId="8320"/>
    <cellStyle name="Header1" xfId="8321"/>
    <cellStyle name="Header2" xfId="8322"/>
    <cellStyle name="Header2 2" xfId="8323"/>
    <cellStyle name="Heading 1 10" xfId="8324"/>
    <cellStyle name="Heading 1 11" xfId="8325"/>
    <cellStyle name="Heading 1 12" xfId="8326"/>
    <cellStyle name="Heading 1 13" xfId="8327"/>
    <cellStyle name="Heading 1 14" xfId="8328"/>
    <cellStyle name="Heading 1 15" xfId="8329"/>
    <cellStyle name="Heading 1 16" xfId="8330"/>
    <cellStyle name="Heading 1 17" xfId="8331"/>
    <cellStyle name="Heading 1 18" xfId="8332"/>
    <cellStyle name="Heading 1 19" xfId="8333"/>
    <cellStyle name="Heading 1 2" xfId="8334"/>
    <cellStyle name="Heading 1 2 2" xfId="8335"/>
    <cellStyle name="Heading 1 20" xfId="8336"/>
    <cellStyle name="Heading 1 21" xfId="8337"/>
    <cellStyle name="Heading 1 22" xfId="8338"/>
    <cellStyle name="Heading 1 23" xfId="8339"/>
    <cellStyle name="Heading 1 24" xfId="8340"/>
    <cellStyle name="Heading 1 25" xfId="8341"/>
    <cellStyle name="Heading 1 26" xfId="8342"/>
    <cellStyle name="Heading 1 27" xfId="8343"/>
    <cellStyle name="Heading 1 28" xfId="8344"/>
    <cellStyle name="Heading 1 29" xfId="8345"/>
    <cellStyle name="Heading 1 3" xfId="8346"/>
    <cellStyle name="Heading 1 30" xfId="8347"/>
    <cellStyle name="Heading 1 31" xfId="8348"/>
    <cellStyle name="Heading 1 32" xfId="8349"/>
    <cellStyle name="Heading 1 33" xfId="8350"/>
    <cellStyle name="Heading 1 34" xfId="8351"/>
    <cellStyle name="Heading 1 35" xfId="8352"/>
    <cellStyle name="Heading 1 36" xfId="8353"/>
    <cellStyle name="Heading 1 37" xfId="8354"/>
    <cellStyle name="Heading 1 38" xfId="8355"/>
    <cellStyle name="Heading 1 39" xfId="8356"/>
    <cellStyle name="Heading 1 4" xfId="8357"/>
    <cellStyle name="Heading 1 40" xfId="8358"/>
    <cellStyle name="Heading 1 41" xfId="8359"/>
    <cellStyle name="Heading 1 42" xfId="8360"/>
    <cellStyle name="Heading 1 43" xfId="8361"/>
    <cellStyle name="Heading 1 44" xfId="8362"/>
    <cellStyle name="Heading 1 45" xfId="8363"/>
    <cellStyle name="Heading 1 46" xfId="8364"/>
    <cellStyle name="Heading 1 47" xfId="8365"/>
    <cellStyle name="Heading 1 48" xfId="8366"/>
    <cellStyle name="Heading 1 49" xfId="8367"/>
    <cellStyle name="Heading 1 5" xfId="8368"/>
    <cellStyle name="Heading 1 50" xfId="8369"/>
    <cellStyle name="Heading 1 51" xfId="8370"/>
    <cellStyle name="Heading 1 52" xfId="8371"/>
    <cellStyle name="Heading 1 53" xfId="8372"/>
    <cellStyle name="Heading 1 54" xfId="8373"/>
    <cellStyle name="Heading 1 55" xfId="8374"/>
    <cellStyle name="Heading 1 56" xfId="8375"/>
    <cellStyle name="Heading 1 57" xfId="8376"/>
    <cellStyle name="Heading 1 58" xfId="8377"/>
    <cellStyle name="Heading 1 59" xfId="8378"/>
    <cellStyle name="Heading 1 6" xfId="8379"/>
    <cellStyle name="Heading 1 7" xfId="8380"/>
    <cellStyle name="Heading 1 8" xfId="8381"/>
    <cellStyle name="Heading 1 9" xfId="8382"/>
    <cellStyle name="Heading 2 10" xfId="8383"/>
    <cellStyle name="Heading 2 11" xfId="8384"/>
    <cellStyle name="Heading 2 12" xfId="8385"/>
    <cellStyle name="Heading 2 13" xfId="8386"/>
    <cellStyle name="Heading 2 14" xfId="8387"/>
    <cellStyle name="Heading 2 15" xfId="8388"/>
    <cellStyle name="Heading 2 16" xfId="8389"/>
    <cellStyle name="Heading 2 17" xfId="8390"/>
    <cellStyle name="Heading 2 18" xfId="8391"/>
    <cellStyle name="Heading 2 19" xfId="8392"/>
    <cellStyle name="Heading 2 2" xfId="8393"/>
    <cellStyle name="Heading 2 2 2" xfId="8394"/>
    <cellStyle name="Heading 2 20" xfId="8395"/>
    <cellStyle name="Heading 2 21" xfId="8396"/>
    <cellStyle name="Heading 2 22" xfId="8397"/>
    <cellStyle name="Heading 2 23" xfId="8398"/>
    <cellStyle name="Heading 2 24" xfId="8399"/>
    <cellStyle name="Heading 2 25" xfId="8400"/>
    <cellStyle name="Heading 2 26" xfId="8401"/>
    <cellStyle name="Heading 2 27" xfId="8402"/>
    <cellStyle name="Heading 2 28" xfId="8403"/>
    <cellStyle name="Heading 2 29" xfId="8404"/>
    <cellStyle name="Heading 2 3" xfId="8405"/>
    <cellStyle name="Heading 2 30" xfId="8406"/>
    <cellStyle name="Heading 2 31" xfId="8407"/>
    <cellStyle name="Heading 2 32" xfId="8408"/>
    <cellStyle name="Heading 2 33" xfId="8409"/>
    <cellStyle name="Heading 2 34" xfId="8410"/>
    <cellStyle name="Heading 2 35" xfId="8411"/>
    <cellStyle name="Heading 2 36" xfId="8412"/>
    <cellStyle name="Heading 2 37" xfId="8413"/>
    <cellStyle name="Heading 2 38" xfId="8414"/>
    <cellStyle name="Heading 2 39" xfId="8415"/>
    <cellStyle name="Heading 2 4" xfId="8416"/>
    <cellStyle name="Heading 2 40" xfId="8417"/>
    <cellStyle name="Heading 2 41" xfId="8418"/>
    <cellStyle name="Heading 2 42" xfId="8419"/>
    <cellStyle name="Heading 2 43" xfId="8420"/>
    <cellStyle name="Heading 2 44" xfId="8421"/>
    <cellStyle name="Heading 2 45" xfId="8422"/>
    <cellStyle name="Heading 2 46" xfId="8423"/>
    <cellStyle name="Heading 2 47" xfId="8424"/>
    <cellStyle name="Heading 2 48" xfId="8425"/>
    <cellStyle name="Heading 2 49" xfId="8426"/>
    <cellStyle name="Heading 2 5" xfId="8427"/>
    <cellStyle name="Heading 2 50" xfId="8428"/>
    <cellStyle name="Heading 2 51" xfId="8429"/>
    <cellStyle name="Heading 2 52" xfId="8430"/>
    <cellStyle name="Heading 2 53" xfId="8431"/>
    <cellStyle name="Heading 2 54" xfId="8432"/>
    <cellStyle name="Heading 2 55" xfId="8433"/>
    <cellStyle name="Heading 2 56" xfId="8434"/>
    <cellStyle name="Heading 2 57" xfId="8435"/>
    <cellStyle name="Heading 2 58" xfId="8436"/>
    <cellStyle name="Heading 2 59" xfId="8437"/>
    <cellStyle name="Heading 2 6" xfId="8438"/>
    <cellStyle name="Heading 2 7" xfId="8439"/>
    <cellStyle name="Heading 2 8" xfId="8440"/>
    <cellStyle name="Heading 2 9" xfId="8441"/>
    <cellStyle name="Heading 3 10" xfId="8442"/>
    <cellStyle name="Heading 3 11" xfId="8443"/>
    <cellStyle name="Heading 3 12" xfId="8444"/>
    <cellStyle name="Heading 3 13" xfId="8445"/>
    <cellStyle name="Heading 3 14" xfId="8446"/>
    <cellStyle name="Heading 3 15" xfId="8447"/>
    <cellStyle name="Heading 3 16" xfId="8448"/>
    <cellStyle name="Heading 3 17" xfId="8449"/>
    <cellStyle name="Heading 3 18" xfId="8450"/>
    <cellStyle name="Heading 3 19" xfId="8451"/>
    <cellStyle name="Heading 3 2" xfId="8452"/>
    <cellStyle name="Heading 3 2 2" xfId="8453"/>
    <cellStyle name="Heading 3 20" xfId="8454"/>
    <cellStyle name="Heading 3 21" xfId="8455"/>
    <cellStyle name="Heading 3 22" xfId="8456"/>
    <cellStyle name="Heading 3 23" xfId="8457"/>
    <cellStyle name="Heading 3 24" xfId="8458"/>
    <cellStyle name="Heading 3 25" xfId="8459"/>
    <cellStyle name="Heading 3 26" xfId="8460"/>
    <cellStyle name="Heading 3 27" xfId="8461"/>
    <cellStyle name="Heading 3 28" xfId="8462"/>
    <cellStyle name="Heading 3 29" xfId="8463"/>
    <cellStyle name="Heading 3 3" xfId="8464"/>
    <cellStyle name="Heading 3 30" xfId="8465"/>
    <cellStyle name="Heading 3 31" xfId="8466"/>
    <cellStyle name="Heading 3 32" xfId="8467"/>
    <cellStyle name="Heading 3 33" xfId="8468"/>
    <cellStyle name="Heading 3 34" xfId="8469"/>
    <cellStyle name="Heading 3 35" xfId="8470"/>
    <cellStyle name="Heading 3 36" xfId="8471"/>
    <cellStyle name="Heading 3 37" xfId="8472"/>
    <cellStyle name="Heading 3 38" xfId="8473"/>
    <cellStyle name="Heading 3 39" xfId="8474"/>
    <cellStyle name="Heading 3 4" xfId="8475"/>
    <cellStyle name="Heading 3 40" xfId="8476"/>
    <cellStyle name="Heading 3 41" xfId="8477"/>
    <cellStyle name="Heading 3 42" xfId="8478"/>
    <cellStyle name="Heading 3 43" xfId="8479"/>
    <cellStyle name="Heading 3 44" xfId="8480"/>
    <cellStyle name="Heading 3 45" xfId="8481"/>
    <cellStyle name="Heading 3 46" xfId="8482"/>
    <cellStyle name="Heading 3 47" xfId="8483"/>
    <cellStyle name="Heading 3 48" xfId="8484"/>
    <cellStyle name="Heading 3 49" xfId="8485"/>
    <cellStyle name="Heading 3 5" xfId="8486"/>
    <cellStyle name="Heading 3 50" xfId="8487"/>
    <cellStyle name="Heading 3 51" xfId="8488"/>
    <cellStyle name="Heading 3 52" xfId="8489"/>
    <cellStyle name="Heading 3 53" xfId="8490"/>
    <cellStyle name="Heading 3 54" xfId="8491"/>
    <cellStyle name="Heading 3 55" xfId="8492"/>
    <cellStyle name="Heading 3 56" xfId="8493"/>
    <cellStyle name="Heading 3 57" xfId="8494"/>
    <cellStyle name="Heading 3 58" xfId="8495"/>
    <cellStyle name="Heading 3 59" xfId="8496"/>
    <cellStyle name="Heading 3 6" xfId="8497"/>
    <cellStyle name="Heading 3 7" xfId="8498"/>
    <cellStyle name="Heading 3 8" xfId="8499"/>
    <cellStyle name="Heading 3 9" xfId="8500"/>
    <cellStyle name="Heading 4 10" xfId="8501"/>
    <cellStyle name="Heading 4 11" xfId="8502"/>
    <cellStyle name="Heading 4 12" xfId="8503"/>
    <cellStyle name="Heading 4 13" xfId="8504"/>
    <cellStyle name="Heading 4 14" xfId="8505"/>
    <cellStyle name="Heading 4 15" xfId="8506"/>
    <cellStyle name="Heading 4 16" xfId="8507"/>
    <cellStyle name="Heading 4 17" xfId="8508"/>
    <cellStyle name="Heading 4 18" xfId="8509"/>
    <cellStyle name="Heading 4 19" xfId="8510"/>
    <cellStyle name="Heading 4 2" xfId="8511"/>
    <cellStyle name="Heading 4 2 2" xfId="8512"/>
    <cellStyle name="Heading 4 20" xfId="8513"/>
    <cellStyle name="Heading 4 21" xfId="8514"/>
    <cellStyle name="Heading 4 22" xfId="8515"/>
    <cellStyle name="Heading 4 23" xfId="8516"/>
    <cellStyle name="Heading 4 24" xfId="8517"/>
    <cellStyle name="Heading 4 25" xfId="8518"/>
    <cellStyle name="Heading 4 26" xfId="8519"/>
    <cellStyle name="Heading 4 27" xfId="8520"/>
    <cellStyle name="Heading 4 28" xfId="8521"/>
    <cellStyle name="Heading 4 29" xfId="8522"/>
    <cellStyle name="Heading 4 3" xfId="8523"/>
    <cellStyle name="Heading 4 30" xfId="8524"/>
    <cellStyle name="Heading 4 31" xfId="8525"/>
    <cellStyle name="Heading 4 32" xfId="8526"/>
    <cellStyle name="Heading 4 33" xfId="8527"/>
    <cellStyle name="Heading 4 34" xfId="8528"/>
    <cellStyle name="Heading 4 35" xfId="8529"/>
    <cellStyle name="Heading 4 36" xfId="8530"/>
    <cellStyle name="Heading 4 37" xfId="8531"/>
    <cellStyle name="Heading 4 38" xfId="8532"/>
    <cellStyle name="Heading 4 39" xfId="8533"/>
    <cellStyle name="Heading 4 4" xfId="8534"/>
    <cellStyle name="Heading 4 40" xfId="8535"/>
    <cellStyle name="Heading 4 41" xfId="8536"/>
    <cellStyle name="Heading 4 42" xfId="8537"/>
    <cellStyle name="Heading 4 43" xfId="8538"/>
    <cellStyle name="Heading 4 44" xfId="8539"/>
    <cellStyle name="Heading 4 45" xfId="8540"/>
    <cellStyle name="Heading 4 46" xfId="8541"/>
    <cellStyle name="Heading 4 47" xfId="8542"/>
    <cellStyle name="Heading 4 48" xfId="8543"/>
    <cellStyle name="Heading 4 49" xfId="8544"/>
    <cellStyle name="Heading 4 5" xfId="8545"/>
    <cellStyle name="Heading 4 50" xfId="8546"/>
    <cellStyle name="Heading 4 51" xfId="8547"/>
    <cellStyle name="Heading 4 52" xfId="8548"/>
    <cellStyle name="Heading 4 53" xfId="8549"/>
    <cellStyle name="Heading 4 54" xfId="8550"/>
    <cellStyle name="Heading 4 55" xfId="8551"/>
    <cellStyle name="Heading 4 56" xfId="8552"/>
    <cellStyle name="Heading 4 57" xfId="8553"/>
    <cellStyle name="Heading 4 58" xfId="8554"/>
    <cellStyle name="Heading 4 59" xfId="8555"/>
    <cellStyle name="Heading 4 6" xfId="8556"/>
    <cellStyle name="Heading 4 7" xfId="8557"/>
    <cellStyle name="Heading 4 8" xfId="8558"/>
    <cellStyle name="Heading 4 9" xfId="8559"/>
    <cellStyle name="Input 10" xfId="8560"/>
    <cellStyle name="Input 11" xfId="8561"/>
    <cellStyle name="Input 12" xfId="8562"/>
    <cellStyle name="Input 13" xfId="8563"/>
    <cellStyle name="Input 14" xfId="8564"/>
    <cellStyle name="Input 15" xfId="8565"/>
    <cellStyle name="Input 16" xfId="8566"/>
    <cellStyle name="Input 17" xfId="8567"/>
    <cellStyle name="Input 18" xfId="8568"/>
    <cellStyle name="Input 19" xfId="8569"/>
    <cellStyle name="Input 2" xfId="8570"/>
    <cellStyle name="Input 2 10" xfId="8571"/>
    <cellStyle name="Input 2 11" xfId="8572"/>
    <cellStyle name="Input 2 12" xfId="8573"/>
    <cellStyle name="Input 2 13" xfId="8574"/>
    <cellStyle name="Input 2 14" xfId="8575"/>
    <cellStyle name="Input 2 15" xfId="8576"/>
    <cellStyle name="Input 2 16" xfId="8577"/>
    <cellStyle name="Input 2 2" xfId="8578"/>
    <cellStyle name="Input 2 2 10" xfId="8579"/>
    <cellStyle name="Input 2 2 11" xfId="8580"/>
    <cellStyle name="Input 2 2 12" xfId="8581"/>
    <cellStyle name="Input 2 2 13" xfId="8582"/>
    <cellStyle name="Input 2 2 14" xfId="8583"/>
    <cellStyle name="Input 2 2 2" xfId="8584"/>
    <cellStyle name="Input 2 2 2 2" xfId="8585"/>
    <cellStyle name="Input 2 2 2 3" xfId="8586"/>
    <cellStyle name="Input 2 2 2 4" xfId="8587"/>
    <cellStyle name="Input 2 2 2 5" xfId="8588"/>
    <cellStyle name="Input 2 2 2 6" xfId="8589"/>
    <cellStyle name="Input 2 2 2 7" xfId="8590"/>
    <cellStyle name="Input 2 2 2 8" xfId="8591"/>
    <cellStyle name="Input 2 2 3" xfId="8592"/>
    <cellStyle name="Input 2 2 3 2" xfId="8593"/>
    <cellStyle name="Input 2 2 3 3" xfId="8594"/>
    <cellStyle name="Input 2 2 3 4" xfId="8595"/>
    <cellStyle name="Input 2 2 3 5" xfId="8596"/>
    <cellStyle name="Input 2 2 3 6" xfId="8597"/>
    <cellStyle name="Input 2 2 3 7" xfId="8598"/>
    <cellStyle name="Input 2 2 3 8" xfId="8599"/>
    <cellStyle name="Input 2 2 4" xfId="8600"/>
    <cellStyle name="Input 2 2 4 2" xfId="8601"/>
    <cellStyle name="Input 2 2 4 3" xfId="8602"/>
    <cellStyle name="Input 2 2 4 4" xfId="8603"/>
    <cellStyle name="Input 2 2 4 5" xfId="8604"/>
    <cellStyle name="Input 2 2 4 6" xfId="8605"/>
    <cellStyle name="Input 2 2 4 7" xfId="8606"/>
    <cellStyle name="Input 2 2 4 8" xfId="8607"/>
    <cellStyle name="Input 2 2 5" xfId="8608"/>
    <cellStyle name="Input 2 2 5 10" xfId="8609"/>
    <cellStyle name="Input 2 2 5 11" xfId="8610"/>
    <cellStyle name="Input 2 2 5 2" xfId="8611"/>
    <cellStyle name="Input 2 2 5 2 2" xfId="8612"/>
    <cellStyle name="Input 2 2 5 2 3" xfId="8613"/>
    <cellStyle name="Input 2 2 5 2 4" xfId="8614"/>
    <cellStyle name="Input 2 2 5 2 5" xfId="8615"/>
    <cellStyle name="Input 2 2 5 2 6" xfId="8616"/>
    <cellStyle name="Input 2 2 5 3" xfId="8617"/>
    <cellStyle name="Input 2 2 5 3 2" xfId="8618"/>
    <cellStyle name="Input 2 2 5 3 3" xfId="8619"/>
    <cellStyle name="Input 2 2 5 3 4" xfId="8620"/>
    <cellStyle name="Input 2 2 5 3 5" xfId="8621"/>
    <cellStyle name="Input 2 2 5 3 6" xfId="8622"/>
    <cellStyle name="Input 2 2 5 4" xfId="8623"/>
    <cellStyle name="Input 2 2 5 5" xfId="8624"/>
    <cellStyle name="Input 2 2 5 6" xfId="8625"/>
    <cellStyle name="Input 2 2 5 7" xfId="8626"/>
    <cellStyle name="Input 2 2 5 8" xfId="8627"/>
    <cellStyle name="Input 2 2 5 9" xfId="8628"/>
    <cellStyle name="Input 2 2 6" xfId="8629"/>
    <cellStyle name="Input 2 2 6 10" xfId="8630"/>
    <cellStyle name="Input 2 2 6 11" xfId="8631"/>
    <cellStyle name="Input 2 2 6 2" xfId="8632"/>
    <cellStyle name="Input 2 2 6 2 2" xfId="8633"/>
    <cellStyle name="Input 2 2 6 2 3" xfId="8634"/>
    <cellStyle name="Input 2 2 6 2 4" xfId="8635"/>
    <cellStyle name="Input 2 2 6 2 5" xfId="8636"/>
    <cellStyle name="Input 2 2 6 2 6" xfId="8637"/>
    <cellStyle name="Input 2 2 6 3" xfId="8638"/>
    <cellStyle name="Input 2 2 6 3 2" xfId="8639"/>
    <cellStyle name="Input 2 2 6 3 3" xfId="8640"/>
    <cellStyle name="Input 2 2 6 3 4" xfId="8641"/>
    <cellStyle name="Input 2 2 6 3 5" xfId="8642"/>
    <cellStyle name="Input 2 2 6 3 6" xfId="8643"/>
    <cellStyle name="Input 2 2 6 4" xfId="8644"/>
    <cellStyle name="Input 2 2 6 5" xfId="8645"/>
    <cellStyle name="Input 2 2 6 6" xfId="8646"/>
    <cellStyle name="Input 2 2 6 7" xfId="8647"/>
    <cellStyle name="Input 2 2 6 8" xfId="8648"/>
    <cellStyle name="Input 2 2 6 9" xfId="8649"/>
    <cellStyle name="Input 2 2 7" xfId="8650"/>
    <cellStyle name="Input 2 2 7 10" xfId="8651"/>
    <cellStyle name="Input 2 2 7 11" xfId="8652"/>
    <cellStyle name="Input 2 2 7 2" xfId="8653"/>
    <cellStyle name="Input 2 2 7 2 2" xfId="8654"/>
    <cellStyle name="Input 2 2 7 2 3" xfId="8655"/>
    <cellStyle name="Input 2 2 7 2 4" xfId="8656"/>
    <cellStyle name="Input 2 2 7 2 5" xfId="8657"/>
    <cellStyle name="Input 2 2 7 2 6" xfId="8658"/>
    <cellStyle name="Input 2 2 7 3" xfId="8659"/>
    <cellStyle name="Input 2 2 7 3 2" xfId="8660"/>
    <cellStyle name="Input 2 2 7 3 3" xfId="8661"/>
    <cellStyle name="Input 2 2 7 3 4" xfId="8662"/>
    <cellStyle name="Input 2 2 7 3 5" xfId="8663"/>
    <cellStyle name="Input 2 2 7 3 6" xfId="8664"/>
    <cellStyle name="Input 2 2 7 4" xfId="8665"/>
    <cellStyle name="Input 2 2 7 5" xfId="8666"/>
    <cellStyle name="Input 2 2 7 6" xfId="8667"/>
    <cellStyle name="Input 2 2 7 7" xfId="8668"/>
    <cellStyle name="Input 2 2 7 8" xfId="8669"/>
    <cellStyle name="Input 2 2 7 9" xfId="8670"/>
    <cellStyle name="Input 2 2 8" xfId="8671"/>
    <cellStyle name="Input 2 2 9" xfId="8672"/>
    <cellStyle name="Input 2 3" xfId="8673"/>
    <cellStyle name="Input 2 3 10" xfId="8674"/>
    <cellStyle name="Input 2 3 11" xfId="8675"/>
    <cellStyle name="Input 2 3 12" xfId="8676"/>
    <cellStyle name="Input 2 3 13" xfId="8677"/>
    <cellStyle name="Input 2 3 14" xfId="8678"/>
    <cellStyle name="Input 2 3 2" xfId="8679"/>
    <cellStyle name="Input 2 3 2 2" xfId="8680"/>
    <cellStyle name="Input 2 3 2 3" xfId="8681"/>
    <cellStyle name="Input 2 3 2 4" xfId="8682"/>
    <cellStyle name="Input 2 3 2 5" xfId="8683"/>
    <cellStyle name="Input 2 3 2 6" xfId="8684"/>
    <cellStyle name="Input 2 3 2 7" xfId="8685"/>
    <cellStyle name="Input 2 3 2 8" xfId="8686"/>
    <cellStyle name="Input 2 3 3" xfId="8687"/>
    <cellStyle name="Input 2 3 3 2" xfId="8688"/>
    <cellStyle name="Input 2 3 3 3" xfId="8689"/>
    <cellStyle name="Input 2 3 3 4" xfId="8690"/>
    <cellStyle name="Input 2 3 3 5" xfId="8691"/>
    <cellStyle name="Input 2 3 3 6" xfId="8692"/>
    <cellStyle name="Input 2 3 3 7" xfId="8693"/>
    <cellStyle name="Input 2 3 3 8" xfId="8694"/>
    <cellStyle name="Input 2 3 4" xfId="8695"/>
    <cellStyle name="Input 2 3 4 2" xfId="8696"/>
    <cellStyle name="Input 2 3 4 3" xfId="8697"/>
    <cellStyle name="Input 2 3 4 4" xfId="8698"/>
    <cellStyle name="Input 2 3 4 5" xfId="8699"/>
    <cellStyle name="Input 2 3 4 6" xfId="8700"/>
    <cellStyle name="Input 2 3 4 7" xfId="8701"/>
    <cellStyle name="Input 2 3 4 8" xfId="8702"/>
    <cellStyle name="Input 2 3 5" xfId="8703"/>
    <cellStyle name="Input 2 3 5 10" xfId="8704"/>
    <cellStyle name="Input 2 3 5 11" xfId="8705"/>
    <cellStyle name="Input 2 3 5 2" xfId="8706"/>
    <cellStyle name="Input 2 3 5 2 2" xfId="8707"/>
    <cellStyle name="Input 2 3 5 2 3" xfId="8708"/>
    <cellStyle name="Input 2 3 5 2 4" xfId="8709"/>
    <cellStyle name="Input 2 3 5 2 5" xfId="8710"/>
    <cellStyle name="Input 2 3 5 2 6" xfId="8711"/>
    <cellStyle name="Input 2 3 5 3" xfId="8712"/>
    <cellStyle name="Input 2 3 5 3 2" xfId="8713"/>
    <cellStyle name="Input 2 3 5 3 3" xfId="8714"/>
    <cellStyle name="Input 2 3 5 3 4" xfId="8715"/>
    <cellStyle name="Input 2 3 5 3 5" xfId="8716"/>
    <cellStyle name="Input 2 3 5 3 6" xfId="8717"/>
    <cellStyle name="Input 2 3 5 4" xfId="8718"/>
    <cellStyle name="Input 2 3 5 5" xfId="8719"/>
    <cellStyle name="Input 2 3 5 6" xfId="8720"/>
    <cellStyle name="Input 2 3 5 7" xfId="8721"/>
    <cellStyle name="Input 2 3 5 8" xfId="8722"/>
    <cellStyle name="Input 2 3 5 9" xfId="8723"/>
    <cellStyle name="Input 2 3 6" xfId="8724"/>
    <cellStyle name="Input 2 3 6 10" xfId="8725"/>
    <cellStyle name="Input 2 3 6 11" xfId="8726"/>
    <cellStyle name="Input 2 3 6 2" xfId="8727"/>
    <cellStyle name="Input 2 3 6 2 2" xfId="8728"/>
    <cellStyle name="Input 2 3 6 2 3" xfId="8729"/>
    <cellStyle name="Input 2 3 6 2 4" xfId="8730"/>
    <cellStyle name="Input 2 3 6 2 5" xfId="8731"/>
    <cellStyle name="Input 2 3 6 2 6" xfId="8732"/>
    <cellStyle name="Input 2 3 6 3" xfId="8733"/>
    <cellStyle name="Input 2 3 6 3 2" xfId="8734"/>
    <cellStyle name="Input 2 3 6 3 3" xfId="8735"/>
    <cellStyle name="Input 2 3 6 3 4" xfId="8736"/>
    <cellStyle name="Input 2 3 6 3 5" xfId="8737"/>
    <cellStyle name="Input 2 3 6 3 6" xfId="8738"/>
    <cellStyle name="Input 2 3 6 4" xfId="8739"/>
    <cellStyle name="Input 2 3 6 5" xfId="8740"/>
    <cellStyle name="Input 2 3 6 6" xfId="8741"/>
    <cellStyle name="Input 2 3 6 7" xfId="8742"/>
    <cellStyle name="Input 2 3 6 8" xfId="8743"/>
    <cellStyle name="Input 2 3 6 9" xfId="8744"/>
    <cellStyle name="Input 2 3 7" xfId="8745"/>
    <cellStyle name="Input 2 3 7 10" xfId="8746"/>
    <cellStyle name="Input 2 3 7 11" xfId="8747"/>
    <cellStyle name="Input 2 3 7 2" xfId="8748"/>
    <cellStyle name="Input 2 3 7 2 2" xfId="8749"/>
    <cellStyle name="Input 2 3 7 2 3" xfId="8750"/>
    <cellStyle name="Input 2 3 7 2 4" xfId="8751"/>
    <cellStyle name="Input 2 3 7 2 5" xfId="8752"/>
    <cellStyle name="Input 2 3 7 2 6" xfId="8753"/>
    <cellStyle name="Input 2 3 7 3" xfId="8754"/>
    <cellStyle name="Input 2 3 7 3 2" xfId="8755"/>
    <cellStyle name="Input 2 3 7 3 3" xfId="8756"/>
    <cellStyle name="Input 2 3 7 3 4" xfId="8757"/>
    <cellStyle name="Input 2 3 7 3 5" xfId="8758"/>
    <cellStyle name="Input 2 3 7 3 6" xfId="8759"/>
    <cellStyle name="Input 2 3 7 4" xfId="8760"/>
    <cellStyle name="Input 2 3 7 5" xfId="8761"/>
    <cellStyle name="Input 2 3 7 6" xfId="8762"/>
    <cellStyle name="Input 2 3 7 7" xfId="8763"/>
    <cellStyle name="Input 2 3 7 8" xfId="8764"/>
    <cellStyle name="Input 2 3 7 9" xfId="8765"/>
    <cellStyle name="Input 2 3 8" xfId="8766"/>
    <cellStyle name="Input 2 3 9" xfId="8767"/>
    <cellStyle name="Input 2 4" xfId="8768"/>
    <cellStyle name="Input 2 4 2" xfId="8769"/>
    <cellStyle name="Input 2 4 3" xfId="8770"/>
    <cellStyle name="Input 2 4 4" xfId="8771"/>
    <cellStyle name="Input 2 4 5" xfId="8772"/>
    <cellStyle name="Input 2 4 6" xfId="8773"/>
    <cellStyle name="Input 2 4 7" xfId="8774"/>
    <cellStyle name="Input 2 4 8" xfId="8775"/>
    <cellStyle name="Input 2 5" xfId="8776"/>
    <cellStyle name="Input 2 5 2" xfId="8777"/>
    <cellStyle name="Input 2 5 3" xfId="8778"/>
    <cellStyle name="Input 2 5 4" xfId="8779"/>
    <cellStyle name="Input 2 5 5" xfId="8780"/>
    <cellStyle name="Input 2 5 6" xfId="8781"/>
    <cellStyle name="Input 2 5 7" xfId="8782"/>
    <cellStyle name="Input 2 5 8" xfId="8783"/>
    <cellStyle name="Input 2 6" xfId="8784"/>
    <cellStyle name="Input 2 6 2" xfId="8785"/>
    <cellStyle name="Input 2 6 3" xfId="8786"/>
    <cellStyle name="Input 2 6 4" xfId="8787"/>
    <cellStyle name="Input 2 6 5" xfId="8788"/>
    <cellStyle name="Input 2 6 6" xfId="8789"/>
    <cellStyle name="Input 2 6 7" xfId="8790"/>
    <cellStyle name="Input 2 6 8" xfId="8791"/>
    <cellStyle name="Input 2 7" xfId="8792"/>
    <cellStyle name="Input 2 7 10" xfId="8793"/>
    <cellStyle name="Input 2 7 11" xfId="8794"/>
    <cellStyle name="Input 2 7 2" xfId="8795"/>
    <cellStyle name="Input 2 7 2 2" xfId="8796"/>
    <cellStyle name="Input 2 7 2 3" xfId="8797"/>
    <cellStyle name="Input 2 7 2 4" xfId="8798"/>
    <cellStyle name="Input 2 7 2 5" xfId="8799"/>
    <cellStyle name="Input 2 7 2 6" xfId="8800"/>
    <cellStyle name="Input 2 7 3" xfId="8801"/>
    <cellStyle name="Input 2 7 3 2" xfId="8802"/>
    <cellStyle name="Input 2 7 3 3" xfId="8803"/>
    <cellStyle name="Input 2 7 3 4" xfId="8804"/>
    <cellStyle name="Input 2 7 3 5" xfId="8805"/>
    <cellStyle name="Input 2 7 3 6" xfId="8806"/>
    <cellStyle name="Input 2 7 4" xfId="8807"/>
    <cellStyle name="Input 2 7 5" xfId="8808"/>
    <cellStyle name="Input 2 7 6" xfId="8809"/>
    <cellStyle name="Input 2 7 7" xfId="8810"/>
    <cellStyle name="Input 2 7 8" xfId="8811"/>
    <cellStyle name="Input 2 7 9" xfId="8812"/>
    <cellStyle name="Input 2 8" xfId="8813"/>
    <cellStyle name="Input 2 8 10" xfId="8814"/>
    <cellStyle name="Input 2 8 11" xfId="8815"/>
    <cellStyle name="Input 2 8 2" xfId="8816"/>
    <cellStyle name="Input 2 8 2 2" xfId="8817"/>
    <cellStyle name="Input 2 8 2 3" xfId="8818"/>
    <cellStyle name="Input 2 8 2 4" xfId="8819"/>
    <cellStyle name="Input 2 8 2 5" xfId="8820"/>
    <cellStyle name="Input 2 8 2 6" xfId="8821"/>
    <cellStyle name="Input 2 8 3" xfId="8822"/>
    <cellStyle name="Input 2 8 3 2" xfId="8823"/>
    <cellStyle name="Input 2 8 3 3" xfId="8824"/>
    <cellStyle name="Input 2 8 3 4" xfId="8825"/>
    <cellStyle name="Input 2 8 3 5" xfId="8826"/>
    <cellStyle name="Input 2 8 3 6" xfId="8827"/>
    <cellStyle name="Input 2 8 4" xfId="8828"/>
    <cellStyle name="Input 2 8 5" xfId="8829"/>
    <cellStyle name="Input 2 8 6" xfId="8830"/>
    <cellStyle name="Input 2 8 7" xfId="8831"/>
    <cellStyle name="Input 2 8 8" xfId="8832"/>
    <cellStyle name="Input 2 8 9" xfId="8833"/>
    <cellStyle name="Input 2 9" xfId="8834"/>
    <cellStyle name="Input 2 9 10" xfId="8835"/>
    <cellStyle name="Input 2 9 11" xfId="8836"/>
    <cellStyle name="Input 2 9 2" xfId="8837"/>
    <cellStyle name="Input 2 9 2 2" xfId="8838"/>
    <cellStyle name="Input 2 9 2 3" xfId="8839"/>
    <cellStyle name="Input 2 9 2 4" xfId="8840"/>
    <cellStyle name="Input 2 9 2 5" xfId="8841"/>
    <cellStyle name="Input 2 9 2 6" xfId="8842"/>
    <cellStyle name="Input 2 9 3" xfId="8843"/>
    <cellStyle name="Input 2 9 3 2" xfId="8844"/>
    <cellStyle name="Input 2 9 3 3" xfId="8845"/>
    <cellStyle name="Input 2 9 3 4" xfId="8846"/>
    <cellStyle name="Input 2 9 3 5" xfId="8847"/>
    <cellStyle name="Input 2 9 3 6" xfId="8848"/>
    <cellStyle name="Input 2 9 4" xfId="8849"/>
    <cellStyle name="Input 2 9 5" xfId="8850"/>
    <cellStyle name="Input 2 9 6" xfId="8851"/>
    <cellStyle name="Input 2 9 7" xfId="8852"/>
    <cellStyle name="Input 2 9 8" xfId="8853"/>
    <cellStyle name="Input 2 9 9" xfId="8854"/>
    <cellStyle name="Input 20" xfId="8855"/>
    <cellStyle name="Input 21" xfId="8856"/>
    <cellStyle name="Input 22" xfId="8857"/>
    <cellStyle name="Input 23" xfId="8858"/>
    <cellStyle name="Input 24" xfId="8859"/>
    <cellStyle name="Input 25" xfId="8860"/>
    <cellStyle name="Input 26" xfId="8861"/>
    <cellStyle name="Input 27" xfId="8862"/>
    <cellStyle name="Input 28" xfId="8863"/>
    <cellStyle name="Input 29" xfId="8864"/>
    <cellStyle name="Input 3" xfId="8865"/>
    <cellStyle name="Input 3 2" xfId="8866"/>
    <cellStyle name="Input 3 3" xfId="8867"/>
    <cellStyle name="Input 3 4" xfId="8868"/>
    <cellStyle name="Input 3 5" xfId="8869"/>
    <cellStyle name="Input 3 6" xfId="8870"/>
    <cellStyle name="Input 3 7" xfId="8871"/>
    <cellStyle name="Input 3 8" xfId="8872"/>
    <cellStyle name="Input 30" xfId="8873"/>
    <cellStyle name="Input 31" xfId="8874"/>
    <cellStyle name="Input 32" xfId="8875"/>
    <cellStyle name="Input 33" xfId="8876"/>
    <cellStyle name="Input 34" xfId="8877"/>
    <cellStyle name="Input 35" xfId="8878"/>
    <cellStyle name="Input 36" xfId="8879"/>
    <cellStyle name="Input 37" xfId="8880"/>
    <cellStyle name="Input 38" xfId="8881"/>
    <cellStyle name="Input 39" xfId="8882"/>
    <cellStyle name="Input 4" xfId="8883"/>
    <cellStyle name="Input 4 2" xfId="8884"/>
    <cellStyle name="Input 4 3" xfId="8885"/>
    <cellStyle name="Input 4 4" xfId="8886"/>
    <cellStyle name="Input 4 5" xfId="8887"/>
    <cellStyle name="Input 4 6" xfId="8888"/>
    <cellStyle name="Input 4 7" xfId="8889"/>
    <cellStyle name="Input 4 8" xfId="8890"/>
    <cellStyle name="Input 40" xfId="8891"/>
    <cellStyle name="Input 41" xfId="8892"/>
    <cellStyle name="Input 42" xfId="8893"/>
    <cellStyle name="Input 43" xfId="8894"/>
    <cellStyle name="Input 44" xfId="8895"/>
    <cellStyle name="Input 45" xfId="8896"/>
    <cellStyle name="Input 46" xfId="8897"/>
    <cellStyle name="Input 47" xfId="8898"/>
    <cellStyle name="Input 48" xfId="8899"/>
    <cellStyle name="Input 49" xfId="8900"/>
    <cellStyle name="Input 5" xfId="8901"/>
    <cellStyle name="Input 5 2" xfId="8902"/>
    <cellStyle name="Input 5 3" xfId="8903"/>
    <cellStyle name="Input 5 4" xfId="8904"/>
    <cellStyle name="Input 5 5" xfId="8905"/>
    <cellStyle name="Input 5 6" xfId="8906"/>
    <cellStyle name="Input 5 7" xfId="8907"/>
    <cellStyle name="Input 5 8" xfId="8908"/>
    <cellStyle name="Input 50" xfId="8909"/>
    <cellStyle name="Input 51" xfId="8910"/>
    <cellStyle name="Input 52" xfId="8911"/>
    <cellStyle name="Input 53" xfId="8912"/>
    <cellStyle name="Input 54" xfId="8913"/>
    <cellStyle name="Input 55" xfId="8914"/>
    <cellStyle name="Input 56" xfId="8915"/>
    <cellStyle name="Input 57" xfId="8916"/>
    <cellStyle name="Input 58" xfId="8917"/>
    <cellStyle name="Input 59" xfId="8918"/>
    <cellStyle name="Input 6" xfId="8919"/>
    <cellStyle name="Input 7" xfId="8920"/>
    <cellStyle name="Input 8" xfId="8921"/>
    <cellStyle name="Input 9" xfId="8922"/>
    <cellStyle name="Linked Cell 10" xfId="8923"/>
    <cellStyle name="Linked Cell 11" xfId="8924"/>
    <cellStyle name="Linked Cell 12" xfId="8925"/>
    <cellStyle name="Linked Cell 13" xfId="8926"/>
    <cellStyle name="Linked Cell 14" xfId="8927"/>
    <cellStyle name="Linked Cell 15" xfId="8928"/>
    <cellStyle name="Linked Cell 16" xfId="8929"/>
    <cellStyle name="Linked Cell 17" xfId="8930"/>
    <cellStyle name="Linked Cell 18" xfId="8931"/>
    <cellStyle name="Linked Cell 19" xfId="8932"/>
    <cellStyle name="Linked Cell 2" xfId="8933"/>
    <cellStyle name="Linked Cell 2 2" xfId="8934"/>
    <cellStyle name="Linked Cell 2 2 2" xfId="8935"/>
    <cellStyle name="Linked Cell 2 2 3" xfId="8936"/>
    <cellStyle name="Linked Cell 2 2 4" xfId="8937"/>
    <cellStyle name="Linked Cell 2 3" xfId="8938"/>
    <cellStyle name="Linked Cell 2 3 2" xfId="8939"/>
    <cellStyle name="Linked Cell 2 3 3" xfId="8940"/>
    <cellStyle name="Linked Cell 2 3 4" xfId="8941"/>
    <cellStyle name="Linked Cell 2 4" xfId="8942"/>
    <cellStyle name="Linked Cell 2 5" xfId="8943"/>
    <cellStyle name="Linked Cell 2 6" xfId="8944"/>
    <cellStyle name="Linked Cell 20" xfId="8945"/>
    <cellStyle name="Linked Cell 21" xfId="8946"/>
    <cellStyle name="Linked Cell 22" xfId="8947"/>
    <cellStyle name="Linked Cell 23" xfId="8948"/>
    <cellStyle name="Linked Cell 24" xfId="8949"/>
    <cellStyle name="Linked Cell 25" xfId="8950"/>
    <cellStyle name="Linked Cell 26" xfId="8951"/>
    <cellStyle name="Linked Cell 27" xfId="8952"/>
    <cellStyle name="Linked Cell 28" xfId="8953"/>
    <cellStyle name="Linked Cell 29" xfId="8954"/>
    <cellStyle name="Linked Cell 3" xfId="8955"/>
    <cellStyle name="Linked Cell 3 2" xfId="8956"/>
    <cellStyle name="Linked Cell 30" xfId="8957"/>
    <cellStyle name="Linked Cell 31" xfId="8958"/>
    <cellStyle name="Linked Cell 32" xfId="8959"/>
    <cellStyle name="Linked Cell 33" xfId="8960"/>
    <cellStyle name="Linked Cell 34" xfId="8961"/>
    <cellStyle name="Linked Cell 35" xfId="8962"/>
    <cellStyle name="Linked Cell 36" xfId="8963"/>
    <cellStyle name="Linked Cell 37" xfId="8964"/>
    <cellStyle name="Linked Cell 38" xfId="8965"/>
    <cellStyle name="Linked Cell 39" xfId="8966"/>
    <cellStyle name="Linked Cell 4" xfId="8967"/>
    <cellStyle name="Linked Cell 40" xfId="8968"/>
    <cellStyle name="Linked Cell 41" xfId="8969"/>
    <cellStyle name="Linked Cell 42" xfId="8970"/>
    <cellStyle name="Linked Cell 43" xfId="8971"/>
    <cellStyle name="Linked Cell 44" xfId="8972"/>
    <cellStyle name="Linked Cell 45" xfId="8973"/>
    <cellStyle name="Linked Cell 46" xfId="8974"/>
    <cellStyle name="Linked Cell 47" xfId="8975"/>
    <cellStyle name="Linked Cell 48" xfId="8976"/>
    <cellStyle name="Linked Cell 49" xfId="8977"/>
    <cellStyle name="Linked Cell 5" xfId="8978"/>
    <cellStyle name="Linked Cell 50" xfId="8979"/>
    <cellStyle name="Linked Cell 51" xfId="8980"/>
    <cellStyle name="Linked Cell 52" xfId="8981"/>
    <cellStyle name="Linked Cell 53" xfId="8982"/>
    <cellStyle name="Linked Cell 54" xfId="8983"/>
    <cellStyle name="Linked Cell 55" xfId="8984"/>
    <cellStyle name="Linked Cell 56" xfId="8985"/>
    <cellStyle name="Linked Cell 57" xfId="8986"/>
    <cellStyle name="Linked Cell 58" xfId="8987"/>
    <cellStyle name="Linked Cell 59" xfId="8988"/>
    <cellStyle name="Linked Cell 6" xfId="8989"/>
    <cellStyle name="Linked Cell 7" xfId="8990"/>
    <cellStyle name="Linked Cell 8" xfId="8991"/>
    <cellStyle name="Linked Cell 9" xfId="8992"/>
    <cellStyle name="Milliers [0]_Arabian Spec" xfId="8993"/>
    <cellStyle name="Milliers_Arabian Spec" xfId="8994"/>
    <cellStyle name="Mon?aire [0]_Arabian Spec" xfId="8995"/>
    <cellStyle name="Mon?aire_Arabian Spec" xfId="8996"/>
    <cellStyle name="Neutral 10" xfId="8997"/>
    <cellStyle name="Neutral 11" xfId="8998"/>
    <cellStyle name="Neutral 12" xfId="8999"/>
    <cellStyle name="Neutral 13" xfId="9000"/>
    <cellStyle name="Neutral 14" xfId="9001"/>
    <cellStyle name="Neutral 15" xfId="9002"/>
    <cellStyle name="Neutral 16" xfId="9003"/>
    <cellStyle name="Neutral 17" xfId="9004"/>
    <cellStyle name="Neutral 18" xfId="9005"/>
    <cellStyle name="Neutral 19" xfId="9006"/>
    <cellStyle name="Neutral 2" xfId="9007"/>
    <cellStyle name="Neutral 2 2" xfId="9008"/>
    <cellStyle name="Neutral 20" xfId="9009"/>
    <cellStyle name="Neutral 21" xfId="9010"/>
    <cellStyle name="Neutral 22" xfId="9011"/>
    <cellStyle name="Neutral 23" xfId="9012"/>
    <cellStyle name="Neutral 24" xfId="9013"/>
    <cellStyle name="Neutral 25" xfId="9014"/>
    <cellStyle name="Neutral 26" xfId="9015"/>
    <cellStyle name="Neutral 27" xfId="9016"/>
    <cellStyle name="Neutral 28" xfId="9017"/>
    <cellStyle name="Neutral 29" xfId="9018"/>
    <cellStyle name="Neutral 3" xfId="9019"/>
    <cellStyle name="Neutral 30" xfId="9020"/>
    <cellStyle name="Neutral 31" xfId="9021"/>
    <cellStyle name="Neutral 32" xfId="9022"/>
    <cellStyle name="Neutral 33" xfId="9023"/>
    <cellStyle name="Neutral 34" xfId="9024"/>
    <cellStyle name="Neutral 35" xfId="9025"/>
    <cellStyle name="Neutral 36" xfId="9026"/>
    <cellStyle name="Neutral 37" xfId="9027"/>
    <cellStyle name="Neutral 38" xfId="9028"/>
    <cellStyle name="Neutral 39" xfId="9029"/>
    <cellStyle name="Neutral 4" xfId="9030"/>
    <cellStyle name="Neutral 40" xfId="9031"/>
    <cellStyle name="Neutral 41" xfId="9032"/>
    <cellStyle name="Neutral 42" xfId="9033"/>
    <cellStyle name="Neutral 43" xfId="9034"/>
    <cellStyle name="Neutral 44" xfId="9035"/>
    <cellStyle name="Neutral 45" xfId="9036"/>
    <cellStyle name="Neutral 46" xfId="9037"/>
    <cellStyle name="Neutral 47" xfId="9038"/>
    <cellStyle name="Neutral 48" xfId="9039"/>
    <cellStyle name="Neutral 49" xfId="9040"/>
    <cellStyle name="Neutral 5" xfId="9041"/>
    <cellStyle name="Neutral 50" xfId="9042"/>
    <cellStyle name="Neutral 51" xfId="9043"/>
    <cellStyle name="Neutral 52" xfId="9044"/>
    <cellStyle name="Neutral 53" xfId="9045"/>
    <cellStyle name="Neutral 54" xfId="9046"/>
    <cellStyle name="Neutral 55" xfId="9047"/>
    <cellStyle name="Neutral 56" xfId="9048"/>
    <cellStyle name="Neutral 57" xfId="9049"/>
    <cellStyle name="Neutral 58" xfId="9050"/>
    <cellStyle name="Neutral 59" xfId="9051"/>
    <cellStyle name="Neutral 6" xfId="9052"/>
    <cellStyle name="Neutral 7" xfId="9053"/>
    <cellStyle name="Neutral 8" xfId="9054"/>
    <cellStyle name="Neutral 9" xfId="9055"/>
    <cellStyle name="Normal" xfId="0" builtinId="0"/>
    <cellStyle name="Normal 10" xfId="9056"/>
    <cellStyle name="Normal 10 10" xfId="9057"/>
    <cellStyle name="Normal 10 10 10" xfId="9058"/>
    <cellStyle name="Normal 10 10 10 2" xfId="9059"/>
    <cellStyle name="Normal 10 10 10 2 2" xfId="9060"/>
    <cellStyle name="Normal 10 10 10 2 2 2" xfId="9061"/>
    <cellStyle name="Normal 10 10 10 2 2 2 2" xfId="9062"/>
    <cellStyle name="Normal 10 10 10 2 2 3" xfId="9063"/>
    <cellStyle name="Normal 10 10 10 2 3" xfId="9064"/>
    <cellStyle name="Normal 10 10 10 2 3 2" xfId="9065"/>
    <cellStyle name="Normal 10 10 10 2 4" xfId="9066"/>
    <cellStyle name="Normal 10 10 10 3" xfId="9067"/>
    <cellStyle name="Normal 10 10 10 3 2" xfId="9068"/>
    <cellStyle name="Normal 10 10 10 3 2 2" xfId="9069"/>
    <cellStyle name="Normal 10 10 10 3 2 2 2" xfId="9070"/>
    <cellStyle name="Normal 10 10 10 3 2 3" xfId="9071"/>
    <cellStyle name="Normal 10 10 10 3 3" xfId="9072"/>
    <cellStyle name="Normal 10 10 10 3 3 2" xfId="9073"/>
    <cellStyle name="Normal 10 10 10 3 4" xfId="9074"/>
    <cellStyle name="Normal 10 10 10 4" xfId="9075"/>
    <cellStyle name="Normal 10 10 10 4 2" xfId="9076"/>
    <cellStyle name="Normal 10 10 10 4 2 2" xfId="9077"/>
    <cellStyle name="Normal 10 10 10 4 3" xfId="9078"/>
    <cellStyle name="Normal 10 10 10 5" xfId="9079"/>
    <cellStyle name="Normal 10 10 10 5 2" xfId="9080"/>
    <cellStyle name="Normal 10 10 10 6" xfId="9081"/>
    <cellStyle name="Normal 10 10 11" xfId="9082"/>
    <cellStyle name="Normal 10 10 11 2" xfId="9083"/>
    <cellStyle name="Normal 10 10 11 2 2" xfId="9084"/>
    <cellStyle name="Normal 10 10 11 2 2 2" xfId="9085"/>
    <cellStyle name="Normal 10 10 11 2 2 2 2" xfId="9086"/>
    <cellStyle name="Normal 10 10 11 2 2 3" xfId="9087"/>
    <cellStyle name="Normal 10 10 11 2 3" xfId="9088"/>
    <cellStyle name="Normal 10 10 11 2 3 2" xfId="9089"/>
    <cellStyle name="Normal 10 10 11 2 4" xfId="9090"/>
    <cellStyle name="Normal 10 10 11 3" xfId="9091"/>
    <cellStyle name="Normal 10 10 11 3 2" xfId="9092"/>
    <cellStyle name="Normal 10 10 11 3 2 2" xfId="9093"/>
    <cellStyle name="Normal 10 10 11 3 2 2 2" xfId="9094"/>
    <cellStyle name="Normal 10 10 11 3 2 3" xfId="9095"/>
    <cellStyle name="Normal 10 10 11 3 3" xfId="9096"/>
    <cellStyle name="Normal 10 10 11 3 3 2" xfId="9097"/>
    <cellStyle name="Normal 10 10 11 3 4" xfId="9098"/>
    <cellStyle name="Normal 10 10 11 4" xfId="9099"/>
    <cellStyle name="Normal 10 10 11 4 2" xfId="9100"/>
    <cellStyle name="Normal 10 10 11 4 2 2" xfId="9101"/>
    <cellStyle name="Normal 10 10 11 4 3" xfId="9102"/>
    <cellStyle name="Normal 10 10 11 5" xfId="9103"/>
    <cellStyle name="Normal 10 10 11 5 2" xfId="9104"/>
    <cellStyle name="Normal 10 10 11 6" xfId="9105"/>
    <cellStyle name="Normal 10 10 12" xfId="9106"/>
    <cellStyle name="Normal 10 10 12 2" xfId="9107"/>
    <cellStyle name="Normal 10 10 12 2 2" xfId="9108"/>
    <cellStyle name="Normal 10 10 12 2 2 2" xfId="9109"/>
    <cellStyle name="Normal 10 10 12 2 2 2 2" xfId="9110"/>
    <cellStyle name="Normal 10 10 12 2 2 3" xfId="9111"/>
    <cellStyle name="Normal 10 10 12 2 3" xfId="9112"/>
    <cellStyle name="Normal 10 10 12 2 3 2" xfId="9113"/>
    <cellStyle name="Normal 10 10 12 2 4" xfId="9114"/>
    <cellStyle name="Normal 10 10 12 3" xfId="9115"/>
    <cellStyle name="Normal 10 10 12 3 2" xfId="9116"/>
    <cellStyle name="Normal 10 10 12 3 2 2" xfId="9117"/>
    <cellStyle name="Normal 10 10 12 3 2 2 2" xfId="9118"/>
    <cellStyle name="Normal 10 10 12 3 2 3" xfId="9119"/>
    <cellStyle name="Normal 10 10 12 3 3" xfId="9120"/>
    <cellStyle name="Normal 10 10 12 3 3 2" xfId="9121"/>
    <cellStyle name="Normal 10 10 12 3 4" xfId="9122"/>
    <cellStyle name="Normal 10 10 12 4" xfId="9123"/>
    <cellStyle name="Normal 10 10 12 4 2" xfId="9124"/>
    <cellStyle name="Normal 10 10 12 4 2 2" xfId="9125"/>
    <cellStyle name="Normal 10 10 12 4 3" xfId="9126"/>
    <cellStyle name="Normal 10 10 12 5" xfId="9127"/>
    <cellStyle name="Normal 10 10 12 5 2" xfId="9128"/>
    <cellStyle name="Normal 10 10 12 6" xfId="9129"/>
    <cellStyle name="Normal 10 10 13" xfId="9130"/>
    <cellStyle name="Normal 10 10 13 2" xfId="9131"/>
    <cellStyle name="Normal 10 10 13 2 2" xfId="9132"/>
    <cellStyle name="Normal 10 10 13 2 2 2" xfId="9133"/>
    <cellStyle name="Normal 10 10 13 2 2 2 2" xfId="9134"/>
    <cellStyle name="Normal 10 10 13 2 2 3" xfId="9135"/>
    <cellStyle name="Normal 10 10 13 2 3" xfId="9136"/>
    <cellStyle name="Normal 10 10 13 2 3 2" xfId="9137"/>
    <cellStyle name="Normal 10 10 13 2 4" xfId="9138"/>
    <cellStyle name="Normal 10 10 13 3" xfId="9139"/>
    <cellStyle name="Normal 10 10 13 3 2" xfId="9140"/>
    <cellStyle name="Normal 10 10 13 3 2 2" xfId="9141"/>
    <cellStyle name="Normal 10 10 13 3 2 2 2" xfId="9142"/>
    <cellStyle name="Normal 10 10 13 3 2 3" xfId="9143"/>
    <cellStyle name="Normal 10 10 13 3 3" xfId="9144"/>
    <cellStyle name="Normal 10 10 13 3 3 2" xfId="9145"/>
    <cellStyle name="Normal 10 10 13 3 4" xfId="9146"/>
    <cellStyle name="Normal 10 10 13 4" xfId="9147"/>
    <cellStyle name="Normal 10 10 13 4 2" xfId="9148"/>
    <cellStyle name="Normal 10 10 13 4 2 2" xfId="9149"/>
    <cellStyle name="Normal 10 10 13 4 3" xfId="9150"/>
    <cellStyle name="Normal 10 10 13 5" xfId="9151"/>
    <cellStyle name="Normal 10 10 13 5 2" xfId="9152"/>
    <cellStyle name="Normal 10 10 13 6" xfId="9153"/>
    <cellStyle name="Normal 10 10 14" xfId="9154"/>
    <cellStyle name="Normal 10 10 14 2" xfId="9155"/>
    <cellStyle name="Normal 10 10 14 2 2" xfId="9156"/>
    <cellStyle name="Normal 10 10 14 2 2 2" xfId="9157"/>
    <cellStyle name="Normal 10 10 14 2 3" xfId="9158"/>
    <cellStyle name="Normal 10 10 14 3" xfId="9159"/>
    <cellStyle name="Normal 10 10 14 3 2" xfId="9160"/>
    <cellStyle name="Normal 10 10 14 4" xfId="9161"/>
    <cellStyle name="Normal 10 10 15" xfId="9162"/>
    <cellStyle name="Normal 10 10 15 2" xfId="9163"/>
    <cellStyle name="Normal 10 10 15 2 2" xfId="9164"/>
    <cellStyle name="Normal 10 10 15 2 2 2" xfId="9165"/>
    <cellStyle name="Normal 10 10 15 2 3" xfId="9166"/>
    <cellStyle name="Normal 10 10 15 3" xfId="9167"/>
    <cellStyle name="Normal 10 10 15 3 2" xfId="9168"/>
    <cellStyle name="Normal 10 10 15 4" xfId="9169"/>
    <cellStyle name="Normal 10 10 16" xfId="9170"/>
    <cellStyle name="Normal 10 10 16 2" xfId="9171"/>
    <cellStyle name="Normal 10 10 16 2 2" xfId="9172"/>
    <cellStyle name="Normal 10 10 16 3" xfId="9173"/>
    <cellStyle name="Normal 10 10 17" xfId="9174"/>
    <cellStyle name="Normal 10 10 17 2" xfId="9175"/>
    <cellStyle name="Normal 10 10 18" xfId="9176"/>
    <cellStyle name="Normal 10 10 2" xfId="9177"/>
    <cellStyle name="Normal 10 10 2 2" xfId="9178"/>
    <cellStyle name="Normal 10 10 2 2 2" xfId="9179"/>
    <cellStyle name="Normal 10 10 2 2 2 2" xfId="9180"/>
    <cellStyle name="Normal 10 10 2 2 2 2 2" xfId="9181"/>
    <cellStyle name="Normal 10 10 2 2 2 3" xfId="9182"/>
    <cellStyle name="Normal 10 10 2 2 3" xfId="9183"/>
    <cellStyle name="Normal 10 10 2 2 3 2" xfId="9184"/>
    <cellStyle name="Normal 10 10 2 2 4" xfId="9185"/>
    <cellStyle name="Normal 10 10 2 3" xfId="9186"/>
    <cellStyle name="Normal 10 10 2 3 2" xfId="9187"/>
    <cellStyle name="Normal 10 10 2 3 2 2" xfId="9188"/>
    <cellStyle name="Normal 10 10 2 3 2 2 2" xfId="9189"/>
    <cellStyle name="Normal 10 10 2 3 2 3" xfId="9190"/>
    <cellStyle name="Normal 10 10 2 3 3" xfId="9191"/>
    <cellStyle name="Normal 10 10 2 3 3 2" xfId="9192"/>
    <cellStyle name="Normal 10 10 2 3 4" xfId="9193"/>
    <cellStyle name="Normal 10 10 2 4" xfId="9194"/>
    <cellStyle name="Normal 10 10 2 4 2" xfId="9195"/>
    <cellStyle name="Normal 10 10 2 4 2 2" xfId="9196"/>
    <cellStyle name="Normal 10 10 2 4 3" xfId="9197"/>
    <cellStyle name="Normal 10 10 2 5" xfId="9198"/>
    <cellStyle name="Normal 10 10 2 5 2" xfId="9199"/>
    <cellStyle name="Normal 10 10 2 6" xfId="9200"/>
    <cellStyle name="Normal 10 10 3" xfId="9201"/>
    <cellStyle name="Normal 10 10 3 2" xfId="9202"/>
    <cellStyle name="Normal 10 10 3 2 2" xfId="9203"/>
    <cellStyle name="Normal 10 10 3 2 2 2" xfId="9204"/>
    <cellStyle name="Normal 10 10 3 2 2 2 2" xfId="9205"/>
    <cellStyle name="Normal 10 10 3 2 2 3" xfId="9206"/>
    <cellStyle name="Normal 10 10 3 2 3" xfId="9207"/>
    <cellStyle name="Normal 10 10 3 2 3 2" xfId="9208"/>
    <cellStyle name="Normal 10 10 3 2 4" xfId="9209"/>
    <cellStyle name="Normal 10 10 3 3" xfId="9210"/>
    <cellStyle name="Normal 10 10 3 3 2" xfId="9211"/>
    <cellStyle name="Normal 10 10 3 3 2 2" xfId="9212"/>
    <cellStyle name="Normal 10 10 3 3 2 2 2" xfId="9213"/>
    <cellStyle name="Normal 10 10 3 3 2 3" xfId="9214"/>
    <cellStyle name="Normal 10 10 3 3 3" xfId="9215"/>
    <cellStyle name="Normal 10 10 3 3 3 2" xfId="9216"/>
    <cellStyle name="Normal 10 10 3 3 4" xfId="9217"/>
    <cellStyle name="Normal 10 10 3 4" xfId="9218"/>
    <cellStyle name="Normal 10 10 3 4 2" xfId="9219"/>
    <cellStyle name="Normal 10 10 3 4 2 2" xfId="9220"/>
    <cellStyle name="Normal 10 10 3 4 3" xfId="9221"/>
    <cellStyle name="Normal 10 10 3 5" xfId="9222"/>
    <cellStyle name="Normal 10 10 3 5 2" xfId="9223"/>
    <cellStyle name="Normal 10 10 3 6" xfId="9224"/>
    <cellStyle name="Normal 10 10 4" xfId="9225"/>
    <cellStyle name="Normal 10 10 4 2" xfId="9226"/>
    <cellStyle name="Normal 10 10 4 2 2" xfId="9227"/>
    <cellStyle name="Normal 10 10 4 2 2 2" xfId="9228"/>
    <cellStyle name="Normal 10 10 4 2 2 2 2" xfId="9229"/>
    <cellStyle name="Normal 10 10 4 2 2 3" xfId="9230"/>
    <cellStyle name="Normal 10 10 4 2 3" xfId="9231"/>
    <cellStyle name="Normal 10 10 4 2 3 2" xfId="9232"/>
    <cellStyle name="Normal 10 10 4 2 4" xfId="9233"/>
    <cellStyle name="Normal 10 10 4 3" xfId="9234"/>
    <cellStyle name="Normal 10 10 4 3 2" xfId="9235"/>
    <cellStyle name="Normal 10 10 4 3 2 2" xfId="9236"/>
    <cellStyle name="Normal 10 10 4 3 2 2 2" xfId="9237"/>
    <cellStyle name="Normal 10 10 4 3 2 3" xfId="9238"/>
    <cellStyle name="Normal 10 10 4 3 3" xfId="9239"/>
    <cellStyle name="Normal 10 10 4 3 3 2" xfId="9240"/>
    <cellStyle name="Normal 10 10 4 3 4" xfId="9241"/>
    <cellStyle name="Normal 10 10 4 4" xfId="9242"/>
    <cellStyle name="Normal 10 10 4 4 2" xfId="9243"/>
    <cellStyle name="Normal 10 10 4 4 2 2" xfId="9244"/>
    <cellStyle name="Normal 10 10 4 4 3" xfId="9245"/>
    <cellStyle name="Normal 10 10 4 5" xfId="9246"/>
    <cellStyle name="Normal 10 10 4 5 2" xfId="9247"/>
    <cellStyle name="Normal 10 10 4 6" xfId="9248"/>
    <cellStyle name="Normal 10 10 5" xfId="9249"/>
    <cellStyle name="Normal 10 10 5 2" xfId="9250"/>
    <cellStyle name="Normal 10 10 5 2 2" xfId="9251"/>
    <cellStyle name="Normal 10 10 5 2 2 2" xfId="9252"/>
    <cellStyle name="Normal 10 10 5 2 2 2 2" xfId="9253"/>
    <cellStyle name="Normal 10 10 5 2 2 3" xfId="9254"/>
    <cellStyle name="Normal 10 10 5 2 3" xfId="9255"/>
    <cellStyle name="Normal 10 10 5 2 3 2" xfId="9256"/>
    <cellStyle name="Normal 10 10 5 2 4" xfId="9257"/>
    <cellStyle name="Normal 10 10 5 3" xfId="9258"/>
    <cellStyle name="Normal 10 10 5 3 2" xfId="9259"/>
    <cellStyle name="Normal 10 10 5 3 2 2" xfId="9260"/>
    <cellStyle name="Normal 10 10 5 3 2 2 2" xfId="9261"/>
    <cellStyle name="Normal 10 10 5 3 2 3" xfId="9262"/>
    <cellStyle name="Normal 10 10 5 3 3" xfId="9263"/>
    <cellStyle name="Normal 10 10 5 3 3 2" xfId="9264"/>
    <cellStyle name="Normal 10 10 5 3 4" xfId="9265"/>
    <cellStyle name="Normal 10 10 5 4" xfId="9266"/>
    <cellStyle name="Normal 10 10 5 4 2" xfId="9267"/>
    <cellStyle name="Normal 10 10 5 4 2 2" xfId="9268"/>
    <cellStyle name="Normal 10 10 5 4 3" xfId="9269"/>
    <cellStyle name="Normal 10 10 5 5" xfId="9270"/>
    <cellStyle name="Normal 10 10 5 5 2" xfId="9271"/>
    <cellStyle name="Normal 10 10 5 6" xfId="9272"/>
    <cellStyle name="Normal 10 10 6" xfId="9273"/>
    <cellStyle name="Normal 10 10 6 2" xfId="9274"/>
    <cellStyle name="Normal 10 10 6 2 2" xfId="9275"/>
    <cellStyle name="Normal 10 10 6 2 2 2" xfId="9276"/>
    <cellStyle name="Normal 10 10 6 2 2 2 2" xfId="9277"/>
    <cellStyle name="Normal 10 10 6 2 2 3" xfId="9278"/>
    <cellStyle name="Normal 10 10 6 2 3" xfId="9279"/>
    <cellStyle name="Normal 10 10 6 2 3 2" xfId="9280"/>
    <cellStyle name="Normal 10 10 6 2 4" xfId="9281"/>
    <cellStyle name="Normal 10 10 6 3" xfId="9282"/>
    <cellStyle name="Normal 10 10 6 3 2" xfId="9283"/>
    <cellStyle name="Normal 10 10 6 3 2 2" xfId="9284"/>
    <cellStyle name="Normal 10 10 6 3 2 2 2" xfId="9285"/>
    <cellStyle name="Normal 10 10 6 3 2 3" xfId="9286"/>
    <cellStyle name="Normal 10 10 6 3 3" xfId="9287"/>
    <cellStyle name="Normal 10 10 6 3 3 2" xfId="9288"/>
    <cellStyle name="Normal 10 10 6 3 4" xfId="9289"/>
    <cellStyle name="Normal 10 10 6 4" xfId="9290"/>
    <cellStyle name="Normal 10 10 6 4 2" xfId="9291"/>
    <cellStyle name="Normal 10 10 6 4 2 2" xfId="9292"/>
    <cellStyle name="Normal 10 10 6 4 3" xfId="9293"/>
    <cellStyle name="Normal 10 10 6 5" xfId="9294"/>
    <cellStyle name="Normal 10 10 6 5 2" xfId="9295"/>
    <cellStyle name="Normal 10 10 6 6" xfId="9296"/>
    <cellStyle name="Normal 10 10 7" xfId="9297"/>
    <cellStyle name="Normal 10 10 7 2" xfId="9298"/>
    <cellStyle name="Normal 10 10 7 2 2" xfId="9299"/>
    <cellStyle name="Normal 10 10 7 2 2 2" xfId="9300"/>
    <cellStyle name="Normal 10 10 7 2 2 2 2" xfId="9301"/>
    <cellStyle name="Normal 10 10 7 2 2 3" xfId="9302"/>
    <cellStyle name="Normal 10 10 7 2 3" xfId="9303"/>
    <cellStyle name="Normal 10 10 7 2 3 2" xfId="9304"/>
    <cellStyle name="Normal 10 10 7 2 4" xfId="9305"/>
    <cellStyle name="Normal 10 10 7 3" xfId="9306"/>
    <cellStyle name="Normal 10 10 7 3 2" xfId="9307"/>
    <cellStyle name="Normal 10 10 7 3 2 2" xfId="9308"/>
    <cellStyle name="Normal 10 10 7 3 2 2 2" xfId="9309"/>
    <cellStyle name="Normal 10 10 7 3 2 3" xfId="9310"/>
    <cellStyle name="Normal 10 10 7 3 3" xfId="9311"/>
    <cellStyle name="Normal 10 10 7 3 3 2" xfId="9312"/>
    <cellStyle name="Normal 10 10 7 3 4" xfId="9313"/>
    <cellStyle name="Normal 10 10 7 4" xfId="9314"/>
    <cellStyle name="Normal 10 10 7 4 2" xfId="9315"/>
    <cellStyle name="Normal 10 10 7 4 2 2" xfId="9316"/>
    <cellStyle name="Normal 10 10 7 4 3" xfId="9317"/>
    <cellStyle name="Normal 10 10 7 5" xfId="9318"/>
    <cellStyle name="Normal 10 10 7 5 2" xfId="9319"/>
    <cellStyle name="Normal 10 10 7 6" xfId="9320"/>
    <cellStyle name="Normal 10 10 8" xfId="9321"/>
    <cellStyle name="Normal 10 10 8 2" xfId="9322"/>
    <cellStyle name="Normal 10 10 8 2 2" xfId="9323"/>
    <cellStyle name="Normal 10 10 8 2 2 2" xfId="9324"/>
    <cellStyle name="Normal 10 10 8 2 2 2 2" xfId="9325"/>
    <cellStyle name="Normal 10 10 8 2 2 3" xfId="9326"/>
    <cellStyle name="Normal 10 10 8 2 3" xfId="9327"/>
    <cellStyle name="Normal 10 10 8 2 3 2" xfId="9328"/>
    <cellStyle name="Normal 10 10 8 2 4" xfId="9329"/>
    <cellStyle name="Normal 10 10 8 3" xfId="9330"/>
    <cellStyle name="Normal 10 10 8 3 2" xfId="9331"/>
    <cellStyle name="Normal 10 10 8 3 2 2" xfId="9332"/>
    <cellStyle name="Normal 10 10 8 3 2 2 2" xfId="9333"/>
    <cellStyle name="Normal 10 10 8 3 2 3" xfId="9334"/>
    <cellStyle name="Normal 10 10 8 3 3" xfId="9335"/>
    <cellStyle name="Normal 10 10 8 3 3 2" xfId="9336"/>
    <cellStyle name="Normal 10 10 8 3 4" xfId="9337"/>
    <cellStyle name="Normal 10 10 8 4" xfId="9338"/>
    <cellStyle name="Normal 10 10 8 4 2" xfId="9339"/>
    <cellStyle name="Normal 10 10 8 4 2 2" xfId="9340"/>
    <cellStyle name="Normal 10 10 8 4 3" xfId="9341"/>
    <cellStyle name="Normal 10 10 8 5" xfId="9342"/>
    <cellStyle name="Normal 10 10 8 5 2" xfId="9343"/>
    <cellStyle name="Normal 10 10 8 6" xfId="9344"/>
    <cellStyle name="Normal 10 10 9" xfId="9345"/>
    <cellStyle name="Normal 10 10 9 2" xfId="9346"/>
    <cellStyle name="Normal 10 10 9 2 2" xfId="9347"/>
    <cellStyle name="Normal 10 10 9 2 2 2" xfId="9348"/>
    <cellStyle name="Normal 10 10 9 2 2 2 2" xfId="9349"/>
    <cellStyle name="Normal 10 10 9 2 2 3" xfId="9350"/>
    <cellStyle name="Normal 10 10 9 2 3" xfId="9351"/>
    <cellStyle name="Normal 10 10 9 2 3 2" xfId="9352"/>
    <cellStyle name="Normal 10 10 9 2 4" xfId="9353"/>
    <cellStyle name="Normal 10 10 9 3" xfId="9354"/>
    <cellStyle name="Normal 10 10 9 3 2" xfId="9355"/>
    <cellStyle name="Normal 10 10 9 3 2 2" xfId="9356"/>
    <cellStyle name="Normal 10 10 9 3 2 2 2" xfId="9357"/>
    <cellStyle name="Normal 10 10 9 3 2 3" xfId="9358"/>
    <cellStyle name="Normal 10 10 9 3 3" xfId="9359"/>
    <cellStyle name="Normal 10 10 9 3 3 2" xfId="9360"/>
    <cellStyle name="Normal 10 10 9 3 4" xfId="9361"/>
    <cellStyle name="Normal 10 10 9 4" xfId="9362"/>
    <cellStyle name="Normal 10 10 9 4 2" xfId="9363"/>
    <cellStyle name="Normal 10 10 9 4 2 2" xfId="9364"/>
    <cellStyle name="Normal 10 10 9 4 3" xfId="9365"/>
    <cellStyle name="Normal 10 10 9 5" xfId="9366"/>
    <cellStyle name="Normal 10 10 9 5 2" xfId="9367"/>
    <cellStyle name="Normal 10 10 9 6" xfId="9368"/>
    <cellStyle name="Normal 10 11" xfId="9369"/>
    <cellStyle name="Normal 10 11 10" xfId="9370"/>
    <cellStyle name="Normal 10 11 10 2" xfId="9371"/>
    <cellStyle name="Normal 10 11 10 2 2" xfId="9372"/>
    <cellStyle name="Normal 10 11 10 2 2 2" xfId="9373"/>
    <cellStyle name="Normal 10 11 10 2 2 2 2" xfId="9374"/>
    <cellStyle name="Normal 10 11 10 2 2 3" xfId="9375"/>
    <cellStyle name="Normal 10 11 10 2 3" xfId="9376"/>
    <cellStyle name="Normal 10 11 10 2 3 2" xfId="9377"/>
    <cellStyle name="Normal 10 11 10 2 4" xfId="9378"/>
    <cellStyle name="Normal 10 11 10 3" xfId="9379"/>
    <cellStyle name="Normal 10 11 10 3 2" xfId="9380"/>
    <cellStyle name="Normal 10 11 10 3 2 2" xfId="9381"/>
    <cellStyle name="Normal 10 11 10 3 2 2 2" xfId="9382"/>
    <cellStyle name="Normal 10 11 10 3 2 3" xfId="9383"/>
    <cellStyle name="Normal 10 11 10 3 3" xfId="9384"/>
    <cellStyle name="Normal 10 11 10 3 3 2" xfId="9385"/>
    <cellStyle name="Normal 10 11 10 3 4" xfId="9386"/>
    <cellStyle name="Normal 10 11 10 4" xfId="9387"/>
    <cellStyle name="Normal 10 11 10 4 2" xfId="9388"/>
    <cellStyle name="Normal 10 11 10 4 2 2" xfId="9389"/>
    <cellStyle name="Normal 10 11 10 4 3" xfId="9390"/>
    <cellStyle name="Normal 10 11 10 5" xfId="9391"/>
    <cellStyle name="Normal 10 11 10 5 2" xfId="9392"/>
    <cellStyle name="Normal 10 11 10 6" xfId="9393"/>
    <cellStyle name="Normal 10 11 11" xfId="9394"/>
    <cellStyle name="Normal 10 11 11 2" xfId="9395"/>
    <cellStyle name="Normal 10 11 11 2 2" xfId="9396"/>
    <cellStyle name="Normal 10 11 11 2 2 2" xfId="9397"/>
    <cellStyle name="Normal 10 11 11 2 2 2 2" xfId="9398"/>
    <cellStyle name="Normal 10 11 11 2 2 3" xfId="9399"/>
    <cellStyle name="Normal 10 11 11 2 3" xfId="9400"/>
    <cellStyle name="Normal 10 11 11 2 3 2" xfId="9401"/>
    <cellStyle name="Normal 10 11 11 2 4" xfId="9402"/>
    <cellStyle name="Normal 10 11 11 3" xfId="9403"/>
    <cellStyle name="Normal 10 11 11 3 2" xfId="9404"/>
    <cellStyle name="Normal 10 11 11 3 2 2" xfId="9405"/>
    <cellStyle name="Normal 10 11 11 3 2 2 2" xfId="9406"/>
    <cellStyle name="Normal 10 11 11 3 2 3" xfId="9407"/>
    <cellStyle name="Normal 10 11 11 3 3" xfId="9408"/>
    <cellStyle name="Normal 10 11 11 3 3 2" xfId="9409"/>
    <cellStyle name="Normal 10 11 11 3 4" xfId="9410"/>
    <cellStyle name="Normal 10 11 11 4" xfId="9411"/>
    <cellStyle name="Normal 10 11 11 4 2" xfId="9412"/>
    <cellStyle name="Normal 10 11 11 4 2 2" xfId="9413"/>
    <cellStyle name="Normal 10 11 11 4 3" xfId="9414"/>
    <cellStyle name="Normal 10 11 11 5" xfId="9415"/>
    <cellStyle name="Normal 10 11 11 5 2" xfId="9416"/>
    <cellStyle name="Normal 10 11 11 6" xfId="9417"/>
    <cellStyle name="Normal 10 11 12" xfId="9418"/>
    <cellStyle name="Normal 10 11 12 2" xfId="9419"/>
    <cellStyle name="Normal 10 11 12 2 2" xfId="9420"/>
    <cellStyle name="Normal 10 11 12 2 2 2" xfId="9421"/>
    <cellStyle name="Normal 10 11 12 2 2 2 2" xfId="9422"/>
    <cellStyle name="Normal 10 11 12 2 2 3" xfId="9423"/>
    <cellStyle name="Normal 10 11 12 2 3" xfId="9424"/>
    <cellStyle name="Normal 10 11 12 2 3 2" xfId="9425"/>
    <cellStyle name="Normal 10 11 12 2 4" xfId="9426"/>
    <cellStyle name="Normal 10 11 12 3" xfId="9427"/>
    <cellStyle name="Normal 10 11 12 3 2" xfId="9428"/>
    <cellStyle name="Normal 10 11 12 3 2 2" xfId="9429"/>
    <cellStyle name="Normal 10 11 12 3 2 2 2" xfId="9430"/>
    <cellStyle name="Normal 10 11 12 3 2 3" xfId="9431"/>
    <cellStyle name="Normal 10 11 12 3 3" xfId="9432"/>
    <cellStyle name="Normal 10 11 12 3 3 2" xfId="9433"/>
    <cellStyle name="Normal 10 11 12 3 4" xfId="9434"/>
    <cellStyle name="Normal 10 11 12 4" xfId="9435"/>
    <cellStyle name="Normal 10 11 12 4 2" xfId="9436"/>
    <cellStyle name="Normal 10 11 12 4 2 2" xfId="9437"/>
    <cellStyle name="Normal 10 11 12 4 3" xfId="9438"/>
    <cellStyle name="Normal 10 11 12 5" xfId="9439"/>
    <cellStyle name="Normal 10 11 12 5 2" xfId="9440"/>
    <cellStyle name="Normal 10 11 12 6" xfId="9441"/>
    <cellStyle name="Normal 10 11 13" xfId="9442"/>
    <cellStyle name="Normal 10 11 13 2" xfId="9443"/>
    <cellStyle name="Normal 10 11 13 2 2" xfId="9444"/>
    <cellStyle name="Normal 10 11 13 2 2 2" xfId="9445"/>
    <cellStyle name="Normal 10 11 13 2 2 2 2" xfId="9446"/>
    <cellStyle name="Normal 10 11 13 2 2 3" xfId="9447"/>
    <cellStyle name="Normal 10 11 13 2 3" xfId="9448"/>
    <cellStyle name="Normal 10 11 13 2 3 2" xfId="9449"/>
    <cellStyle name="Normal 10 11 13 2 4" xfId="9450"/>
    <cellStyle name="Normal 10 11 13 3" xfId="9451"/>
    <cellStyle name="Normal 10 11 13 3 2" xfId="9452"/>
    <cellStyle name="Normal 10 11 13 3 2 2" xfId="9453"/>
    <cellStyle name="Normal 10 11 13 3 2 2 2" xfId="9454"/>
    <cellStyle name="Normal 10 11 13 3 2 3" xfId="9455"/>
    <cellStyle name="Normal 10 11 13 3 3" xfId="9456"/>
    <cellStyle name="Normal 10 11 13 3 3 2" xfId="9457"/>
    <cellStyle name="Normal 10 11 13 3 4" xfId="9458"/>
    <cellStyle name="Normal 10 11 13 4" xfId="9459"/>
    <cellStyle name="Normal 10 11 13 4 2" xfId="9460"/>
    <cellStyle name="Normal 10 11 13 4 2 2" xfId="9461"/>
    <cellStyle name="Normal 10 11 13 4 3" xfId="9462"/>
    <cellStyle name="Normal 10 11 13 5" xfId="9463"/>
    <cellStyle name="Normal 10 11 13 5 2" xfId="9464"/>
    <cellStyle name="Normal 10 11 13 6" xfId="9465"/>
    <cellStyle name="Normal 10 11 14" xfId="9466"/>
    <cellStyle name="Normal 10 11 14 2" xfId="9467"/>
    <cellStyle name="Normal 10 11 14 2 2" xfId="9468"/>
    <cellStyle name="Normal 10 11 14 2 2 2" xfId="9469"/>
    <cellStyle name="Normal 10 11 14 2 3" xfId="9470"/>
    <cellStyle name="Normal 10 11 14 3" xfId="9471"/>
    <cellStyle name="Normal 10 11 14 3 2" xfId="9472"/>
    <cellStyle name="Normal 10 11 14 4" xfId="9473"/>
    <cellStyle name="Normal 10 11 15" xfId="9474"/>
    <cellStyle name="Normal 10 11 15 2" xfId="9475"/>
    <cellStyle name="Normal 10 11 15 2 2" xfId="9476"/>
    <cellStyle name="Normal 10 11 15 2 2 2" xfId="9477"/>
    <cellStyle name="Normal 10 11 15 2 3" xfId="9478"/>
    <cellStyle name="Normal 10 11 15 3" xfId="9479"/>
    <cellStyle name="Normal 10 11 15 3 2" xfId="9480"/>
    <cellStyle name="Normal 10 11 15 4" xfId="9481"/>
    <cellStyle name="Normal 10 11 16" xfId="9482"/>
    <cellStyle name="Normal 10 11 16 2" xfId="9483"/>
    <cellStyle name="Normal 10 11 16 2 2" xfId="9484"/>
    <cellStyle name="Normal 10 11 16 3" xfId="9485"/>
    <cellStyle name="Normal 10 11 17" xfId="9486"/>
    <cellStyle name="Normal 10 11 17 2" xfId="9487"/>
    <cellStyle name="Normal 10 11 18" xfId="9488"/>
    <cellStyle name="Normal 10 11 2" xfId="9489"/>
    <cellStyle name="Normal 10 11 2 2" xfId="9490"/>
    <cellStyle name="Normal 10 11 2 2 2" xfId="9491"/>
    <cellStyle name="Normal 10 11 2 2 2 2" xfId="9492"/>
    <cellStyle name="Normal 10 11 2 2 2 2 2" xfId="9493"/>
    <cellStyle name="Normal 10 11 2 2 2 3" xfId="9494"/>
    <cellStyle name="Normal 10 11 2 2 3" xfId="9495"/>
    <cellStyle name="Normal 10 11 2 2 3 2" xfId="9496"/>
    <cellStyle name="Normal 10 11 2 2 4" xfId="9497"/>
    <cellStyle name="Normal 10 11 2 3" xfId="9498"/>
    <cellStyle name="Normal 10 11 2 3 2" xfId="9499"/>
    <cellStyle name="Normal 10 11 2 3 2 2" xfId="9500"/>
    <cellStyle name="Normal 10 11 2 3 2 2 2" xfId="9501"/>
    <cellStyle name="Normal 10 11 2 3 2 3" xfId="9502"/>
    <cellStyle name="Normal 10 11 2 3 3" xfId="9503"/>
    <cellStyle name="Normal 10 11 2 3 3 2" xfId="9504"/>
    <cellStyle name="Normal 10 11 2 3 4" xfId="9505"/>
    <cellStyle name="Normal 10 11 2 4" xfId="9506"/>
    <cellStyle name="Normal 10 11 2 4 2" xfId="9507"/>
    <cellStyle name="Normal 10 11 2 4 2 2" xfId="9508"/>
    <cellStyle name="Normal 10 11 2 4 3" xfId="9509"/>
    <cellStyle name="Normal 10 11 2 5" xfId="9510"/>
    <cellStyle name="Normal 10 11 2 5 2" xfId="9511"/>
    <cellStyle name="Normal 10 11 2 6" xfId="9512"/>
    <cellStyle name="Normal 10 11 3" xfId="9513"/>
    <cellStyle name="Normal 10 11 3 2" xfId="9514"/>
    <cellStyle name="Normal 10 11 3 2 2" xfId="9515"/>
    <cellStyle name="Normal 10 11 3 2 2 2" xfId="9516"/>
    <cellStyle name="Normal 10 11 3 2 2 2 2" xfId="9517"/>
    <cellStyle name="Normal 10 11 3 2 2 3" xfId="9518"/>
    <cellStyle name="Normal 10 11 3 2 3" xfId="9519"/>
    <cellStyle name="Normal 10 11 3 2 3 2" xfId="9520"/>
    <cellStyle name="Normal 10 11 3 2 4" xfId="9521"/>
    <cellStyle name="Normal 10 11 3 3" xfId="9522"/>
    <cellStyle name="Normal 10 11 3 3 2" xfId="9523"/>
    <cellStyle name="Normal 10 11 3 3 2 2" xfId="9524"/>
    <cellStyle name="Normal 10 11 3 3 2 2 2" xfId="9525"/>
    <cellStyle name="Normal 10 11 3 3 2 3" xfId="9526"/>
    <cellStyle name="Normal 10 11 3 3 3" xfId="9527"/>
    <cellStyle name="Normal 10 11 3 3 3 2" xfId="9528"/>
    <cellStyle name="Normal 10 11 3 3 4" xfId="9529"/>
    <cellStyle name="Normal 10 11 3 4" xfId="9530"/>
    <cellStyle name="Normal 10 11 3 4 2" xfId="9531"/>
    <cellStyle name="Normal 10 11 3 4 2 2" xfId="9532"/>
    <cellStyle name="Normal 10 11 3 4 3" xfId="9533"/>
    <cellStyle name="Normal 10 11 3 5" xfId="9534"/>
    <cellStyle name="Normal 10 11 3 5 2" xfId="9535"/>
    <cellStyle name="Normal 10 11 3 6" xfId="9536"/>
    <cellStyle name="Normal 10 11 4" xfId="9537"/>
    <cellStyle name="Normal 10 11 4 2" xfId="9538"/>
    <cellStyle name="Normal 10 11 4 2 2" xfId="9539"/>
    <cellStyle name="Normal 10 11 4 2 2 2" xfId="9540"/>
    <cellStyle name="Normal 10 11 4 2 2 2 2" xfId="9541"/>
    <cellStyle name="Normal 10 11 4 2 2 3" xfId="9542"/>
    <cellStyle name="Normal 10 11 4 2 3" xfId="9543"/>
    <cellStyle name="Normal 10 11 4 2 3 2" xfId="9544"/>
    <cellStyle name="Normal 10 11 4 2 4" xfId="9545"/>
    <cellStyle name="Normal 10 11 4 3" xfId="9546"/>
    <cellStyle name="Normal 10 11 4 3 2" xfId="9547"/>
    <cellStyle name="Normal 10 11 4 3 2 2" xfId="9548"/>
    <cellStyle name="Normal 10 11 4 3 2 2 2" xfId="9549"/>
    <cellStyle name="Normal 10 11 4 3 2 3" xfId="9550"/>
    <cellStyle name="Normal 10 11 4 3 3" xfId="9551"/>
    <cellStyle name="Normal 10 11 4 3 3 2" xfId="9552"/>
    <cellStyle name="Normal 10 11 4 3 4" xfId="9553"/>
    <cellStyle name="Normal 10 11 4 4" xfId="9554"/>
    <cellStyle name="Normal 10 11 4 4 2" xfId="9555"/>
    <cellStyle name="Normal 10 11 4 4 2 2" xfId="9556"/>
    <cellStyle name="Normal 10 11 4 4 3" xfId="9557"/>
    <cellStyle name="Normal 10 11 4 5" xfId="9558"/>
    <cellStyle name="Normal 10 11 4 5 2" xfId="9559"/>
    <cellStyle name="Normal 10 11 4 6" xfId="9560"/>
    <cellStyle name="Normal 10 11 5" xfId="9561"/>
    <cellStyle name="Normal 10 11 5 2" xfId="9562"/>
    <cellStyle name="Normal 10 11 5 2 2" xfId="9563"/>
    <cellStyle name="Normal 10 11 5 2 2 2" xfId="9564"/>
    <cellStyle name="Normal 10 11 5 2 2 2 2" xfId="9565"/>
    <cellStyle name="Normal 10 11 5 2 2 3" xfId="9566"/>
    <cellStyle name="Normal 10 11 5 2 3" xfId="9567"/>
    <cellStyle name="Normal 10 11 5 2 3 2" xfId="9568"/>
    <cellStyle name="Normal 10 11 5 2 4" xfId="9569"/>
    <cellStyle name="Normal 10 11 5 3" xfId="9570"/>
    <cellStyle name="Normal 10 11 5 3 2" xfId="9571"/>
    <cellStyle name="Normal 10 11 5 3 2 2" xfId="9572"/>
    <cellStyle name="Normal 10 11 5 3 2 2 2" xfId="9573"/>
    <cellStyle name="Normal 10 11 5 3 2 3" xfId="9574"/>
    <cellStyle name="Normal 10 11 5 3 3" xfId="9575"/>
    <cellStyle name="Normal 10 11 5 3 3 2" xfId="9576"/>
    <cellStyle name="Normal 10 11 5 3 4" xfId="9577"/>
    <cellStyle name="Normal 10 11 5 4" xfId="9578"/>
    <cellStyle name="Normal 10 11 5 4 2" xfId="9579"/>
    <cellStyle name="Normal 10 11 5 4 2 2" xfId="9580"/>
    <cellStyle name="Normal 10 11 5 4 3" xfId="9581"/>
    <cellStyle name="Normal 10 11 5 5" xfId="9582"/>
    <cellStyle name="Normal 10 11 5 5 2" xfId="9583"/>
    <cellStyle name="Normal 10 11 5 6" xfId="9584"/>
    <cellStyle name="Normal 10 11 6" xfId="9585"/>
    <cellStyle name="Normal 10 11 6 2" xfId="9586"/>
    <cellStyle name="Normal 10 11 6 2 2" xfId="9587"/>
    <cellStyle name="Normal 10 11 6 2 2 2" xfId="9588"/>
    <cellStyle name="Normal 10 11 6 2 2 2 2" xfId="9589"/>
    <cellStyle name="Normal 10 11 6 2 2 3" xfId="9590"/>
    <cellStyle name="Normal 10 11 6 2 3" xfId="9591"/>
    <cellStyle name="Normal 10 11 6 2 3 2" xfId="9592"/>
    <cellStyle name="Normal 10 11 6 2 4" xfId="9593"/>
    <cellStyle name="Normal 10 11 6 3" xfId="9594"/>
    <cellStyle name="Normal 10 11 6 3 2" xfId="9595"/>
    <cellStyle name="Normal 10 11 6 3 2 2" xfId="9596"/>
    <cellStyle name="Normal 10 11 6 3 2 2 2" xfId="9597"/>
    <cellStyle name="Normal 10 11 6 3 2 3" xfId="9598"/>
    <cellStyle name="Normal 10 11 6 3 3" xfId="9599"/>
    <cellStyle name="Normal 10 11 6 3 3 2" xfId="9600"/>
    <cellStyle name="Normal 10 11 6 3 4" xfId="9601"/>
    <cellStyle name="Normal 10 11 6 4" xfId="9602"/>
    <cellStyle name="Normal 10 11 6 4 2" xfId="9603"/>
    <cellStyle name="Normal 10 11 6 4 2 2" xfId="9604"/>
    <cellStyle name="Normal 10 11 6 4 3" xfId="9605"/>
    <cellStyle name="Normal 10 11 6 5" xfId="9606"/>
    <cellStyle name="Normal 10 11 6 5 2" xfId="9607"/>
    <cellStyle name="Normal 10 11 6 6" xfId="9608"/>
    <cellStyle name="Normal 10 11 7" xfId="9609"/>
    <cellStyle name="Normal 10 11 7 2" xfId="9610"/>
    <cellStyle name="Normal 10 11 7 2 2" xfId="9611"/>
    <cellStyle name="Normal 10 11 7 2 2 2" xfId="9612"/>
    <cellStyle name="Normal 10 11 7 2 2 2 2" xfId="9613"/>
    <cellStyle name="Normal 10 11 7 2 2 3" xfId="9614"/>
    <cellStyle name="Normal 10 11 7 2 3" xfId="9615"/>
    <cellStyle name="Normal 10 11 7 2 3 2" xfId="9616"/>
    <cellStyle name="Normal 10 11 7 2 4" xfId="9617"/>
    <cellStyle name="Normal 10 11 7 3" xfId="9618"/>
    <cellStyle name="Normal 10 11 7 3 2" xfId="9619"/>
    <cellStyle name="Normal 10 11 7 3 2 2" xfId="9620"/>
    <cellStyle name="Normal 10 11 7 3 2 2 2" xfId="9621"/>
    <cellStyle name="Normal 10 11 7 3 2 3" xfId="9622"/>
    <cellStyle name="Normal 10 11 7 3 3" xfId="9623"/>
    <cellStyle name="Normal 10 11 7 3 3 2" xfId="9624"/>
    <cellStyle name="Normal 10 11 7 3 4" xfId="9625"/>
    <cellStyle name="Normal 10 11 7 4" xfId="9626"/>
    <cellStyle name="Normal 10 11 7 4 2" xfId="9627"/>
    <cellStyle name="Normal 10 11 7 4 2 2" xfId="9628"/>
    <cellStyle name="Normal 10 11 7 4 3" xfId="9629"/>
    <cellStyle name="Normal 10 11 7 5" xfId="9630"/>
    <cellStyle name="Normal 10 11 7 5 2" xfId="9631"/>
    <cellStyle name="Normal 10 11 7 6" xfId="9632"/>
    <cellStyle name="Normal 10 11 8" xfId="9633"/>
    <cellStyle name="Normal 10 11 8 2" xfId="9634"/>
    <cellStyle name="Normal 10 11 8 2 2" xfId="9635"/>
    <cellStyle name="Normal 10 11 8 2 2 2" xfId="9636"/>
    <cellStyle name="Normal 10 11 8 2 2 2 2" xfId="9637"/>
    <cellStyle name="Normal 10 11 8 2 2 3" xfId="9638"/>
    <cellStyle name="Normal 10 11 8 2 3" xfId="9639"/>
    <cellStyle name="Normal 10 11 8 2 3 2" xfId="9640"/>
    <cellStyle name="Normal 10 11 8 2 4" xfId="9641"/>
    <cellStyle name="Normal 10 11 8 3" xfId="9642"/>
    <cellStyle name="Normal 10 11 8 3 2" xfId="9643"/>
    <cellStyle name="Normal 10 11 8 3 2 2" xfId="9644"/>
    <cellStyle name="Normal 10 11 8 3 2 2 2" xfId="9645"/>
    <cellStyle name="Normal 10 11 8 3 2 3" xfId="9646"/>
    <cellStyle name="Normal 10 11 8 3 3" xfId="9647"/>
    <cellStyle name="Normal 10 11 8 3 3 2" xfId="9648"/>
    <cellStyle name="Normal 10 11 8 3 4" xfId="9649"/>
    <cellStyle name="Normal 10 11 8 4" xfId="9650"/>
    <cellStyle name="Normal 10 11 8 4 2" xfId="9651"/>
    <cellStyle name="Normal 10 11 8 4 2 2" xfId="9652"/>
    <cellStyle name="Normal 10 11 8 4 3" xfId="9653"/>
    <cellStyle name="Normal 10 11 8 5" xfId="9654"/>
    <cellStyle name="Normal 10 11 8 5 2" xfId="9655"/>
    <cellStyle name="Normal 10 11 8 6" xfId="9656"/>
    <cellStyle name="Normal 10 11 9" xfId="9657"/>
    <cellStyle name="Normal 10 11 9 2" xfId="9658"/>
    <cellStyle name="Normal 10 11 9 2 2" xfId="9659"/>
    <cellStyle name="Normal 10 11 9 2 2 2" xfId="9660"/>
    <cellStyle name="Normal 10 11 9 2 2 2 2" xfId="9661"/>
    <cellStyle name="Normal 10 11 9 2 2 3" xfId="9662"/>
    <cellStyle name="Normal 10 11 9 2 3" xfId="9663"/>
    <cellStyle name="Normal 10 11 9 2 3 2" xfId="9664"/>
    <cellStyle name="Normal 10 11 9 2 4" xfId="9665"/>
    <cellStyle name="Normal 10 11 9 3" xfId="9666"/>
    <cellStyle name="Normal 10 11 9 3 2" xfId="9667"/>
    <cellStyle name="Normal 10 11 9 3 2 2" xfId="9668"/>
    <cellStyle name="Normal 10 11 9 3 2 2 2" xfId="9669"/>
    <cellStyle name="Normal 10 11 9 3 2 3" xfId="9670"/>
    <cellStyle name="Normal 10 11 9 3 3" xfId="9671"/>
    <cellStyle name="Normal 10 11 9 3 3 2" xfId="9672"/>
    <cellStyle name="Normal 10 11 9 3 4" xfId="9673"/>
    <cellStyle name="Normal 10 11 9 4" xfId="9674"/>
    <cellStyle name="Normal 10 11 9 4 2" xfId="9675"/>
    <cellStyle name="Normal 10 11 9 4 2 2" xfId="9676"/>
    <cellStyle name="Normal 10 11 9 4 3" xfId="9677"/>
    <cellStyle name="Normal 10 11 9 5" xfId="9678"/>
    <cellStyle name="Normal 10 11 9 5 2" xfId="9679"/>
    <cellStyle name="Normal 10 11 9 6" xfId="9680"/>
    <cellStyle name="Normal 10 12" xfId="9681"/>
    <cellStyle name="Normal 10 12 10" xfId="9682"/>
    <cellStyle name="Normal 10 12 10 2" xfId="9683"/>
    <cellStyle name="Normal 10 12 10 2 2" xfId="9684"/>
    <cellStyle name="Normal 10 12 10 2 2 2" xfId="9685"/>
    <cellStyle name="Normal 10 12 10 2 2 2 2" xfId="9686"/>
    <cellStyle name="Normal 10 12 10 2 2 3" xfId="9687"/>
    <cellStyle name="Normal 10 12 10 2 3" xfId="9688"/>
    <cellStyle name="Normal 10 12 10 2 3 2" xfId="9689"/>
    <cellStyle name="Normal 10 12 10 2 4" xfId="9690"/>
    <cellStyle name="Normal 10 12 10 3" xfId="9691"/>
    <cellStyle name="Normal 10 12 10 3 2" xfId="9692"/>
    <cellStyle name="Normal 10 12 10 3 2 2" xfId="9693"/>
    <cellStyle name="Normal 10 12 10 3 2 2 2" xfId="9694"/>
    <cellStyle name="Normal 10 12 10 3 2 3" xfId="9695"/>
    <cellStyle name="Normal 10 12 10 3 3" xfId="9696"/>
    <cellStyle name="Normal 10 12 10 3 3 2" xfId="9697"/>
    <cellStyle name="Normal 10 12 10 3 4" xfId="9698"/>
    <cellStyle name="Normal 10 12 10 4" xfId="9699"/>
    <cellStyle name="Normal 10 12 10 4 2" xfId="9700"/>
    <cellStyle name="Normal 10 12 10 4 2 2" xfId="9701"/>
    <cellStyle name="Normal 10 12 10 4 3" xfId="9702"/>
    <cellStyle name="Normal 10 12 10 5" xfId="9703"/>
    <cellStyle name="Normal 10 12 10 5 2" xfId="9704"/>
    <cellStyle name="Normal 10 12 10 6" xfId="9705"/>
    <cellStyle name="Normal 10 12 11" xfId="9706"/>
    <cellStyle name="Normal 10 12 11 2" xfId="9707"/>
    <cellStyle name="Normal 10 12 11 2 2" xfId="9708"/>
    <cellStyle name="Normal 10 12 11 2 2 2" xfId="9709"/>
    <cellStyle name="Normal 10 12 11 2 2 2 2" xfId="9710"/>
    <cellStyle name="Normal 10 12 11 2 2 3" xfId="9711"/>
    <cellStyle name="Normal 10 12 11 2 3" xfId="9712"/>
    <cellStyle name="Normal 10 12 11 2 3 2" xfId="9713"/>
    <cellStyle name="Normal 10 12 11 2 4" xfId="9714"/>
    <cellStyle name="Normal 10 12 11 3" xfId="9715"/>
    <cellStyle name="Normal 10 12 11 3 2" xfId="9716"/>
    <cellStyle name="Normal 10 12 11 3 2 2" xfId="9717"/>
    <cellStyle name="Normal 10 12 11 3 2 2 2" xfId="9718"/>
    <cellStyle name="Normal 10 12 11 3 2 3" xfId="9719"/>
    <cellStyle name="Normal 10 12 11 3 3" xfId="9720"/>
    <cellStyle name="Normal 10 12 11 3 3 2" xfId="9721"/>
    <cellStyle name="Normal 10 12 11 3 4" xfId="9722"/>
    <cellStyle name="Normal 10 12 11 4" xfId="9723"/>
    <cellStyle name="Normal 10 12 11 4 2" xfId="9724"/>
    <cellStyle name="Normal 10 12 11 4 2 2" xfId="9725"/>
    <cellStyle name="Normal 10 12 11 4 3" xfId="9726"/>
    <cellStyle name="Normal 10 12 11 5" xfId="9727"/>
    <cellStyle name="Normal 10 12 11 5 2" xfId="9728"/>
    <cellStyle name="Normal 10 12 11 6" xfId="9729"/>
    <cellStyle name="Normal 10 12 12" xfId="9730"/>
    <cellStyle name="Normal 10 12 12 2" xfId="9731"/>
    <cellStyle name="Normal 10 12 12 2 2" xfId="9732"/>
    <cellStyle name="Normal 10 12 12 2 2 2" xfId="9733"/>
    <cellStyle name="Normal 10 12 12 2 2 2 2" xfId="9734"/>
    <cellStyle name="Normal 10 12 12 2 2 3" xfId="9735"/>
    <cellStyle name="Normal 10 12 12 2 3" xfId="9736"/>
    <cellStyle name="Normal 10 12 12 2 3 2" xfId="9737"/>
    <cellStyle name="Normal 10 12 12 2 4" xfId="9738"/>
    <cellStyle name="Normal 10 12 12 3" xfId="9739"/>
    <cellStyle name="Normal 10 12 12 3 2" xfId="9740"/>
    <cellStyle name="Normal 10 12 12 3 2 2" xfId="9741"/>
    <cellStyle name="Normal 10 12 12 3 2 2 2" xfId="9742"/>
    <cellStyle name="Normal 10 12 12 3 2 3" xfId="9743"/>
    <cellStyle name="Normal 10 12 12 3 3" xfId="9744"/>
    <cellStyle name="Normal 10 12 12 3 3 2" xfId="9745"/>
    <cellStyle name="Normal 10 12 12 3 4" xfId="9746"/>
    <cellStyle name="Normal 10 12 12 4" xfId="9747"/>
    <cellStyle name="Normal 10 12 12 4 2" xfId="9748"/>
    <cellStyle name="Normal 10 12 12 4 2 2" xfId="9749"/>
    <cellStyle name="Normal 10 12 12 4 3" xfId="9750"/>
    <cellStyle name="Normal 10 12 12 5" xfId="9751"/>
    <cellStyle name="Normal 10 12 12 5 2" xfId="9752"/>
    <cellStyle name="Normal 10 12 12 6" xfId="9753"/>
    <cellStyle name="Normal 10 12 13" xfId="9754"/>
    <cellStyle name="Normal 10 12 13 2" xfId="9755"/>
    <cellStyle name="Normal 10 12 13 2 2" xfId="9756"/>
    <cellStyle name="Normal 10 12 13 2 2 2" xfId="9757"/>
    <cellStyle name="Normal 10 12 13 2 2 2 2" xfId="9758"/>
    <cellStyle name="Normal 10 12 13 2 2 3" xfId="9759"/>
    <cellStyle name="Normal 10 12 13 2 3" xfId="9760"/>
    <cellStyle name="Normal 10 12 13 2 3 2" xfId="9761"/>
    <cellStyle name="Normal 10 12 13 2 4" xfId="9762"/>
    <cellStyle name="Normal 10 12 13 3" xfId="9763"/>
    <cellStyle name="Normal 10 12 13 3 2" xfId="9764"/>
    <cellStyle name="Normal 10 12 13 3 2 2" xfId="9765"/>
    <cellStyle name="Normal 10 12 13 3 2 2 2" xfId="9766"/>
    <cellStyle name="Normal 10 12 13 3 2 3" xfId="9767"/>
    <cellStyle name="Normal 10 12 13 3 3" xfId="9768"/>
    <cellStyle name="Normal 10 12 13 3 3 2" xfId="9769"/>
    <cellStyle name="Normal 10 12 13 3 4" xfId="9770"/>
    <cellStyle name="Normal 10 12 13 4" xfId="9771"/>
    <cellStyle name="Normal 10 12 13 4 2" xfId="9772"/>
    <cellStyle name="Normal 10 12 13 4 2 2" xfId="9773"/>
    <cellStyle name="Normal 10 12 13 4 3" xfId="9774"/>
    <cellStyle name="Normal 10 12 13 5" xfId="9775"/>
    <cellStyle name="Normal 10 12 13 5 2" xfId="9776"/>
    <cellStyle name="Normal 10 12 13 6" xfId="9777"/>
    <cellStyle name="Normal 10 12 14" xfId="9778"/>
    <cellStyle name="Normal 10 12 14 2" xfId="9779"/>
    <cellStyle name="Normal 10 12 14 2 2" xfId="9780"/>
    <cellStyle name="Normal 10 12 14 2 2 2" xfId="9781"/>
    <cellStyle name="Normal 10 12 14 2 3" xfId="9782"/>
    <cellStyle name="Normal 10 12 14 3" xfId="9783"/>
    <cellStyle name="Normal 10 12 14 3 2" xfId="9784"/>
    <cellStyle name="Normal 10 12 14 4" xfId="9785"/>
    <cellStyle name="Normal 10 12 15" xfId="9786"/>
    <cellStyle name="Normal 10 12 15 2" xfId="9787"/>
    <cellStyle name="Normal 10 12 15 2 2" xfId="9788"/>
    <cellStyle name="Normal 10 12 15 2 2 2" xfId="9789"/>
    <cellStyle name="Normal 10 12 15 2 3" xfId="9790"/>
    <cellStyle name="Normal 10 12 15 3" xfId="9791"/>
    <cellStyle name="Normal 10 12 15 3 2" xfId="9792"/>
    <cellStyle name="Normal 10 12 15 4" xfId="9793"/>
    <cellStyle name="Normal 10 12 16" xfId="9794"/>
    <cellStyle name="Normal 10 12 16 2" xfId="9795"/>
    <cellStyle name="Normal 10 12 16 2 2" xfId="9796"/>
    <cellStyle name="Normal 10 12 16 3" xfId="9797"/>
    <cellStyle name="Normal 10 12 17" xfId="9798"/>
    <cellStyle name="Normal 10 12 17 2" xfId="9799"/>
    <cellStyle name="Normal 10 12 18" xfId="9800"/>
    <cellStyle name="Normal 10 12 2" xfId="9801"/>
    <cellStyle name="Normal 10 12 2 2" xfId="9802"/>
    <cellStyle name="Normal 10 12 2 2 2" xfId="9803"/>
    <cellStyle name="Normal 10 12 2 2 2 2" xfId="9804"/>
    <cellStyle name="Normal 10 12 2 2 2 2 2" xfId="9805"/>
    <cellStyle name="Normal 10 12 2 2 2 3" xfId="9806"/>
    <cellStyle name="Normal 10 12 2 2 3" xfId="9807"/>
    <cellStyle name="Normal 10 12 2 2 3 2" xfId="9808"/>
    <cellStyle name="Normal 10 12 2 2 4" xfId="9809"/>
    <cellStyle name="Normal 10 12 2 3" xfId="9810"/>
    <cellStyle name="Normal 10 12 2 3 2" xfId="9811"/>
    <cellStyle name="Normal 10 12 2 3 2 2" xfId="9812"/>
    <cellStyle name="Normal 10 12 2 3 2 2 2" xfId="9813"/>
    <cellStyle name="Normal 10 12 2 3 2 3" xfId="9814"/>
    <cellStyle name="Normal 10 12 2 3 3" xfId="9815"/>
    <cellStyle name="Normal 10 12 2 3 3 2" xfId="9816"/>
    <cellStyle name="Normal 10 12 2 3 4" xfId="9817"/>
    <cellStyle name="Normal 10 12 2 4" xfId="9818"/>
    <cellStyle name="Normal 10 12 2 4 2" xfId="9819"/>
    <cellStyle name="Normal 10 12 2 4 2 2" xfId="9820"/>
    <cellStyle name="Normal 10 12 2 4 3" xfId="9821"/>
    <cellStyle name="Normal 10 12 2 5" xfId="9822"/>
    <cellStyle name="Normal 10 12 2 5 2" xfId="9823"/>
    <cellStyle name="Normal 10 12 2 6" xfId="9824"/>
    <cellStyle name="Normal 10 12 3" xfId="9825"/>
    <cellStyle name="Normal 10 12 3 2" xfId="9826"/>
    <cellStyle name="Normal 10 12 3 2 2" xfId="9827"/>
    <cellStyle name="Normal 10 12 3 2 2 2" xfId="9828"/>
    <cellStyle name="Normal 10 12 3 2 2 2 2" xfId="9829"/>
    <cellStyle name="Normal 10 12 3 2 2 3" xfId="9830"/>
    <cellStyle name="Normal 10 12 3 2 3" xfId="9831"/>
    <cellStyle name="Normal 10 12 3 2 3 2" xfId="9832"/>
    <cellStyle name="Normal 10 12 3 2 4" xfId="9833"/>
    <cellStyle name="Normal 10 12 3 3" xfId="9834"/>
    <cellStyle name="Normal 10 12 3 3 2" xfId="9835"/>
    <cellStyle name="Normal 10 12 3 3 2 2" xfId="9836"/>
    <cellStyle name="Normal 10 12 3 3 2 2 2" xfId="9837"/>
    <cellStyle name="Normal 10 12 3 3 2 3" xfId="9838"/>
    <cellStyle name="Normal 10 12 3 3 3" xfId="9839"/>
    <cellStyle name="Normal 10 12 3 3 3 2" xfId="9840"/>
    <cellStyle name="Normal 10 12 3 3 4" xfId="9841"/>
    <cellStyle name="Normal 10 12 3 4" xfId="9842"/>
    <cellStyle name="Normal 10 12 3 4 2" xfId="9843"/>
    <cellStyle name="Normal 10 12 3 4 2 2" xfId="9844"/>
    <cellStyle name="Normal 10 12 3 4 3" xfId="9845"/>
    <cellStyle name="Normal 10 12 3 5" xfId="9846"/>
    <cellStyle name="Normal 10 12 3 5 2" xfId="9847"/>
    <cellStyle name="Normal 10 12 3 6" xfId="9848"/>
    <cellStyle name="Normal 10 12 4" xfId="9849"/>
    <cellStyle name="Normal 10 12 4 2" xfId="9850"/>
    <cellStyle name="Normal 10 12 4 2 2" xfId="9851"/>
    <cellStyle name="Normal 10 12 4 2 2 2" xfId="9852"/>
    <cellStyle name="Normal 10 12 4 2 2 2 2" xfId="9853"/>
    <cellStyle name="Normal 10 12 4 2 2 3" xfId="9854"/>
    <cellStyle name="Normal 10 12 4 2 3" xfId="9855"/>
    <cellStyle name="Normal 10 12 4 2 3 2" xfId="9856"/>
    <cellStyle name="Normal 10 12 4 2 4" xfId="9857"/>
    <cellStyle name="Normal 10 12 4 3" xfId="9858"/>
    <cellStyle name="Normal 10 12 4 3 2" xfId="9859"/>
    <cellStyle name="Normal 10 12 4 3 2 2" xfId="9860"/>
    <cellStyle name="Normal 10 12 4 3 2 2 2" xfId="9861"/>
    <cellStyle name="Normal 10 12 4 3 2 3" xfId="9862"/>
    <cellStyle name="Normal 10 12 4 3 3" xfId="9863"/>
    <cellStyle name="Normal 10 12 4 3 3 2" xfId="9864"/>
    <cellStyle name="Normal 10 12 4 3 4" xfId="9865"/>
    <cellStyle name="Normal 10 12 4 4" xfId="9866"/>
    <cellStyle name="Normal 10 12 4 4 2" xfId="9867"/>
    <cellStyle name="Normal 10 12 4 4 2 2" xfId="9868"/>
    <cellStyle name="Normal 10 12 4 4 3" xfId="9869"/>
    <cellStyle name="Normal 10 12 4 5" xfId="9870"/>
    <cellStyle name="Normal 10 12 4 5 2" xfId="9871"/>
    <cellStyle name="Normal 10 12 4 6" xfId="9872"/>
    <cellStyle name="Normal 10 12 5" xfId="9873"/>
    <cellStyle name="Normal 10 12 5 2" xfId="9874"/>
    <cellStyle name="Normal 10 12 5 2 2" xfId="9875"/>
    <cellStyle name="Normal 10 12 5 2 2 2" xfId="9876"/>
    <cellStyle name="Normal 10 12 5 2 2 2 2" xfId="9877"/>
    <cellStyle name="Normal 10 12 5 2 2 3" xfId="9878"/>
    <cellStyle name="Normal 10 12 5 2 3" xfId="9879"/>
    <cellStyle name="Normal 10 12 5 2 3 2" xfId="9880"/>
    <cellStyle name="Normal 10 12 5 2 4" xfId="9881"/>
    <cellStyle name="Normal 10 12 5 3" xfId="9882"/>
    <cellStyle name="Normal 10 12 5 3 2" xfId="9883"/>
    <cellStyle name="Normal 10 12 5 3 2 2" xfId="9884"/>
    <cellStyle name="Normal 10 12 5 3 2 2 2" xfId="9885"/>
    <cellStyle name="Normal 10 12 5 3 2 3" xfId="9886"/>
    <cellStyle name="Normal 10 12 5 3 3" xfId="9887"/>
    <cellStyle name="Normal 10 12 5 3 3 2" xfId="9888"/>
    <cellStyle name="Normal 10 12 5 3 4" xfId="9889"/>
    <cellStyle name="Normal 10 12 5 4" xfId="9890"/>
    <cellStyle name="Normal 10 12 5 4 2" xfId="9891"/>
    <cellStyle name="Normal 10 12 5 4 2 2" xfId="9892"/>
    <cellStyle name="Normal 10 12 5 4 3" xfId="9893"/>
    <cellStyle name="Normal 10 12 5 5" xfId="9894"/>
    <cellStyle name="Normal 10 12 5 5 2" xfId="9895"/>
    <cellStyle name="Normal 10 12 5 6" xfId="9896"/>
    <cellStyle name="Normal 10 12 6" xfId="9897"/>
    <cellStyle name="Normal 10 12 6 2" xfId="9898"/>
    <cellStyle name="Normal 10 12 6 2 2" xfId="9899"/>
    <cellStyle name="Normal 10 12 6 2 2 2" xfId="9900"/>
    <cellStyle name="Normal 10 12 6 2 2 2 2" xfId="9901"/>
    <cellStyle name="Normal 10 12 6 2 2 3" xfId="9902"/>
    <cellStyle name="Normal 10 12 6 2 3" xfId="9903"/>
    <cellStyle name="Normal 10 12 6 2 3 2" xfId="9904"/>
    <cellStyle name="Normal 10 12 6 2 4" xfId="9905"/>
    <cellStyle name="Normal 10 12 6 3" xfId="9906"/>
    <cellStyle name="Normal 10 12 6 3 2" xfId="9907"/>
    <cellStyle name="Normal 10 12 6 3 2 2" xfId="9908"/>
    <cellStyle name="Normal 10 12 6 3 2 2 2" xfId="9909"/>
    <cellStyle name="Normal 10 12 6 3 2 3" xfId="9910"/>
    <cellStyle name="Normal 10 12 6 3 3" xfId="9911"/>
    <cellStyle name="Normal 10 12 6 3 3 2" xfId="9912"/>
    <cellStyle name="Normal 10 12 6 3 4" xfId="9913"/>
    <cellStyle name="Normal 10 12 6 4" xfId="9914"/>
    <cellStyle name="Normal 10 12 6 4 2" xfId="9915"/>
    <cellStyle name="Normal 10 12 6 4 2 2" xfId="9916"/>
    <cellStyle name="Normal 10 12 6 4 3" xfId="9917"/>
    <cellStyle name="Normal 10 12 6 5" xfId="9918"/>
    <cellStyle name="Normal 10 12 6 5 2" xfId="9919"/>
    <cellStyle name="Normal 10 12 6 6" xfId="9920"/>
    <cellStyle name="Normal 10 12 7" xfId="9921"/>
    <cellStyle name="Normal 10 12 7 2" xfId="9922"/>
    <cellStyle name="Normal 10 12 7 2 2" xfId="9923"/>
    <cellStyle name="Normal 10 12 7 2 2 2" xfId="9924"/>
    <cellStyle name="Normal 10 12 7 2 2 2 2" xfId="9925"/>
    <cellStyle name="Normal 10 12 7 2 2 3" xfId="9926"/>
    <cellStyle name="Normal 10 12 7 2 3" xfId="9927"/>
    <cellStyle name="Normal 10 12 7 2 3 2" xfId="9928"/>
    <cellStyle name="Normal 10 12 7 2 4" xfId="9929"/>
    <cellStyle name="Normal 10 12 7 3" xfId="9930"/>
    <cellStyle name="Normal 10 12 7 3 2" xfId="9931"/>
    <cellStyle name="Normal 10 12 7 3 2 2" xfId="9932"/>
    <cellStyle name="Normal 10 12 7 3 2 2 2" xfId="9933"/>
    <cellStyle name="Normal 10 12 7 3 2 3" xfId="9934"/>
    <cellStyle name="Normal 10 12 7 3 3" xfId="9935"/>
    <cellStyle name="Normal 10 12 7 3 3 2" xfId="9936"/>
    <cellStyle name="Normal 10 12 7 3 4" xfId="9937"/>
    <cellStyle name="Normal 10 12 7 4" xfId="9938"/>
    <cellStyle name="Normal 10 12 7 4 2" xfId="9939"/>
    <cellStyle name="Normal 10 12 7 4 2 2" xfId="9940"/>
    <cellStyle name="Normal 10 12 7 4 3" xfId="9941"/>
    <cellStyle name="Normal 10 12 7 5" xfId="9942"/>
    <cellStyle name="Normal 10 12 7 5 2" xfId="9943"/>
    <cellStyle name="Normal 10 12 7 6" xfId="9944"/>
    <cellStyle name="Normal 10 12 8" xfId="9945"/>
    <cellStyle name="Normal 10 12 8 2" xfId="9946"/>
    <cellStyle name="Normal 10 12 8 2 2" xfId="9947"/>
    <cellStyle name="Normal 10 12 8 2 2 2" xfId="9948"/>
    <cellStyle name="Normal 10 12 8 2 2 2 2" xfId="9949"/>
    <cellStyle name="Normal 10 12 8 2 2 3" xfId="9950"/>
    <cellStyle name="Normal 10 12 8 2 3" xfId="9951"/>
    <cellStyle name="Normal 10 12 8 2 3 2" xfId="9952"/>
    <cellStyle name="Normal 10 12 8 2 4" xfId="9953"/>
    <cellStyle name="Normal 10 12 8 3" xfId="9954"/>
    <cellStyle name="Normal 10 12 8 3 2" xfId="9955"/>
    <cellStyle name="Normal 10 12 8 3 2 2" xfId="9956"/>
    <cellStyle name="Normal 10 12 8 3 2 2 2" xfId="9957"/>
    <cellStyle name="Normal 10 12 8 3 2 3" xfId="9958"/>
    <cellStyle name="Normal 10 12 8 3 3" xfId="9959"/>
    <cellStyle name="Normal 10 12 8 3 3 2" xfId="9960"/>
    <cellStyle name="Normal 10 12 8 3 4" xfId="9961"/>
    <cellStyle name="Normal 10 12 8 4" xfId="9962"/>
    <cellStyle name="Normal 10 12 8 4 2" xfId="9963"/>
    <cellStyle name="Normal 10 12 8 4 2 2" xfId="9964"/>
    <cellStyle name="Normal 10 12 8 4 3" xfId="9965"/>
    <cellStyle name="Normal 10 12 8 5" xfId="9966"/>
    <cellStyle name="Normal 10 12 8 5 2" xfId="9967"/>
    <cellStyle name="Normal 10 12 8 6" xfId="9968"/>
    <cellStyle name="Normal 10 12 9" xfId="9969"/>
    <cellStyle name="Normal 10 12 9 2" xfId="9970"/>
    <cellStyle name="Normal 10 12 9 2 2" xfId="9971"/>
    <cellStyle name="Normal 10 12 9 2 2 2" xfId="9972"/>
    <cellStyle name="Normal 10 12 9 2 2 2 2" xfId="9973"/>
    <cellStyle name="Normal 10 12 9 2 2 3" xfId="9974"/>
    <cellStyle name="Normal 10 12 9 2 3" xfId="9975"/>
    <cellStyle name="Normal 10 12 9 2 3 2" xfId="9976"/>
    <cellStyle name="Normal 10 12 9 2 4" xfId="9977"/>
    <cellStyle name="Normal 10 12 9 3" xfId="9978"/>
    <cellStyle name="Normal 10 12 9 3 2" xfId="9979"/>
    <cellStyle name="Normal 10 12 9 3 2 2" xfId="9980"/>
    <cellStyle name="Normal 10 12 9 3 2 2 2" xfId="9981"/>
    <cellStyle name="Normal 10 12 9 3 2 3" xfId="9982"/>
    <cellStyle name="Normal 10 12 9 3 3" xfId="9983"/>
    <cellStyle name="Normal 10 12 9 3 3 2" xfId="9984"/>
    <cellStyle name="Normal 10 12 9 3 4" xfId="9985"/>
    <cellStyle name="Normal 10 12 9 4" xfId="9986"/>
    <cellStyle name="Normal 10 12 9 4 2" xfId="9987"/>
    <cellStyle name="Normal 10 12 9 4 2 2" xfId="9988"/>
    <cellStyle name="Normal 10 12 9 4 3" xfId="9989"/>
    <cellStyle name="Normal 10 12 9 5" xfId="9990"/>
    <cellStyle name="Normal 10 12 9 5 2" xfId="9991"/>
    <cellStyle name="Normal 10 12 9 6" xfId="9992"/>
    <cellStyle name="Normal 10 13" xfId="9993"/>
    <cellStyle name="Normal 10 13 10" xfId="9994"/>
    <cellStyle name="Normal 10 13 10 2" xfId="9995"/>
    <cellStyle name="Normal 10 13 10 2 2" xfId="9996"/>
    <cellStyle name="Normal 10 13 10 2 2 2" xfId="9997"/>
    <cellStyle name="Normal 10 13 10 2 2 2 2" xfId="9998"/>
    <cellStyle name="Normal 10 13 10 2 2 3" xfId="9999"/>
    <cellStyle name="Normal 10 13 10 2 3" xfId="10000"/>
    <cellStyle name="Normal 10 13 10 2 3 2" xfId="10001"/>
    <cellStyle name="Normal 10 13 10 2 4" xfId="10002"/>
    <cellStyle name="Normal 10 13 10 3" xfId="10003"/>
    <cellStyle name="Normal 10 13 10 3 2" xfId="10004"/>
    <cellStyle name="Normal 10 13 10 3 2 2" xfId="10005"/>
    <cellStyle name="Normal 10 13 10 3 2 2 2" xfId="10006"/>
    <cellStyle name="Normal 10 13 10 3 2 3" xfId="10007"/>
    <cellStyle name="Normal 10 13 10 3 3" xfId="10008"/>
    <cellStyle name="Normal 10 13 10 3 3 2" xfId="10009"/>
    <cellStyle name="Normal 10 13 10 3 4" xfId="10010"/>
    <cellStyle name="Normal 10 13 10 4" xfId="10011"/>
    <cellStyle name="Normal 10 13 10 4 2" xfId="10012"/>
    <cellStyle name="Normal 10 13 10 4 2 2" xfId="10013"/>
    <cellStyle name="Normal 10 13 10 4 3" xfId="10014"/>
    <cellStyle name="Normal 10 13 10 5" xfId="10015"/>
    <cellStyle name="Normal 10 13 10 5 2" xfId="10016"/>
    <cellStyle name="Normal 10 13 10 6" xfId="10017"/>
    <cellStyle name="Normal 10 13 11" xfId="10018"/>
    <cellStyle name="Normal 10 13 11 2" xfId="10019"/>
    <cellStyle name="Normal 10 13 11 2 2" xfId="10020"/>
    <cellStyle name="Normal 10 13 11 2 2 2" xfId="10021"/>
    <cellStyle name="Normal 10 13 11 2 2 2 2" xfId="10022"/>
    <cellStyle name="Normal 10 13 11 2 2 3" xfId="10023"/>
    <cellStyle name="Normal 10 13 11 2 3" xfId="10024"/>
    <cellStyle name="Normal 10 13 11 2 3 2" xfId="10025"/>
    <cellStyle name="Normal 10 13 11 2 4" xfId="10026"/>
    <cellStyle name="Normal 10 13 11 3" xfId="10027"/>
    <cellStyle name="Normal 10 13 11 3 2" xfId="10028"/>
    <cellStyle name="Normal 10 13 11 3 2 2" xfId="10029"/>
    <cellStyle name="Normal 10 13 11 3 2 2 2" xfId="10030"/>
    <cellStyle name="Normal 10 13 11 3 2 3" xfId="10031"/>
    <cellStyle name="Normal 10 13 11 3 3" xfId="10032"/>
    <cellStyle name="Normal 10 13 11 3 3 2" xfId="10033"/>
    <cellStyle name="Normal 10 13 11 3 4" xfId="10034"/>
    <cellStyle name="Normal 10 13 11 4" xfId="10035"/>
    <cellStyle name="Normal 10 13 11 4 2" xfId="10036"/>
    <cellStyle name="Normal 10 13 11 4 2 2" xfId="10037"/>
    <cellStyle name="Normal 10 13 11 4 3" xfId="10038"/>
    <cellStyle name="Normal 10 13 11 5" xfId="10039"/>
    <cellStyle name="Normal 10 13 11 5 2" xfId="10040"/>
    <cellStyle name="Normal 10 13 11 6" xfId="10041"/>
    <cellStyle name="Normal 10 13 12" xfId="10042"/>
    <cellStyle name="Normal 10 13 12 2" xfId="10043"/>
    <cellStyle name="Normal 10 13 12 2 2" xfId="10044"/>
    <cellStyle name="Normal 10 13 12 2 2 2" xfId="10045"/>
    <cellStyle name="Normal 10 13 12 2 2 2 2" xfId="10046"/>
    <cellStyle name="Normal 10 13 12 2 2 3" xfId="10047"/>
    <cellStyle name="Normal 10 13 12 2 3" xfId="10048"/>
    <cellStyle name="Normal 10 13 12 2 3 2" xfId="10049"/>
    <cellStyle name="Normal 10 13 12 2 4" xfId="10050"/>
    <cellStyle name="Normal 10 13 12 3" xfId="10051"/>
    <cellStyle name="Normal 10 13 12 3 2" xfId="10052"/>
    <cellStyle name="Normal 10 13 12 3 2 2" xfId="10053"/>
    <cellStyle name="Normal 10 13 12 3 2 2 2" xfId="10054"/>
    <cellStyle name="Normal 10 13 12 3 2 3" xfId="10055"/>
    <cellStyle name="Normal 10 13 12 3 3" xfId="10056"/>
    <cellStyle name="Normal 10 13 12 3 3 2" xfId="10057"/>
    <cellStyle name="Normal 10 13 12 3 4" xfId="10058"/>
    <cellStyle name="Normal 10 13 12 4" xfId="10059"/>
    <cellStyle name="Normal 10 13 12 4 2" xfId="10060"/>
    <cellStyle name="Normal 10 13 12 4 2 2" xfId="10061"/>
    <cellStyle name="Normal 10 13 12 4 3" xfId="10062"/>
    <cellStyle name="Normal 10 13 12 5" xfId="10063"/>
    <cellStyle name="Normal 10 13 12 5 2" xfId="10064"/>
    <cellStyle name="Normal 10 13 12 6" xfId="10065"/>
    <cellStyle name="Normal 10 13 13" xfId="10066"/>
    <cellStyle name="Normal 10 13 13 2" xfId="10067"/>
    <cellStyle name="Normal 10 13 13 2 2" xfId="10068"/>
    <cellStyle name="Normal 10 13 13 2 2 2" xfId="10069"/>
    <cellStyle name="Normal 10 13 13 2 2 2 2" xfId="10070"/>
    <cellStyle name="Normal 10 13 13 2 2 3" xfId="10071"/>
    <cellStyle name="Normal 10 13 13 2 3" xfId="10072"/>
    <cellStyle name="Normal 10 13 13 2 3 2" xfId="10073"/>
    <cellStyle name="Normal 10 13 13 2 4" xfId="10074"/>
    <cellStyle name="Normal 10 13 13 3" xfId="10075"/>
    <cellStyle name="Normal 10 13 13 3 2" xfId="10076"/>
    <cellStyle name="Normal 10 13 13 3 2 2" xfId="10077"/>
    <cellStyle name="Normal 10 13 13 3 2 2 2" xfId="10078"/>
    <cellStyle name="Normal 10 13 13 3 2 3" xfId="10079"/>
    <cellStyle name="Normal 10 13 13 3 3" xfId="10080"/>
    <cellStyle name="Normal 10 13 13 3 3 2" xfId="10081"/>
    <cellStyle name="Normal 10 13 13 3 4" xfId="10082"/>
    <cellStyle name="Normal 10 13 13 4" xfId="10083"/>
    <cellStyle name="Normal 10 13 13 4 2" xfId="10084"/>
    <cellStyle name="Normal 10 13 13 4 2 2" xfId="10085"/>
    <cellStyle name="Normal 10 13 13 4 3" xfId="10086"/>
    <cellStyle name="Normal 10 13 13 5" xfId="10087"/>
    <cellStyle name="Normal 10 13 13 5 2" xfId="10088"/>
    <cellStyle name="Normal 10 13 13 6" xfId="10089"/>
    <cellStyle name="Normal 10 13 14" xfId="10090"/>
    <cellStyle name="Normal 10 13 14 2" xfId="10091"/>
    <cellStyle name="Normal 10 13 14 2 2" xfId="10092"/>
    <cellStyle name="Normal 10 13 14 2 2 2" xfId="10093"/>
    <cellStyle name="Normal 10 13 14 2 3" xfId="10094"/>
    <cellStyle name="Normal 10 13 14 3" xfId="10095"/>
    <cellStyle name="Normal 10 13 14 3 2" xfId="10096"/>
    <cellStyle name="Normal 10 13 14 4" xfId="10097"/>
    <cellStyle name="Normal 10 13 15" xfId="10098"/>
    <cellStyle name="Normal 10 13 15 2" xfId="10099"/>
    <cellStyle name="Normal 10 13 15 2 2" xfId="10100"/>
    <cellStyle name="Normal 10 13 15 2 2 2" xfId="10101"/>
    <cellStyle name="Normal 10 13 15 2 3" xfId="10102"/>
    <cellStyle name="Normal 10 13 15 3" xfId="10103"/>
    <cellStyle name="Normal 10 13 15 3 2" xfId="10104"/>
    <cellStyle name="Normal 10 13 15 4" xfId="10105"/>
    <cellStyle name="Normal 10 13 16" xfId="10106"/>
    <cellStyle name="Normal 10 13 16 2" xfId="10107"/>
    <cellStyle name="Normal 10 13 16 2 2" xfId="10108"/>
    <cellStyle name="Normal 10 13 16 3" xfId="10109"/>
    <cellStyle name="Normal 10 13 17" xfId="10110"/>
    <cellStyle name="Normal 10 13 17 2" xfId="10111"/>
    <cellStyle name="Normal 10 13 18" xfId="10112"/>
    <cellStyle name="Normal 10 13 2" xfId="10113"/>
    <cellStyle name="Normal 10 13 2 2" xfId="10114"/>
    <cellStyle name="Normal 10 13 2 2 2" xfId="10115"/>
    <cellStyle name="Normal 10 13 2 2 2 2" xfId="10116"/>
    <cellStyle name="Normal 10 13 2 2 2 2 2" xfId="10117"/>
    <cellStyle name="Normal 10 13 2 2 2 3" xfId="10118"/>
    <cellStyle name="Normal 10 13 2 2 3" xfId="10119"/>
    <cellStyle name="Normal 10 13 2 2 3 2" xfId="10120"/>
    <cellStyle name="Normal 10 13 2 2 4" xfId="10121"/>
    <cellStyle name="Normal 10 13 2 3" xfId="10122"/>
    <cellStyle name="Normal 10 13 2 3 2" xfId="10123"/>
    <cellStyle name="Normal 10 13 2 3 2 2" xfId="10124"/>
    <cellStyle name="Normal 10 13 2 3 2 2 2" xfId="10125"/>
    <cellStyle name="Normal 10 13 2 3 2 3" xfId="10126"/>
    <cellStyle name="Normal 10 13 2 3 3" xfId="10127"/>
    <cellStyle name="Normal 10 13 2 3 3 2" xfId="10128"/>
    <cellStyle name="Normal 10 13 2 3 4" xfId="10129"/>
    <cellStyle name="Normal 10 13 2 4" xfId="10130"/>
    <cellStyle name="Normal 10 13 2 4 2" xfId="10131"/>
    <cellStyle name="Normal 10 13 2 4 2 2" xfId="10132"/>
    <cellStyle name="Normal 10 13 2 4 3" xfId="10133"/>
    <cellStyle name="Normal 10 13 2 5" xfId="10134"/>
    <cellStyle name="Normal 10 13 2 5 2" xfId="10135"/>
    <cellStyle name="Normal 10 13 2 6" xfId="10136"/>
    <cellStyle name="Normal 10 13 3" xfId="10137"/>
    <cellStyle name="Normal 10 13 3 2" xfId="10138"/>
    <cellStyle name="Normal 10 13 3 2 2" xfId="10139"/>
    <cellStyle name="Normal 10 13 3 2 2 2" xfId="10140"/>
    <cellStyle name="Normal 10 13 3 2 2 2 2" xfId="10141"/>
    <cellStyle name="Normal 10 13 3 2 2 3" xfId="10142"/>
    <cellStyle name="Normal 10 13 3 2 3" xfId="10143"/>
    <cellStyle name="Normal 10 13 3 2 3 2" xfId="10144"/>
    <cellStyle name="Normal 10 13 3 2 4" xfId="10145"/>
    <cellStyle name="Normal 10 13 3 3" xfId="10146"/>
    <cellStyle name="Normal 10 13 3 3 2" xfId="10147"/>
    <cellStyle name="Normal 10 13 3 3 2 2" xfId="10148"/>
    <cellStyle name="Normal 10 13 3 3 2 2 2" xfId="10149"/>
    <cellStyle name="Normal 10 13 3 3 2 3" xfId="10150"/>
    <cellStyle name="Normal 10 13 3 3 3" xfId="10151"/>
    <cellStyle name="Normal 10 13 3 3 3 2" xfId="10152"/>
    <cellStyle name="Normal 10 13 3 3 4" xfId="10153"/>
    <cellStyle name="Normal 10 13 3 4" xfId="10154"/>
    <cellStyle name="Normal 10 13 3 4 2" xfId="10155"/>
    <cellStyle name="Normal 10 13 3 4 2 2" xfId="10156"/>
    <cellStyle name="Normal 10 13 3 4 3" xfId="10157"/>
    <cellStyle name="Normal 10 13 3 5" xfId="10158"/>
    <cellStyle name="Normal 10 13 3 5 2" xfId="10159"/>
    <cellStyle name="Normal 10 13 3 6" xfId="10160"/>
    <cellStyle name="Normal 10 13 4" xfId="10161"/>
    <cellStyle name="Normal 10 13 4 2" xfId="10162"/>
    <cellStyle name="Normal 10 13 4 2 2" xfId="10163"/>
    <cellStyle name="Normal 10 13 4 2 2 2" xfId="10164"/>
    <cellStyle name="Normal 10 13 4 2 2 2 2" xfId="10165"/>
    <cellStyle name="Normal 10 13 4 2 2 3" xfId="10166"/>
    <cellStyle name="Normal 10 13 4 2 3" xfId="10167"/>
    <cellStyle name="Normal 10 13 4 2 3 2" xfId="10168"/>
    <cellStyle name="Normal 10 13 4 2 4" xfId="10169"/>
    <cellStyle name="Normal 10 13 4 3" xfId="10170"/>
    <cellStyle name="Normal 10 13 4 3 2" xfId="10171"/>
    <cellStyle name="Normal 10 13 4 3 2 2" xfId="10172"/>
    <cellStyle name="Normal 10 13 4 3 2 2 2" xfId="10173"/>
    <cellStyle name="Normal 10 13 4 3 2 3" xfId="10174"/>
    <cellStyle name="Normal 10 13 4 3 3" xfId="10175"/>
    <cellStyle name="Normal 10 13 4 3 3 2" xfId="10176"/>
    <cellStyle name="Normal 10 13 4 3 4" xfId="10177"/>
    <cellStyle name="Normal 10 13 4 4" xfId="10178"/>
    <cellStyle name="Normal 10 13 4 4 2" xfId="10179"/>
    <cellStyle name="Normal 10 13 4 4 2 2" xfId="10180"/>
    <cellStyle name="Normal 10 13 4 4 3" xfId="10181"/>
    <cellStyle name="Normal 10 13 4 5" xfId="10182"/>
    <cellStyle name="Normal 10 13 4 5 2" xfId="10183"/>
    <cellStyle name="Normal 10 13 4 6" xfId="10184"/>
    <cellStyle name="Normal 10 13 5" xfId="10185"/>
    <cellStyle name="Normal 10 13 5 2" xfId="10186"/>
    <cellStyle name="Normal 10 13 5 2 2" xfId="10187"/>
    <cellStyle name="Normal 10 13 5 2 2 2" xfId="10188"/>
    <cellStyle name="Normal 10 13 5 2 2 2 2" xfId="10189"/>
    <cellStyle name="Normal 10 13 5 2 2 3" xfId="10190"/>
    <cellStyle name="Normal 10 13 5 2 3" xfId="10191"/>
    <cellStyle name="Normal 10 13 5 2 3 2" xfId="10192"/>
    <cellStyle name="Normal 10 13 5 2 4" xfId="10193"/>
    <cellStyle name="Normal 10 13 5 3" xfId="10194"/>
    <cellStyle name="Normal 10 13 5 3 2" xfId="10195"/>
    <cellStyle name="Normal 10 13 5 3 2 2" xfId="10196"/>
    <cellStyle name="Normal 10 13 5 3 2 2 2" xfId="10197"/>
    <cellStyle name="Normal 10 13 5 3 2 3" xfId="10198"/>
    <cellStyle name="Normal 10 13 5 3 3" xfId="10199"/>
    <cellStyle name="Normal 10 13 5 3 3 2" xfId="10200"/>
    <cellStyle name="Normal 10 13 5 3 4" xfId="10201"/>
    <cellStyle name="Normal 10 13 5 4" xfId="10202"/>
    <cellStyle name="Normal 10 13 5 4 2" xfId="10203"/>
    <cellStyle name="Normal 10 13 5 4 2 2" xfId="10204"/>
    <cellStyle name="Normal 10 13 5 4 3" xfId="10205"/>
    <cellStyle name="Normal 10 13 5 5" xfId="10206"/>
    <cellStyle name="Normal 10 13 5 5 2" xfId="10207"/>
    <cellStyle name="Normal 10 13 5 6" xfId="10208"/>
    <cellStyle name="Normal 10 13 6" xfId="10209"/>
    <cellStyle name="Normal 10 13 6 2" xfId="10210"/>
    <cellStyle name="Normal 10 13 6 2 2" xfId="10211"/>
    <cellStyle name="Normal 10 13 6 2 2 2" xfId="10212"/>
    <cellStyle name="Normal 10 13 6 2 2 2 2" xfId="10213"/>
    <cellStyle name="Normal 10 13 6 2 2 3" xfId="10214"/>
    <cellStyle name="Normal 10 13 6 2 3" xfId="10215"/>
    <cellStyle name="Normal 10 13 6 2 3 2" xfId="10216"/>
    <cellStyle name="Normal 10 13 6 2 4" xfId="10217"/>
    <cellStyle name="Normal 10 13 6 3" xfId="10218"/>
    <cellStyle name="Normal 10 13 6 3 2" xfId="10219"/>
    <cellStyle name="Normal 10 13 6 3 2 2" xfId="10220"/>
    <cellStyle name="Normal 10 13 6 3 2 2 2" xfId="10221"/>
    <cellStyle name="Normal 10 13 6 3 2 3" xfId="10222"/>
    <cellStyle name="Normal 10 13 6 3 3" xfId="10223"/>
    <cellStyle name="Normal 10 13 6 3 3 2" xfId="10224"/>
    <cellStyle name="Normal 10 13 6 3 4" xfId="10225"/>
    <cellStyle name="Normal 10 13 6 4" xfId="10226"/>
    <cellStyle name="Normal 10 13 6 4 2" xfId="10227"/>
    <cellStyle name="Normal 10 13 6 4 2 2" xfId="10228"/>
    <cellStyle name="Normal 10 13 6 4 3" xfId="10229"/>
    <cellStyle name="Normal 10 13 6 5" xfId="10230"/>
    <cellStyle name="Normal 10 13 6 5 2" xfId="10231"/>
    <cellStyle name="Normal 10 13 6 6" xfId="10232"/>
    <cellStyle name="Normal 10 13 7" xfId="10233"/>
    <cellStyle name="Normal 10 13 7 2" xfId="10234"/>
    <cellStyle name="Normal 10 13 7 2 2" xfId="10235"/>
    <cellStyle name="Normal 10 13 7 2 2 2" xfId="10236"/>
    <cellStyle name="Normal 10 13 7 2 2 2 2" xfId="10237"/>
    <cellStyle name="Normal 10 13 7 2 2 3" xfId="10238"/>
    <cellStyle name="Normal 10 13 7 2 3" xfId="10239"/>
    <cellStyle name="Normal 10 13 7 2 3 2" xfId="10240"/>
    <cellStyle name="Normal 10 13 7 2 4" xfId="10241"/>
    <cellStyle name="Normal 10 13 7 3" xfId="10242"/>
    <cellStyle name="Normal 10 13 7 3 2" xfId="10243"/>
    <cellStyle name="Normal 10 13 7 3 2 2" xfId="10244"/>
    <cellStyle name="Normal 10 13 7 3 2 2 2" xfId="10245"/>
    <cellStyle name="Normal 10 13 7 3 2 3" xfId="10246"/>
    <cellStyle name="Normal 10 13 7 3 3" xfId="10247"/>
    <cellStyle name="Normal 10 13 7 3 3 2" xfId="10248"/>
    <cellStyle name="Normal 10 13 7 3 4" xfId="10249"/>
    <cellStyle name="Normal 10 13 7 4" xfId="10250"/>
    <cellStyle name="Normal 10 13 7 4 2" xfId="10251"/>
    <cellStyle name="Normal 10 13 7 4 2 2" xfId="10252"/>
    <cellStyle name="Normal 10 13 7 4 3" xfId="10253"/>
    <cellStyle name="Normal 10 13 7 5" xfId="10254"/>
    <cellStyle name="Normal 10 13 7 5 2" xfId="10255"/>
    <cellStyle name="Normal 10 13 7 6" xfId="10256"/>
    <cellStyle name="Normal 10 13 8" xfId="10257"/>
    <cellStyle name="Normal 10 13 8 2" xfId="10258"/>
    <cellStyle name="Normal 10 13 8 2 2" xfId="10259"/>
    <cellStyle name="Normal 10 13 8 2 2 2" xfId="10260"/>
    <cellStyle name="Normal 10 13 8 2 2 2 2" xfId="10261"/>
    <cellStyle name="Normal 10 13 8 2 2 3" xfId="10262"/>
    <cellStyle name="Normal 10 13 8 2 3" xfId="10263"/>
    <cellStyle name="Normal 10 13 8 2 3 2" xfId="10264"/>
    <cellStyle name="Normal 10 13 8 2 4" xfId="10265"/>
    <cellStyle name="Normal 10 13 8 3" xfId="10266"/>
    <cellStyle name="Normal 10 13 8 3 2" xfId="10267"/>
    <cellStyle name="Normal 10 13 8 3 2 2" xfId="10268"/>
    <cellStyle name="Normal 10 13 8 3 2 2 2" xfId="10269"/>
    <cellStyle name="Normal 10 13 8 3 2 3" xfId="10270"/>
    <cellStyle name="Normal 10 13 8 3 3" xfId="10271"/>
    <cellStyle name="Normal 10 13 8 3 3 2" xfId="10272"/>
    <cellStyle name="Normal 10 13 8 3 4" xfId="10273"/>
    <cellStyle name="Normal 10 13 8 4" xfId="10274"/>
    <cellStyle name="Normal 10 13 8 4 2" xfId="10275"/>
    <cellStyle name="Normal 10 13 8 4 2 2" xfId="10276"/>
    <cellStyle name="Normal 10 13 8 4 3" xfId="10277"/>
    <cellStyle name="Normal 10 13 8 5" xfId="10278"/>
    <cellStyle name="Normal 10 13 8 5 2" xfId="10279"/>
    <cellStyle name="Normal 10 13 8 6" xfId="10280"/>
    <cellStyle name="Normal 10 13 9" xfId="10281"/>
    <cellStyle name="Normal 10 13 9 2" xfId="10282"/>
    <cellStyle name="Normal 10 13 9 2 2" xfId="10283"/>
    <cellStyle name="Normal 10 13 9 2 2 2" xfId="10284"/>
    <cellStyle name="Normal 10 13 9 2 2 2 2" xfId="10285"/>
    <cellStyle name="Normal 10 13 9 2 2 3" xfId="10286"/>
    <cellStyle name="Normal 10 13 9 2 3" xfId="10287"/>
    <cellStyle name="Normal 10 13 9 2 3 2" xfId="10288"/>
    <cellStyle name="Normal 10 13 9 2 4" xfId="10289"/>
    <cellStyle name="Normal 10 13 9 3" xfId="10290"/>
    <cellStyle name="Normal 10 13 9 3 2" xfId="10291"/>
    <cellStyle name="Normal 10 13 9 3 2 2" xfId="10292"/>
    <cellStyle name="Normal 10 13 9 3 2 2 2" xfId="10293"/>
    <cellStyle name="Normal 10 13 9 3 2 3" xfId="10294"/>
    <cellStyle name="Normal 10 13 9 3 3" xfId="10295"/>
    <cellStyle name="Normal 10 13 9 3 3 2" xfId="10296"/>
    <cellStyle name="Normal 10 13 9 3 4" xfId="10297"/>
    <cellStyle name="Normal 10 13 9 4" xfId="10298"/>
    <cellStyle name="Normal 10 13 9 4 2" xfId="10299"/>
    <cellStyle name="Normal 10 13 9 4 2 2" xfId="10300"/>
    <cellStyle name="Normal 10 13 9 4 3" xfId="10301"/>
    <cellStyle name="Normal 10 13 9 5" xfId="10302"/>
    <cellStyle name="Normal 10 13 9 5 2" xfId="10303"/>
    <cellStyle name="Normal 10 13 9 6" xfId="10304"/>
    <cellStyle name="Normal 10 14" xfId="10305"/>
    <cellStyle name="Normal 10 14 10" xfId="10306"/>
    <cellStyle name="Normal 10 14 10 2" xfId="10307"/>
    <cellStyle name="Normal 10 14 10 2 2" xfId="10308"/>
    <cellStyle name="Normal 10 14 10 2 2 2" xfId="10309"/>
    <cellStyle name="Normal 10 14 10 2 2 2 2" xfId="10310"/>
    <cellStyle name="Normal 10 14 10 2 2 3" xfId="10311"/>
    <cellStyle name="Normal 10 14 10 2 3" xfId="10312"/>
    <cellStyle name="Normal 10 14 10 2 3 2" xfId="10313"/>
    <cellStyle name="Normal 10 14 10 2 4" xfId="10314"/>
    <cellStyle name="Normal 10 14 10 3" xfId="10315"/>
    <cellStyle name="Normal 10 14 10 3 2" xfId="10316"/>
    <cellStyle name="Normal 10 14 10 3 2 2" xfId="10317"/>
    <cellStyle name="Normal 10 14 10 3 2 2 2" xfId="10318"/>
    <cellStyle name="Normal 10 14 10 3 2 3" xfId="10319"/>
    <cellStyle name="Normal 10 14 10 3 3" xfId="10320"/>
    <cellStyle name="Normal 10 14 10 3 3 2" xfId="10321"/>
    <cellStyle name="Normal 10 14 10 3 4" xfId="10322"/>
    <cellStyle name="Normal 10 14 10 4" xfId="10323"/>
    <cellStyle name="Normal 10 14 10 4 2" xfId="10324"/>
    <cellStyle name="Normal 10 14 10 4 2 2" xfId="10325"/>
    <cellStyle name="Normal 10 14 10 4 3" xfId="10326"/>
    <cellStyle name="Normal 10 14 10 5" xfId="10327"/>
    <cellStyle name="Normal 10 14 10 5 2" xfId="10328"/>
    <cellStyle name="Normal 10 14 10 6" xfId="10329"/>
    <cellStyle name="Normal 10 14 11" xfId="10330"/>
    <cellStyle name="Normal 10 14 11 2" xfId="10331"/>
    <cellStyle name="Normal 10 14 11 2 2" xfId="10332"/>
    <cellStyle name="Normal 10 14 11 2 2 2" xfId="10333"/>
    <cellStyle name="Normal 10 14 11 2 2 2 2" xfId="10334"/>
    <cellStyle name="Normal 10 14 11 2 2 3" xfId="10335"/>
    <cellStyle name="Normal 10 14 11 2 3" xfId="10336"/>
    <cellStyle name="Normal 10 14 11 2 3 2" xfId="10337"/>
    <cellStyle name="Normal 10 14 11 2 4" xfId="10338"/>
    <cellStyle name="Normal 10 14 11 3" xfId="10339"/>
    <cellStyle name="Normal 10 14 11 3 2" xfId="10340"/>
    <cellStyle name="Normal 10 14 11 3 2 2" xfId="10341"/>
    <cellStyle name="Normal 10 14 11 3 2 2 2" xfId="10342"/>
    <cellStyle name="Normal 10 14 11 3 2 3" xfId="10343"/>
    <cellStyle name="Normal 10 14 11 3 3" xfId="10344"/>
    <cellStyle name="Normal 10 14 11 3 3 2" xfId="10345"/>
    <cellStyle name="Normal 10 14 11 3 4" xfId="10346"/>
    <cellStyle name="Normal 10 14 11 4" xfId="10347"/>
    <cellStyle name="Normal 10 14 11 4 2" xfId="10348"/>
    <cellStyle name="Normal 10 14 11 4 2 2" xfId="10349"/>
    <cellStyle name="Normal 10 14 11 4 3" xfId="10350"/>
    <cellStyle name="Normal 10 14 11 5" xfId="10351"/>
    <cellStyle name="Normal 10 14 11 5 2" xfId="10352"/>
    <cellStyle name="Normal 10 14 11 6" xfId="10353"/>
    <cellStyle name="Normal 10 14 12" xfId="10354"/>
    <cellStyle name="Normal 10 14 12 2" xfId="10355"/>
    <cellStyle name="Normal 10 14 12 2 2" xfId="10356"/>
    <cellStyle name="Normal 10 14 12 2 2 2" xfId="10357"/>
    <cellStyle name="Normal 10 14 12 2 2 2 2" xfId="10358"/>
    <cellStyle name="Normal 10 14 12 2 2 3" xfId="10359"/>
    <cellStyle name="Normal 10 14 12 2 3" xfId="10360"/>
    <cellStyle name="Normal 10 14 12 2 3 2" xfId="10361"/>
    <cellStyle name="Normal 10 14 12 2 4" xfId="10362"/>
    <cellStyle name="Normal 10 14 12 3" xfId="10363"/>
    <cellStyle name="Normal 10 14 12 3 2" xfId="10364"/>
    <cellStyle name="Normal 10 14 12 3 2 2" xfId="10365"/>
    <cellStyle name="Normal 10 14 12 3 2 2 2" xfId="10366"/>
    <cellStyle name="Normal 10 14 12 3 2 3" xfId="10367"/>
    <cellStyle name="Normal 10 14 12 3 3" xfId="10368"/>
    <cellStyle name="Normal 10 14 12 3 3 2" xfId="10369"/>
    <cellStyle name="Normal 10 14 12 3 4" xfId="10370"/>
    <cellStyle name="Normal 10 14 12 4" xfId="10371"/>
    <cellStyle name="Normal 10 14 12 4 2" xfId="10372"/>
    <cellStyle name="Normal 10 14 12 4 2 2" xfId="10373"/>
    <cellStyle name="Normal 10 14 12 4 3" xfId="10374"/>
    <cellStyle name="Normal 10 14 12 5" xfId="10375"/>
    <cellStyle name="Normal 10 14 12 5 2" xfId="10376"/>
    <cellStyle name="Normal 10 14 12 6" xfId="10377"/>
    <cellStyle name="Normal 10 14 13" xfId="10378"/>
    <cellStyle name="Normal 10 14 13 2" xfId="10379"/>
    <cellStyle name="Normal 10 14 13 2 2" xfId="10380"/>
    <cellStyle name="Normal 10 14 13 2 2 2" xfId="10381"/>
    <cellStyle name="Normal 10 14 13 2 2 2 2" xfId="10382"/>
    <cellStyle name="Normal 10 14 13 2 2 3" xfId="10383"/>
    <cellStyle name="Normal 10 14 13 2 3" xfId="10384"/>
    <cellStyle name="Normal 10 14 13 2 3 2" xfId="10385"/>
    <cellStyle name="Normal 10 14 13 2 4" xfId="10386"/>
    <cellStyle name="Normal 10 14 13 3" xfId="10387"/>
    <cellStyle name="Normal 10 14 13 3 2" xfId="10388"/>
    <cellStyle name="Normal 10 14 13 3 2 2" xfId="10389"/>
    <cellStyle name="Normal 10 14 13 3 2 2 2" xfId="10390"/>
    <cellStyle name="Normal 10 14 13 3 2 3" xfId="10391"/>
    <cellStyle name="Normal 10 14 13 3 3" xfId="10392"/>
    <cellStyle name="Normal 10 14 13 3 3 2" xfId="10393"/>
    <cellStyle name="Normal 10 14 13 3 4" xfId="10394"/>
    <cellStyle name="Normal 10 14 13 4" xfId="10395"/>
    <cellStyle name="Normal 10 14 13 4 2" xfId="10396"/>
    <cellStyle name="Normal 10 14 13 4 2 2" xfId="10397"/>
    <cellStyle name="Normal 10 14 13 4 3" xfId="10398"/>
    <cellStyle name="Normal 10 14 13 5" xfId="10399"/>
    <cellStyle name="Normal 10 14 13 5 2" xfId="10400"/>
    <cellStyle name="Normal 10 14 13 6" xfId="10401"/>
    <cellStyle name="Normal 10 14 14" xfId="10402"/>
    <cellStyle name="Normal 10 14 14 2" xfId="10403"/>
    <cellStyle name="Normal 10 14 14 2 2" xfId="10404"/>
    <cellStyle name="Normal 10 14 14 2 2 2" xfId="10405"/>
    <cellStyle name="Normal 10 14 14 2 3" xfId="10406"/>
    <cellStyle name="Normal 10 14 14 3" xfId="10407"/>
    <cellStyle name="Normal 10 14 14 3 2" xfId="10408"/>
    <cellStyle name="Normal 10 14 14 4" xfId="10409"/>
    <cellStyle name="Normal 10 14 15" xfId="10410"/>
    <cellStyle name="Normal 10 14 15 2" xfId="10411"/>
    <cellStyle name="Normal 10 14 15 2 2" xfId="10412"/>
    <cellStyle name="Normal 10 14 15 2 2 2" xfId="10413"/>
    <cellStyle name="Normal 10 14 15 2 3" xfId="10414"/>
    <cellStyle name="Normal 10 14 15 3" xfId="10415"/>
    <cellStyle name="Normal 10 14 15 3 2" xfId="10416"/>
    <cellStyle name="Normal 10 14 15 4" xfId="10417"/>
    <cellStyle name="Normal 10 14 16" xfId="10418"/>
    <cellStyle name="Normal 10 14 16 2" xfId="10419"/>
    <cellStyle name="Normal 10 14 16 2 2" xfId="10420"/>
    <cellStyle name="Normal 10 14 16 3" xfId="10421"/>
    <cellStyle name="Normal 10 14 17" xfId="10422"/>
    <cellStyle name="Normal 10 14 17 2" xfId="10423"/>
    <cellStyle name="Normal 10 14 18" xfId="10424"/>
    <cellStyle name="Normal 10 14 2" xfId="10425"/>
    <cellStyle name="Normal 10 14 2 2" xfId="10426"/>
    <cellStyle name="Normal 10 14 2 2 2" xfId="10427"/>
    <cellStyle name="Normal 10 14 2 2 2 2" xfId="10428"/>
    <cellStyle name="Normal 10 14 2 2 2 2 2" xfId="10429"/>
    <cellStyle name="Normal 10 14 2 2 2 3" xfId="10430"/>
    <cellStyle name="Normal 10 14 2 2 3" xfId="10431"/>
    <cellStyle name="Normal 10 14 2 2 3 2" xfId="10432"/>
    <cellStyle name="Normal 10 14 2 2 4" xfId="10433"/>
    <cellStyle name="Normal 10 14 2 3" xfId="10434"/>
    <cellStyle name="Normal 10 14 2 3 2" xfId="10435"/>
    <cellStyle name="Normal 10 14 2 3 2 2" xfId="10436"/>
    <cellStyle name="Normal 10 14 2 3 2 2 2" xfId="10437"/>
    <cellStyle name="Normal 10 14 2 3 2 3" xfId="10438"/>
    <cellStyle name="Normal 10 14 2 3 3" xfId="10439"/>
    <cellStyle name="Normal 10 14 2 3 3 2" xfId="10440"/>
    <cellStyle name="Normal 10 14 2 3 4" xfId="10441"/>
    <cellStyle name="Normal 10 14 2 4" xfId="10442"/>
    <cellStyle name="Normal 10 14 2 4 2" xfId="10443"/>
    <cellStyle name="Normal 10 14 2 4 2 2" xfId="10444"/>
    <cellStyle name="Normal 10 14 2 4 3" xfId="10445"/>
    <cellStyle name="Normal 10 14 2 5" xfId="10446"/>
    <cellStyle name="Normal 10 14 2 5 2" xfId="10447"/>
    <cellStyle name="Normal 10 14 2 6" xfId="10448"/>
    <cellStyle name="Normal 10 14 3" xfId="10449"/>
    <cellStyle name="Normal 10 14 3 2" xfId="10450"/>
    <cellStyle name="Normal 10 14 3 2 2" xfId="10451"/>
    <cellStyle name="Normal 10 14 3 2 2 2" xfId="10452"/>
    <cellStyle name="Normal 10 14 3 2 2 2 2" xfId="10453"/>
    <cellStyle name="Normal 10 14 3 2 2 3" xfId="10454"/>
    <cellStyle name="Normal 10 14 3 2 3" xfId="10455"/>
    <cellStyle name="Normal 10 14 3 2 3 2" xfId="10456"/>
    <cellStyle name="Normal 10 14 3 2 4" xfId="10457"/>
    <cellStyle name="Normal 10 14 3 3" xfId="10458"/>
    <cellStyle name="Normal 10 14 3 3 2" xfId="10459"/>
    <cellStyle name="Normal 10 14 3 3 2 2" xfId="10460"/>
    <cellStyle name="Normal 10 14 3 3 2 2 2" xfId="10461"/>
    <cellStyle name="Normal 10 14 3 3 2 3" xfId="10462"/>
    <cellStyle name="Normal 10 14 3 3 3" xfId="10463"/>
    <cellStyle name="Normal 10 14 3 3 3 2" xfId="10464"/>
    <cellStyle name="Normal 10 14 3 3 4" xfId="10465"/>
    <cellStyle name="Normal 10 14 3 4" xfId="10466"/>
    <cellStyle name="Normal 10 14 3 4 2" xfId="10467"/>
    <cellStyle name="Normal 10 14 3 4 2 2" xfId="10468"/>
    <cellStyle name="Normal 10 14 3 4 3" xfId="10469"/>
    <cellStyle name="Normal 10 14 3 5" xfId="10470"/>
    <cellStyle name="Normal 10 14 3 5 2" xfId="10471"/>
    <cellStyle name="Normal 10 14 3 6" xfId="10472"/>
    <cellStyle name="Normal 10 14 4" xfId="10473"/>
    <cellStyle name="Normal 10 14 4 2" xfId="10474"/>
    <cellStyle name="Normal 10 14 4 2 2" xfId="10475"/>
    <cellStyle name="Normal 10 14 4 2 2 2" xfId="10476"/>
    <cellStyle name="Normal 10 14 4 2 2 2 2" xfId="10477"/>
    <cellStyle name="Normal 10 14 4 2 2 3" xfId="10478"/>
    <cellStyle name="Normal 10 14 4 2 3" xfId="10479"/>
    <cellStyle name="Normal 10 14 4 2 3 2" xfId="10480"/>
    <cellStyle name="Normal 10 14 4 2 4" xfId="10481"/>
    <cellStyle name="Normal 10 14 4 3" xfId="10482"/>
    <cellStyle name="Normal 10 14 4 3 2" xfId="10483"/>
    <cellStyle name="Normal 10 14 4 3 2 2" xfId="10484"/>
    <cellStyle name="Normal 10 14 4 3 2 2 2" xfId="10485"/>
    <cellStyle name="Normal 10 14 4 3 2 3" xfId="10486"/>
    <cellStyle name="Normal 10 14 4 3 3" xfId="10487"/>
    <cellStyle name="Normal 10 14 4 3 3 2" xfId="10488"/>
    <cellStyle name="Normal 10 14 4 3 4" xfId="10489"/>
    <cellStyle name="Normal 10 14 4 4" xfId="10490"/>
    <cellStyle name="Normal 10 14 4 4 2" xfId="10491"/>
    <cellStyle name="Normal 10 14 4 4 2 2" xfId="10492"/>
    <cellStyle name="Normal 10 14 4 4 3" xfId="10493"/>
    <cellStyle name="Normal 10 14 4 5" xfId="10494"/>
    <cellStyle name="Normal 10 14 4 5 2" xfId="10495"/>
    <cellStyle name="Normal 10 14 4 6" xfId="10496"/>
    <cellStyle name="Normal 10 14 5" xfId="10497"/>
    <cellStyle name="Normal 10 14 5 2" xfId="10498"/>
    <cellStyle name="Normal 10 14 5 2 2" xfId="10499"/>
    <cellStyle name="Normal 10 14 5 2 2 2" xfId="10500"/>
    <cellStyle name="Normal 10 14 5 2 2 2 2" xfId="10501"/>
    <cellStyle name="Normal 10 14 5 2 2 3" xfId="10502"/>
    <cellStyle name="Normal 10 14 5 2 3" xfId="10503"/>
    <cellStyle name="Normal 10 14 5 2 3 2" xfId="10504"/>
    <cellStyle name="Normal 10 14 5 2 4" xfId="10505"/>
    <cellStyle name="Normal 10 14 5 3" xfId="10506"/>
    <cellStyle name="Normal 10 14 5 3 2" xfId="10507"/>
    <cellStyle name="Normal 10 14 5 3 2 2" xfId="10508"/>
    <cellStyle name="Normal 10 14 5 3 2 2 2" xfId="10509"/>
    <cellStyle name="Normal 10 14 5 3 2 3" xfId="10510"/>
    <cellStyle name="Normal 10 14 5 3 3" xfId="10511"/>
    <cellStyle name="Normal 10 14 5 3 3 2" xfId="10512"/>
    <cellStyle name="Normal 10 14 5 3 4" xfId="10513"/>
    <cellStyle name="Normal 10 14 5 4" xfId="10514"/>
    <cellStyle name="Normal 10 14 5 4 2" xfId="10515"/>
    <cellStyle name="Normal 10 14 5 4 2 2" xfId="10516"/>
    <cellStyle name="Normal 10 14 5 4 3" xfId="10517"/>
    <cellStyle name="Normal 10 14 5 5" xfId="10518"/>
    <cellStyle name="Normal 10 14 5 5 2" xfId="10519"/>
    <cellStyle name="Normal 10 14 5 6" xfId="10520"/>
    <cellStyle name="Normal 10 14 6" xfId="10521"/>
    <cellStyle name="Normal 10 14 6 2" xfId="10522"/>
    <cellStyle name="Normal 10 14 6 2 2" xfId="10523"/>
    <cellStyle name="Normal 10 14 6 2 2 2" xfId="10524"/>
    <cellStyle name="Normal 10 14 6 2 2 2 2" xfId="10525"/>
    <cellStyle name="Normal 10 14 6 2 2 3" xfId="10526"/>
    <cellStyle name="Normal 10 14 6 2 3" xfId="10527"/>
    <cellStyle name="Normal 10 14 6 2 3 2" xfId="10528"/>
    <cellStyle name="Normal 10 14 6 2 4" xfId="10529"/>
    <cellStyle name="Normal 10 14 6 3" xfId="10530"/>
    <cellStyle name="Normal 10 14 6 3 2" xfId="10531"/>
    <cellStyle name="Normal 10 14 6 3 2 2" xfId="10532"/>
    <cellStyle name="Normal 10 14 6 3 2 2 2" xfId="10533"/>
    <cellStyle name="Normal 10 14 6 3 2 3" xfId="10534"/>
    <cellStyle name="Normal 10 14 6 3 3" xfId="10535"/>
    <cellStyle name="Normal 10 14 6 3 3 2" xfId="10536"/>
    <cellStyle name="Normal 10 14 6 3 4" xfId="10537"/>
    <cellStyle name="Normal 10 14 6 4" xfId="10538"/>
    <cellStyle name="Normal 10 14 6 4 2" xfId="10539"/>
    <cellStyle name="Normal 10 14 6 4 2 2" xfId="10540"/>
    <cellStyle name="Normal 10 14 6 4 3" xfId="10541"/>
    <cellStyle name="Normal 10 14 6 5" xfId="10542"/>
    <cellStyle name="Normal 10 14 6 5 2" xfId="10543"/>
    <cellStyle name="Normal 10 14 6 6" xfId="10544"/>
    <cellStyle name="Normal 10 14 7" xfId="10545"/>
    <cellStyle name="Normal 10 14 7 2" xfId="10546"/>
    <cellStyle name="Normal 10 14 7 2 2" xfId="10547"/>
    <cellStyle name="Normal 10 14 7 2 2 2" xfId="10548"/>
    <cellStyle name="Normal 10 14 7 2 2 2 2" xfId="10549"/>
    <cellStyle name="Normal 10 14 7 2 2 3" xfId="10550"/>
    <cellStyle name="Normal 10 14 7 2 3" xfId="10551"/>
    <cellStyle name="Normal 10 14 7 2 3 2" xfId="10552"/>
    <cellStyle name="Normal 10 14 7 2 4" xfId="10553"/>
    <cellStyle name="Normal 10 14 7 3" xfId="10554"/>
    <cellStyle name="Normal 10 14 7 3 2" xfId="10555"/>
    <cellStyle name="Normal 10 14 7 3 2 2" xfId="10556"/>
    <cellStyle name="Normal 10 14 7 3 2 2 2" xfId="10557"/>
    <cellStyle name="Normal 10 14 7 3 2 3" xfId="10558"/>
    <cellStyle name="Normal 10 14 7 3 3" xfId="10559"/>
    <cellStyle name="Normal 10 14 7 3 3 2" xfId="10560"/>
    <cellStyle name="Normal 10 14 7 3 4" xfId="10561"/>
    <cellStyle name="Normal 10 14 7 4" xfId="10562"/>
    <cellStyle name="Normal 10 14 7 4 2" xfId="10563"/>
    <cellStyle name="Normal 10 14 7 4 2 2" xfId="10564"/>
    <cellStyle name="Normal 10 14 7 4 3" xfId="10565"/>
    <cellStyle name="Normal 10 14 7 5" xfId="10566"/>
    <cellStyle name="Normal 10 14 7 5 2" xfId="10567"/>
    <cellStyle name="Normal 10 14 7 6" xfId="10568"/>
    <cellStyle name="Normal 10 14 8" xfId="10569"/>
    <cellStyle name="Normal 10 14 8 2" xfId="10570"/>
    <cellStyle name="Normal 10 14 8 2 2" xfId="10571"/>
    <cellStyle name="Normal 10 14 8 2 2 2" xfId="10572"/>
    <cellStyle name="Normal 10 14 8 2 2 2 2" xfId="10573"/>
    <cellStyle name="Normal 10 14 8 2 2 3" xfId="10574"/>
    <cellStyle name="Normal 10 14 8 2 3" xfId="10575"/>
    <cellStyle name="Normal 10 14 8 2 3 2" xfId="10576"/>
    <cellStyle name="Normal 10 14 8 2 4" xfId="10577"/>
    <cellStyle name="Normal 10 14 8 3" xfId="10578"/>
    <cellStyle name="Normal 10 14 8 3 2" xfId="10579"/>
    <cellStyle name="Normal 10 14 8 3 2 2" xfId="10580"/>
    <cellStyle name="Normal 10 14 8 3 2 2 2" xfId="10581"/>
    <cellStyle name="Normal 10 14 8 3 2 3" xfId="10582"/>
    <cellStyle name="Normal 10 14 8 3 3" xfId="10583"/>
    <cellStyle name="Normal 10 14 8 3 3 2" xfId="10584"/>
    <cellStyle name="Normal 10 14 8 3 4" xfId="10585"/>
    <cellStyle name="Normal 10 14 8 4" xfId="10586"/>
    <cellStyle name="Normal 10 14 8 4 2" xfId="10587"/>
    <cellStyle name="Normal 10 14 8 4 2 2" xfId="10588"/>
    <cellStyle name="Normal 10 14 8 4 3" xfId="10589"/>
    <cellStyle name="Normal 10 14 8 5" xfId="10590"/>
    <cellStyle name="Normal 10 14 8 5 2" xfId="10591"/>
    <cellStyle name="Normal 10 14 8 6" xfId="10592"/>
    <cellStyle name="Normal 10 14 9" xfId="10593"/>
    <cellStyle name="Normal 10 14 9 2" xfId="10594"/>
    <cellStyle name="Normal 10 14 9 2 2" xfId="10595"/>
    <cellStyle name="Normal 10 14 9 2 2 2" xfId="10596"/>
    <cellStyle name="Normal 10 14 9 2 2 2 2" xfId="10597"/>
    <cellStyle name="Normal 10 14 9 2 2 3" xfId="10598"/>
    <cellStyle name="Normal 10 14 9 2 3" xfId="10599"/>
    <cellStyle name="Normal 10 14 9 2 3 2" xfId="10600"/>
    <cellStyle name="Normal 10 14 9 2 4" xfId="10601"/>
    <cellStyle name="Normal 10 14 9 3" xfId="10602"/>
    <cellStyle name="Normal 10 14 9 3 2" xfId="10603"/>
    <cellStyle name="Normal 10 14 9 3 2 2" xfId="10604"/>
    <cellStyle name="Normal 10 14 9 3 2 2 2" xfId="10605"/>
    <cellStyle name="Normal 10 14 9 3 2 3" xfId="10606"/>
    <cellStyle name="Normal 10 14 9 3 3" xfId="10607"/>
    <cellStyle name="Normal 10 14 9 3 3 2" xfId="10608"/>
    <cellStyle name="Normal 10 14 9 3 4" xfId="10609"/>
    <cellStyle name="Normal 10 14 9 4" xfId="10610"/>
    <cellStyle name="Normal 10 14 9 4 2" xfId="10611"/>
    <cellStyle name="Normal 10 14 9 4 2 2" xfId="10612"/>
    <cellStyle name="Normal 10 14 9 4 3" xfId="10613"/>
    <cellStyle name="Normal 10 14 9 5" xfId="10614"/>
    <cellStyle name="Normal 10 14 9 5 2" xfId="10615"/>
    <cellStyle name="Normal 10 14 9 6" xfId="10616"/>
    <cellStyle name="Normal 10 15" xfId="10617"/>
    <cellStyle name="Normal 10 15 10" xfId="10618"/>
    <cellStyle name="Normal 10 15 10 2" xfId="10619"/>
    <cellStyle name="Normal 10 15 10 2 2" xfId="10620"/>
    <cellStyle name="Normal 10 15 10 2 2 2" xfId="10621"/>
    <cellStyle name="Normal 10 15 10 2 2 2 2" xfId="10622"/>
    <cellStyle name="Normal 10 15 10 2 2 3" xfId="10623"/>
    <cellStyle name="Normal 10 15 10 2 3" xfId="10624"/>
    <cellStyle name="Normal 10 15 10 2 3 2" xfId="10625"/>
    <cellStyle name="Normal 10 15 10 2 4" xfId="10626"/>
    <cellStyle name="Normal 10 15 10 3" xfId="10627"/>
    <cellStyle name="Normal 10 15 10 3 2" xfId="10628"/>
    <cellStyle name="Normal 10 15 10 3 2 2" xfId="10629"/>
    <cellStyle name="Normal 10 15 10 3 2 2 2" xfId="10630"/>
    <cellStyle name="Normal 10 15 10 3 2 3" xfId="10631"/>
    <cellStyle name="Normal 10 15 10 3 3" xfId="10632"/>
    <cellStyle name="Normal 10 15 10 3 3 2" xfId="10633"/>
    <cellStyle name="Normal 10 15 10 3 4" xfId="10634"/>
    <cellStyle name="Normal 10 15 10 4" xfId="10635"/>
    <cellStyle name="Normal 10 15 10 4 2" xfId="10636"/>
    <cellStyle name="Normal 10 15 10 4 2 2" xfId="10637"/>
    <cellStyle name="Normal 10 15 10 4 3" xfId="10638"/>
    <cellStyle name="Normal 10 15 10 5" xfId="10639"/>
    <cellStyle name="Normal 10 15 10 5 2" xfId="10640"/>
    <cellStyle name="Normal 10 15 10 6" xfId="10641"/>
    <cellStyle name="Normal 10 15 11" xfId="10642"/>
    <cellStyle name="Normal 10 15 11 2" xfId="10643"/>
    <cellStyle name="Normal 10 15 11 2 2" xfId="10644"/>
    <cellStyle name="Normal 10 15 11 2 2 2" xfId="10645"/>
    <cellStyle name="Normal 10 15 11 2 2 2 2" xfId="10646"/>
    <cellStyle name="Normal 10 15 11 2 2 3" xfId="10647"/>
    <cellStyle name="Normal 10 15 11 2 3" xfId="10648"/>
    <cellStyle name="Normal 10 15 11 2 3 2" xfId="10649"/>
    <cellStyle name="Normal 10 15 11 2 4" xfId="10650"/>
    <cellStyle name="Normal 10 15 11 3" xfId="10651"/>
    <cellStyle name="Normal 10 15 11 3 2" xfId="10652"/>
    <cellStyle name="Normal 10 15 11 3 2 2" xfId="10653"/>
    <cellStyle name="Normal 10 15 11 3 2 2 2" xfId="10654"/>
    <cellStyle name="Normal 10 15 11 3 2 3" xfId="10655"/>
    <cellStyle name="Normal 10 15 11 3 3" xfId="10656"/>
    <cellStyle name="Normal 10 15 11 3 3 2" xfId="10657"/>
    <cellStyle name="Normal 10 15 11 3 4" xfId="10658"/>
    <cellStyle name="Normal 10 15 11 4" xfId="10659"/>
    <cellStyle name="Normal 10 15 11 4 2" xfId="10660"/>
    <cellStyle name="Normal 10 15 11 4 2 2" xfId="10661"/>
    <cellStyle name="Normal 10 15 11 4 3" xfId="10662"/>
    <cellStyle name="Normal 10 15 11 5" xfId="10663"/>
    <cellStyle name="Normal 10 15 11 5 2" xfId="10664"/>
    <cellStyle name="Normal 10 15 11 6" xfId="10665"/>
    <cellStyle name="Normal 10 15 12" xfId="10666"/>
    <cellStyle name="Normal 10 15 12 2" xfId="10667"/>
    <cellStyle name="Normal 10 15 12 2 2" xfId="10668"/>
    <cellStyle name="Normal 10 15 12 2 2 2" xfId="10669"/>
    <cellStyle name="Normal 10 15 12 2 2 2 2" xfId="10670"/>
    <cellStyle name="Normal 10 15 12 2 2 3" xfId="10671"/>
    <cellStyle name="Normal 10 15 12 2 3" xfId="10672"/>
    <cellStyle name="Normal 10 15 12 2 3 2" xfId="10673"/>
    <cellStyle name="Normal 10 15 12 2 4" xfId="10674"/>
    <cellStyle name="Normal 10 15 12 3" xfId="10675"/>
    <cellStyle name="Normal 10 15 12 3 2" xfId="10676"/>
    <cellStyle name="Normal 10 15 12 3 2 2" xfId="10677"/>
    <cellStyle name="Normal 10 15 12 3 2 2 2" xfId="10678"/>
    <cellStyle name="Normal 10 15 12 3 2 3" xfId="10679"/>
    <cellStyle name="Normal 10 15 12 3 3" xfId="10680"/>
    <cellStyle name="Normal 10 15 12 3 3 2" xfId="10681"/>
    <cellStyle name="Normal 10 15 12 3 4" xfId="10682"/>
    <cellStyle name="Normal 10 15 12 4" xfId="10683"/>
    <cellStyle name="Normal 10 15 12 4 2" xfId="10684"/>
    <cellStyle name="Normal 10 15 12 4 2 2" xfId="10685"/>
    <cellStyle name="Normal 10 15 12 4 3" xfId="10686"/>
    <cellStyle name="Normal 10 15 12 5" xfId="10687"/>
    <cellStyle name="Normal 10 15 12 5 2" xfId="10688"/>
    <cellStyle name="Normal 10 15 12 6" xfId="10689"/>
    <cellStyle name="Normal 10 15 13" xfId="10690"/>
    <cellStyle name="Normal 10 15 13 2" xfId="10691"/>
    <cellStyle name="Normal 10 15 13 2 2" xfId="10692"/>
    <cellStyle name="Normal 10 15 13 2 2 2" xfId="10693"/>
    <cellStyle name="Normal 10 15 13 2 2 2 2" xfId="10694"/>
    <cellStyle name="Normal 10 15 13 2 2 3" xfId="10695"/>
    <cellStyle name="Normal 10 15 13 2 3" xfId="10696"/>
    <cellStyle name="Normal 10 15 13 2 3 2" xfId="10697"/>
    <cellStyle name="Normal 10 15 13 2 4" xfId="10698"/>
    <cellStyle name="Normal 10 15 13 3" xfId="10699"/>
    <cellStyle name="Normal 10 15 13 3 2" xfId="10700"/>
    <cellStyle name="Normal 10 15 13 3 2 2" xfId="10701"/>
    <cellStyle name="Normal 10 15 13 3 2 2 2" xfId="10702"/>
    <cellStyle name="Normal 10 15 13 3 2 3" xfId="10703"/>
    <cellStyle name="Normal 10 15 13 3 3" xfId="10704"/>
    <cellStyle name="Normal 10 15 13 3 3 2" xfId="10705"/>
    <cellStyle name="Normal 10 15 13 3 4" xfId="10706"/>
    <cellStyle name="Normal 10 15 13 4" xfId="10707"/>
    <cellStyle name="Normal 10 15 13 4 2" xfId="10708"/>
    <cellStyle name="Normal 10 15 13 4 2 2" xfId="10709"/>
    <cellStyle name="Normal 10 15 13 4 3" xfId="10710"/>
    <cellStyle name="Normal 10 15 13 5" xfId="10711"/>
    <cellStyle name="Normal 10 15 13 5 2" xfId="10712"/>
    <cellStyle name="Normal 10 15 13 6" xfId="10713"/>
    <cellStyle name="Normal 10 15 14" xfId="10714"/>
    <cellStyle name="Normal 10 15 14 2" xfId="10715"/>
    <cellStyle name="Normal 10 15 14 2 2" xfId="10716"/>
    <cellStyle name="Normal 10 15 14 2 2 2" xfId="10717"/>
    <cellStyle name="Normal 10 15 14 2 3" xfId="10718"/>
    <cellStyle name="Normal 10 15 14 3" xfId="10719"/>
    <cellStyle name="Normal 10 15 14 3 2" xfId="10720"/>
    <cellStyle name="Normal 10 15 14 4" xfId="10721"/>
    <cellStyle name="Normal 10 15 15" xfId="10722"/>
    <cellStyle name="Normal 10 15 15 2" xfId="10723"/>
    <cellStyle name="Normal 10 15 15 2 2" xfId="10724"/>
    <cellStyle name="Normal 10 15 15 2 2 2" xfId="10725"/>
    <cellStyle name="Normal 10 15 15 2 3" xfId="10726"/>
    <cellStyle name="Normal 10 15 15 3" xfId="10727"/>
    <cellStyle name="Normal 10 15 15 3 2" xfId="10728"/>
    <cellStyle name="Normal 10 15 15 4" xfId="10729"/>
    <cellStyle name="Normal 10 15 16" xfId="10730"/>
    <cellStyle name="Normal 10 15 16 2" xfId="10731"/>
    <cellStyle name="Normal 10 15 16 2 2" xfId="10732"/>
    <cellStyle name="Normal 10 15 16 3" xfId="10733"/>
    <cellStyle name="Normal 10 15 17" xfId="10734"/>
    <cellStyle name="Normal 10 15 17 2" xfId="10735"/>
    <cellStyle name="Normal 10 15 18" xfId="10736"/>
    <cellStyle name="Normal 10 15 2" xfId="10737"/>
    <cellStyle name="Normal 10 15 2 2" xfId="10738"/>
    <cellStyle name="Normal 10 15 2 2 2" xfId="10739"/>
    <cellStyle name="Normal 10 15 2 2 2 2" xfId="10740"/>
    <cellStyle name="Normal 10 15 2 2 2 2 2" xfId="10741"/>
    <cellStyle name="Normal 10 15 2 2 2 3" xfId="10742"/>
    <cellStyle name="Normal 10 15 2 2 3" xfId="10743"/>
    <cellStyle name="Normal 10 15 2 2 3 2" xfId="10744"/>
    <cellStyle name="Normal 10 15 2 2 4" xfId="10745"/>
    <cellStyle name="Normal 10 15 2 3" xfId="10746"/>
    <cellStyle name="Normal 10 15 2 3 2" xfId="10747"/>
    <cellStyle name="Normal 10 15 2 3 2 2" xfId="10748"/>
    <cellStyle name="Normal 10 15 2 3 2 2 2" xfId="10749"/>
    <cellStyle name="Normal 10 15 2 3 2 3" xfId="10750"/>
    <cellStyle name="Normal 10 15 2 3 3" xfId="10751"/>
    <cellStyle name="Normal 10 15 2 3 3 2" xfId="10752"/>
    <cellStyle name="Normal 10 15 2 3 4" xfId="10753"/>
    <cellStyle name="Normal 10 15 2 4" xfId="10754"/>
    <cellStyle name="Normal 10 15 2 4 2" xfId="10755"/>
    <cellStyle name="Normal 10 15 2 4 2 2" xfId="10756"/>
    <cellStyle name="Normal 10 15 2 4 3" xfId="10757"/>
    <cellStyle name="Normal 10 15 2 5" xfId="10758"/>
    <cellStyle name="Normal 10 15 2 5 2" xfId="10759"/>
    <cellStyle name="Normal 10 15 2 6" xfId="10760"/>
    <cellStyle name="Normal 10 15 3" xfId="10761"/>
    <cellStyle name="Normal 10 15 3 2" xfId="10762"/>
    <cellStyle name="Normal 10 15 3 2 2" xfId="10763"/>
    <cellStyle name="Normal 10 15 3 2 2 2" xfId="10764"/>
    <cellStyle name="Normal 10 15 3 2 2 2 2" xfId="10765"/>
    <cellStyle name="Normal 10 15 3 2 2 3" xfId="10766"/>
    <cellStyle name="Normal 10 15 3 2 3" xfId="10767"/>
    <cellStyle name="Normal 10 15 3 2 3 2" xfId="10768"/>
    <cellStyle name="Normal 10 15 3 2 4" xfId="10769"/>
    <cellStyle name="Normal 10 15 3 3" xfId="10770"/>
    <cellStyle name="Normal 10 15 3 3 2" xfId="10771"/>
    <cellStyle name="Normal 10 15 3 3 2 2" xfId="10772"/>
    <cellStyle name="Normal 10 15 3 3 2 2 2" xfId="10773"/>
    <cellStyle name="Normal 10 15 3 3 2 3" xfId="10774"/>
    <cellStyle name="Normal 10 15 3 3 3" xfId="10775"/>
    <cellStyle name="Normal 10 15 3 3 3 2" xfId="10776"/>
    <cellStyle name="Normal 10 15 3 3 4" xfId="10777"/>
    <cellStyle name="Normal 10 15 3 4" xfId="10778"/>
    <cellStyle name="Normal 10 15 3 4 2" xfId="10779"/>
    <cellStyle name="Normal 10 15 3 4 2 2" xfId="10780"/>
    <cellStyle name="Normal 10 15 3 4 3" xfId="10781"/>
    <cellStyle name="Normal 10 15 3 5" xfId="10782"/>
    <cellStyle name="Normal 10 15 3 5 2" xfId="10783"/>
    <cellStyle name="Normal 10 15 3 6" xfId="10784"/>
    <cellStyle name="Normal 10 15 4" xfId="10785"/>
    <cellStyle name="Normal 10 15 4 2" xfId="10786"/>
    <cellStyle name="Normal 10 15 4 2 2" xfId="10787"/>
    <cellStyle name="Normal 10 15 4 2 2 2" xfId="10788"/>
    <cellStyle name="Normal 10 15 4 2 2 2 2" xfId="10789"/>
    <cellStyle name="Normal 10 15 4 2 2 3" xfId="10790"/>
    <cellStyle name="Normal 10 15 4 2 3" xfId="10791"/>
    <cellStyle name="Normal 10 15 4 2 3 2" xfId="10792"/>
    <cellStyle name="Normal 10 15 4 2 4" xfId="10793"/>
    <cellStyle name="Normal 10 15 4 3" xfId="10794"/>
    <cellStyle name="Normal 10 15 4 3 2" xfId="10795"/>
    <cellStyle name="Normal 10 15 4 3 2 2" xfId="10796"/>
    <cellStyle name="Normal 10 15 4 3 2 2 2" xfId="10797"/>
    <cellStyle name="Normal 10 15 4 3 2 3" xfId="10798"/>
    <cellStyle name="Normal 10 15 4 3 3" xfId="10799"/>
    <cellStyle name="Normal 10 15 4 3 3 2" xfId="10800"/>
    <cellStyle name="Normal 10 15 4 3 4" xfId="10801"/>
    <cellStyle name="Normal 10 15 4 4" xfId="10802"/>
    <cellStyle name="Normal 10 15 4 4 2" xfId="10803"/>
    <cellStyle name="Normal 10 15 4 4 2 2" xfId="10804"/>
    <cellStyle name="Normal 10 15 4 4 3" xfId="10805"/>
    <cellStyle name="Normal 10 15 4 5" xfId="10806"/>
    <cellStyle name="Normal 10 15 4 5 2" xfId="10807"/>
    <cellStyle name="Normal 10 15 4 6" xfId="10808"/>
    <cellStyle name="Normal 10 15 5" xfId="10809"/>
    <cellStyle name="Normal 10 15 5 2" xfId="10810"/>
    <cellStyle name="Normal 10 15 5 2 2" xfId="10811"/>
    <cellStyle name="Normal 10 15 5 2 2 2" xfId="10812"/>
    <cellStyle name="Normal 10 15 5 2 2 2 2" xfId="10813"/>
    <cellStyle name="Normal 10 15 5 2 2 3" xfId="10814"/>
    <cellStyle name="Normal 10 15 5 2 3" xfId="10815"/>
    <cellStyle name="Normal 10 15 5 2 3 2" xfId="10816"/>
    <cellStyle name="Normal 10 15 5 2 4" xfId="10817"/>
    <cellStyle name="Normal 10 15 5 3" xfId="10818"/>
    <cellStyle name="Normal 10 15 5 3 2" xfId="10819"/>
    <cellStyle name="Normal 10 15 5 3 2 2" xfId="10820"/>
    <cellStyle name="Normal 10 15 5 3 2 2 2" xfId="10821"/>
    <cellStyle name="Normal 10 15 5 3 2 3" xfId="10822"/>
    <cellStyle name="Normal 10 15 5 3 3" xfId="10823"/>
    <cellStyle name="Normal 10 15 5 3 3 2" xfId="10824"/>
    <cellStyle name="Normal 10 15 5 3 4" xfId="10825"/>
    <cellStyle name="Normal 10 15 5 4" xfId="10826"/>
    <cellStyle name="Normal 10 15 5 4 2" xfId="10827"/>
    <cellStyle name="Normal 10 15 5 4 2 2" xfId="10828"/>
    <cellStyle name="Normal 10 15 5 4 3" xfId="10829"/>
    <cellStyle name="Normal 10 15 5 5" xfId="10830"/>
    <cellStyle name="Normal 10 15 5 5 2" xfId="10831"/>
    <cellStyle name="Normal 10 15 5 6" xfId="10832"/>
    <cellStyle name="Normal 10 15 6" xfId="10833"/>
    <cellStyle name="Normal 10 15 6 2" xfId="10834"/>
    <cellStyle name="Normal 10 15 6 2 2" xfId="10835"/>
    <cellStyle name="Normal 10 15 6 2 2 2" xfId="10836"/>
    <cellStyle name="Normal 10 15 6 2 2 2 2" xfId="10837"/>
    <cellStyle name="Normal 10 15 6 2 2 3" xfId="10838"/>
    <cellStyle name="Normal 10 15 6 2 3" xfId="10839"/>
    <cellStyle name="Normal 10 15 6 2 3 2" xfId="10840"/>
    <cellStyle name="Normal 10 15 6 2 4" xfId="10841"/>
    <cellStyle name="Normal 10 15 6 3" xfId="10842"/>
    <cellStyle name="Normal 10 15 6 3 2" xfId="10843"/>
    <cellStyle name="Normal 10 15 6 3 2 2" xfId="10844"/>
    <cellStyle name="Normal 10 15 6 3 2 2 2" xfId="10845"/>
    <cellStyle name="Normal 10 15 6 3 2 3" xfId="10846"/>
    <cellStyle name="Normal 10 15 6 3 3" xfId="10847"/>
    <cellStyle name="Normal 10 15 6 3 3 2" xfId="10848"/>
    <cellStyle name="Normal 10 15 6 3 4" xfId="10849"/>
    <cellStyle name="Normal 10 15 6 4" xfId="10850"/>
    <cellStyle name="Normal 10 15 6 4 2" xfId="10851"/>
    <cellStyle name="Normal 10 15 6 4 2 2" xfId="10852"/>
    <cellStyle name="Normal 10 15 6 4 3" xfId="10853"/>
    <cellStyle name="Normal 10 15 6 5" xfId="10854"/>
    <cellStyle name="Normal 10 15 6 5 2" xfId="10855"/>
    <cellStyle name="Normal 10 15 6 6" xfId="10856"/>
    <cellStyle name="Normal 10 15 7" xfId="10857"/>
    <cellStyle name="Normal 10 15 7 2" xfId="10858"/>
    <cellStyle name="Normal 10 15 7 2 2" xfId="10859"/>
    <cellStyle name="Normal 10 15 7 2 2 2" xfId="10860"/>
    <cellStyle name="Normal 10 15 7 2 2 2 2" xfId="10861"/>
    <cellStyle name="Normal 10 15 7 2 2 3" xfId="10862"/>
    <cellStyle name="Normal 10 15 7 2 3" xfId="10863"/>
    <cellStyle name="Normal 10 15 7 2 3 2" xfId="10864"/>
    <cellStyle name="Normal 10 15 7 2 4" xfId="10865"/>
    <cellStyle name="Normal 10 15 7 3" xfId="10866"/>
    <cellStyle name="Normal 10 15 7 3 2" xfId="10867"/>
    <cellStyle name="Normal 10 15 7 3 2 2" xfId="10868"/>
    <cellStyle name="Normal 10 15 7 3 2 2 2" xfId="10869"/>
    <cellStyle name="Normal 10 15 7 3 2 3" xfId="10870"/>
    <cellStyle name="Normal 10 15 7 3 3" xfId="10871"/>
    <cellStyle name="Normal 10 15 7 3 3 2" xfId="10872"/>
    <cellStyle name="Normal 10 15 7 3 4" xfId="10873"/>
    <cellStyle name="Normal 10 15 7 4" xfId="10874"/>
    <cellStyle name="Normal 10 15 7 4 2" xfId="10875"/>
    <cellStyle name="Normal 10 15 7 4 2 2" xfId="10876"/>
    <cellStyle name="Normal 10 15 7 4 3" xfId="10877"/>
    <cellStyle name="Normal 10 15 7 5" xfId="10878"/>
    <cellStyle name="Normal 10 15 7 5 2" xfId="10879"/>
    <cellStyle name="Normal 10 15 7 6" xfId="10880"/>
    <cellStyle name="Normal 10 15 8" xfId="10881"/>
    <cellStyle name="Normal 10 15 8 2" xfId="10882"/>
    <cellStyle name="Normal 10 15 8 2 2" xfId="10883"/>
    <cellStyle name="Normal 10 15 8 2 2 2" xfId="10884"/>
    <cellStyle name="Normal 10 15 8 2 2 2 2" xfId="10885"/>
    <cellStyle name="Normal 10 15 8 2 2 3" xfId="10886"/>
    <cellStyle name="Normal 10 15 8 2 3" xfId="10887"/>
    <cellStyle name="Normal 10 15 8 2 3 2" xfId="10888"/>
    <cellStyle name="Normal 10 15 8 2 4" xfId="10889"/>
    <cellStyle name="Normal 10 15 8 3" xfId="10890"/>
    <cellStyle name="Normal 10 15 8 3 2" xfId="10891"/>
    <cellStyle name="Normal 10 15 8 3 2 2" xfId="10892"/>
    <cellStyle name="Normal 10 15 8 3 2 2 2" xfId="10893"/>
    <cellStyle name="Normal 10 15 8 3 2 3" xfId="10894"/>
    <cellStyle name="Normal 10 15 8 3 3" xfId="10895"/>
    <cellStyle name="Normal 10 15 8 3 3 2" xfId="10896"/>
    <cellStyle name="Normal 10 15 8 3 4" xfId="10897"/>
    <cellStyle name="Normal 10 15 8 4" xfId="10898"/>
    <cellStyle name="Normal 10 15 8 4 2" xfId="10899"/>
    <cellStyle name="Normal 10 15 8 4 2 2" xfId="10900"/>
    <cellStyle name="Normal 10 15 8 4 3" xfId="10901"/>
    <cellStyle name="Normal 10 15 8 5" xfId="10902"/>
    <cellStyle name="Normal 10 15 8 5 2" xfId="10903"/>
    <cellStyle name="Normal 10 15 8 6" xfId="10904"/>
    <cellStyle name="Normal 10 15 9" xfId="10905"/>
    <cellStyle name="Normal 10 15 9 2" xfId="10906"/>
    <cellStyle name="Normal 10 15 9 2 2" xfId="10907"/>
    <cellStyle name="Normal 10 15 9 2 2 2" xfId="10908"/>
    <cellStyle name="Normal 10 15 9 2 2 2 2" xfId="10909"/>
    <cellStyle name="Normal 10 15 9 2 2 3" xfId="10910"/>
    <cellStyle name="Normal 10 15 9 2 3" xfId="10911"/>
    <cellStyle name="Normal 10 15 9 2 3 2" xfId="10912"/>
    <cellStyle name="Normal 10 15 9 2 4" xfId="10913"/>
    <cellStyle name="Normal 10 15 9 3" xfId="10914"/>
    <cellStyle name="Normal 10 15 9 3 2" xfId="10915"/>
    <cellStyle name="Normal 10 15 9 3 2 2" xfId="10916"/>
    <cellStyle name="Normal 10 15 9 3 2 2 2" xfId="10917"/>
    <cellStyle name="Normal 10 15 9 3 2 3" xfId="10918"/>
    <cellStyle name="Normal 10 15 9 3 3" xfId="10919"/>
    <cellStyle name="Normal 10 15 9 3 3 2" xfId="10920"/>
    <cellStyle name="Normal 10 15 9 3 4" xfId="10921"/>
    <cellStyle name="Normal 10 15 9 4" xfId="10922"/>
    <cellStyle name="Normal 10 15 9 4 2" xfId="10923"/>
    <cellStyle name="Normal 10 15 9 4 2 2" xfId="10924"/>
    <cellStyle name="Normal 10 15 9 4 3" xfId="10925"/>
    <cellStyle name="Normal 10 15 9 5" xfId="10926"/>
    <cellStyle name="Normal 10 15 9 5 2" xfId="10927"/>
    <cellStyle name="Normal 10 15 9 6" xfId="10928"/>
    <cellStyle name="Normal 10 16" xfId="10929"/>
    <cellStyle name="Normal 10 16 10" xfId="10930"/>
    <cellStyle name="Normal 10 16 10 2" xfId="10931"/>
    <cellStyle name="Normal 10 16 10 2 2" xfId="10932"/>
    <cellStyle name="Normal 10 16 10 2 2 2" xfId="10933"/>
    <cellStyle name="Normal 10 16 10 2 2 2 2" xfId="10934"/>
    <cellStyle name="Normal 10 16 10 2 2 3" xfId="10935"/>
    <cellStyle name="Normal 10 16 10 2 3" xfId="10936"/>
    <cellStyle name="Normal 10 16 10 2 3 2" xfId="10937"/>
    <cellStyle name="Normal 10 16 10 2 4" xfId="10938"/>
    <cellStyle name="Normal 10 16 10 3" xfId="10939"/>
    <cellStyle name="Normal 10 16 10 3 2" xfId="10940"/>
    <cellStyle name="Normal 10 16 10 3 2 2" xfId="10941"/>
    <cellStyle name="Normal 10 16 10 3 2 2 2" xfId="10942"/>
    <cellStyle name="Normal 10 16 10 3 2 3" xfId="10943"/>
    <cellStyle name="Normal 10 16 10 3 3" xfId="10944"/>
    <cellStyle name="Normal 10 16 10 3 3 2" xfId="10945"/>
    <cellStyle name="Normal 10 16 10 3 4" xfId="10946"/>
    <cellStyle name="Normal 10 16 10 4" xfId="10947"/>
    <cellStyle name="Normal 10 16 10 4 2" xfId="10948"/>
    <cellStyle name="Normal 10 16 10 4 2 2" xfId="10949"/>
    <cellStyle name="Normal 10 16 10 4 3" xfId="10950"/>
    <cellStyle name="Normal 10 16 10 5" xfId="10951"/>
    <cellStyle name="Normal 10 16 10 5 2" xfId="10952"/>
    <cellStyle name="Normal 10 16 10 6" xfId="10953"/>
    <cellStyle name="Normal 10 16 11" xfId="10954"/>
    <cellStyle name="Normal 10 16 11 2" xfId="10955"/>
    <cellStyle name="Normal 10 16 11 2 2" xfId="10956"/>
    <cellStyle name="Normal 10 16 11 2 2 2" xfId="10957"/>
    <cellStyle name="Normal 10 16 11 2 2 2 2" xfId="10958"/>
    <cellStyle name="Normal 10 16 11 2 2 3" xfId="10959"/>
    <cellStyle name="Normal 10 16 11 2 3" xfId="10960"/>
    <cellStyle name="Normal 10 16 11 2 3 2" xfId="10961"/>
    <cellStyle name="Normal 10 16 11 2 4" xfId="10962"/>
    <cellStyle name="Normal 10 16 11 3" xfId="10963"/>
    <cellStyle name="Normal 10 16 11 3 2" xfId="10964"/>
    <cellStyle name="Normal 10 16 11 3 2 2" xfId="10965"/>
    <cellStyle name="Normal 10 16 11 3 2 2 2" xfId="10966"/>
    <cellStyle name="Normal 10 16 11 3 2 3" xfId="10967"/>
    <cellStyle name="Normal 10 16 11 3 3" xfId="10968"/>
    <cellStyle name="Normal 10 16 11 3 3 2" xfId="10969"/>
    <cellStyle name="Normal 10 16 11 3 4" xfId="10970"/>
    <cellStyle name="Normal 10 16 11 4" xfId="10971"/>
    <cellStyle name="Normal 10 16 11 4 2" xfId="10972"/>
    <cellStyle name="Normal 10 16 11 4 2 2" xfId="10973"/>
    <cellStyle name="Normal 10 16 11 4 3" xfId="10974"/>
    <cellStyle name="Normal 10 16 11 5" xfId="10975"/>
    <cellStyle name="Normal 10 16 11 5 2" xfId="10976"/>
    <cellStyle name="Normal 10 16 11 6" xfId="10977"/>
    <cellStyle name="Normal 10 16 12" xfId="10978"/>
    <cellStyle name="Normal 10 16 12 2" xfId="10979"/>
    <cellStyle name="Normal 10 16 12 2 2" xfId="10980"/>
    <cellStyle name="Normal 10 16 12 2 2 2" xfId="10981"/>
    <cellStyle name="Normal 10 16 12 2 2 2 2" xfId="10982"/>
    <cellStyle name="Normal 10 16 12 2 2 3" xfId="10983"/>
    <cellStyle name="Normal 10 16 12 2 3" xfId="10984"/>
    <cellStyle name="Normal 10 16 12 2 3 2" xfId="10985"/>
    <cellStyle name="Normal 10 16 12 2 4" xfId="10986"/>
    <cellStyle name="Normal 10 16 12 3" xfId="10987"/>
    <cellStyle name="Normal 10 16 12 3 2" xfId="10988"/>
    <cellStyle name="Normal 10 16 12 3 2 2" xfId="10989"/>
    <cellStyle name="Normal 10 16 12 3 2 2 2" xfId="10990"/>
    <cellStyle name="Normal 10 16 12 3 2 3" xfId="10991"/>
    <cellStyle name="Normal 10 16 12 3 3" xfId="10992"/>
    <cellStyle name="Normal 10 16 12 3 3 2" xfId="10993"/>
    <cellStyle name="Normal 10 16 12 3 4" xfId="10994"/>
    <cellStyle name="Normal 10 16 12 4" xfId="10995"/>
    <cellStyle name="Normal 10 16 12 4 2" xfId="10996"/>
    <cellStyle name="Normal 10 16 12 4 2 2" xfId="10997"/>
    <cellStyle name="Normal 10 16 12 4 3" xfId="10998"/>
    <cellStyle name="Normal 10 16 12 5" xfId="10999"/>
    <cellStyle name="Normal 10 16 12 5 2" xfId="11000"/>
    <cellStyle name="Normal 10 16 12 6" xfId="11001"/>
    <cellStyle name="Normal 10 16 13" xfId="11002"/>
    <cellStyle name="Normal 10 16 13 2" xfId="11003"/>
    <cellStyle name="Normal 10 16 13 2 2" xfId="11004"/>
    <cellStyle name="Normal 10 16 13 2 2 2" xfId="11005"/>
    <cellStyle name="Normal 10 16 13 2 2 2 2" xfId="11006"/>
    <cellStyle name="Normal 10 16 13 2 2 3" xfId="11007"/>
    <cellStyle name="Normal 10 16 13 2 3" xfId="11008"/>
    <cellStyle name="Normal 10 16 13 2 3 2" xfId="11009"/>
    <cellStyle name="Normal 10 16 13 2 4" xfId="11010"/>
    <cellStyle name="Normal 10 16 13 3" xfId="11011"/>
    <cellStyle name="Normal 10 16 13 3 2" xfId="11012"/>
    <cellStyle name="Normal 10 16 13 3 2 2" xfId="11013"/>
    <cellStyle name="Normal 10 16 13 3 2 2 2" xfId="11014"/>
    <cellStyle name="Normal 10 16 13 3 2 3" xfId="11015"/>
    <cellStyle name="Normal 10 16 13 3 3" xfId="11016"/>
    <cellStyle name="Normal 10 16 13 3 3 2" xfId="11017"/>
    <cellStyle name="Normal 10 16 13 3 4" xfId="11018"/>
    <cellStyle name="Normal 10 16 13 4" xfId="11019"/>
    <cellStyle name="Normal 10 16 13 4 2" xfId="11020"/>
    <cellStyle name="Normal 10 16 13 4 2 2" xfId="11021"/>
    <cellStyle name="Normal 10 16 13 4 3" xfId="11022"/>
    <cellStyle name="Normal 10 16 13 5" xfId="11023"/>
    <cellStyle name="Normal 10 16 13 5 2" xfId="11024"/>
    <cellStyle name="Normal 10 16 13 6" xfId="11025"/>
    <cellStyle name="Normal 10 16 14" xfId="11026"/>
    <cellStyle name="Normal 10 16 14 2" xfId="11027"/>
    <cellStyle name="Normal 10 16 14 2 2" xfId="11028"/>
    <cellStyle name="Normal 10 16 14 2 2 2" xfId="11029"/>
    <cellStyle name="Normal 10 16 14 2 3" xfId="11030"/>
    <cellStyle name="Normal 10 16 14 3" xfId="11031"/>
    <cellStyle name="Normal 10 16 14 3 2" xfId="11032"/>
    <cellStyle name="Normal 10 16 14 4" xfId="11033"/>
    <cellStyle name="Normal 10 16 15" xfId="11034"/>
    <cellStyle name="Normal 10 16 15 2" xfId="11035"/>
    <cellStyle name="Normal 10 16 15 2 2" xfId="11036"/>
    <cellStyle name="Normal 10 16 15 2 2 2" xfId="11037"/>
    <cellStyle name="Normal 10 16 15 2 3" xfId="11038"/>
    <cellStyle name="Normal 10 16 15 3" xfId="11039"/>
    <cellStyle name="Normal 10 16 15 3 2" xfId="11040"/>
    <cellStyle name="Normal 10 16 15 4" xfId="11041"/>
    <cellStyle name="Normal 10 16 16" xfId="11042"/>
    <cellStyle name="Normal 10 16 16 2" xfId="11043"/>
    <cellStyle name="Normal 10 16 16 2 2" xfId="11044"/>
    <cellStyle name="Normal 10 16 16 3" xfId="11045"/>
    <cellStyle name="Normal 10 16 17" xfId="11046"/>
    <cellStyle name="Normal 10 16 17 2" xfId="11047"/>
    <cellStyle name="Normal 10 16 18" xfId="11048"/>
    <cellStyle name="Normal 10 16 2" xfId="11049"/>
    <cellStyle name="Normal 10 16 2 2" xfId="11050"/>
    <cellStyle name="Normal 10 16 2 2 2" xfId="11051"/>
    <cellStyle name="Normal 10 16 2 2 2 2" xfId="11052"/>
    <cellStyle name="Normal 10 16 2 2 2 2 2" xfId="11053"/>
    <cellStyle name="Normal 10 16 2 2 2 3" xfId="11054"/>
    <cellStyle name="Normal 10 16 2 2 3" xfId="11055"/>
    <cellStyle name="Normal 10 16 2 2 3 2" xfId="11056"/>
    <cellStyle name="Normal 10 16 2 2 4" xfId="11057"/>
    <cellStyle name="Normal 10 16 2 3" xfId="11058"/>
    <cellStyle name="Normal 10 16 2 3 2" xfId="11059"/>
    <cellStyle name="Normal 10 16 2 3 2 2" xfId="11060"/>
    <cellStyle name="Normal 10 16 2 3 2 2 2" xfId="11061"/>
    <cellStyle name="Normal 10 16 2 3 2 3" xfId="11062"/>
    <cellStyle name="Normal 10 16 2 3 3" xfId="11063"/>
    <cellStyle name="Normal 10 16 2 3 3 2" xfId="11064"/>
    <cellStyle name="Normal 10 16 2 3 4" xfId="11065"/>
    <cellStyle name="Normal 10 16 2 4" xfId="11066"/>
    <cellStyle name="Normal 10 16 2 4 2" xfId="11067"/>
    <cellStyle name="Normal 10 16 2 4 2 2" xfId="11068"/>
    <cellStyle name="Normal 10 16 2 4 3" xfId="11069"/>
    <cellStyle name="Normal 10 16 2 5" xfId="11070"/>
    <cellStyle name="Normal 10 16 2 5 2" xfId="11071"/>
    <cellStyle name="Normal 10 16 2 6" xfId="11072"/>
    <cellStyle name="Normal 10 16 3" xfId="11073"/>
    <cellStyle name="Normal 10 16 3 2" xfId="11074"/>
    <cellStyle name="Normal 10 16 3 2 2" xfId="11075"/>
    <cellStyle name="Normal 10 16 3 2 2 2" xfId="11076"/>
    <cellStyle name="Normal 10 16 3 2 2 2 2" xfId="11077"/>
    <cellStyle name="Normal 10 16 3 2 2 3" xfId="11078"/>
    <cellStyle name="Normal 10 16 3 2 3" xfId="11079"/>
    <cellStyle name="Normal 10 16 3 2 3 2" xfId="11080"/>
    <cellStyle name="Normal 10 16 3 2 4" xfId="11081"/>
    <cellStyle name="Normal 10 16 3 3" xfId="11082"/>
    <cellStyle name="Normal 10 16 3 3 2" xfId="11083"/>
    <cellStyle name="Normal 10 16 3 3 2 2" xfId="11084"/>
    <cellStyle name="Normal 10 16 3 3 2 2 2" xfId="11085"/>
    <cellStyle name="Normal 10 16 3 3 2 3" xfId="11086"/>
    <cellStyle name="Normal 10 16 3 3 3" xfId="11087"/>
    <cellStyle name="Normal 10 16 3 3 3 2" xfId="11088"/>
    <cellStyle name="Normal 10 16 3 3 4" xfId="11089"/>
    <cellStyle name="Normal 10 16 3 4" xfId="11090"/>
    <cellStyle name="Normal 10 16 3 4 2" xfId="11091"/>
    <cellStyle name="Normal 10 16 3 4 2 2" xfId="11092"/>
    <cellStyle name="Normal 10 16 3 4 3" xfId="11093"/>
    <cellStyle name="Normal 10 16 3 5" xfId="11094"/>
    <cellStyle name="Normal 10 16 3 5 2" xfId="11095"/>
    <cellStyle name="Normal 10 16 3 6" xfId="11096"/>
    <cellStyle name="Normal 10 16 4" xfId="11097"/>
    <cellStyle name="Normal 10 16 4 2" xfId="11098"/>
    <cellStyle name="Normal 10 16 4 2 2" xfId="11099"/>
    <cellStyle name="Normal 10 16 4 2 2 2" xfId="11100"/>
    <cellStyle name="Normal 10 16 4 2 2 2 2" xfId="11101"/>
    <cellStyle name="Normal 10 16 4 2 2 3" xfId="11102"/>
    <cellStyle name="Normal 10 16 4 2 3" xfId="11103"/>
    <cellStyle name="Normal 10 16 4 2 3 2" xfId="11104"/>
    <cellStyle name="Normal 10 16 4 2 4" xfId="11105"/>
    <cellStyle name="Normal 10 16 4 3" xfId="11106"/>
    <cellStyle name="Normal 10 16 4 3 2" xfId="11107"/>
    <cellStyle name="Normal 10 16 4 3 2 2" xfId="11108"/>
    <cellStyle name="Normal 10 16 4 3 2 2 2" xfId="11109"/>
    <cellStyle name="Normal 10 16 4 3 2 3" xfId="11110"/>
    <cellStyle name="Normal 10 16 4 3 3" xfId="11111"/>
    <cellStyle name="Normal 10 16 4 3 3 2" xfId="11112"/>
    <cellStyle name="Normal 10 16 4 3 4" xfId="11113"/>
    <cellStyle name="Normal 10 16 4 4" xfId="11114"/>
    <cellStyle name="Normal 10 16 4 4 2" xfId="11115"/>
    <cellStyle name="Normal 10 16 4 4 2 2" xfId="11116"/>
    <cellStyle name="Normal 10 16 4 4 3" xfId="11117"/>
    <cellStyle name="Normal 10 16 4 5" xfId="11118"/>
    <cellStyle name="Normal 10 16 4 5 2" xfId="11119"/>
    <cellStyle name="Normal 10 16 4 6" xfId="11120"/>
    <cellStyle name="Normal 10 16 5" xfId="11121"/>
    <cellStyle name="Normal 10 16 5 2" xfId="11122"/>
    <cellStyle name="Normal 10 16 5 2 2" xfId="11123"/>
    <cellStyle name="Normal 10 16 5 2 2 2" xfId="11124"/>
    <cellStyle name="Normal 10 16 5 2 2 2 2" xfId="11125"/>
    <cellStyle name="Normal 10 16 5 2 2 3" xfId="11126"/>
    <cellStyle name="Normal 10 16 5 2 3" xfId="11127"/>
    <cellStyle name="Normal 10 16 5 2 3 2" xfId="11128"/>
    <cellStyle name="Normal 10 16 5 2 4" xfId="11129"/>
    <cellStyle name="Normal 10 16 5 3" xfId="11130"/>
    <cellStyle name="Normal 10 16 5 3 2" xfId="11131"/>
    <cellStyle name="Normal 10 16 5 3 2 2" xfId="11132"/>
    <cellStyle name="Normal 10 16 5 3 2 2 2" xfId="11133"/>
    <cellStyle name="Normal 10 16 5 3 2 3" xfId="11134"/>
    <cellStyle name="Normal 10 16 5 3 3" xfId="11135"/>
    <cellStyle name="Normal 10 16 5 3 3 2" xfId="11136"/>
    <cellStyle name="Normal 10 16 5 3 4" xfId="11137"/>
    <cellStyle name="Normal 10 16 5 4" xfId="11138"/>
    <cellStyle name="Normal 10 16 5 4 2" xfId="11139"/>
    <cellStyle name="Normal 10 16 5 4 2 2" xfId="11140"/>
    <cellStyle name="Normal 10 16 5 4 3" xfId="11141"/>
    <cellStyle name="Normal 10 16 5 5" xfId="11142"/>
    <cellStyle name="Normal 10 16 5 5 2" xfId="11143"/>
    <cellStyle name="Normal 10 16 5 6" xfId="11144"/>
    <cellStyle name="Normal 10 16 6" xfId="11145"/>
    <cellStyle name="Normal 10 16 6 2" xfId="11146"/>
    <cellStyle name="Normal 10 16 6 2 2" xfId="11147"/>
    <cellStyle name="Normal 10 16 6 2 2 2" xfId="11148"/>
    <cellStyle name="Normal 10 16 6 2 2 2 2" xfId="11149"/>
    <cellStyle name="Normal 10 16 6 2 2 3" xfId="11150"/>
    <cellStyle name="Normal 10 16 6 2 3" xfId="11151"/>
    <cellStyle name="Normal 10 16 6 2 3 2" xfId="11152"/>
    <cellStyle name="Normal 10 16 6 2 4" xfId="11153"/>
    <cellStyle name="Normal 10 16 6 3" xfId="11154"/>
    <cellStyle name="Normal 10 16 6 3 2" xfId="11155"/>
    <cellStyle name="Normal 10 16 6 3 2 2" xfId="11156"/>
    <cellStyle name="Normal 10 16 6 3 2 2 2" xfId="11157"/>
    <cellStyle name="Normal 10 16 6 3 2 3" xfId="11158"/>
    <cellStyle name="Normal 10 16 6 3 3" xfId="11159"/>
    <cellStyle name="Normal 10 16 6 3 3 2" xfId="11160"/>
    <cellStyle name="Normal 10 16 6 3 4" xfId="11161"/>
    <cellStyle name="Normal 10 16 6 4" xfId="11162"/>
    <cellStyle name="Normal 10 16 6 4 2" xfId="11163"/>
    <cellStyle name="Normal 10 16 6 4 2 2" xfId="11164"/>
    <cellStyle name="Normal 10 16 6 4 3" xfId="11165"/>
    <cellStyle name="Normal 10 16 6 5" xfId="11166"/>
    <cellStyle name="Normal 10 16 6 5 2" xfId="11167"/>
    <cellStyle name="Normal 10 16 6 6" xfId="11168"/>
    <cellStyle name="Normal 10 16 7" xfId="11169"/>
    <cellStyle name="Normal 10 16 7 2" xfId="11170"/>
    <cellStyle name="Normal 10 16 7 2 2" xfId="11171"/>
    <cellStyle name="Normal 10 16 7 2 2 2" xfId="11172"/>
    <cellStyle name="Normal 10 16 7 2 2 2 2" xfId="11173"/>
    <cellStyle name="Normal 10 16 7 2 2 3" xfId="11174"/>
    <cellStyle name="Normal 10 16 7 2 3" xfId="11175"/>
    <cellStyle name="Normal 10 16 7 2 3 2" xfId="11176"/>
    <cellStyle name="Normal 10 16 7 2 4" xfId="11177"/>
    <cellStyle name="Normal 10 16 7 3" xfId="11178"/>
    <cellStyle name="Normal 10 16 7 3 2" xfId="11179"/>
    <cellStyle name="Normal 10 16 7 3 2 2" xfId="11180"/>
    <cellStyle name="Normal 10 16 7 3 2 2 2" xfId="11181"/>
    <cellStyle name="Normal 10 16 7 3 2 3" xfId="11182"/>
    <cellStyle name="Normal 10 16 7 3 3" xfId="11183"/>
    <cellStyle name="Normal 10 16 7 3 3 2" xfId="11184"/>
    <cellStyle name="Normal 10 16 7 3 4" xfId="11185"/>
    <cellStyle name="Normal 10 16 7 4" xfId="11186"/>
    <cellStyle name="Normal 10 16 7 4 2" xfId="11187"/>
    <cellStyle name="Normal 10 16 7 4 2 2" xfId="11188"/>
    <cellStyle name="Normal 10 16 7 4 3" xfId="11189"/>
    <cellStyle name="Normal 10 16 7 5" xfId="11190"/>
    <cellStyle name="Normal 10 16 7 5 2" xfId="11191"/>
    <cellStyle name="Normal 10 16 7 6" xfId="11192"/>
    <cellStyle name="Normal 10 16 8" xfId="11193"/>
    <cellStyle name="Normal 10 16 8 2" xfId="11194"/>
    <cellStyle name="Normal 10 16 8 2 2" xfId="11195"/>
    <cellStyle name="Normal 10 16 8 2 2 2" xfId="11196"/>
    <cellStyle name="Normal 10 16 8 2 2 2 2" xfId="11197"/>
    <cellStyle name="Normal 10 16 8 2 2 3" xfId="11198"/>
    <cellStyle name="Normal 10 16 8 2 3" xfId="11199"/>
    <cellStyle name="Normal 10 16 8 2 3 2" xfId="11200"/>
    <cellStyle name="Normal 10 16 8 2 4" xfId="11201"/>
    <cellStyle name="Normal 10 16 8 3" xfId="11202"/>
    <cellStyle name="Normal 10 16 8 3 2" xfId="11203"/>
    <cellStyle name="Normal 10 16 8 3 2 2" xfId="11204"/>
    <cellStyle name="Normal 10 16 8 3 2 2 2" xfId="11205"/>
    <cellStyle name="Normal 10 16 8 3 2 3" xfId="11206"/>
    <cellStyle name="Normal 10 16 8 3 3" xfId="11207"/>
    <cellStyle name="Normal 10 16 8 3 3 2" xfId="11208"/>
    <cellStyle name="Normal 10 16 8 3 4" xfId="11209"/>
    <cellStyle name="Normal 10 16 8 4" xfId="11210"/>
    <cellStyle name="Normal 10 16 8 4 2" xfId="11211"/>
    <cellStyle name="Normal 10 16 8 4 2 2" xfId="11212"/>
    <cellStyle name="Normal 10 16 8 4 3" xfId="11213"/>
    <cellStyle name="Normal 10 16 8 5" xfId="11214"/>
    <cellStyle name="Normal 10 16 8 5 2" xfId="11215"/>
    <cellStyle name="Normal 10 16 8 6" xfId="11216"/>
    <cellStyle name="Normal 10 16 9" xfId="11217"/>
    <cellStyle name="Normal 10 16 9 2" xfId="11218"/>
    <cellStyle name="Normal 10 16 9 2 2" xfId="11219"/>
    <cellStyle name="Normal 10 16 9 2 2 2" xfId="11220"/>
    <cellStyle name="Normal 10 16 9 2 2 2 2" xfId="11221"/>
    <cellStyle name="Normal 10 16 9 2 2 3" xfId="11222"/>
    <cellStyle name="Normal 10 16 9 2 3" xfId="11223"/>
    <cellStyle name="Normal 10 16 9 2 3 2" xfId="11224"/>
    <cellStyle name="Normal 10 16 9 2 4" xfId="11225"/>
    <cellStyle name="Normal 10 16 9 3" xfId="11226"/>
    <cellStyle name="Normal 10 16 9 3 2" xfId="11227"/>
    <cellStyle name="Normal 10 16 9 3 2 2" xfId="11228"/>
    <cellStyle name="Normal 10 16 9 3 2 2 2" xfId="11229"/>
    <cellStyle name="Normal 10 16 9 3 2 3" xfId="11230"/>
    <cellStyle name="Normal 10 16 9 3 3" xfId="11231"/>
    <cellStyle name="Normal 10 16 9 3 3 2" xfId="11232"/>
    <cellStyle name="Normal 10 16 9 3 4" xfId="11233"/>
    <cellStyle name="Normal 10 16 9 4" xfId="11234"/>
    <cellStyle name="Normal 10 16 9 4 2" xfId="11235"/>
    <cellStyle name="Normal 10 16 9 4 2 2" xfId="11236"/>
    <cellStyle name="Normal 10 16 9 4 3" xfId="11237"/>
    <cellStyle name="Normal 10 16 9 5" xfId="11238"/>
    <cellStyle name="Normal 10 16 9 5 2" xfId="11239"/>
    <cellStyle name="Normal 10 16 9 6" xfId="11240"/>
    <cellStyle name="Normal 10 17" xfId="11241"/>
    <cellStyle name="Normal 10 17 10" xfId="11242"/>
    <cellStyle name="Normal 10 17 10 2" xfId="11243"/>
    <cellStyle name="Normal 10 17 10 2 2" xfId="11244"/>
    <cellStyle name="Normal 10 17 10 2 2 2" xfId="11245"/>
    <cellStyle name="Normal 10 17 10 2 2 2 2" xfId="11246"/>
    <cellStyle name="Normal 10 17 10 2 2 3" xfId="11247"/>
    <cellStyle name="Normal 10 17 10 2 3" xfId="11248"/>
    <cellStyle name="Normal 10 17 10 2 3 2" xfId="11249"/>
    <cellStyle name="Normal 10 17 10 2 4" xfId="11250"/>
    <cellStyle name="Normal 10 17 10 3" xfId="11251"/>
    <cellStyle name="Normal 10 17 10 3 2" xfId="11252"/>
    <cellStyle name="Normal 10 17 10 3 2 2" xfId="11253"/>
    <cellStyle name="Normal 10 17 10 3 2 2 2" xfId="11254"/>
    <cellStyle name="Normal 10 17 10 3 2 3" xfId="11255"/>
    <cellStyle name="Normal 10 17 10 3 3" xfId="11256"/>
    <cellStyle name="Normal 10 17 10 3 3 2" xfId="11257"/>
    <cellStyle name="Normal 10 17 10 3 4" xfId="11258"/>
    <cellStyle name="Normal 10 17 10 4" xfId="11259"/>
    <cellStyle name="Normal 10 17 10 4 2" xfId="11260"/>
    <cellStyle name="Normal 10 17 10 4 2 2" xfId="11261"/>
    <cellStyle name="Normal 10 17 10 4 3" xfId="11262"/>
    <cellStyle name="Normal 10 17 10 5" xfId="11263"/>
    <cellStyle name="Normal 10 17 10 5 2" xfId="11264"/>
    <cellStyle name="Normal 10 17 10 6" xfId="11265"/>
    <cellStyle name="Normal 10 17 11" xfId="11266"/>
    <cellStyle name="Normal 10 17 11 2" xfId="11267"/>
    <cellStyle name="Normal 10 17 11 2 2" xfId="11268"/>
    <cellStyle name="Normal 10 17 11 2 2 2" xfId="11269"/>
    <cellStyle name="Normal 10 17 11 2 2 2 2" xfId="11270"/>
    <cellStyle name="Normal 10 17 11 2 2 3" xfId="11271"/>
    <cellStyle name="Normal 10 17 11 2 3" xfId="11272"/>
    <cellStyle name="Normal 10 17 11 2 3 2" xfId="11273"/>
    <cellStyle name="Normal 10 17 11 2 4" xfId="11274"/>
    <cellStyle name="Normal 10 17 11 3" xfId="11275"/>
    <cellStyle name="Normal 10 17 11 3 2" xfId="11276"/>
    <cellStyle name="Normal 10 17 11 3 2 2" xfId="11277"/>
    <cellStyle name="Normal 10 17 11 3 2 2 2" xfId="11278"/>
    <cellStyle name="Normal 10 17 11 3 2 3" xfId="11279"/>
    <cellStyle name="Normal 10 17 11 3 3" xfId="11280"/>
    <cellStyle name="Normal 10 17 11 3 3 2" xfId="11281"/>
    <cellStyle name="Normal 10 17 11 3 4" xfId="11282"/>
    <cellStyle name="Normal 10 17 11 4" xfId="11283"/>
    <cellStyle name="Normal 10 17 11 4 2" xfId="11284"/>
    <cellStyle name="Normal 10 17 11 4 2 2" xfId="11285"/>
    <cellStyle name="Normal 10 17 11 4 3" xfId="11286"/>
    <cellStyle name="Normal 10 17 11 5" xfId="11287"/>
    <cellStyle name="Normal 10 17 11 5 2" xfId="11288"/>
    <cellStyle name="Normal 10 17 11 6" xfId="11289"/>
    <cellStyle name="Normal 10 17 12" xfId="11290"/>
    <cellStyle name="Normal 10 17 12 2" xfId="11291"/>
    <cellStyle name="Normal 10 17 12 2 2" xfId="11292"/>
    <cellStyle name="Normal 10 17 12 2 2 2" xfId="11293"/>
    <cellStyle name="Normal 10 17 12 2 2 2 2" xfId="11294"/>
    <cellStyle name="Normal 10 17 12 2 2 3" xfId="11295"/>
    <cellStyle name="Normal 10 17 12 2 3" xfId="11296"/>
    <cellStyle name="Normal 10 17 12 2 3 2" xfId="11297"/>
    <cellStyle name="Normal 10 17 12 2 4" xfId="11298"/>
    <cellStyle name="Normal 10 17 12 3" xfId="11299"/>
    <cellStyle name="Normal 10 17 12 3 2" xfId="11300"/>
    <cellStyle name="Normal 10 17 12 3 2 2" xfId="11301"/>
    <cellStyle name="Normal 10 17 12 3 2 2 2" xfId="11302"/>
    <cellStyle name="Normal 10 17 12 3 2 3" xfId="11303"/>
    <cellStyle name="Normal 10 17 12 3 3" xfId="11304"/>
    <cellStyle name="Normal 10 17 12 3 3 2" xfId="11305"/>
    <cellStyle name="Normal 10 17 12 3 4" xfId="11306"/>
    <cellStyle name="Normal 10 17 12 4" xfId="11307"/>
    <cellStyle name="Normal 10 17 12 4 2" xfId="11308"/>
    <cellStyle name="Normal 10 17 12 4 2 2" xfId="11309"/>
    <cellStyle name="Normal 10 17 12 4 3" xfId="11310"/>
    <cellStyle name="Normal 10 17 12 5" xfId="11311"/>
    <cellStyle name="Normal 10 17 12 5 2" xfId="11312"/>
    <cellStyle name="Normal 10 17 12 6" xfId="11313"/>
    <cellStyle name="Normal 10 17 13" xfId="11314"/>
    <cellStyle name="Normal 10 17 13 2" xfId="11315"/>
    <cellStyle name="Normal 10 17 13 2 2" xfId="11316"/>
    <cellStyle name="Normal 10 17 13 2 2 2" xfId="11317"/>
    <cellStyle name="Normal 10 17 13 2 2 2 2" xfId="11318"/>
    <cellStyle name="Normal 10 17 13 2 2 3" xfId="11319"/>
    <cellStyle name="Normal 10 17 13 2 3" xfId="11320"/>
    <cellStyle name="Normal 10 17 13 2 3 2" xfId="11321"/>
    <cellStyle name="Normal 10 17 13 2 4" xfId="11322"/>
    <cellStyle name="Normal 10 17 13 3" xfId="11323"/>
    <cellStyle name="Normal 10 17 13 3 2" xfId="11324"/>
    <cellStyle name="Normal 10 17 13 3 2 2" xfId="11325"/>
    <cellStyle name="Normal 10 17 13 3 2 2 2" xfId="11326"/>
    <cellStyle name="Normal 10 17 13 3 2 3" xfId="11327"/>
    <cellStyle name="Normal 10 17 13 3 3" xfId="11328"/>
    <cellStyle name="Normal 10 17 13 3 3 2" xfId="11329"/>
    <cellStyle name="Normal 10 17 13 3 4" xfId="11330"/>
    <cellStyle name="Normal 10 17 13 4" xfId="11331"/>
    <cellStyle name="Normal 10 17 13 4 2" xfId="11332"/>
    <cellStyle name="Normal 10 17 13 4 2 2" xfId="11333"/>
    <cellStyle name="Normal 10 17 13 4 3" xfId="11334"/>
    <cellStyle name="Normal 10 17 13 5" xfId="11335"/>
    <cellStyle name="Normal 10 17 13 5 2" xfId="11336"/>
    <cellStyle name="Normal 10 17 13 6" xfId="11337"/>
    <cellStyle name="Normal 10 17 14" xfId="11338"/>
    <cellStyle name="Normal 10 17 14 2" xfId="11339"/>
    <cellStyle name="Normal 10 17 14 2 2" xfId="11340"/>
    <cellStyle name="Normal 10 17 14 2 2 2" xfId="11341"/>
    <cellStyle name="Normal 10 17 14 2 3" xfId="11342"/>
    <cellStyle name="Normal 10 17 14 3" xfId="11343"/>
    <cellStyle name="Normal 10 17 14 3 2" xfId="11344"/>
    <cellStyle name="Normal 10 17 14 4" xfId="11345"/>
    <cellStyle name="Normal 10 17 15" xfId="11346"/>
    <cellStyle name="Normal 10 17 15 2" xfId="11347"/>
    <cellStyle name="Normal 10 17 15 2 2" xfId="11348"/>
    <cellStyle name="Normal 10 17 15 2 2 2" xfId="11349"/>
    <cellStyle name="Normal 10 17 15 2 3" xfId="11350"/>
    <cellStyle name="Normal 10 17 15 3" xfId="11351"/>
    <cellStyle name="Normal 10 17 15 3 2" xfId="11352"/>
    <cellStyle name="Normal 10 17 15 4" xfId="11353"/>
    <cellStyle name="Normal 10 17 16" xfId="11354"/>
    <cellStyle name="Normal 10 17 16 2" xfId="11355"/>
    <cellStyle name="Normal 10 17 16 2 2" xfId="11356"/>
    <cellStyle name="Normal 10 17 16 3" xfId="11357"/>
    <cellStyle name="Normal 10 17 17" xfId="11358"/>
    <cellStyle name="Normal 10 17 17 2" xfId="11359"/>
    <cellStyle name="Normal 10 17 18" xfId="11360"/>
    <cellStyle name="Normal 10 17 2" xfId="11361"/>
    <cellStyle name="Normal 10 17 2 2" xfId="11362"/>
    <cellStyle name="Normal 10 17 2 2 2" xfId="11363"/>
    <cellStyle name="Normal 10 17 2 2 2 2" xfId="11364"/>
    <cellStyle name="Normal 10 17 2 2 2 2 2" xfId="11365"/>
    <cellStyle name="Normal 10 17 2 2 2 3" xfId="11366"/>
    <cellStyle name="Normal 10 17 2 2 3" xfId="11367"/>
    <cellStyle name="Normal 10 17 2 2 3 2" xfId="11368"/>
    <cellStyle name="Normal 10 17 2 2 4" xfId="11369"/>
    <cellStyle name="Normal 10 17 2 3" xfId="11370"/>
    <cellStyle name="Normal 10 17 2 3 2" xfId="11371"/>
    <cellStyle name="Normal 10 17 2 3 2 2" xfId="11372"/>
    <cellStyle name="Normal 10 17 2 3 2 2 2" xfId="11373"/>
    <cellStyle name="Normal 10 17 2 3 2 3" xfId="11374"/>
    <cellStyle name="Normal 10 17 2 3 3" xfId="11375"/>
    <cellStyle name="Normal 10 17 2 3 3 2" xfId="11376"/>
    <cellStyle name="Normal 10 17 2 3 4" xfId="11377"/>
    <cellStyle name="Normal 10 17 2 4" xfId="11378"/>
    <cellStyle name="Normal 10 17 2 4 2" xfId="11379"/>
    <cellStyle name="Normal 10 17 2 4 2 2" xfId="11380"/>
    <cellStyle name="Normal 10 17 2 4 3" xfId="11381"/>
    <cellStyle name="Normal 10 17 2 5" xfId="11382"/>
    <cellStyle name="Normal 10 17 2 5 2" xfId="11383"/>
    <cellStyle name="Normal 10 17 2 6" xfId="11384"/>
    <cellStyle name="Normal 10 17 3" xfId="11385"/>
    <cellStyle name="Normal 10 17 3 2" xfId="11386"/>
    <cellStyle name="Normal 10 17 3 2 2" xfId="11387"/>
    <cellStyle name="Normal 10 17 3 2 2 2" xfId="11388"/>
    <cellStyle name="Normal 10 17 3 2 2 2 2" xfId="11389"/>
    <cellStyle name="Normal 10 17 3 2 2 3" xfId="11390"/>
    <cellStyle name="Normal 10 17 3 2 3" xfId="11391"/>
    <cellStyle name="Normal 10 17 3 2 3 2" xfId="11392"/>
    <cellStyle name="Normal 10 17 3 2 4" xfId="11393"/>
    <cellStyle name="Normal 10 17 3 3" xfId="11394"/>
    <cellStyle name="Normal 10 17 3 3 2" xfId="11395"/>
    <cellStyle name="Normal 10 17 3 3 2 2" xfId="11396"/>
    <cellStyle name="Normal 10 17 3 3 2 2 2" xfId="11397"/>
    <cellStyle name="Normal 10 17 3 3 2 3" xfId="11398"/>
    <cellStyle name="Normal 10 17 3 3 3" xfId="11399"/>
    <cellStyle name="Normal 10 17 3 3 3 2" xfId="11400"/>
    <cellStyle name="Normal 10 17 3 3 4" xfId="11401"/>
    <cellStyle name="Normal 10 17 3 4" xfId="11402"/>
    <cellStyle name="Normal 10 17 3 4 2" xfId="11403"/>
    <cellStyle name="Normal 10 17 3 4 2 2" xfId="11404"/>
    <cellStyle name="Normal 10 17 3 4 3" xfId="11405"/>
    <cellStyle name="Normal 10 17 3 5" xfId="11406"/>
    <cellStyle name="Normal 10 17 3 5 2" xfId="11407"/>
    <cellStyle name="Normal 10 17 3 6" xfId="11408"/>
    <cellStyle name="Normal 10 17 4" xfId="11409"/>
    <cellStyle name="Normal 10 17 4 2" xfId="11410"/>
    <cellStyle name="Normal 10 17 4 2 2" xfId="11411"/>
    <cellStyle name="Normal 10 17 4 2 2 2" xfId="11412"/>
    <cellStyle name="Normal 10 17 4 2 2 2 2" xfId="11413"/>
    <cellStyle name="Normal 10 17 4 2 2 3" xfId="11414"/>
    <cellStyle name="Normal 10 17 4 2 3" xfId="11415"/>
    <cellStyle name="Normal 10 17 4 2 3 2" xfId="11416"/>
    <cellStyle name="Normal 10 17 4 2 4" xfId="11417"/>
    <cellStyle name="Normal 10 17 4 3" xfId="11418"/>
    <cellStyle name="Normal 10 17 4 3 2" xfId="11419"/>
    <cellStyle name="Normal 10 17 4 3 2 2" xfId="11420"/>
    <cellStyle name="Normal 10 17 4 3 2 2 2" xfId="11421"/>
    <cellStyle name="Normal 10 17 4 3 2 3" xfId="11422"/>
    <cellStyle name="Normal 10 17 4 3 3" xfId="11423"/>
    <cellStyle name="Normal 10 17 4 3 3 2" xfId="11424"/>
    <cellStyle name="Normal 10 17 4 3 4" xfId="11425"/>
    <cellStyle name="Normal 10 17 4 4" xfId="11426"/>
    <cellStyle name="Normal 10 17 4 4 2" xfId="11427"/>
    <cellStyle name="Normal 10 17 4 4 2 2" xfId="11428"/>
    <cellStyle name="Normal 10 17 4 4 3" xfId="11429"/>
    <cellStyle name="Normal 10 17 4 5" xfId="11430"/>
    <cellStyle name="Normal 10 17 4 5 2" xfId="11431"/>
    <cellStyle name="Normal 10 17 4 6" xfId="11432"/>
    <cellStyle name="Normal 10 17 5" xfId="11433"/>
    <cellStyle name="Normal 10 17 5 2" xfId="11434"/>
    <cellStyle name="Normal 10 17 5 2 2" xfId="11435"/>
    <cellStyle name="Normal 10 17 5 2 2 2" xfId="11436"/>
    <cellStyle name="Normal 10 17 5 2 2 2 2" xfId="11437"/>
    <cellStyle name="Normal 10 17 5 2 2 3" xfId="11438"/>
    <cellStyle name="Normal 10 17 5 2 3" xfId="11439"/>
    <cellStyle name="Normal 10 17 5 2 3 2" xfId="11440"/>
    <cellStyle name="Normal 10 17 5 2 4" xfId="11441"/>
    <cellStyle name="Normal 10 17 5 3" xfId="11442"/>
    <cellStyle name="Normal 10 17 5 3 2" xfId="11443"/>
    <cellStyle name="Normal 10 17 5 3 2 2" xfId="11444"/>
    <cellStyle name="Normal 10 17 5 3 2 2 2" xfId="11445"/>
    <cellStyle name="Normal 10 17 5 3 2 3" xfId="11446"/>
    <cellStyle name="Normal 10 17 5 3 3" xfId="11447"/>
    <cellStyle name="Normal 10 17 5 3 3 2" xfId="11448"/>
    <cellStyle name="Normal 10 17 5 3 4" xfId="11449"/>
    <cellStyle name="Normal 10 17 5 4" xfId="11450"/>
    <cellStyle name="Normal 10 17 5 4 2" xfId="11451"/>
    <cellStyle name="Normal 10 17 5 4 2 2" xfId="11452"/>
    <cellStyle name="Normal 10 17 5 4 3" xfId="11453"/>
    <cellStyle name="Normal 10 17 5 5" xfId="11454"/>
    <cellStyle name="Normal 10 17 5 5 2" xfId="11455"/>
    <cellStyle name="Normal 10 17 5 6" xfId="11456"/>
    <cellStyle name="Normal 10 17 6" xfId="11457"/>
    <cellStyle name="Normal 10 17 6 2" xfId="11458"/>
    <cellStyle name="Normal 10 17 6 2 2" xfId="11459"/>
    <cellStyle name="Normal 10 17 6 2 2 2" xfId="11460"/>
    <cellStyle name="Normal 10 17 6 2 2 2 2" xfId="11461"/>
    <cellStyle name="Normal 10 17 6 2 2 3" xfId="11462"/>
    <cellStyle name="Normal 10 17 6 2 3" xfId="11463"/>
    <cellStyle name="Normal 10 17 6 2 3 2" xfId="11464"/>
    <cellStyle name="Normal 10 17 6 2 4" xfId="11465"/>
    <cellStyle name="Normal 10 17 6 3" xfId="11466"/>
    <cellStyle name="Normal 10 17 6 3 2" xfId="11467"/>
    <cellStyle name="Normal 10 17 6 3 2 2" xfId="11468"/>
    <cellStyle name="Normal 10 17 6 3 2 2 2" xfId="11469"/>
    <cellStyle name="Normal 10 17 6 3 2 3" xfId="11470"/>
    <cellStyle name="Normal 10 17 6 3 3" xfId="11471"/>
    <cellStyle name="Normal 10 17 6 3 3 2" xfId="11472"/>
    <cellStyle name="Normal 10 17 6 3 4" xfId="11473"/>
    <cellStyle name="Normal 10 17 6 4" xfId="11474"/>
    <cellStyle name="Normal 10 17 6 4 2" xfId="11475"/>
    <cellStyle name="Normal 10 17 6 4 2 2" xfId="11476"/>
    <cellStyle name="Normal 10 17 6 4 3" xfId="11477"/>
    <cellStyle name="Normal 10 17 6 5" xfId="11478"/>
    <cellStyle name="Normal 10 17 6 5 2" xfId="11479"/>
    <cellStyle name="Normal 10 17 6 6" xfId="11480"/>
    <cellStyle name="Normal 10 17 7" xfId="11481"/>
    <cellStyle name="Normal 10 17 7 2" xfId="11482"/>
    <cellStyle name="Normal 10 17 7 2 2" xfId="11483"/>
    <cellStyle name="Normal 10 17 7 2 2 2" xfId="11484"/>
    <cellStyle name="Normal 10 17 7 2 2 2 2" xfId="11485"/>
    <cellStyle name="Normal 10 17 7 2 2 3" xfId="11486"/>
    <cellStyle name="Normal 10 17 7 2 3" xfId="11487"/>
    <cellStyle name="Normal 10 17 7 2 3 2" xfId="11488"/>
    <cellStyle name="Normal 10 17 7 2 4" xfId="11489"/>
    <cellStyle name="Normal 10 17 7 3" xfId="11490"/>
    <cellStyle name="Normal 10 17 7 3 2" xfId="11491"/>
    <cellStyle name="Normal 10 17 7 3 2 2" xfId="11492"/>
    <cellStyle name="Normal 10 17 7 3 2 2 2" xfId="11493"/>
    <cellStyle name="Normal 10 17 7 3 2 3" xfId="11494"/>
    <cellStyle name="Normal 10 17 7 3 3" xfId="11495"/>
    <cellStyle name="Normal 10 17 7 3 3 2" xfId="11496"/>
    <cellStyle name="Normal 10 17 7 3 4" xfId="11497"/>
    <cellStyle name="Normal 10 17 7 4" xfId="11498"/>
    <cellStyle name="Normal 10 17 7 4 2" xfId="11499"/>
    <cellStyle name="Normal 10 17 7 4 2 2" xfId="11500"/>
    <cellStyle name="Normal 10 17 7 4 3" xfId="11501"/>
    <cellStyle name="Normal 10 17 7 5" xfId="11502"/>
    <cellStyle name="Normal 10 17 7 5 2" xfId="11503"/>
    <cellStyle name="Normal 10 17 7 6" xfId="11504"/>
    <cellStyle name="Normal 10 17 8" xfId="11505"/>
    <cellStyle name="Normal 10 17 8 2" xfId="11506"/>
    <cellStyle name="Normal 10 17 8 2 2" xfId="11507"/>
    <cellStyle name="Normal 10 17 8 2 2 2" xfId="11508"/>
    <cellStyle name="Normal 10 17 8 2 2 2 2" xfId="11509"/>
    <cellStyle name="Normal 10 17 8 2 2 3" xfId="11510"/>
    <cellStyle name="Normal 10 17 8 2 3" xfId="11511"/>
    <cellStyle name="Normal 10 17 8 2 3 2" xfId="11512"/>
    <cellStyle name="Normal 10 17 8 2 4" xfId="11513"/>
    <cellStyle name="Normal 10 17 8 3" xfId="11514"/>
    <cellStyle name="Normal 10 17 8 3 2" xfId="11515"/>
    <cellStyle name="Normal 10 17 8 3 2 2" xfId="11516"/>
    <cellStyle name="Normal 10 17 8 3 2 2 2" xfId="11517"/>
    <cellStyle name="Normal 10 17 8 3 2 3" xfId="11518"/>
    <cellStyle name="Normal 10 17 8 3 3" xfId="11519"/>
    <cellStyle name="Normal 10 17 8 3 3 2" xfId="11520"/>
    <cellStyle name="Normal 10 17 8 3 4" xfId="11521"/>
    <cellStyle name="Normal 10 17 8 4" xfId="11522"/>
    <cellStyle name="Normal 10 17 8 4 2" xfId="11523"/>
    <cellStyle name="Normal 10 17 8 4 2 2" xfId="11524"/>
    <cellStyle name="Normal 10 17 8 4 3" xfId="11525"/>
    <cellStyle name="Normal 10 17 8 5" xfId="11526"/>
    <cellStyle name="Normal 10 17 8 5 2" xfId="11527"/>
    <cellStyle name="Normal 10 17 8 6" xfId="11528"/>
    <cellStyle name="Normal 10 17 9" xfId="11529"/>
    <cellStyle name="Normal 10 17 9 2" xfId="11530"/>
    <cellStyle name="Normal 10 17 9 2 2" xfId="11531"/>
    <cellStyle name="Normal 10 17 9 2 2 2" xfId="11532"/>
    <cellStyle name="Normal 10 17 9 2 2 2 2" xfId="11533"/>
    <cellStyle name="Normal 10 17 9 2 2 3" xfId="11534"/>
    <cellStyle name="Normal 10 17 9 2 3" xfId="11535"/>
    <cellStyle name="Normal 10 17 9 2 3 2" xfId="11536"/>
    <cellStyle name="Normal 10 17 9 2 4" xfId="11537"/>
    <cellStyle name="Normal 10 17 9 3" xfId="11538"/>
    <cellStyle name="Normal 10 17 9 3 2" xfId="11539"/>
    <cellStyle name="Normal 10 17 9 3 2 2" xfId="11540"/>
    <cellStyle name="Normal 10 17 9 3 2 2 2" xfId="11541"/>
    <cellStyle name="Normal 10 17 9 3 2 3" xfId="11542"/>
    <cellStyle name="Normal 10 17 9 3 3" xfId="11543"/>
    <cellStyle name="Normal 10 17 9 3 3 2" xfId="11544"/>
    <cellStyle name="Normal 10 17 9 3 4" xfId="11545"/>
    <cellStyle name="Normal 10 17 9 4" xfId="11546"/>
    <cellStyle name="Normal 10 17 9 4 2" xfId="11547"/>
    <cellStyle name="Normal 10 17 9 4 2 2" xfId="11548"/>
    <cellStyle name="Normal 10 17 9 4 3" xfId="11549"/>
    <cellStyle name="Normal 10 17 9 5" xfId="11550"/>
    <cellStyle name="Normal 10 17 9 5 2" xfId="11551"/>
    <cellStyle name="Normal 10 17 9 6" xfId="11552"/>
    <cellStyle name="Normal 10 18" xfId="11553"/>
    <cellStyle name="Normal 10 18 10" xfId="11554"/>
    <cellStyle name="Normal 10 18 10 2" xfId="11555"/>
    <cellStyle name="Normal 10 18 10 2 2" xfId="11556"/>
    <cellStyle name="Normal 10 18 10 2 2 2" xfId="11557"/>
    <cellStyle name="Normal 10 18 10 2 2 2 2" xfId="11558"/>
    <cellStyle name="Normal 10 18 10 2 2 3" xfId="11559"/>
    <cellStyle name="Normal 10 18 10 2 3" xfId="11560"/>
    <cellStyle name="Normal 10 18 10 2 3 2" xfId="11561"/>
    <cellStyle name="Normal 10 18 10 2 4" xfId="11562"/>
    <cellStyle name="Normal 10 18 10 3" xfId="11563"/>
    <cellStyle name="Normal 10 18 10 3 2" xfId="11564"/>
    <cellStyle name="Normal 10 18 10 3 2 2" xfId="11565"/>
    <cellStyle name="Normal 10 18 10 3 2 2 2" xfId="11566"/>
    <cellStyle name="Normal 10 18 10 3 2 3" xfId="11567"/>
    <cellStyle name="Normal 10 18 10 3 3" xfId="11568"/>
    <cellStyle name="Normal 10 18 10 3 3 2" xfId="11569"/>
    <cellStyle name="Normal 10 18 10 3 4" xfId="11570"/>
    <cellStyle name="Normal 10 18 10 4" xfId="11571"/>
    <cellStyle name="Normal 10 18 10 4 2" xfId="11572"/>
    <cellStyle name="Normal 10 18 10 4 2 2" xfId="11573"/>
    <cellStyle name="Normal 10 18 10 4 3" xfId="11574"/>
    <cellStyle name="Normal 10 18 10 5" xfId="11575"/>
    <cellStyle name="Normal 10 18 10 5 2" xfId="11576"/>
    <cellStyle name="Normal 10 18 10 6" xfId="11577"/>
    <cellStyle name="Normal 10 18 11" xfId="11578"/>
    <cellStyle name="Normal 10 18 11 2" xfId="11579"/>
    <cellStyle name="Normal 10 18 11 2 2" xfId="11580"/>
    <cellStyle name="Normal 10 18 11 2 2 2" xfId="11581"/>
    <cellStyle name="Normal 10 18 11 2 2 2 2" xfId="11582"/>
    <cellStyle name="Normal 10 18 11 2 2 3" xfId="11583"/>
    <cellStyle name="Normal 10 18 11 2 3" xfId="11584"/>
    <cellStyle name="Normal 10 18 11 2 3 2" xfId="11585"/>
    <cellStyle name="Normal 10 18 11 2 4" xfId="11586"/>
    <cellStyle name="Normal 10 18 11 3" xfId="11587"/>
    <cellStyle name="Normal 10 18 11 3 2" xfId="11588"/>
    <cellStyle name="Normal 10 18 11 3 2 2" xfId="11589"/>
    <cellStyle name="Normal 10 18 11 3 2 2 2" xfId="11590"/>
    <cellStyle name="Normal 10 18 11 3 2 3" xfId="11591"/>
    <cellStyle name="Normal 10 18 11 3 3" xfId="11592"/>
    <cellStyle name="Normal 10 18 11 3 3 2" xfId="11593"/>
    <cellStyle name="Normal 10 18 11 3 4" xfId="11594"/>
    <cellStyle name="Normal 10 18 11 4" xfId="11595"/>
    <cellStyle name="Normal 10 18 11 4 2" xfId="11596"/>
    <cellStyle name="Normal 10 18 11 4 2 2" xfId="11597"/>
    <cellStyle name="Normal 10 18 11 4 3" xfId="11598"/>
    <cellStyle name="Normal 10 18 11 5" xfId="11599"/>
    <cellStyle name="Normal 10 18 11 5 2" xfId="11600"/>
    <cellStyle name="Normal 10 18 11 6" xfId="11601"/>
    <cellStyle name="Normal 10 18 12" xfId="11602"/>
    <cellStyle name="Normal 10 18 12 2" xfId="11603"/>
    <cellStyle name="Normal 10 18 12 2 2" xfId="11604"/>
    <cellStyle name="Normal 10 18 12 2 2 2" xfId="11605"/>
    <cellStyle name="Normal 10 18 12 2 2 2 2" xfId="11606"/>
    <cellStyle name="Normal 10 18 12 2 2 3" xfId="11607"/>
    <cellStyle name="Normal 10 18 12 2 3" xfId="11608"/>
    <cellStyle name="Normal 10 18 12 2 3 2" xfId="11609"/>
    <cellStyle name="Normal 10 18 12 2 4" xfId="11610"/>
    <cellStyle name="Normal 10 18 12 3" xfId="11611"/>
    <cellStyle name="Normal 10 18 12 3 2" xfId="11612"/>
    <cellStyle name="Normal 10 18 12 3 2 2" xfId="11613"/>
    <cellStyle name="Normal 10 18 12 3 2 2 2" xfId="11614"/>
    <cellStyle name="Normal 10 18 12 3 2 3" xfId="11615"/>
    <cellStyle name="Normal 10 18 12 3 3" xfId="11616"/>
    <cellStyle name="Normal 10 18 12 3 3 2" xfId="11617"/>
    <cellStyle name="Normal 10 18 12 3 4" xfId="11618"/>
    <cellStyle name="Normal 10 18 12 4" xfId="11619"/>
    <cellStyle name="Normal 10 18 12 4 2" xfId="11620"/>
    <cellStyle name="Normal 10 18 12 4 2 2" xfId="11621"/>
    <cellStyle name="Normal 10 18 12 4 3" xfId="11622"/>
    <cellStyle name="Normal 10 18 12 5" xfId="11623"/>
    <cellStyle name="Normal 10 18 12 5 2" xfId="11624"/>
    <cellStyle name="Normal 10 18 12 6" xfId="11625"/>
    <cellStyle name="Normal 10 18 13" xfId="11626"/>
    <cellStyle name="Normal 10 18 13 2" xfId="11627"/>
    <cellStyle name="Normal 10 18 13 2 2" xfId="11628"/>
    <cellStyle name="Normal 10 18 13 2 2 2" xfId="11629"/>
    <cellStyle name="Normal 10 18 13 2 2 2 2" xfId="11630"/>
    <cellStyle name="Normal 10 18 13 2 2 3" xfId="11631"/>
    <cellStyle name="Normal 10 18 13 2 3" xfId="11632"/>
    <cellStyle name="Normal 10 18 13 2 3 2" xfId="11633"/>
    <cellStyle name="Normal 10 18 13 2 4" xfId="11634"/>
    <cellStyle name="Normal 10 18 13 3" xfId="11635"/>
    <cellStyle name="Normal 10 18 13 3 2" xfId="11636"/>
    <cellStyle name="Normal 10 18 13 3 2 2" xfId="11637"/>
    <cellStyle name="Normal 10 18 13 3 2 2 2" xfId="11638"/>
    <cellStyle name="Normal 10 18 13 3 2 3" xfId="11639"/>
    <cellStyle name="Normal 10 18 13 3 3" xfId="11640"/>
    <cellStyle name="Normal 10 18 13 3 3 2" xfId="11641"/>
    <cellStyle name="Normal 10 18 13 3 4" xfId="11642"/>
    <cellStyle name="Normal 10 18 13 4" xfId="11643"/>
    <cellStyle name="Normal 10 18 13 4 2" xfId="11644"/>
    <cellStyle name="Normal 10 18 13 4 2 2" xfId="11645"/>
    <cellStyle name="Normal 10 18 13 4 3" xfId="11646"/>
    <cellStyle name="Normal 10 18 13 5" xfId="11647"/>
    <cellStyle name="Normal 10 18 13 5 2" xfId="11648"/>
    <cellStyle name="Normal 10 18 13 6" xfId="11649"/>
    <cellStyle name="Normal 10 18 14" xfId="11650"/>
    <cellStyle name="Normal 10 18 14 2" xfId="11651"/>
    <cellStyle name="Normal 10 18 14 2 2" xfId="11652"/>
    <cellStyle name="Normal 10 18 14 2 2 2" xfId="11653"/>
    <cellStyle name="Normal 10 18 14 2 3" xfId="11654"/>
    <cellStyle name="Normal 10 18 14 3" xfId="11655"/>
    <cellStyle name="Normal 10 18 14 3 2" xfId="11656"/>
    <cellStyle name="Normal 10 18 14 4" xfId="11657"/>
    <cellStyle name="Normal 10 18 15" xfId="11658"/>
    <cellStyle name="Normal 10 18 15 2" xfId="11659"/>
    <cellStyle name="Normal 10 18 15 2 2" xfId="11660"/>
    <cellStyle name="Normal 10 18 15 2 2 2" xfId="11661"/>
    <cellStyle name="Normal 10 18 15 2 3" xfId="11662"/>
    <cellStyle name="Normal 10 18 15 3" xfId="11663"/>
    <cellStyle name="Normal 10 18 15 3 2" xfId="11664"/>
    <cellStyle name="Normal 10 18 15 4" xfId="11665"/>
    <cellStyle name="Normal 10 18 16" xfId="11666"/>
    <cellStyle name="Normal 10 18 16 2" xfId="11667"/>
    <cellStyle name="Normal 10 18 16 2 2" xfId="11668"/>
    <cellStyle name="Normal 10 18 16 3" xfId="11669"/>
    <cellStyle name="Normal 10 18 17" xfId="11670"/>
    <cellStyle name="Normal 10 18 17 2" xfId="11671"/>
    <cellStyle name="Normal 10 18 18" xfId="11672"/>
    <cellStyle name="Normal 10 18 2" xfId="11673"/>
    <cellStyle name="Normal 10 18 2 2" xfId="11674"/>
    <cellStyle name="Normal 10 18 2 2 2" xfId="11675"/>
    <cellStyle name="Normal 10 18 2 2 2 2" xfId="11676"/>
    <cellStyle name="Normal 10 18 2 2 2 2 2" xfId="11677"/>
    <cellStyle name="Normal 10 18 2 2 2 3" xfId="11678"/>
    <cellStyle name="Normal 10 18 2 2 3" xfId="11679"/>
    <cellStyle name="Normal 10 18 2 2 3 2" xfId="11680"/>
    <cellStyle name="Normal 10 18 2 2 4" xfId="11681"/>
    <cellStyle name="Normal 10 18 2 3" xfId="11682"/>
    <cellStyle name="Normal 10 18 2 3 2" xfId="11683"/>
    <cellStyle name="Normal 10 18 2 3 2 2" xfId="11684"/>
    <cellStyle name="Normal 10 18 2 3 2 2 2" xfId="11685"/>
    <cellStyle name="Normal 10 18 2 3 2 3" xfId="11686"/>
    <cellStyle name="Normal 10 18 2 3 3" xfId="11687"/>
    <cellStyle name="Normal 10 18 2 3 3 2" xfId="11688"/>
    <cellStyle name="Normal 10 18 2 3 4" xfId="11689"/>
    <cellStyle name="Normal 10 18 2 4" xfId="11690"/>
    <cellStyle name="Normal 10 18 2 4 2" xfId="11691"/>
    <cellStyle name="Normal 10 18 2 4 2 2" xfId="11692"/>
    <cellStyle name="Normal 10 18 2 4 3" xfId="11693"/>
    <cellStyle name="Normal 10 18 2 5" xfId="11694"/>
    <cellStyle name="Normal 10 18 2 5 2" xfId="11695"/>
    <cellStyle name="Normal 10 18 2 6" xfId="11696"/>
    <cellStyle name="Normal 10 18 3" xfId="11697"/>
    <cellStyle name="Normal 10 18 3 2" xfId="11698"/>
    <cellStyle name="Normal 10 18 3 2 2" xfId="11699"/>
    <cellStyle name="Normal 10 18 3 2 2 2" xfId="11700"/>
    <cellStyle name="Normal 10 18 3 2 2 2 2" xfId="11701"/>
    <cellStyle name="Normal 10 18 3 2 2 3" xfId="11702"/>
    <cellStyle name="Normal 10 18 3 2 3" xfId="11703"/>
    <cellStyle name="Normal 10 18 3 2 3 2" xfId="11704"/>
    <cellStyle name="Normal 10 18 3 2 4" xfId="11705"/>
    <cellStyle name="Normal 10 18 3 3" xfId="11706"/>
    <cellStyle name="Normal 10 18 3 3 2" xfId="11707"/>
    <cellStyle name="Normal 10 18 3 3 2 2" xfId="11708"/>
    <cellStyle name="Normal 10 18 3 3 2 2 2" xfId="11709"/>
    <cellStyle name="Normal 10 18 3 3 2 3" xfId="11710"/>
    <cellStyle name="Normal 10 18 3 3 3" xfId="11711"/>
    <cellStyle name="Normal 10 18 3 3 3 2" xfId="11712"/>
    <cellStyle name="Normal 10 18 3 3 4" xfId="11713"/>
    <cellStyle name="Normal 10 18 3 4" xfId="11714"/>
    <cellStyle name="Normal 10 18 3 4 2" xfId="11715"/>
    <cellStyle name="Normal 10 18 3 4 2 2" xfId="11716"/>
    <cellStyle name="Normal 10 18 3 4 3" xfId="11717"/>
    <cellStyle name="Normal 10 18 3 5" xfId="11718"/>
    <cellStyle name="Normal 10 18 3 5 2" xfId="11719"/>
    <cellStyle name="Normal 10 18 3 6" xfId="11720"/>
    <cellStyle name="Normal 10 18 4" xfId="11721"/>
    <cellStyle name="Normal 10 18 4 2" xfId="11722"/>
    <cellStyle name="Normal 10 18 4 2 2" xfId="11723"/>
    <cellStyle name="Normal 10 18 4 2 2 2" xfId="11724"/>
    <cellStyle name="Normal 10 18 4 2 2 2 2" xfId="11725"/>
    <cellStyle name="Normal 10 18 4 2 2 3" xfId="11726"/>
    <cellStyle name="Normal 10 18 4 2 3" xfId="11727"/>
    <cellStyle name="Normal 10 18 4 2 3 2" xfId="11728"/>
    <cellStyle name="Normal 10 18 4 2 4" xfId="11729"/>
    <cellStyle name="Normal 10 18 4 3" xfId="11730"/>
    <cellStyle name="Normal 10 18 4 3 2" xfId="11731"/>
    <cellStyle name="Normal 10 18 4 3 2 2" xfId="11732"/>
    <cellStyle name="Normal 10 18 4 3 2 2 2" xfId="11733"/>
    <cellStyle name="Normal 10 18 4 3 2 3" xfId="11734"/>
    <cellStyle name="Normal 10 18 4 3 3" xfId="11735"/>
    <cellStyle name="Normal 10 18 4 3 3 2" xfId="11736"/>
    <cellStyle name="Normal 10 18 4 3 4" xfId="11737"/>
    <cellStyle name="Normal 10 18 4 4" xfId="11738"/>
    <cellStyle name="Normal 10 18 4 4 2" xfId="11739"/>
    <cellStyle name="Normal 10 18 4 4 2 2" xfId="11740"/>
    <cellStyle name="Normal 10 18 4 4 3" xfId="11741"/>
    <cellStyle name="Normal 10 18 4 5" xfId="11742"/>
    <cellStyle name="Normal 10 18 4 5 2" xfId="11743"/>
    <cellStyle name="Normal 10 18 4 6" xfId="11744"/>
    <cellStyle name="Normal 10 18 5" xfId="11745"/>
    <cellStyle name="Normal 10 18 5 2" xfId="11746"/>
    <cellStyle name="Normal 10 18 5 2 2" xfId="11747"/>
    <cellStyle name="Normal 10 18 5 2 2 2" xfId="11748"/>
    <cellStyle name="Normal 10 18 5 2 2 2 2" xfId="11749"/>
    <cellStyle name="Normal 10 18 5 2 2 3" xfId="11750"/>
    <cellStyle name="Normal 10 18 5 2 3" xfId="11751"/>
    <cellStyle name="Normal 10 18 5 2 3 2" xfId="11752"/>
    <cellStyle name="Normal 10 18 5 2 4" xfId="11753"/>
    <cellStyle name="Normal 10 18 5 3" xfId="11754"/>
    <cellStyle name="Normal 10 18 5 3 2" xfId="11755"/>
    <cellStyle name="Normal 10 18 5 3 2 2" xfId="11756"/>
    <cellStyle name="Normal 10 18 5 3 2 2 2" xfId="11757"/>
    <cellStyle name="Normal 10 18 5 3 2 3" xfId="11758"/>
    <cellStyle name="Normal 10 18 5 3 3" xfId="11759"/>
    <cellStyle name="Normal 10 18 5 3 3 2" xfId="11760"/>
    <cellStyle name="Normal 10 18 5 3 4" xfId="11761"/>
    <cellStyle name="Normal 10 18 5 4" xfId="11762"/>
    <cellStyle name="Normal 10 18 5 4 2" xfId="11763"/>
    <cellStyle name="Normal 10 18 5 4 2 2" xfId="11764"/>
    <cellStyle name="Normal 10 18 5 4 3" xfId="11765"/>
    <cellStyle name="Normal 10 18 5 5" xfId="11766"/>
    <cellStyle name="Normal 10 18 5 5 2" xfId="11767"/>
    <cellStyle name="Normal 10 18 5 6" xfId="11768"/>
    <cellStyle name="Normal 10 18 6" xfId="11769"/>
    <cellStyle name="Normal 10 18 6 2" xfId="11770"/>
    <cellStyle name="Normal 10 18 6 2 2" xfId="11771"/>
    <cellStyle name="Normal 10 18 6 2 2 2" xfId="11772"/>
    <cellStyle name="Normal 10 18 6 2 2 2 2" xfId="11773"/>
    <cellStyle name="Normal 10 18 6 2 2 3" xfId="11774"/>
    <cellStyle name="Normal 10 18 6 2 3" xfId="11775"/>
    <cellStyle name="Normal 10 18 6 2 3 2" xfId="11776"/>
    <cellStyle name="Normal 10 18 6 2 4" xfId="11777"/>
    <cellStyle name="Normal 10 18 6 3" xfId="11778"/>
    <cellStyle name="Normal 10 18 6 3 2" xfId="11779"/>
    <cellStyle name="Normal 10 18 6 3 2 2" xfId="11780"/>
    <cellStyle name="Normal 10 18 6 3 2 2 2" xfId="11781"/>
    <cellStyle name="Normal 10 18 6 3 2 3" xfId="11782"/>
    <cellStyle name="Normal 10 18 6 3 3" xfId="11783"/>
    <cellStyle name="Normal 10 18 6 3 3 2" xfId="11784"/>
    <cellStyle name="Normal 10 18 6 3 4" xfId="11785"/>
    <cellStyle name="Normal 10 18 6 4" xfId="11786"/>
    <cellStyle name="Normal 10 18 6 4 2" xfId="11787"/>
    <cellStyle name="Normal 10 18 6 4 2 2" xfId="11788"/>
    <cellStyle name="Normal 10 18 6 4 3" xfId="11789"/>
    <cellStyle name="Normal 10 18 6 5" xfId="11790"/>
    <cellStyle name="Normal 10 18 6 5 2" xfId="11791"/>
    <cellStyle name="Normal 10 18 6 6" xfId="11792"/>
    <cellStyle name="Normal 10 18 7" xfId="11793"/>
    <cellStyle name="Normal 10 18 7 2" xfId="11794"/>
    <cellStyle name="Normal 10 18 7 2 2" xfId="11795"/>
    <cellStyle name="Normal 10 18 7 2 2 2" xfId="11796"/>
    <cellStyle name="Normal 10 18 7 2 2 2 2" xfId="11797"/>
    <cellStyle name="Normal 10 18 7 2 2 3" xfId="11798"/>
    <cellStyle name="Normal 10 18 7 2 3" xfId="11799"/>
    <cellStyle name="Normal 10 18 7 2 3 2" xfId="11800"/>
    <cellStyle name="Normal 10 18 7 2 4" xfId="11801"/>
    <cellStyle name="Normal 10 18 7 3" xfId="11802"/>
    <cellStyle name="Normal 10 18 7 3 2" xfId="11803"/>
    <cellStyle name="Normal 10 18 7 3 2 2" xfId="11804"/>
    <cellStyle name="Normal 10 18 7 3 2 2 2" xfId="11805"/>
    <cellStyle name="Normal 10 18 7 3 2 3" xfId="11806"/>
    <cellStyle name="Normal 10 18 7 3 3" xfId="11807"/>
    <cellStyle name="Normal 10 18 7 3 3 2" xfId="11808"/>
    <cellStyle name="Normal 10 18 7 3 4" xfId="11809"/>
    <cellStyle name="Normal 10 18 7 4" xfId="11810"/>
    <cellStyle name="Normal 10 18 7 4 2" xfId="11811"/>
    <cellStyle name="Normal 10 18 7 4 2 2" xfId="11812"/>
    <cellStyle name="Normal 10 18 7 4 3" xfId="11813"/>
    <cellStyle name="Normal 10 18 7 5" xfId="11814"/>
    <cellStyle name="Normal 10 18 7 5 2" xfId="11815"/>
    <cellStyle name="Normal 10 18 7 6" xfId="11816"/>
    <cellStyle name="Normal 10 18 8" xfId="11817"/>
    <cellStyle name="Normal 10 18 8 2" xfId="11818"/>
    <cellStyle name="Normal 10 18 8 2 2" xfId="11819"/>
    <cellStyle name="Normal 10 18 8 2 2 2" xfId="11820"/>
    <cellStyle name="Normal 10 18 8 2 2 2 2" xfId="11821"/>
    <cellStyle name="Normal 10 18 8 2 2 3" xfId="11822"/>
    <cellStyle name="Normal 10 18 8 2 3" xfId="11823"/>
    <cellStyle name="Normal 10 18 8 2 3 2" xfId="11824"/>
    <cellStyle name="Normal 10 18 8 2 4" xfId="11825"/>
    <cellStyle name="Normal 10 18 8 3" xfId="11826"/>
    <cellStyle name="Normal 10 18 8 3 2" xfId="11827"/>
    <cellStyle name="Normal 10 18 8 3 2 2" xfId="11828"/>
    <cellStyle name="Normal 10 18 8 3 2 2 2" xfId="11829"/>
    <cellStyle name="Normal 10 18 8 3 2 3" xfId="11830"/>
    <cellStyle name="Normal 10 18 8 3 3" xfId="11831"/>
    <cellStyle name="Normal 10 18 8 3 3 2" xfId="11832"/>
    <cellStyle name="Normal 10 18 8 3 4" xfId="11833"/>
    <cellStyle name="Normal 10 18 8 4" xfId="11834"/>
    <cellStyle name="Normal 10 18 8 4 2" xfId="11835"/>
    <cellStyle name="Normal 10 18 8 4 2 2" xfId="11836"/>
    <cellStyle name="Normal 10 18 8 4 3" xfId="11837"/>
    <cellStyle name="Normal 10 18 8 5" xfId="11838"/>
    <cellStyle name="Normal 10 18 8 5 2" xfId="11839"/>
    <cellStyle name="Normal 10 18 8 6" xfId="11840"/>
    <cellStyle name="Normal 10 18 9" xfId="11841"/>
    <cellStyle name="Normal 10 18 9 2" xfId="11842"/>
    <cellStyle name="Normal 10 18 9 2 2" xfId="11843"/>
    <cellStyle name="Normal 10 18 9 2 2 2" xfId="11844"/>
    <cellStyle name="Normal 10 18 9 2 2 2 2" xfId="11845"/>
    <cellStyle name="Normal 10 18 9 2 2 3" xfId="11846"/>
    <cellStyle name="Normal 10 18 9 2 3" xfId="11847"/>
    <cellStyle name="Normal 10 18 9 2 3 2" xfId="11848"/>
    <cellStyle name="Normal 10 18 9 2 4" xfId="11849"/>
    <cellStyle name="Normal 10 18 9 3" xfId="11850"/>
    <cellStyle name="Normal 10 18 9 3 2" xfId="11851"/>
    <cellStyle name="Normal 10 18 9 3 2 2" xfId="11852"/>
    <cellStyle name="Normal 10 18 9 3 2 2 2" xfId="11853"/>
    <cellStyle name="Normal 10 18 9 3 2 3" xfId="11854"/>
    <cellStyle name="Normal 10 18 9 3 3" xfId="11855"/>
    <cellStyle name="Normal 10 18 9 3 3 2" xfId="11856"/>
    <cellStyle name="Normal 10 18 9 3 4" xfId="11857"/>
    <cellStyle name="Normal 10 18 9 4" xfId="11858"/>
    <cellStyle name="Normal 10 18 9 4 2" xfId="11859"/>
    <cellStyle name="Normal 10 18 9 4 2 2" xfId="11860"/>
    <cellStyle name="Normal 10 18 9 4 3" xfId="11861"/>
    <cellStyle name="Normal 10 18 9 5" xfId="11862"/>
    <cellStyle name="Normal 10 18 9 5 2" xfId="11863"/>
    <cellStyle name="Normal 10 18 9 6" xfId="11864"/>
    <cellStyle name="Normal 10 19" xfId="11865"/>
    <cellStyle name="Normal 10 19 2" xfId="11866"/>
    <cellStyle name="Normal 10 19 2 2" xfId="11867"/>
    <cellStyle name="Normal 10 19 2 2 2" xfId="11868"/>
    <cellStyle name="Normal 10 19 2 2 2 2" xfId="11869"/>
    <cellStyle name="Normal 10 19 2 2 3" xfId="11870"/>
    <cellStyle name="Normal 10 19 2 3" xfId="11871"/>
    <cellStyle name="Normal 10 19 2 3 2" xfId="11872"/>
    <cellStyle name="Normal 10 19 2 4" xfId="11873"/>
    <cellStyle name="Normal 10 19 3" xfId="11874"/>
    <cellStyle name="Normal 10 19 3 2" xfId="11875"/>
    <cellStyle name="Normal 10 19 3 2 2" xfId="11876"/>
    <cellStyle name="Normal 10 19 3 2 2 2" xfId="11877"/>
    <cellStyle name="Normal 10 19 3 2 3" xfId="11878"/>
    <cellStyle name="Normal 10 19 3 3" xfId="11879"/>
    <cellStyle name="Normal 10 19 3 3 2" xfId="11880"/>
    <cellStyle name="Normal 10 19 3 4" xfId="11881"/>
    <cellStyle name="Normal 10 19 4" xfId="11882"/>
    <cellStyle name="Normal 10 19 4 2" xfId="11883"/>
    <cellStyle name="Normal 10 19 4 2 2" xfId="11884"/>
    <cellStyle name="Normal 10 19 4 3" xfId="11885"/>
    <cellStyle name="Normal 10 19 5" xfId="11886"/>
    <cellStyle name="Normal 10 19 5 2" xfId="11887"/>
    <cellStyle name="Normal 10 19 6" xfId="11888"/>
    <cellStyle name="Normal 10 2" xfId="11889"/>
    <cellStyle name="Normal 10 2 10" xfId="11890"/>
    <cellStyle name="Normal 10 2 10 2" xfId="11891"/>
    <cellStyle name="Normal 10 2 10 2 2" xfId="11892"/>
    <cellStyle name="Normal 10 2 10 2 2 2" xfId="11893"/>
    <cellStyle name="Normal 10 2 10 2 2 2 2" xfId="11894"/>
    <cellStyle name="Normal 10 2 10 2 2 3" xfId="11895"/>
    <cellStyle name="Normal 10 2 10 2 3" xfId="11896"/>
    <cellStyle name="Normal 10 2 10 2 3 2" xfId="11897"/>
    <cellStyle name="Normal 10 2 10 2 4" xfId="11898"/>
    <cellStyle name="Normal 10 2 10 3" xfId="11899"/>
    <cellStyle name="Normal 10 2 10 3 2" xfId="11900"/>
    <cellStyle name="Normal 10 2 10 3 2 2" xfId="11901"/>
    <cellStyle name="Normal 10 2 10 3 2 2 2" xfId="11902"/>
    <cellStyle name="Normal 10 2 10 3 2 3" xfId="11903"/>
    <cellStyle name="Normal 10 2 10 3 3" xfId="11904"/>
    <cellStyle name="Normal 10 2 10 3 3 2" xfId="11905"/>
    <cellStyle name="Normal 10 2 10 3 4" xfId="11906"/>
    <cellStyle name="Normal 10 2 10 4" xfId="11907"/>
    <cellStyle name="Normal 10 2 10 4 2" xfId="11908"/>
    <cellStyle name="Normal 10 2 10 4 2 2" xfId="11909"/>
    <cellStyle name="Normal 10 2 10 4 3" xfId="11910"/>
    <cellStyle name="Normal 10 2 10 5" xfId="11911"/>
    <cellStyle name="Normal 10 2 10 5 2" xfId="11912"/>
    <cellStyle name="Normal 10 2 10 6" xfId="11913"/>
    <cellStyle name="Normal 10 2 11" xfId="11914"/>
    <cellStyle name="Normal 10 2 11 2" xfId="11915"/>
    <cellStyle name="Normal 10 2 11 2 2" xfId="11916"/>
    <cellStyle name="Normal 10 2 11 2 2 2" xfId="11917"/>
    <cellStyle name="Normal 10 2 11 2 2 2 2" xfId="11918"/>
    <cellStyle name="Normal 10 2 11 2 2 3" xfId="11919"/>
    <cellStyle name="Normal 10 2 11 2 3" xfId="11920"/>
    <cellStyle name="Normal 10 2 11 2 3 2" xfId="11921"/>
    <cellStyle name="Normal 10 2 11 2 4" xfId="11922"/>
    <cellStyle name="Normal 10 2 11 3" xfId="11923"/>
    <cellStyle name="Normal 10 2 11 3 2" xfId="11924"/>
    <cellStyle name="Normal 10 2 11 3 2 2" xfId="11925"/>
    <cellStyle name="Normal 10 2 11 3 2 2 2" xfId="11926"/>
    <cellStyle name="Normal 10 2 11 3 2 3" xfId="11927"/>
    <cellStyle name="Normal 10 2 11 3 3" xfId="11928"/>
    <cellStyle name="Normal 10 2 11 3 3 2" xfId="11929"/>
    <cellStyle name="Normal 10 2 11 3 4" xfId="11930"/>
    <cellStyle name="Normal 10 2 11 4" xfId="11931"/>
    <cellStyle name="Normal 10 2 11 4 2" xfId="11932"/>
    <cellStyle name="Normal 10 2 11 4 2 2" xfId="11933"/>
    <cellStyle name="Normal 10 2 11 4 3" xfId="11934"/>
    <cellStyle name="Normal 10 2 11 5" xfId="11935"/>
    <cellStyle name="Normal 10 2 11 5 2" xfId="11936"/>
    <cellStyle name="Normal 10 2 11 6" xfId="11937"/>
    <cellStyle name="Normal 10 2 12" xfId="11938"/>
    <cellStyle name="Normal 10 2 12 2" xfId="11939"/>
    <cellStyle name="Normal 10 2 12 2 2" xfId="11940"/>
    <cellStyle name="Normal 10 2 12 2 2 2" xfId="11941"/>
    <cellStyle name="Normal 10 2 12 2 2 2 2" xfId="11942"/>
    <cellStyle name="Normal 10 2 12 2 2 3" xfId="11943"/>
    <cellStyle name="Normal 10 2 12 2 3" xfId="11944"/>
    <cellStyle name="Normal 10 2 12 2 3 2" xfId="11945"/>
    <cellStyle name="Normal 10 2 12 2 4" xfId="11946"/>
    <cellStyle name="Normal 10 2 12 3" xfId="11947"/>
    <cellStyle name="Normal 10 2 12 3 2" xfId="11948"/>
    <cellStyle name="Normal 10 2 12 3 2 2" xfId="11949"/>
    <cellStyle name="Normal 10 2 12 3 2 2 2" xfId="11950"/>
    <cellStyle name="Normal 10 2 12 3 2 3" xfId="11951"/>
    <cellStyle name="Normal 10 2 12 3 3" xfId="11952"/>
    <cellStyle name="Normal 10 2 12 3 3 2" xfId="11953"/>
    <cellStyle name="Normal 10 2 12 3 4" xfId="11954"/>
    <cellStyle name="Normal 10 2 12 4" xfId="11955"/>
    <cellStyle name="Normal 10 2 12 4 2" xfId="11956"/>
    <cellStyle name="Normal 10 2 12 4 2 2" xfId="11957"/>
    <cellStyle name="Normal 10 2 12 4 3" xfId="11958"/>
    <cellStyle name="Normal 10 2 12 5" xfId="11959"/>
    <cellStyle name="Normal 10 2 12 5 2" xfId="11960"/>
    <cellStyle name="Normal 10 2 12 6" xfId="11961"/>
    <cellStyle name="Normal 10 2 13" xfId="11962"/>
    <cellStyle name="Normal 10 2 13 2" xfId="11963"/>
    <cellStyle name="Normal 10 2 13 2 2" xfId="11964"/>
    <cellStyle name="Normal 10 2 13 2 2 2" xfId="11965"/>
    <cellStyle name="Normal 10 2 13 2 2 2 2" xfId="11966"/>
    <cellStyle name="Normal 10 2 13 2 2 3" xfId="11967"/>
    <cellStyle name="Normal 10 2 13 2 3" xfId="11968"/>
    <cellStyle name="Normal 10 2 13 2 3 2" xfId="11969"/>
    <cellStyle name="Normal 10 2 13 2 4" xfId="11970"/>
    <cellStyle name="Normal 10 2 13 3" xfId="11971"/>
    <cellStyle name="Normal 10 2 13 3 2" xfId="11972"/>
    <cellStyle name="Normal 10 2 13 3 2 2" xfId="11973"/>
    <cellStyle name="Normal 10 2 13 3 2 2 2" xfId="11974"/>
    <cellStyle name="Normal 10 2 13 3 2 3" xfId="11975"/>
    <cellStyle name="Normal 10 2 13 3 3" xfId="11976"/>
    <cellStyle name="Normal 10 2 13 3 3 2" xfId="11977"/>
    <cellStyle name="Normal 10 2 13 3 4" xfId="11978"/>
    <cellStyle name="Normal 10 2 13 4" xfId="11979"/>
    <cellStyle name="Normal 10 2 13 4 2" xfId="11980"/>
    <cellStyle name="Normal 10 2 13 4 2 2" xfId="11981"/>
    <cellStyle name="Normal 10 2 13 4 3" xfId="11982"/>
    <cellStyle name="Normal 10 2 13 5" xfId="11983"/>
    <cellStyle name="Normal 10 2 13 5 2" xfId="11984"/>
    <cellStyle name="Normal 10 2 13 6" xfId="11985"/>
    <cellStyle name="Normal 10 2 14" xfId="11986"/>
    <cellStyle name="Normal 10 2 14 2" xfId="11987"/>
    <cellStyle name="Normal 10 2 14 2 2" xfId="11988"/>
    <cellStyle name="Normal 10 2 14 2 2 2" xfId="11989"/>
    <cellStyle name="Normal 10 2 14 2 3" xfId="11990"/>
    <cellStyle name="Normal 10 2 14 3" xfId="11991"/>
    <cellStyle name="Normal 10 2 14 3 2" xfId="11992"/>
    <cellStyle name="Normal 10 2 14 4" xfId="11993"/>
    <cellStyle name="Normal 10 2 15" xfId="11994"/>
    <cellStyle name="Normal 10 2 15 2" xfId="11995"/>
    <cellStyle name="Normal 10 2 15 2 2" xfId="11996"/>
    <cellStyle name="Normal 10 2 15 2 2 2" xfId="11997"/>
    <cellStyle name="Normal 10 2 15 2 3" xfId="11998"/>
    <cellStyle name="Normal 10 2 15 3" xfId="11999"/>
    <cellStyle name="Normal 10 2 15 3 2" xfId="12000"/>
    <cellStyle name="Normal 10 2 15 4" xfId="12001"/>
    <cellStyle name="Normal 10 2 15 5" xfId="12002"/>
    <cellStyle name="Normal 10 2 16" xfId="12003"/>
    <cellStyle name="Normal 10 2 16 2" xfId="12004"/>
    <cellStyle name="Normal 10 2 16 2 2" xfId="12005"/>
    <cellStyle name="Normal 10 2 16 3" xfId="12006"/>
    <cellStyle name="Normal 10 2 17" xfId="12007"/>
    <cellStyle name="Normal 10 2 17 2" xfId="12008"/>
    <cellStyle name="Normal 10 2 18" xfId="12009"/>
    <cellStyle name="Normal 10 2 2" xfId="12010"/>
    <cellStyle name="Normal 10 2 2 2" xfId="12011"/>
    <cellStyle name="Normal 10 2 2 2 2" xfId="12012"/>
    <cellStyle name="Normal 10 2 2 2 2 2" xfId="12013"/>
    <cellStyle name="Normal 10 2 2 2 2 2 2" xfId="12014"/>
    <cellStyle name="Normal 10 2 2 2 2 3" xfId="12015"/>
    <cellStyle name="Normal 10 2 2 2 3" xfId="12016"/>
    <cellStyle name="Normal 10 2 2 2 3 2" xfId="12017"/>
    <cellStyle name="Normal 10 2 2 2 4" xfId="12018"/>
    <cellStyle name="Normal 10 2 2 3" xfId="12019"/>
    <cellStyle name="Normal 10 2 2 3 2" xfId="12020"/>
    <cellStyle name="Normal 10 2 2 3 2 2" xfId="12021"/>
    <cellStyle name="Normal 10 2 2 3 2 2 2" xfId="12022"/>
    <cellStyle name="Normal 10 2 2 3 2 3" xfId="12023"/>
    <cellStyle name="Normal 10 2 2 3 3" xfId="12024"/>
    <cellStyle name="Normal 10 2 2 3 3 2" xfId="12025"/>
    <cellStyle name="Normal 10 2 2 3 4" xfId="12026"/>
    <cellStyle name="Normal 10 2 2 4" xfId="12027"/>
    <cellStyle name="Normal 10 2 2 4 2" xfId="12028"/>
    <cellStyle name="Normal 10 2 2 4 2 2" xfId="12029"/>
    <cellStyle name="Normal 10 2 2 4 3" xfId="12030"/>
    <cellStyle name="Normal 10 2 2 5" xfId="12031"/>
    <cellStyle name="Normal 10 2 2 5 2" xfId="12032"/>
    <cellStyle name="Normal 10 2 2 6" xfId="12033"/>
    <cellStyle name="Normal 10 2 3" xfId="12034"/>
    <cellStyle name="Normal 10 2 3 2" xfId="12035"/>
    <cellStyle name="Normal 10 2 3 2 2" xfId="12036"/>
    <cellStyle name="Normal 10 2 3 2 2 2" xfId="12037"/>
    <cellStyle name="Normal 10 2 3 2 2 2 2" xfId="12038"/>
    <cellStyle name="Normal 10 2 3 2 2 3" xfId="12039"/>
    <cellStyle name="Normal 10 2 3 2 3" xfId="12040"/>
    <cellStyle name="Normal 10 2 3 2 3 2" xfId="12041"/>
    <cellStyle name="Normal 10 2 3 2 4" xfId="12042"/>
    <cellStyle name="Normal 10 2 3 3" xfId="12043"/>
    <cellStyle name="Normal 10 2 3 3 2" xfId="12044"/>
    <cellStyle name="Normal 10 2 3 3 2 2" xfId="12045"/>
    <cellStyle name="Normal 10 2 3 3 2 2 2" xfId="12046"/>
    <cellStyle name="Normal 10 2 3 3 2 3" xfId="12047"/>
    <cellStyle name="Normal 10 2 3 3 3" xfId="12048"/>
    <cellStyle name="Normal 10 2 3 3 3 2" xfId="12049"/>
    <cellStyle name="Normal 10 2 3 3 4" xfId="12050"/>
    <cellStyle name="Normal 10 2 3 4" xfId="12051"/>
    <cellStyle name="Normal 10 2 3 4 2" xfId="12052"/>
    <cellStyle name="Normal 10 2 3 4 2 2" xfId="12053"/>
    <cellStyle name="Normal 10 2 3 4 3" xfId="12054"/>
    <cellStyle name="Normal 10 2 3 5" xfId="12055"/>
    <cellStyle name="Normal 10 2 3 5 2" xfId="12056"/>
    <cellStyle name="Normal 10 2 3 6" xfId="12057"/>
    <cellStyle name="Normal 10 2 4" xfId="12058"/>
    <cellStyle name="Normal 10 2 4 2" xfId="12059"/>
    <cellStyle name="Normal 10 2 4 2 2" xfId="12060"/>
    <cellStyle name="Normal 10 2 4 2 2 2" xfId="12061"/>
    <cellStyle name="Normal 10 2 4 2 2 2 2" xfId="12062"/>
    <cellStyle name="Normal 10 2 4 2 2 3" xfId="12063"/>
    <cellStyle name="Normal 10 2 4 2 3" xfId="12064"/>
    <cellStyle name="Normal 10 2 4 2 3 2" xfId="12065"/>
    <cellStyle name="Normal 10 2 4 2 4" xfId="12066"/>
    <cellStyle name="Normal 10 2 4 3" xfId="12067"/>
    <cellStyle name="Normal 10 2 4 3 2" xfId="12068"/>
    <cellStyle name="Normal 10 2 4 3 2 2" xfId="12069"/>
    <cellStyle name="Normal 10 2 4 3 2 2 2" xfId="12070"/>
    <cellStyle name="Normal 10 2 4 3 2 3" xfId="12071"/>
    <cellStyle name="Normal 10 2 4 3 3" xfId="12072"/>
    <cellStyle name="Normal 10 2 4 3 3 2" xfId="12073"/>
    <cellStyle name="Normal 10 2 4 3 4" xfId="12074"/>
    <cellStyle name="Normal 10 2 4 4" xfId="12075"/>
    <cellStyle name="Normal 10 2 4 4 2" xfId="12076"/>
    <cellStyle name="Normal 10 2 4 4 2 2" xfId="12077"/>
    <cellStyle name="Normal 10 2 4 4 3" xfId="12078"/>
    <cellStyle name="Normal 10 2 4 5" xfId="12079"/>
    <cellStyle name="Normal 10 2 4 5 2" xfId="12080"/>
    <cellStyle name="Normal 10 2 4 6" xfId="12081"/>
    <cellStyle name="Normal 10 2 5" xfId="12082"/>
    <cellStyle name="Normal 10 2 5 2" xfId="12083"/>
    <cellStyle name="Normal 10 2 5 2 2" xfId="12084"/>
    <cellStyle name="Normal 10 2 5 2 2 2" xfId="12085"/>
    <cellStyle name="Normal 10 2 5 2 2 2 2" xfId="12086"/>
    <cellStyle name="Normal 10 2 5 2 2 3" xfId="12087"/>
    <cellStyle name="Normal 10 2 5 2 3" xfId="12088"/>
    <cellStyle name="Normal 10 2 5 2 3 2" xfId="12089"/>
    <cellStyle name="Normal 10 2 5 2 4" xfId="12090"/>
    <cellStyle name="Normal 10 2 5 3" xfId="12091"/>
    <cellStyle name="Normal 10 2 5 3 2" xfId="12092"/>
    <cellStyle name="Normal 10 2 5 3 2 2" xfId="12093"/>
    <cellStyle name="Normal 10 2 5 3 2 2 2" xfId="12094"/>
    <cellStyle name="Normal 10 2 5 3 2 3" xfId="12095"/>
    <cellStyle name="Normal 10 2 5 3 3" xfId="12096"/>
    <cellStyle name="Normal 10 2 5 3 3 2" xfId="12097"/>
    <cellStyle name="Normal 10 2 5 3 4" xfId="12098"/>
    <cellStyle name="Normal 10 2 5 4" xfId="12099"/>
    <cellStyle name="Normal 10 2 5 4 2" xfId="12100"/>
    <cellStyle name="Normal 10 2 5 4 2 2" xfId="12101"/>
    <cellStyle name="Normal 10 2 5 4 3" xfId="12102"/>
    <cellStyle name="Normal 10 2 5 5" xfId="12103"/>
    <cellStyle name="Normal 10 2 5 5 2" xfId="12104"/>
    <cellStyle name="Normal 10 2 5 6" xfId="12105"/>
    <cellStyle name="Normal 10 2 6" xfId="12106"/>
    <cellStyle name="Normal 10 2 6 2" xfId="12107"/>
    <cellStyle name="Normal 10 2 6 2 2" xfId="12108"/>
    <cellStyle name="Normal 10 2 6 2 2 2" xfId="12109"/>
    <cellStyle name="Normal 10 2 6 2 2 2 2" xfId="12110"/>
    <cellStyle name="Normal 10 2 6 2 2 3" xfId="12111"/>
    <cellStyle name="Normal 10 2 6 2 3" xfId="12112"/>
    <cellStyle name="Normal 10 2 6 2 3 2" xfId="12113"/>
    <cellStyle name="Normal 10 2 6 2 4" xfId="12114"/>
    <cellStyle name="Normal 10 2 6 3" xfId="12115"/>
    <cellStyle name="Normal 10 2 6 3 2" xfId="12116"/>
    <cellStyle name="Normal 10 2 6 3 2 2" xfId="12117"/>
    <cellStyle name="Normal 10 2 6 3 2 2 2" xfId="12118"/>
    <cellStyle name="Normal 10 2 6 3 2 3" xfId="12119"/>
    <cellStyle name="Normal 10 2 6 3 3" xfId="12120"/>
    <cellStyle name="Normal 10 2 6 3 3 2" xfId="12121"/>
    <cellStyle name="Normal 10 2 6 3 4" xfId="12122"/>
    <cellStyle name="Normal 10 2 6 4" xfId="12123"/>
    <cellStyle name="Normal 10 2 6 4 2" xfId="12124"/>
    <cellStyle name="Normal 10 2 6 4 2 2" xfId="12125"/>
    <cellStyle name="Normal 10 2 6 4 3" xfId="12126"/>
    <cellStyle name="Normal 10 2 6 5" xfId="12127"/>
    <cellStyle name="Normal 10 2 6 5 2" xfId="12128"/>
    <cellStyle name="Normal 10 2 6 6" xfId="12129"/>
    <cellStyle name="Normal 10 2 7" xfId="12130"/>
    <cellStyle name="Normal 10 2 7 2" xfId="12131"/>
    <cellStyle name="Normal 10 2 7 2 2" xfId="12132"/>
    <cellStyle name="Normal 10 2 7 2 2 2" xfId="12133"/>
    <cellStyle name="Normal 10 2 7 2 2 2 2" xfId="12134"/>
    <cellStyle name="Normal 10 2 7 2 2 3" xfId="12135"/>
    <cellStyle name="Normal 10 2 7 2 3" xfId="12136"/>
    <cellStyle name="Normal 10 2 7 2 3 2" xfId="12137"/>
    <cellStyle name="Normal 10 2 7 2 4" xfId="12138"/>
    <cellStyle name="Normal 10 2 7 3" xfId="12139"/>
    <cellStyle name="Normal 10 2 7 3 2" xfId="12140"/>
    <cellStyle name="Normal 10 2 7 3 2 2" xfId="12141"/>
    <cellStyle name="Normal 10 2 7 3 2 2 2" xfId="12142"/>
    <cellStyle name="Normal 10 2 7 3 2 3" xfId="12143"/>
    <cellStyle name="Normal 10 2 7 3 3" xfId="12144"/>
    <cellStyle name="Normal 10 2 7 3 3 2" xfId="12145"/>
    <cellStyle name="Normal 10 2 7 3 4" xfId="12146"/>
    <cellStyle name="Normal 10 2 7 4" xfId="12147"/>
    <cellStyle name="Normal 10 2 7 4 2" xfId="12148"/>
    <cellStyle name="Normal 10 2 7 4 2 2" xfId="12149"/>
    <cellStyle name="Normal 10 2 7 4 3" xfId="12150"/>
    <cellStyle name="Normal 10 2 7 5" xfId="12151"/>
    <cellStyle name="Normal 10 2 7 5 2" xfId="12152"/>
    <cellStyle name="Normal 10 2 7 6" xfId="12153"/>
    <cellStyle name="Normal 10 2 8" xfId="12154"/>
    <cellStyle name="Normal 10 2 8 2" xfId="12155"/>
    <cellStyle name="Normal 10 2 8 2 2" xfId="12156"/>
    <cellStyle name="Normal 10 2 8 2 2 2" xfId="12157"/>
    <cellStyle name="Normal 10 2 8 2 2 2 2" xfId="12158"/>
    <cellStyle name="Normal 10 2 8 2 2 3" xfId="12159"/>
    <cellStyle name="Normal 10 2 8 2 3" xfId="12160"/>
    <cellStyle name="Normal 10 2 8 2 3 2" xfId="12161"/>
    <cellStyle name="Normal 10 2 8 2 4" xfId="12162"/>
    <cellStyle name="Normal 10 2 8 3" xfId="12163"/>
    <cellStyle name="Normal 10 2 8 3 2" xfId="12164"/>
    <cellStyle name="Normal 10 2 8 3 2 2" xfId="12165"/>
    <cellStyle name="Normal 10 2 8 3 2 2 2" xfId="12166"/>
    <cellStyle name="Normal 10 2 8 3 2 3" xfId="12167"/>
    <cellStyle name="Normal 10 2 8 3 3" xfId="12168"/>
    <cellStyle name="Normal 10 2 8 3 3 2" xfId="12169"/>
    <cellStyle name="Normal 10 2 8 3 4" xfId="12170"/>
    <cellStyle name="Normal 10 2 8 4" xfId="12171"/>
    <cellStyle name="Normal 10 2 8 4 2" xfId="12172"/>
    <cellStyle name="Normal 10 2 8 4 2 2" xfId="12173"/>
    <cellStyle name="Normal 10 2 8 4 3" xfId="12174"/>
    <cellStyle name="Normal 10 2 8 5" xfId="12175"/>
    <cellStyle name="Normal 10 2 8 5 2" xfId="12176"/>
    <cellStyle name="Normal 10 2 8 6" xfId="12177"/>
    <cellStyle name="Normal 10 2 9" xfId="12178"/>
    <cellStyle name="Normal 10 2 9 2" xfId="12179"/>
    <cellStyle name="Normal 10 2 9 2 2" xfId="12180"/>
    <cellStyle name="Normal 10 2 9 2 2 2" xfId="12181"/>
    <cellStyle name="Normal 10 2 9 2 2 2 2" xfId="12182"/>
    <cellStyle name="Normal 10 2 9 2 2 3" xfId="12183"/>
    <cellStyle name="Normal 10 2 9 2 3" xfId="12184"/>
    <cellStyle name="Normal 10 2 9 2 3 2" xfId="12185"/>
    <cellStyle name="Normal 10 2 9 2 4" xfId="12186"/>
    <cellStyle name="Normal 10 2 9 3" xfId="12187"/>
    <cellStyle name="Normal 10 2 9 3 2" xfId="12188"/>
    <cellStyle name="Normal 10 2 9 3 2 2" xfId="12189"/>
    <cellStyle name="Normal 10 2 9 3 2 2 2" xfId="12190"/>
    <cellStyle name="Normal 10 2 9 3 2 3" xfId="12191"/>
    <cellStyle name="Normal 10 2 9 3 3" xfId="12192"/>
    <cellStyle name="Normal 10 2 9 3 3 2" xfId="12193"/>
    <cellStyle name="Normal 10 2 9 3 4" xfId="12194"/>
    <cellStyle name="Normal 10 2 9 4" xfId="12195"/>
    <cellStyle name="Normal 10 2 9 4 2" xfId="12196"/>
    <cellStyle name="Normal 10 2 9 4 2 2" xfId="12197"/>
    <cellStyle name="Normal 10 2 9 4 3" xfId="12198"/>
    <cellStyle name="Normal 10 2 9 5" xfId="12199"/>
    <cellStyle name="Normal 10 2 9 5 2" xfId="12200"/>
    <cellStyle name="Normal 10 2 9 6" xfId="12201"/>
    <cellStyle name="Normal 10 20" xfId="12202"/>
    <cellStyle name="Normal 10 20 2" xfId="12203"/>
    <cellStyle name="Normal 10 20 2 2" xfId="12204"/>
    <cellStyle name="Normal 10 20 2 2 2" xfId="12205"/>
    <cellStyle name="Normal 10 20 2 2 2 2" xfId="12206"/>
    <cellStyle name="Normal 10 20 2 2 3" xfId="12207"/>
    <cellStyle name="Normal 10 20 2 3" xfId="12208"/>
    <cellStyle name="Normal 10 20 2 3 2" xfId="12209"/>
    <cellStyle name="Normal 10 20 2 4" xfId="12210"/>
    <cellStyle name="Normal 10 20 3" xfId="12211"/>
    <cellStyle name="Normal 10 20 3 2" xfId="12212"/>
    <cellStyle name="Normal 10 20 3 2 2" xfId="12213"/>
    <cellStyle name="Normal 10 20 3 2 2 2" xfId="12214"/>
    <cellStyle name="Normal 10 20 3 2 3" xfId="12215"/>
    <cellStyle name="Normal 10 20 3 3" xfId="12216"/>
    <cellStyle name="Normal 10 20 3 3 2" xfId="12217"/>
    <cellStyle name="Normal 10 20 3 4" xfId="12218"/>
    <cellStyle name="Normal 10 20 4" xfId="12219"/>
    <cellStyle name="Normal 10 20 4 2" xfId="12220"/>
    <cellStyle name="Normal 10 20 4 2 2" xfId="12221"/>
    <cellStyle name="Normal 10 20 4 3" xfId="12222"/>
    <cellStyle name="Normal 10 20 5" xfId="12223"/>
    <cellStyle name="Normal 10 20 5 2" xfId="12224"/>
    <cellStyle name="Normal 10 20 6" xfId="12225"/>
    <cellStyle name="Normal 10 21" xfId="12226"/>
    <cellStyle name="Normal 10 21 2" xfId="12227"/>
    <cellStyle name="Normal 10 21 2 2" xfId="12228"/>
    <cellStyle name="Normal 10 21 2 2 2" xfId="12229"/>
    <cellStyle name="Normal 10 21 2 2 2 2" xfId="12230"/>
    <cellStyle name="Normal 10 21 2 2 3" xfId="12231"/>
    <cellStyle name="Normal 10 21 2 3" xfId="12232"/>
    <cellStyle name="Normal 10 21 2 3 2" xfId="12233"/>
    <cellStyle name="Normal 10 21 2 4" xfId="12234"/>
    <cellStyle name="Normal 10 21 3" xfId="12235"/>
    <cellStyle name="Normal 10 21 3 2" xfId="12236"/>
    <cellStyle name="Normal 10 21 3 2 2" xfId="12237"/>
    <cellStyle name="Normal 10 21 3 2 2 2" xfId="12238"/>
    <cellStyle name="Normal 10 21 3 2 3" xfId="12239"/>
    <cellStyle name="Normal 10 21 3 3" xfId="12240"/>
    <cellStyle name="Normal 10 21 3 3 2" xfId="12241"/>
    <cellStyle name="Normal 10 21 3 4" xfId="12242"/>
    <cellStyle name="Normal 10 21 4" xfId="12243"/>
    <cellStyle name="Normal 10 21 4 2" xfId="12244"/>
    <cellStyle name="Normal 10 21 4 2 2" xfId="12245"/>
    <cellStyle name="Normal 10 21 4 3" xfId="12246"/>
    <cellStyle name="Normal 10 21 5" xfId="12247"/>
    <cellStyle name="Normal 10 21 5 2" xfId="12248"/>
    <cellStyle name="Normal 10 21 6" xfId="12249"/>
    <cellStyle name="Normal 10 22" xfId="12250"/>
    <cellStyle name="Normal 10 22 2" xfId="12251"/>
    <cellStyle name="Normal 10 22 2 2" xfId="12252"/>
    <cellStyle name="Normal 10 22 2 2 2" xfId="12253"/>
    <cellStyle name="Normal 10 22 2 2 2 2" xfId="12254"/>
    <cellStyle name="Normal 10 22 2 2 3" xfId="12255"/>
    <cellStyle name="Normal 10 22 2 3" xfId="12256"/>
    <cellStyle name="Normal 10 22 2 3 2" xfId="12257"/>
    <cellStyle name="Normal 10 22 2 4" xfId="12258"/>
    <cellStyle name="Normal 10 22 3" xfId="12259"/>
    <cellStyle name="Normal 10 22 3 2" xfId="12260"/>
    <cellStyle name="Normal 10 22 3 2 2" xfId="12261"/>
    <cellStyle name="Normal 10 22 3 2 2 2" xfId="12262"/>
    <cellStyle name="Normal 10 22 3 2 3" xfId="12263"/>
    <cellStyle name="Normal 10 22 3 3" xfId="12264"/>
    <cellStyle name="Normal 10 22 3 3 2" xfId="12265"/>
    <cellStyle name="Normal 10 22 3 4" xfId="12266"/>
    <cellStyle name="Normal 10 22 4" xfId="12267"/>
    <cellStyle name="Normal 10 22 4 2" xfId="12268"/>
    <cellStyle name="Normal 10 22 4 2 2" xfId="12269"/>
    <cellStyle name="Normal 10 22 4 3" xfId="12270"/>
    <cellStyle name="Normal 10 22 5" xfId="12271"/>
    <cellStyle name="Normal 10 22 5 2" xfId="12272"/>
    <cellStyle name="Normal 10 22 6" xfId="12273"/>
    <cellStyle name="Normal 10 23" xfId="12274"/>
    <cellStyle name="Normal 10 23 2" xfId="12275"/>
    <cellStyle name="Normal 10 23 2 2" xfId="12276"/>
    <cellStyle name="Normal 10 23 2 2 2" xfId="12277"/>
    <cellStyle name="Normal 10 23 2 2 2 2" xfId="12278"/>
    <cellStyle name="Normal 10 23 2 2 3" xfId="12279"/>
    <cellStyle name="Normal 10 23 2 3" xfId="12280"/>
    <cellStyle name="Normal 10 23 2 3 2" xfId="12281"/>
    <cellStyle name="Normal 10 23 2 4" xfId="12282"/>
    <cellStyle name="Normal 10 23 3" xfId="12283"/>
    <cellStyle name="Normal 10 23 3 2" xfId="12284"/>
    <cellStyle name="Normal 10 23 3 2 2" xfId="12285"/>
    <cellStyle name="Normal 10 23 3 2 2 2" xfId="12286"/>
    <cellStyle name="Normal 10 23 3 2 3" xfId="12287"/>
    <cellStyle name="Normal 10 23 3 3" xfId="12288"/>
    <cellStyle name="Normal 10 23 3 3 2" xfId="12289"/>
    <cellStyle name="Normal 10 23 3 4" xfId="12290"/>
    <cellStyle name="Normal 10 23 4" xfId="12291"/>
    <cellStyle name="Normal 10 23 4 2" xfId="12292"/>
    <cellStyle name="Normal 10 23 4 2 2" xfId="12293"/>
    <cellStyle name="Normal 10 23 4 3" xfId="12294"/>
    <cellStyle name="Normal 10 23 5" xfId="12295"/>
    <cellStyle name="Normal 10 23 5 2" xfId="12296"/>
    <cellStyle name="Normal 10 23 6" xfId="12297"/>
    <cellStyle name="Normal 10 24" xfId="12298"/>
    <cellStyle name="Normal 10 24 2" xfId="12299"/>
    <cellStyle name="Normal 10 24 2 2" xfId="12300"/>
    <cellStyle name="Normal 10 24 2 2 2" xfId="12301"/>
    <cellStyle name="Normal 10 24 2 2 2 2" xfId="12302"/>
    <cellStyle name="Normal 10 24 2 2 3" xfId="12303"/>
    <cellStyle name="Normal 10 24 2 3" xfId="12304"/>
    <cellStyle name="Normal 10 24 2 3 2" xfId="12305"/>
    <cellStyle name="Normal 10 24 2 4" xfId="12306"/>
    <cellStyle name="Normal 10 24 3" xfId="12307"/>
    <cellStyle name="Normal 10 24 3 2" xfId="12308"/>
    <cellStyle name="Normal 10 24 3 2 2" xfId="12309"/>
    <cellStyle name="Normal 10 24 3 2 2 2" xfId="12310"/>
    <cellStyle name="Normal 10 24 3 2 3" xfId="12311"/>
    <cellStyle name="Normal 10 24 3 3" xfId="12312"/>
    <cellStyle name="Normal 10 24 3 3 2" xfId="12313"/>
    <cellStyle name="Normal 10 24 3 4" xfId="12314"/>
    <cellStyle name="Normal 10 24 4" xfId="12315"/>
    <cellStyle name="Normal 10 24 4 2" xfId="12316"/>
    <cellStyle name="Normal 10 24 4 2 2" xfId="12317"/>
    <cellStyle name="Normal 10 24 4 3" xfId="12318"/>
    <cellStyle name="Normal 10 24 5" xfId="12319"/>
    <cellStyle name="Normal 10 24 5 2" xfId="12320"/>
    <cellStyle name="Normal 10 24 6" xfId="12321"/>
    <cellStyle name="Normal 10 25" xfId="12322"/>
    <cellStyle name="Normal 10 25 2" xfId="12323"/>
    <cellStyle name="Normal 10 25 2 2" xfId="12324"/>
    <cellStyle name="Normal 10 25 2 2 2" xfId="12325"/>
    <cellStyle name="Normal 10 25 2 2 2 2" xfId="12326"/>
    <cellStyle name="Normal 10 25 2 2 3" xfId="12327"/>
    <cellStyle name="Normal 10 25 2 3" xfId="12328"/>
    <cellStyle name="Normal 10 25 2 3 2" xfId="12329"/>
    <cellStyle name="Normal 10 25 2 4" xfId="12330"/>
    <cellStyle name="Normal 10 25 3" xfId="12331"/>
    <cellStyle name="Normal 10 25 3 2" xfId="12332"/>
    <cellStyle name="Normal 10 25 3 2 2" xfId="12333"/>
    <cellStyle name="Normal 10 25 3 2 2 2" xfId="12334"/>
    <cellStyle name="Normal 10 25 3 2 3" xfId="12335"/>
    <cellStyle name="Normal 10 25 3 3" xfId="12336"/>
    <cellStyle name="Normal 10 25 3 3 2" xfId="12337"/>
    <cellStyle name="Normal 10 25 3 4" xfId="12338"/>
    <cellStyle name="Normal 10 25 4" xfId="12339"/>
    <cellStyle name="Normal 10 25 4 2" xfId="12340"/>
    <cellStyle name="Normal 10 25 4 2 2" xfId="12341"/>
    <cellStyle name="Normal 10 25 4 3" xfId="12342"/>
    <cellStyle name="Normal 10 25 5" xfId="12343"/>
    <cellStyle name="Normal 10 25 5 2" xfId="12344"/>
    <cellStyle name="Normal 10 25 6" xfId="12345"/>
    <cellStyle name="Normal 10 26" xfId="12346"/>
    <cellStyle name="Normal 10 26 2" xfId="12347"/>
    <cellStyle name="Normal 10 26 2 2" xfId="12348"/>
    <cellStyle name="Normal 10 26 2 2 2" xfId="12349"/>
    <cellStyle name="Normal 10 26 2 2 2 2" xfId="12350"/>
    <cellStyle name="Normal 10 26 2 2 3" xfId="12351"/>
    <cellStyle name="Normal 10 26 2 3" xfId="12352"/>
    <cellStyle name="Normal 10 26 2 3 2" xfId="12353"/>
    <cellStyle name="Normal 10 26 2 4" xfId="12354"/>
    <cellStyle name="Normal 10 26 3" xfId="12355"/>
    <cellStyle name="Normal 10 26 3 2" xfId="12356"/>
    <cellStyle name="Normal 10 26 3 2 2" xfId="12357"/>
    <cellStyle name="Normal 10 26 3 2 2 2" xfId="12358"/>
    <cellStyle name="Normal 10 26 3 2 3" xfId="12359"/>
    <cellStyle name="Normal 10 26 3 3" xfId="12360"/>
    <cellStyle name="Normal 10 26 3 3 2" xfId="12361"/>
    <cellStyle name="Normal 10 26 3 4" xfId="12362"/>
    <cellStyle name="Normal 10 26 4" xfId="12363"/>
    <cellStyle name="Normal 10 26 4 2" xfId="12364"/>
    <cellStyle name="Normal 10 26 4 2 2" xfId="12365"/>
    <cellStyle name="Normal 10 26 4 3" xfId="12366"/>
    <cellStyle name="Normal 10 26 5" xfId="12367"/>
    <cellStyle name="Normal 10 26 5 2" xfId="12368"/>
    <cellStyle name="Normal 10 26 6" xfId="12369"/>
    <cellStyle name="Normal 10 27" xfId="12370"/>
    <cellStyle name="Normal 10 27 2" xfId="12371"/>
    <cellStyle name="Normal 10 27 2 2" xfId="12372"/>
    <cellStyle name="Normal 10 27 2 2 2" xfId="12373"/>
    <cellStyle name="Normal 10 27 2 2 2 2" xfId="12374"/>
    <cellStyle name="Normal 10 27 2 2 3" xfId="12375"/>
    <cellStyle name="Normal 10 27 2 3" xfId="12376"/>
    <cellStyle name="Normal 10 27 2 3 2" xfId="12377"/>
    <cellStyle name="Normal 10 27 2 4" xfId="12378"/>
    <cellStyle name="Normal 10 27 3" xfId="12379"/>
    <cellStyle name="Normal 10 27 3 2" xfId="12380"/>
    <cellStyle name="Normal 10 27 3 2 2" xfId="12381"/>
    <cellStyle name="Normal 10 27 3 2 2 2" xfId="12382"/>
    <cellStyle name="Normal 10 27 3 2 3" xfId="12383"/>
    <cellStyle name="Normal 10 27 3 3" xfId="12384"/>
    <cellStyle name="Normal 10 27 3 3 2" xfId="12385"/>
    <cellStyle name="Normal 10 27 3 4" xfId="12386"/>
    <cellStyle name="Normal 10 27 4" xfId="12387"/>
    <cellStyle name="Normal 10 27 4 2" xfId="12388"/>
    <cellStyle name="Normal 10 27 4 2 2" xfId="12389"/>
    <cellStyle name="Normal 10 27 4 3" xfId="12390"/>
    <cellStyle name="Normal 10 27 5" xfId="12391"/>
    <cellStyle name="Normal 10 27 5 2" xfId="12392"/>
    <cellStyle name="Normal 10 27 6" xfId="12393"/>
    <cellStyle name="Normal 10 28" xfId="12394"/>
    <cellStyle name="Normal 10 28 2" xfId="12395"/>
    <cellStyle name="Normal 10 28 2 2" xfId="12396"/>
    <cellStyle name="Normal 10 28 2 2 2" xfId="12397"/>
    <cellStyle name="Normal 10 28 2 2 2 2" xfId="12398"/>
    <cellStyle name="Normal 10 28 2 2 3" xfId="12399"/>
    <cellStyle name="Normal 10 28 2 3" xfId="12400"/>
    <cellStyle name="Normal 10 28 2 3 2" xfId="12401"/>
    <cellStyle name="Normal 10 28 2 4" xfId="12402"/>
    <cellStyle name="Normal 10 28 3" xfId="12403"/>
    <cellStyle name="Normal 10 28 3 2" xfId="12404"/>
    <cellStyle name="Normal 10 28 3 2 2" xfId="12405"/>
    <cellStyle name="Normal 10 28 3 2 2 2" xfId="12406"/>
    <cellStyle name="Normal 10 28 3 2 3" xfId="12407"/>
    <cellStyle name="Normal 10 28 3 3" xfId="12408"/>
    <cellStyle name="Normal 10 28 3 3 2" xfId="12409"/>
    <cellStyle name="Normal 10 28 3 4" xfId="12410"/>
    <cellStyle name="Normal 10 28 4" xfId="12411"/>
    <cellStyle name="Normal 10 28 4 2" xfId="12412"/>
    <cellStyle name="Normal 10 28 4 2 2" xfId="12413"/>
    <cellStyle name="Normal 10 28 4 3" xfId="12414"/>
    <cellStyle name="Normal 10 28 5" xfId="12415"/>
    <cellStyle name="Normal 10 28 5 2" xfId="12416"/>
    <cellStyle name="Normal 10 28 6" xfId="12417"/>
    <cellStyle name="Normal 10 29" xfId="12418"/>
    <cellStyle name="Normal 10 29 2" xfId="12419"/>
    <cellStyle name="Normal 10 29 2 2" xfId="12420"/>
    <cellStyle name="Normal 10 29 2 2 2" xfId="12421"/>
    <cellStyle name="Normal 10 29 2 2 2 2" xfId="12422"/>
    <cellStyle name="Normal 10 29 2 2 3" xfId="12423"/>
    <cellStyle name="Normal 10 29 2 3" xfId="12424"/>
    <cellStyle name="Normal 10 29 2 3 2" xfId="12425"/>
    <cellStyle name="Normal 10 29 2 4" xfId="12426"/>
    <cellStyle name="Normal 10 29 3" xfId="12427"/>
    <cellStyle name="Normal 10 29 3 2" xfId="12428"/>
    <cellStyle name="Normal 10 29 3 2 2" xfId="12429"/>
    <cellStyle name="Normal 10 29 3 2 2 2" xfId="12430"/>
    <cellStyle name="Normal 10 29 3 2 3" xfId="12431"/>
    <cellStyle name="Normal 10 29 3 3" xfId="12432"/>
    <cellStyle name="Normal 10 29 3 3 2" xfId="12433"/>
    <cellStyle name="Normal 10 29 3 4" xfId="12434"/>
    <cellStyle name="Normal 10 29 4" xfId="12435"/>
    <cellStyle name="Normal 10 29 4 2" xfId="12436"/>
    <cellStyle name="Normal 10 29 4 2 2" xfId="12437"/>
    <cellStyle name="Normal 10 29 4 3" xfId="12438"/>
    <cellStyle name="Normal 10 29 5" xfId="12439"/>
    <cellStyle name="Normal 10 29 5 2" xfId="12440"/>
    <cellStyle name="Normal 10 29 6" xfId="12441"/>
    <cellStyle name="Normal 10 3" xfId="12442"/>
    <cellStyle name="Normal 10 3 10" xfId="12443"/>
    <cellStyle name="Normal 10 3 10 2" xfId="12444"/>
    <cellStyle name="Normal 10 3 10 2 2" xfId="12445"/>
    <cellStyle name="Normal 10 3 10 2 2 2" xfId="12446"/>
    <cellStyle name="Normal 10 3 10 2 2 2 2" xfId="12447"/>
    <cellStyle name="Normal 10 3 10 2 2 3" xfId="12448"/>
    <cellStyle name="Normal 10 3 10 2 3" xfId="12449"/>
    <cellStyle name="Normal 10 3 10 2 3 2" xfId="12450"/>
    <cellStyle name="Normal 10 3 10 2 4" xfId="12451"/>
    <cellStyle name="Normal 10 3 10 3" xfId="12452"/>
    <cellStyle name="Normal 10 3 10 3 2" xfId="12453"/>
    <cellStyle name="Normal 10 3 10 3 2 2" xfId="12454"/>
    <cellStyle name="Normal 10 3 10 3 2 2 2" xfId="12455"/>
    <cellStyle name="Normal 10 3 10 3 2 3" xfId="12456"/>
    <cellStyle name="Normal 10 3 10 3 3" xfId="12457"/>
    <cellStyle name="Normal 10 3 10 3 3 2" xfId="12458"/>
    <cellStyle name="Normal 10 3 10 3 4" xfId="12459"/>
    <cellStyle name="Normal 10 3 10 4" xfId="12460"/>
    <cellStyle name="Normal 10 3 10 4 2" xfId="12461"/>
    <cellStyle name="Normal 10 3 10 4 2 2" xfId="12462"/>
    <cellStyle name="Normal 10 3 10 4 3" xfId="12463"/>
    <cellStyle name="Normal 10 3 10 5" xfId="12464"/>
    <cellStyle name="Normal 10 3 10 5 2" xfId="12465"/>
    <cellStyle name="Normal 10 3 10 6" xfId="12466"/>
    <cellStyle name="Normal 10 3 11" xfId="12467"/>
    <cellStyle name="Normal 10 3 11 2" xfId="12468"/>
    <cellStyle name="Normal 10 3 11 2 2" xfId="12469"/>
    <cellStyle name="Normal 10 3 11 2 2 2" xfId="12470"/>
    <cellStyle name="Normal 10 3 11 2 2 2 2" xfId="12471"/>
    <cellStyle name="Normal 10 3 11 2 2 3" xfId="12472"/>
    <cellStyle name="Normal 10 3 11 2 3" xfId="12473"/>
    <cellStyle name="Normal 10 3 11 2 3 2" xfId="12474"/>
    <cellStyle name="Normal 10 3 11 2 4" xfId="12475"/>
    <cellStyle name="Normal 10 3 11 3" xfId="12476"/>
    <cellStyle name="Normal 10 3 11 3 2" xfId="12477"/>
    <cellStyle name="Normal 10 3 11 3 2 2" xfId="12478"/>
    <cellStyle name="Normal 10 3 11 3 2 2 2" xfId="12479"/>
    <cellStyle name="Normal 10 3 11 3 2 3" xfId="12480"/>
    <cellStyle name="Normal 10 3 11 3 3" xfId="12481"/>
    <cellStyle name="Normal 10 3 11 3 3 2" xfId="12482"/>
    <cellStyle name="Normal 10 3 11 3 4" xfId="12483"/>
    <cellStyle name="Normal 10 3 11 4" xfId="12484"/>
    <cellStyle name="Normal 10 3 11 4 2" xfId="12485"/>
    <cellStyle name="Normal 10 3 11 4 2 2" xfId="12486"/>
    <cellStyle name="Normal 10 3 11 4 3" xfId="12487"/>
    <cellStyle name="Normal 10 3 11 5" xfId="12488"/>
    <cellStyle name="Normal 10 3 11 5 2" xfId="12489"/>
    <cellStyle name="Normal 10 3 11 6" xfId="12490"/>
    <cellStyle name="Normal 10 3 12" xfId="12491"/>
    <cellStyle name="Normal 10 3 12 2" xfId="12492"/>
    <cellStyle name="Normal 10 3 12 2 2" xfId="12493"/>
    <cellStyle name="Normal 10 3 12 2 2 2" xfId="12494"/>
    <cellStyle name="Normal 10 3 12 2 2 2 2" xfId="12495"/>
    <cellStyle name="Normal 10 3 12 2 2 3" xfId="12496"/>
    <cellStyle name="Normal 10 3 12 2 3" xfId="12497"/>
    <cellStyle name="Normal 10 3 12 2 3 2" xfId="12498"/>
    <cellStyle name="Normal 10 3 12 2 4" xfId="12499"/>
    <cellStyle name="Normal 10 3 12 3" xfId="12500"/>
    <cellStyle name="Normal 10 3 12 3 2" xfId="12501"/>
    <cellStyle name="Normal 10 3 12 3 2 2" xfId="12502"/>
    <cellStyle name="Normal 10 3 12 3 2 2 2" xfId="12503"/>
    <cellStyle name="Normal 10 3 12 3 2 3" xfId="12504"/>
    <cellStyle name="Normal 10 3 12 3 3" xfId="12505"/>
    <cellStyle name="Normal 10 3 12 3 3 2" xfId="12506"/>
    <cellStyle name="Normal 10 3 12 3 4" xfId="12507"/>
    <cellStyle name="Normal 10 3 12 4" xfId="12508"/>
    <cellStyle name="Normal 10 3 12 4 2" xfId="12509"/>
    <cellStyle name="Normal 10 3 12 4 2 2" xfId="12510"/>
    <cellStyle name="Normal 10 3 12 4 3" xfId="12511"/>
    <cellStyle name="Normal 10 3 12 5" xfId="12512"/>
    <cellStyle name="Normal 10 3 12 5 2" xfId="12513"/>
    <cellStyle name="Normal 10 3 12 6" xfId="12514"/>
    <cellStyle name="Normal 10 3 13" xfId="12515"/>
    <cellStyle name="Normal 10 3 13 2" xfId="12516"/>
    <cellStyle name="Normal 10 3 13 2 2" xfId="12517"/>
    <cellStyle name="Normal 10 3 13 2 2 2" xfId="12518"/>
    <cellStyle name="Normal 10 3 13 2 2 2 2" xfId="12519"/>
    <cellStyle name="Normal 10 3 13 2 2 3" xfId="12520"/>
    <cellStyle name="Normal 10 3 13 2 3" xfId="12521"/>
    <cellStyle name="Normal 10 3 13 2 3 2" xfId="12522"/>
    <cellStyle name="Normal 10 3 13 2 4" xfId="12523"/>
    <cellStyle name="Normal 10 3 13 3" xfId="12524"/>
    <cellStyle name="Normal 10 3 13 3 2" xfId="12525"/>
    <cellStyle name="Normal 10 3 13 3 2 2" xfId="12526"/>
    <cellStyle name="Normal 10 3 13 3 2 2 2" xfId="12527"/>
    <cellStyle name="Normal 10 3 13 3 2 3" xfId="12528"/>
    <cellStyle name="Normal 10 3 13 3 3" xfId="12529"/>
    <cellStyle name="Normal 10 3 13 3 3 2" xfId="12530"/>
    <cellStyle name="Normal 10 3 13 3 4" xfId="12531"/>
    <cellStyle name="Normal 10 3 13 4" xfId="12532"/>
    <cellStyle name="Normal 10 3 13 4 2" xfId="12533"/>
    <cellStyle name="Normal 10 3 13 4 2 2" xfId="12534"/>
    <cellStyle name="Normal 10 3 13 4 3" xfId="12535"/>
    <cellStyle name="Normal 10 3 13 5" xfId="12536"/>
    <cellStyle name="Normal 10 3 13 5 2" xfId="12537"/>
    <cellStyle name="Normal 10 3 13 6" xfId="12538"/>
    <cellStyle name="Normal 10 3 14" xfId="12539"/>
    <cellStyle name="Normal 10 3 14 2" xfId="12540"/>
    <cellStyle name="Normal 10 3 14 2 2" xfId="12541"/>
    <cellStyle name="Normal 10 3 14 2 2 2" xfId="12542"/>
    <cellStyle name="Normal 10 3 14 2 3" xfId="12543"/>
    <cellStyle name="Normal 10 3 14 3" xfId="12544"/>
    <cellStyle name="Normal 10 3 14 3 2" xfId="12545"/>
    <cellStyle name="Normal 10 3 14 4" xfId="12546"/>
    <cellStyle name="Normal 10 3 15" xfId="12547"/>
    <cellStyle name="Normal 10 3 15 2" xfId="12548"/>
    <cellStyle name="Normal 10 3 15 2 2" xfId="12549"/>
    <cellStyle name="Normal 10 3 15 2 2 2" xfId="12550"/>
    <cellStyle name="Normal 10 3 15 2 3" xfId="12551"/>
    <cellStyle name="Normal 10 3 15 3" xfId="12552"/>
    <cellStyle name="Normal 10 3 15 3 2" xfId="12553"/>
    <cellStyle name="Normal 10 3 15 4" xfId="12554"/>
    <cellStyle name="Normal 10 3 16" xfId="12555"/>
    <cellStyle name="Normal 10 3 16 2" xfId="12556"/>
    <cellStyle name="Normal 10 3 16 2 2" xfId="12557"/>
    <cellStyle name="Normal 10 3 16 3" xfId="12558"/>
    <cellStyle name="Normal 10 3 17" xfId="12559"/>
    <cellStyle name="Normal 10 3 17 2" xfId="12560"/>
    <cellStyle name="Normal 10 3 18" xfId="12561"/>
    <cellStyle name="Normal 10 3 2" xfId="12562"/>
    <cellStyle name="Normal 10 3 2 2" xfId="12563"/>
    <cellStyle name="Normal 10 3 2 2 2" xfId="12564"/>
    <cellStyle name="Normal 10 3 2 2 2 2" xfId="12565"/>
    <cellStyle name="Normal 10 3 2 2 2 2 2" xfId="12566"/>
    <cellStyle name="Normal 10 3 2 2 2 3" xfId="12567"/>
    <cellStyle name="Normal 10 3 2 2 3" xfId="12568"/>
    <cellStyle name="Normal 10 3 2 2 3 2" xfId="12569"/>
    <cellStyle name="Normal 10 3 2 2 4" xfId="12570"/>
    <cellStyle name="Normal 10 3 2 3" xfId="12571"/>
    <cellStyle name="Normal 10 3 2 3 2" xfId="12572"/>
    <cellStyle name="Normal 10 3 2 3 2 2" xfId="12573"/>
    <cellStyle name="Normal 10 3 2 3 2 2 2" xfId="12574"/>
    <cellStyle name="Normal 10 3 2 3 2 3" xfId="12575"/>
    <cellStyle name="Normal 10 3 2 3 3" xfId="12576"/>
    <cellStyle name="Normal 10 3 2 3 3 2" xfId="12577"/>
    <cellStyle name="Normal 10 3 2 3 4" xfId="12578"/>
    <cellStyle name="Normal 10 3 2 4" xfId="12579"/>
    <cellStyle name="Normal 10 3 2 4 2" xfId="12580"/>
    <cellStyle name="Normal 10 3 2 4 2 2" xfId="12581"/>
    <cellStyle name="Normal 10 3 2 4 3" xfId="12582"/>
    <cellStyle name="Normal 10 3 2 5" xfId="12583"/>
    <cellStyle name="Normal 10 3 2 5 2" xfId="12584"/>
    <cellStyle name="Normal 10 3 2 6" xfId="12585"/>
    <cellStyle name="Normal 10 3 3" xfId="12586"/>
    <cellStyle name="Normal 10 3 3 2" xfId="12587"/>
    <cellStyle name="Normal 10 3 3 2 2" xfId="12588"/>
    <cellStyle name="Normal 10 3 3 2 2 2" xfId="12589"/>
    <cellStyle name="Normal 10 3 3 2 2 2 2" xfId="12590"/>
    <cellStyle name="Normal 10 3 3 2 2 3" xfId="12591"/>
    <cellStyle name="Normal 10 3 3 2 3" xfId="12592"/>
    <cellStyle name="Normal 10 3 3 2 3 2" xfId="12593"/>
    <cellStyle name="Normal 10 3 3 2 4" xfId="12594"/>
    <cellStyle name="Normal 10 3 3 3" xfId="12595"/>
    <cellStyle name="Normal 10 3 3 3 2" xfId="12596"/>
    <cellStyle name="Normal 10 3 3 3 2 2" xfId="12597"/>
    <cellStyle name="Normal 10 3 3 3 2 2 2" xfId="12598"/>
    <cellStyle name="Normal 10 3 3 3 2 3" xfId="12599"/>
    <cellStyle name="Normal 10 3 3 3 3" xfId="12600"/>
    <cellStyle name="Normal 10 3 3 3 3 2" xfId="12601"/>
    <cellStyle name="Normal 10 3 3 3 4" xfId="12602"/>
    <cellStyle name="Normal 10 3 3 4" xfId="12603"/>
    <cellStyle name="Normal 10 3 3 4 2" xfId="12604"/>
    <cellStyle name="Normal 10 3 3 4 2 2" xfId="12605"/>
    <cellStyle name="Normal 10 3 3 4 3" xfId="12606"/>
    <cellStyle name="Normal 10 3 3 5" xfId="12607"/>
    <cellStyle name="Normal 10 3 3 5 2" xfId="12608"/>
    <cellStyle name="Normal 10 3 3 6" xfId="12609"/>
    <cellStyle name="Normal 10 3 4" xfId="12610"/>
    <cellStyle name="Normal 10 3 4 2" xfId="12611"/>
    <cellStyle name="Normal 10 3 4 2 2" xfId="12612"/>
    <cellStyle name="Normal 10 3 4 2 2 2" xfId="12613"/>
    <cellStyle name="Normal 10 3 4 2 2 2 2" xfId="12614"/>
    <cellStyle name="Normal 10 3 4 2 2 3" xfId="12615"/>
    <cellStyle name="Normal 10 3 4 2 3" xfId="12616"/>
    <cellStyle name="Normal 10 3 4 2 3 2" xfId="12617"/>
    <cellStyle name="Normal 10 3 4 2 4" xfId="12618"/>
    <cellStyle name="Normal 10 3 4 3" xfId="12619"/>
    <cellStyle name="Normal 10 3 4 3 2" xfId="12620"/>
    <cellStyle name="Normal 10 3 4 3 2 2" xfId="12621"/>
    <cellStyle name="Normal 10 3 4 3 2 2 2" xfId="12622"/>
    <cellStyle name="Normal 10 3 4 3 2 3" xfId="12623"/>
    <cellStyle name="Normal 10 3 4 3 3" xfId="12624"/>
    <cellStyle name="Normal 10 3 4 3 3 2" xfId="12625"/>
    <cellStyle name="Normal 10 3 4 3 4" xfId="12626"/>
    <cellStyle name="Normal 10 3 4 4" xfId="12627"/>
    <cellStyle name="Normal 10 3 4 4 2" xfId="12628"/>
    <cellStyle name="Normal 10 3 4 4 2 2" xfId="12629"/>
    <cellStyle name="Normal 10 3 4 4 3" xfId="12630"/>
    <cellStyle name="Normal 10 3 4 5" xfId="12631"/>
    <cellStyle name="Normal 10 3 4 5 2" xfId="12632"/>
    <cellStyle name="Normal 10 3 4 6" xfId="12633"/>
    <cellStyle name="Normal 10 3 5" xfId="12634"/>
    <cellStyle name="Normal 10 3 5 2" xfId="12635"/>
    <cellStyle name="Normal 10 3 5 2 2" xfId="12636"/>
    <cellStyle name="Normal 10 3 5 2 2 2" xfId="12637"/>
    <cellStyle name="Normal 10 3 5 2 2 2 2" xfId="12638"/>
    <cellStyle name="Normal 10 3 5 2 2 3" xfId="12639"/>
    <cellStyle name="Normal 10 3 5 2 3" xfId="12640"/>
    <cellStyle name="Normal 10 3 5 2 3 2" xfId="12641"/>
    <cellStyle name="Normal 10 3 5 2 4" xfId="12642"/>
    <cellStyle name="Normal 10 3 5 3" xfId="12643"/>
    <cellStyle name="Normal 10 3 5 3 2" xfId="12644"/>
    <cellStyle name="Normal 10 3 5 3 2 2" xfId="12645"/>
    <cellStyle name="Normal 10 3 5 3 2 2 2" xfId="12646"/>
    <cellStyle name="Normal 10 3 5 3 2 3" xfId="12647"/>
    <cellStyle name="Normal 10 3 5 3 3" xfId="12648"/>
    <cellStyle name="Normal 10 3 5 3 3 2" xfId="12649"/>
    <cellStyle name="Normal 10 3 5 3 4" xfId="12650"/>
    <cellStyle name="Normal 10 3 5 4" xfId="12651"/>
    <cellStyle name="Normal 10 3 5 4 2" xfId="12652"/>
    <cellStyle name="Normal 10 3 5 4 2 2" xfId="12653"/>
    <cellStyle name="Normal 10 3 5 4 3" xfId="12654"/>
    <cellStyle name="Normal 10 3 5 5" xfId="12655"/>
    <cellStyle name="Normal 10 3 5 5 2" xfId="12656"/>
    <cellStyle name="Normal 10 3 5 6" xfId="12657"/>
    <cellStyle name="Normal 10 3 6" xfId="12658"/>
    <cellStyle name="Normal 10 3 6 2" xfId="12659"/>
    <cellStyle name="Normal 10 3 6 2 2" xfId="12660"/>
    <cellStyle name="Normal 10 3 6 2 2 2" xfId="12661"/>
    <cellStyle name="Normal 10 3 6 2 2 2 2" xfId="12662"/>
    <cellStyle name="Normal 10 3 6 2 2 3" xfId="12663"/>
    <cellStyle name="Normal 10 3 6 2 3" xfId="12664"/>
    <cellStyle name="Normal 10 3 6 2 3 2" xfId="12665"/>
    <cellStyle name="Normal 10 3 6 2 4" xfId="12666"/>
    <cellStyle name="Normal 10 3 6 3" xfId="12667"/>
    <cellStyle name="Normal 10 3 6 3 2" xfId="12668"/>
    <cellStyle name="Normal 10 3 6 3 2 2" xfId="12669"/>
    <cellStyle name="Normal 10 3 6 3 2 2 2" xfId="12670"/>
    <cellStyle name="Normal 10 3 6 3 2 3" xfId="12671"/>
    <cellStyle name="Normal 10 3 6 3 3" xfId="12672"/>
    <cellStyle name="Normal 10 3 6 3 3 2" xfId="12673"/>
    <cellStyle name="Normal 10 3 6 3 4" xfId="12674"/>
    <cellStyle name="Normal 10 3 6 4" xfId="12675"/>
    <cellStyle name="Normal 10 3 6 4 2" xfId="12676"/>
    <cellStyle name="Normal 10 3 6 4 2 2" xfId="12677"/>
    <cellStyle name="Normal 10 3 6 4 3" xfId="12678"/>
    <cellStyle name="Normal 10 3 6 5" xfId="12679"/>
    <cellStyle name="Normal 10 3 6 5 2" xfId="12680"/>
    <cellStyle name="Normal 10 3 6 6" xfId="12681"/>
    <cellStyle name="Normal 10 3 7" xfId="12682"/>
    <cellStyle name="Normal 10 3 7 2" xfId="12683"/>
    <cellStyle name="Normal 10 3 7 2 2" xfId="12684"/>
    <cellStyle name="Normal 10 3 7 2 2 2" xfId="12685"/>
    <cellStyle name="Normal 10 3 7 2 2 2 2" xfId="12686"/>
    <cellStyle name="Normal 10 3 7 2 2 3" xfId="12687"/>
    <cellStyle name="Normal 10 3 7 2 3" xfId="12688"/>
    <cellStyle name="Normal 10 3 7 2 3 2" xfId="12689"/>
    <cellStyle name="Normal 10 3 7 2 4" xfId="12690"/>
    <cellStyle name="Normal 10 3 7 3" xfId="12691"/>
    <cellStyle name="Normal 10 3 7 3 2" xfId="12692"/>
    <cellStyle name="Normal 10 3 7 3 2 2" xfId="12693"/>
    <cellStyle name="Normal 10 3 7 3 2 2 2" xfId="12694"/>
    <cellStyle name="Normal 10 3 7 3 2 3" xfId="12695"/>
    <cellStyle name="Normal 10 3 7 3 3" xfId="12696"/>
    <cellStyle name="Normal 10 3 7 3 3 2" xfId="12697"/>
    <cellStyle name="Normal 10 3 7 3 4" xfId="12698"/>
    <cellStyle name="Normal 10 3 7 4" xfId="12699"/>
    <cellStyle name="Normal 10 3 7 4 2" xfId="12700"/>
    <cellStyle name="Normal 10 3 7 4 2 2" xfId="12701"/>
    <cellStyle name="Normal 10 3 7 4 3" xfId="12702"/>
    <cellStyle name="Normal 10 3 7 5" xfId="12703"/>
    <cellStyle name="Normal 10 3 7 5 2" xfId="12704"/>
    <cellStyle name="Normal 10 3 7 6" xfId="12705"/>
    <cellStyle name="Normal 10 3 8" xfId="12706"/>
    <cellStyle name="Normal 10 3 8 2" xfId="12707"/>
    <cellStyle name="Normal 10 3 8 2 2" xfId="12708"/>
    <cellStyle name="Normal 10 3 8 2 2 2" xfId="12709"/>
    <cellStyle name="Normal 10 3 8 2 2 2 2" xfId="12710"/>
    <cellStyle name="Normal 10 3 8 2 2 3" xfId="12711"/>
    <cellStyle name="Normal 10 3 8 2 3" xfId="12712"/>
    <cellStyle name="Normal 10 3 8 2 3 2" xfId="12713"/>
    <cellStyle name="Normal 10 3 8 2 4" xfId="12714"/>
    <cellStyle name="Normal 10 3 8 3" xfId="12715"/>
    <cellStyle name="Normal 10 3 8 3 2" xfId="12716"/>
    <cellStyle name="Normal 10 3 8 3 2 2" xfId="12717"/>
    <cellStyle name="Normal 10 3 8 3 2 2 2" xfId="12718"/>
    <cellStyle name="Normal 10 3 8 3 2 3" xfId="12719"/>
    <cellStyle name="Normal 10 3 8 3 3" xfId="12720"/>
    <cellStyle name="Normal 10 3 8 3 3 2" xfId="12721"/>
    <cellStyle name="Normal 10 3 8 3 4" xfId="12722"/>
    <cellStyle name="Normal 10 3 8 4" xfId="12723"/>
    <cellStyle name="Normal 10 3 8 4 2" xfId="12724"/>
    <cellStyle name="Normal 10 3 8 4 2 2" xfId="12725"/>
    <cellStyle name="Normal 10 3 8 4 3" xfId="12726"/>
    <cellStyle name="Normal 10 3 8 5" xfId="12727"/>
    <cellStyle name="Normal 10 3 8 5 2" xfId="12728"/>
    <cellStyle name="Normal 10 3 8 6" xfId="12729"/>
    <cellStyle name="Normal 10 3 9" xfId="12730"/>
    <cellStyle name="Normal 10 3 9 2" xfId="12731"/>
    <cellStyle name="Normal 10 3 9 2 2" xfId="12732"/>
    <cellStyle name="Normal 10 3 9 2 2 2" xfId="12733"/>
    <cellStyle name="Normal 10 3 9 2 2 2 2" xfId="12734"/>
    <cellStyle name="Normal 10 3 9 2 2 3" xfId="12735"/>
    <cellStyle name="Normal 10 3 9 2 3" xfId="12736"/>
    <cellStyle name="Normal 10 3 9 2 3 2" xfId="12737"/>
    <cellStyle name="Normal 10 3 9 2 4" xfId="12738"/>
    <cellStyle name="Normal 10 3 9 3" xfId="12739"/>
    <cellStyle name="Normal 10 3 9 3 2" xfId="12740"/>
    <cellStyle name="Normal 10 3 9 3 2 2" xfId="12741"/>
    <cellStyle name="Normal 10 3 9 3 2 2 2" xfId="12742"/>
    <cellStyle name="Normal 10 3 9 3 2 3" xfId="12743"/>
    <cellStyle name="Normal 10 3 9 3 3" xfId="12744"/>
    <cellStyle name="Normal 10 3 9 3 3 2" xfId="12745"/>
    <cellStyle name="Normal 10 3 9 3 4" xfId="12746"/>
    <cellStyle name="Normal 10 3 9 4" xfId="12747"/>
    <cellStyle name="Normal 10 3 9 4 2" xfId="12748"/>
    <cellStyle name="Normal 10 3 9 4 2 2" xfId="12749"/>
    <cellStyle name="Normal 10 3 9 4 3" xfId="12750"/>
    <cellStyle name="Normal 10 3 9 5" xfId="12751"/>
    <cellStyle name="Normal 10 3 9 5 2" xfId="12752"/>
    <cellStyle name="Normal 10 3 9 6" xfId="12753"/>
    <cellStyle name="Normal 10 30" xfId="12754"/>
    <cellStyle name="Normal 10 30 2" xfId="12755"/>
    <cellStyle name="Normal 10 30 2 2" xfId="12756"/>
    <cellStyle name="Normal 10 30 2 2 2" xfId="12757"/>
    <cellStyle name="Normal 10 30 2 2 2 2" xfId="12758"/>
    <cellStyle name="Normal 10 30 2 2 3" xfId="12759"/>
    <cellStyle name="Normal 10 30 2 3" xfId="12760"/>
    <cellStyle name="Normal 10 30 2 3 2" xfId="12761"/>
    <cellStyle name="Normal 10 30 2 4" xfId="12762"/>
    <cellStyle name="Normal 10 30 3" xfId="12763"/>
    <cellStyle name="Normal 10 30 3 2" xfId="12764"/>
    <cellStyle name="Normal 10 30 3 2 2" xfId="12765"/>
    <cellStyle name="Normal 10 30 3 2 2 2" xfId="12766"/>
    <cellStyle name="Normal 10 30 3 2 3" xfId="12767"/>
    <cellStyle name="Normal 10 30 3 3" xfId="12768"/>
    <cellStyle name="Normal 10 30 3 3 2" xfId="12769"/>
    <cellStyle name="Normal 10 30 3 4" xfId="12770"/>
    <cellStyle name="Normal 10 30 4" xfId="12771"/>
    <cellStyle name="Normal 10 30 4 2" xfId="12772"/>
    <cellStyle name="Normal 10 30 4 2 2" xfId="12773"/>
    <cellStyle name="Normal 10 30 4 3" xfId="12774"/>
    <cellStyle name="Normal 10 30 5" xfId="12775"/>
    <cellStyle name="Normal 10 30 5 2" xfId="12776"/>
    <cellStyle name="Normal 10 30 6" xfId="12777"/>
    <cellStyle name="Normal 10 31" xfId="12778"/>
    <cellStyle name="Normal 10 31 2" xfId="12779"/>
    <cellStyle name="Normal 10 31 2 2" xfId="12780"/>
    <cellStyle name="Normal 10 31 2 2 2" xfId="12781"/>
    <cellStyle name="Normal 10 31 2 2 2 2" xfId="12782"/>
    <cellStyle name="Normal 10 31 2 2 3" xfId="12783"/>
    <cellStyle name="Normal 10 31 2 3" xfId="12784"/>
    <cellStyle name="Normal 10 31 2 3 2" xfId="12785"/>
    <cellStyle name="Normal 10 31 2 4" xfId="12786"/>
    <cellStyle name="Normal 10 31 3" xfId="12787"/>
    <cellStyle name="Normal 10 31 3 2" xfId="12788"/>
    <cellStyle name="Normal 10 31 3 2 2" xfId="12789"/>
    <cellStyle name="Normal 10 31 3 2 2 2" xfId="12790"/>
    <cellStyle name="Normal 10 31 3 2 3" xfId="12791"/>
    <cellStyle name="Normal 10 31 3 3" xfId="12792"/>
    <cellStyle name="Normal 10 31 3 3 2" xfId="12793"/>
    <cellStyle name="Normal 10 31 3 4" xfId="12794"/>
    <cellStyle name="Normal 10 31 4" xfId="12795"/>
    <cellStyle name="Normal 10 31 4 2" xfId="12796"/>
    <cellStyle name="Normal 10 31 4 2 2" xfId="12797"/>
    <cellStyle name="Normal 10 31 4 3" xfId="12798"/>
    <cellStyle name="Normal 10 31 5" xfId="12799"/>
    <cellStyle name="Normal 10 31 5 2" xfId="12800"/>
    <cellStyle name="Normal 10 31 6" xfId="12801"/>
    <cellStyle name="Normal 10 32" xfId="12802"/>
    <cellStyle name="Normal 10 32 2" xfId="12803"/>
    <cellStyle name="Normal 10 32 2 2" xfId="12804"/>
    <cellStyle name="Normal 10 32 2 2 2" xfId="12805"/>
    <cellStyle name="Normal 10 32 2 2 2 2" xfId="12806"/>
    <cellStyle name="Normal 10 32 2 2 3" xfId="12807"/>
    <cellStyle name="Normal 10 32 2 3" xfId="12808"/>
    <cellStyle name="Normal 10 32 2 3 2" xfId="12809"/>
    <cellStyle name="Normal 10 32 2 4" xfId="12810"/>
    <cellStyle name="Normal 10 32 3" xfId="12811"/>
    <cellStyle name="Normal 10 32 3 2" xfId="12812"/>
    <cellStyle name="Normal 10 32 3 2 2" xfId="12813"/>
    <cellStyle name="Normal 10 32 3 2 2 2" xfId="12814"/>
    <cellStyle name="Normal 10 32 3 2 3" xfId="12815"/>
    <cellStyle name="Normal 10 32 3 3" xfId="12816"/>
    <cellStyle name="Normal 10 32 3 3 2" xfId="12817"/>
    <cellStyle name="Normal 10 32 3 4" xfId="12818"/>
    <cellStyle name="Normal 10 32 4" xfId="12819"/>
    <cellStyle name="Normal 10 32 4 2" xfId="12820"/>
    <cellStyle name="Normal 10 32 4 2 2" xfId="12821"/>
    <cellStyle name="Normal 10 32 4 3" xfId="12822"/>
    <cellStyle name="Normal 10 32 5" xfId="12823"/>
    <cellStyle name="Normal 10 32 5 2" xfId="12824"/>
    <cellStyle name="Normal 10 32 6" xfId="12825"/>
    <cellStyle name="Normal 10 33" xfId="12826"/>
    <cellStyle name="Normal 10 33 2" xfId="12827"/>
    <cellStyle name="Normal 10 33 2 2" xfId="12828"/>
    <cellStyle name="Normal 10 33 2 2 2" xfId="12829"/>
    <cellStyle name="Normal 10 33 2 3" xfId="12830"/>
    <cellStyle name="Normal 10 33 3" xfId="12831"/>
    <cellStyle name="Normal 10 33 3 2" xfId="12832"/>
    <cellStyle name="Normal 10 33 4" xfId="12833"/>
    <cellStyle name="Normal 10 34" xfId="12834"/>
    <cellStyle name="Normal 10 34 2" xfId="12835"/>
    <cellStyle name="Normal 10 34 2 2" xfId="12836"/>
    <cellStyle name="Normal 10 34 2 2 2" xfId="12837"/>
    <cellStyle name="Normal 10 34 2 3" xfId="12838"/>
    <cellStyle name="Normal 10 34 3" xfId="12839"/>
    <cellStyle name="Normal 10 34 3 2" xfId="12840"/>
    <cellStyle name="Normal 10 34 4" xfId="12841"/>
    <cellStyle name="Normal 10 35" xfId="12842"/>
    <cellStyle name="Normal 10 35 2" xfId="12843"/>
    <cellStyle name="Normal 10 35 2 2" xfId="12844"/>
    <cellStyle name="Normal 10 35 3" xfId="12845"/>
    <cellStyle name="Normal 10 36" xfId="12846"/>
    <cellStyle name="Normal 10 36 2" xfId="12847"/>
    <cellStyle name="Normal 10 36 2 2" xfId="12848"/>
    <cellStyle name="Normal 10 36 3" xfId="12849"/>
    <cellStyle name="Normal 10 37" xfId="12850"/>
    <cellStyle name="Normal 10 37 2" xfId="12851"/>
    <cellStyle name="Normal 10 37 2 2" xfId="12852"/>
    <cellStyle name="Normal 10 37 3" xfId="12853"/>
    <cellStyle name="Normal 10 38" xfId="12854"/>
    <cellStyle name="Normal 10 38 2" xfId="12855"/>
    <cellStyle name="Normal 10 38 2 2" xfId="12856"/>
    <cellStyle name="Normal 10 38 3" xfId="12857"/>
    <cellStyle name="Normal 10 39" xfId="12858"/>
    <cellStyle name="Normal 10 39 2" xfId="12859"/>
    <cellStyle name="Normal 10 39 2 2" xfId="12860"/>
    <cellStyle name="Normal 10 39 3" xfId="12861"/>
    <cellStyle name="Normal 10 4" xfId="12862"/>
    <cellStyle name="Normal 10 4 10" xfId="12863"/>
    <cellStyle name="Normal 10 4 10 2" xfId="12864"/>
    <cellStyle name="Normal 10 4 10 2 2" xfId="12865"/>
    <cellStyle name="Normal 10 4 10 2 2 2" xfId="12866"/>
    <cellStyle name="Normal 10 4 10 2 2 2 2" xfId="12867"/>
    <cellStyle name="Normal 10 4 10 2 2 3" xfId="12868"/>
    <cellStyle name="Normal 10 4 10 2 3" xfId="12869"/>
    <cellStyle name="Normal 10 4 10 2 3 2" xfId="12870"/>
    <cellStyle name="Normal 10 4 10 2 4" xfId="12871"/>
    <cellStyle name="Normal 10 4 10 3" xfId="12872"/>
    <cellStyle name="Normal 10 4 10 3 2" xfId="12873"/>
    <cellStyle name="Normal 10 4 10 3 2 2" xfId="12874"/>
    <cellStyle name="Normal 10 4 10 3 2 2 2" xfId="12875"/>
    <cellStyle name="Normal 10 4 10 3 2 3" xfId="12876"/>
    <cellStyle name="Normal 10 4 10 3 3" xfId="12877"/>
    <cellStyle name="Normal 10 4 10 3 3 2" xfId="12878"/>
    <cellStyle name="Normal 10 4 10 3 4" xfId="12879"/>
    <cellStyle name="Normal 10 4 10 4" xfId="12880"/>
    <cellStyle name="Normal 10 4 10 4 2" xfId="12881"/>
    <cellStyle name="Normal 10 4 10 4 2 2" xfId="12882"/>
    <cellStyle name="Normal 10 4 10 4 3" xfId="12883"/>
    <cellStyle name="Normal 10 4 10 5" xfId="12884"/>
    <cellStyle name="Normal 10 4 10 5 2" xfId="12885"/>
    <cellStyle name="Normal 10 4 10 6" xfId="12886"/>
    <cellStyle name="Normal 10 4 11" xfId="12887"/>
    <cellStyle name="Normal 10 4 11 2" xfId="12888"/>
    <cellStyle name="Normal 10 4 11 2 2" xfId="12889"/>
    <cellStyle name="Normal 10 4 11 2 2 2" xfId="12890"/>
    <cellStyle name="Normal 10 4 11 2 2 2 2" xfId="12891"/>
    <cellStyle name="Normal 10 4 11 2 2 3" xfId="12892"/>
    <cellStyle name="Normal 10 4 11 2 3" xfId="12893"/>
    <cellStyle name="Normal 10 4 11 2 3 2" xfId="12894"/>
    <cellStyle name="Normal 10 4 11 2 4" xfId="12895"/>
    <cellStyle name="Normal 10 4 11 3" xfId="12896"/>
    <cellStyle name="Normal 10 4 11 3 2" xfId="12897"/>
    <cellStyle name="Normal 10 4 11 3 2 2" xfId="12898"/>
    <cellStyle name="Normal 10 4 11 3 2 2 2" xfId="12899"/>
    <cellStyle name="Normal 10 4 11 3 2 3" xfId="12900"/>
    <cellStyle name="Normal 10 4 11 3 3" xfId="12901"/>
    <cellStyle name="Normal 10 4 11 3 3 2" xfId="12902"/>
    <cellStyle name="Normal 10 4 11 3 4" xfId="12903"/>
    <cellStyle name="Normal 10 4 11 4" xfId="12904"/>
    <cellStyle name="Normal 10 4 11 4 2" xfId="12905"/>
    <cellStyle name="Normal 10 4 11 4 2 2" xfId="12906"/>
    <cellStyle name="Normal 10 4 11 4 3" xfId="12907"/>
    <cellStyle name="Normal 10 4 11 5" xfId="12908"/>
    <cellStyle name="Normal 10 4 11 5 2" xfId="12909"/>
    <cellStyle name="Normal 10 4 11 6" xfId="12910"/>
    <cellStyle name="Normal 10 4 12" xfId="12911"/>
    <cellStyle name="Normal 10 4 12 2" xfId="12912"/>
    <cellStyle name="Normal 10 4 12 2 2" xfId="12913"/>
    <cellStyle name="Normal 10 4 12 2 2 2" xfId="12914"/>
    <cellStyle name="Normal 10 4 12 2 2 2 2" xfId="12915"/>
    <cellStyle name="Normal 10 4 12 2 2 3" xfId="12916"/>
    <cellStyle name="Normal 10 4 12 2 3" xfId="12917"/>
    <cellStyle name="Normal 10 4 12 2 3 2" xfId="12918"/>
    <cellStyle name="Normal 10 4 12 2 4" xfId="12919"/>
    <cellStyle name="Normal 10 4 12 3" xfId="12920"/>
    <cellStyle name="Normal 10 4 12 3 2" xfId="12921"/>
    <cellStyle name="Normal 10 4 12 3 2 2" xfId="12922"/>
    <cellStyle name="Normal 10 4 12 3 2 2 2" xfId="12923"/>
    <cellStyle name="Normal 10 4 12 3 2 3" xfId="12924"/>
    <cellStyle name="Normal 10 4 12 3 3" xfId="12925"/>
    <cellStyle name="Normal 10 4 12 3 3 2" xfId="12926"/>
    <cellStyle name="Normal 10 4 12 3 4" xfId="12927"/>
    <cellStyle name="Normal 10 4 12 4" xfId="12928"/>
    <cellStyle name="Normal 10 4 12 4 2" xfId="12929"/>
    <cellStyle name="Normal 10 4 12 4 2 2" xfId="12930"/>
    <cellStyle name="Normal 10 4 12 4 3" xfId="12931"/>
    <cellStyle name="Normal 10 4 12 5" xfId="12932"/>
    <cellStyle name="Normal 10 4 12 5 2" xfId="12933"/>
    <cellStyle name="Normal 10 4 12 6" xfId="12934"/>
    <cellStyle name="Normal 10 4 13" xfId="12935"/>
    <cellStyle name="Normal 10 4 13 2" xfId="12936"/>
    <cellStyle name="Normal 10 4 13 2 2" xfId="12937"/>
    <cellStyle name="Normal 10 4 13 2 2 2" xfId="12938"/>
    <cellStyle name="Normal 10 4 13 2 2 2 2" xfId="12939"/>
    <cellStyle name="Normal 10 4 13 2 2 3" xfId="12940"/>
    <cellStyle name="Normal 10 4 13 2 3" xfId="12941"/>
    <cellStyle name="Normal 10 4 13 2 3 2" xfId="12942"/>
    <cellStyle name="Normal 10 4 13 2 4" xfId="12943"/>
    <cellStyle name="Normal 10 4 13 3" xfId="12944"/>
    <cellStyle name="Normal 10 4 13 3 2" xfId="12945"/>
    <cellStyle name="Normal 10 4 13 3 2 2" xfId="12946"/>
    <cellStyle name="Normal 10 4 13 3 2 2 2" xfId="12947"/>
    <cellStyle name="Normal 10 4 13 3 2 3" xfId="12948"/>
    <cellStyle name="Normal 10 4 13 3 3" xfId="12949"/>
    <cellStyle name="Normal 10 4 13 3 3 2" xfId="12950"/>
    <cellStyle name="Normal 10 4 13 3 4" xfId="12951"/>
    <cellStyle name="Normal 10 4 13 4" xfId="12952"/>
    <cellStyle name="Normal 10 4 13 4 2" xfId="12953"/>
    <cellStyle name="Normal 10 4 13 4 2 2" xfId="12954"/>
    <cellStyle name="Normal 10 4 13 4 3" xfId="12955"/>
    <cellStyle name="Normal 10 4 13 5" xfId="12956"/>
    <cellStyle name="Normal 10 4 13 5 2" xfId="12957"/>
    <cellStyle name="Normal 10 4 13 6" xfId="12958"/>
    <cellStyle name="Normal 10 4 14" xfId="12959"/>
    <cellStyle name="Normal 10 4 14 2" xfId="12960"/>
    <cellStyle name="Normal 10 4 14 2 2" xfId="12961"/>
    <cellStyle name="Normal 10 4 14 2 2 2" xfId="12962"/>
    <cellStyle name="Normal 10 4 14 2 3" xfId="12963"/>
    <cellStyle name="Normal 10 4 14 3" xfId="12964"/>
    <cellStyle name="Normal 10 4 14 3 2" xfId="12965"/>
    <cellStyle name="Normal 10 4 14 4" xfId="12966"/>
    <cellStyle name="Normal 10 4 15" xfId="12967"/>
    <cellStyle name="Normal 10 4 15 2" xfId="12968"/>
    <cellStyle name="Normal 10 4 15 2 2" xfId="12969"/>
    <cellStyle name="Normal 10 4 15 2 2 2" xfId="12970"/>
    <cellStyle name="Normal 10 4 15 2 3" xfId="12971"/>
    <cellStyle name="Normal 10 4 15 3" xfId="12972"/>
    <cellStyle name="Normal 10 4 15 3 2" xfId="12973"/>
    <cellStyle name="Normal 10 4 15 4" xfId="12974"/>
    <cellStyle name="Normal 10 4 16" xfId="12975"/>
    <cellStyle name="Normal 10 4 16 2" xfId="12976"/>
    <cellStyle name="Normal 10 4 16 2 2" xfId="12977"/>
    <cellStyle name="Normal 10 4 16 3" xfId="12978"/>
    <cellStyle name="Normal 10 4 17" xfId="12979"/>
    <cellStyle name="Normal 10 4 17 2" xfId="12980"/>
    <cellStyle name="Normal 10 4 18" xfId="12981"/>
    <cellStyle name="Normal 10 4 2" xfId="12982"/>
    <cellStyle name="Normal 10 4 2 2" xfId="12983"/>
    <cellStyle name="Normal 10 4 2 2 2" xfId="12984"/>
    <cellStyle name="Normal 10 4 2 2 2 2" xfId="12985"/>
    <cellStyle name="Normal 10 4 2 2 2 2 2" xfId="12986"/>
    <cellStyle name="Normal 10 4 2 2 2 3" xfId="12987"/>
    <cellStyle name="Normal 10 4 2 2 3" xfId="12988"/>
    <cellStyle name="Normal 10 4 2 2 3 2" xfId="12989"/>
    <cellStyle name="Normal 10 4 2 2 4" xfId="12990"/>
    <cellStyle name="Normal 10 4 2 3" xfId="12991"/>
    <cellStyle name="Normal 10 4 2 3 2" xfId="12992"/>
    <cellStyle name="Normal 10 4 2 3 2 2" xfId="12993"/>
    <cellStyle name="Normal 10 4 2 3 2 2 2" xfId="12994"/>
    <cellStyle name="Normal 10 4 2 3 2 3" xfId="12995"/>
    <cellStyle name="Normal 10 4 2 3 3" xfId="12996"/>
    <cellStyle name="Normal 10 4 2 3 3 2" xfId="12997"/>
    <cellStyle name="Normal 10 4 2 3 4" xfId="12998"/>
    <cellStyle name="Normal 10 4 2 4" xfId="12999"/>
    <cellStyle name="Normal 10 4 2 4 2" xfId="13000"/>
    <cellStyle name="Normal 10 4 2 4 2 2" xfId="13001"/>
    <cellStyle name="Normal 10 4 2 4 3" xfId="13002"/>
    <cellStyle name="Normal 10 4 2 5" xfId="13003"/>
    <cellStyle name="Normal 10 4 2 5 2" xfId="13004"/>
    <cellStyle name="Normal 10 4 2 6" xfId="13005"/>
    <cellStyle name="Normal 10 4 3" xfId="13006"/>
    <cellStyle name="Normal 10 4 3 2" xfId="13007"/>
    <cellStyle name="Normal 10 4 3 2 2" xfId="13008"/>
    <cellStyle name="Normal 10 4 3 2 2 2" xfId="13009"/>
    <cellStyle name="Normal 10 4 3 2 2 2 2" xfId="13010"/>
    <cellStyle name="Normal 10 4 3 2 2 3" xfId="13011"/>
    <cellStyle name="Normal 10 4 3 2 3" xfId="13012"/>
    <cellStyle name="Normal 10 4 3 2 3 2" xfId="13013"/>
    <cellStyle name="Normal 10 4 3 2 4" xfId="13014"/>
    <cellStyle name="Normal 10 4 3 3" xfId="13015"/>
    <cellStyle name="Normal 10 4 3 3 2" xfId="13016"/>
    <cellStyle name="Normal 10 4 3 3 2 2" xfId="13017"/>
    <cellStyle name="Normal 10 4 3 3 2 2 2" xfId="13018"/>
    <cellStyle name="Normal 10 4 3 3 2 3" xfId="13019"/>
    <cellStyle name="Normal 10 4 3 3 3" xfId="13020"/>
    <cellStyle name="Normal 10 4 3 3 3 2" xfId="13021"/>
    <cellStyle name="Normal 10 4 3 3 4" xfId="13022"/>
    <cellStyle name="Normal 10 4 3 4" xfId="13023"/>
    <cellStyle name="Normal 10 4 3 4 2" xfId="13024"/>
    <cellStyle name="Normal 10 4 3 4 2 2" xfId="13025"/>
    <cellStyle name="Normal 10 4 3 4 3" xfId="13026"/>
    <cellStyle name="Normal 10 4 3 5" xfId="13027"/>
    <cellStyle name="Normal 10 4 3 5 2" xfId="13028"/>
    <cellStyle name="Normal 10 4 3 6" xfId="13029"/>
    <cellStyle name="Normal 10 4 4" xfId="13030"/>
    <cellStyle name="Normal 10 4 4 2" xfId="13031"/>
    <cellStyle name="Normal 10 4 4 2 2" xfId="13032"/>
    <cellStyle name="Normal 10 4 4 2 2 2" xfId="13033"/>
    <cellStyle name="Normal 10 4 4 2 2 2 2" xfId="13034"/>
    <cellStyle name="Normal 10 4 4 2 2 3" xfId="13035"/>
    <cellStyle name="Normal 10 4 4 2 3" xfId="13036"/>
    <cellStyle name="Normal 10 4 4 2 3 2" xfId="13037"/>
    <cellStyle name="Normal 10 4 4 2 4" xfId="13038"/>
    <cellStyle name="Normal 10 4 4 3" xfId="13039"/>
    <cellStyle name="Normal 10 4 4 3 2" xfId="13040"/>
    <cellStyle name="Normal 10 4 4 3 2 2" xfId="13041"/>
    <cellStyle name="Normal 10 4 4 3 2 2 2" xfId="13042"/>
    <cellStyle name="Normal 10 4 4 3 2 3" xfId="13043"/>
    <cellStyle name="Normal 10 4 4 3 3" xfId="13044"/>
    <cellStyle name="Normal 10 4 4 3 3 2" xfId="13045"/>
    <cellStyle name="Normal 10 4 4 3 4" xfId="13046"/>
    <cellStyle name="Normal 10 4 4 4" xfId="13047"/>
    <cellStyle name="Normal 10 4 4 4 2" xfId="13048"/>
    <cellStyle name="Normal 10 4 4 4 2 2" xfId="13049"/>
    <cellStyle name="Normal 10 4 4 4 3" xfId="13050"/>
    <cellStyle name="Normal 10 4 4 5" xfId="13051"/>
    <cellStyle name="Normal 10 4 4 5 2" xfId="13052"/>
    <cellStyle name="Normal 10 4 4 6" xfId="13053"/>
    <cellStyle name="Normal 10 4 5" xfId="13054"/>
    <cellStyle name="Normal 10 4 5 2" xfId="13055"/>
    <cellStyle name="Normal 10 4 5 2 2" xfId="13056"/>
    <cellStyle name="Normal 10 4 5 2 2 2" xfId="13057"/>
    <cellStyle name="Normal 10 4 5 2 2 2 2" xfId="13058"/>
    <cellStyle name="Normal 10 4 5 2 2 3" xfId="13059"/>
    <cellStyle name="Normal 10 4 5 2 3" xfId="13060"/>
    <cellStyle name="Normal 10 4 5 2 3 2" xfId="13061"/>
    <cellStyle name="Normal 10 4 5 2 4" xfId="13062"/>
    <cellStyle name="Normal 10 4 5 3" xfId="13063"/>
    <cellStyle name="Normal 10 4 5 3 2" xfId="13064"/>
    <cellStyle name="Normal 10 4 5 3 2 2" xfId="13065"/>
    <cellStyle name="Normal 10 4 5 3 2 2 2" xfId="13066"/>
    <cellStyle name="Normal 10 4 5 3 2 3" xfId="13067"/>
    <cellStyle name="Normal 10 4 5 3 3" xfId="13068"/>
    <cellStyle name="Normal 10 4 5 3 3 2" xfId="13069"/>
    <cellStyle name="Normal 10 4 5 3 4" xfId="13070"/>
    <cellStyle name="Normal 10 4 5 4" xfId="13071"/>
    <cellStyle name="Normal 10 4 5 4 2" xfId="13072"/>
    <cellStyle name="Normal 10 4 5 4 2 2" xfId="13073"/>
    <cellStyle name="Normal 10 4 5 4 3" xfId="13074"/>
    <cellStyle name="Normal 10 4 5 5" xfId="13075"/>
    <cellStyle name="Normal 10 4 5 5 2" xfId="13076"/>
    <cellStyle name="Normal 10 4 5 6" xfId="13077"/>
    <cellStyle name="Normal 10 4 6" xfId="13078"/>
    <cellStyle name="Normal 10 4 6 2" xfId="13079"/>
    <cellStyle name="Normal 10 4 6 2 2" xfId="13080"/>
    <cellStyle name="Normal 10 4 6 2 2 2" xfId="13081"/>
    <cellStyle name="Normal 10 4 6 2 2 2 2" xfId="13082"/>
    <cellStyle name="Normal 10 4 6 2 2 3" xfId="13083"/>
    <cellStyle name="Normal 10 4 6 2 3" xfId="13084"/>
    <cellStyle name="Normal 10 4 6 2 3 2" xfId="13085"/>
    <cellStyle name="Normal 10 4 6 2 4" xfId="13086"/>
    <cellStyle name="Normal 10 4 6 3" xfId="13087"/>
    <cellStyle name="Normal 10 4 6 3 2" xfId="13088"/>
    <cellStyle name="Normal 10 4 6 3 2 2" xfId="13089"/>
    <cellStyle name="Normal 10 4 6 3 2 2 2" xfId="13090"/>
    <cellStyle name="Normal 10 4 6 3 2 3" xfId="13091"/>
    <cellStyle name="Normal 10 4 6 3 3" xfId="13092"/>
    <cellStyle name="Normal 10 4 6 3 3 2" xfId="13093"/>
    <cellStyle name="Normal 10 4 6 3 4" xfId="13094"/>
    <cellStyle name="Normal 10 4 6 4" xfId="13095"/>
    <cellStyle name="Normal 10 4 6 4 2" xfId="13096"/>
    <cellStyle name="Normal 10 4 6 4 2 2" xfId="13097"/>
    <cellStyle name="Normal 10 4 6 4 3" xfId="13098"/>
    <cellStyle name="Normal 10 4 6 5" xfId="13099"/>
    <cellStyle name="Normal 10 4 6 5 2" xfId="13100"/>
    <cellStyle name="Normal 10 4 6 6" xfId="13101"/>
    <cellStyle name="Normal 10 4 7" xfId="13102"/>
    <cellStyle name="Normal 10 4 7 2" xfId="13103"/>
    <cellStyle name="Normal 10 4 7 2 2" xfId="13104"/>
    <cellStyle name="Normal 10 4 7 2 2 2" xfId="13105"/>
    <cellStyle name="Normal 10 4 7 2 2 2 2" xfId="13106"/>
    <cellStyle name="Normal 10 4 7 2 2 3" xfId="13107"/>
    <cellStyle name="Normal 10 4 7 2 3" xfId="13108"/>
    <cellStyle name="Normal 10 4 7 2 3 2" xfId="13109"/>
    <cellStyle name="Normal 10 4 7 2 4" xfId="13110"/>
    <cellStyle name="Normal 10 4 7 3" xfId="13111"/>
    <cellStyle name="Normal 10 4 7 3 2" xfId="13112"/>
    <cellStyle name="Normal 10 4 7 3 2 2" xfId="13113"/>
    <cellStyle name="Normal 10 4 7 3 2 2 2" xfId="13114"/>
    <cellStyle name="Normal 10 4 7 3 2 3" xfId="13115"/>
    <cellStyle name="Normal 10 4 7 3 3" xfId="13116"/>
    <cellStyle name="Normal 10 4 7 3 3 2" xfId="13117"/>
    <cellStyle name="Normal 10 4 7 3 4" xfId="13118"/>
    <cellStyle name="Normal 10 4 7 4" xfId="13119"/>
    <cellStyle name="Normal 10 4 7 4 2" xfId="13120"/>
    <cellStyle name="Normal 10 4 7 4 2 2" xfId="13121"/>
    <cellStyle name="Normal 10 4 7 4 3" xfId="13122"/>
    <cellStyle name="Normal 10 4 7 5" xfId="13123"/>
    <cellStyle name="Normal 10 4 7 5 2" xfId="13124"/>
    <cellStyle name="Normal 10 4 7 6" xfId="13125"/>
    <cellStyle name="Normal 10 4 8" xfId="13126"/>
    <cellStyle name="Normal 10 4 8 2" xfId="13127"/>
    <cellStyle name="Normal 10 4 8 2 2" xfId="13128"/>
    <cellStyle name="Normal 10 4 8 2 2 2" xfId="13129"/>
    <cellStyle name="Normal 10 4 8 2 2 2 2" xfId="13130"/>
    <cellStyle name="Normal 10 4 8 2 2 3" xfId="13131"/>
    <cellStyle name="Normal 10 4 8 2 3" xfId="13132"/>
    <cellStyle name="Normal 10 4 8 2 3 2" xfId="13133"/>
    <cellStyle name="Normal 10 4 8 2 4" xfId="13134"/>
    <cellStyle name="Normal 10 4 8 3" xfId="13135"/>
    <cellStyle name="Normal 10 4 8 3 2" xfId="13136"/>
    <cellStyle name="Normal 10 4 8 3 2 2" xfId="13137"/>
    <cellStyle name="Normal 10 4 8 3 2 2 2" xfId="13138"/>
    <cellStyle name="Normal 10 4 8 3 2 3" xfId="13139"/>
    <cellStyle name="Normal 10 4 8 3 3" xfId="13140"/>
    <cellStyle name="Normal 10 4 8 3 3 2" xfId="13141"/>
    <cellStyle name="Normal 10 4 8 3 4" xfId="13142"/>
    <cellStyle name="Normal 10 4 8 4" xfId="13143"/>
    <cellStyle name="Normal 10 4 8 4 2" xfId="13144"/>
    <cellStyle name="Normal 10 4 8 4 2 2" xfId="13145"/>
    <cellStyle name="Normal 10 4 8 4 3" xfId="13146"/>
    <cellStyle name="Normal 10 4 8 5" xfId="13147"/>
    <cellStyle name="Normal 10 4 8 5 2" xfId="13148"/>
    <cellStyle name="Normal 10 4 8 6" xfId="13149"/>
    <cellStyle name="Normal 10 4 9" xfId="13150"/>
    <cellStyle name="Normal 10 4 9 2" xfId="13151"/>
    <cellStyle name="Normal 10 4 9 2 2" xfId="13152"/>
    <cellStyle name="Normal 10 4 9 2 2 2" xfId="13153"/>
    <cellStyle name="Normal 10 4 9 2 2 2 2" xfId="13154"/>
    <cellStyle name="Normal 10 4 9 2 2 3" xfId="13155"/>
    <cellStyle name="Normal 10 4 9 2 3" xfId="13156"/>
    <cellStyle name="Normal 10 4 9 2 3 2" xfId="13157"/>
    <cellStyle name="Normal 10 4 9 2 4" xfId="13158"/>
    <cellStyle name="Normal 10 4 9 3" xfId="13159"/>
    <cellStyle name="Normal 10 4 9 3 2" xfId="13160"/>
    <cellStyle name="Normal 10 4 9 3 2 2" xfId="13161"/>
    <cellStyle name="Normal 10 4 9 3 2 2 2" xfId="13162"/>
    <cellStyle name="Normal 10 4 9 3 2 3" xfId="13163"/>
    <cellStyle name="Normal 10 4 9 3 3" xfId="13164"/>
    <cellStyle name="Normal 10 4 9 3 3 2" xfId="13165"/>
    <cellStyle name="Normal 10 4 9 3 4" xfId="13166"/>
    <cellStyle name="Normal 10 4 9 4" xfId="13167"/>
    <cellStyle name="Normal 10 4 9 4 2" xfId="13168"/>
    <cellStyle name="Normal 10 4 9 4 2 2" xfId="13169"/>
    <cellStyle name="Normal 10 4 9 4 3" xfId="13170"/>
    <cellStyle name="Normal 10 4 9 5" xfId="13171"/>
    <cellStyle name="Normal 10 4 9 5 2" xfId="13172"/>
    <cellStyle name="Normal 10 4 9 6" xfId="13173"/>
    <cellStyle name="Normal 10 40" xfId="13174"/>
    <cellStyle name="Normal 10 40 2" xfId="13175"/>
    <cellStyle name="Normal 10 41" xfId="13176"/>
    <cellStyle name="Normal 10 41 2" xfId="13177"/>
    <cellStyle name="Normal 10 42" xfId="13178"/>
    <cellStyle name="Normal 10 42 2" xfId="13179"/>
    <cellStyle name="Normal 10 43" xfId="13180"/>
    <cellStyle name="Normal 10 43 2" xfId="13181"/>
    <cellStyle name="Normal 10 44" xfId="13182"/>
    <cellStyle name="Normal 10 44 2" xfId="13183"/>
    <cellStyle name="Normal 10 45" xfId="13184"/>
    <cellStyle name="Normal 10 45 2" xfId="13185"/>
    <cellStyle name="Normal 10 46" xfId="13186"/>
    <cellStyle name="Normal 10 46 2" xfId="13187"/>
    <cellStyle name="Normal 10 47" xfId="13188"/>
    <cellStyle name="Normal 10 47 2" xfId="13189"/>
    <cellStyle name="Normal 10 48" xfId="13190"/>
    <cellStyle name="Normal 10 49" xfId="13191"/>
    <cellStyle name="Normal 10 5" xfId="13192"/>
    <cellStyle name="Normal 10 5 10" xfId="13193"/>
    <cellStyle name="Normal 10 5 10 2" xfId="13194"/>
    <cellStyle name="Normal 10 5 10 2 2" xfId="13195"/>
    <cellStyle name="Normal 10 5 10 2 2 2" xfId="13196"/>
    <cellStyle name="Normal 10 5 10 2 2 2 2" xfId="13197"/>
    <cellStyle name="Normal 10 5 10 2 2 3" xfId="13198"/>
    <cellStyle name="Normal 10 5 10 2 3" xfId="13199"/>
    <cellStyle name="Normal 10 5 10 2 3 2" xfId="13200"/>
    <cellStyle name="Normal 10 5 10 2 4" xfId="13201"/>
    <cellStyle name="Normal 10 5 10 3" xfId="13202"/>
    <cellStyle name="Normal 10 5 10 3 2" xfId="13203"/>
    <cellStyle name="Normal 10 5 10 3 2 2" xfId="13204"/>
    <cellStyle name="Normal 10 5 10 3 2 2 2" xfId="13205"/>
    <cellStyle name="Normal 10 5 10 3 2 3" xfId="13206"/>
    <cellStyle name="Normal 10 5 10 3 3" xfId="13207"/>
    <cellStyle name="Normal 10 5 10 3 3 2" xfId="13208"/>
    <cellStyle name="Normal 10 5 10 3 4" xfId="13209"/>
    <cellStyle name="Normal 10 5 10 4" xfId="13210"/>
    <cellStyle name="Normal 10 5 10 4 2" xfId="13211"/>
    <cellStyle name="Normal 10 5 10 4 2 2" xfId="13212"/>
    <cellStyle name="Normal 10 5 10 4 3" xfId="13213"/>
    <cellStyle name="Normal 10 5 10 5" xfId="13214"/>
    <cellStyle name="Normal 10 5 10 5 2" xfId="13215"/>
    <cellStyle name="Normal 10 5 10 6" xfId="13216"/>
    <cellStyle name="Normal 10 5 11" xfId="13217"/>
    <cellStyle name="Normal 10 5 11 2" xfId="13218"/>
    <cellStyle name="Normal 10 5 11 2 2" xfId="13219"/>
    <cellStyle name="Normal 10 5 11 2 2 2" xfId="13220"/>
    <cellStyle name="Normal 10 5 11 2 2 2 2" xfId="13221"/>
    <cellStyle name="Normal 10 5 11 2 2 3" xfId="13222"/>
    <cellStyle name="Normal 10 5 11 2 3" xfId="13223"/>
    <cellStyle name="Normal 10 5 11 2 3 2" xfId="13224"/>
    <cellStyle name="Normal 10 5 11 2 4" xfId="13225"/>
    <cellStyle name="Normal 10 5 11 3" xfId="13226"/>
    <cellStyle name="Normal 10 5 11 3 2" xfId="13227"/>
    <cellStyle name="Normal 10 5 11 3 2 2" xfId="13228"/>
    <cellStyle name="Normal 10 5 11 3 2 2 2" xfId="13229"/>
    <cellStyle name="Normal 10 5 11 3 2 3" xfId="13230"/>
    <cellStyle name="Normal 10 5 11 3 3" xfId="13231"/>
    <cellStyle name="Normal 10 5 11 3 3 2" xfId="13232"/>
    <cellStyle name="Normal 10 5 11 3 4" xfId="13233"/>
    <cellStyle name="Normal 10 5 11 4" xfId="13234"/>
    <cellStyle name="Normal 10 5 11 4 2" xfId="13235"/>
    <cellStyle name="Normal 10 5 11 4 2 2" xfId="13236"/>
    <cellStyle name="Normal 10 5 11 4 3" xfId="13237"/>
    <cellStyle name="Normal 10 5 11 5" xfId="13238"/>
    <cellStyle name="Normal 10 5 11 5 2" xfId="13239"/>
    <cellStyle name="Normal 10 5 11 6" xfId="13240"/>
    <cellStyle name="Normal 10 5 12" xfId="13241"/>
    <cellStyle name="Normal 10 5 12 2" xfId="13242"/>
    <cellStyle name="Normal 10 5 12 2 2" xfId="13243"/>
    <cellStyle name="Normal 10 5 12 2 2 2" xfId="13244"/>
    <cellStyle name="Normal 10 5 12 2 2 2 2" xfId="13245"/>
    <cellStyle name="Normal 10 5 12 2 2 3" xfId="13246"/>
    <cellStyle name="Normal 10 5 12 2 3" xfId="13247"/>
    <cellStyle name="Normal 10 5 12 2 3 2" xfId="13248"/>
    <cellStyle name="Normal 10 5 12 2 4" xfId="13249"/>
    <cellStyle name="Normal 10 5 12 3" xfId="13250"/>
    <cellStyle name="Normal 10 5 12 3 2" xfId="13251"/>
    <cellStyle name="Normal 10 5 12 3 2 2" xfId="13252"/>
    <cellStyle name="Normal 10 5 12 3 2 2 2" xfId="13253"/>
    <cellStyle name="Normal 10 5 12 3 2 3" xfId="13254"/>
    <cellStyle name="Normal 10 5 12 3 3" xfId="13255"/>
    <cellStyle name="Normal 10 5 12 3 3 2" xfId="13256"/>
    <cellStyle name="Normal 10 5 12 3 4" xfId="13257"/>
    <cellStyle name="Normal 10 5 12 4" xfId="13258"/>
    <cellStyle name="Normal 10 5 12 4 2" xfId="13259"/>
    <cellStyle name="Normal 10 5 12 4 2 2" xfId="13260"/>
    <cellStyle name="Normal 10 5 12 4 3" xfId="13261"/>
    <cellStyle name="Normal 10 5 12 5" xfId="13262"/>
    <cellStyle name="Normal 10 5 12 5 2" xfId="13263"/>
    <cellStyle name="Normal 10 5 12 6" xfId="13264"/>
    <cellStyle name="Normal 10 5 13" xfId="13265"/>
    <cellStyle name="Normal 10 5 13 2" xfId="13266"/>
    <cellStyle name="Normal 10 5 13 2 2" xfId="13267"/>
    <cellStyle name="Normal 10 5 13 2 2 2" xfId="13268"/>
    <cellStyle name="Normal 10 5 13 2 2 2 2" xfId="13269"/>
    <cellStyle name="Normal 10 5 13 2 2 3" xfId="13270"/>
    <cellStyle name="Normal 10 5 13 2 3" xfId="13271"/>
    <cellStyle name="Normal 10 5 13 2 3 2" xfId="13272"/>
    <cellStyle name="Normal 10 5 13 2 4" xfId="13273"/>
    <cellStyle name="Normal 10 5 13 3" xfId="13274"/>
    <cellStyle name="Normal 10 5 13 3 2" xfId="13275"/>
    <cellStyle name="Normal 10 5 13 3 2 2" xfId="13276"/>
    <cellStyle name="Normal 10 5 13 3 2 2 2" xfId="13277"/>
    <cellStyle name="Normal 10 5 13 3 2 3" xfId="13278"/>
    <cellStyle name="Normal 10 5 13 3 3" xfId="13279"/>
    <cellStyle name="Normal 10 5 13 3 3 2" xfId="13280"/>
    <cellStyle name="Normal 10 5 13 3 4" xfId="13281"/>
    <cellStyle name="Normal 10 5 13 4" xfId="13282"/>
    <cellStyle name="Normal 10 5 13 4 2" xfId="13283"/>
    <cellStyle name="Normal 10 5 13 4 2 2" xfId="13284"/>
    <cellStyle name="Normal 10 5 13 4 3" xfId="13285"/>
    <cellStyle name="Normal 10 5 13 5" xfId="13286"/>
    <cellStyle name="Normal 10 5 13 5 2" xfId="13287"/>
    <cellStyle name="Normal 10 5 13 6" xfId="13288"/>
    <cellStyle name="Normal 10 5 14" xfId="13289"/>
    <cellStyle name="Normal 10 5 14 2" xfId="13290"/>
    <cellStyle name="Normal 10 5 14 2 2" xfId="13291"/>
    <cellStyle name="Normal 10 5 14 2 2 2" xfId="13292"/>
    <cellStyle name="Normal 10 5 14 2 3" xfId="13293"/>
    <cellStyle name="Normal 10 5 14 3" xfId="13294"/>
    <cellStyle name="Normal 10 5 14 3 2" xfId="13295"/>
    <cellStyle name="Normal 10 5 14 4" xfId="13296"/>
    <cellStyle name="Normal 10 5 15" xfId="13297"/>
    <cellStyle name="Normal 10 5 15 2" xfId="13298"/>
    <cellStyle name="Normal 10 5 15 2 2" xfId="13299"/>
    <cellStyle name="Normal 10 5 15 2 2 2" xfId="13300"/>
    <cellStyle name="Normal 10 5 15 2 3" xfId="13301"/>
    <cellStyle name="Normal 10 5 15 3" xfId="13302"/>
    <cellStyle name="Normal 10 5 15 3 2" xfId="13303"/>
    <cellStyle name="Normal 10 5 15 4" xfId="13304"/>
    <cellStyle name="Normal 10 5 16" xfId="13305"/>
    <cellStyle name="Normal 10 5 16 2" xfId="13306"/>
    <cellStyle name="Normal 10 5 16 2 2" xfId="13307"/>
    <cellStyle name="Normal 10 5 16 3" xfId="13308"/>
    <cellStyle name="Normal 10 5 17" xfId="13309"/>
    <cellStyle name="Normal 10 5 17 2" xfId="13310"/>
    <cellStyle name="Normal 10 5 18" xfId="13311"/>
    <cellStyle name="Normal 10 5 2" xfId="13312"/>
    <cellStyle name="Normal 10 5 2 2" xfId="13313"/>
    <cellStyle name="Normal 10 5 2 2 2" xfId="13314"/>
    <cellStyle name="Normal 10 5 2 2 2 2" xfId="13315"/>
    <cellStyle name="Normal 10 5 2 2 2 2 2" xfId="13316"/>
    <cellStyle name="Normal 10 5 2 2 2 3" xfId="13317"/>
    <cellStyle name="Normal 10 5 2 2 3" xfId="13318"/>
    <cellStyle name="Normal 10 5 2 2 3 2" xfId="13319"/>
    <cellStyle name="Normal 10 5 2 2 4" xfId="13320"/>
    <cellStyle name="Normal 10 5 2 3" xfId="13321"/>
    <cellStyle name="Normal 10 5 2 3 2" xfId="13322"/>
    <cellStyle name="Normal 10 5 2 3 2 2" xfId="13323"/>
    <cellStyle name="Normal 10 5 2 3 2 2 2" xfId="13324"/>
    <cellStyle name="Normal 10 5 2 3 2 3" xfId="13325"/>
    <cellStyle name="Normal 10 5 2 3 3" xfId="13326"/>
    <cellStyle name="Normal 10 5 2 3 3 2" xfId="13327"/>
    <cellStyle name="Normal 10 5 2 3 4" xfId="13328"/>
    <cellStyle name="Normal 10 5 2 4" xfId="13329"/>
    <cellStyle name="Normal 10 5 2 4 2" xfId="13330"/>
    <cellStyle name="Normal 10 5 2 4 2 2" xfId="13331"/>
    <cellStyle name="Normal 10 5 2 4 3" xfId="13332"/>
    <cellStyle name="Normal 10 5 2 5" xfId="13333"/>
    <cellStyle name="Normal 10 5 2 5 2" xfId="13334"/>
    <cellStyle name="Normal 10 5 2 6" xfId="13335"/>
    <cellStyle name="Normal 10 5 3" xfId="13336"/>
    <cellStyle name="Normal 10 5 3 2" xfId="13337"/>
    <cellStyle name="Normal 10 5 3 2 2" xfId="13338"/>
    <cellStyle name="Normal 10 5 3 2 2 2" xfId="13339"/>
    <cellStyle name="Normal 10 5 3 2 2 2 2" xfId="13340"/>
    <cellStyle name="Normal 10 5 3 2 2 3" xfId="13341"/>
    <cellStyle name="Normal 10 5 3 2 3" xfId="13342"/>
    <cellStyle name="Normal 10 5 3 2 3 2" xfId="13343"/>
    <cellStyle name="Normal 10 5 3 2 4" xfId="13344"/>
    <cellStyle name="Normal 10 5 3 3" xfId="13345"/>
    <cellStyle name="Normal 10 5 3 3 2" xfId="13346"/>
    <cellStyle name="Normal 10 5 3 3 2 2" xfId="13347"/>
    <cellStyle name="Normal 10 5 3 3 2 2 2" xfId="13348"/>
    <cellStyle name="Normal 10 5 3 3 2 3" xfId="13349"/>
    <cellStyle name="Normal 10 5 3 3 3" xfId="13350"/>
    <cellStyle name="Normal 10 5 3 3 3 2" xfId="13351"/>
    <cellStyle name="Normal 10 5 3 3 4" xfId="13352"/>
    <cellStyle name="Normal 10 5 3 4" xfId="13353"/>
    <cellStyle name="Normal 10 5 3 4 2" xfId="13354"/>
    <cellStyle name="Normal 10 5 3 4 2 2" xfId="13355"/>
    <cellStyle name="Normal 10 5 3 4 3" xfId="13356"/>
    <cellStyle name="Normal 10 5 3 5" xfId="13357"/>
    <cellStyle name="Normal 10 5 3 5 2" xfId="13358"/>
    <cellStyle name="Normal 10 5 3 6" xfId="13359"/>
    <cellStyle name="Normal 10 5 4" xfId="13360"/>
    <cellStyle name="Normal 10 5 4 2" xfId="13361"/>
    <cellStyle name="Normal 10 5 4 2 2" xfId="13362"/>
    <cellStyle name="Normal 10 5 4 2 2 2" xfId="13363"/>
    <cellStyle name="Normal 10 5 4 2 2 2 2" xfId="13364"/>
    <cellStyle name="Normal 10 5 4 2 2 3" xfId="13365"/>
    <cellStyle name="Normal 10 5 4 2 3" xfId="13366"/>
    <cellStyle name="Normal 10 5 4 2 3 2" xfId="13367"/>
    <cellStyle name="Normal 10 5 4 2 4" xfId="13368"/>
    <cellStyle name="Normal 10 5 4 3" xfId="13369"/>
    <cellStyle name="Normal 10 5 4 3 2" xfId="13370"/>
    <cellStyle name="Normal 10 5 4 3 2 2" xfId="13371"/>
    <cellStyle name="Normal 10 5 4 3 2 2 2" xfId="13372"/>
    <cellStyle name="Normal 10 5 4 3 2 3" xfId="13373"/>
    <cellStyle name="Normal 10 5 4 3 3" xfId="13374"/>
    <cellStyle name="Normal 10 5 4 3 3 2" xfId="13375"/>
    <cellStyle name="Normal 10 5 4 3 4" xfId="13376"/>
    <cellStyle name="Normal 10 5 4 4" xfId="13377"/>
    <cellStyle name="Normal 10 5 4 4 2" xfId="13378"/>
    <cellStyle name="Normal 10 5 4 4 2 2" xfId="13379"/>
    <cellStyle name="Normal 10 5 4 4 3" xfId="13380"/>
    <cellStyle name="Normal 10 5 4 5" xfId="13381"/>
    <cellStyle name="Normal 10 5 4 5 2" xfId="13382"/>
    <cellStyle name="Normal 10 5 4 6" xfId="13383"/>
    <cellStyle name="Normal 10 5 5" xfId="13384"/>
    <cellStyle name="Normal 10 5 5 2" xfId="13385"/>
    <cellStyle name="Normal 10 5 5 2 2" xfId="13386"/>
    <cellStyle name="Normal 10 5 5 2 2 2" xfId="13387"/>
    <cellStyle name="Normal 10 5 5 2 2 2 2" xfId="13388"/>
    <cellStyle name="Normal 10 5 5 2 2 3" xfId="13389"/>
    <cellStyle name="Normal 10 5 5 2 3" xfId="13390"/>
    <cellStyle name="Normal 10 5 5 2 3 2" xfId="13391"/>
    <cellStyle name="Normal 10 5 5 2 4" xfId="13392"/>
    <cellStyle name="Normal 10 5 5 3" xfId="13393"/>
    <cellStyle name="Normal 10 5 5 3 2" xfId="13394"/>
    <cellStyle name="Normal 10 5 5 3 2 2" xfId="13395"/>
    <cellStyle name="Normal 10 5 5 3 2 2 2" xfId="13396"/>
    <cellStyle name="Normal 10 5 5 3 2 3" xfId="13397"/>
    <cellStyle name="Normal 10 5 5 3 3" xfId="13398"/>
    <cellStyle name="Normal 10 5 5 3 3 2" xfId="13399"/>
    <cellStyle name="Normal 10 5 5 3 4" xfId="13400"/>
    <cellStyle name="Normal 10 5 5 4" xfId="13401"/>
    <cellStyle name="Normal 10 5 5 4 2" xfId="13402"/>
    <cellStyle name="Normal 10 5 5 4 2 2" xfId="13403"/>
    <cellStyle name="Normal 10 5 5 4 3" xfId="13404"/>
    <cellStyle name="Normal 10 5 5 5" xfId="13405"/>
    <cellStyle name="Normal 10 5 5 5 2" xfId="13406"/>
    <cellStyle name="Normal 10 5 5 6" xfId="13407"/>
    <cellStyle name="Normal 10 5 6" xfId="13408"/>
    <cellStyle name="Normal 10 5 6 2" xfId="13409"/>
    <cellStyle name="Normal 10 5 6 2 2" xfId="13410"/>
    <cellStyle name="Normal 10 5 6 2 2 2" xfId="13411"/>
    <cellStyle name="Normal 10 5 6 2 2 2 2" xfId="13412"/>
    <cellStyle name="Normal 10 5 6 2 2 3" xfId="13413"/>
    <cellStyle name="Normal 10 5 6 2 3" xfId="13414"/>
    <cellStyle name="Normal 10 5 6 2 3 2" xfId="13415"/>
    <cellStyle name="Normal 10 5 6 2 4" xfId="13416"/>
    <cellStyle name="Normal 10 5 6 3" xfId="13417"/>
    <cellStyle name="Normal 10 5 6 3 2" xfId="13418"/>
    <cellStyle name="Normal 10 5 6 3 2 2" xfId="13419"/>
    <cellStyle name="Normal 10 5 6 3 2 2 2" xfId="13420"/>
    <cellStyle name="Normal 10 5 6 3 2 3" xfId="13421"/>
    <cellStyle name="Normal 10 5 6 3 3" xfId="13422"/>
    <cellStyle name="Normal 10 5 6 3 3 2" xfId="13423"/>
    <cellStyle name="Normal 10 5 6 3 4" xfId="13424"/>
    <cellStyle name="Normal 10 5 6 4" xfId="13425"/>
    <cellStyle name="Normal 10 5 6 4 2" xfId="13426"/>
    <cellStyle name="Normal 10 5 6 4 2 2" xfId="13427"/>
    <cellStyle name="Normal 10 5 6 4 3" xfId="13428"/>
    <cellStyle name="Normal 10 5 6 5" xfId="13429"/>
    <cellStyle name="Normal 10 5 6 5 2" xfId="13430"/>
    <cellStyle name="Normal 10 5 6 6" xfId="13431"/>
    <cellStyle name="Normal 10 5 7" xfId="13432"/>
    <cellStyle name="Normal 10 5 7 2" xfId="13433"/>
    <cellStyle name="Normal 10 5 7 2 2" xfId="13434"/>
    <cellStyle name="Normal 10 5 7 2 2 2" xfId="13435"/>
    <cellStyle name="Normal 10 5 7 2 2 2 2" xfId="13436"/>
    <cellStyle name="Normal 10 5 7 2 2 3" xfId="13437"/>
    <cellStyle name="Normal 10 5 7 2 3" xfId="13438"/>
    <cellStyle name="Normal 10 5 7 2 3 2" xfId="13439"/>
    <cellStyle name="Normal 10 5 7 2 4" xfId="13440"/>
    <cellStyle name="Normal 10 5 7 3" xfId="13441"/>
    <cellStyle name="Normal 10 5 7 3 2" xfId="13442"/>
    <cellStyle name="Normal 10 5 7 3 2 2" xfId="13443"/>
    <cellStyle name="Normal 10 5 7 3 2 2 2" xfId="13444"/>
    <cellStyle name="Normal 10 5 7 3 2 3" xfId="13445"/>
    <cellStyle name="Normal 10 5 7 3 3" xfId="13446"/>
    <cellStyle name="Normal 10 5 7 3 3 2" xfId="13447"/>
    <cellStyle name="Normal 10 5 7 3 4" xfId="13448"/>
    <cellStyle name="Normal 10 5 7 4" xfId="13449"/>
    <cellStyle name="Normal 10 5 7 4 2" xfId="13450"/>
    <cellStyle name="Normal 10 5 7 4 2 2" xfId="13451"/>
    <cellStyle name="Normal 10 5 7 4 3" xfId="13452"/>
    <cellStyle name="Normal 10 5 7 5" xfId="13453"/>
    <cellStyle name="Normal 10 5 7 5 2" xfId="13454"/>
    <cellStyle name="Normal 10 5 7 6" xfId="13455"/>
    <cellStyle name="Normal 10 5 8" xfId="13456"/>
    <cellStyle name="Normal 10 5 8 2" xfId="13457"/>
    <cellStyle name="Normal 10 5 8 2 2" xfId="13458"/>
    <cellStyle name="Normal 10 5 8 2 2 2" xfId="13459"/>
    <cellStyle name="Normal 10 5 8 2 2 2 2" xfId="13460"/>
    <cellStyle name="Normal 10 5 8 2 2 3" xfId="13461"/>
    <cellStyle name="Normal 10 5 8 2 3" xfId="13462"/>
    <cellStyle name="Normal 10 5 8 2 3 2" xfId="13463"/>
    <cellStyle name="Normal 10 5 8 2 4" xfId="13464"/>
    <cellStyle name="Normal 10 5 8 3" xfId="13465"/>
    <cellStyle name="Normal 10 5 8 3 2" xfId="13466"/>
    <cellStyle name="Normal 10 5 8 3 2 2" xfId="13467"/>
    <cellStyle name="Normal 10 5 8 3 2 2 2" xfId="13468"/>
    <cellStyle name="Normal 10 5 8 3 2 3" xfId="13469"/>
    <cellStyle name="Normal 10 5 8 3 3" xfId="13470"/>
    <cellStyle name="Normal 10 5 8 3 3 2" xfId="13471"/>
    <cellStyle name="Normal 10 5 8 3 4" xfId="13472"/>
    <cellStyle name="Normal 10 5 8 4" xfId="13473"/>
    <cellStyle name="Normal 10 5 8 4 2" xfId="13474"/>
    <cellStyle name="Normal 10 5 8 4 2 2" xfId="13475"/>
    <cellStyle name="Normal 10 5 8 4 3" xfId="13476"/>
    <cellStyle name="Normal 10 5 8 5" xfId="13477"/>
    <cellStyle name="Normal 10 5 8 5 2" xfId="13478"/>
    <cellStyle name="Normal 10 5 8 6" xfId="13479"/>
    <cellStyle name="Normal 10 5 9" xfId="13480"/>
    <cellStyle name="Normal 10 5 9 2" xfId="13481"/>
    <cellStyle name="Normal 10 5 9 2 2" xfId="13482"/>
    <cellStyle name="Normal 10 5 9 2 2 2" xfId="13483"/>
    <cellStyle name="Normal 10 5 9 2 2 2 2" xfId="13484"/>
    <cellStyle name="Normal 10 5 9 2 2 3" xfId="13485"/>
    <cellStyle name="Normal 10 5 9 2 3" xfId="13486"/>
    <cellStyle name="Normal 10 5 9 2 3 2" xfId="13487"/>
    <cellStyle name="Normal 10 5 9 2 4" xfId="13488"/>
    <cellStyle name="Normal 10 5 9 3" xfId="13489"/>
    <cellStyle name="Normal 10 5 9 3 2" xfId="13490"/>
    <cellStyle name="Normal 10 5 9 3 2 2" xfId="13491"/>
    <cellStyle name="Normal 10 5 9 3 2 2 2" xfId="13492"/>
    <cellStyle name="Normal 10 5 9 3 2 3" xfId="13493"/>
    <cellStyle name="Normal 10 5 9 3 3" xfId="13494"/>
    <cellStyle name="Normal 10 5 9 3 3 2" xfId="13495"/>
    <cellStyle name="Normal 10 5 9 3 4" xfId="13496"/>
    <cellStyle name="Normal 10 5 9 4" xfId="13497"/>
    <cellStyle name="Normal 10 5 9 4 2" xfId="13498"/>
    <cellStyle name="Normal 10 5 9 4 2 2" xfId="13499"/>
    <cellStyle name="Normal 10 5 9 4 3" xfId="13500"/>
    <cellStyle name="Normal 10 5 9 5" xfId="13501"/>
    <cellStyle name="Normal 10 5 9 5 2" xfId="13502"/>
    <cellStyle name="Normal 10 5 9 6" xfId="13503"/>
    <cellStyle name="Normal 10 50" xfId="13504"/>
    <cellStyle name="Normal 10 51" xfId="13505"/>
    <cellStyle name="Normal 10 6" xfId="13506"/>
    <cellStyle name="Normal 10 6 10" xfId="13507"/>
    <cellStyle name="Normal 10 6 10 2" xfId="13508"/>
    <cellStyle name="Normal 10 6 10 2 2" xfId="13509"/>
    <cellStyle name="Normal 10 6 10 2 2 2" xfId="13510"/>
    <cellStyle name="Normal 10 6 10 2 2 2 2" xfId="13511"/>
    <cellStyle name="Normal 10 6 10 2 2 3" xfId="13512"/>
    <cellStyle name="Normal 10 6 10 2 3" xfId="13513"/>
    <cellStyle name="Normal 10 6 10 2 3 2" xfId="13514"/>
    <cellStyle name="Normal 10 6 10 2 4" xfId="13515"/>
    <cellStyle name="Normal 10 6 10 3" xfId="13516"/>
    <cellStyle name="Normal 10 6 10 3 2" xfId="13517"/>
    <cellStyle name="Normal 10 6 10 3 2 2" xfId="13518"/>
    <cellStyle name="Normal 10 6 10 3 2 2 2" xfId="13519"/>
    <cellStyle name="Normal 10 6 10 3 2 3" xfId="13520"/>
    <cellStyle name="Normal 10 6 10 3 3" xfId="13521"/>
    <cellStyle name="Normal 10 6 10 3 3 2" xfId="13522"/>
    <cellStyle name="Normal 10 6 10 3 4" xfId="13523"/>
    <cellStyle name="Normal 10 6 10 4" xfId="13524"/>
    <cellStyle name="Normal 10 6 10 4 2" xfId="13525"/>
    <cellStyle name="Normal 10 6 10 4 2 2" xfId="13526"/>
    <cellStyle name="Normal 10 6 10 4 3" xfId="13527"/>
    <cellStyle name="Normal 10 6 10 5" xfId="13528"/>
    <cellStyle name="Normal 10 6 10 5 2" xfId="13529"/>
    <cellStyle name="Normal 10 6 10 6" xfId="13530"/>
    <cellStyle name="Normal 10 6 11" xfId="13531"/>
    <cellStyle name="Normal 10 6 11 2" xfId="13532"/>
    <cellStyle name="Normal 10 6 11 2 2" xfId="13533"/>
    <cellStyle name="Normal 10 6 11 2 2 2" xfId="13534"/>
    <cellStyle name="Normal 10 6 11 2 2 2 2" xfId="13535"/>
    <cellStyle name="Normal 10 6 11 2 2 3" xfId="13536"/>
    <cellStyle name="Normal 10 6 11 2 3" xfId="13537"/>
    <cellStyle name="Normal 10 6 11 2 3 2" xfId="13538"/>
    <cellStyle name="Normal 10 6 11 2 4" xfId="13539"/>
    <cellStyle name="Normal 10 6 11 3" xfId="13540"/>
    <cellStyle name="Normal 10 6 11 3 2" xfId="13541"/>
    <cellStyle name="Normal 10 6 11 3 2 2" xfId="13542"/>
    <cellStyle name="Normal 10 6 11 3 2 2 2" xfId="13543"/>
    <cellStyle name="Normal 10 6 11 3 2 3" xfId="13544"/>
    <cellStyle name="Normal 10 6 11 3 3" xfId="13545"/>
    <cellStyle name="Normal 10 6 11 3 3 2" xfId="13546"/>
    <cellStyle name="Normal 10 6 11 3 4" xfId="13547"/>
    <cellStyle name="Normal 10 6 11 4" xfId="13548"/>
    <cellStyle name="Normal 10 6 11 4 2" xfId="13549"/>
    <cellStyle name="Normal 10 6 11 4 2 2" xfId="13550"/>
    <cellStyle name="Normal 10 6 11 4 3" xfId="13551"/>
    <cellStyle name="Normal 10 6 11 5" xfId="13552"/>
    <cellStyle name="Normal 10 6 11 5 2" xfId="13553"/>
    <cellStyle name="Normal 10 6 11 6" xfId="13554"/>
    <cellStyle name="Normal 10 6 12" xfId="13555"/>
    <cellStyle name="Normal 10 6 12 2" xfId="13556"/>
    <cellStyle name="Normal 10 6 12 2 2" xfId="13557"/>
    <cellStyle name="Normal 10 6 12 2 2 2" xfId="13558"/>
    <cellStyle name="Normal 10 6 12 2 2 2 2" xfId="13559"/>
    <cellStyle name="Normal 10 6 12 2 2 3" xfId="13560"/>
    <cellStyle name="Normal 10 6 12 2 3" xfId="13561"/>
    <cellStyle name="Normal 10 6 12 2 3 2" xfId="13562"/>
    <cellStyle name="Normal 10 6 12 2 4" xfId="13563"/>
    <cellStyle name="Normal 10 6 12 3" xfId="13564"/>
    <cellStyle name="Normal 10 6 12 3 2" xfId="13565"/>
    <cellStyle name="Normal 10 6 12 3 2 2" xfId="13566"/>
    <cellStyle name="Normal 10 6 12 3 2 2 2" xfId="13567"/>
    <cellStyle name="Normal 10 6 12 3 2 3" xfId="13568"/>
    <cellStyle name="Normal 10 6 12 3 3" xfId="13569"/>
    <cellStyle name="Normal 10 6 12 3 3 2" xfId="13570"/>
    <cellStyle name="Normal 10 6 12 3 4" xfId="13571"/>
    <cellStyle name="Normal 10 6 12 4" xfId="13572"/>
    <cellStyle name="Normal 10 6 12 4 2" xfId="13573"/>
    <cellStyle name="Normal 10 6 12 4 2 2" xfId="13574"/>
    <cellStyle name="Normal 10 6 12 4 3" xfId="13575"/>
    <cellStyle name="Normal 10 6 12 5" xfId="13576"/>
    <cellStyle name="Normal 10 6 12 5 2" xfId="13577"/>
    <cellStyle name="Normal 10 6 12 6" xfId="13578"/>
    <cellStyle name="Normal 10 6 13" xfId="13579"/>
    <cellStyle name="Normal 10 6 13 2" xfId="13580"/>
    <cellStyle name="Normal 10 6 13 2 2" xfId="13581"/>
    <cellStyle name="Normal 10 6 13 2 2 2" xfId="13582"/>
    <cellStyle name="Normal 10 6 13 2 2 2 2" xfId="13583"/>
    <cellStyle name="Normal 10 6 13 2 2 3" xfId="13584"/>
    <cellStyle name="Normal 10 6 13 2 3" xfId="13585"/>
    <cellStyle name="Normal 10 6 13 2 3 2" xfId="13586"/>
    <cellStyle name="Normal 10 6 13 2 4" xfId="13587"/>
    <cellStyle name="Normal 10 6 13 3" xfId="13588"/>
    <cellStyle name="Normal 10 6 13 3 2" xfId="13589"/>
    <cellStyle name="Normal 10 6 13 3 2 2" xfId="13590"/>
    <cellStyle name="Normal 10 6 13 3 2 2 2" xfId="13591"/>
    <cellStyle name="Normal 10 6 13 3 2 3" xfId="13592"/>
    <cellStyle name="Normal 10 6 13 3 3" xfId="13593"/>
    <cellStyle name="Normal 10 6 13 3 3 2" xfId="13594"/>
    <cellStyle name="Normal 10 6 13 3 4" xfId="13595"/>
    <cellStyle name="Normal 10 6 13 4" xfId="13596"/>
    <cellStyle name="Normal 10 6 13 4 2" xfId="13597"/>
    <cellStyle name="Normal 10 6 13 4 2 2" xfId="13598"/>
    <cellStyle name="Normal 10 6 13 4 3" xfId="13599"/>
    <cellStyle name="Normal 10 6 13 5" xfId="13600"/>
    <cellStyle name="Normal 10 6 13 5 2" xfId="13601"/>
    <cellStyle name="Normal 10 6 13 6" xfId="13602"/>
    <cellStyle name="Normal 10 6 14" xfId="13603"/>
    <cellStyle name="Normal 10 6 14 2" xfId="13604"/>
    <cellStyle name="Normal 10 6 14 2 2" xfId="13605"/>
    <cellStyle name="Normal 10 6 14 2 2 2" xfId="13606"/>
    <cellStyle name="Normal 10 6 14 2 3" xfId="13607"/>
    <cellStyle name="Normal 10 6 14 3" xfId="13608"/>
    <cellStyle name="Normal 10 6 14 3 2" xfId="13609"/>
    <cellStyle name="Normal 10 6 14 4" xfId="13610"/>
    <cellStyle name="Normal 10 6 15" xfId="13611"/>
    <cellStyle name="Normal 10 6 15 2" xfId="13612"/>
    <cellStyle name="Normal 10 6 15 2 2" xfId="13613"/>
    <cellStyle name="Normal 10 6 15 2 2 2" xfId="13614"/>
    <cellStyle name="Normal 10 6 15 2 3" xfId="13615"/>
    <cellStyle name="Normal 10 6 15 3" xfId="13616"/>
    <cellStyle name="Normal 10 6 15 3 2" xfId="13617"/>
    <cellStyle name="Normal 10 6 15 4" xfId="13618"/>
    <cellStyle name="Normal 10 6 16" xfId="13619"/>
    <cellStyle name="Normal 10 6 16 2" xfId="13620"/>
    <cellStyle name="Normal 10 6 16 2 2" xfId="13621"/>
    <cellStyle name="Normal 10 6 16 3" xfId="13622"/>
    <cellStyle name="Normal 10 6 17" xfId="13623"/>
    <cellStyle name="Normal 10 6 17 2" xfId="13624"/>
    <cellStyle name="Normal 10 6 18" xfId="13625"/>
    <cellStyle name="Normal 10 6 2" xfId="13626"/>
    <cellStyle name="Normal 10 6 2 2" xfId="13627"/>
    <cellStyle name="Normal 10 6 2 2 2" xfId="13628"/>
    <cellStyle name="Normal 10 6 2 2 2 2" xfId="13629"/>
    <cellStyle name="Normal 10 6 2 2 2 2 2" xfId="13630"/>
    <cellStyle name="Normal 10 6 2 2 2 3" xfId="13631"/>
    <cellStyle name="Normal 10 6 2 2 3" xfId="13632"/>
    <cellStyle name="Normal 10 6 2 2 3 2" xfId="13633"/>
    <cellStyle name="Normal 10 6 2 2 4" xfId="13634"/>
    <cellStyle name="Normal 10 6 2 3" xfId="13635"/>
    <cellStyle name="Normal 10 6 2 3 2" xfId="13636"/>
    <cellStyle name="Normal 10 6 2 3 2 2" xfId="13637"/>
    <cellStyle name="Normal 10 6 2 3 2 2 2" xfId="13638"/>
    <cellStyle name="Normal 10 6 2 3 2 3" xfId="13639"/>
    <cellStyle name="Normal 10 6 2 3 3" xfId="13640"/>
    <cellStyle name="Normal 10 6 2 3 3 2" xfId="13641"/>
    <cellStyle name="Normal 10 6 2 3 4" xfId="13642"/>
    <cellStyle name="Normal 10 6 2 4" xfId="13643"/>
    <cellStyle name="Normal 10 6 2 4 2" xfId="13644"/>
    <cellStyle name="Normal 10 6 2 4 2 2" xfId="13645"/>
    <cellStyle name="Normal 10 6 2 4 3" xfId="13646"/>
    <cellStyle name="Normal 10 6 2 5" xfId="13647"/>
    <cellStyle name="Normal 10 6 2 5 2" xfId="13648"/>
    <cellStyle name="Normal 10 6 2 6" xfId="13649"/>
    <cellStyle name="Normal 10 6 3" xfId="13650"/>
    <cellStyle name="Normal 10 6 3 2" xfId="13651"/>
    <cellStyle name="Normal 10 6 3 2 2" xfId="13652"/>
    <cellStyle name="Normal 10 6 3 2 2 2" xfId="13653"/>
    <cellStyle name="Normal 10 6 3 2 2 2 2" xfId="13654"/>
    <cellStyle name="Normal 10 6 3 2 2 3" xfId="13655"/>
    <cellStyle name="Normal 10 6 3 2 3" xfId="13656"/>
    <cellStyle name="Normal 10 6 3 2 3 2" xfId="13657"/>
    <cellStyle name="Normal 10 6 3 2 4" xfId="13658"/>
    <cellStyle name="Normal 10 6 3 3" xfId="13659"/>
    <cellStyle name="Normal 10 6 3 3 2" xfId="13660"/>
    <cellStyle name="Normal 10 6 3 3 2 2" xfId="13661"/>
    <cellStyle name="Normal 10 6 3 3 2 2 2" xfId="13662"/>
    <cellStyle name="Normal 10 6 3 3 2 3" xfId="13663"/>
    <cellStyle name="Normal 10 6 3 3 3" xfId="13664"/>
    <cellStyle name="Normal 10 6 3 3 3 2" xfId="13665"/>
    <cellStyle name="Normal 10 6 3 3 4" xfId="13666"/>
    <cellStyle name="Normal 10 6 3 4" xfId="13667"/>
    <cellStyle name="Normal 10 6 3 4 2" xfId="13668"/>
    <cellStyle name="Normal 10 6 3 4 2 2" xfId="13669"/>
    <cellStyle name="Normal 10 6 3 4 3" xfId="13670"/>
    <cellStyle name="Normal 10 6 3 5" xfId="13671"/>
    <cellStyle name="Normal 10 6 3 5 2" xfId="13672"/>
    <cellStyle name="Normal 10 6 3 6" xfId="13673"/>
    <cellStyle name="Normal 10 6 4" xfId="13674"/>
    <cellStyle name="Normal 10 6 4 2" xfId="13675"/>
    <cellStyle name="Normal 10 6 4 2 2" xfId="13676"/>
    <cellStyle name="Normal 10 6 4 2 2 2" xfId="13677"/>
    <cellStyle name="Normal 10 6 4 2 2 2 2" xfId="13678"/>
    <cellStyle name="Normal 10 6 4 2 2 3" xfId="13679"/>
    <cellStyle name="Normal 10 6 4 2 3" xfId="13680"/>
    <cellStyle name="Normal 10 6 4 2 3 2" xfId="13681"/>
    <cellStyle name="Normal 10 6 4 2 4" xfId="13682"/>
    <cellStyle name="Normal 10 6 4 3" xfId="13683"/>
    <cellStyle name="Normal 10 6 4 3 2" xfId="13684"/>
    <cellStyle name="Normal 10 6 4 3 2 2" xfId="13685"/>
    <cellStyle name="Normal 10 6 4 3 2 2 2" xfId="13686"/>
    <cellStyle name="Normal 10 6 4 3 2 3" xfId="13687"/>
    <cellStyle name="Normal 10 6 4 3 3" xfId="13688"/>
    <cellStyle name="Normal 10 6 4 3 3 2" xfId="13689"/>
    <cellStyle name="Normal 10 6 4 3 4" xfId="13690"/>
    <cellStyle name="Normal 10 6 4 4" xfId="13691"/>
    <cellStyle name="Normal 10 6 4 4 2" xfId="13692"/>
    <cellStyle name="Normal 10 6 4 4 2 2" xfId="13693"/>
    <cellStyle name="Normal 10 6 4 4 3" xfId="13694"/>
    <cellStyle name="Normal 10 6 4 5" xfId="13695"/>
    <cellStyle name="Normal 10 6 4 5 2" xfId="13696"/>
    <cellStyle name="Normal 10 6 4 6" xfId="13697"/>
    <cellStyle name="Normal 10 6 5" xfId="13698"/>
    <cellStyle name="Normal 10 6 5 2" xfId="13699"/>
    <cellStyle name="Normal 10 6 5 2 2" xfId="13700"/>
    <cellStyle name="Normal 10 6 5 2 2 2" xfId="13701"/>
    <cellStyle name="Normal 10 6 5 2 2 2 2" xfId="13702"/>
    <cellStyle name="Normal 10 6 5 2 2 3" xfId="13703"/>
    <cellStyle name="Normal 10 6 5 2 3" xfId="13704"/>
    <cellStyle name="Normal 10 6 5 2 3 2" xfId="13705"/>
    <cellStyle name="Normal 10 6 5 2 4" xfId="13706"/>
    <cellStyle name="Normal 10 6 5 3" xfId="13707"/>
    <cellStyle name="Normal 10 6 5 3 2" xfId="13708"/>
    <cellStyle name="Normal 10 6 5 3 2 2" xfId="13709"/>
    <cellStyle name="Normal 10 6 5 3 2 2 2" xfId="13710"/>
    <cellStyle name="Normal 10 6 5 3 2 3" xfId="13711"/>
    <cellStyle name="Normal 10 6 5 3 3" xfId="13712"/>
    <cellStyle name="Normal 10 6 5 3 3 2" xfId="13713"/>
    <cellStyle name="Normal 10 6 5 3 4" xfId="13714"/>
    <cellStyle name="Normal 10 6 5 4" xfId="13715"/>
    <cellStyle name="Normal 10 6 5 4 2" xfId="13716"/>
    <cellStyle name="Normal 10 6 5 4 2 2" xfId="13717"/>
    <cellStyle name="Normal 10 6 5 4 3" xfId="13718"/>
    <cellStyle name="Normal 10 6 5 5" xfId="13719"/>
    <cellStyle name="Normal 10 6 5 5 2" xfId="13720"/>
    <cellStyle name="Normal 10 6 5 6" xfId="13721"/>
    <cellStyle name="Normal 10 6 6" xfId="13722"/>
    <cellStyle name="Normal 10 6 6 2" xfId="13723"/>
    <cellStyle name="Normal 10 6 6 2 2" xfId="13724"/>
    <cellStyle name="Normal 10 6 6 2 2 2" xfId="13725"/>
    <cellStyle name="Normal 10 6 6 2 2 2 2" xfId="13726"/>
    <cellStyle name="Normal 10 6 6 2 2 3" xfId="13727"/>
    <cellStyle name="Normal 10 6 6 2 3" xfId="13728"/>
    <cellStyle name="Normal 10 6 6 2 3 2" xfId="13729"/>
    <cellStyle name="Normal 10 6 6 2 4" xfId="13730"/>
    <cellStyle name="Normal 10 6 6 3" xfId="13731"/>
    <cellStyle name="Normal 10 6 6 3 2" xfId="13732"/>
    <cellStyle name="Normal 10 6 6 3 2 2" xfId="13733"/>
    <cellStyle name="Normal 10 6 6 3 2 2 2" xfId="13734"/>
    <cellStyle name="Normal 10 6 6 3 2 3" xfId="13735"/>
    <cellStyle name="Normal 10 6 6 3 3" xfId="13736"/>
    <cellStyle name="Normal 10 6 6 3 3 2" xfId="13737"/>
    <cellStyle name="Normal 10 6 6 3 4" xfId="13738"/>
    <cellStyle name="Normal 10 6 6 4" xfId="13739"/>
    <cellStyle name="Normal 10 6 6 4 2" xfId="13740"/>
    <cellStyle name="Normal 10 6 6 4 2 2" xfId="13741"/>
    <cellStyle name="Normal 10 6 6 4 3" xfId="13742"/>
    <cellStyle name="Normal 10 6 6 5" xfId="13743"/>
    <cellStyle name="Normal 10 6 6 5 2" xfId="13744"/>
    <cellStyle name="Normal 10 6 6 6" xfId="13745"/>
    <cellStyle name="Normal 10 6 7" xfId="13746"/>
    <cellStyle name="Normal 10 6 7 2" xfId="13747"/>
    <cellStyle name="Normal 10 6 7 2 2" xfId="13748"/>
    <cellStyle name="Normal 10 6 7 2 2 2" xfId="13749"/>
    <cellStyle name="Normal 10 6 7 2 2 2 2" xfId="13750"/>
    <cellStyle name="Normal 10 6 7 2 2 3" xfId="13751"/>
    <cellStyle name="Normal 10 6 7 2 3" xfId="13752"/>
    <cellStyle name="Normal 10 6 7 2 3 2" xfId="13753"/>
    <cellStyle name="Normal 10 6 7 2 4" xfId="13754"/>
    <cellStyle name="Normal 10 6 7 3" xfId="13755"/>
    <cellStyle name="Normal 10 6 7 3 2" xfId="13756"/>
    <cellStyle name="Normal 10 6 7 3 2 2" xfId="13757"/>
    <cellStyle name="Normal 10 6 7 3 2 2 2" xfId="13758"/>
    <cellStyle name="Normal 10 6 7 3 2 3" xfId="13759"/>
    <cellStyle name="Normal 10 6 7 3 3" xfId="13760"/>
    <cellStyle name="Normal 10 6 7 3 3 2" xfId="13761"/>
    <cellStyle name="Normal 10 6 7 3 4" xfId="13762"/>
    <cellStyle name="Normal 10 6 7 4" xfId="13763"/>
    <cellStyle name="Normal 10 6 7 4 2" xfId="13764"/>
    <cellStyle name="Normal 10 6 7 4 2 2" xfId="13765"/>
    <cellStyle name="Normal 10 6 7 4 3" xfId="13766"/>
    <cellStyle name="Normal 10 6 7 5" xfId="13767"/>
    <cellStyle name="Normal 10 6 7 5 2" xfId="13768"/>
    <cellStyle name="Normal 10 6 7 6" xfId="13769"/>
    <cellStyle name="Normal 10 6 8" xfId="13770"/>
    <cellStyle name="Normal 10 6 8 2" xfId="13771"/>
    <cellStyle name="Normal 10 6 8 2 2" xfId="13772"/>
    <cellStyle name="Normal 10 6 8 2 2 2" xfId="13773"/>
    <cellStyle name="Normal 10 6 8 2 2 2 2" xfId="13774"/>
    <cellStyle name="Normal 10 6 8 2 2 3" xfId="13775"/>
    <cellStyle name="Normal 10 6 8 2 3" xfId="13776"/>
    <cellStyle name="Normal 10 6 8 2 3 2" xfId="13777"/>
    <cellStyle name="Normal 10 6 8 2 4" xfId="13778"/>
    <cellStyle name="Normal 10 6 8 3" xfId="13779"/>
    <cellStyle name="Normal 10 6 8 3 2" xfId="13780"/>
    <cellStyle name="Normal 10 6 8 3 2 2" xfId="13781"/>
    <cellStyle name="Normal 10 6 8 3 2 2 2" xfId="13782"/>
    <cellStyle name="Normal 10 6 8 3 2 3" xfId="13783"/>
    <cellStyle name="Normal 10 6 8 3 3" xfId="13784"/>
    <cellStyle name="Normal 10 6 8 3 3 2" xfId="13785"/>
    <cellStyle name="Normal 10 6 8 3 4" xfId="13786"/>
    <cellStyle name="Normal 10 6 8 4" xfId="13787"/>
    <cellStyle name="Normal 10 6 8 4 2" xfId="13788"/>
    <cellStyle name="Normal 10 6 8 4 2 2" xfId="13789"/>
    <cellStyle name="Normal 10 6 8 4 3" xfId="13790"/>
    <cellStyle name="Normal 10 6 8 5" xfId="13791"/>
    <cellStyle name="Normal 10 6 8 5 2" xfId="13792"/>
    <cellStyle name="Normal 10 6 8 6" xfId="13793"/>
    <cellStyle name="Normal 10 6 9" xfId="13794"/>
    <cellStyle name="Normal 10 6 9 2" xfId="13795"/>
    <cellStyle name="Normal 10 6 9 2 2" xfId="13796"/>
    <cellStyle name="Normal 10 6 9 2 2 2" xfId="13797"/>
    <cellStyle name="Normal 10 6 9 2 2 2 2" xfId="13798"/>
    <cellStyle name="Normal 10 6 9 2 2 3" xfId="13799"/>
    <cellStyle name="Normal 10 6 9 2 3" xfId="13800"/>
    <cellStyle name="Normal 10 6 9 2 3 2" xfId="13801"/>
    <cellStyle name="Normal 10 6 9 2 4" xfId="13802"/>
    <cellStyle name="Normal 10 6 9 3" xfId="13803"/>
    <cellStyle name="Normal 10 6 9 3 2" xfId="13804"/>
    <cellStyle name="Normal 10 6 9 3 2 2" xfId="13805"/>
    <cellStyle name="Normal 10 6 9 3 2 2 2" xfId="13806"/>
    <cellStyle name="Normal 10 6 9 3 2 3" xfId="13807"/>
    <cellStyle name="Normal 10 6 9 3 3" xfId="13808"/>
    <cellStyle name="Normal 10 6 9 3 3 2" xfId="13809"/>
    <cellStyle name="Normal 10 6 9 3 4" xfId="13810"/>
    <cellStyle name="Normal 10 6 9 4" xfId="13811"/>
    <cellStyle name="Normal 10 6 9 4 2" xfId="13812"/>
    <cellStyle name="Normal 10 6 9 4 2 2" xfId="13813"/>
    <cellStyle name="Normal 10 6 9 4 3" xfId="13814"/>
    <cellStyle name="Normal 10 6 9 5" xfId="13815"/>
    <cellStyle name="Normal 10 6 9 5 2" xfId="13816"/>
    <cellStyle name="Normal 10 6 9 6" xfId="13817"/>
    <cellStyle name="Normal 10 7" xfId="13818"/>
    <cellStyle name="Normal 10 7 10" xfId="13819"/>
    <cellStyle name="Normal 10 7 10 2" xfId="13820"/>
    <cellStyle name="Normal 10 7 10 2 2" xfId="13821"/>
    <cellStyle name="Normal 10 7 10 2 2 2" xfId="13822"/>
    <cellStyle name="Normal 10 7 10 2 2 2 2" xfId="13823"/>
    <cellStyle name="Normal 10 7 10 2 2 3" xfId="13824"/>
    <cellStyle name="Normal 10 7 10 2 3" xfId="13825"/>
    <cellStyle name="Normal 10 7 10 2 3 2" xfId="13826"/>
    <cellStyle name="Normal 10 7 10 2 4" xfId="13827"/>
    <cellStyle name="Normal 10 7 10 3" xfId="13828"/>
    <cellStyle name="Normal 10 7 10 3 2" xfId="13829"/>
    <cellStyle name="Normal 10 7 10 3 2 2" xfId="13830"/>
    <cellStyle name="Normal 10 7 10 3 2 2 2" xfId="13831"/>
    <cellStyle name="Normal 10 7 10 3 2 3" xfId="13832"/>
    <cellStyle name="Normal 10 7 10 3 3" xfId="13833"/>
    <cellStyle name="Normal 10 7 10 3 3 2" xfId="13834"/>
    <cellStyle name="Normal 10 7 10 3 4" xfId="13835"/>
    <cellStyle name="Normal 10 7 10 4" xfId="13836"/>
    <cellStyle name="Normal 10 7 10 4 2" xfId="13837"/>
    <cellStyle name="Normal 10 7 10 4 2 2" xfId="13838"/>
    <cellStyle name="Normal 10 7 10 4 3" xfId="13839"/>
    <cellStyle name="Normal 10 7 10 5" xfId="13840"/>
    <cellStyle name="Normal 10 7 10 5 2" xfId="13841"/>
    <cellStyle name="Normal 10 7 10 6" xfId="13842"/>
    <cellStyle name="Normal 10 7 11" xfId="13843"/>
    <cellStyle name="Normal 10 7 11 2" xfId="13844"/>
    <cellStyle name="Normal 10 7 11 2 2" xfId="13845"/>
    <cellStyle name="Normal 10 7 11 2 2 2" xfId="13846"/>
    <cellStyle name="Normal 10 7 11 2 2 2 2" xfId="13847"/>
    <cellStyle name="Normal 10 7 11 2 2 3" xfId="13848"/>
    <cellStyle name="Normal 10 7 11 2 3" xfId="13849"/>
    <cellStyle name="Normal 10 7 11 2 3 2" xfId="13850"/>
    <cellStyle name="Normal 10 7 11 2 4" xfId="13851"/>
    <cellStyle name="Normal 10 7 11 3" xfId="13852"/>
    <cellStyle name="Normal 10 7 11 3 2" xfId="13853"/>
    <cellStyle name="Normal 10 7 11 3 2 2" xfId="13854"/>
    <cellStyle name="Normal 10 7 11 3 2 2 2" xfId="13855"/>
    <cellStyle name="Normal 10 7 11 3 2 3" xfId="13856"/>
    <cellStyle name="Normal 10 7 11 3 3" xfId="13857"/>
    <cellStyle name="Normal 10 7 11 3 3 2" xfId="13858"/>
    <cellStyle name="Normal 10 7 11 3 4" xfId="13859"/>
    <cellStyle name="Normal 10 7 11 4" xfId="13860"/>
    <cellStyle name="Normal 10 7 11 4 2" xfId="13861"/>
    <cellStyle name="Normal 10 7 11 4 2 2" xfId="13862"/>
    <cellStyle name="Normal 10 7 11 4 3" xfId="13863"/>
    <cellStyle name="Normal 10 7 11 5" xfId="13864"/>
    <cellStyle name="Normal 10 7 11 5 2" xfId="13865"/>
    <cellStyle name="Normal 10 7 11 6" xfId="13866"/>
    <cellStyle name="Normal 10 7 12" xfId="13867"/>
    <cellStyle name="Normal 10 7 12 2" xfId="13868"/>
    <cellStyle name="Normal 10 7 12 2 2" xfId="13869"/>
    <cellStyle name="Normal 10 7 12 2 2 2" xfId="13870"/>
    <cellStyle name="Normal 10 7 12 2 2 2 2" xfId="13871"/>
    <cellStyle name="Normal 10 7 12 2 2 3" xfId="13872"/>
    <cellStyle name="Normal 10 7 12 2 3" xfId="13873"/>
    <cellStyle name="Normal 10 7 12 2 3 2" xfId="13874"/>
    <cellStyle name="Normal 10 7 12 2 4" xfId="13875"/>
    <cellStyle name="Normal 10 7 12 3" xfId="13876"/>
    <cellStyle name="Normal 10 7 12 3 2" xfId="13877"/>
    <cellStyle name="Normal 10 7 12 3 2 2" xfId="13878"/>
    <cellStyle name="Normal 10 7 12 3 2 2 2" xfId="13879"/>
    <cellStyle name="Normal 10 7 12 3 2 3" xfId="13880"/>
    <cellStyle name="Normal 10 7 12 3 3" xfId="13881"/>
    <cellStyle name="Normal 10 7 12 3 3 2" xfId="13882"/>
    <cellStyle name="Normal 10 7 12 3 4" xfId="13883"/>
    <cellStyle name="Normal 10 7 12 4" xfId="13884"/>
    <cellStyle name="Normal 10 7 12 4 2" xfId="13885"/>
    <cellStyle name="Normal 10 7 12 4 2 2" xfId="13886"/>
    <cellStyle name="Normal 10 7 12 4 3" xfId="13887"/>
    <cellStyle name="Normal 10 7 12 5" xfId="13888"/>
    <cellStyle name="Normal 10 7 12 5 2" xfId="13889"/>
    <cellStyle name="Normal 10 7 12 6" xfId="13890"/>
    <cellStyle name="Normal 10 7 13" xfId="13891"/>
    <cellStyle name="Normal 10 7 13 2" xfId="13892"/>
    <cellStyle name="Normal 10 7 13 2 2" xfId="13893"/>
    <cellStyle name="Normal 10 7 13 2 2 2" xfId="13894"/>
    <cellStyle name="Normal 10 7 13 2 2 2 2" xfId="13895"/>
    <cellStyle name="Normal 10 7 13 2 2 3" xfId="13896"/>
    <cellStyle name="Normal 10 7 13 2 3" xfId="13897"/>
    <cellStyle name="Normal 10 7 13 2 3 2" xfId="13898"/>
    <cellStyle name="Normal 10 7 13 2 4" xfId="13899"/>
    <cellStyle name="Normal 10 7 13 3" xfId="13900"/>
    <cellStyle name="Normal 10 7 13 3 2" xfId="13901"/>
    <cellStyle name="Normal 10 7 13 3 2 2" xfId="13902"/>
    <cellStyle name="Normal 10 7 13 3 2 2 2" xfId="13903"/>
    <cellStyle name="Normal 10 7 13 3 2 3" xfId="13904"/>
    <cellStyle name="Normal 10 7 13 3 3" xfId="13905"/>
    <cellStyle name="Normal 10 7 13 3 3 2" xfId="13906"/>
    <cellStyle name="Normal 10 7 13 3 4" xfId="13907"/>
    <cellStyle name="Normal 10 7 13 4" xfId="13908"/>
    <cellStyle name="Normal 10 7 13 4 2" xfId="13909"/>
    <cellStyle name="Normal 10 7 13 4 2 2" xfId="13910"/>
    <cellStyle name="Normal 10 7 13 4 3" xfId="13911"/>
    <cellStyle name="Normal 10 7 13 5" xfId="13912"/>
    <cellStyle name="Normal 10 7 13 5 2" xfId="13913"/>
    <cellStyle name="Normal 10 7 13 6" xfId="13914"/>
    <cellStyle name="Normal 10 7 14" xfId="13915"/>
    <cellStyle name="Normal 10 7 14 2" xfId="13916"/>
    <cellStyle name="Normal 10 7 14 2 2" xfId="13917"/>
    <cellStyle name="Normal 10 7 14 2 2 2" xfId="13918"/>
    <cellStyle name="Normal 10 7 14 2 3" xfId="13919"/>
    <cellStyle name="Normal 10 7 14 3" xfId="13920"/>
    <cellStyle name="Normal 10 7 14 3 2" xfId="13921"/>
    <cellStyle name="Normal 10 7 14 4" xfId="13922"/>
    <cellStyle name="Normal 10 7 15" xfId="13923"/>
    <cellStyle name="Normal 10 7 15 2" xfId="13924"/>
    <cellStyle name="Normal 10 7 15 2 2" xfId="13925"/>
    <cellStyle name="Normal 10 7 15 2 2 2" xfId="13926"/>
    <cellStyle name="Normal 10 7 15 2 3" xfId="13927"/>
    <cellStyle name="Normal 10 7 15 3" xfId="13928"/>
    <cellStyle name="Normal 10 7 15 3 2" xfId="13929"/>
    <cellStyle name="Normal 10 7 15 4" xfId="13930"/>
    <cellStyle name="Normal 10 7 16" xfId="13931"/>
    <cellStyle name="Normal 10 7 16 2" xfId="13932"/>
    <cellStyle name="Normal 10 7 16 2 2" xfId="13933"/>
    <cellStyle name="Normal 10 7 16 3" xfId="13934"/>
    <cellStyle name="Normal 10 7 17" xfId="13935"/>
    <cellStyle name="Normal 10 7 17 2" xfId="13936"/>
    <cellStyle name="Normal 10 7 18" xfId="13937"/>
    <cellStyle name="Normal 10 7 2" xfId="13938"/>
    <cellStyle name="Normal 10 7 2 2" xfId="13939"/>
    <cellStyle name="Normal 10 7 2 2 2" xfId="13940"/>
    <cellStyle name="Normal 10 7 2 2 2 2" xfId="13941"/>
    <cellStyle name="Normal 10 7 2 2 2 2 2" xfId="13942"/>
    <cellStyle name="Normal 10 7 2 2 2 3" xfId="13943"/>
    <cellStyle name="Normal 10 7 2 2 3" xfId="13944"/>
    <cellStyle name="Normal 10 7 2 2 3 2" xfId="13945"/>
    <cellStyle name="Normal 10 7 2 2 4" xfId="13946"/>
    <cellStyle name="Normal 10 7 2 3" xfId="13947"/>
    <cellStyle name="Normal 10 7 2 3 2" xfId="13948"/>
    <cellStyle name="Normal 10 7 2 3 2 2" xfId="13949"/>
    <cellStyle name="Normal 10 7 2 3 2 2 2" xfId="13950"/>
    <cellStyle name="Normal 10 7 2 3 2 3" xfId="13951"/>
    <cellStyle name="Normal 10 7 2 3 3" xfId="13952"/>
    <cellStyle name="Normal 10 7 2 3 3 2" xfId="13953"/>
    <cellStyle name="Normal 10 7 2 3 4" xfId="13954"/>
    <cellStyle name="Normal 10 7 2 4" xfId="13955"/>
    <cellStyle name="Normal 10 7 2 4 2" xfId="13956"/>
    <cellStyle name="Normal 10 7 2 4 2 2" xfId="13957"/>
    <cellStyle name="Normal 10 7 2 4 3" xfId="13958"/>
    <cellStyle name="Normal 10 7 2 5" xfId="13959"/>
    <cellStyle name="Normal 10 7 2 5 2" xfId="13960"/>
    <cellStyle name="Normal 10 7 2 6" xfId="13961"/>
    <cellStyle name="Normal 10 7 3" xfId="13962"/>
    <cellStyle name="Normal 10 7 3 2" xfId="13963"/>
    <cellStyle name="Normal 10 7 3 2 2" xfId="13964"/>
    <cellStyle name="Normal 10 7 3 2 2 2" xfId="13965"/>
    <cellStyle name="Normal 10 7 3 2 2 2 2" xfId="13966"/>
    <cellStyle name="Normal 10 7 3 2 2 3" xfId="13967"/>
    <cellStyle name="Normal 10 7 3 2 3" xfId="13968"/>
    <cellStyle name="Normal 10 7 3 2 3 2" xfId="13969"/>
    <cellStyle name="Normal 10 7 3 2 4" xfId="13970"/>
    <cellStyle name="Normal 10 7 3 3" xfId="13971"/>
    <cellStyle name="Normal 10 7 3 3 2" xfId="13972"/>
    <cellStyle name="Normal 10 7 3 3 2 2" xfId="13973"/>
    <cellStyle name="Normal 10 7 3 3 2 2 2" xfId="13974"/>
    <cellStyle name="Normal 10 7 3 3 2 3" xfId="13975"/>
    <cellStyle name="Normal 10 7 3 3 3" xfId="13976"/>
    <cellStyle name="Normal 10 7 3 3 3 2" xfId="13977"/>
    <cellStyle name="Normal 10 7 3 3 4" xfId="13978"/>
    <cellStyle name="Normal 10 7 3 4" xfId="13979"/>
    <cellStyle name="Normal 10 7 3 4 2" xfId="13980"/>
    <cellStyle name="Normal 10 7 3 4 2 2" xfId="13981"/>
    <cellStyle name="Normal 10 7 3 4 3" xfId="13982"/>
    <cellStyle name="Normal 10 7 3 5" xfId="13983"/>
    <cellStyle name="Normal 10 7 3 5 2" xfId="13984"/>
    <cellStyle name="Normal 10 7 3 6" xfId="13985"/>
    <cellStyle name="Normal 10 7 4" xfId="13986"/>
    <cellStyle name="Normal 10 7 4 2" xfId="13987"/>
    <cellStyle name="Normal 10 7 4 2 2" xfId="13988"/>
    <cellStyle name="Normal 10 7 4 2 2 2" xfId="13989"/>
    <cellStyle name="Normal 10 7 4 2 2 2 2" xfId="13990"/>
    <cellStyle name="Normal 10 7 4 2 2 3" xfId="13991"/>
    <cellStyle name="Normal 10 7 4 2 3" xfId="13992"/>
    <cellStyle name="Normal 10 7 4 2 3 2" xfId="13993"/>
    <cellStyle name="Normal 10 7 4 2 4" xfId="13994"/>
    <cellStyle name="Normal 10 7 4 3" xfId="13995"/>
    <cellStyle name="Normal 10 7 4 3 2" xfId="13996"/>
    <cellStyle name="Normal 10 7 4 3 2 2" xfId="13997"/>
    <cellStyle name="Normal 10 7 4 3 2 2 2" xfId="13998"/>
    <cellStyle name="Normal 10 7 4 3 2 3" xfId="13999"/>
    <cellStyle name="Normal 10 7 4 3 3" xfId="14000"/>
    <cellStyle name="Normal 10 7 4 3 3 2" xfId="14001"/>
    <cellStyle name="Normal 10 7 4 3 4" xfId="14002"/>
    <cellStyle name="Normal 10 7 4 4" xfId="14003"/>
    <cellStyle name="Normal 10 7 4 4 2" xfId="14004"/>
    <cellStyle name="Normal 10 7 4 4 2 2" xfId="14005"/>
    <cellStyle name="Normal 10 7 4 4 3" xfId="14006"/>
    <cellStyle name="Normal 10 7 4 5" xfId="14007"/>
    <cellStyle name="Normal 10 7 4 5 2" xfId="14008"/>
    <cellStyle name="Normal 10 7 4 6" xfId="14009"/>
    <cellStyle name="Normal 10 7 5" xfId="14010"/>
    <cellStyle name="Normal 10 7 5 2" xfId="14011"/>
    <cellStyle name="Normal 10 7 5 2 2" xfId="14012"/>
    <cellStyle name="Normal 10 7 5 2 2 2" xfId="14013"/>
    <cellStyle name="Normal 10 7 5 2 2 2 2" xfId="14014"/>
    <cellStyle name="Normal 10 7 5 2 2 3" xfId="14015"/>
    <cellStyle name="Normal 10 7 5 2 3" xfId="14016"/>
    <cellStyle name="Normal 10 7 5 2 3 2" xfId="14017"/>
    <cellStyle name="Normal 10 7 5 2 4" xfId="14018"/>
    <cellStyle name="Normal 10 7 5 3" xfId="14019"/>
    <cellStyle name="Normal 10 7 5 3 2" xfId="14020"/>
    <cellStyle name="Normal 10 7 5 3 2 2" xfId="14021"/>
    <cellStyle name="Normal 10 7 5 3 2 2 2" xfId="14022"/>
    <cellStyle name="Normal 10 7 5 3 2 3" xfId="14023"/>
    <cellStyle name="Normal 10 7 5 3 3" xfId="14024"/>
    <cellStyle name="Normal 10 7 5 3 3 2" xfId="14025"/>
    <cellStyle name="Normal 10 7 5 3 4" xfId="14026"/>
    <cellStyle name="Normal 10 7 5 4" xfId="14027"/>
    <cellStyle name="Normal 10 7 5 4 2" xfId="14028"/>
    <cellStyle name="Normal 10 7 5 4 2 2" xfId="14029"/>
    <cellStyle name="Normal 10 7 5 4 3" xfId="14030"/>
    <cellStyle name="Normal 10 7 5 5" xfId="14031"/>
    <cellStyle name="Normal 10 7 5 5 2" xfId="14032"/>
    <cellStyle name="Normal 10 7 5 6" xfId="14033"/>
    <cellStyle name="Normal 10 7 6" xfId="14034"/>
    <cellStyle name="Normal 10 7 6 2" xfId="14035"/>
    <cellStyle name="Normal 10 7 6 2 2" xfId="14036"/>
    <cellStyle name="Normal 10 7 6 2 2 2" xfId="14037"/>
    <cellStyle name="Normal 10 7 6 2 2 2 2" xfId="14038"/>
    <cellStyle name="Normal 10 7 6 2 2 3" xfId="14039"/>
    <cellStyle name="Normal 10 7 6 2 3" xfId="14040"/>
    <cellStyle name="Normal 10 7 6 2 3 2" xfId="14041"/>
    <cellStyle name="Normal 10 7 6 2 4" xfId="14042"/>
    <cellStyle name="Normal 10 7 6 3" xfId="14043"/>
    <cellStyle name="Normal 10 7 6 3 2" xfId="14044"/>
    <cellStyle name="Normal 10 7 6 3 2 2" xfId="14045"/>
    <cellStyle name="Normal 10 7 6 3 2 2 2" xfId="14046"/>
    <cellStyle name="Normal 10 7 6 3 2 3" xfId="14047"/>
    <cellStyle name="Normal 10 7 6 3 3" xfId="14048"/>
    <cellStyle name="Normal 10 7 6 3 3 2" xfId="14049"/>
    <cellStyle name="Normal 10 7 6 3 4" xfId="14050"/>
    <cellStyle name="Normal 10 7 6 4" xfId="14051"/>
    <cellStyle name="Normal 10 7 6 4 2" xfId="14052"/>
    <cellStyle name="Normal 10 7 6 4 2 2" xfId="14053"/>
    <cellStyle name="Normal 10 7 6 4 3" xfId="14054"/>
    <cellStyle name="Normal 10 7 6 5" xfId="14055"/>
    <cellStyle name="Normal 10 7 6 5 2" xfId="14056"/>
    <cellStyle name="Normal 10 7 6 6" xfId="14057"/>
    <cellStyle name="Normal 10 7 7" xfId="14058"/>
    <cellStyle name="Normal 10 7 7 2" xfId="14059"/>
    <cellStyle name="Normal 10 7 7 2 2" xfId="14060"/>
    <cellStyle name="Normal 10 7 7 2 2 2" xfId="14061"/>
    <cellStyle name="Normal 10 7 7 2 2 2 2" xfId="14062"/>
    <cellStyle name="Normal 10 7 7 2 2 3" xfId="14063"/>
    <cellStyle name="Normal 10 7 7 2 3" xfId="14064"/>
    <cellStyle name="Normal 10 7 7 2 3 2" xfId="14065"/>
    <cellStyle name="Normal 10 7 7 2 4" xfId="14066"/>
    <cellStyle name="Normal 10 7 7 3" xfId="14067"/>
    <cellStyle name="Normal 10 7 7 3 2" xfId="14068"/>
    <cellStyle name="Normal 10 7 7 3 2 2" xfId="14069"/>
    <cellStyle name="Normal 10 7 7 3 2 2 2" xfId="14070"/>
    <cellStyle name="Normal 10 7 7 3 2 3" xfId="14071"/>
    <cellStyle name="Normal 10 7 7 3 3" xfId="14072"/>
    <cellStyle name="Normal 10 7 7 3 3 2" xfId="14073"/>
    <cellStyle name="Normal 10 7 7 3 4" xfId="14074"/>
    <cellStyle name="Normal 10 7 7 4" xfId="14075"/>
    <cellStyle name="Normal 10 7 7 4 2" xfId="14076"/>
    <cellStyle name="Normal 10 7 7 4 2 2" xfId="14077"/>
    <cellStyle name="Normal 10 7 7 4 3" xfId="14078"/>
    <cellStyle name="Normal 10 7 7 5" xfId="14079"/>
    <cellStyle name="Normal 10 7 7 5 2" xfId="14080"/>
    <cellStyle name="Normal 10 7 7 6" xfId="14081"/>
    <cellStyle name="Normal 10 7 8" xfId="14082"/>
    <cellStyle name="Normal 10 7 8 2" xfId="14083"/>
    <cellStyle name="Normal 10 7 8 2 2" xfId="14084"/>
    <cellStyle name="Normal 10 7 8 2 2 2" xfId="14085"/>
    <cellStyle name="Normal 10 7 8 2 2 2 2" xfId="14086"/>
    <cellStyle name="Normal 10 7 8 2 2 3" xfId="14087"/>
    <cellStyle name="Normal 10 7 8 2 3" xfId="14088"/>
    <cellStyle name="Normal 10 7 8 2 3 2" xfId="14089"/>
    <cellStyle name="Normal 10 7 8 2 4" xfId="14090"/>
    <cellStyle name="Normal 10 7 8 3" xfId="14091"/>
    <cellStyle name="Normal 10 7 8 3 2" xfId="14092"/>
    <cellStyle name="Normal 10 7 8 3 2 2" xfId="14093"/>
    <cellStyle name="Normal 10 7 8 3 2 2 2" xfId="14094"/>
    <cellStyle name="Normal 10 7 8 3 2 3" xfId="14095"/>
    <cellStyle name="Normal 10 7 8 3 3" xfId="14096"/>
    <cellStyle name="Normal 10 7 8 3 3 2" xfId="14097"/>
    <cellStyle name="Normal 10 7 8 3 4" xfId="14098"/>
    <cellStyle name="Normal 10 7 8 4" xfId="14099"/>
    <cellStyle name="Normal 10 7 8 4 2" xfId="14100"/>
    <cellStyle name="Normal 10 7 8 4 2 2" xfId="14101"/>
    <cellStyle name="Normal 10 7 8 4 3" xfId="14102"/>
    <cellStyle name="Normal 10 7 8 5" xfId="14103"/>
    <cellStyle name="Normal 10 7 8 5 2" xfId="14104"/>
    <cellStyle name="Normal 10 7 8 6" xfId="14105"/>
    <cellStyle name="Normal 10 7 9" xfId="14106"/>
    <cellStyle name="Normal 10 7 9 2" xfId="14107"/>
    <cellStyle name="Normal 10 7 9 2 2" xfId="14108"/>
    <cellStyle name="Normal 10 7 9 2 2 2" xfId="14109"/>
    <cellStyle name="Normal 10 7 9 2 2 2 2" xfId="14110"/>
    <cellStyle name="Normal 10 7 9 2 2 3" xfId="14111"/>
    <cellStyle name="Normal 10 7 9 2 3" xfId="14112"/>
    <cellStyle name="Normal 10 7 9 2 3 2" xfId="14113"/>
    <cellStyle name="Normal 10 7 9 2 4" xfId="14114"/>
    <cellStyle name="Normal 10 7 9 3" xfId="14115"/>
    <cellStyle name="Normal 10 7 9 3 2" xfId="14116"/>
    <cellStyle name="Normal 10 7 9 3 2 2" xfId="14117"/>
    <cellStyle name="Normal 10 7 9 3 2 2 2" xfId="14118"/>
    <cellStyle name="Normal 10 7 9 3 2 3" xfId="14119"/>
    <cellStyle name="Normal 10 7 9 3 3" xfId="14120"/>
    <cellStyle name="Normal 10 7 9 3 3 2" xfId="14121"/>
    <cellStyle name="Normal 10 7 9 3 4" xfId="14122"/>
    <cellStyle name="Normal 10 7 9 4" xfId="14123"/>
    <cellStyle name="Normal 10 7 9 4 2" xfId="14124"/>
    <cellStyle name="Normal 10 7 9 4 2 2" xfId="14125"/>
    <cellStyle name="Normal 10 7 9 4 3" xfId="14126"/>
    <cellStyle name="Normal 10 7 9 5" xfId="14127"/>
    <cellStyle name="Normal 10 7 9 5 2" xfId="14128"/>
    <cellStyle name="Normal 10 7 9 6" xfId="14129"/>
    <cellStyle name="Normal 10 8" xfId="14130"/>
    <cellStyle name="Normal 10 8 10" xfId="14131"/>
    <cellStyle name="Normal 10 8 10 2" xfId="14132"/>
    <cellStyle name="Normal 10 8 10 2 2" xfId="14133"/>
    <cellStyle name="Normal 10 8 10 2 2 2" xfId="14134"/>
    <cellStyle name="Normal 10 8 10 2 2 2 2" xfId="14135"/>
    <cellStyle name="Normal 10 8 10 2 2 3" xfId="14136"/>
    <cellStyle name="Normal 10 8 10 2 3" xfId="14137"/>
    <cellStyle name="Normal 10 8 10 2 3 2" xfId="14138"/>
    <cellStyle name="Normal 10 8 10 2 4" xfId="14139"/>
    <cellStyle name="Normal 10 8 10 3" xfId="14140"/>
    <cellStyle name="Normal 10 8 10 3 2" xfId="14141"/>
    <cellStyle name="Normal 10 8 10 3 2 2" xfId="14142"/>
    <cellStyle name="Normal 10 8 10 3 2 2 2" xfId="14143"/>
    <cellStyle name="Normal 10 8 10 3 2 3" xfId="14144"/>
    <cellStyle name="Normal 10 8 10 3 3" xfId="14145"/>
    <cellStyle name="Normal 10 8 10 3 3 2" xfId="14146"/>
    <cellStyle name="Normal 10 8 10 3 4" xfId="14147"/>
    <cellStyle name="Normal 10 8 10 4" xfId="14148"/>
    <cellStyle name="Normal 10 8 10 4 2" xfId="14149"/>
    <cellStyle name="Normal 10 8 10 4 2 2" xfId="14150"/>
    <cellStyle name="Normal 10 8 10 4 3" xfId="14151"/>
    <cellStyle name="Normal 10 8 10 5" xfId="14152"/>
    <cellStyle name="Normal 10 8 10 5 2" xfId="14153"/>
    <cellStyle name="Normal 10 8 10 6" xfId="14154"/>
    <cellStyle name="Normal 10 8 11" xfId="14155"/>
    <cellStyle name="Normal 10 8 11 2" xfId="14156"/>
    <cellStyle name="Normal 10 8 11 2 2" xfId="14157"/>
    <cellStyle name="Normal 10 8 11 2 2 2" xfId="14158"/>
    <cellStyle name="Normal 10 8 11 2 2 2 2" xfId="14159"/>
    <cellStyle name="Normal 10 8 11 2 2 3" xfId="14160"/>
    <cellStyle name="Normal 10 8 11 2 3" xfId="14161"/>
    <cellStyle name="Normal 10 8 11 2 3 2" xfId="14162"/>
    <cellStyle name="Normal 10 8 11 2 4" xfId="14163"/>
    <cellStyle name="Normal 10 8 11 3" xfId="14164"/>
    <cellStyle name="Normal 10 8 11 3 2" xfId="14165"/>
    <cellStyle name="Normal 10 8 11 3 2 2" xfId="14166"/>
    <cellStyle name="Normal 10 8 11 3 2 2 2" xfId="14167"/>
    <cellStyle name="Normal 10 8 11 3 2 3" xfId="14168"/>
    <cellStyle name="Normal 10 8 11 3 3" xfId="14169"/>
    <cellStyle name="Normal 10 8 11 3 3 2" xfId="14170"/>
    <cellStyle name="Normal 10 8 11 3 4" xfId="14171"/>
    <cellStyle name="Normal 10 8 11 4" xfId="14172"/>
    <cellStyle name="Normal 10 8 11 4 2" xfId="14173"/>
    <cellStyle name="Normal 10 8 11 4 2 2" xfId="14174"/>
    <cellStyle name="Normal 10 8 11 4 3" xfId="14175"/>
    <cellStyle name="Normal 10 8 11 5" xfId="14176"/>
    <cellStyle name="Normal 10 8 11 5 2" xfId="14177"/>
    <cellStyle name="Normal 10 8 11 6" xfId="14178"/>
    <cellStyle name="Normal 10 8 12" xfId="14179"/>
    <cellStyle name="Normal 10 8 12 2" xfId="14180"/>
    <cellStyle name="Normal 10 8 12 2 2" xfId="14181"/>
    <cellStyle name="Normal 10 8 12 2 2 2" xfId="14182"/>
    <cellStyle name="Normal 10 8 12 2 2 2 2" xfId="14183"/>
    <cellStyle name="Normal 10 8 12 2 2 3" xfId="14184"/>
    <cellStyle name="Normal 10 8 12 2 3" xfId="14185"/>
    <cellStyle name="Normal 10 8 12 2 3 2" xfId="14186"/>
    <cellStyle name="Normal 10 8 12 2 4" xfId="14187"/>
    <cellStyle name="Normal 10 8 12 3" xfId="14188"/>
    <cellStyle name="Normal 10 8 12 3 2" xfId="14189"/>
    <cellStyle name="Normal 10 8 12 3 2 2" xfId="14190"/>
    <cellStyle name="Normal 10 8 12 3 2 2 2" xfId="14191"/>
    <cellStyle name="Normal 10 8 12 3 2 3" xfId="14192"/>
    <cellStyle name="Normal 10 8 12 3 3" xfId="14193"/>
    <cellStyle name="Normal 10 8 12 3 3 2" xfId="14194"/>
    <cellStyle name="Normal 10 8 12 3 4" xfId="14195"/>
    <cellStyle name="Normal 10 8 12 4" xfId="14196"/>
    <cellStyle name="Normal 10 8 12 4 2" xfId="14197"/>
    <cellStyle name="Normal 10 8 12 4 2 2" xfId="14198"/>
    <cellStyle name="Normal 10 8 12 4 3" xfId="14199"/>
    <cellStyle name="Normal 10 8 12 5" xfId="14200"/>
    <cellStyle name="Normal 10 8 12 5 2" xfId="14201"/>
    <cellStyle name="Normal 10 8 12 6" xfId="14202"/>
    <cellStyle name="Normal 10 8 13" xfId="14203"/>
    <cellStyle name="Normal 10 8 13 2" xfId="14204"/>
    <cellStyle name="Normal 10 8 13 2 2" xfId="14205"/>
    <cellStyle name="Normal 10 8 13 2 2 2" xfId="14206"/>
    <cellStyle name="Normal 10 8 13 2 2 2 2" xfId="14207"/>
    <cellStyle name="Normal 10 8 13 2 2 3" xfId="14208"/>
    <cellStyle name="Normal 10 8 13 2 3" xfId="14209"/>
    <cellStyle name="Normal 10 8 13 2 3 2" xfId="14210"/>
    <cellStyle name="Normal 10 8 13 2 4" xfId="14211"/>
    <cellStyle name="Normal 10 8 13 3" xfId="14212"/>
    <cellStyle name="Normal 10 8 13 3 2" xfId="14213"/>
    <cellStyle name="Normal 10 8 13 3 2 2" xfId="14214"/>
    <cellStyle name="Normal 10 8 13 3 2 2 2" xfId="14215"/>
    <cellStyle name="Normal 10 8 13 3 2 3" xfId="14216"/>
    <cellStyle name="Normal 10 8 13 3 3" xfId="14217"/>
    <cellStyle name="Normal 10 8 13 3 3 2" xfId="14218"/>
    <cellStyle name="Normal 10 8 13 3 4" xfId="14219"/>
    <cellStyle name="Normal 10 8 13 4" xfId="14220"/>
    <cellStyle name="Normal 10 8 13 4 2" xfId="14221"/>
    <cellStyle name="Normal 10 8 13 4 2 2" xfId="14222"/>
    <cellStyle name="Normal 10 8 13 4 3" xfId="14223"/>
    <cellStyle name="Normal 10 8 13 5" xfId="14224"/>
    <cellStyle name="Normal 10 8 13 5 2" xfId="14225"/>
    <cellStyle name="Normal 10 8 13 6" xfId="14226"/>
    <cellStyle name="Normal 10 8 14" xfId="14227"/>
    <cellStyle name="Normal 10 8 14 2" xfId="14228"/>
    <cellStyle name="Normal 10 8 14 2 2" xfId="14229"/>
    <cellStyle name="Normal 10 8 14 2 2 2" xfId="14230"/>
    <cellStyle name="Normal 10 8 14 2 3" xfId="14231"/>
    <cellStyle name="Normal 10 8 14 3" xfId="14232"/>
    <cellStyle name="Normal 10 8 14 3 2" xfId="14233"/>
    <cellStyle name="Normal 10 8 14 4" xfId="14234"/>
    <cellStyle name="Normal 10 8 15" xfId="14235"/>
    <cellStyle name="Normal 10 8 15 2" xfId="14236"/>
    <cellStyle name="Normal 10 8 15 2 2" xfId="14237"/>
    <cellStyle name="Normal 10 8 15 2 2 2" xfId="14238"/>
    <cellStyle name="Normal 10 8 15 2 3" xfId="14239"/>
    <cellStyle name="Normal 10 8 15 3" xfId="14240"/>
    <cellStyle name="Normal 10 8 15 3 2" xfId="14241"/>
    <cellStyle name="Normal 10 8 15 4" xfId="14242"/>
    <cellStyle name="Normal 10 8 16" xfId="14243"/>
    <cellStyle name="Normal 10 8 16 2" xfId="14244"/>
    <cellStyle name="Normal 10 8 16 2 2" xfId="14245"/>
    <cellStyle name="Normal 10 8 16 3" xfId="14246"/>
    <cellStyle name="Normal 10 8 17" xfId="14247"/>
    <cellStyle name="Normal 10 8 17 2" xfId="14248"/>
    <cellStyle name="Normal 10 8 18" xfId="14249"/>
    <cellStyle name="Normal 10 8 2" xfId="14250"/>
    <cellStyle name="Normal 10 8 2 2" xfId="14251"/>
    <cellStyle name="Normal 10 8 2 2 2" xfId="14252"/>
    <cellStyle name="Normal 10 8 2 2 2 2" xfId="14253"/>
    <cellStyle name="Normal 10 8 2 2 2 2 2" xfId="14254"/>
    <cellStyle name="Normal 10 8 2 2 2 3" xfId="14255"/>
    <cellStyle name="Normal 10 8 2 2 3" xfId="14256"/>
    <cellStyle name="Normal 10 8 2 2 3 2" xfId="14257"/>
    <cellStyle name="Normal 10 8 2 2 4" xfId="14258"/>
    <cellStyle name="Normal 10 8 2 3" xfId="14259"/>
    <cellStyle name="Normal 10 8 2 3 2" xfId="14260"/>
    <cellStyle name="Normal 10 8 2 3 2 2" xfId="14261"/>
    <cellStyle name="Normal 10 8 2 3 2 2 2" xfId="14262"/>
    <cellStyle name="Normal 10 8 2 3 2 3" xfId="14263"/>
    <cellStyle name="Normal 10 8 2 3 3" xfId="14264"/>
    <cellStyle name="Normal 10 8 2 3 3 2" xfId="14265"/>
    <cellStyle name="Normal 10 8 2 3 4" xfId="14266"/>
    <cellStyle name="Normal 10 8 2 4" xfId="14267"/>
    <cellStyle name="Normal 10 8 2 4 2" xfId="14268"/>
    <cellStyle name="Normal 10 8 2 4 2 2" xfId="14269"/>
    <cellStyle name="Normal 10 8 2 4 3" xfId="14270"/>
    <cellStyle name="Normal 10 8 2 5" xfId="14271"/>
    <cellStyle name="Normal 10 8 2 5 2" xfId="14272"/>
    <cellStyle name="Normal 10 8 2 6" xfId="14273"/>
    <cellStyle name="Normal 10 8 3" xfId="14274"/>
    <cellStyle name="Normal 10 8 3 2" xfId="14275"/>
    <cellStyle name="Normal 10 8 3 2 2" xfId="14276"/>
    <cellStyle name="Normal 10 8 3 2 2 2" xfId="14277"/>
    <cellStyle name="Normal 10 8 3 2 2 2 2" xfId="14278"/>
    <cellStyle name="Normal 10 8 3 2 2 3" xfId="14279"/>
    <cellStyle name="Normal 10 8 3 2 3" xfId="14280"/>
    <cellStyle name="Normal 10 8 3 2 3 2" xfId="14281"/>
    <cellStyle name="Normal 10 8 3 2 4" xfId="14282"/>
    <cellStyle name="Normal 10 8 3 3" xfId="14283"/>
    <cellStyle name="Normal 10 8 3 3 2" xfId="14284"/>
    <cellStyle name="Normal 10 8 3 3 2 2" xfId="14285"/>
    <cellStyle name="Normal 10 8 3 3 2 2 2" xfId="14286"/>
    <cellStyle name="Normal 10 8 3 3 2 3" xfId="14287"/>
    <cellStyle name="Normal 10 8 3 3 3" xfId="14288"/>
    <cellStyle name="Normal 10 8 3 3 3 2" xfId="14289"/>
    <cellStyle name="Normal 10 8 3 3 4" xfId="14290"/>
    <cellStyle name="Normal 10 8 3 4" xfId="14291"/>
    <cellStyle name="Normal 10 8 3 4 2" xfId="14292"/>
    <cellStyle name="Normal 10 8 3 4 2 2" xfId="14293"/>
    <cellStyle name="Normal 10 8 3 4 3" xfId="14294"/>
    <cellStyle name="Normal 10 8 3 5" xfId="14295"/>
    <cellStyle name="Normal 10 8 3 5 2" xfId="14296"/>
    <cellStyle name="Normal 10 8 3 6" xfId="14297"/>
    <cellStyle name="Normal 10 8 4" xfId="14298"/>
    <cellStyle name="Normal 10 8 4 2" xfId="14299"/>
    <cellStyle name="Normal 10 8 4 2 2" xfId="14300"/>
    <cellStyle name="Normal 10 8 4 2 2 2" xfId="14301"/>
    <cellStyle name="Normal 10 8 4 2 2 2 2" xfId="14302"/>
    <cellStyle name="Normal 10 8 4 2 2 3" xfId="14303"/>
    <cellStyle name="Normal 10 8 4 2 3" xfId="14304"/>
    <cellStyle name="Normal 10 8 4 2 3 2" xfId="14305"/>
    <cellStyle name="Normal 10 8 4 2 4" xfId="14306"/>
    <cellStyle name="Normal 10 8 4 3" xfId="14307"/>
    <cellStyle name="Normal 10 8 4 3 2" xfId="14308"/>
    <cellStyle name="Normal 10 8 4 3 2 2" xfId="14309"/>
    <cellStyle name="Normal 10 8 4 3 2 2 2" xfId="14310"/>
    <cellStyle name="Normal 10 8 4 3 2 3" xfId="14311"/>
    <cellStyle name="Normal 10 8 4 3 3" xfId="14312"/>
    <cellStyle name="Normal 10 8 4 3 3 2" xfId="14313"/>
    <cellStyle name="Normal 10 8 4 3 4" xfId="14314"/>
    <cellStyle name="Normal 10 8 4 4" xfId="14315"/>
    <cellStyle name="Normal 10 8 4 4 2" xfId="14316"/>
    <cellStyle name="Normal 10 8 4 4 2 2" xfId="14317"/>
    <cellStyle name="Normal 10 8 4 4 3" xfId="14318"/>
    <cellStyle name="Normal 10 8 4 5" xfId="14319"/>
    <cellStyle name="Normal 10 8 4 5 2" xfId="14320"/>
    <cellStyle name="Normal 10 8 4 6" xfId="14321"/>
    <cellStyle name="Normal 10 8 5" xfId="14322"/>
    <cellStyle name="Normal 10 8 5 2" xfId="14323"/>
    <cellStyle name="Normal 10 8 5 2 2" xfId="14324"/>
    <cellStyle name="Normal 10 8 5 2 2 2" xfId="14325"/>
    <cellStyle name="Normal 10 8 5 2 2 2 2" xfId="14326"/>
    <cellStyle name="Normal 10 8 5 2 2 3" xfId="14327"/>
    <cellStyle name="Normal 10 8 5 2 3" xfId="14328"/>
    <cellStyle name="Normal 10 8 5 2 3 2" xfId="14329"/>
    <cellStyle name="Normal 10 8 5 2 4" xfId="14330"/>
    <cellStyle name="Normal 10 8 5 3" xfId="14331"/>
    <cellStyle name="Normal 10 8 5 3 2" xfId="14332"/>
    <cellStyle name="Normal 10 8 5 3 2 2" xfId="14333"/>
    <cellStyle name="Normal 10 8 5 3 2 2 2" xfId="14334"/>
    <cellStyle name="Normal 10 8 5 3 2 3" xfId="14335"/>
    <cellStyle name="Normal 10 8 5 3 3" xfId="14336"/>
    <cellStyle name="Normal 10 8 5 3 3 2" xfId="14337"/>
    <cellStyle name="Normal 10 8 5 3 4" xfId="14338"/>
    <cellStyle name="Normal 10 8 5 4" xfId="14339"/>
    <cellStyle name="Normal 10 8 5 4 2" xfId="14340"/>
    <cellStyle name="Normal 10 8 5 4 2 2" xfId="14341"/>
    <cellStyle name="Normal 10 8 5 4 3" xfId="14342"/>
    <cellStyle name="Normal 10 8 5 5" xfId="14343"/>
    <cellStyle name="Normal 10 8 5 5 2" xfId="14344"/>
    <cellStyle name="Normal 10 8 5 6" xfId="14345"/>
    <cellStyle name="Normal 10 8 6" xfId="14346"/>
    <cellStyle name="Normal 10 8 6 2" xfId="14347"/>
    <cellStyle name="Normal 10 8 6 2 2" xfId="14348"/>
    <cellStyle name="Normal 10 8 6 2 2 2" xfId="14349"/>
    <cellStyle name="Normal 10 8 6 2 2 2 2" xfId="14350"/>
    <cellStyle name="Normal 10 8 6 2 2 3" xfId="14351"/>
    <cellStyle name="Normal 10 8 6 2 3" xfId="14352"/>
    <cellStyle name="Normal 10 8 6 2 3 2" xfId="14353"/>
    <cellStyle name="Normal 10 8 6 2 4" xfId="14354"/>
    <cellStyle name="Normal 10 8 6 3" xfId="14355"/>
    <cellStyle name="Normal 10 8 6 3 2" xfId="14356"/>
    <cellStyle name="Normal 10 8 6 3 2 2" xfId="14357"/>
    <cellStyle name="Normal 10 8 6 3 2 2 2" xfId="14358"/>
    <cellStyle name="Normal 10 8 6 3 2 3" xfId="14359"/>
    <cellStyle name="Normal 10 8 6 3 3" xfId="14360"/>
    <cellStyle name="Normal 10 8 6 3 3 2" xfId="14361"/>
    <cellStyle name="Normal 10 8 6 3 4" xfId="14362"/>
    <cellStyle name="Normal 10 8 6 4" xfId="14363"/>
    <cellStyle name="Normal 10 8 6 4 2" xfId="14364"/>
    <cellStyle name="Normal 10 8 6 4 2 2" xfId="14365"/>
    <cellStyle name="Normal 10 8 6 4 3" xfId="14366"/>
    <cellStyle name="Normal 10 8 6 5" xfId="14367"/>
    <cellStyle name="Normal 10 8 6 5 2" xfId="14368"/>
    <cellStyle name="Normal 10 8 6 6" xfId="14369"/>
    <cellStyle name="Normal 10 8 7" xfId="14370"/>
    <cellStyle name="Normal 10 8 7 2" xfId="14371"/>
    <cellStyle name="Normal 10 8 7 2 2" xfId="14372"/>
    <cellStyle name="Normal 10 8 7 2 2 2" xfId="14373"/>
    <cellStyle name="Normal 10 8 7 2 2 2 2" xfId="14374"/>
    <cellStyle name="Normal 10 8 7 2 2 3" xfId="14375"/>
    <cellStyle name="Normal 10 8 7 2 3" xfId="14376"/>
    <cellStyle name="Normal 10 8 7 2 3 2" xfId="14377"/>
    <cellStyle name="Normal 10 8 7 2 4" xfId="14378"/>
    <cellStyle name="Normal 10 8 7 3" xfId="14379"/>
    <cellStyle name="Normal 10 8 7 3 2" xfId="14380"/>
    <cellStyle name="Normal 10 8 7 3 2 2" xfId="14381"/>
    <cellStyle name="Normal 10 8 7 3 2 2 2" xfId="14382"/>
    <cellStyle name="Normal 10 8 7 3 2 3" xfId="14383"/>
    <cellStyle name="Normal 10 8 7 3 3" xfId="14384"/>
    <cellStyle name="Normal 10 8 7 3 3 2" xfId="14385"/>
    <cellStyle name="Normal 10 8 7 3 4" xfId="14386"/>
    <cellStyle name="Normal 10 8 7 4" xfId="14387"/>
    <cellStyle name="Normal 10 8 7 4 2" xfId="14388"/>
    <cellStyle name="Normal 10 8 7 4 2 2" xfId="14389"/>
    <cellStyle name="Normal 10 8 7 4 3" xfId="14390"/>
    <cellStyle name="Normal 10 8 7 5" xfId="14391"/>
    <cellStyle name="Normal 10 8 7 5 2" xfId="14392"/>
    <cellStyle name="Normal 10 8 7 6" xfId="14393"/>
    <cellStyle name="Normal 10 8 8" xfId="14394"/>
    <cellStyle name="Normal 10 8 8 2" xfId="14395"/>
    <cellStyle name="Normal 10 8 8 2 2" xfId="14396"/>
    <cellStyle name="Normal 10 8 8 2 2 2" xfId="14397"/>
    <cellStyle name="Normal 10 8 8 2 2 2 2" xfId="14398"/>
    <cellStyle name="Normal 10 8 8 2 2 3" xfId="14399"/>
    <cellStyle name="Normal 10 8 8 2 3" xfId="14400"/>
    <cellStyle name="Normal 10 8 8 2 3 2" xfId="14401"/>
    <cellStyle name="Normal 10 8 8 2 4" xfId="14402"/>
    <cellStyle name="Normal 10 8 8 3" xfId="14403"/>
    <cellStyle name="Normal 10 8 8 3 2" xfId="14404"/>
    <cellStyle name="Normal 10 8 8 3 2 2" xfId="14405"/>
    <cellStyle name="Normal 10 8 8 3 2 2 2" xfId="14406"/>
    <cellStyle name="Normal 10 8 8 3 2 3" xfId="14407"/>
    <cellStyle name="Normal 10 8 8 3 3" xfId="14408"/>
    <cellStyle name="Normal 10 8 8 3 3 2" xfId="14409"/>
    <cellStyle name="Normal 10 8 8 3 4" xfId="14410"/>
    <cellStyle name="Normal 10 8 8 4" xfId="14411"/>
    <cellStyle name="Normal 10 8 8 4 2" xfId="14412"/>
    <cellStyle name="Normal 10 8 8 4 2 2" xfId="14413"/>
    <cellStyle name="Normal 10 8 8 4 3" xfId="14414"/>
    <cellStyle name="Normal 10 8 8 5" xfId="14415"/>
    <cellStyle name="Normal 10 8 8 5 2" xfId="14416"/>
    <cellStyle name="Normal 10 8 8 6" xfId="14417"/>
    <cellStyle name="Normal 10 8 9" xfId="14418"/>
    <cellStyle name="Normal 10 8 9 2" xfId="14419"/>
    <cellStyle name="Normal 10 8 9 2 2" xfId="14420"/>
    <cellStyle name="Normal 10 8 9 2 2 2" xfId="14421"/>
    <cellStyle name="Normal 10 8 9 2 2 2 2" xfId="14422"/>
    <cellStyle name="Normal 10 8 9 2 2 3" xfId="14423"/>
    <cellStyle name="Normal 10 8 9 2 3" xfId="14424"/>
    <cellStyle name="Normal 10 8 9 2 3 2" xfId="14425"/>
    <cellStyle name="Normal 10 8 9 2 4" xfId="14426"/>
    <cellStyle name="Normal 10 8 9 3" xfId="14427"/>
    <cellStyle name="Normal 10 8 9 3 2" xfId="14428"/>
    <cellStyle name="Normal 10 8 9 3 2 2" xfId="14429"/>
    <cellStyle name="Normal 10 8 9 3 2 2 2" xfId="14430"/>
    <cellStyle name="Normal 10 8 9 3 2 3" xfId="14431"/>
    <cellStyle name="Normal 10 8 9 3 3" xfId="14432"/>
    <cellStyle name="Normal 10 8 9 3 3 2" xfId="14433"/>
    <cellStyle name="Normal 10 8 9 3 4" xfId="14434"/>
    <cellStyle name="Normal 10 8 9 4" xfId="14435"/>
    <cellStyle name="Normal 10 8 9 4 2" xfId="14436"/>
    <cellStyle name="Normal 10 8 9 4 2 2" xfId="14437"/>
    <cellStyle name="Normal 10 8 9 4 3" xfId="14438"/>
    <cellStyle name="Normal 10 8 9 5" xfId="14439"/>
    <cellStyle name="Normal 10 8 9 5 2" xfId="14440"/>
    <cellStyle name="Normal 10 8 9 6" xfId="14441"/>
    <cellStyle name="Normal 10 9" xfId="14442"/>
    <cellStyle name="Normal 10 9 10" xfId="14443"/>
    <cellStyle name="Normal 10 9 10 2" xfId="14444"/>
    <cellStyle name="Normal 10 9 10 2 2" xfId="14445"/>
    <cellStyle name="Normal 10 9 10 2 2 2" xfId="14446"/>
    <cellStyle name="Normal 10 9 10 2 2 2 2" xfId="14447"/>
    <cellStyle name="Normal 10 9 10 2 2 3" xfId="14448"/>
    <cellStyle name="Normal 10 9 10 2 3" xfId="14449"/>
    <cellStyle name="Normal 10 9 10 2 3 2" xfId="14450"/>
    <cellStyle name="Normal 10 9 10 2 4" xfId="14451"/>
    <cellStyle name="Normal 10 9 10 3" xfId="14452"/>
    <cellStyle name="Normal 10 9 10 3 2" xfId="14453"/>
    <cellStyle name="Normal 10 9 10 3 2 2" xfId="14454"/>
    <cellStyle name="Normal 10 9 10 3 2 2 2" xfId="14455"/>
    <cellStyle name="Normal 10 9 10 3 2 3" xfId="14456"/>
    <cellStyle name="Normal 10 9 10 3 3" xfId="14457"/>
    <cellStyle name="Normal 10 9 10 3 3 2" xfId="14458"/>
    <cellStyle name="Normal 10 9 10 3 4" xfId="14459"/>
    <cellStyle name="Normal 10 9 10 4" xfId="14460"/>
    <cellStyle name="Normal 10 9 10 4 2" xfId="14461"/>
    <cellStyle name="Normal 10 9 10 4 2 2" xfId="14462"/>
    <cellStyle name="Normal 10 9 10 4 3" xfId="14463"/>
    <cellStyle name="Normal 10 9 10 5" xfId="14464"/>
    <cellStyle name="Normal 10 9 10 5 2" xfId="14465"/>
    <cellStyle name="Normal 10 9 10 6" xfId="14466"/>
    <cellStyle name="Normal 10 9 11" xfId="14467"/>
    <cellStyle name="Normal 10 9 11 2" xfId="14468"/>
    <cellStyle name="Normal 10 9 11 2 2" xfId="14469"/>
    <cellStyle name="Normal 10 9 11 2 2 2" xfId="14470"/>
    <cellStyle name="Normal 10 9 11 2 2 2 2" xfId="14471"/>
    <cellStyle name="Normal 10 9 11 2 2 3" xfId="14472"/>
    <cellStyle name="Normal 10 9 11 2 3" xfId="14473"/>
    <cellStyle name="Normal 10 9 11 2 3 2" xfId="14474"/>
    <cellStyle name="Normal 10 9 11 2 4" xfId="14475"/>
    <cellStyle name="Normal 10 9 11 3" xfId="14476"/>
    <cellStyle name="Normal 10 9 11 3 2" xfId="14477"/>
    <cellStyle name="Normal 10 9 11 3 2 2" xfId="14478"/>
    <cellStyle name="Normal 10 9 11 3 2 2 2" xfId="14479"/>
    <cellStyle name="Normal 10 9 11 3 2 3" xfId="14480"/>
    <cellStyle name="Normal 10 9 11 3 3" xfId="14481"/>
    <cellStyle name="Normal 10 9 11 3 3 2" xfId="14482"/>
    <cellStyle name="Normal 10 9 11 3 4" xfId="14483"/>
    <cellStyle name="Normal 10 9 11 4" xfId="14484"/>
    <cellStyle name="Normal 10 9 11 4 2" xfId="14485"/>
    <cellStyle name="Normal 10 9 11 4 2 2" xfId="14486"/>
    <cellStyle name="Normal 10 9 11 4 3" xfId="14487"/>
    <cellStyle name="Normal 10 9 11 5" xfId="14488"/>
    <cellStyle name="Normal 10 9 11 5 2" xfId="14489"/>
    <cellStyle name="Normal 10 9 11 6" xfId="14490"/>
    <cellStyle name="Normal 10 9 12" xfId="14491"/>
    <cellStyle name="Normal 10 9 12 2" xfId="14492"/>
    <cellStyle name="Normal 10 9 12 2 2" xfId="14493"/>
    <cellStyle name="Normal 10 9 12 2 2 2" xfId="14494"/>
    <cellStyle name="Normal 10 9 12 2 2 2 2" xfId="14495"/>
    <cellStyle name="Normal 10 9 12 2 2 3" xfId="14496"/>
    <cellStyle name="Normal 10 9 12 2 3" xfId="14497"/>
    <cellStyle name="Normal 10 9 12 2 3 2" xfId="14498"/>
    <cellStyle name="Normal 10 9 12 2 4" xfId="14499"/>
    <cellStyle name="Normal 10 9 12 3" xfId="14500"/>
    <cellStyle name="Normal 10 9 12 3 2" xfId="14501"/>
    <cellStyle name="Normal 10 9 12 3 2 2" xfId="14502"/>
    <cellStyle name="Normal 10 9 12 3 2 2 2" xfId="14503"/>
    <cellStyle name="Normal 10 9 12 3 2 3" xfId="14504"/>
    <cellStyle name="Normal 10 9 12 3 3" xfId="14505"/>
    <cellStyle name="Normal 10 9 12 3 3 2" xfId="14506"/>
    <cellStyle name="Normal 10 9 12 3 4" xfId="14507"/>
    <cellStyle name="Normal 10 9 12 4" xfId="14508"/>
    <cellStyle name="Normal 10 9 12 4 2" xfId="14509"/>
    <cellStyle name="Normal 10 9 12 4 2 2" xfId="14510"/>
    <cellStyle name="Normal 10 9 12 4 3" xfId="14511"/>
    <cellStyle name="Normal 10 9 12 5" xfId="14512"/>
    <cellStyle name="Normal 10 9 12 5 2" xfId="14513"/>
    <cellStyle name="Normal 10 9 12 6" xfId="14514"/>
    <cellStyle name="Normal 10 9 13" xfId="14515"/>
    <cellStyle name="Normal 10 9 13 2" xfId="14516"/>
    <cellStyle name="Normal 10 9 13 2 2" xfId="14517"/>
    <cellStyle name="Normal 10 9 13 2 2 2" xfId="14518"/>
    <cellStyle name="Normal 10 9 13 2 2 2 2" xfId="14519"/>
    <cellStyle name="Normal 10 9 13 2 2 3" xfId="14520"/>
    <cellStyle name="Normal 10 9 13 2 3" xfId="14521"/>
    <cellStyle name="Normal 10 9 13 2 3 2" xfId="14522"/>
    <cellStyle name="Normal 10 9 13 2 4" xfId="14523"/>
    <cellStyle name="Normal 10 9 13 3" xfId="14524"/>
    <cellStyle name="Normal 10 9 13 3 2" xfId="14525"/>
    <cellStyle name="Normal 10 9 13 3 2 2" xfId="14526"/>
    <cellStyle name="Normal 10 9 13 3 2 2 2" xfId="14527"/>
    <cellStyle name="Normal 10 9 13 3 2 3" xfId="14528"/>
    <cellStyle name="Normal 10 9 13 3 3" xfId="14529"/>
    <cellStyle name="Normal 10 9 13 3 3 2" xfId="14530"/>
    <cellStyle name="Normal 10 9 13 3 4" xfId="14531"/>
    <cellStyle name="Normal 10 9 13 4" xfId="14532"/>
    <cellStyle name="Normal 10 9 13 4 2" xfId="14533"/>
    <cellStyle name="Normal 10 9 13 4 2 2" xfId="14534"/>
    <cellStyle name="Normal 10 9 13 4 3" xfId="14535"/>
    <cellStyle name="Normal 10 9 13 5" xfId="14536"/>
    <cellStyle name="Normal 10 9 13 5 2" xfId="14537"/>
    <cellStyle name="Normal 10 9 13 6" xfId="14538"/>
    <cellStyle name="Normal 10 9 14" xfId="14539"/>
    <cellStyle name="Normal 10 9 14 2" xfId="14540"/>
    <cellStyle name="Normal 10 9 14 2 2" xfId="14541"/>
    <cellStyle name="Normal 10 9 14 2 2 2" xfId="14542"/>
    <cellStyle name="Normal 10 9 14 2 3" xfId="14543"/>
    <cellStyle name="Normal 10 9 14 3" xfId="14544"/>
    <cellStyle name="Normal 10 9 14 3 2" xfId="14545"/>
    <cellStyle name="Normal 10 9 14 4" xfId="14546"/>
    <cellStyle name="Normal 10 9 15" xfId="14547"/>
    <cellStyle name="Normal 10 9 15 2" xfId="14548"/>
    <cellStyle name="Normal 10 9 15 2 2" xfId="14549"/>
    <cellStyle name="Normal 10 9 15 2 2 2" xfId="14550"/>
    <cellStyle name="Normal 10 9 15 2 3" xfId="14551"/>
    <cellStyle name="Normal 10 9 15 3" xfId="14552"/>
    <cellStyle name="Normal 10 9 15 3 2" xfId="14553"/>
    <cellStyle name="Normal 10 9 15 4" xfId="14554"/>
    <cellStyle name="Normal 10 9 16" xfId="14555"/>
    <cellStyle name="Normal 10 9 16 2" xfId="14556"/>
    <cellStyle name="Normal 10 9 16 2 2" xfId="14557"/>
    <cellStyle name="Normal 10 9 16 3" xfId="14558"/>
    <cellStyle name="Normal 10 9 17" xfId="14559"/>
    <cellStyle name="Normal 10 9 17 2" xfId="14560"/>
    <cellStyle name="Normal 10 9 18" xfId="14561"/>
    <cellStyle name="Normal 10 9 2" xfId="14562"/>
    <cellStyle name="Normal 10 9 2 2" xfId="14563"/>
    <cellStyle name="Normal 10 9 2 2 2" xfId="14564"/>
    <cellStyle name="Normal 10 9 2 2 2 2" xfId="14565"/>
    <cellStyle name="Normal 10 9 2 2 2 2 2" xfId="14566"/>
    <cellStyle name="Normal 10 9 2 2 2 3" xfId="14567"/>
    <cellStyle name="Normal 10 9 2 2 3" xfId="14568"/>
    <cellStyle name="Normal 10 9 2 2 3 2" xfId="14569"/>
    <cellStyle name="Normal 10 9 2 2 4" xfId="14570"/>
    <cellStyle name="Normal 10 9 2 3" xfId="14571"/>
    <cellStyle name="Normal 10 9 2 3 2" xfId="14572"/>
    <cellStyle name="Normal 10 9 2 3 2 2" xfId="14573"/>
    <cellStyle name="Normal 10 9 2 3 2 2 2" xfId="14574"/>
    <cellStyle name="Normal 10 9 2 3 2 3" xfId="14575"/>
    <cellStyle name="Normal 10 9 2 3 3" xfId="14576"/>
    <cellStyle name="Normal 10 9 2 3 3 2" xfId="14577"/>
    <cellStyle name="Normal 10 9 2 3 4" xfId="14578"/>
    <cellStyle name="Normal 10 9 2 4" xfId="14579"/>
    <cellStyle name="Normal 10 9 2 4 2" xfId="14580"/>
    <cellStyle name="Normal 10 9 2 4 2 2" xfId="14581"/>
    <cellStyle name="Normal 10 9 2 4 3" xfId="14582"/>
    <cellStyle name="Normal 10 9 2 5" xfId="14583"/>
    <cellStyle name="Normal 10 9 2 5 2" xfId="14584"/>
    <cellStyle name="Normal 10 9 2 6" xfId="14585"/>
    <cellStyle name="Normal 10 9 3" xfId="14586"/>
    <cellStyle name="Normal 10 9 3 2" xfId="14587"/>
    <cellStyle name="Normal 10 9 3 2 2" xfId="14588"/>
    <cellStyle name="Normal 10 9 3 2 2 2" xfId="14589"/>
    <cellStyle name="Normal 10 9 3 2 2 2 2" xfId="14590"/>
    <cellStyle name="Normal 10 9 3 2 2 3" xfId="14591"/>
    <cellStyle name="Normal 10 9 3 2 3" xfId="14592"/>
    <cellStyle name="Normal 10 9 3 2 3 2" xfId="14593"/>
    <cellStyle name="Normal 10 9 3 2 4" xfId="14594"/>
    <cellStyle name="Normal 10 9 3 3" xfId="14595"/>
    <cellStyle name="Normal 10 9 3 3 2" xfId="14596"/>
    <cellStyle name="Normal 10 9 3 3 2 2" xfId="14597"/>
    <cellStyle name="Normal 10 9 3 3 2 2 2" xfId="14598"/>
    <cellStyle name="Normal 10 9 3 3 2 3" xfId="14599"/>
    <cellStyle name="Normal 10 9 3 3 3" xfId="14600"/>
    <cellStyle name="Normal 10 9 3 3 3 2" xfId="14601"/>
    <cellStyle name="Normal 10 9 3 3 4" xfId="14602"/>
    <cellStyle name="Normal 10 9 3 4" xfId="14603"/>
    <cellStyle name="Normal 10 9 3 4 2" xfId="14604"/>
    <cellStyle name="Normal 10 9 3 4 2 2" xfId="14605"/>
    <cellStyle name="Normal 10 9 3 4 3" xfId="14606"/>
    <cellStyle name="Normal 10 9 3 5" xfId="14607"/>
    <cellStyle name="Normal 10 9 3 5 2" xfId="14608"/>
    <cellStyle name="Normal 10 9 3 6" xfId="14609"/>
    <cellStyle name="Normal 10 9 4" xfId="14610"/>
    <cellStyle name="Normal 10 9 4 2" xfId="14611"/>
    <cellStyle name="Normal 10 9 4 2 2" xfId="14612"/>
    <cellStyle name="Normal 10 9 4 2 2 2" xfId="14613"/>
    <cellStyle name="Normal 10 9 4 2 2 2 2" xfId="14614"/>
    <cellStyle name="Normal 10 9 4 2 2 3" xfId="14615"/>
    <cellStyle name="Normal 10 9 4 2 3" xfId="14616"/>
    <cellStyle name="Normal 10 9 4 2 3 2" xfId="14617"/>
    <cellStyle name="Normal 10 9 4 2 4" xfId="14618"/>
    <cellStyle name="Normal 10 9 4 3" xfId="14619"/>
    <cellStyle name="Normal 10 9 4 3 2" xfId="14620"/>
    <cellStyle name="Normal 10 9 4 3 2 2" xfId="14621"/>
    <cellStyle name="Normal 10 9 4 3 2 2 2" xfId="14622"/>
    <cellStyle name="Normal 10 9 4 3 2 3" xfId="14623"/>
    <cellStyle name="Normal 10 9 4 3 3" xfId="14624"/>
    <cellStyle name="Normal 10 9 4 3 3 2" xfId="14625"/>
    <cellStyle name="Normal 10 9 4 3 4" xfId="14626"/>
    <cellStyle name="Normal 10 9 4 4" xfId="14627"/>
    <cellStyle name="Normal 10 9 4 4 2" xfId="14628"/>
    <cellStyle name="Normal 10 9 4 4 2 2" xfId="14629"/>
    <cellStyle name="Normal 10 9 4 4 3" xfId="14630"/>
    <cellStyle name="Normal 10 9 4 5" xfId="14631"/>
    <cellStyle name="Normal 10 9 4 5 2" xfId="14632"/>
    <cellStyle name="Normal 10 9 4 6" xfId="14633"/>
    <cellStyle name="Normal 10 9 5" xfId="14634"/>
    <cellStyle name="Normal 10 9 5 2" xfId="14635"/>
    <cellStyle name="Normal 10 9 5 2 2" xfId="14636"/>
    <cellStyle name="Normal 10 9 5 2 2 2" xfId="14637"/>
    <cellStyle name="Normal 10 9 5 2 2 2 2" xfId="14638"/>
    <cellStyle name="Normal 10 9 5 2 2 3" xfId="14639"/>
    <cellStyle name="Normal 10 9 5 2 3" xfId="14640"/>
    <cellStyle name="Normal 10 9 5 2 3 2" xfId="14641"/>
    <cellStyle name="Normal 10 9 5 2 4" xfId="14642"/>
    <cellStyle name="Normal 10 9 5 3" xfId="14643"/>
    <cellStyle name="Normal 10 9 5 3 2" xfId="14644"/>
    <cellStyle name="Normal 10 9 5 3 2 2" xfId="14645"/>
    <cellStyle name="Normal 10 9 5 3 2 2 2" xfId="14646"/>
    <cellStyle name="Normal 10 9 5 3 2 3" xfId="14647"/>
    <cellStyle name="Normal 10 9 5 3 3" xfId="14648"/>
    <cellStyle name="Normal 10 9 5 3 3 2" xfId="14649"/>
    <cellStyle name="Normal 10 9 5 3 4" xfId="14650"/>
    <cellStyle name="Normal 10 9 5 4" xfId="14651"/>
    <cellStyle name="Normal 10 9 5 4 2" xfId="14652"/>
    <cellStyle name="Normal 10 9 5 4 2 2" xfId="14653"/>
    <cellStyle name="Normal 10 9 5 4 3" xfId="14654"/>
    <cellStyle name="Normal 10 9 5 5" xfId="14655"/>
    <cellStyle name="Normal 10 9 5 5 2" xfId="14656"/>
    <cellStyle name="Normal 10 9 5 6" xfId="14657"/>
    <cellStyle name="Normal 10 9 6" xfId="14658"/>
    <cellStyle name="Normal 10 9 6 2" xfId="14659"/>
    <cellStyle name="Normal 10 9 6 2 2" xfId="14660"/>
    <cellStyle name="Normal 10 9 6 2 2 2" xfId="14661"/>
    <cellStyle name="Normal 10 9 6 2 2 2 2" xfId="14662"/>
    <cellStyle name="Normal 10 9 6 2 2 3" xfId="14663"/>
    <cellStyle name="Normal 10 9 6 2 3" xfId="14664"/>
    <cellStyle name="Normal 10 9 6 2 3 2" xfId="14665"/>
    <cellStyle name="Normal 10 9 6 2 4" xfId="14666"/>
    <cellStyle name="Normal 10 9 6 3" xfId="14667"/>
    <cellStyle name="Normal 10 9 6 3 2" xfId="14668"/>
    <cellStyle name="Normal 10 9 6 3 2 2" xfId="14669"/>
    <cellStyle name="Normal 10 9 6 3 2 2 2" xfId="14670"/>
    <cellStyle name="Normal 10 9 6 3 2 3" xfId="14671"/>
    <cellStyle name="Normal 10 9 6 3 3" xfId="14672"/>
    <cellStyle name="Normal 10 9 6 3 3 2" xfId="14673"/>
    <cellStyle name="Normal 10 9 6 3 4" xfId="14674"/>
    <cellStyle name="Normal 10 9 6 4" xfId="14675"/>
    <cellStyle name="Normal 10 9 6 4 2" xfId="14676"/>
    <cellStyle name="Normal 10 9 6 4 2 2" xfId="14677"/>
    <cellStyle name="Normal 10 9 6 4 3" xfId="14678"/>
    <cellStyle name="Normal 10 9 6 5" xfId="14679"/>
    <cellStyle name="Normal 10 9 6 5 2" xfId="14680"/>
    <cellStyle name="Normal 10 9 6 6" xfId="14681"/>
    <cellStyle name="Normal 10 9 7" xfId="14682"/>
    <cellStyle name="Normal 10 9 7 2" xfId="14683"/>
    <cellStyle name="Normal 10 9 7 2 2" xfId="14684"/>
    <cellStyle name="Normal 10 9 7 2 2 2" xfId="14685"/>
    <cellStyle name="Normal 10 9 7 2 2 2 2" xfId="14686"/>
    <cellStyle name="Normal 10 9 7 2 2 3" xfId="14687"/>
    <cellStyle name="Normal 10 9 7 2 3" xfId="14688"/>
    <cellStyle name="Normal 10 9 7 2 3 2" xfId="14689"/>
    <cellStyle name="Normal 10 9 7 2 4" xfId="14690"/>
    <cellStyle name="Normal 10 9 7 3" xfId="14691"/>
    <cellStyle name="Normal 10 9 7 3 2" xfId="14692"/>
    <cellStyle name="Normal 10 9 7 3 2 2" xfId="14693"/>
    <cellStyle name="Normal 10 9 7 3 2 2 2" xfId="14694"/>
    <cellStyle name="Normal 10 9 7 3 2 3" xfId="14695"/>
    <cellStyle name="Normal 10 9 7 3 3" xfId="14696"/>
    <cellStyle name="Normal 10 9 7 3 3 2" xfId="14697"/>
    <cellStyle name="Normal 10 9 7 3 4" xfId="14698"/>
    <cellStyle name="Normal 10 9 7 4" xfId="14699"/>
    <cellStyle name="Normal 10 9 7 4 2" xfId="14700"/>
    <cellStyle name="Normal 10 9 7 4 2 2" xfId="14701"/>
    <cellStyle name="Normal 10 9 7 4 3" xfId="14702"/>
    <cellStyle name="Normal 10 9 7 5" xfId="14703"/>
    <cellStyle name="Normal 10 9 7 5 2" xfId="14704"/>
    <cellStyle name="Normal 10 9 7 6" xfId="14705"/>
    <cellStyle name="Normal 10 9 8" xfId="14706"/>
    <cellStyle name="Normal 10 9 8 2" xfId="14707"/>
    <cellStyle name="Normal 10 9 8 2 2" xfId="14708"/>
    <cellStyle name="Normal 10 9 8 2 2 2" xfId="14709"/>
    <cellStyle name="Normal 10 9 8 2 2 2 2" xfId="14710"/>
    <cellStyle name="Normal 10 9 8 2 2 3" xfId="14711"/>
    <cellStyle name="Normal 10 9 8 2 3" xfId="14712"/>
    <cellStyle name="Normal 10 9 8 2 3 2" xfId="14713"/>
    <cellStyle name="Normal 10 9 8 2 4" xfId="14714"/>
    <cellStyle name="Normal 10 9 8 3" xfId="14715"/>
    <cellStyle name="Normal 10 9 8 3 2" xfId="14716"/>
    <cellStyle name="Normal 10 9 8 3 2 2" xfId="14717"/>
    <cellStyle name="Normal 10 9 8 3 2 2 2" xfId="14718"/>
    <cellStyle name="Normal 10 9 8 3 2 3" xfId="14719"/>
    <cellStyle name="Normal 10 9 8 3 3" xfId="14720"/>
    <cellStyle name="Normal 10 9 8 3 3 2" xfId="14721"/>
    <cellStyle name="Normal 10 9 8 3 4" xfId="14722"/>
    <cellStyle name="Normal 10 9 8 4" xfId="14723"/>
    <cellStyle name="Normal 10 9 8 4 2" xfId="14724"/>
    <cellStyle name="Normal 10 9 8 4 2 2" xfId="14725"/>
    <cellStyle name="Normal 10 9 8 4 3" xfId="14726"/>
    <cellStyle name="Normal 10 9 8 5" xfId="14727"/>
    <cellStyle name="Normal 10 9 8 5 2" xfId="14728"/>
    <cellStyle name="Normal 10 9 8 6" xfId="14729"/>
    <cellStyle name="Normal 10 9 9" xfId="14730"/>
    <cellStyle name="Normal 10 9 9 2" xfId="14731"/>
    <cellStyle name="Normal 10 9 9 2 2" xfId="14732"/>
    <cellStyle name="Normal 10 9 9 2 2 2" xfId="14733"/>
    <cellStyle name="Normal 10 9 9 2 2 2 2" xfId="14734"/>
    <cellStyle name="Normal 10 9 9 2 2 3" xfId="14735"/>
    <cellStyle name="Normal 10 9 9 2 3" xfId="14736"/>
    <cellStyle name="Normal 10 9 9 2 3 2" xfId="14737"/>
    <cellStyle name="Normal 10 9 9 2 4" xfId="14738"/>
    <cellStyle name="Normal 10 9 9 3" xfId="14739"/>
    <cellStyle name="Normal 10 9 9 3 2" xfId="14740"/>
    <cellStyle name="Normal 10 9 9 3 2 2" xfId="14741"/>
    <cellStyle name="Normal 10 9 9 3 2 2 2" xfId="14742"/>
    <cellStyle name="Normal 10 9 9 3 2 3" xfId="14743"/>
    <cellStyle name="Normal 10 9 9 3 3" xfId="14744"/>
    <cellStyle name="Normal 10 9 9 3 3 2" xfId="14745"/>
    <cellStyle name="Normal 10 9 9 3 4" xfId="14746"/>
    <cellStyle name="Normal 10 9 9 4" xfId="14747"/>
    <cellStyle name="Normal 10 9 9 4 2" xfId="14748"/>
    <cellStyle name="Normal 10 9 9 4 2 2" xfId="14749"/>
    <cellStyle name="Normal 10 9 9 4 3" xfId="14750"/>
    <cellStyle name="Normal 10 9 9 5" xfId="14751"/>
    <cellStyle name="Normal 10 9 9 5 2" xfId="14752"/>
    <cellStyle name="Normal 10 9 9 6" xfId="14753"/>
    <cellStyle name="Normal 11" xfId="14754"/>
    <cellStyle name="Normal 11 10" xfId="14755"/>
    <cellStyle name="Normal 11 2" xfId="14756"/>
    <cellStyle name="Normal 11 2 2" xfId="14757"/>
    <cellStyle name="Normal 11 2 2 2" xfId="14758"/>
    <cellStyle name="Normal 11 2 2 3" xfId="14759"/>
    <cellStyle name="Normal 11 2 2 4" xfId="14760"/>
    <cellStyle name="Normal 11 2 2 5" xfId="14761"/>
    <cellStyle name="Normal 11 2 2 6" xfId="14762"/>
    <cellStyle name="Normal 11 2 3" xfId="14763"/>
    <cellStyle name="Normal 11 2 3 2" xfId="14764"/>
    <cellStyle name="Normal 11 2 3 3" xfId="14765"/>
    <cellStyle name="Normal 11 2 3 4" xfId="14766"/>
    <cellStyle name="Normal 11 2 3 5" xfId="14767"/>
    <cellStyle name="Normal 11 2 3 6" xfId="14768"/>
    <cellStyle name="Normal 11 2 4" xfId="14769"/>
    <cellStyle name="Normal 11 2 5" xfId="14770"/>
    <cellStyle name="Normal 11 2 6" xfId="14771"/>
    <cellStyle name="Normal 11 2 7" xfId="14772"/>
    <cellStyle name="Normal 11 2 8" xfId="14773"/>
    <cellStyle name="Normal 11 3" xfId="14774"/>
    <cellStyle name="Normal 11 3 2" xfId="14775"/>
    <cellStyle name="Normal 11 3 2 2" xfId="14776"/>
    <cellStyle name="Normal 11 3 2 3" xfId="14777"/>
    <cellStyle name="Normal 11 3 2 4" xfId="14778"/>
    <cellStyle name="Normal 11 3 2 5" xfId="14779"/>
    <cellStyle name="Normal 11 3 2 6" xfId="14780"/>
    <cellStyle name="Normal 11 3 3" xfId="14781"/>
    <cellStyle name="Normal 11 3 3 2" xfId="14782"/>
    <cellStyle name="Normal 11 3 3 3" xfId="14783"/>
    <cellStyle name="Normal 11 3 3 4" xfId="14784"/>
    <cellStyle name="Normal 11 3 3 5" xfId="14785"/>
    <cellStyle name="Normal 11 3 3 6" xfId="14786"/>
    <cellStyle name="Normal 11 3 4" xfId="14787"/>
    <cellStyle name="Normal 11 3 5" xfId="14788"/>
    <cellStyle name="Normal 11 3 6" xfId="14789"/>
    <cellStyle name="Normal 11 3 7" xfId="14790"/>
    <cellStyle name="Normal 11 3 8" xfId="14791"/>
    <cellStyle name="Normal 11 4" xfId="14792"/>
    <cellStyle name="Normal 11 4 2" xfId="14793"/>
    <cellStyle name="Normal 11 4 3" xfId="14794"/>
    <cellStyle name="Normal 11 4 4" xfId="14795"/>
    <cellStyle name="Normal 11 4 5" xfId="14796"/>
    <cellStyle name="Normal 11 4 6" xfId="14797"/>
    <cellStyle name="Normal 11 5" xfId="14798"/>
    <cellStyle name="Normal 11 5 2" xfId="14799"/>
    <cellStyle name="Normal 11 5 3" xfId="14800"/>
    <cellStyle name="Normal 11 5 4" xfId="14801"/>
    <cellStyle name="Normal 11 5 5" xfId="14802"/>
    <cellStyle name="Normal 11 5 6" xfId="14803"/>
    <cellStyle name="Normal 11 6" xfId="14804"/>
    <cellStyle name="Normal 11 7" xfId="14805"/>
    <cellStyle name="Normal 11 8" xfId="14806"/>
    <cellStyle name="Normal 11 9" xfId="14807"/>
    <cellStyle name="Normal 12" xfId="14808"/>
    <cellStyle name="Normal 12 2" xfId="14809"/>
    <cellStyle name="Normal 12 2 2" xfId="14810"/>
    <cellStyle name="Normal 12 2 2 2" xfId="14811"/>
    <cellStyle name="Normal 12 2 3" xfId="14812"/>
    <cellStyle name="Normal 12 2 3 2" xfId="14813"/>
    <cellStyle name="Normal 12 2 3 2 2" xfId="14814"/>
    <cellStyle name="Normal 12 2 3 3" xfId="14815"/>
    <cellStyle name="Normal 12 2 3 3 2" xfId="14816"/>
    <cellStyle name="Normal 12 2 3 4" xfId="14817"/>
    <cellStyle name="Normal 12 2 3 4 2" xfId="14818"/>
    <cellStyle name="Normal 12 2 3 4 2 2" xfId="14819"/>
    <cellStyle name="Normal 12 2 3 4 2 3" xfId="14820"/>
    <cellStyle name="Normal 12 2 3 4 2 4" xfId="14821"/>
    <cellStyle name="Normal 12 2 3 4 2 5" xfId="14822"/>
    <cellStyle name="Normal 12 3" xfId="14823"/>
    <cellStyle name="Normal 13" xfId="14824"/>
    <cellStyle name="Normal 13 2" xfId="14825"/>
    <cellStyle name="Normal 13 2 2" xfId="14826"/>
    <cellStyle name="Normal 13 2 3" xfId="14827"/>
    <cellStyle name="Normal 13 2 4" xfId="14828"/>
    <cellStyle name="Normal 13 2 5" xfId="14829"/>
    <cellStyle name="Normal 13 2 6" xfId="14830"/>
    <cellStyle name="Normal 13 3" xfId="14831"/>
    <cellStyle name="Normal 13 3 2" xfId="14832"/>
    <cellStyle name="Normal 13 3 3" xfId="14833"/>
    <cellStyle name="Normal 13 3 4" xfId="14834"/>
    <cellStyle name="Normal 13 3 5" xfId="14835"/>
    <cellStyle name="Normal 13 3 6" xfId="14836"/>
    <cellStyle name="Normal 13 4" xfId="14837"/>
    <cellStyle name="Normal 13 4 2" xfId="14838"/>
    <cellStyle name="Normal 13 4 3" xfId="14839"/>
    <cellStyle name="Normal 13 4 4" xfId="14840"/>
    <cellStyle name="Normal 13 4 5" xfId="14841"/>
    <cellStyle name="Normal 13 5" xfId="14842"/>
    <cellStyle name="Normal 13 6" xfId="14843"/>
    <cellStyle name="Normal 13 7" xfId="14844"/>
    <cellStyle name="Normal 13 8" xfId="14845"/>
    <cellStyle name="Normal 14" xfId="14846"/>
    <cellStyle name="Normal 14 2" xfId="14847"/>
    <cellStyle name="Normal 14 2 2" xfId="14848"/>
    <cellStyle name="Normal 14 2 2 2" xfId="14849"/>
    <cellStyle name="Normal 14 2 2 2 2" xfId="14850"/>
    <cellStyle name="Normal 14 3" xfId="14851"/>
    <cellStyle name="Normal 14 4" xfId="14852"/>
    <cellStyle name="Normal 14 5" xfId="14853"/>
    <cellStyle name="Normal 14 6" xfId="14854"/>
    <cellStyle name="Normal 15" xfId="14855"/>
    <cellStyle name="Normal 15 2" xfId="14856"/>
    <cellStyle name="Normal 15 2 2" xfId="14857"/>
    <cellStyle name="Normal 15 3" xfId="14858"/>
    <cellStyle name="Normal 15 4" xfId="14859"/>
    <cellStyle name="Normal 15 5" xfId="14860"/>
    <cellStyle name="Normal 15 6" xfId="14861"/>
    <cellStyle name="Normal 16" xfId="14862"/>
    <cellStyle name="Normal 17" xfId="14863"/>
    <cellStyle name="Normal 18" xfId="14864"/>
    <cellStyle name="Normal 18 2" xfId="14865"/>
    <cellStyle name="Normal 19" xfId="14866"/>
    <cellStyle name="Normal 2" xfId="14867"/>
    <cellStyle name="Normal 2 10" xfId="14868"/>
    <cellStyle name="Normal 2 11" xfId="14869"/>
    <cellStyle name="Normal 2 12" xfId="14870"/>
    <cellStyle name="Normal 2 13" xfId="14871"/>
    <cellStyle name="Normal 2 14" xfId="14872"/>
    <cellStyle name="Normal 2 15" xfId="14873"/>
    <cellStyle name="Normal 2 16" xfId="14874"/>
    <cellStyle name="Normal 2 17" xfId="14875"/>
    <cellStyle name="Normal 2 18" xfId="14876"/>
    <cellStyle name="Normal 2 19" xfId="14877"/>
    <cellStyle name="Normal 2 2" xfId="14878"/>
    <cellStyle name="Normal 2 2 2" xfId="14879"/>
    <cellStyle name="Normal 2 2 2 2" xfId="14880"/>
    <cellStyle name="Normal 2 20" xfId="14881"/>
    <cellStyle name="Normal 2 21" xfId="14882"/>
    <cellStyle name="Normal 2 22" xfId="14883"/>
    <cellStyle name="Normal 2 23" xfId="14884"/>
    <cellStyle name="Normal 2 24" xfId="14885"/>
    <cellStyle name="Normal 2 25" xfId="14886"/>
    <cellStyle name="Normal 2 26" xfId="14887"/>
    <cellStyle name="Normal 2 27" xfId="14888"/>
    <cellStyle name="Normal 2 28" xfId="14889"/>
    <cellStyle name="Normal 2 29" xfId="14890"/>
    <cellStyle name="Normal 2 3" xfId="14891"/>
    <cellStyle name="Normal 2 30" xfId="14892"/>
    <cellStyle name="Normal 2 31" xfId="14893"/>
    <cellStyle name="Normal 2 32" xfId="14894"/>
    <cellStyle name="Normal 2 33" xfId="14895"/>
    <cellStyle name="Normal 2 33 2" xfId="14896"/>
    <cellStyle name="Normal 2 34" xfId="14897"/>
    <cellStyle name="Normal 2 35" xfId="14898"/>
    <cellStyle name="Normal 2 36" xfId="14899"/>
    <cellStyle name="Normal 2 37" xfId="14900"/>
    <cellStyle name="Normal 2 38" xfId="14901"/>
    <cellStyle name="Normal 2 39" xfId="14902"/>
    <cellStyle name="Normal 2 4" xfId="14903"/>
    <cellStyle name="Normal 2 40" xfId="14904"/>
    <cellStyle name="Normal 2 41" xfId="14905"/>
    <cellStyle name="Normal 2 42" xfId="14906"/>
    <cellStyle name="Normal 2 43" xfId="14907"/>
    <cellStyle name="Normal 2 44" xfId="14908"/>
    <cellStyle name="Normal 2 45" xfId="14909"/>
    <cellStyle name="Normal 2 46" xfId="14910"/>
    <cellStyle name="Normal 2 47" xfId="14911"/>
    <cellStyle name="Normal 2 5" xfId="14912"/>
    <cellStyle name="Normal 2 6" xfId="14913"/>
    <cellStyle name="Normal 2 7" xfId="14914"/>
    <cellStyle name="Normal 2 8" xfId="14915"/>
    <cellStyle name="Normal 2 8 2" xfId="14916"/>
    <cellStyle name="Normal 2 8 3" xfId="14917"/>
    <cellStyle name="Normal 2 8 4" xfId="14918"/>
    <cellStyle name="Normal 2 8 5" xfId="14919"/>
    <cellStyle name="Normal 2 8 6" xfId="14920"/>
    <cellStyle name="Normal 2 8 7" xfId="14921"/>
    <cellStyle name="Normal 2 8 8" xfId="14922"/>
    <cellStyle name="Normal 2 9" xfId="14923"/>
    <cellStyle name="Normal 2_Gondar Hotel Electrical" xfId="14924"/>
    <cellStyle name="Normal 20" xfId="14925"/>
    <cellStyle name="Normal 21" xfId="14926"/>
    <cellStyle name="Normal 22" xfId="14927"/>
    <cellStyle name="Normal 23" xfId="14928"/>
    <cellStyle name="Normal 24" xfId="14929"/>
    <cellStyle name="Normal 25" xfId="14930"/>
    <cellStyle name="Normal 26" xfId="14931"/>
    <cellStyle name="Normal 27" xfId="14932"/>
    <cellStyle name="Normal 28" xfId="14933"/>
    <cellStyle name="Normal 29" xfId="14934"/>
    <cellStyle name="Normal 3" xfId="14935"/>
    <cellStyle name="Normal 3 10" xfId="14936"/>
    <cellStyle name="Normal 3 11" xfId="14937"/>
    <cellStyle name="Normal 3 12" xfId="14938"/>
    <cellStyle name="Normal 3 13" xfId="14939"/>
    <cellStyle name="Normal 3 14" xfId="14940"/>
    <cellStyle name="Normal 3 15" xfId="14941"/>
    <cellStyle name="Normal 3 2" xfId="14942"/>
    <cellStyle name="Normal 3 2 10" xfId="14943"/>
    <cellStyle name="Normal 3 2 10 2" xfId="14944"/>
    <cellStyle name="Normal 3 2 10 2 2" xfId="14945"/>
    <cellStyle name="Normal 3 2 10 2 2 2" xfId="14946"/>
    <cellStyle name="Normal 3 2 10 2 2 2 2" xfId="14947"/>
    <cellStyle name="Normal 3 2 10 2 2 3" xfId="14948"/>
    <cellStyle name="Normal 3 2 10 2 3" xfId="14949"/>
    <cellStyle name="Normal 3 2 10 2 3 2" xfId="14950"/>
    <cellStyle name="Normal 3 2 10 2 4" xfId="14951"/>
    <cellStyle name="Normal 3 2 10 3" xfId="14952"/>
    <cellStyle name="Normal 3 2 10 3 2" xfId="14953"/>
    <cellStyle name="Normal 3 2 10 3 2 2" xfId="14954"/>
    <cellStyle name="Normal 3 2 10 3 2 2 2" xfId="14955"/>
    <cellStyle name="Normal 3 2 10 3 2 3" xfId="14956"/>
    <cellStyle name="Normal 3 2 10 3 3" xfId="14957"/>
    <cellStyle name="Normal 3 2 10 3 3 2" xfId="14958"/>
    <cellStyle name="Normal 3 2 10 3 4" xfId="14959"/>
    <cellStyle name="Normal 3 2 10 4" xfId="14960"/>
    <cellStyle name="Normal 3 2 10 4 2" xfId="14961"/>
    <cellStyle name="Normal 3 2 10 4 2 2" xfId="14962"/>
    <cellStyle name="Normal 3 2 10 4 3" xfId="14963"/>
    <cellStyle name="Normal 3 2 10 5" xfId="14964"/>
    <cellStyle name="Normal 3 2 10 5 2" xfId="14965"/>
    <cellStyle name="Normal 3 2 10 6" xfId="14966"/>
    <cellStyle name="Normal 3 2 11" xfId="14967"/>
    <cellStyle name="Normal 3 2 11 2" xfId="14968"/>
    <cellStyle name="Normal 3 2 11 2 2" xfId="14969"/>
    <cellStyle name="Normal 3 2 11 2 2 2" xfId="14970"/>
    <cellStyle name="Normal 3 2 11 2 2 2 2" xfId="14971"/>
    <cellStyle name="Normal 3 2 11 2 2 3" xfId="14972"/>
    <cellStyle name="Normal 3 2 11 2 3" xfId="14973"/>
    <cellStyle name="Normal 3 2 11 2 3 2" xfId="14974"/>
    <cellStyle name="Normal 3 2 11 2 4" xfId="14975"/>
    <cellStyle name="Normal 3 2 11 3" xfId="14976"/>
    <cellStyle name="Normal 3 2 11 3 2" xfId="14977"/>
    <cellStyle name="Normal 3 2 11 3 2 2" xfId="14978"/>
    <cellStyle name="Normal 3 2 11 3 2 2 2" xfId="14979"/>
    <cellStyle name="Normal 3 2 11 3 2 3" xfId="14980"/>
    <cellStyle name="Normal 3 2 11 3 3" xfId="14981"/>
    <cellStyle name="Normal 3 2 11 3 3 2" xfId="14982"/>
    <cellStyle name="Normal 3 2 11 3 4" xfId="14983"/>
    <cellStyle name="Normal 3 2 11 4" xfId="14984"/>
    <cellStyle name="Normal 3 2 11 4 2" xfId="14985"/>
    <cellStyle name="Normal 3 2 11 4 2 2" xfId="14986"/>
    <cellStyle name="Normal 3 2 11 4 3" xfId="14987"/>
    <cellStyle name="Normal 3 2 11 5" xfId="14988"/>
    <cellStyle name="Normal 3 2 11 5 2" xfId="14989"/>
    <cellStyle name="Normal 3 2 11 6" xfId="14990"/>
    <cellStyle name="Normal 3 2 12" xfId="14991"/>
    <cellStyle name="Normal 3 2 12 2" xfId="14992"/>
    <cellStyle name="Normal 3 2 12 2 2" xfId="14993"/>
    <cellStyle name="Normal 3 2 12 2 2 2" xfId="14994"/>
    <cellStyle name="Normal 3 2 12 2 2 2 2" xfId="14995"/>
    <cellStyle name="Normal 3 2 12 2 2 3" xfId="14996"/>
    <cellStyle name="Normal 3 2 12 2 3" xfId="14997"/>
    <cellStyle name="Normal 3 2 12 2 3 2" xfId="14998"/>
    <cellStyle name="Normal 3 2 12 2 4" xfId="14999"/>
    <cellStyle name="Normal 3 2 12 3" xfId="15000"/>
    <cellStyle name="Normal 3 2 12 3 2" xfId="15001"/>
    <cellStyle name="Normal 3 2 12 3 2 2" xfId="15002"/>
    <cellStyle name="Normal 3 2 12 3 2 2 2" xfId="15003"/>
    <cellStyle name="Normal 3 2 12 3 2 3" xfId="15004"/>
    <cellStyle name="Normal 3 2 12 3 3" xfId="15005"/>
    <cellStyle name="Normal 3 2 12 3 3 2" xfId="15006"/>
    <cellStyle name="Normal 3 2 12 3 4" xfId="15007"/>
    <cellStyle name="Normal 3 2 12 4" xfId="15008"/>
    <cellStyle name="Normal 3 2 12 4 2" xfId="15009"/>
    <cellStyle name="Normal 3 2 12 4 2 2" xfId="15010"/>
    <cellStyle name="Normal 3 2 12 4 3" xfId="15011"/>
    <cellStyle name="Normal 3 2 12 5" xfId="15012"/>
    <cellStyle name="Normal 3 2 12 5 2" xfId="15013"/>
    <cellStyle name="Normal 3 2 12 6" xfId="15014"/>
    <cellStyle name="Normal 3 2 13" xfId="15015"/>
    <cellStyle name="Normal 3 2 13 2" xfId="15016"/>
    <cellStyle name="Normal 3 2 13 2 2" xfId="15017"/>
    <cellStyle name="Normal 3 2 13 2 2 2" xfId="15018"/>
    <cellStyle name="Normal 3 2 13 2 2 2 2" xfId="15019"/>
    <cellStyle name="Normal 3 2 13 2 2 3" xfId="15020"/>
    <cellStyle name="Normal 3 2 13 2 3" xfId="15021"/>
    <cellStyle name="Normal 3 2 13 2 3 2" xfId="15022"/>
    <cellStyle name="Normal 3 2 13 2 4" xfId="15023"/>
    <cellStyle name="Normal 3 2 13 3" xfId="15024"/>
    <cellStyle name="Normal 3 2 13 3 2" xfId="15025"/>
    <cellStyle name="Normal 3 2 13 3 2 2" xfId="15026"/>
    <cellStyle name="Normal 3 2 13 3 2 2 2" xfId="15027"/>
    <cellStyle name="Normal 3 2 13 3 2 3" xfId="15028"/>
    <cellStyle name="Normal 3 2 13 3 3" xfId="15029"/>
    <cellStyle name="Normal 3 2 13 3 3 2" xfId="15030"/>
    <cellStyle name="Normal 3 2 13 3 4" xfId="15031"/>
    <cellStyle name="Normal 3 2 13 4" xfId="15032"/>
    <cellStyle name="Normal 3 2 13 4 2" xfId="15033"/>
    <cellStyle name="Normal 3 2 13 4 2 2" xfId="15034"/>
    <cellStyle name="Normal 3 2 13 4 3" xfId="15035"/>
    <cellStyle name="Normal 3 2 13 5" xfId="15036"/>
    <cellStyle name="Normal 3 2 13 5 2" xfId="15037"/>
    <cellStyle name="Normal 3 2 13 6" xfId="15038"/>
    <cellStyle name="Normal 3 2 14" xfId="15039"/>
    <cellStyle name="Normal 3 2 14 2" xfId="15040"/>
    <cellStyle name="Normal 3 2 14 2 2" xfId="15041"/>
    <cellStyle name="Normal 3 2 14 2 2 2" xfId="15042"/>
    <cellStyle name="Normal 3 2 14 2 3" xfId="15043"/>
    <cellStyle name="Normal 3 2 14 3" xfId="15044"/>
    <cellStyle name="Normal 3 2 14 3 2" xfId="15045"/>
    <cellStyle name="Normal 3 2 14 4" xfId="15046"/>
    <cellStyle name="Normal 3 2 15" xfId="15047"/>
    <cellStyle name="Normal 3 2 15 2" xfId="15048"/>
    <cellStyle name="Normal 3 2 15 2 2" xfId="15049"/>
    <cellStyle name="Normal 3 2 15 2 2 2" xfId="15050"/>
    <cellStyle name="Normal 3 2 15 2 3" xfId="15051"/>
    <cellStyle name="Normal 3 2 15 3" xfId="15052"/>
    <cellStyle name="Normal 3 2 15 3 2" xfId="15053"/>
    <cellStyle name="Normal 3 2 15 4" xfId="15054"/>
    <cellStyle name="Normal 3 2 16" xfId="15055"/>
    <cellStyle name="Normal 3 2 16 2" xfId="15056"/>
    <cellStyle name="Normal 3 2 16 2 2" xfId="15057"/>
    <cellStyle name="Normal 3 2 16 3" xfId="15058"/>
    <cellStyle name="Normal 3 2 17" xfId="15059"/>
    <cellStyle name="Normal 3 2 17 2" xfId="15060"/>
    <cellStyle name="Normal 3 2 18" xfId="15061"/>
    <cellStyle name="Normal 3 2 19" xfId="15062"/>
    <cellStyle name="Normal 3 2 2" xfId="15063"/>
    <cellStyle name="Normal 3 2 2 2" xfId="15064"/>
    <cellStyle name="Normal 3 2 2 2 2" xfId="15065"/>
    <cellStyle name="Normal 3 2 2 2 2 2" xfId="15066"/>
    <cellStyle name="Normal 3 2 2 2 2 2 2" xfId="15067"/>
    <cellStyle name="Normal 3 2 2 2 2 3" xfId="15068"/>
    <cellStyle name="Normal 3 2 2 2 3" xfId="15069"/>
    <cellStyle name="Normal 3 2 2 2 3 2" xfId="15070"/>
    <cellStyle name="Normal 3 2 2 2 4" xfId="15071"/>
    <cellStyle name="Normal 3 2 2 2 5" xfId="15072"/>
    <cellStyle name="Normal 3 2 2 2 6" xfId="15073"/>
    <cellStyle name="Normal 3 2 2 3" xfId="15074"/>
    <cellStyle name="Normal 3 2 2 3 2" xfId="15075"/>
    <cellStyle name="Normal 3 2 2 3 2 2" xfId="15076"/>
    <cellStyle name="Normal 3 2 2 3 2 2 2" xfId="15077"/>
    <cellStyle name="Normal 3 2 2 3 2 3" xfId="15078"/>
    <cellStyle name="Normal 3 2 2 3 3" xfId="15079"/>
    <cellStyle name="Normal 3 2 2 3 3 2" xfId="15080"/>
    <cellStyle name="Normal 3 2 2 3 4" xfId="15081"/>
    <cellStyle name="Normal 3 2 2 3 5" xfId="15082"/>
    <cellStyle name="Normal 3 2 2 3 6" xfId="15083"/>
    <cellStyle name="Normal 3 2 2 4" xfId="15084"/>
    <cellStyle name="Normal 3 2 2 4 2" xfId="15085"/>
    <cellStyle name="Normal 3 2 2 4 2 2" xfId="15086"/>
    <cellStyle name="Normal 3 2 2 4 3" xfId="15087"/>
    <cellStyle name="Normal 3 2 2 5" xfId="15088"/>
    <cellStyle name="Normal 3 2 2 5 2" xfId="15089"/>
    <cellStyle name="Normal 3 2 2 6" xfId="15090"/>
    <cellStyle name="Normal 3 2 2 7" xfId="15091"/>
    <cellStyle name="Normal 3 2 2 8" xfId="15092"/>
    <cellStyle name="Normal 3 2 3" xfId="15093"/>
    <cellStyle name="Normal 3 2 3 2" xfId="15094"/>
    <cellStyle name="Normal 3 2 3 2 2" xfId="15095"/>
    <cellStyle name="Normal 3 2 3 2 2 2" xfId="15096"/>
    <cellStyle name="Normal 3 2 3 2 2 2 2" xfId="15097"/>
    <cellStyle name="Normal 3 2 3 2 2 3" xfId="15098"/>
    <cellStyle name="Normal 3 2 3 2 3" xfId="15099"/>
    <cellStyle name="Normal 3 2 3 2 3 2" xfId="15100"/>
    <cellStyle name="Normal 3 2 3 2 4" xfId="15101"/>
    <cellStyle name="Normal 3 2 3 2 5" xfId="15102"/>
    <cellStyle name="Normal 3 2 3 2 6" xfId="15103"/>
    <cellStyle name="Normal 3 2 3 3" xfId="15104"/>
    <cellStyle name="Normal 3 2 3 3 2" xfId="15105"/>
    <cellStyle name="Normal 3 2 3 3 2 2" xfId="15106"/>
    <cellStyle name="Normal 3 2 3 3 2 2 2" xfId="15107"/>
    <cellStyle name="Normal 3 2 3 3 2 3" xfId="15108"/>
    <cellStyle name="Normal 3 2 3 3 3" xfId="15109"/>
    <cellStyle name="Normal 3 2 3 3 3 2" xfId="15110"/>
    <cellStyle name="Normal 3 2 3 3 4" xfId="15111"/>
    <cellStyle name="Normal 3 2 3 3 5" xfId="15112"/>
    <cellStyle name="Normal 3 2 3 3 6" xfId="15113"/>
    <cellStyle name="Normal 3 2 3 4" xfId="15114"/>
    <cellStyle name="Normal 3 2 3 4 2" xfId="15115"/>
    <cellStyle name="Normal 3 2 3 4 2 2" xfId="15116"/>
    <cellStyle name="Normal 3 2 3 4 3" xfId="15117"/>
    <cellStyle name="Normal 3 2 3 5" xfId="15118"/>
    <cellStyle name="Normal 3 2 3 5 2" xfId="15119"/>
    <cellStyle name="Normal 3 2 3 6" xfId="15120"/>
    <cellStyle name="Normal 3 2 3 7" xfId="15121"/>
    <cellStyle name="Normal 3 2 3 8" xfId="15122"/>
    <cellStyle name="Normal 3 2 4" xfId="15123"/>
    <cellStyle name="Normal 3 2 4 2" xfId="15124"/>
    <cellStyle name="Normal 3 2 4 2 2" xfId="15125"/>
    <cellStyle name="Normal 3 2 4 2 2 2" xfId="15126"/>
    <cellStyle name="Normal 3 2 4 2 2 2 2" xfId="15127"/>
    <cellStyle name="Normal 3 2 4 2 2 3" xfId="15128"/>
    <cellStyle name="Normal 3 2 4 2 3" xfId="15129"/>
    <cellStyle name="Normal 3 2 4 2 3 2" xfId="15130"/>
    <cellStyle name="Normal 3 2 4 2 4" xfId="15131"/>
    <cellStyle name="Normal 3 2 4 3" xfId="15132"/>
    <cellStyle name="Normal 3 2 4 3 2" xfId="15133"/>
    <cellStyle name="Normal 3 2 4 3 2 2" xfId="15134"/>
    <cellStyle name="Normal 3 2 4 3 2 2 2" xfId="15135"/>
    <cellStyle name="Normal 3 2 4 3 2 3" xfId="15136"/>
    <cellStyle name="Normal 3 2 4 3 3" xfId="15137"/>
    <cellStyle name="Normal 3 2 4 3 3 2" xfId="15138"/>
    <cellStyle name="Normal 3 2 4 3 4" xfId="15139"/>
    <cellStyle name="Normal 3 2 4 4" xfId="15140"/>
    <cellStyle name="Normal 3 2 4 4 2" xfId="15141"/>
    <cellStyle name="Normal 3 2 4 4 2 2" xfId="15142"/>
    <cellStyle name="Normal 3 2 4 4 3" xfId="15143"/>
    <cellStyle name="Normal 3 2 4 5" xfId="15144"/>
    <cellStyle name="Normal 3 2 4 5 2" xfId="15145"/>
    <cellStyle name="Normal 3 2 4 6" xfId="15146"/>
    <cellStyle name="Normal 3 2 5" xfId="15147"/>
    <cellStyle name="Normal 3 2 5 2" xfId="15148"/>
    <cellStyle name="Normal 3 2 5 2 2" xfId="15149"/>
    <cellStyle name="Normal 3 2 5 2 2 2" xfId="15150"/>
    <cellStyle name="Normal 3 2 5 2 2 2 2" xfId="15151"/>
    <cellStyle name="Normal 3 2 5 2 2 3" xfId="15152"/>
    <cellStyle name="Normal 3 2 5 2 3" xfId="15153"/>
    <cellStyle name="Normal 3 2 5 2 3 2" xfId="15154"/>
    <cellStyle name="Normal 3 2 5 2 4" xfId="15155"/>
    <cellStyle name="Normal 3 2 5 3" xfId="15156"/>
    <cellStyle name="Normal 3 2 5 3 2" xfId="15157"/>
    <cellStyle name="Normal 3 2 5 3 2 2" xfId="15158"/>
    <cellStyle name="Normal 3 2 5 3 2 2 2" xfId="15159"/>
    <cellStyle name="Normal 3 2 5 3 2 3" xfId="15160"/>
    <cellStyle name="Normal 3 2 5 3 3" xfId="15161"/>
    <cellStyle name="Normal 3 2 5 3 3 2" xfId="15162"/>
    <cellStyle name="Normal 3 2 5 3 4" xfId="15163"/>
    <cellStyle name="Normal 3 2 5 4" xfId="15164"/>
    <cellStyle name="Normal 3 2 5 4 2" xfId="15165"/>
    <cellStyle name="Normal 3 2 5 4 2 2" xfId="15166"/>
    <cellStyle name="Normal 3 2 5 4 3" xfId="15167"/>
    <cellStyle name="Normal 3 2 5 5" xfId="15168"/>
    <cellStyle name="Normal 3 2 5 5 2" xfId="15169"/>
    <cellStyle name="Normal 3 2 5 6" xfId="15170"/>
    <cellStyle name="Normal 3 2 6" xfId="15171"/>
    <cellStyle name="Normal 3 2 6 2" xfId="15172"/>
    <cellStyle name="Normal 3 2 6 2 2" xfId="15173"/>
    <cellStyle name="Normal 3 2 6 2 2 2" xfId="15174"/>
    <cellStyle name="Normal 3 2 6 2 2 2 2" xfId="15175"/>
    <cellStyle name="Normal 3 2 6 2 2 3" xfId="15176"/>
    <cellStyle name="Normal 3 2 6 2 3" xfId="15177"/>
    <cellStyle name="Normal 3 2 6 2 3 2" xfId="15178"/>
    <cellStyle name="Normal 3 2 6 2 4" xfId="15179"/>
    <cellStyle name="Normal 3 2 6 3" xfId="15180"/>
    <cellStyle name="Normal 3 2 6 3 2" xfId="15181"/>
    <cellStyle name="Normal 3 2 6 3 2 2" xfId="15182"/>
    <cellStyle name="Normal 3 2 6 3 2 2 2" xfId="15183"/>
    <cellStyle name="Normal 3 2 6 3 2 3" xfId="15184"/>
    <cellStyle name="Normal 3 2 6 3 3" xfId="15185"/>
    <cellStyle name="Normal 3 2 6 3 3 2" xfId="15186"/>
    <cellStyle name="Normal 3 2 6 3 4" xfId="15187"/>
    <cellStyle name="Normal 3 2 6 4" xfId="15188"/>
    <cellStyle name="Normal 3 2 6 4 2" xfId="15189"/>
    <cellStyle name="Normal 3 2 6 4 2 2" xfId="15190"/>
    <cellStyle name="Normal 3 2 6 4 3" xfId="15191"/>
    <cellStyle name="Normal 3 2 6 5" xfId="15192"/>
    <cellStyle name="Normal 3 2 6 5 2" xfId="15193"/>
    <cellStyle name="Normal 3 2 6 6" xfId="15194"/>
    <cellStyle name="Normal 3 2 7" xfId="15195"/>
    <cellStyle name="Normal 3 2 7 2" xfId="15196"/>
    <cellStyle name="Normal 3 2 7 2 2" xfId="15197"/>
    <cellStyle name="Normal 3 2 7 2 2 2" xfId="15198"/>
    <cellStyle name="Normal 3 2 7 2 2 2 2" xfId="15199"/>
    <cellStyle name="Normal 3 2 7 2 2 3" xfId="15200"/>
    <cellStyle name="Normal 3 2 7 2 3" xfId="15201"/>
    <cellStyle name="Normal 3 2 7 2 3 2" xfId="15202"/>
    <cellStyle name="Normal 3 2 7 2 4" xfId="15203"/>
    <cellStyle name="Normal 3 2 7 3" xfId="15204"/>
    <cellStyle name="Normal 3 2 7 3 2" xfId="15205"/>
    <cellStyle name="Normal 3 2 7 3 2 2" xfId="15206"/>
    <cellStyle name="Normal 3 2 7 3 2 2 2" xfId="15207"/>
    <cellStyle name="Normal 3 2 7 3 2 3" xfId="15208"/>
    <cellStyle name="Normal 3 2 7 3 3" xfId="15209"/>
    <cellStyle name="Normal 3 2 7 3 3 2" xfId="15210"/>
    <cellStyle name="Normal 3 2 7 3 4" xfId="15211"/>
    <cellStyle name="Normal 3 2 7 4" xfId="15212"/>
    <cellStyle name="Normal 3 2 7 4 2" xfId="15213"/>
    <cellStyle name="Normal 3 2 7 4 2 2" xfId="15214"/>
    <cellStyle name="Normal 3 2 7 4 3" xfId="15215"/>
    <cellStyle name="Normal 3 2 7 5" xfId="15216"/>
    <cellStyle name="Normal 3 2 7 5 2" xfId="15217"/>
    <cellStyle name="Normal 3 2 7 6" xfId="15218"/>
    <cellStyle name="Normal 3 2 8" xfId="15219"/>
    <cellStyle name="Normal 3 2 8 2" xfId="15220"/>
    <cellStyle name="Normal 3 2 8 2 2" xfId="15221"/>
    <cellStyle name="Normal 3 2 8 2 2 2" xfId="15222"/>
    <cellStyle name="Normal 3 2 8 2 2 2 2" xfId="15223"/>
    <cellStyle name="Normal 3 2 8 2 2 3" xfId="15224"/>
    <cellStyle name="Normal 3 2 8 2 3" xfId="15225"/>
    <cellStyle name="Normal 3 2 8 2 3 2" xfId="15226"/>
    <cellStyle name="Normal 3 2 8 2 4" xfId="15227"/>
    <cellStyle name="Normal 3 2 8 3" xfId="15228"/>
    <cellStyle name="Normal 3 2 8 3 2" xfId="15229"/>
    <cellStyle name="Normal 3 2 8 3 2 2" xfId="15230"/>
    <cellStyle name="Normal 3 2 8 3 2 2 2" xfId="15231"/>
    <cellStyle name="Normal 3 2 8 3 2 3" xfId="15232"/>
    <cellStyle name="Normal 3 2 8 3 3" xfId="15233"/>
    <cellStyle name="Normal 3 2 8 3 3 2" xfId="15234"/>
    <cellStyle name="Normal 3 2 8 3 4" xfId="15235"/>
    <cellStyle name="Normal 3 2 8 4" xfId="15236"/>
    <cellStyle name="Normal 3 2 8 4 2" xfId="15237"/>
    <cellStyle name="Normal 3 2 8 4 2 2" xfId="15238"/>
    <cellStyle name="Normal 3 2 8 4 3" xfId="15239"/>
    <cellStyle name="Normal 3 2 8 5" xfId="15240"/>
    <cellStyle name="Normal 3 2 8 5 2" xfId="15241"/>
    <cellStyle name="Normal 3 2 8 6" xfId="15242"/>
    <cellStyle name="Normal 3 2 9" xfId="15243"/>
    <cellStyle name="Normal 3 2 9 2" xfId="15244"/>
    <cellStyle name="Normal 3 2 9 2 2" xfId="15245"/>
    <cellStyle name="Normal 3 2 9 2 2 2" xfId="15246"/>
    <cellStyle name="Normal 3 2 9 2 2 2 2" xfId="15247"/>
    <cellStyle name="Normal 3 2 9 2 2 3" xfId="15248"/>
    <cellStyle name="Normal 3 2 9 2 3" xfId="15249"/>
    <cellStyle name="Normal 3 2 9 2 3 2" xfId="15250"/>
    <cellStyle name="Normal 3 2 9 2 4" xfId="15251"/>
    <cellStyle name="Normal 3 2 9 3" xfId="15252"/>
    <cellStyle name="Normal 3 2 9 3 2" xfId="15253"/>
    <cellStyle name="Normal 3 2 9 3 2 2" xfId="15254"/>
    <cellStyle name="Normal 3 2 9 3 2 2 2" xfId="15255"/>
    <cellStyle name="Normal 3 2 9 3 2 3" xfId="15256"/>
    <cellStyle name="Normal 3 2 9 3 3" xfId="15257"/>
    <cellStyle name="Normal 3 2 9 3 3 2" xfId="15258"/>
    <cellStyle name="Normal 3 2 9 3 4" xfId="15259"/>
    <cellStyle name="Normal 3 2 9 4" xfId="15260"/>
    <cellStyle name="Normal 3 2 9 4 2" xfId="15261"/>
    <cellStyle name="Normal 3 2 9 4 2 2" xfId="15262"/>
    <cellStyle name="Normal 3 2 9 4 3" xfId="15263"/>
    <cellStyle name="Normal 3 2 9 5" xfId="15264"/>
    <cellStyle name="Normal 3 2 9 5 2" xfId="15265"/>
    <cellStyle name="Normal 3 2 9 6" xfId="15266"/>
    <cellStyle name="Normal 3 3" xfId="15267"/>
    <cellStyle name="Normal 3 3 10" xfId="15268"/>
    <cellStyle name="Normal 3 3 10 2" xfId="15269"/>
    <cellStyle name="Normal 3 3 10 2 2" xfId="15270"/>
    <cellStyle name="Normal 3 3 10 2 2 2" xfId="15271"/>
    <cellStyle name="Normal 3 3 10 2 2 2 2" xfId="15272"/>
    <cellStyle name="Normal 3 3 10 2 2 3" xfId="15273"/>
    <cellStyle name="Normal 3 3 10 2 3" xfId="15274"/>
    <cellStyle name="Normal 3 3 10 2 3 2" xfId="15275"/>
    <cellStyle name="Normal 3 3 10 2 4" xfId="15276"/>
    <cellStyle name="Normal 3 3 10 3" xfId="15277"/>
    <cellStyle name="Normal 3 3 10 3 2" xfId="15278"/>
    <cellStyle name="Normal 3 3 10 3 2 2" xfId="15279"/>
    <cellStyle name="Normal 3 3 10 3 2 2 2" xfId="15280"/>
    <cellStyle name="Normal 3 3 10 3 2 3" xfId="15281"/>
    <cellStyle name="Normal 3 3 10 3 3" xfId="15282"/>
    <cellStyle name="Normal 3 3 10 3 3 2" xfId="15283"/>
    <cellStyle name="Normal 3 3 10 3 4" xfId="15284"/>
    <cellStyle name="Normal 3 3 10 4" xfId="15285"/>
    <cellStyle name="Normal 3 3 10 4 2" xfId="15286"/>
    <cellStyle name="Normal 3 3 10 4 2 2" xfId="15287"/>
    <cellStyle name="Normal 3 3 10 4 3" xfId="15288"/>
    <cellStyle name="Normal 3 3 10 5" xfId="15289"/>
    <cellStyle name="Normal 3 3 10 5 2" xfId="15290"/>
    <cellStyle name="Normal 3 3 10 6" xfId="15291"/>
    <cellStyle name="Normal 3 3 11" xfId="15292"/>
    <cellStyle name="Normal 3 3 11 2" xfId="15293"/>
    <cellStyle name="Normal 3 3 11 2 2" xfId="15294"/>
    <cellStyle name="Normal 3 3 11 2 2 2" xfId="15295"/>
    <cellStyle name="Normal 3 3 11 2 2 2 2" xfId="15296"/>
    <cellStyle name="Normal 3 3 11 2 2 3" xfId="15297"/>
    <cellStyle name="Normal 3 3 11 2 3" xfId="15298"/>
    <cellStyle name="Normal 3 3 11 2 3 2" xfId="15299"/>
    <cellStyle name="Normal 3 3 11 2 4" xfId="15300"/>
    <cellStyle name="Normal 3 3 11 3" xfId="15301"/>
    <cellStyle name="Normal 3 3 11 3 2" xfId="15302"/>
    <cellStyle name="Normal 3 3 11 3 2 2" xfId="15303"/>
    <cellStyle name="Normal 3 3 11 3 2 2 2" xfId="15304"/>
    <cellStyle name="Normal 3 3 11 3 2 3" xfId="15305"/>
    <cellStyle name="Normal 3 3 11 3 3" xfId="15306"/>
    <cellStyle name="Normal 3 3 11 3 3 2" xfId="15307"/>
    <cellStyle name="Normal 3 3 11 3 4" xfId="15308"/>
    <cellStyle name="Normal 3 3 11 4" xfId="15309"/>
    <cellStyle name="Normal 3 3 11 4 2" xfId="15310"/>
    <cellStyle name="Normal 3 3 11 4 2 2" xfId="15311"/>
    <cellStyle name="Normal 3 3 11 4 3" xfId="15312"/>
    <cellStyle name="Normal 3 3 11 5" xfId="15313"/>
    <cellStyle name="Normal 3 3 11 5 2" xfId="15314"/>
    <cellStyle name="Normal 3 3 11 6" xfId="15315"/>
    <cellStyle name="Normal 3 3 12" xfId="15316"/>
    <cellStyle name="Normal 3 3 12 2" xfId="15317"/>
    <cellStyle name="Normal 3 3 12 2 2" xfId="15318"/>
    <cellStyle name="Normal 3 3 12 2 2 2" xfId="15319"/>
    <cellStyle name="Normal 3 3 12 2 2 2 2" xfId="15320"/>
    <cellStyle name="Normal 3 3 12 2 2 3" xfId="15321"/>
    <cellStyle name="Normal 3 3 12 2 3" xfId="15322"/>
    <cellStyle name="Normal 3 3 12 2 3 2" xfId="15323"/>
    <cellStyle name="Normal 3 3 12 2 4" xfId="15324"/>
    <cellStyle name="Normal 3 3 12 3" xfId="15325"/>
    <cellStyle name="Normal 3 3 12 3 2" xfId="15326"/>
    <cellStyle name="Normal 3 3 12 3 2 2" xfId="15327"/>
    <cellStyle name="Normal 3 3 12 3 2 2 2" xfId="15328"/>
    <cellStyle name="Normal 3 3 12 3 2 3" xfId="15329"/>
    <cellStyle name="Normal 3 3 12 3 3" xfId="15330"/>
    <cellStyle name="Normal 3 3 12 3 3 2" xfId="15331"/>
    <cellStyle name="Normal 3 3 12 3 4" xfId="15332"/>
    <cellStyle name="Normal 3 3 12 4" xfId="15333"/>
    <cellStyle name="Normal 3 3 12 4 2" xfId="15334"/>
    <cellStyle name="Normal 3 3 12 4 2 2" xfId="15335"/>
    <cellStyle name="Normal 3 3 12 4 3" xfId="15336"/>
    <cellStyle name="Normal 3 3 12 5" xfId="15337"/>
    <cellStyle name="Normal 3 3 12 5 2" xfId="15338"/>
    <cellStyle name="Normal 3 3 12 6" xfId="15339"/>
    <cellStyle name="Normal 3 3 13" xfId="15340"/>
    <cellStyle name="Normal 3 3 13 2" xfId="15341"/>
    <cellStyle name="Normal 3 3 13 2 2" xfId="15342"/>
    <cellStyle name="Normal 3 3 13 2 2 2" xfId="15343"/>
    <cellStyle name="Normal 3 3 13 2 2 2 2" xfId="15344"/>
    <cellStyle name="Normal 3 3 13 2 2 3" xfId="15345"/>
    <cellStyle name="Normal 3 3 13 2 3" xfId="15346"/>
    <cellStyle name="Normal 3 3 13 2 3 2" xfId="15347"/>
    <cellStyle name="Normal 3 3 13 2 4" xfId="15348"/>
    <cellStyle name="Normal 3 3 13 3" xfId="15349"/>
    <cellStyle name="Normal 3 3 13 3 2" xfId="15350"/>
    <cellStyle name="Normal 3 3 13 3 2 2" xfId="15351"/>
    <cellStyle name="Normal 3 3 13 3 2 2 2" xfId="15352"/>
    <cellStyle name="Normal 3 3 13 3 2 3" xfId="15353"/>
    <cellStyle name="Normal 3 3 13 3 3" xfId="15354"/>
    <cellStyle name="Normal 3 3 13 3 3 2" xfId="15355"/>
    <cellStyle name="Normal 3 3 13 3 4" xfId="15356"/>
    <cellStyle name="Normal 3 3 13 4" xfId="15357"/>
    <cellStyle name="Normal 3 3 13 4 2" xfId="15358"/>
    <cellStyle name="Normal 3 3 13 4 2 2" xfId="15359"/>
    <cellStyle name="Normal 3 3 13 4 3" xfId="15360"/>
    <cellStyle name="Normal 3 3 13 5" xfId="15361"/>
    <cellStyle name="Normal 3 3 13 5 2" xfId="15362"/>
    <cellStyle name="Normal 3 3 13 6" xfId="15363"/>
    <cellStyle name="Normal 3 3 14" xfId="15364"/>
    <cellStyle name="Normal 3 3 14 2" xfId="15365"/>
    <cellStyle name="Normal 3 3 14 2 2" xfId="15366"/>
    <cellStyle name="Normal 3 3 14 2 2 2" xfId="15367"/>
    <cellStyle name="Normal 3 3 14 2 3" xfId="15368"/>
    <cellStyle name="Normal 3 3 14 3" xfId="15369"/>
    <cellStyle name="Normal 3 3 14 3 2" xfId="15370"/>
    <cellStyle name="Normal 3 3 14 4" xfId="15371"/>
    <cellStyle name="Normal 3 3 15" xfId="15372"/>
    <cellStyle name="Normal 3 3 15 2" xfId="15373"/>
    <cellStyle name="Normal 3 3 15 2 2" xfId="15374"/>
    <cellStyle name="Normal 3 3 15 2 2 2" xfId="15375"/>
    <cellStyle name="Normal 3 3 15 2 3" xfId="15376"/>
    <cellStyle name="Normal 3 3 15 3" xfId="15377"/>
    <cellStyle name="Normal 3 3 15 3 2" xfId="15378"/>
    <cellStyle name="Normal 3 3 15 4" xfId="15379"/>
    <cellStyle name="Normal 3 3 16" xfId="15380"/>
    <cellStyle name="Normal 3 3 16 2" xfId="15381"/>
    <cellStyle name="Normal 3 3 16 2 2" xfId="15382"/>
    <cellStyle name="Normal 3 3 16 3" xfId="15383"/>
    <cellStyle name="Normal 3 3 17" xfId="15384"/>
    <cellStyle name="Normal 3 3 17 2" xfId="15385"/>
    <cellStyle name="Normal 3 3 18" xfId="15386"/>
    <cellStyle name="Normal 3 3 2" xfId="15387"/>
    <cellStyle name="Normal 3 3 2 2" xfId="15388"/>
    <cellStyle name="Normal 3 3 2 2 2" xfId="15389"/>
    <cellStyle name="Normal 3 3 2 2 2 2" xfId="15390"/>
    <cellStyle name="Normal 3 3 2 2 2 2 2" xfId="15391"/>
    <cellStyle name="Normal 3 3 2 2 2 3" xfId="15392"/>
    <cellStyle name="Normal 3 3 2 2 3" xfId="15393"/>
    <cellStyle name="Normal 3 3 2 2 3 2" xfId="15394"/>
    <cellStyle name="Normal 3 3 2 2 4" xfId="15395"/>
    <cellStyle name="Normal 3 3 2 2 5" xfId="15396"/>
    <cellStyle name="Normal 3 3 2 2 6" xfId="15397"/>
    <cellStyle name="Normal 3 3 2 3" xfId="15398"/>
    <cellStyle name="Normal 3 3 2 3 2" xfId="15399"/>
    <cellStyle name="Normal 3 3 2 3 2 2" xfId="15400"/>
    <cellStyle name="Normal 3 3 2 3 2 2 2" xfId="15401"/>
    <cellStyle name="Normal 3 3 2 3 2 3" xfId="15402"/>
    <cellStyle name="Normal 3 3 2 3 3" xfId="15403"/>
    <cellStyle name="Normal 3 3 2 3 3 2" xfId="15404"/>
    <cellStyle name="Normal 3 3 2 3 4" xfId="15405"/>
    <cellStyle name="Normal 3 3 2 3 5" xfId="15406"/>
    <cellStyle name="Normal 3 3 2 3 6" xfId="15407"/>
    <cellStyle name="Normal 3 3 2 4" xfId="15408"/>
    <cellStyle name="Normal 3 3 2 4 2" xfId="15409"/>
    <cellStyle name="Normal 3 3 2 4 2 2" xfId="15410"/>
    <cellStyle name="Normal 3 3 2 4 3" xfId="15411"/>
    <cellStyle name="Normal 3 3 2 5" xfId="15412"/>
    <cellStyle name="Normal 3 3 2 5 2" xfId="15413"/>
    <cellStyle name="Normal 3 3 2 6" xfId="15414"/>
    <cellStyle name="Normal 3 3 2 7" xfId="15415"/>
    <cellStyle name="Normal 3 3 2 8" xfId="15416"/>
    <cellStyle name="Normal 3 3 3" xfId="15417"/>
    <cellStyle name="Normal 3 3 3 2" xfId="15418"/>
    <cellStyle name="Normal 3 3 3 2 2" xfId="15419"/>
    <cellStyle name="Normal 3 3 3 2 2 2" xfId="15420"/>
    <cellStyle name="Normal 3 3 3 2 2 2 2" xfId="15421"/>
    <cellStyle name="Normal 3 3 3 2 2 3" xfId="15422"/>
    <cellStyle name="Normal 3 3 3 2 3" xfId="15423"/>
    <cellStyle name="Normal 3 3 3 2 3 2" xfId="15424"/>
    <cellStyle name="Normal 3 3 3 2 4" xfId="15425"/>
    <cellStyle name="Normal 3 3 3 2 5" xfId="15426"/>
    <cellStyle name="Normal 3 3 3 2 6" xfId="15427"/>
    <cellStyle name="Normal 3 3 3 3" xfId="15428"/>
    <cellStyle name="Normal 3 3 3 3 2" xfId="15429"/>
    <cellStyle name="Normal 3 3 3 3 2 2" xfId="15430"/>
    <cellStyle name="Normal 3 3 3 3 2 2 2" xfId="15431"/>
    <cellStyle name="Normal 3 3 3 3 2 3" xfId="15432"/>
    <cellStyle name="Normal 3 3 3 3 3" xfId="15433"/>
    <cellStyle name="Normal 3 3 3 3 3 2" xfId="15434"/>
    <cellStyle name="Normal 3 3 3 3 4" xfId="15435"/>
    <cellStyle name="Normal 3 3 3 3 5" xfId="15436"/>
    <cellStyle name="Normal 3 3 3 3 6" xfId="15437"/>
    <cellStyle name="Normal 3 3 3 4" xfId="15438"/>
    <cellStyle name="Normal 3 3 3 4 2" xfId="15439"/>
    <cellStyle name="Normal 3 3 3 4 2 2" xfId="15440"/>
    <cellStyle name="Normal 3 3 3 4 3" xfId="15441"/>
    <cellStyle name="Normal 3 3 3 5" xfId="15442"/>
    <cellStyle name="Normal 3 3 3 5 2" xfId="15443"/>
    <cellStyle name="Normal 3 3 3 6" xfId="15444"/>
    <cellStyle name="Normal 3 3 3 7" xfId="15445"/>
    <cellStyle name="Normal 3 3 3 8" xfId="15446"/>
    <cellStyle name="Normal 3 3 4" xfId="15447"/>
    <cellStyle name="Normal 3 3 4 2" xfId="15448"/>
    <cellStyle name="Normal 3 3 4 2 2" xfId="15449"/>
    <cellStyle name="Normal 3 3 4 2 2 2" xfId="15450"/>
    <cellStyle name="Normal 3 3 4 2 2 2 2" xfId="15451"/>
    <cellStyle name="Normal 3 3 4 2 2 3" xfId="15452"/>
    <cellStyle name="Normal 3 3 4 2 3" xfId="15453"/>
    <cellStyle name="Normal 3 3 4 2 3 2" xfId="15454"/>
    <cellStyle name="Normal 3 3 4 2 4" xfId="15455"/>
    <cellStyle name="Normal 3 3 4 3" xfId="15456"/>
    <cellStyle name="Normal 3 3 4 3 2" xfId="15457"/>
    <cellStyle name="Normal 3 3 4 3 2 2" xfId="15458"/>
    <cellStyle name="Normal 3 3 4 3 2 2 2" xfId="15459"/>
    <cellStyle name="Normal 3 3 4 3 2 3" xfId="15460"/>
    <cellStyle name="Normal 3 3 4 3 3" xfId="15461"/>
    <cellStyle name="Normal 3 3 4 3 3 2" xfId="15462"/>
    <cellStyle name="Normal 3 3 4 3 4" xfId="15463"/>
    <cellStyle name="Normal 3 3 4 4" xfId="15464"/>
    <cellStyle name="Normal 3 3 4 4 2" xfId="15465"/>
    <cellStyle name="Normal 3 3 4 4 2 2" xfId="15466"/>
    <cellStyle name="Normal 3 3 4 4 3" xfId="15467"/>
    <cellStyle name="Normal 3 3 4 5" xfId="15468"/>
    <cellStyle name="Normal 3 3 4 5 2" xfId="15469"/>
    <cellStyle name="Normal 3 3 4 6" xfId="15470"/>
    <cellStyle name="Normal 3 3 5" xfId="15471"/>
    <cellStyle name="Normal 3 3 5 2" xfId="15472"/>
    <cellStyle name="Normal 3 3 5 2 2" xfId="15473"/>
    <cellStyle name="Normal 3 3 5 2 2 2" xfId="15474"/>
    <cellStyle name="Normal 3 3 5 2 2 2 2" xfId="15475"/>
    <cellStyle name="Normal 3 3 5 2 2 3" xfId="15476"/>
    <cellStyle name="Normal 3 3 5 2 3" xfId="15477"/>
    <cellStyle name="Normal 3 3 5 2 3 2" xfId="15478"/>
    <cellStyle name="Normal 3 3 5 2 4" xfId="15479"/>
    <cellStyle name="Normal 3 3 5 3" xfId="15480"/>
    <cellStyle name="Normal 3 3 5 3 2" xfId="15481"/>
    <cellStyle name="Normal 3 3 5 3 2 2" xfId="15482"/>
    <cellStyle name="Normal 3 3 5 3 2 2 2" xfId="15483"/>
    <cellStyle name="Normal 3 3 5 3 2 3" xfId="15484"/>
    <cellStyle name="Normal 3 3 5 3 3" xfId="15485"/>
    <cellStyle name="Normal 3 3 5 3 3 2" xfId="15486"/>
    <cellStyle name="Normal 3 3 5 3 4" xfId="15487"/>
    <cellStyle name="Normal 3 3 5 4" xfId="15488"/>
    <cellStyle name="Normal 3 3 5 4 2" xfId="15489"/>
    <cellStyle name="Normal 3 3 5 4 2 2" xfId="15490"/>
    <cellStyle name="Normal 3 3 5 4 3" xfId="15491"/>
    <cellStyle name="Normal 3 3 5 5" xfId="15492"/>
    <cellStyle name="Normal 3 3 5 5 2" xfId="15493"/>
    <cellStyle name="Normal 3 3 5 6" xfId="15494"/>
    <cellStyle name="Normal 3 3 6" xfId="15495"/>
    <cellStyle name="Normal 3 3 6 2" xfId="15496"/>
    <cellStyle name="Normal 3 3 6 2 2" xfId="15497"/>
    <cellStyle name="Normal 3 3 6 2 2 2" xfId="15498"/>
    <cellStyle name="Normal 3 3 6 2 2 2 2" xfId="15499"/>
    <cellStyle name="Normal 3 3 6 2 2 3" xfId="15500"/>
    <cellStyle name="Normal 3 3 6 2 3" xfId="15501"/>
    <cellStyle name="Normal 3 3 6 2 3 2" xfId="15502"/>
    <cellStyle name="Normal 3 3 6 2 4" xfId="15503"/>
    <cellStyle name="Normal 3 3 6 3" xfId="15504"/>
    <cellStyle name="Normal 3 3 6 3 2" xfId="15505"/>
    <cellStyle name="Normal 3 3 6 3 2 2" xfId="15506"/>
    <cellStyle name="Normal 3 3 6 3 2 2 2" xfId="15507"/>
    <cellStyle name="Normal 3 3 6 3 2 3" xfId="15508"/>
    <cellStyle name="Normal 3 3 6 3 3" xfId="15509"/>
    <cellStyle name="Normal 3 3 6 3 3 2" xfId="15510"/>
    <cellStyle name="Normal 3 3 6 3 4" xfId="15511"/>
    <cellStyle name="Normal 3 3 6 4" xfId="15512"/>
    <cellStyle name="Normal 3 3 6 4 2" xfId="15513"/>
    <cellStyle name="Normal 3 3 6 4 2 2" xfId="15514"/>
    <cellStyle name="Normal 3 3 6 4 3" xfId="15515"/>
    <cellStyle name="Normal 3 3 6 5" xfId="15516"/>
    <cellStyle name="Normal 3 3 6 5 2" xfId="15517"/>
    <cellStyle name="Normal 3 3 6 6" xfId="15518"/>
    <cellStyle name="Normal 3 3 7" xfId="15519"/>
    <cellStyle name="Normal 3 3 7 2" xfId="15520"/>
    <cellStyle name="Normal 3 3 7 2 2" xfId="15521"/>
    <cellStyle name="Normal 3 3 7 2 2 2" xfId="15522"/>
    <cellStyle name="Normal 3 3 7 2 2 2 2" xfId="15523"/>
    <cellStyle name="Normal 3 3 7 2 2 3" xfId="15524"/>
    <cellStyle name="Normal 3 3 7 2 3" xfId="15525"/>
    <cellStyle name="Normal 3 3 7 2 3 2" xfId="15526"/>
    <cellStyle name="Normal 3 3 7 2 4" xfId="15527"/>
    <cellStyle name="Normal 3 3 7 3" xfId="15528"/>
    <cellStyle name="Normal 3 3 7 3 2" xfId="15529"/>
    <cellStyle name="Normal 3 3 7 3 2 2" xfId="15530"/>
    <cellStyle name="Normal 3 3 7 3 2 2 2" xfId="15531"/>
    <cellStyle name="Normal 3 3 7 3 2 3" xfId="15532"/>
    <cellStyle name="Normal 3 3 7 3 3" xfId="15533"/>
    <cellStyle name="Normal 3 3 7 3 3 2" xfId="15534"/>
    <cellStyle name="Normal 3 3 7 3 4" xfId="15535"/>
    <cellStyle name="Normal 3 3 7 4" xfId="15536"/>
    <cellStyle name="Normal 3 3 7 4 2" xfId="15537"/>
    <cellStyle name="Normal 3 3 7 4 2 2" xfId="15538"/>
    <cellStyle name="Normal 3 3 7 4 3" xfId="15539"/>
    <cellStyle name="Normal 3 3 7 5" xfId="15540"/>
    <cellStyle name="Normal 3 3 7 5 2" xfId="15541"/>
    <cellStyle name="Normal 3 3 7 6" xfId="15542"/>
    <cellStyle name="Normal 3 3 8" xfId="15543"/>
    <cellStyle name="Normal 3 3 8 2" xfId="15544"/>
    <cellStyle name="Normal 3 3 8 2 2" xfId="15545"/>
    <cellStyle name="Normal 3 3 8 2 2 2" xfId="15546"/>
    <cellStyle name="Normal 3 3 8 2 2 2 2" xfId="15547"/>
    <cellStyle name="Normal 3 3 8 2 2 3" xfId="15548"/>
    <cellStyle name="Normal 3 3 8 2 3" xfId="15549"/>
    <cellStyle name="Normal 3 3 8 2 3 2" xfId="15550"/>
    <cellStyle name="Normal 3 3 8 2 4" xfId="15551"/>
    <cellStyle name="Normal 3 3 8 3" xfId="15552"/>
    <cellStyle name="Normal 3 3 8 3 2" xfId="15553"/>
    <cellStyle name="Normal 3 3 8 3 2 2" xfId="15554"/>
    <cellStyle name="Normal 3 3 8 3 2 2 2" xfId="15555"/>
    <cellStyle name="Normal 3 3 8 3 2 3" xfId="15556"/>
    <cellStyle name="Normal 3 3 8 3 3" xfId="15557"/>
    <cellStyle name="Normal 3 3 8 3 3 2" xfId="15558"/>
    <cellStyle name="Normal 3 3 8 3 4" xfId="15559"/>
    <cellStyle name="Normal 3 3 8 4" xfId="15560"/>
    <cellStyle name="Normal 3 3 8 4 2" xfId="15561"/>
    <cellStyle name="Normal 3 3 8 4 2 2" xfId="15562"/>
    <cellStyle name="Normal 3 3 8 4 3" xfId="15563"/>
    <cellStyle name="Normal 3 3 8 5" xfId="15564"/>
    <cellStyle name="Normal 3 3 8 5 2" xfId="15565"/>
    <cellStyle name="Normal 3 3 8 6" xfId="15566"/>
    <cellStyle name="Normal 3 3 9" xfId="15567"/>
    <cellStyle name="Normal 3 3 9 2" xfId="15568"/>
    <cellStyle name="Normal 3 3 9 2 2" xfId="15569"/>
    <cellStyle name="Normal 3 3 9 2 2 2" xfId="15570"/>
    <cellStyle name="Normal 3 3 9 2 2 2 2" xfId="15571"/>
    <cellStyle name="Normal 3 3 9 2 2 3" xfId="15572"/>
    <cellStyle name="Normal 3 3 9 2 3" xfId="15573"/>
    <cellStyle name="Normal 3 3 9 2 3 2" xfId="15574"/>
    <cellStyle name="Normal 3 3 9 2 4" xfId="15575"/>
    <cellStyle name="Normal 3 3 9 3" xfId="15576"/>
    <cellStyle name="Normal 3 3 9 3 2" xfId="15577"/>
    <cellStyle name="Normal 3 3 9 3 2 2" xfId="15578"/>
    <cellStyle name="Normal 3 3 9 3 2 2 2" xfId="15579"/>
    <cellStyle name="Normal 3 3 9 3 2 3" xfId="15580"/>
    <cellStyle name="Normal 3 3 9 3 3" xfId="15581"/>
    <cellStyle name="Normal 3 3 9 3 3 2" xfId="15582"/>
    <cellStyle name="Normal 3 3 9 3 4" xfId="15583"/>
    <cellStyle name="Normal 3 3 9 4" xfId="15584"/>
    <cellStyle name="Normal 3 3 9 4 2" xfId="15585"/>
    <cellStyle name="Normal 3 3 9 4 2 2" xfId="15586"/>
    <cellStyle name="Normal 3 3 9 4 3" xfId="15587"/>
    <cellStyle name="Normal 3 3 9 5" xfId="15588"/>
    <cellStyle name="Normal 3 3 9 5 2" xfId="15589"/>
    <cellStyle name="Normal 3 3 9 6" xfId="15590"/>
    <cellStyle name="Normal 3 4" xfId="15591"/>
    <cellStyle name="Normal 3 4 10" xfId="15592"/>
    <cellStyle name="Normal 3 4 10 2" xfId="15593"/>
    <cellStyle name="Normal 3 4 10 2 2" xfId="15594"/>
    <cellStyle name="Normal 3 4 10 2 2 2" xfId="15595"/>
    <cellStyle name="Normal 3 4 10 2 2 2 2" xfId="15596"/>
    <cellStyle name="Normal 3 4 10 2 2 3" xfId="15597"/>
    <cellStyle name="Normal 3 4 10 2 3" xfId="15598"/>
    <cellStyle name="Normal 3 4 10 2 3 2" xfId="15599"/>
    <cellStyle name="Normal 3 4 10 2 4" xfId="15600"/>
    <cellStyle name="Normal 3 4 10 3" xfId="15601"/>
    <cellStyle name="Normal 3 4 10 3 2" xfId="15602"/>
    <cellStyle name="Normal 3 4 10 3 2 2" xfId="15603"/>
    <cellStyle name="Normal 3 4 10 3 2 2 2" xfId="15604"/>
    <cellStyle name="Normal 3 4 10 3 2 3" xfId="15605"/>
    <cellStyle name="Normal 3 4 10 3 3" xfId="15606"/>
    <cellStyle name="Normal 3 4 10 3 3 2" xfId="15607"/>
    <cellStyle name="Normal 3 4 10 3 4" xfId="15608"/>
    <cellStyle name="Normal 3 4 10 4" xfId="15609"/>
    <cellStyle name="Normal 3 4 10 4 2" xfId="15610"/>
    <cellStyle name="Normal 3 4 10 4 2 2" xfId="15611"/>
    <cellStyle name="Normal 3 4 10 4 3" xfId="15612"/>
    <cellStyle name="Normal 3 4 10 5" xfId="15613"/>
    <cellStyle name="Normal 3 4 10 5 2" xfId="15614"/>
    <cellStyle name="Normal 3 4 10 6" xfId="15615"/>
    <cellStyle name="Normal 3 4 11" xfId="15616"/>
    <cellStyle name="Normal 3 4 11 2" xfId="15617"/>
    <cellStyle name="Normal 3 4 11 2 2" xfId="15618"/>
    <cellStyle name="Normal 3 4 11 2 2 2" xfId="15619"/>
    <cellStyle name="Normal 3 4 11 2 2 2 2" xfId="15620"/>
    <cellStyle name="Normal 3 4 11 2 2 3" xfId="15621"/>
    <cellStyle name="Normal 3 4 11 2 3" xfId="15622"/>
    <cellStyle name="Normal 3 4 11 2 3 2" xfId="15623"/>
    <cellStyle name="Normal 3 4 11 2 4" xfId="15624"/>
    <cellStyle name="Normal 3 4 11 3" xfId="15625"/>
    <cellStyle name="Normal 3 4 11 3 2" xfId="15626"/>
    <cellStyle name="Normal 3 4 11 3 2 2" xfId="15627"/>
    <cellStyle name="Normal 3 4 11 3 2 2 2" xfId="15628"/>
    <cellStyle name="Normal 3 4 11 3 2 3" xfId="15629"/>
    <cellStyle name="Normal 3 4 11 3 3" xfId="15630"/>
    <cellStyle name="Normal 3 4 11 3 3 2" xfId="15631"/>
    <cellStyle name="Normal 3 4 11 3 4" xfId="15632"/>
    <cellStyle name="Normal 3 4 11 4" xfId="15633"/>
    <cellStyle name="Normal 3 4 11 4 2" xfId="15634"/>
    <cellStyle name="Normal 3 4 11 4 2 2" xfId="15635"/>
    <cellStyle name="Normal 3 4 11 4 3" xfId="15636"/>
    <cellStyle name="Normal 3 4 11 5" xfId="15637"/>
    <cellStyle name="Normal 3 4 11 5 2" xfId="15638"/>
    <cellStyle name="Normal 3 4 11 6" xfId="15639"/>
    <cellStyle name="Normal 3 4 12" xfId="15640"/>
    <cellStyle name="Normal 3 4 12 2" xfId="15641"/>
    <cellStyle name="Normal 3 4 12 2 2" xfId="15642"/>
    <cellStyle name="Normal 3 4 12 2 2 2" xfId="15643"/>
    <cellStyle name="Normal 3 4 12 2 2 2 2" xfId="15644"/>
    <cellStyle name="Normal 3 4 12 2 2 3" xfId="15645"/>
    <cellStyle name="Normal 3 4 12 2 3" xfId="15646"/>
    <cellStyle name="Normal 3 4 12 2 3 2" xfId="15647"/>
    <cellStyle name="Normal 3 4 12 2 4" xfId="15648"/>
    <cellStyle name="Normal 3 4 12 3" xfId="15649"/>
    <cellStyle name="Normal 3 4 12 3 2" xfId="15650"/>
    <cellStyle name="Normal 3 4 12 3 2 2" xfId="15651"/>
    <cellStyle name="Normal 3 4 12 3 2 2 2" xfId="15652"/>
    <cellStyle name="Normal 3 4 12 3 2 3" xfId="15653"/>
    <cellStyle name="Normal 3 4 12 3 3" xfId="15654"/>
    <cellStyle name="Normal 3 4 12 3 3 2" xfId="15655"/>
    <cellStyle name="Normal 3 4 12 3 4" xfId="15656"/>
    <cellStyle name="Normal 3 4 12 4" xfId="15657"/>
    <cellStyle name="Normal 3 4 12 4 2" xfId="15658"/>
    <cellStyle name="Normal 3 4 12 4 2 2" xfId="15659"/>
    <cellStyle name="Normal 3 4 12 4 3" xfId="15660"/>
    <cellStyle name="Normal 3 4 12 5" xfId="15661"/>
    <cellStyle name="Normal 3 4 12 5 2" xfId="15662"/>
    <cellStyle name="Normal 3 4 12 6" xfId="15663"/>
    <cellStyle name="Normal 3 4 13" xfId="15664"/>
    <cellStyle name="Normal 3 4 13 2" xfId="15665"/>
    <cellStyle name="Normal 3 4 13 2 2" xfId="15666"/>
    <cellStyle name="Normal 3 4 13 2 2 2" xfId="15667"/>
    <cellStyle name="Normal 3 4 13 2 2 2 2" xfId="15668"/>
    <cellStyle name="Normal 3 4 13 2 2 3" xfId="15669"/>
    <cellStyle name="Normal 3 4 13 2 3" xfId="15670"/>
    <cellStyle name="Normal 3 4 13 2 3 2" xfId="15671"/>
    <cellStyle name="Normal 3 4 13 2 4" xfId="15672"/>
    <cellStyle name="Normal 3 4 13 3" xfId="15673"/>
    <cellStyle name="Normal 3 4 13 3 2" xfId="15674"/>
    <cellStyle name="Normal 3 4 13 3 2 2" xfId="15675"/>
    <cellStyle name="Normal 3 4 13 3 2 2 2" xfId="15676"/>
    <cellStyle name="Normal 3 4 13 3 2 3" xfId="15677"/>
    <cellStyle name="Normal 3 4 13 3 3" xfId="15678"/>
    <cellStyle name="Normal 3 4 13 3 3 2" xfId="15679"/>
    <cellStyle name="Normal 3 4 13 3 4" xfId="15680"/>
    <cellStyle name="Normal 3 4 13 4" xfId="15681"/>
    <cellStyle name="Normal 3 4 13 4 2" xfId="15682"/>
    <cellStyle name="Normal 3 4 13 4 2 2" xfId="15683"/>
    <cellStyle name="Normal 3 4 13 4 3" xfId="15684"/>
    <cellStyle name="Normal 3 4 13 5" xfId="15685"/>
    <cellStyle name="Normal 3 4 13 5 2" xfId="15686"/>
    <cellStyle name="Normal 3 4 13 6" xfId="15687"/>
    <cellStyle name="Normal 3 4 14" xfId="15688"/>
    <cellStyle name="Normal 3 4 14 2" xfId="15689"/>
    <cellStyle name="Normal 3 4 14 2 2" xfId="15690"/>
    <cellStyle name="Normal 3 4 14 2 2 2" xfId="15691"/>
    <cellStyle name="Normal 3 4 14 2 3" xfId="15692"/>
    <cellStyle name="Normal 3 4 14 3" xfId="15693"/>
    <cellStyle name="Normal 3 4 14 3 2" xfId="15694"/>
    <cellStyle name="Normal 3 4 14 4" xfId="15695"/>
    <cellStyle name="Normal 3 4 15" xfId="15696"/>
    <cellStyle name="Normal 3 4 15 2" xfId="15697"/>
    <cellStyle name="Normal 3 4 15 2 2" xfId="15698"/>
    <cellStyle name="Normal 3 4 15 2 2 2" xfId="15699"/>
    <cellStyle name="Normal 3 4 15 2 3" xfId="15700"/>
    <cellStyle name="Normal 3 4 15 3" xfId="15701"/>
    <cellStyle name="Normal 3 4 15 3 2" xfId="15702"/>
    <cellStyle name="Normal 3 4 15 4" xfId="15703"/>
    <cellStyle name="Normal 3 4 16" xfId="15704"/>
    <cellStyle name="Normal 3 4 16 2" xfId="15705"/>
    <cellStyle name="Normal 3 4 16 2 2" xfId="15706"/>
    <cellStyle name="Normal 3 4 16 3" xfId="15707"/>
    <cellStyle name="Normal 3 4 17" xfId="15708"/>
    <cellStyle name="Normal 3 4 17 2" xfId="15709"/>
    <cellStyle name="Normal 3 4 18" xfId="15710"/>
    <cellStyle name="Normal 3 4 2" xfId="15711"/>
    <cellStyle name="Normal 3 4 2 2" xfId="15712"/>
    <cellStyle name="Normal 3 4 2 2 2" xfId="15713"/>
    <cellStyle name="Normal 3 4 2 2 2 2" xfId="15714"/>
    <cellStyle name="Normal 3 4 2 2 2 2 2" xfId="15715"/>
    <cellStyle name="Normal 3 4 2 2 2 3" xfId="15716"/>
    <cellStyle name="Normal 3 4 2 2 3" xfId="15717"/>
    <cellStyle name="Normal 3 4 2 2 3 2" xfId="15718"/>
    <cellStyle name="Normal 3 4 2 2 4" xfId="15719"/>
    <cellStyle name="Normal 3 4 2 2 5" xfId="15720"/>
    <cellStyle name="Normal 3 4 2 2 6" xfId="15721"/>
    <cellStyle name="Normal 3 4 2 3" xfId="15722"/>
    <cellStyle name="Normal 3 4 2 3 2" xfId="15723"/>
    <cellStyle name="Normal 3 4 2 3 2 2" xfId="15724"/>
    <cellStyle name="Normal 3 4 2 3 2 2 2" xfId="15725"/>
    <cellStyle name="Normal 3 4 2 3 2 3" xfId="15726"/>
    <cellStyle name="Normal 3 4 2 3 3" xfId="15727"/>
    <cellStyle name="Normal 3 4 2 3 3 2" xfId="15728"/>
    <cellStyle name="Normal 3 4 2 3 4" xfId="15729"/>
    <cellStyle name="Normal 3 4 2 3 5" xfId="15730"/>
    <cellStyle name="Normal 3 4 2 3 6" xfId="15731"/>
    <cellStyle name="Normal 3 4 2 4" xfId="15732"/>
    <cellStyle name="Normal 3 4 2 4 2" xfId="15733"/>
    <cellStyle name="Normal 3 4 2 4 2 2" xfId="15734"/>
    <cellStyle name="Normal 3 4 2 4 3" xfId="15735"/>
    <cellStyle name="Normal 3 4 2 5" xfId="15736"/>
    <cellStyle name="Normal 3 4 2 5 2" xfId="15737"/>
    <cellStyle name="Normal 3 4 2 6" xfId="15738"/>
    <cellStyle name="Normal 3 4 2 7" xfId="15739"/>
    <cellStyle name="Normal 3 4 2 8" xfId="15740"/>
    <cellStyle name="Normal 3 4 3" xfId="15741"/>
    <cellStyle name="Normal 3 4 3 2" xfId="15742"/>
    <cellStyle name="Normal 3 4 3 2 2" xfId="15743"/>
    <cellStyle name="Normal 3 4 3 2 2 2" xfId="15744"/>
    <cellStyle name="Normal 3 4 3 2 2 2 2" xfId="15745"/>
    <cellStyle name="Normal 3 4 3 2 2 3" xfId="15746"/>
    <cellStyle name="Normal 3 4 3 2 3" xfId="15747"/>
    <cellStyle name="Normal 3 4 3 2 3 2" xfId="15748"/>
    <cellStyle name="Normal 3 4 3 2 4" xfId="15749"/>
    <cellStyle name="Normal 3 4 3 2 5" xfId="15750"/>
    <cellStyle name="Normal 3 4 3 2 6" xfId="15751"/>
    <cellStyle name="Normal 3 4 3 3" xfId="15752"/>
    <cellStyle name="Normal 3 4 3 3 2" xfId="15753"/>
    <cellStyle name="Normal 3 4 3 3 2 2" xfId="15754"/>
    <cellStyle name="Normal 3 4 3 3 2 2 2" xfId="15755"/>
    <cellStyle name="Normal 3 4 3 3 2 3" xfId="15756"/>
    <cellStyle name="Normal 3 4 3 3 3" xfId="15757"/>
    <cellStyle name="Normal 3 4 3 3 3 2" xfId="15758"/>
    <cellStyle name="Normal 3 4 3 3 4" xfId="15759"/>
    <cellStyle name="Normal 3 4 3 3 5" xfId="15760"/>
    <cellStyle name="Normal 3 4 3 3 6" xfId="15761"/>
    <cellStyle name="Normal 3 4 3 4" xfId="15762"/>
    <cellStyle name="Normal 3 4 3 4 2" xfId="15763"/>
    <cellStyle name="Normal 3 4 3 4 2 2" xfId="15764"/>
    <cellStyle name="Normal 3 4 3 4 3" xfId="15765"/>
    <cellStyle name="Normal 3 4 3 5" xfId="15766"/>
    <cellStyle name="Normal 3 4 3 5 2" xfId="15767"/>
    <cellStyle name="Normal 3 4 3 6" xfId="15768"/>
    <cellStyle name="Normal 3 4 3 7" xfId="15769"/>
    <cellStyle name="Normal 3 4 3 8" xfId="15770"/>
    <cellStyle name="Normal 3 4 4" xfId="15771"/>
    <cellStyle name="Normal 3 4 4 2" xfId="15772"/>
    <cellStyle name="Normal 3 4 4 2 2" xfId="15773"/>
    <cellStyle name="Normal 3 4 4 2 2 2" xfId="15774"/>
    <cellStyle name="Normal 3 4 4 2 2 2 2" xfId="15775"/>
    <cellStyle name="Normal 3 4 4 2 2 3" xfId="15776"/>
    <cellStyle name="Normal 3 4 4 2 3" xfId="15777"/>
    <cellStyle name="Normal 3 4 4 2 3 2" xfId="15778"/>
    <cellStyle name="Normal 3 4 4 2 4" xfId="15779"/>
    <cellStyle name="Normal 3 4 4 3" xfId="15780"/>
    <cellStyle name="Normal 3 4 4 3 2" xfId="15781"/>
    <cellStyle name="Normal 3 4 4 3 2 2" xfId="15782"/>
    <cellStyle name="Normal 3 4 4 3 2 2 2" xfId="15783"/>
    <cellStyle name="Normal 3 4 4 3 2 3" xfId="15784"/>
    <cellStyle name="Normal 3 4 4 3 3" xfId="15785"/>
    <cellStyle name="Normal 3 4 4 3 3 2" xfId="15786"/>
    <cellStyle name="Normal 3 4 4 3 4" xfId="15787"/>
    <cellStyle name="Normal 3 4 4 4" xfId="15788"/>
    <cellStyle name="Normal 3 4 4 4 2" xfId="15789"/>
    <cellStyle name="Normal 3 4 4 4 2 2" xfId="15790"/>
    <cellStyle name="Normal 3 4 4 4 3" xfId="15791"/>
    <cellStyle name="Normal 3 4 4 5" xfId="15792"/>
    <cellStyle name="Normal 3 4 4 5 2" xfId="15793"/>
    <cellStyle name="Normal 3 4 4 6" xfId="15794"/>
    <cellStyle name="Normal 3 4 5" xfId="15795"/>
    <cellStyle name="Normal 3 4 5 2" xfId="15796"/>
    <cellStyle name="Normal 3 4 5 2 2" xfId="15797"/>
    <cellStyle name="Normal 3 4 5 2 2 2" xfId="15798"/>
    <cellStyle name="Normal 3 4 5 2 2 2 2" xfId="15799"/>
    <cellStyle name="Normal 3 4 5 2 2 3" xfId="15800"/>
    <cellStyle name="Normal 3 4 5 2 3" xfId="15801"/>
    <cellStyle name="Normal 3 4 5 2 3 2" xfId="15802"/>
    <cellStyle name="Normal 3 4 5 2 4" xfId="15803"/>
    <cellStyle name="Normal 3 4 5 3" xfId="15804"/>
    <cellStyle name="Normal 3 4 5 3 2" xfId="15805"/>
    <cellStyle name="Normal 3 4 5 3 2 2" xfId="15806"/>
    <cellStyle name="Normal 3 4 5 3 2 2 2" xfId="15807"/>
    <cellStyle name="Normal 3 4 5 3 2 3" xfId="15808"/>
    <cellStyle name="Normal 3 4 5 3 3" xfId="15809"/>
    <cellStyle name="Normal 3 4 5 3 3 2" xfId="15810"/>
    <cellStyle name="Normal 3 4 5 3 4" xfId="15811"/>
    <cellStyle name="Normal 3 4 5 4" xfId="15812"/>
    <cellStyle name="Normal 3 4 5 4 2" xfId="15813"/>
    <cellStyle name="Normal 3 4 5 4 2 2" xfId="15814"/>
    <cellStyle name="Normal 3 4 5 4 3" xfId="15815"/>
    <cellStyle name="Normal 3 4 5 5" xfId="15816"/>
    <cellStyle name="Normal 3 4 5 5 2" xfId="15817"/>
    <cellStyle name="Normal 3 4 5 6" xfId="15818"/>
    <cellStyle name="Normal 3 4 6" xfId="15819"/>
    <cellStyle name="Normal 3 4 6 2" xfId="15820"/>
    <cellStyle name="Normal 3 4 6 2 2" xfId="15821"/>
    <cellStyle name="Normal 3 4 6 2 2 2" xfId="15822"/>
    <cellStyle name="Normal 3 4 6 2 2 2 2" xfId="15823"/>
    <cellStyle name="Normal 3 4 6 2 2 3" xfId="15824"/>
    <cellStyle name="Normal 3 4 6 2 3" xfId="15825"/>
    <cellStyle name="Normal 3 4 6 2 3 2" xfId="15826"/>
    <cellStyle name="Normal 3 4 6 2 4" xfId="15827"/>
    <cellStyle name="Normal 3 4 6 3" xfId="15828"/>
    <cellStyle name="Normal 3 4 6 3 2" xfId="15829"/>
    <cellStyle name="Normal 3 4 6 3 2 2" xfId="15830"/>
    <cellStyle name="Normal 3 4 6 3 2 2 2" xfId="15831"/>
    <cellStyle name="Normal 3 4 6 3 2 3" xfId="15832"/>
    <cellStyle name="Normal 3 4 6 3 3" xfId="15833"/>
    <cellStyle name="Normal 3 4 6 3 3 2" xfId="15834"/>
    <cellStyle name="Normal 3 4 6 3 4" xfId="15835"/>
    <cellStyle name="Normal 3 4 6 4" xfId="15836"/>
    <cellStyle name="Normal 3 4 6 4 2" xfId="15837"/>
    <cellStyle name="Normal 3 4 6 4 2 2" xfId="15838"/>
    <cellStyle name="Normal 3 4 6 4 3" xfId="15839"/>
    <cellStyle name="Normal 3 4 6 5" xfId="15840"/>
    <cellStyle name="Normal 3 4 6 5 2" xfId="15841"/>
    <cellStyle name="Normal 3 4 6 6" xfId="15842"/>
    <cellStyle name="Normal 3 4 7" xfId="15843"/>
    <cellStyle name="Normal 3 4 7 2" xfId="15844"/>
    <cellStyle name="Normal 3 4 7 2 2" xfId="15845"/>
    <cellStyle name="Normal 3 4 7 2 2 2" xfId="15846"/>
    <cellStyle name="Normal 3 4 7 2 2 2 2" xfId="15847"/>
    <cellStyle name="Normal 3 4 7 2 2 3" xfId="15848"/>
    <cellStyle name="Normal 3 4 7 2 3" xfId="15849"/>
    <cellStyle name="Normal 3 4 7 2 3 2" xfId="15850"/>
    <cellStyle name="Normal 3 4 7 2 4" xfId="15851"/>
    <cellStyle name="Normal 3 4 7 3" xfId="15852"/>
    <cellStyle name="Normal 3 4 7 3 2" xfId="15853"/>
    <cellStyle name="Normal 3 4 7 3 2 2" xfId="15854"/>
    <cellStyle name="Normal 3 4 7 3 2 2 2" xfId="15855"/>
    <cellStyle name="Normal 3 4 7 3 2 3" xfId="15856"/>
    <cellStyle name="Normal 3 4 7 3 3" xfId="15857"/>
    <cellStyle name="Normal 3 4 7 3 3 2" xfId="15858"/>
    <cellStyle name="Normal 3 4 7 3 4" xfId="15859"/>
    <cellStyle name="Normal 3 4 7 4" xfId="15860"/>
    <cellStyle name="Normal 3 4 7 4 2" xfId="15861"/>
    <cellStyle name="Normal 3 4 7 4 2 2" xfId="15862"/>
    <cellStyle name="Normal 3 4 7 4 3" xfId="15863"/>
    <cellStyle name="Normal 3 4 7 5" xfId="15864"/>
    <cellStyle name="Normal 3 4 7 5 2" xfId="15865"/>
    <cellStyle name="Normal 3 4 7 6" xfId="15866"/>
    <cellStyle name="Normal 3 4 8" xfId="15867"/>
    <cellStyle name="Normal 3 4 8 2" xfId="15868"/>
    <cellStyle name="Normal 3 4 8 2 2" xfId="15869"/>
    <cellStyle name="Normal 3 4 8 2 2 2" xfId="15870"/>
    <cellStyle name="Normal 3 4 8 2 2 2 2" xfId="15871"/>
    <cellStyle name="Normal 3 4 8 2 2 3" xfId="15872"/>
    <cellStyle name="Normal 3 4 8 2 3" xfId="15873"/>
    <cellStyle name="Normal 3 4 8 2 3 2" xfId="15874"/>
    <cellStyle name="Normal 3 4 8 2 4" xfId="15875"/>
    <cellStyle name="Normal 3 4 8 3" xfId="15876"/>
    <cellStyle name="Normal 3 4 8 3 2" xfId="15877"/>
    <cellStyle name="Normal 3 4 8 3 2 2" xfId="15878"/>
    <cellStyle name="Normal 3 4 8 3 2 2 2" xfId="15879"/>
    <cellStyle name="Normal 3 4 8 3 2 3" xfId="15880"/>
    <cellStyle name="Normal 3 4 8 3 3" xfId="15881"/>
    <cellStyle name="Normal 3 4 8 3 3 2" xfId="15882"/>
    <cellStyle name="Normal 3 4 8 3 4" xfId="15883"/>
    <cellStyle name="Normal 3 4 8 4" xfId="15884"/>
    <cellStyle name="Normal 3 4 8 4 2" xfId="15885"/>
    <cellStyle name="Normal 3 4 8 4 2 2" xfId="15886"/>
    <cellStyle name="Normal 3 4 8 4 3" xfId="15887"/>
    <cellStyle name="Normal 3 4 8 5" xfId="15888"/>
    <cellStyle name="Normal 3 4 8 5 2" xfId="15889"/>
    <cellStyle name="Normal 3 4 8 6" xfId="15890"/>
    <cellStyle name="Normal 3 4 9" xfId="15891"/>
    <cellStyle name="Normal 3 4 9 2" xfId="15892"/>
    <cellStyle name="Normal 3 4 9 2 2" xfId="15893"/>
    <cellStyle name="Normal 3 4 9 2 2 2" xfId="15894"/>
    <cellStyle name="Normal 3 4 9 2 2 2 2" xfId="15895"/>
    <cellStyle name="Normal 3 4 9 2 2 3" xfId="15896"/>
    <cellStyle name="Normal 3 4 9 2 3" xfId="15897"/>
    <cellStyle name="Normal 3 4 9 2 3 2" xfId="15898"/>
    <cellStyle name="Normal 3 4 9 2 4" xfId="15899"/>
    <cellStyle name="Normal 3 4 9 3" xfId="15900"/>
    <cellStyle name="Normal 3 4 9 3 2" xfId="15901"/>
    <cellStyle name="Normal 3 4 9 3 2 2" xfId="15902"/>
    <cellStyle name="Normal 3 4 9 3 2 2 2" xfId="15903"/>
    <cellStyle name="Normal 3 4 9 3 2 3" xfId="15904"/>
    <cellStyle name="Normal 3 4 9 3 3" xfId="15905"/>
    <cellStyle name="Normal 3 4 9 3 3 2" xfId="15906"/>
    <cellStyle name="Normal 3 4 9 3 4" xfId="15907"/>
    <cellStyle name="Normal 3 4 9 4" xfId="15908"/>
    <cellStyle name="Normal 3 4 9 4 2" xfId="15909"/>
    <cellStyle name="Normal 3 4 9 4 2 2" xfId="15910"/>
    <cellStyle name="Normal 3 4 9 4 3" xfId="15911"/>
    <cellStyle name="Normal 3 4 9 5" xfId="15912"/>
    <cellStyle name="Normal 3 4 9 5 2" xfId="15913"/>
    <cellStyle name="Normal 3 4 9 6" xfId="15914"/>
    <cellStyle name="Normal 3 5" xfId="15915"/>
    <cellStyle name="Normal 3 5 10" xfId="15916"/>
    <cellStyle name="Normal 3 5 10 2" xfId="15917"/>
    <cellStyle name="Normal 3 5 10 2 2" xfId="15918"/>
    <cellStyle name="Normal 3 5 10 2 2 2" xfId="15919"/>
    <cellStyle name="Normal 3 5 10 2 2 2 2" xfId="15920"/>
    <cellStyle name="Normal 3 5 10 2 2 3" xfId="15921"/>
    <cellStyle name="Normal 3 5 10 2 3" xfId="15922"/>
    <cellStyle name="Normal 3 5 10 2 3 2" xfId="15923"/>
    <cellStyle name="Normal 3 5 10 2 4" xfId="15924"/>
    <cellStyle name="Normal 3 5 10 3" xfId="15925"/>
    <cellStyle name="Normal 3 5 10 3 2" xfId="15926"/>
    <cellStyle name="Normal 3 5 10 3 2 2" xfId="15927"/>
    <cellStyle name="Normal 3 5 10 3 2 2 2" xfId="15928"/>
    <cellStyle name="Normal 3 5 10 3 2 3" xfId="15929"/>
    <cellStyle name="Normal 3 5 10 3 3" xfId="15930"/>
    <cellStyle name="Normal 3 5 10 3 3 2" xfId="15931"/>
    <cellStyle name="Normal 3 5 10 3 4" xfId="15932"/>
    <cellStyle name="Normal 3 5 10 4" xfId="15933"/>
    <cellStyle name="Normal 3 5 10 4 2" xfId="15934"/>
    <cellStyle name="Normal 3 5 10 4 2 2" xfId="15935"/>
    <cellStyle name="Normal 3 5 10 4 3" xfId="15936"/>
    <cellStyle name="Normal 3 5 10 5" xfId="15937"/>
    <cellStyle name="Normal 3 5 10 5 2" xfId="15938"/>
    <cellStyle name="Normal 3 5 10 6" xfId="15939"/>
    <cellStyle name="Normal 3 5 11" xfId="15940"/>
    <cellStyle name="Normal 3 5 11 2" xfId="15941"/>
    <cellStyle name="Normal 3 5 11 2 2" xfId="15942"/>
    <cellStyle name="Normal 3 5 11 2 2 2" xfId="15943"/>
    <cellStyle name="Normal 3 5 11 2 2 2 2" xfId="15944"/>
    <cellStyle name="Normal 3 5 11 2 2 3" xfId="15945"/>
    <cellStyle name="Normal 3 5 11 2 3" xfId="15946"/>
    <cellStyle name="Normal 3 5 11 2 3 2" xfId="15947"/>
    <cellStyle name="Normal 3 5 11 2 4" xfId="15948"/>
    <cellStyle name="Normal 3 5 11 3" xfId="15949"/>
    <cellStyle name="Normal 3 5 11 3 2" xfId="15950"/>
    <cellStyle name="Normal 3 5 11 3 2 2" xfId="15951"/>
    <cellStyle name="Normal 3 5 11 3 2 2 2" xfId="15952"/>
    <cellStyle name="Normal 3 5 11 3 2 3" xfId="15953"/>
    <cellStyle name="Normal 3 5 11 3 3" xfId="15954"/>
    <cellStyle name="Normal 3 5 11 3 3 2" xfId="15955"/>
    <cellStyle name="Normal 3 5 11 3 4" xfId="15956"/>
    <cellStyle name="Normal 3 5 11 4" xfId="15957"/>
    <cellStyle name="Normal 3 5 11 4 2" xfId="15958"/>
    <cellStyle name="Normal 3 5 11 4 2 2" xfId="15959"/>
    <cellStyle name="Normal 3 5 11 4 3" xfId="15960"/>
    <cellStyle name="Normal 3 5 11 5" xfId="15961"/>
    <cellStyle name="Normal 3 5 11 5 2" xfId="15962"/>
    <cellStyle name="Normal 3 5 11 6" xfId="15963"/>
    <cellStyle name="Normal 3 5 12" xfId="15964"/>
    <cellStyle name="Normal 3 5 12 2" xfId="15965"/>
    <cellStyle name="Normal 3 5 12 2 2" xfId="15966"/>
    <cellStyle name="Normal 3 5 12 2 2 2" xfId="15967"/>
    <cellStyle name="Normal 3 5 12 2 2 2 2" xfId="15968"/>
    <cellStyle name="Normal 3 5 12 2 2 3" xfId="15969"/>
    <cellStyle name="Normal 3 5 12 2 3" xfId="15970"/>
    <cellStyle name="Normal 3 5 12 2 3 2" xfId="15971"/>
    <cellStyle name="Normal 3 5 12 2 4" xfId="15972"/>
    <cellStyle name="Normal 3 5 12 3" xfId="15973"/>
    <cellStyle name="Normal 3 5 12 3 2" xfId="15974"/>
    <cellStyle name="Normal 3 5 12 3 2 2" xfId="15975"/>
    <cellStyle name="Normal 3 5 12 3 2 2 2" xfId="15976"/>
    <cellStyle name="Normal 3 5 12 3 2 3" xfId="15977"/>
    <cellStyle name="Normal 3 5 12 3 3" xfId="15978"/>
    <cellStyle name="Normal 3 5 12 3 3 2" xfId="15979"/>
    <cellStyle name="Normal 3 5 12 3 4" xfId="15980"/>
    <cellStyle name="Normal 3 5 12 4" xfId="15981"/>
    <cellStyle name="Normal 3 5 12 4 2" xfId="15982"/>
    <cellStyle name="Normal 3 5 12 4 2 2" xfId="15983"/>
    <cellStyle name="Normal 3 5 12 4 3" xfId="15984"/>
    <cellStyle name="Normal 3 5 12 5" xfId="15985"/>
    <cellStyle name="Normal 3 5 12 5 2" xfId="15986"/>
    <cellStyle name="Normal 3 5 12 6" xfId="15987"/>
    <cellStyle name="Normal 3 5 13" xfId="15988"/>
    <cellStyle name="Normal 3 5 13 2" xfId="15989"/>
    <cellStyle name="Normal 3 5 13 2 2" xfId="15990"/>
    <cellStyle name="Normal 3 5 13 2 2 2" xfId="15991"/>
    <cellStyle name="Normal 3 5 13 2 2 2 2" xfId="15992"/>
    <cellStyle name="Normal 3 5 13 2 2 3" xfId="15993"/>
    <cellStyle name="Normal 3 5 13 2 3" xfId="15994"/>
    <cellStyle name="Normal 3 5 13 2 3 2" xfId="15995"/>
    <cellStyle name="Normal 3 5 13 2 4" xfId="15996"/>
    <cellStyle name="Normal 3 5 13 3" xfId="15997"/>
    <cellStyle name="Normal 3 5 13 3 2" xfId="15998"/>
    <cellStyle name="Normal 3 5 13 3 2 2" xfId="15999"/>
    <cellStyle name="Normal 3 5 13 3 2 2 2" xfId="16000"/>
    <cellStyle name="Normal 3 5 13 3 2 3" xfId="16001"/>
    <cellStyle name="Normal 3 5 13 3 3" xfId="16002"/>
    <cellStyle name="Normal 3 5 13 3 3 2" xfId="16003"/>
    <cellStyle name="Normal 3 5 13 3 4" xfId="16004"/>
    <cellStyle name="Normal 3 5 13 4" xfId="16005"/>
    <cellStyle name="Normal 3 5 13 4 2" xfId="16006"/>
    <cellStyle name="Normal 3 5 13 4 2 2" xfId="16007"/>
    <cellStyle name="Normal 3 5 13 4 3" xfId="16008"/>
    <cellStyle name="Normal 3 5 13 5" xfId="16009"/>
    <cellStyle name="Normal 3 5 13 5 2" xfId="16010"/>
    <cellStyle name="Normal 3 5 13 6" xfId="16011"/>
    <cellStyle name="Normal 3 5 14" xfId="16012"/>
    <cellStyle name="Normal 3 5 14 2" xfId="16013"/>
    <cellStyle name="Normal 3 5 14 2 2" xfId="16014"/>
    <cellStyle name="Normal 3 5 14 2 2 2" xfId="16015"/>
    <cellStyle name="Normal 3 5 14 2 3" xfId="16016"/>
    <cellStyle name="Normal 3 5 14 3" xfId="16017"/>
    <cellStyle name="Normal 3 5 14 3 2" xfId="16018"/>
    <cellStyle name="Normal 3 5 14 4" xfId="16019"/>
    <cellStyle name="Normal 3 5 15" xfId="16020"/>
    <cellStyle name="Normal 3 5 15 2" xfId="16021"/>
    <cellStyle name="Normal 3 5 15 2 2" xfId="16022"/>
    <cellStyle name="Normal 3 5 15 2 2 2" xfId="16023"/>
    <cellStyle name="Normal 3 5 15 2 3" xfId="16024"/>
    <cellStyle name="Normal 3 5 15 3" xfId="16025"/>
    <cellStyle name="Normal 3 5 15 3 2" xfId="16026"/>
    <cellStyle name="Normal 3 5 15 4" xfId="16027"/>
    <cellStyle name="Normal 3 5 16" xfId="16028"/>
    <cellStyle name="Normal 3 5 16 2" xfId="16029"/>
    <cellStyle name="Normal 3 5 16 2 2" xfId="16030"/>
    <cellStyle name="Normal 3 5 16 3" xfId="16031"/>
    <cellStyle name="Normal 3 5 17" xfId="16032"/>
    <cellStyle name="Normal 3 5 17 2" xfId="16033"/>
    <cellStyle name="Normal 3 5 18" xfId="16034"/>
    <cellStyle name="Normal 3 5 2" xfId="16035"/>
    <cellStyle name="Normal 3 5 2 2" xfId="16036"/>
    <cellStyle name="Normal 3 5 2 2 2" xfId="16037"/>
    <cellStyle name="Normal 3 5 2 2 2 2" xfId="16038"/>
    <cellStyle name="Normal 3 5 2 2 2 2 2" xfId="16039"/>
    <cellStyle name="Normal 3 5 2 2 2 3" xfId="16040"/>
    <cellStyle name="Normal 3 5 2 2 3" xfId="16041"/>
    <cellStyle name="Normal 3 5 2 2 3 2" xfId="16042"/>
    <cellStyle name="Normal 3 5 2 2 4" xfId="16043"/>
    <cellStyle name="Normal 3 5 2 2 5" xfId="16044"/>
    <cellStyle name="Normal 3 5 2 2 6" xfId="16045"/>
    <cellStyle name="Normal 3 5 2 3" xfId="16046"/>
    <cellStyle name="Normal 3 5 2 3 2" xfId="16047"/>
    <cellStyle name="Normal 3 5 2 3 2 2" xfId="16048"/>
    <cellStyle name="Normal 3 5 2 3 2 2 2" xfId="16049"/>
    <cellStyle name="Normal 3 5 2 3 2 3" xfId="16050"/>
    <cellStyle name="Normal 3 5 2 3 3" xfId="16051"/>
    <cellStyle name="Normal 3 5 2 3 3 2" xfId="16052"/>
    <cellStyle name="Normal 3 5 2 3 4" xfId="16053"/>
    <cellStyle name="Normal 3 5 2 3 5" xfId="16054"/>
    <cellStyle name="Normal 3 5 2 3 6" xfId="16055"/>
    <cellStyle name="Normal 3 5 2 4" xfId="16056"/>
    <cellStyle name="Normal 3 5 2 4 2" xfId="16057"/>
    <cellStyle name="Normal 3 5 2 4 2 2" xfId="16058"/>
    <cellStyle name="Normal 3 5 2 4 3" xfId="16059"/>
    <cellStyle name="Normal 3 5 2 5" xfId="16060"/>
    <cellStyle name="Normal 3 5 2 5 2" xfId="16061"/>
    <cellStyle name="Normal 3 5 2 6" xfId="16062"/>
    <cellStyle name="Normal 3 5 2 7" xfId="16063"/>
    <cellStyle name="Normal 3 5 2 8" xfId="16064"/>
    <cellStyle name="Normal 3 5 3" xfId="16065"/>
    <cellStyle name="Normal 3 5 3 2" xfId="16066"/>
    <cellStyle name="Normal 3 5 3 2 2" xfId="16067"/>
    <cellStyle name="Normal 3 5 3 2 2 2" xfId="16068"/>
    <cellStyle name="Normal 3 5 3 2 2 2 2" xfId="16069"/>
    <cellStyle name="Normal 3 5 3 2 2 3" xfId="16070"/>
    <cellStyle name="Normal 3 5 3 2 3" xfId="16071"/>
    <cellStyle name="Normal 3 5 3 2 3 2" xfId="16072"/>
    <cellStyle name="Normal 3 5 3 2 4" xfId="16073"/>
    <cellStyle name="Normal 3 5 3 2 5" xfId="16074"/>
    <cellStyle name="Normal 3 5 3 2 6" xfId="16075"/>
    <cellStyle name="Normal 3 5 3 3" xfId="16076"/>
    <cellStyle name="Normal 3 5 3 3 2" xfId="16077"/>
    <cellStyle name="Normal 3 5 3 3 2 2" xfId="16078"/>
    <cellStyle name="Normal 3 5 3 3 2 2 2" xfId="16079"/>
    <cellStyle name="Normal 3 5 3 3 2 3" xfId="16080"/>
    <cellStyle name="Normal 3 5 3 3 3" xfId="16081"/>
    <cellStyle name="Normal 3 5 3 3 3 2" xfId="16082"/>
    <cellStyle name="Normal 3 5 3 3 4" xfId="16083"/>
    <cellStyle name="Normal 3 5 3 3 5" xfId="16084"/>
    <cellStyle name="Normal 3 5 3 3 6" xfId="16085"/>
    <cellStyle name="Normal 3 5 3 4" xfId="16086"/>
    <cellStyle name="Normal 3 5 3 4 2" xfId="16087"/>
    <cellStyle name="Normal 3 5 3 4 2 2" xfId="16088"/>
    <cellStyle name="Normal 3 5 3 4 3" xfId="16089"/>
    <cellStyle name="Normal 3 5 3 5" xfId="16090"/>
    <cellStyle name="Normal 3 5 3 5 2" xfId="16091"/>
    <cellStyle name="Normal 3 5 3 6" xfId="16092"/>
    <cellStyle name="Normal 3 5 3 7" xfId="16093"/>
    <cellStyle name="Normal 3 5 3 8" xfId="16094"/>
    <cellStyle name="Normal 3 5 4" xfId="16095"/>
    <cellStyle name="Normal 3 5 4 2" xfId="16096"/>
    <cellStyle name="Normal 3 5 4 2 2" xfId="16097"/>
    <cellStyle name="Normal 3 5 4 2 2 2" xfId="16098"/>
    <cellStyle name="Normal 3 5 4 2 2 2 2" xfId="16099"/>
    <cellStyle name="Normal 3 5 4 2 2 3" xfId="16100"/>
    <cellStyle name="Normal 3 5 4 2 3" xfId="16101"/>
    <cellStyle name="Normal 3 5 4 2 3 2" xfId="16102"/>
    <cellStyle name="Normal 3 5 4 2 4" xfId="16103"/>
    <cellStyle name="Normal 3 5 4 3" xfId="16104"/>
    <cellStyle name="Normal 3 5 4 3 2" xfId="16105"/>
    <cellStyle name="Normal 3 5 4 3 2 2" xfId="16106"/>
    <cellStyle name="Normal 3 5 4 3 2 2 2" xfId="16107"/>
    <cellStyle name="Normal 3 5 4 3 2 3" xfId="16108"/>
    <cellStyle name="Normal 3 5 4 3 3" xfId="16109"/>
    <cellStyle name="Normal 3 5 4 3 3 2" xfId="16110"/>
    <cellStyle name="Normal 3 5 4 3 4" xfId="16111"/>
    <cellStyle name="Normal 3 5 4 4" xfId="16112"/>
    <cellStyle name="Normal 3 5 4 4 2" xfId="16113"/>
    <cellStyle name="Normal 3 5 4 4 2 2" xfId="16114"/>
    <cellStyle name="Normal 3 5 4 4 3" xfId="16115"/>
    <cellStyle name="Normal 3 5 4 5" xfId="16116"/>
    <cellStyle name="Normal 3 5 4 5 2" xfId="16117"/>
    <cellStyle name="Normal 3 5 4 6" xfId="16118"/>
    <cellStyle name="Normal 3 5 5" xfId="16119"/>
    <cellStyle name="Normal 3 5 5 2" xfId="16120"/>
    <cellStyle name="Normal 3 5 5 2 2" xfId="16121"/>
    <cellStyle name="Normal 3 5 5 2 2 2" xfId="16122"/>
    <cellStyle name="Normal 3 5 5 2 2 2 2" xfId="16123"/>
    <cellStyle name="Normal 3 5 5 2 2 3" xfId="16124"/>
    <cellStyle name="Normal 3 5 5 2 3" xfId="16125"/>
    <cellStyle name="Normal 3 5 5 2 3 2" xfId="16126"/>
    <cellStyle name="Normal 3 5 5 2 4" xfId="16127"/>
    <cellStyle name="Normal 3 5 5 3" xfId="16128"/>
    <cellStyle name="Normal 3 5 5 3 2" xfId="16129"/>
    <cellStyle name="Normal 3 5 5 3 2 2" xfId="16130"/>
    <cellStyle name="Normal 3 5 5 3 2 2 2" xfId="16131"/>
    <cellStyle name="Normal 3 5 5 3 2 3" xfId="16132"/>
    <cellStyle name="Normal 3 5 5 3 3" xfId="16133"/>
    <cellStyle name="Normal 3 5 5 3 3 2" xfId="16134"/>
    <cellStyle name="Normal 3 5 5 3 4" xfId="16135"/>
    <cellStyle name="Normal 3 5 5 4" xfId="16136"/>
    <cellStyle name="Normal 3 5 5 4 2" xfId="16137"/>
    <cellStyle name="Normal 3 5 5 4 2 2" xfId="16138"/>
    <cellStyle name="Normal 3 5 5 4 3" xfId="16139"/>
    <cellStyle name="Normal 3 5 5 5" xfId="16140"/>
    <cellStyle name="Normal 3 5 5 5 2" xfId="16141"/>
    <cellStyle name="Normal 3 5 5 6" xfId="16142"/>
    <cellStyle name="Normal 3 5 6" xfId="16143"/>
    <cellStyle name="Normal 3 5 6 2" xfId="16144"/>
    <cellStyle name="Normal 3 5 6 2 2" xfId="16145"/>
    <cellStyle name="Normal 3 5 6 2 2 2" xfId="16146"/>
    <cellStyle name="Normal 3 5 6 2 2 2 2" xfId="16147"/>
    <cellStyle name="Normal 3 5 6 2 2 3" xfId="16148"/>
    <cellStyle name="Normal 3 5 6 2 3" xfId="16149"/>
    <cellStyle name="Normal 3 5 6 2 3 2" xfId="16150"/>
    <cellStyle name="Normal 3 5 6 2 4" xfId="16151"/>
    <cellStyle name="Normal 3 5 6 3" xfId="16152"/>
    <cellStyle name="Normal 3 5 6 3 2" xfId="16153"/>
    <cellStyle name="Normal 3 5 6 3 2 2" xfId="16154"/>
    <cellStyle name="Normal 3 5 6 3 2 2 2" xfId="16155"/>
    <cellStyle name="Normal 3 5 6 3 2 3" xfId="16156"/>
    <cellStyle name="Normal 3 5 6 3 3" xfId="16157"/>
    <cellStyle name="Normal 3 5 6 3 3 2" xfId="16158"/>
    <cellStyle name="Normal 3 5 6 3 4" xfId="16159"/>
    <cellStyle name="Normal 3 5 6 4" xfId="16160"/>
    <cellStyle name="Normal 3 5 6 4 2" xfId="16161"/>
    <cellStyle name="Normal 3 5 6 4 2 2" xfId="16162"/>
    <cellStyle name="Normal 3 5 6 4 3" xfId="16163"/>
    <cellStyle name="Normal 3 5 6 5" xfId="16164"/>
    <cellStyle name="Normal 3 5 6 5 2" xfId="16165"/>
    <cellStyle name="Normal 3 5 6 6" xfId="16166"/>
    <cellStyle name="Normal 3 5 7" xfId="16167"/>
    <cellStyle name="Normal 3 5 7 2" xfId="16168"/>
    <cellStyle name="Normal 3 5 7 2 2" xfId="16169"/>
    <cellStyle name="Normal 3 5 7 2 2 2" xfId="16170"/>
    <cellStyle name="Normal 3 5 7 2 2 2 2" xfId="16171"/>
    <cellStyle name="Normal 3 5 7 2 2 3" xfId="16172"/>
    <cellStyle name="Normal 3 5 7 2 3" xfId="16173"/>
    <cellStyle name="Normal 3 5 7 2 3 2" xfId="16174"/>
    <cellStyle name="Normal 3 5 7 2 4" xfId="16175"/>
    <cellStyle name="Normal 3 5 7 3" xfId="16176"/>
    <cellStyle name="Normal 3 5 7 3 2" xfId="16177"/>
    <cellStyle name="Normal 3 5 7 3 2 2" xfId="16178"/>
    <cellStyle name="Normal 3 5 7 3 2 2 2" xfId="16179"/>
    <cellStyle name="Normal 3 5 7 3 2 3" xfId="16180"/>
    <cellStyle name="Normal 3 5 7 3 3" xfId="16181"/>
    <cellStyle name="Normal 3 5 7 3 3 2" xfId="16182"/>
    <cellStyle name="Normal 3 5 7 3 4" xfId="16183"/>
    <cellStyle name="Normal 3 5 7 4" xfId="16184"/>
    <cellStyle name="Normal 3 5 7 4 2" xfId="16185"/>
    <cellStyle name="Normal 3 5 7 4 2 2" xfId="16186"/>
    <cellStyle name="Normal 3 5 7 4 3" xfId="16187"/>
    <cellStyle name="Normal 3 5 7 5" xfId="16188"/>
    <cellStyle name="Normal 3 5 7 5 2" xfId="16189"/>
    <cellStyle name="Normal 3 5 7 6" xfId="16190"/>
    <cellStyle name="Normal 3 5 8" xfId="16191"/>
    <cellStyle name="Normal 3 5 8 2" xfId="16192"/>
    <cellStyle name="Normal 3 5 8 2 2" xfId="16193"/>
    <cellStyle name="Normal 3 5 8 2 2 2" xfId="16194"/>
    <cellStyle name="Normal 3 5 8 2 2 2 2" xfId="16195"/>
    <cellStyle name="Normal 3 5 8 2 2 3" xfId="16196"/>
    <cellStyle name="Normal 3 5 8 2 3" xfId="16197"/>
    <cellStyle name="Normal 3 5 8 2 3 2" xfId="16198"/>
    <cellStyle name="Normal 3 5 8 2 4" xfId="16199"/>
    <cellStyle name="Normal 3 5 8 3" xfId="16200"/>
    <cellStyle name="Normal 3 5 8 3 2" xfId="16201"/>
    <cellStyle name="Normal 3 5 8 3 2 2" xfId="16202"/>
    <cellStyle name="Normal 3 5 8 3 2 2 2" xfId="16203"/>
    <cellStyle name="Normal 3 5 8 3 2 3" xfId="16204"/>
    <cellStyle name="Normal 3 5 8 3 3" xfId="16205"/>
    <cellStyle name="Normal 3 5 8 3 3 2" xfId="16206"/>
    <cellStyle name="Normal 3 5 8 3 4" xfId="16207"/>
    <cellStyle name="Normal 3 5 8 4" xfId="16208"/>
    <cellStyle name="Normal 3 5 8 4 2" xfId="16209"/>
    <cellStyle name="Normal 3 5 8 4 2 2" xfId="16210"/>
    <cellStyle name="Normal 3 5 8 4 3" xfId="16211"/>
    <cellStyle name="Normal 3 5 8 5" xfId="16212"/>
    <cellStyle name="Normal 3 5 8 5 2" xfId="16213"/>
    <cellStyle name="Normal 3 5 8 6" xfId="16214"/>
    <cellStyle name="Normal 3 5 9" xfId="16215"/>
    <cellStyle name="Normal 3 5 9 2" xfId="16216"/>
    <cellStyle name="Normal 3 5 9 2 2" xfId="16217"/>
    <cellStyle name="Normal 3 5 9 2 2 2" xfId="16218"/>
    <cellStyle name="Normal 3 5 9 2 2 2 2" xfId="16219"/>
    <cellStyle name="Normal 3 5 9 2 2 3" xfId="16220"/>
    <cellStyle name="Normal 3 5 9 2 3" xfId="16221"/>
    <cellStyle name="Normal 3 5 9 2 3 2" xfId="16222"/>
    <cellStyle name="Normal 3 5 9 2 4" xfId="16223"/>
    <cellStyle name="Normal 3 5 9 3" xfId="16224"/>
    <cellStyle name="Normal 3 5 9 3 2" xfId="16225"/>
    <cellStyle name="Normal 3 5 9 3 2 2" xfId="16226"/>
    <cellStyle name="Normal 3 5 9 3 2 2 2" xfId="16227"/>
    <cellStyle name="Normal 3 5 9 3 2 3" xfId="16228"/>
    <cellStyle name="Normal 3 5 9 3 3" xfId="16229"/>
    <cellStyle name="Normal 3 5 9 3 3 2" xfId="16230"/>
    <cellStyle name="Normal 3 5 9 3 4" xfId="16231"/>
    <cellStyle name="Normal 3 5 9 4" xfId="16232"/>
    <cellStyle name="Normal 3 5 9 4 2" xfId="16233"/>
    <cellStyle name="Normal 3 5 9 4 2 2" xfId="16234"/>
    <cellStyle name="Normal 3 5 9 4 3" xfId="16235"/>
    <cellStyle name="Normal 3 5 9 5" xfId="16236"/>
    <cellStyle name="Normal 3 5 9 5 2" xfId="16237"/>
    <cellStyle name="Normal 3 5 9 6" xfId="16238"/>
    <cellStyle name="Normal 3 6" xfId="16239"/>
    <cellStyle name="Normal 3 6 10" xfId="16240"/>
    <cellStyle name="Normal 3 6 10 2" xfId="16241"/>
    <cellStyle name="Normal 3 6 10 2 2" xfId="16242"/>
    <cellStyle name="Normal 3 6 10 2 2 2" xfId="16243"/>
    <cellStyle name="Normal 3 6 10 2 2 2 2" xfId="16244"/>
    <cellStyle name="Normal 3 6 10 2 2 3" xfId="16245"/>
    <cellStyle name="Normal 3 6 10 2 3" xfId="16246"/>
    <cellStyle name="Normal 3 6 10 2 3 2" xfId="16247"/>
    <cellStyle name="Normal 3 6 10 2 4" xfId="16248"/>
    <cellStyle name="Normal 3 6 10 3" xfId="16249"/>
    <cellStyle name="Normal 3 6 10 3 2" xfId="16250"/>
    <cellStyle name="Normal 3 6 10 3 2 2" xfId="16251"/>
    <cellStyle name="Normal 3 6 10 3 2 2 2" xfId="16252"/>
    <cellStyle name="Normal 3 6 10 3 2 3" xfId="16253"/>
    <cellStyle name="Normal 3 6 10 3 3" xfId="16254"/>
    <cellStyle name="Normal 3 6 10 3 3 2" xfId="16255"/>
    <cellStyle name="Normal 3 6 10 3 4" xfId="16256"/>
    <cellStyle name="Normal 3 6 10 4" xfId="16257"/>
    <cellStyle name="Normal 3 6 10 4 2" xfId="16258"/>
    <cellStyle name="Normal 3 6 10 4 2 2" xfId="16259"/>
    <cellStyle name="Normal 3 6 10 4 3" xfId="16260"/>
    <cellStyle name="Normal 3 6 10 5" xfId="16261"/>
    <cellStyle name="Normal 3 6 10 5 2" xfId="16262"/>
    <cellStyle name="Normal 3 6 10 6" xfId="16263"/>
    <cellStyle name="Normal 3 6 11" xfId="16264"/>
    <cellStyle name="Normal 3 6 11 2" xfId="16265"/>
    <cellStyle name="Normal 3 6 11 2 2" xfId="16266"/>
    <cellStyle name="Normal 3 6 11 2 2 2" xfId="16267"/>
    <cellStyle name="Normal 3 6 11 2 2 2 2" xfId="16268"/>
    <cellStyle name="Normal 3 6 11 2 2 3" xfId="16269"/>
    <cellStyle name="Normal 3 6 11 2 3" xfId="16270"/>
    <cellStyle name="Normal 3 6 11 2 3 2" xfId="16271"/>
    <cellStyle name="Normal 3 6 11 2 4" xfId="16272"/>
    <cellStyle name="Normal 3 6 11 3" xfId="16273"/>
    <cellStyle name="Normal 3 6 11 3 2" xfId="16274"/>
    <cellStyle name="Normal 3 6 11 3 2 2" xfId="16275"/>
    <cellStyle name="Normal 3 6 11 3 2 2 2" xfId="16276"/>
    <cellStyle name="Normal 3 6 11 3 2 3" xfId="16277"/>
    <cellStyle name="Normal 3 6 11 3 3" xfId="16278"/>
    <cellStyle name="Normal 3 6 11 3 3 2" xfId="16279"/>
    <cellStyle name="Normal 3 6 11 3 4" xfId="16280"/>
    <cellStyle name="Normal 3 6 11 4" xfId="16281"/>
    <cellStyle name="Normal 3 6 11 4 2" xfId="16282"/>
    <cellStyle name="Normal 3 6 11 4 2 2" xfId="16283"/>
    <cellStyle name="Normal 3 6 11 4 3" xfId="16284"/>
    <cellStyle name="Normal 3 6 11 5" xfId="16285"/>
    <cellStyle name="Normal 3 6 11 5 2" xfId="16286"/>
    <cellStyle name="Normal 3 6 11 6" xfId="16287"/>
    <cellStyle name="Normal 3 6 12" xfId="16288"/>
    <cellStyle name="Normal 3 6 12 2" xfId="16289"/>
    <cellStyle name="Normal 3 6 12 2 2" xfId="16290"/>
    <cellStyle name="Normal 3 6 12 2 2 2" xfId="16291"/>
    <cellStyle name="Normal 3 6 12 2 2 2 2" xfId="16292"/>
    <cellStyle name="Normal 3 6 12 2 2 3" xfId="16293"/>
    <cellStyle name="Normal 3 6 12 2 3" xfId="16294"/>
    <cellStyle name="Normal 3 6 12 2 3 2" xfId="16295"/>
    <cellStyle name="Normal 3 6 12 2 4" xfId="16296"/>
    <cellStyle name="Normal 3 6 12 3" xfId="16297"/>
    <cellStyle name="Normal 3 6 12 3 2" xfId="16298"/>
    <cellStyle name="Normal 3 6 12 3 2 2" xfId="16299"/>
    <cellStyle name="Normal 3 6 12 3 2 2 2" xfId="16300"/>
    <cellStyle name="Normal 3 6 12 3 2 3" xfId="16301"/>
    <cellStyle name="Normal 3 6 12 3 3" xfId="16302"/>
    <cellStyle name="Normal 3 6 12 3 3 2" xfId="16303"/>
    <cellStyle name="Normal 3 6 12 3 4" xfId="16304"/>
    <cellStyle name="Normal 3 6 12 4" xfId="16305"/>
    <cellStyle name="Normal 3 6 12 4 2" xfId="16306"/>
    <cellStyle name="Normal 3 6 12 4 2 2" xfId="16307"/>
    <cellStyle name="Normal 3 6 12 4 3" xfId="16308"/>
    <cellStyle name="Normal 3 6 12 5" xfId="16309"/>
    <cellStyle name="Normal 3 6 12 5 2" xfId="16310"/>
    <cellStyle name="Normal 3 6 12 6" xfId="16311"/>
    <cellStyle name="Normal 3 6 13" xfId="16312"/>
    <cellStyle name="Normal 3 6 13 2" xfId="16313"/>
    <cellStyle name="Normal 3 6 13 2 2" xfId="16314"/>
    <cellStyle name="Normal 3 6 13 2 2 2" xfId="16315"/>
    <cellStyle name="Normal 3 6 13 2 2 2 2" xfId="16316"/>
    <cellStyle name="Normal 3 6 13 2 2 3" xfId="16317"/>
    <cellStyle name="Normal 3 6 13 2 3" xfId="16318"/>
    <cellStyle name="Normal 3 6 13 2 3 2" xfId="16319"/>
    <cellStyle name="Normal 3 6 13 2 4" xfId="16320"/>
    <cellStyle name="Normal 3 6 13 3" xfId="16321"/>
    <cellStyle name="Normal 3 6 13 3 2" xfId="16322"/>
    <cellStyle name="Normal 3 6 13 3 2 2" xfId="16323"/>
    <cellStyle name="Normal 3 6 13 3 2 2 2" xfId="16324"/>
    <cellStyle name="Normal 3 6 13 3 2 3" xfId="16325"/>
    <cellStyle name="Normal 3 6 13 3 3" xfId="16326"/>
    <cellStyle name="Normal 3 6 13 3 3 2" xfId="16327"/>
    <cellStyle name="Normal 3 6 13 3 4" xfId="16328"/>
    <cellStyle name="Normal 3 6 13 4" xfId="16329"/>
    <cellStyle name="Normal 3 6 13 4 2" xfId="16330"/>
    <cellStyle name="Normal 3 6 13 4 2 2" xfId="16331"/>
    <cellStyle name="Normal 3 6 13 4 3" xfId="16332"/>
    <cellStyle name="Normal 3 6 13 5" xfId="16333"/>
    <cellStyle name="Normal 3 6 13 5 2" xfId="16334"/>
    <cellStyle name="Normal 3 6 13 6" xfId="16335"/>
    <cellStyle name="Normal 3 6 14" xfId="16336"/>
    <cellStyle name="Normal 3 6 14 2" xfId="16337"/>
    <cellStyle name="Normal 3 6 14 2 2" xfId="16338"/>
    <cellStyle name="Normal 3 6 14 2 2 2" xfId="16339"/>
    <cellStyle name="Normal 3 6 14 2 3" xfId="16340"/>
    <cellStyle name="Normal 3 6 14 3" xfId="16341"/>
    <cellStyle name="Normal 3 6 14 3 2" xfId="16342"/>
    <cellStyle name="Normal 3 6 14 4" xfId="16343"/>
    <cellStyle name="Normal 3 6 15" xfId="16344"/>
    <cellStyle name="Normal 3 6 15 2" xfId="16345"/>
    <cellStyle name="Normal 3 6 15 2 2" xfId="16346"/>
    <cellStyle name="Normal 3 6 15 2 2 2" xfId="16347"/>
    <cellStyle name="Normal 3 6 15 2 3" xfId="16348"/>
    <cellStyle name="Normal 3 6 15 3" xfId="16349"/>
    <cellStyle name="Normal 3 6 15 3 2" xfId="16350"/>
    <cellStyle name="Normal 3 6 15 4" xfId="16351"/>
    <cellStyle name="Normal 3 6 16" xfId="16352"/>
    <cellStyle name="Normal 3 6 16 2" xfId="16353"/>
    <cellStyle name="Normal 3 6 16 2 2" xfId="16354"/>
    <cellStyle name="Normal 3 6 16 3" xfId="16355"/>
    <cellStyle name="Normal 3 6 17" xfId="16356"/>
    <cellStyle name="Normal 3 6 17 2" xfId="16357"/>
    <cellStyle name="Normal 3 6 18" xfId="16358"/>
    <cellStyle name="Normal 3 6 2" xfId="16359"/>
    <cellStyle name="Normal 3 6 2 2" xfId="16360"/>
    <cellStyle name="Normal 3 6 2 2 2" xfId="16361"/>
    <cellStyle name="Normal 3 6 2 2 2 2" xfId="16362"/>
    <cellStyle name="Normal 3 6 2 2 2 2 2" xfId="16363"/>
    <cellStyle name="Normal 3 6 2 2 2 3" xfId="16364"/>
    <cellStyle name="Normal 3 6 2 2 3" xfId="16365"/>
    <cellStyle name="Normal 3 6 2 2 3 2" xfId="16366"/>
    <cellStyle name="Normal 3 6 2 2 4" xfId="16367"/>
    <cellStyle name="Normal 3 6 2 2 5" xfId="16368"/>
    <cellStyle name="Normal 3 6 2 2 6" xfId="16369"/>
    <cellStyle name="Normal 3 6 2 3" xfId="16370"/>
    <cellStyle name="Normal 3 6 2 3 2" xfId="16371"/>
    <cellStyle name="Normal 3 6 2 3 2 2" xfId="16372"/>
    <cellStyle name="Normal 3 6 2 3 2 2 2" xfId="16373"/>
    <cellStyle name="Normal 3 6 2 3 2 3" xfId="16374"/>
    <cellStyle name="Normal 3 6 2 3 3" xfId="16375"/>
    <cellStyle name="Normal 3 6 2 3 3 2" xfId="16376"/>
    <cellStyle name="Normal 3 6 2 3 4" xfId="16377"/>
    <cellStyle name="Normal 3 6 2 3 5" xfId="16378"/>
    <cellStyle name="Normal 3 6 2 3 6" xfId="16379"/>
    <cellStyle name="Normal 3 6 2 4" xfId="16380"/>
    <cellStyle name="Normal 3 6 2 4 2" xfId="16381"/>
    <cellStyle name="Normal 3 6 2 4 2 2" xfId="16382"/>
    <cellStyle name="Normal 3 6 2 4 3" xfId="16383"/>
    <cellStyle name="Normal 3 6 2 5" xfId="16384"/>
    <cellStyle name="Normal 3 6 2 5 2" xfId="16385"/>
    <cellStyle name="Normal 3 6 2 6" xfId="16386"/>
    <cellStyle name="Normal 3 6 2 7" xfId="16387"/>
    <cellStyle name="Normal 3 6 2 8" xfId="16388"/>
    <cellStyle name="Normal 3 6 3" xfId="16389"/>
    <cellStyle name="Normal 3 6 3 2" xfId="16390"/>
    <cellStyle name="Normal 3 6 3 2 2" xfId="16391"/>
    <cellStyle name="Normal 3 6 3 2 2 2" xfId="16392"/>
    <cellStyle name="Normal 3 6 3 2 2 2 2" xfId="16393"/>
    <cellStyle name="Normal 3 6 3 2 2 3" xfId="16394"/>
    <cellStyle name="Normal 3 6 3 2 3" xfId="16395"/>
    <cellStyle name="Normal 3 6 3 2 3 2" xfId="16396"/>
    <cellStyle name="Normal 3 6 3 2 4" xfId="16397"/>
    <cellStyle name="Normal 3 6 3 2 5" xfId="16398"/>
    <cellStyle name="Normal 3 6 3 2 6" xfId="16399"/>
    <cellStyle name="Normal 3 6 3 3" xfId="16400"/>
    <cellStyle name="Normal 3 6 3 3 2" xfId="16401"/>
    <cellStyle name="Normal 3 6 3 3 2 2" xfId="16402"/>
    <cellStyle name="Normal 3 6 3 3 2 2 2" xfId="16403"/>
    <cellStyle name="Normal 3 6 3 3 2 3" xfId="16404"/>
    <cellStyle name="Normal 3 6 3 3 3" xfId="16405"/>
    <cellStyle name="Normal 3 6 3 3 3 2" xfId="16406"/>
    <cellStyle name="Normal 3 6 3 3 4" xfId="16407"/>
    <cellStyle name="Normal 3 6 3 3 5" xfId="16408"/>
    <cellStyle name="Normal 3 6 3 3 6" xfId="16409"/>
    <cellStyle name="Normal 3 6 3 4" xfId="16410"/>
    <cellStyle name="Normal 3 6 3 4 2" xfId="16411"/>
    <cellStyle name="Normal 3 6 3 4 2 2" xfId="16412"/>
    <cellStyle name="Normal 3 6 3 4 3" xfId="16413"/>
    <cellStyle name="Normal 3 6 3 5" xfId="16414"/>
    <cellStyle name="Normal 3 6 3 5 2" xfId="16415"/>
    <cellStyle name="Normal 3 6 3 6" xfId="16416"/>
    <cellStyle name="Normal 3 6 3 7" xfId="16417"/>
    <cellStyle name="Normal 3 6 3 8" xfId="16418"/>
    <cellStyle name="Normal 3 6 4" xfId="16419"/>
    <cellStyle name="Normal 3 6 4 2" xfId="16420"/>
    <cellStyle name="Normal 3 6 4 2 2" xfId="16421"/>
    <cellStyle name="Normal 3 6 4 2 2 2" xfId="16422"/>
    <cellStyle name="Normal 3 6 4 2 2 2 2" xfId="16423"/>
    <cellStyle name="Normal 3 6 4 2 2 3" xfId="16424"/>
    <cellStyle name="Normal 3 6 4 2 3" xfId="16425"/>
    <cellStyle name="Normal 3 6 4 2 3 2" xfId="16426"/>
    <cellStyle name="Normal 3 6 4 2 4" xfId="16427"/>
    <cellStyle name="Normal 3 6 4 3" xfId="16428"/>
    <cellStyle name="Normal 3 6 4 3 2" xfId="16429"/>
    <cellStyle name="Normal 3 6 4 3 2 2" xfId="16430"/>
    <cellStyle name="Normal 3 6 4 3 2 2 2" xfId="16431"/>
    <cellStyle name="Normal 3 6 4 3 2 3" xfId="16432"/>
    <cellStyle name="Normal 3 6 4 3 3" xfId="16433"/>
    <cellStyle name="Normal 3 6 4 3 3 2" xfId="16434"/>
    <cellStyle name="Normal 3 6 4 3 4" xfId="16435"/>
    <cellStyle name="Normal 3 6 4 4" xfId="16436"/>
    <cellStyle name="Normal 3 6 4 4 2" xfId="16437"/>
    <cellStyle name="Normal 3 6 4 4 2 2" xfId="16438"/>
    <cellStyle name="Normal 3 6 4 4 3" xfId="16439"/>
    <cellStyle name="Normal 3 6 4 5" xfId="16440"/>
    <cellStyle name="Normal 3 6 4 5 2" xfId="16441"/>
    <cellStyle name="Normal 3 6 4 6" xfId="16442"/>
    <cellStyle name="Normal 3 6 5" xfId="16443"/>
    <cellStyle name="Normal 3 6 5 2" xfId="16444"/>
    <cellStyle name="Normal 3 6 5 2 2" xfId="16445"/>
    <cellStyle name="Normal 3 6 5 2 2 2" xfId="16446"/>
    <cellStyle name="Normal 3 6 5 2 2 2 2" xfId="16447"/>
    <cellStyle name="Normal 3 6 5 2 2 3" xfId="16448"/>
    <cellStyle name="Normal 3 6 5 2 3" xfId="16449"/>
    <cellStyle name="Normal 3 6 5 2 3 2" xfId="16450"/>
    <cellStyle name="Normal 3 6 5 2 4" xfId="16451"/>
    <cellStyle name="Normal 3 6 5 3" xfId="16452"/>
    <cellStyle name="Normal 3 6 5 3 2" xfId="16453"/>
    <cellStyle name="Normal 3 6 5 3 2 2" xfId="16454"/>
    <cellStyle name="Normal 3 6 5 3 2 2 2" xfId="16455"/>
    <cellStyle name="Normal 3 6 5 3 2 3" xfId="16456"/>
    <cellStyle name="Normal 3 6 5 3 3" xfId="16457"/>
    <cellStyle name="Normal 3 6 5 3 3 2" xfId="16458"/>
    <cellStyle name="Normal 3 6 5 3 4" xfId="16459"/>
    <cellStyle name="Normal 3 6 5 4" xfId="16460"/>
    <cellStyle name="Normal 3 6 5 4 2" xfId="16461"/>
    <cellStyle name="Normal 3 6 5 4 2 2" xfId="16462"/>
    <cellStyle name="Normal 3 6 5 4 3" xfId="16463"/>
    <cellStyle name="Normal 3 6 5 5" xfId="16464"/>
    <cellStyle name="Normal 3 6 5 5 2" xfId="16465"/>
    <cellStyle name="Normal 3 6 5 6" xfId="16466"/>
    <cellStyle name="Normal 3 6 6" xfId="16467"/>
    <cellStyle name="Normal 3 6 6 2" xfId="16468"/>
    <cellStyle name="Normal 3 6 6 2 2" xfId="16469"/>
    <cellStyle name="Normal 3 6 6 2 2 2" xfId="16470"/>
    <cellStyle name="Normal 3 6 6 2 2 2 2" xfId="16471"/>
    <cellStyle name="Normal 3 6 6 2 2 3" xfId="16472"/>
    <cellStyle name="Normal 3 6 6 2 3" xfId="16473"/>
    <cellStyle name="Normal 3 6 6 2 3 2" xfId="16474"/>
    <cellStyle name="Normal 3 6 6 2 4" xfId="16475"/>
    <cellStyle name="Normal 3 6 6 3" xfId="16476"/>
    <cellStyle name="Normal 3 6 6 3 2" xfId="16477"/>
    <cellStyle name="Normal 3 6 6 3 2 2" xfId="16478"/>
    <cellStyle name="Normal 3 6 6 3 2 2 2" xfId="16479"/>
    <cellStyle name="Normal 3 6 6 3 2 3" xfId="16480"/>
    <cellStyle name="Normal 3 6 6 3 3" xfId="16481"/>
    <cellStyle name="Normal 3 6 6 3 3 2" xfId="16482"/>
    <cellStyle name="Normal 3 6 6 3 4" xfId="16483"/>
    <cellStyle name="Normal 3 6 6 4" xfId="16484"/>
    <cellStyle name="Normal 3 6 6 4 2" xfId="16485"/>
    <cellStyle name="Normal 3 6 6 4 2 2" xfId="16486"/>
    <cellStyle name="Normal 3 6 6 4 3" xfId="16487"/>
    <cellStyle name="Normal 3 6 6 5" xfId="16488"/>
    <cellStyle name="Normal 3 6 6 5 2" xfId="16489"/>
    <cellStyle name="Normal 3 6 6 6" xfId="16490"/>
    <cellStyle name="Normal 3 6 7" xfId="16491"/>
    <cellStyle name="Normal 3 6 7 2" xfId="16492"/>
    <cellStyle name="Normal 3 6 7 2 2" xfId="16493"/>
    <cellStyle name="Normal 3 6 7 2 2 2" xfId="16494"/>
    <cellStyle name="Normal 3 6 7 2 2 2 2" xfId="16495"/>
    <cellStyle name="Normal 3 6 7 2 2 3" xfId="16496"/>
    <cellStyle name="Normal 3 6 7 2 3" xfId="16497"/>
    <cellStyle name="Normal 3 6 7 2 3 2" xfId="16498"/>
    <cellStyle name="Normal 3 6 7 2 4" xfId="16499"/>
    <cellStyle name="Normal 3 6 7 3" xfId="16500"/>
    <cellStyle name="Normal 3 6 7 3 2" xfId="16501"/>
    <cellStyle name="Normal 3 6 7 3 2 2" xfId="16502"/>
    <cellStyle name="Normal 3 6 7 3 2 2 2" xfId="16503"/>
    <cellStyle name="Normal 3 6 7 3 2 3" xfId="16504"/>
    <cellStyle name="Normal 3 6 7 3 3" xfId="16505"/>
    <cellStyle name="Normal 3 6 7 3 3 2" xfId="16506"/>
    <cellStyle name="Normal 3 6 7 3 4" xfId="16507"/>
    <cellStyle name="Normal 3 6 7 4" xfId="16508"/>
    <cellStyle name="Normal 3 6 7 4 2" xfId="16509"/>
    <cellStyle name="Normal 3 6 7 4 2 2" xfId="16510"/>
    <cellStyle name="Normal 3 6 7 4 3" xfId="16511"/>
    <cellStyle name="Normal 3 6 7 5" xfId="16512"/>
    <cellStyle name="Normal 3 6 7 5 2" xfId="16513"/>
    <cellStyle name="Normal 3 6 7 6" xfId="16514"/>
    <cellStyle name="Normal 3 6 8" xfId="16515"/>
    <cellStyle name="Normal 3 6 8 2" xfId="16516"/>
    <cellStyle name="Normal 3 6 8 2 2" xfId="16517"/>
    <cellStyle name="Normal 3 6 8 2 2 2" xfId="16518"/>
    <cellStyle name="Normal 3 6 8 2 2 2 2" xfId="16519"/>
    <cellStyle name="Normal 3 6 8 2 2 3" xfId="16520"/>
    <cellStyle name="Normal 3 6 8 2 3" xfId="16521"/>
    <cellStyle name="Normal 3 6 8 2 3 2" xfId="16522"/>
    <cellStyle name="Normal 3 6 8 2 4" xfId="16523"/>
    <cellStyle name="Normal 3 6 8 3" xfId="16524"/>
    <cellStyle name="Normal 3 6 8 3 2" xfId="16525"/>
    <cellStyle name="Normal 3 6 8 3 2 2" xfId="16526"/>
    <cellStyle name="Normal 3 6 8 3 2 2 2" xfId="16527"/>
    <cellStyle name="Normal 3 6 8 3 2 3" xfId="16528"/>
    <cellStyle name="Normal 3 6 8 3 3" xfId="16529"/>
    <cellStyle name="Normal 3 6 8 3 3 2" xfId="16530"/>
    <cellStyle name="Normal 3 6 8 3 4" xfId="16531"/>
    <cellStyle name="Normal 3 6 8 4" xfId="16532"/>
    <cellStyle name="Normal 3 6 8 4 2" xfId="16533"/>
    <cellStyle name="Normal 3 6 8 4 2 2" xfId="16534"/>
    <cellStyle name="Normal 3 6 8 4 3" xfId="16535"/>
    <cellStyle name="Normal 3 6 8 5" xfId="16536"/>
    <cellStyle name="Normal 3 6 8 5 2" xfId="16537"/>
    <cellStyle name="Normal 3 6 8 6" xfId="16538"/>
    <cellStyle name="Normal 3 6 9" xfId="16539"/>
    <cellStyle name="Normal 3 6 9 2" xfId="16540"/>
    <cellStyle name="Normal 3 6 9 2 2" xfId="16541"/>
    <cellStyle name="Normal 3 6 9 2 2 2" xfId="16542"/>
    <cellStyle name="Normal 3 6 9 2 2 2 2" xfId="16543"/>
    <cellStyle name="Normal 3 6 9 2 2 3" xfId="16544"/>
    <cellStyle name="Normal 3 6 9 2 3" xfId="16545"/>
    <cellStyle name="Normal 3 6 9 2 3 2" xfId="16546"/>
    <cellStyle name="Normal 3 6 9 2 4" xfId="16547"/>
    <cellStyle name="Normal 3 6 9 3" xfId="16548"/>
    <cellStyle name="Normal 3 6 9 3 2" xfId="16549"/>
    <cellStyle name="Normal 3 6 9 3 2 2" xfId="16550"/>
    <cellStyle name="Normal 3 6 9 3 2 2 2" xfId="16551"/>
    <cellStyle name="Normal 3 6 9 3 2 3" xfId="16552"/>
    <cellStyle name="Normal 3 6 9 3 3" xfId="16553"/>
    <cellStyle name="Normal 3 6 9 3 3 2" xfId="16554"/>
    <cellStyle name="Normal 3 6 9 3 4" xfId="16555"/>
    <cellStyle name="Normal 3 6 9 4" xfId="16556"/>
    <cellStyle name="Normal 3 6 9 4 2" xfId="16557"/>
    <cellStyle name="Normal 3 6 9 4 2 2" xfId="16558"/>
    <cellStyle name="Normal 3 6 9 4 3" xfId="16559"/>
    <cellStyle name="Normal 3 6 9 5" xfId="16560"/>
    <cellStyle name="Normal 3 6 9 5 2" xfId="16561"/>
    <cellStyle name="Normal 3 6 9 6" xfId="16562"/>
    <cellStyle name="Normal 3 7" xfId="16563"/>
    <cellStyle name="Normal 3 7 10" xfId="16564"/>
    <cellStyle name="Normal 3 7 10 2" xfId="16565"/>
    <cellStyle name="Normal 3 7 10 2 2" xfId="16566"/>
    <cellStyle name="Normal 3 7 10 2 2 2" xfId="16567"/>
    <cellStyle name="Normal 3 7 10 2 2 2 2" xfId="16568"/>
    <cellStyle name="Normal 3 7 10 2 2 3" xfId="16569"/>
    <cellStyle name="Normal 3 7 10 2 3" xfId="16570"/>
    <cellStyle name="Normal 3 7 10 2 3 2" xfId="16571"/>
    <cellStyle name="Normal 3 7 10 2 4" xfId="16572"/>
    <cellStyle name="Normal 3 7 10 3" xfId="16573"/>
    <cellStyle name="Normal 3 7 10 3 2" xfId="16574"/>
    <cellStyle name="Normal 3 7 10 3 2 2" xfId="16575"/>
    <cellStyle name="Normal 3 7 10 3 2 2 2" xfId="16576"/>
    <cellStyle name="Normal 3 7 10 3 2 3" xfId="16577"/>
    <cellStyle name="Normal 3 7 10 3 3" xfId="16578"/>
    <cellStyle name="Normal 3 7 10 3 3 2" xfId="16579"/>
    <cellStyle name="Normal 3 7 10 3 4" xfId="16580"/>
    <cellStyle name="Normal 3 7 10 4" xfId="16581"/>
    <cellStyle name="Normal 3 7 10 4 2" xfId="16582"/>
    <cellStyle name="Normal 3 7 10 4 2 2" xfId="16583"/>
    <cellStyle name="Normal 3 7 10 4 3" xfId="16584"/>
    <cellStyle name="Normal 3 7 10 5" xfId="16585"/>
    <cellStyle name="Normal 3 7 10 5 2" xfId="16586"/>
    <cellStyle name="Normal 3 7 10 6" xfId="16587"/>
    <cellStyle name="Normal 3 7 11" xfId="16588"/>
    <cellStyle name="Normal 3 7 11 2" xfId="16589"/>
    <cellStyle name="Normal 3 7 11 2 2" xfId="16590"/>
    <cellStyle name="Normal 3 7 11 2 2 2" xfId="16591"/>
    <cellStyle name="Normal 3 7 11 2 2 2 2" xfId="16592"/>
    <cellStyle name="Normal 3 7 11 2 2 3" xfId="16593"/>
    <cellStyle name="Normal 3 7 11 2 3" xfId="16594"/>
    <cellStyle name="Normal 3 7 11 2 3 2" xfId="16595"/>
    <cellStyle name="Normal 3 7 11 2 4" xfId="16596"/>
    <cellStyle name="Normal 3 7 11 3" xfId="16597"/>
    <cellStyle name="Normal 3 7 11 3 2" xfId="16598"/>
    <cellStyle name="Normal 3 7 11 3 2 2" xfId="16599"/>
    <cellStyle name="Normal 3 7 11 3 2 2 2" xfId="16600"/>
    <cellStyle name="Normal 3 7 11 3 2 3" xfId="16601"/>
    <cellStyle name="Normal 3 7 11 3 3" xfId="16602"/>
    <cellStyle name="Normal 3 7 11 3 3 2" xfId="16603"/>
    <cellStyle name="Normal 3 7 11 3 4" xfId="16604"/>
    <cellStyle name="Normal 3 7 11 4" xfId="16605"/>
    <cellStyle name="Normal 3 7 11 4 2" xfId="16606"/>
    <cellStyle name="Normal 3 7 11 4 2 2" xfId="16607"/>
    <cellStyle name="Normal 3 7 11 4 3" xfId="16608"/>
    <cellStyle name="Normal 3 7 11 5" xfId="16609"/>
    <cellStyle name="Normal 3 7 11 5 2" xfId="16610"/>
    <cellStyle name="Normal 3 7 11 6" xfId="16611"/>
    <cellStyle name="Normal 3 7 12" xfId="16612"/>
    <cellStyle name="Normal 3 7 12 2" xfId="16613"/>
    <cellStyle name="Normal 3 7 12 2 2" xfId="16614"/>
    <cellStyle name="Normal 3 7 12 2 2 2" xfId="16615"/>
    <cellStyle name="Normal 3 7 12 2 2 2 2" xfId="16616"/>
    <cellStyle name="Normal 3 7 12 2 2 3" xfId="16617"/>
    <cellStyle name="Normal 3 7 12 2 3" xfId="16618"/>
    <cellStyle name="Normal 3 7 12 2 3 2" xfId="16619"/>
    <cellStyle name="Normal 3 7 12 2 4" xfId="16620"/>
    <cellStyle name="Normal 3 7 12 3" xfId="16621"/>
    <cellStyle name="Normal 3 7 12 3 2" xfId="16622"/>
    <cellStyle name="Normal 3 7 12 3 2 2" xfId="16623"/>
    <cellStyle name="Normal 3 7 12 3 2 2 2" xfId="16624"/>
    <cellStyle name="Normal 3 7 12 3 2 3" xfId="16625"/>
    <cellStyle name="Normal 3 7 12 3 3" xfId="16626"/>
    <cellStyle name="Normal 3 7 12 3 3 2" xfId="16627"/>
    <cellStyle name="Normal 3 7 12 3 4" xfId="16628"/>
    <cellStyle name="Normal 3 7 12 4" xfId="16629"/>
    <cellStyle name="Normal 3 7 12 4 2" xfId="16630"/>
    <cellStyle name="Normal 3 7 12 4 2 2" xfId="16631"/>
    <cellStyle name="Normal 3 7 12 4 3" xfId="16632"/>
    <cellStyle name="Normal 3 7 12 5" xfId="16633"/>
    <cellStyle name="Normal 3 7 12 5 2" xfId="16634"/>
    <cellStyle name="Normal 3 7 12 6" xfId="16635"/>
    <cellStyle name="Normal 3 7 13" xfId="16636"/>
    <cellStyle name="Normal 3 7 13 2" xfId="16637"/>
    <cellStyle name="Normal 3 7 13 2 2" xfId="16638"/>
    <cellStyle name="Normal 3 7 13 2 2 2" xfId="16639"/>
    <cellStyle name="Normal 3 7 13 2 2 2 2" xfId="16640"/>
    <cellStyle name="Normal 3 7 13 2 2 3" xfId="16641"/>
    <cellStyle name="Normal 3 7 13 2 3" xfId="16642"/>
    <cellStyle name="Normal 3 7 13 2 3 2" xfId="16643"/>
    <cellStyle name="Normal 3 7 13 2 4" xfId="16644"/>
    <cellStyle name="Normal 3 7 13 3" xfId="16645"/>
    <cellStyle name="Normal 3 7 13 3 2" xfId="16646"/>
    <cellStyle name="Normal 3 7 13 3 2 2" xfId="16647"/>
    <cellStyle name="Normal 3 7 13 3 2 2 2" xfId="16648"/>
    <cellStyle name="Normal 3 7 13 3 2 3" xfId="16649"/>
    <cellStyle name="Normal 3 7 13 3 3" xfId="16650"/>
    <cellStyle name="Normal 3 7 13 3 3 2" xfId="16651"/>
    <cellStyle name="Normal 3 7 13 3 4" xfId="16652"/>
    <cellStyle name="Normal 3 7 13 4" xfId="16653"/>
    <cellStyle name="Normal 3 7 13 4 2" xfId="16654"/>
    <cellStyle name="Normal 3 7 13 4 2 2" xfId="16655"/>
    <cellStyle name="Normal 3 7 13 4 3" xfId="16656"/>
    <cellStyle name="Normal 3 7 13 5" xfId="16657"/>
    <cellStyle name="Normal 3 7 13 5 2" xfId="16658"/>
    <cellStyle name="Normal 3 7 13 6" xfId="16659"/>
    <cellStyle name="Normal 3 7 14" xfId="16660"/>
    <cellStyle name="Normal 3 7 14 2" xfId="16661"/>
    <cellStyle name="Normal 3 7 14 2 2" xfId="16662"/>
    <cellStyle name="Normal 3 7 14 2 2 2" xfId="16663"/>
    <cellStyle name="Normal 3 7 14 2 3" xfId="16664"/>
    <cellStyle name="Normal 3 7 14 3" xfId="16665"/>
    <cellStyle name="Normal 3 7 14 3 2" xfId="16666"/>
    <cellStyle name="Normal 3 7 14 4" xfId="16667"/>
    <cellStyle name="Normal 3 7 15" xfId="16668"/>
    <cellStyle name="Normal 3 7 15 2" xfId="16669"/>
    <cellStyle name="Normal 3 7 15 2 2" xfId="16670"/>
    <cellStyle name="Normal 3 7 15 2 2 2" xfId="16671"/>
    <cellStyle name="Normal 3 7 15 2 3" xfId="16672"/>
    <cellStyle name="Normal 3 7 15 3" xfId="16673"/>
    <cellStyle name="Normal 3 7 15 3 2" xfId="16674"/>
    <cellStyle name="Normal 3 7 15 4" xfId="16675"/>
    <cellStyle name="Normal 3 7 16" xfId="16676"/>
    <cellStyle name="Normal 3 7 16 2" xfId="16677"/>
    <cellStyle name="Normal 3 7 16 2 2" xfId="16678"/>
    <cellStyle name="Normal 3 7 16 3" xfId="16679"/>
    <cellStyle name="Normal 3 7 17" xfId="16680"/>
    <cellStyle name="Normal 3 7 17 2" xfId="16681"/>
    <cellStyle name="Normal 3 7 18" xfId="16682"/>
    <cellStyle name="Normal 3 7 2" xfId="16683"/>
    <cellStyle name="Normal 3 7 2 2" xfId="16684"/>
    <cellStyle name="Normal 3 7 2 2 2" xfId="16685"/>
    <cellStyle name="Normal 3 7 2 2 2 2" xfId="16686"/>
    <cellStyle name="Normal 3 7 2 2 2 2 2" xfId="16687"/>
    <cellStyle name="Normal 3 7 2 2 2 3" xfId="16688"/>
    <cellStyle name="Normal 3 7 2 2 3" xfId="16689"/>
    <cellStyle name="Normal 3 7 2 2 3 2" xfId="16690"/>
    <cellStyle name="Normal 3 7 2 2 4" xfId="16691"/>
    <cellStyle name="Normal 3 7 2 3" xfId="16692"/>
    <cellStyle name="Normal 3 7 2 3 2" xfId="16693"/>
    <cellStyle name="Normal 3 7 2 3 2 2" xfId="16694"/>
    <cellStyle name="Normal 3 7 2 3 2 2 2" xfId="16695"/>
    <cellStyle name="Normal 3 7 2 3 2 3" xfId="16696"/>
    <cellStyle name="Normal 3 7 2 3 3" xfId="16697"/>
    <cellStyle name="Normal 3 7 2 3 3 2" xfId="16698"/>
    <cellStyle name="Normal 3 7 2 3 4" xfId="16699"/>
    <cellStyle name="Normal 3 7 2 4" xfId="16700"/>
    <cellStyle name="Normal 3 7 2 4 2" xfId="16701"/>
    <cellStyle name="Normal 3 7 2 4 2 2" xfId="16702"/>
    <cellStyle name="Normal 3 7 2 4 3" xfId="16703"/>
    <cellStyle name="Normal 3 7 2 5" xfId="16704"/>
    <cellStyle name="Normal 3 7 2 5 2" xfId="16705"/>
    <cellStyle name="Normal 3 7 2 6" xfId="16706"/>
    <cellStyle name="Normal 3 7 3" xfId="16707"/>
    <cellStyle name="Normal 3 7 3 2" xfId="16708"/>
    <cellStyle name="Normal 3 7 3 2 2" xfId="16709"/>
    <cellStyle name="Normal 3 7 3 2 2 2" xfId="16710"/>
    <cellStyle name="Normal 3 7 3 2 2 2 2" xfId="16711"/>
    <cellStyle name="Normal 3 7 3 2 2 3" xfId="16712"/>
    <cellStyle name="Normal 3 7 3 2 3" xfId="16713"/>
    <cellStyle name="Normal 3 7 3 2 3 2" xfId="16714"/>
    <cellStyle name="Normal 3 7 3 2 4" xfId="16715"/>
    <cellStyle name="Normal 3 7 3 3" xfId="16716"/>
    <cellStyle name="Normal 3 7 3 3 2" xfId="16717"/>
    <cellStyle name="Normal 3 7 3 3 2 2" xfId="16718"/>
    <cellStyle name="Normal 3 7 3 3 2 2 2" xfId="16719"/>
    <cellStyle name="Normal 3 7 3 3 2 3" xfId="16720"/>
    <cellStyle name="Normal 3 7 3 3 3" xfId="16721"/>
    <cellStyle name="Normal 3 7 3 3 3 2" xfId="16722"/>
    <cellStyle name="Normal 3 7 3 3 4" xfId="16723"/>
    <cellStyle name="Normal 3 7 3 4" xfId="16724"/>
    <cellStyle name="Normal 3 7 3 4 2" xfId="16725"/>
    <cellStyle name="Normal 3 7 3 4 2 2" xfId="16726"/>
    <cellStyle name="Normal 3 7 3 4 3" xfId="16727"/>
    <cellStyle name="Normal 3 7 3 5" xfId="16728"/>
    <cellStyle name="Normal 3 7 3 5 2" xfId="16729"/>
    <cellStyle name="Normal 3 7 3 6" xfId="16730"/>
    <cellStyle name="Normal 3 7 4" xfId="16731"/>
    <cellStyle name="Normal 3 7 4 2" xfId="16732"/>
    <cellStyle name="Normal 3 7 4 2 2" xfId="16733"/>
    <cellStyle name="Normal 3 7 4 2 2 2" xfId="16734"/>
    <cellStyle name="Normal 3 7 4 2 2 2 2" xfId="16735"/>
    <cellStyle name="Normal 3 7 4 2 2 3" xfId="16736"/>
    <cellStyle name="Normal 3 7 4 2 3" xfId="16737"/>
    <cellStyle name="Normal 3 7 4 2 3 2" xfId="16738"/>
    <cellStyle name="Normal 3 7 4 2 4" xfId="16739"/>
    <cellStyle name="Normal 3 7 4 3" xfId="16740"/>
    <cellStyle name="Normal 3 7 4 3 2" xfId="16741"/>
    <cellStyle name="Normal 3 7 4 3 2 2" xfId="16742"/>
    <cellStyle name="Normal 3 7 4 3 2 2 2" xfId="16743"/>
    <cellStyle name="Normal 3 7 4 3 2 3" xfId="16744"/>
    <cellStyle name="Normal 3 7 4 3 3" xfId="16745"/>
    <cellStyle name="Normal 3 7 4 3 3 2" xfId="16746"/>
    <cellStyle name="Normal 3 7 4 3 4" xfId="16747"/>
    <cellStyle name="Normal 3 7 4 4" xfId="16748"/>
    <cellStyle name="Normal 3 7 4 4 2" xfId="16749"/>
    <cellStyle name="Normal 3 7 4 4 2 2" xfId="16750"/>
    <cellStyle name="Normal 3 7 4 4 3" xfId="16751"/>
    <cellStyle name="Normal 3 7 4 5" xfId="16752"/>
    <cellStyle name="Normal 3 7 4 5 2" xfId="16753"/>
    <cellStyle name="Normal 3 7 4 6" xfId="16754"/>
    <cellStyle name="Normal 3 7 5" xfId="16755"/>
    <cellStyle name="Normal 3 7 5 2" xfId="16756"/>
    <cellStyle name="Normal 3 7 5 2 2" xfId="16757"/>
    <cellStyle name="Normal 3 7 5 2 2 2" xfId="16758"/>
    <cellStyle name="Normal 3 7 5 2 2 2 2" xfId="16759"/>
    <cellStyle name="Normal 3 7 5 2 2 3" xfId="16760"/>
    <cellStyle name="Normal 3 7 5 2 3" xfId="16761"/>
    <cellStyle name="Normal 3 7 5 2 3 2" xfId="16762"/>
    <cellStyle name="Normal 3 7 5 2 4" xfId="16763"/>
    <cellStyle name="Normal 3 7 5 3" xfId="16764"/>
    <cellStyle name="Normal 3 7 5 3 2" xfId="16765"/>
    <cellStyle name="Normal 3 7 5 3 2 2" xfId="16766"/>
    <cellStyle name="Normal 3 7 5 3 2 2 2" xfId="16767"/>
    <cellStyle name="Normal 3 7 5 3 2 3" xfId="16768"/>
    <cellStyle name="Normal 3 7 5 3 3" xfId="16769"/>
    <cellStyle name="Normal 3 7 5 3 3 2" xfId="16770"/>
    <cellStyle name="Normal 3 7 5 3 4" xfId="16771"/>
    <cellStyle name="Normal 3 7 5 4" xfId="16772"/>
    <cellStyle name="Normal 3 7 5 4 2" xfId="16773"/>
    <cellStyle name="Normal 3 7 5 4 2 2" xfId="16774"/>
    <cellStyle name="Normal 3 7 5 4 3" xfId="16775"/>
    <cellStyle name="Normal 3 7 5 5" xfId="16776"/>
    <cellStyle name="Normal 3 7 5 5 2" xfId="16777"/>
    <cellStyle name="Normal 3 7 5 6" xfId="16778"/>
    <cellStyle name="Normal 3 7 6" xfId="16779"/>
    <cellStyle name="Normal 3 7 6 2" xfId="16780"/>
    <cellStyle name="Normal 3 7 6 2 2" xfId="16781"/>
    <cellStyle name="Normal 3 7 6 2 2 2" xfId="16782"/>
    <cellStyle name="Normal 3 7 6 2 2 2 2" xfId="16783"/>
    <cellStyle name="Normal 3 7 6 2 2 3" xfId="16784"/>
    <cellStyle name="Normal 3 7 6 2 3" xfId="16785"/>
    <cellStyle name="Normal 3 7 6 2 3 2" xfId="16786"/>
    <cellStyle name="Normal 3 7 6 2 4" xfId="16787"/>
    <cellStyle name="Normal 3 7 6 3" xfId="16788"/>
    <cellStyle name="Normal 3 7 6 3 2" xfId="16789"/>
    <cellStyle name="Normal 3 7 6 3 2 2" xfId="16790"/>
    <cellStyle name="Normal 3 7 6 3 2 2 2" xfId="16791"/>
    <cellStyle name="Normal 3 7 6 3 2 3" xfId="16792"/>
    <cellStyle name="Normal 3 7 6 3 3" xfId="16793"/>
    <cellStyle name="Normal 3 7 6 3 3 2" xfId="16794"/>
    <cellStyle name="Normal 3 7 6 3 4" xfId="16795"/>
    <cellStyle name="Normal 3 7 6 4" xfId="16796"/>
    <cellStyle name="Normal 3 7 6 4 2" xfId="16797"/>
    <cellStyle name="Normal 3 7 6 4 2 2" xfId="16798"/>
    <cellStyle name="Normal 3 7 6 4 3" xfId="16799"/>
    <cellStyle name="Normal 3 7 6 5" xfId="16800"/>
    <cellStyle name="Normal 3 7 6 5 2" xfId="16801"/>
    <cellStyle name="Normal 3 7 6 6" xfId="16802"/>
    <cellStyle name="Normal 3 7 7" xfId="16803"/>
    <cellStyle name="Normal 3 7 7 2" xfId="16804"/>
    <cellStyle name="Normal 3 7 7 2 2" xfId="16805"/>
    <cellStyle name="Normal 3 7 7 2 2 2" xfId="16806"/>
    <cellStyle name="Normal 3 7 7 2 2 2 2" xfId="16807"/>
    <cellStyle name="Normal 3 7 7 2 2 3" xfId="16808"/>
    <cellStyle name="Normal 3 7 7 2 3" xfId="16809"/>
    <cellStyle name="Normal 3 7 7 2 3 2" xfId="16810"/>
    <cellStyle name="Normal 3 7 7 2 4" xfId="16811"/>
    <cellStyle name="Normal 3 7 7 3" xfId="16812"/>
    <cellStyle name="Normal 3 7 7 3 2" xfId="16813"/>
    <cellStyle name="Normal 3 7 7 3 2 2" xfId="16814"/>
    <cellStyle name="Normal 3 7 7 3 2 2 2" xfId="16815"/>
    <cellStyle name="Normal 3 7 7 3 2 3" xfId="16816"/>
    <cellStyle name="Normal 3 7 7 3 3" xfId="16817"/>
    <cellStyle name="Normal 3 7 7 3 3 2" xfId="16818"/>
    <cellStyle name="Normal 3 7 7 3 4" xfId="16819"/>
    <cellStyle name="Normal 3 7 7 4" xfId="16820"/>
    <cellStyle name="Normal 3 7 7 4 2" xfId="16821"/>
    <cellStyle name="Normal 3 7 7 4 2 2" xfId="16822"/>
    <cellStyle name="Normal 3 7 7 4 3" xfId="16823"/>
    <cellStyle name="Normal 3 7 7 5" xfId="16824"/>
    <cellStyle name="Normal 3 7 7 5 2" xfId="16825"/>
    <cellStyle name="Normal 3 7 7 6" xfId="16826"/>
    <cellStyle name="Normal 3 7 8" xfId="16827"/>
    <cellStyle name="Normal 3 7 8 2" xfId="16828"/>
    <cellStyle name="Normal 3 7 8 2 2" xfId="16829"/>
    <cellStyle name="Normal 3 7 8 2 2 2" xfId="16830"/>
    <cellStyle name="Normal 3 7 8 2 2 2 2" xfId="16831"/>
    <cellStyle name="Normal 3 7 8 2 2 3" xfId="16832"/>
    <cellStyle name="Normal 3 7 8 2 3" xfId="16833"/>
    <cellStyle name="Normal 3 7 8 2 3 2" xfId="16834"/>
    <cellStyle name="Normal 3 7 8 2 4" xfId="16835"/>
    <cellStyle name="Normal 3 7 8 3" xfId="16836"/>
    <cellStyle name="Normal 3 7 8 3 2" xfId="16837"/>
    <cellStyle name="Normal 3 7 8 3 2 2" xfId="16838"/>
    <cellStyle name="Normal 3 7 8 3 2 2 2" xfId="16839"/>
    <cellStyle name="Normal 3 7 8 3 2 3" xfId="16840"/>
    <cellStyle name="Normal 3 7 8 3 3" xfId="16841"/>
    <cellStyle name="Normal 3 7 8 3 3 2" xfId="16842"/>
    <cellStyle name="Normal 3 7 8 3 4" xfId="16843"/>
    <cellStyle name="Normal 3 7 8 4" xfId="16844"/>
    <cellStyle name="Normal 3 7 8 4 2" xfId="16845"/>
    <cellStyle name="Normal 3 7 8 4 2 2" xfId="16846"/>
    <cellStyle name="Normal 3 7 8 4 3" xfId="16847"/>
    <cellStyle name="Normal 3 7 8 5" xfId="16848"/>
    <cellStyle name="Normal 3 7 8 5 2" xfId="16849"/>
    <cellStyle name="Normal 3 7 8 6" xfId="16850"/>
    <cellStyle name="Normal 3 7 9" xfId="16851"/>
    <cellStyle name="Normal 3 7 9 2" xfId="16852"/>
    <cellStyle name="Normal 3 7 9 2 2" xfId="16853"/>
    <cellStyle name="Normal 3 7 9 2 2 2" xfId="16854"/>
    <cellStyle name="Normal 3 7 9 2 2 2 2" xfId="16855"/>
    <cellStyle name="Normal 3 7 9 2 2 3" xfId="16856"/>
    <cellStyle name="Normal 3 7 9 2 3" xfId="16857"/>
    <cellStyle name="Normal 3 7 9 2 3 2" xfId="16858"/>
    <cellStyle name="Normal 3 7 9 2 4" xfId="16859"/>
    <cellStyle name="Normal 3 7 9 3" xfId="16860"/>
    <cellStyle name="Normal 3 7 9 3 2" xfId="16861"/>
    <cellStyle name="Normal 3 7 9 3 2 2" xfId="16862"/>
    <cellStyle name="Normal 3 7 9 3 2 2 2" xfId="16863"/>
    <cellStyle name="Normal 3 7 9 3 2 3" xfId="16864"/>
    <cellStyle name="Normal 3 7 9 3 3" xfId="16865"/>
    <cellStyle name="Normal 3 7 9 3 3 2" xfId="16866"/>
    <cellStyle name="Normal 3 7 9 3 4" xfId="16867"/>
    <cellStyle name="Normal 3 7 9 4" xfId="16868"/>
    <cellStyle name="Normal 3 7 9 4 2" xfId="16869"/>
    <cellStyle name="Normal 3 7 9 4 2 2" xfId="16870"/>
    <cellStyle name="Normal 3 7 9 4 3" xfId="16871"/>
    <cellStyle name="Normal 3 7 9 5" xfId="16872"/>
    <cellStyle name="Normal 3 7 9 5 2" xfId="16873"/>
    <cellStyle name="Normal 3 7 9 6" xfId="16874"/>
    <cellStyle name="Normal 3 8" xfId="16875"/>
    <cellStyle name="Normal 3 8 10" xfId="16876"/>
    <cellStyle name="Normal 3 8 10 2" xfId="16877"/>
    <cellStyle name="Normal 3 8 10 2 2" xfId="16878"/>
    <cellStyle name="Normal 3 8 10 2 2 2" xfId="16879"/>
    <cellStyle name="Normal 3 8 10 2 2 2 2" xfId="16880"/>
    <cellStyle name="Normal 3 8 10 2 2 3" xfId="16881"/>
    <cellStyle name="Normal 3 8 10 2 3" xfId="16882"/>
    <cellStyle name="Normal 3 8 10 2 3 2" xfId="16883"/>
    <cellStyle name="Normal 3 8 10 2 4" xfId="16884"/>
    <cellStyle name="Normal 3 8 10 3" xfId="16885"/>
    <cellStyle name="Normal 3 8 10 3 2" xfId="16886"/>
    <cellStyle name="Normal 3 8 10 3 2 2" xfId="16887"/>
    <cellStyle name="Normal 3 8 10 3 2 2 2" xfId="16888"/>
    <cellStyle name="Normal 3 8 10 3 2 3" xfId="16889"/>
    <cellStyle name="Normal 3 8 10 3 3" xfId="16890"/>
    <cellStyle name="Normal 3 8 10 3 3 2" xfId="16891"/>
    <cellStyle name="Normal 3 8 10 3 4" xfId="16892"/>
    <cellStyle name="Normal 3 8 10 4" xfId="16893"/>
    <cellStyle name="Normal 3 8 10 4 2" xfId="16894"/>
    <cellStyle name="Normal 3 8 10 4 2 2" xfId="16895"/>
    <cellStyle name="Normal 3 8 10 4 3" xfId="16896"/>
    <cellStyle name="Normal 3 8 10 5" xfId="16897"/>
    <cellStyle name="Normal 3 8 10 5 2" xfId="16898"/>
    <cellStyle name="Normal 3 8 10 6" xfId="16899"/>
    <cellStyle name="Normal 3 8 11" xfId="16900"/>
    <cellStyle name="Normal 3 8 11 2" xfId="16901"/>
    <cellStyle name="Normal 3 8 11 2 2" xfId="16902"/>
    <cellStyle name="Normal 3 8 11 2 2 2" xfId="16903"/>
    <cellStyle name="Normal 3 8 11 2 2 2 2" xfId="16904"/>
    <cellStyle name="Normal 3 8 11 2 2 3" xfId="16905"/>
    <cellStyle name="Normal 3 8 11 2 3" xfId="16906"/>
    <cellStyle name="Normal 3 8 11 2 3 2" xfId="16907"/>
    <cellStyle name="Normal 3 8 11 2 4" xfId="16908"/>
    <cellStyle name="Normal 3 8 11 3" xfId="16909"/>
    <cellStyle name="Normal 3 8 11 3 2" xfId="16910"/>
    <cellStyle name="Normal 3 8 11 3 2 2" xfId="16911"/>
    <cellStyle name="Normal 3 8 11 3 2 2 2" xfId="16912"/>
    <cellStyle name="Normal 3 8 11 3 2 3" xfId="16913"/>
    <cellStyle name="Normal 3 8 11 3 3" xfId="16914"/>
    <cellStyle name="Normal 3 8 11 3 3 2" xfId="16915"/>
    <cellStyle name="Normal 3 8 11 3 4" xfId="16916"/>
    <cellStyle name="Normal 3 8 11 4" xfId="16917"/>
    <cellStyle name="Normal 3 8 11 4 2" xfId="16918"/>
    <cellStyle name="Normal 3 8 11 4 2 2" xfId="16919"/>
    <cellStyle name="Normal 3 8 11 4 3" xfId="16920"/>
    <cellStyle name="Normal 3 8 11 5" xfId="16921"/>
    <cellStyle name="Normal 3 8 11 5 2" xfId="16922"/>
    <cellStyle name="Normal 3 8 11 6" xfId="16923"/>
    <cellStyle name="Normal 3 8 12" xfId="16924"/>
    <cellStyle name="Normal 3 8 12 2" xfId="16925"/>
    <cellStyle name="Normal 3 8 12 2 2" xfId="16926"/>
    <cellStyle name="Normal 3 8 12 2 2 2" xfId="16927"/>
    <cellStyle name="Normal 3 8 12 2 2 2 2" xfId="16928"/>
    <cellStyle name="Normal 3 8 12 2 2 3" xfId="16929"/>
    <cellStyle name="Normal 3 8 12 2 3" xfId="16930"/>
    <cellStyle name="Normal 3 8 12 2 3 2" xfId="16931"/>
    <cellStyle name="Normal 3 8 12 2 4" xfId="16932"/>
    <cellStyle name="Normal 3 8 12 3" xfId="16933"/>
    <cellStyle name="Normal 3 8 12 3 2" xfId="16934"/>
    <cellStyle name="Normal 3 8 12 3 2 2" xfId="16935"/>
    <cellStyle name="Normal 3 8 12 3 2 2 2" xfId="16936"/>
    <cellStyle name="Normal 3 8 12 3 2 3" xfId="16937"/>
    <cellStyle name="Normal 3 8 12 3 3" xfId="16938"/>
    <cellStyle name="Normal 3 8 12 3 3 2" xfId="16939"/>
    <cellStyle name="Normal 3 8 12 3 4" xfId="16940"/>
    <cellStyle name="Normal 3 8 12 4" xfId="16941"/>
    <cellStyle name="Normal 3 8 12 4 2" xfId="16942"/>
    <cellStyle name="Normal 3 8 12 4 2 2" xfId="16943"/>
    <cellStyle name="Normal 3 8 12 4 3" xfId="16944"/>
    <cellStyle name="Normal 3 8 12 5" xfId="16945"/>
    <cellStyle name="Normal 3 8 12 5 2" xfId="16946"/>
    <cellStyle name="Normal 3 8 12 6" xfId="16947"/>
    <cellStyle name="Normal 3 8 13" xfId="16948"/>
    <cellStyle name="Normal 3 8 13 2" xfId="16949"/>
    <cellStyle name="Normal 3 8 13 2 2" xfId="16950"/>
    <cellStyle name="Normal 3 8 13 2 2 2" xfId="16951"/>
    <cellStyle name="Normal 3 8 13 2 2 2 2" xfId="16952"/>
    <cellStyle name="Normal 3 8 13 2 2 3" xfId="16953"/>
    <cellStyle name="Normal 3 8 13 2 3" xfId="16954"/>
    <cellStyle name="Normal 3 8 13 2 3 2" xfId="16955"/>
    <cellStyle name="Normal 3 8 13 2 4" xfId="16956"/>
    <cellStyle name="Normal 3 8 13 3" xfId="16957"/>
    <cellStyle name="Normal 3 8 13 3 2" xfId="16958"/>
    <cellStyle name="Normal 3 8 13 3 2 2" xfId="16959"/>
    <cellStyle name="Normal 3 8 13 3 2 2 2" xfId="16960"/>
    <cellStyle name="Normal 3 8 13 3 2 3" xfId="16961"/>
    <cellStyle name="Normal 3 8 13 3 3" xfId="16962"/>
    <cellStyle name="Normal 3 8 13 3 3 2" xfId="16963"/>
    <cellStyle name="Normal 3 8 13 3 4" xfId="16964"/>
    <cellStyle name="Normal 3 8 13 4" xfId="16965"/>
    <cellStyle name="Normal 3 8 13 4 2" xfId="16966"/>
    <cellStyle name="Normal 3 8 13 4 2 2" xfId="16967"/>
    <cellStyle name="Normal 3 8 13 4 3" xfId="16968"/>
    <cellStyle name="Normal 3 8 13 5" xfId="16969"/>
    <cellStyle name="Normal 3 8 13 5 2" xfId="16970"/>
    <cellStyle name="Normal 3 8 13 6" xfId="16971"/>
    <cellStyle name="Normal 3 8 14" xfId="16972"/>
    <cellStyle name="Normal 3 8 14 2" xfId="16973"/>
    <cellStyle name="Normal 3 8 14 2 2" xfId="16974"/>
    <cellStyle name="Normal 3 8 14 2 2 2" xfId="16975"/>
    <cellStyle name="Normal 3 8 14 2 3" xfId="16976"/>
    <cellStyle name="Normal 3 8 14 3" xfId="16977"/>
    <cellStyle name="Normal 3 8 14 3 2" xfId="16978"/>
    <cellStyle name="Normal 3 8 14 4" xfId="16979"/>
    <cellStyle name="Normal 3 8 15" xfId="16980"/>
    <cellStyle name="Normal 3 8 15 2" xfId="16981"/>
    <cellStyle name="Normal 3 8 15 2 2" xfId="16982"/>
    <cellStyle name="Normal 3 8 15 2 2 2" xfId="16983"/>
    <cellStyle name="Normal 3 8 15 2 3" xfId="16984"/>
    <cellStyle name="Normal 3 8 15 3" xfId="16985"/>
    <cellStyle name="Normal 3 8 15 3 2" xfId="16986"/>
    <cellStyle name="Normal 3 8 15 4" xfId="16987"/>
    <cellStyle name="Normal 3 8 16" xfId="16988"/>
    <cellStyle name="Normal 3 8 16 2" xfId="16989"/>
    <cellStyle name="Normal 3 8 16 2 2" xfId="16990"/>
    <cellStyle name="Normal 3 8 16 3" xfId="16991"/>
    <cellStyle name="Normal 3 8 17" xfId="16992"/>
    <cellStyle name="Normal 3 8 17 2" xfId="16993"/>
    <cellStyle name="Normal 3 8 18" xfId="16994"/>
    <cellStyle name="Normal 3 8 2" xfId="16995"/>
    <cellStyle name="Normal 3 8 2 2" xfId="16996"/>
    <cellStyle name="Normal 3 8 2 2 2" xfId="16997"/>
    <cellStyle name="Normal 3 8 2 2 2 2" xfId="16998"/>
    <cellStyle name="Normal 3 8 2 2 2 2 2" xfId="16999"/>
    <cellStyle name="Normal 3 8 2 2 2 3" xfId="17000"/>
    <cellStyle name="Normal 3 8 2 2 3" xfId="17001"/>
    <cellStyle name="Normal 3 8 2 2 3 2" xfId="17002"/>
    <cellStyle name="Normal 3 8 2 2 4" xfId="17003"/>
    <cellStyle name="Normal 3 8 2 3" xfId="17004"/>
    <cellStyle name="Normal 3 8 2 3 2" xfId="17005"/>
    <cellStyle name="Normal 3 8 2 3 2 2" xfId="17006"/>
    <cellStyle name="Normal 3 8 2 3 2 2 2" xfId="17007"/>
    <cellStyle name="Normal 3 8 2 3 2 3" xfId="17008"/>
    <cellStyle name="Normal 3 8 2 3 3" xfId="17009"/>
    <cellStyle name="Normal 3 8 2 3 3 2" xfId="17010"/>
    <cellStyle name="Normal 3 8 2 3 4" xfId="17011"/>
    <cellStyle name="Normal 3 8 2 4" xfId="17012"/>
    <cellStyle name="Normal 3 8 2 4 2" xfId="17013"/>
    <cellStyle name="Normal 3 8 2 4 2 2" xfId="17014"/>
    <cellStyle name="Normal 3 8 2 4 3" xfId="17015"/>
    <cellStyle name="Normal 3 8 2 5" xfId="17016"/>
    <cellStyle name="Normal 3 8 2 5 2" xfId="17017"/>
    <cellStyle name="Normal 3 8 2 6" xfId="17018"/>
    <cellStyle name="Normal 3 8 3" xfId="17019"/>
    <cellStyle name="Normal 3 8 3 2" xfId="17020"/>
    <cellStyle name="Normal 3 8 3 2 2" xfId="17021"/>
    <cellStyle name="Normal 3 8 3 2 2 2" xfId="17022"/>
    <cellStyle name="Normal 3 8 3 2 2 2 2" xfId="17023"/>
    <cellStyle name="Normal 3 8 3 2 2 3" xfId="17024"/>
    <cellStyle name="Normal 3 8 3 2 3" xfId="17025"/>
    <cellStyle name="Normal 3 8 3 2 3 2" xfId="17026"/>
    <cellStyle name="Normal 3 8 3 2 4" xfId="17027"/>
    <cellStyle name="Normal 3 8 3 3" xfId="17028"/>
    <cellStyle name="Normal 3 8 3 3 2" xfId="17029"/>
    <cellStyle name="Normal 3 8 3 3 2 2" xfId="17030"/>
    <cellStyle name="Normal 3 8 3 3 2 2 2" xfId="17031"/>
    <cellStyle name="Normal 3 8 3 3 2 3" xfId="17032"/>
    <cellStyle name="Normal 3 8 3 3 3" xfId="17033"/>
    <cellStyle name="Normal 3 8 3 3 3 2" xfId="17034"/>
    <cellStyle name="Normal 3 8 3 3 4" xfId="17035"/>
    <cellStyle name="Normal 3 8 3 4" xfId="17036"/>
    <cellStyle name="Normal 3 8 3 4 2" xfId="17037"/>
    <cellStyle name="Normal 3 8 3 4 2 2" xfId="17038"/>
    <cellStyle name="Normal 3 8 3 4 3" xfId="17039"/>
    <cellStyle name="Normal 3 8 3 5" xfId="17040"/>
    <cellStyle name="Normal 3 8 3 5 2" xfId="17041"/>
    <cellStyle name="Normal 3 8 3 6" xfId="17042"/>
    <cellStyle name="Normal 3 8 4" xfId="17043"/>
    <cellStyle name="Normal 3 8 4 2" xfId="17044"/>
    <cellStyle name="Normal 3 8 4 2 2" xfId="17045"/>
    <cellStyle name="Normal 3 8 4 2 2 2" xfId="17046"/>
    <cellStyle name="Normal 3 8 4 2 2 2 2" xfId="17047"/>
    <cellStyle name="Normal 3 8 4 2 2 3" xfId="17048"/>
    <cellStyle name="Normal 3 8 4 2 3" xfId="17049"/>
    <cellStyle name="Normal 3 8 4 2 3 2" xfId="17050"/>
    <cellStyle name="Normal 3 8 4 2 4" xfId="17051"/>
    <cellStyle name="Normal 3 8 4 3" xfId="17052"/>
    <cellStyle name="Normal 3 8 4 3 2" xfId="17053"/>
    <cellStyle name="Normal 3 8 4 3 2 2" xfId="17054"/>
    <cellStyle name="Normal 3 8 4 3 2 2 2" xfId="17055"/>
    <cellStyle name="Normal 3 8 4 3 2 3" xfId="17056"/>
    <cellStyle name="Normal 3 8 4 3 3" xfId="17057"/>
    <cellStyle name="Normal 3 8 4 3 3 2" xfId="17058"/>
    <cellStyle name="Normal 3 8 4 3 4" xfId="17059"/>
    <cellStyle name="Normal 3 8 4 4" xfId="17060"/>
    <cellStyle name="Normal 3 8 4 4 2" xfId="17061"/>
    <cellStyle name="Normal 3 8 4 4 2 2" xfId="17062"/>
    <cellStyle name="Normal 3 8 4 4 3" xfId="17063"/>
    <cellStyle name="Normal 3 8 4 5" xfId="17064"/>
    <cellStyle name="Normal 3 8 4 5 2" xfId="17065"/>
    <cellStyle name="Normal 3 8 4 6" xfId="17066"/>
    <cellStyle name="Normal 3 8 5" xfId="17067"/>
    <cellStyle name="Normal 3 8 5 2" xfId="17068"/>
    <cellStyle name="Normal 3 8 5 2 2" xfId="17069"/>
    <cellStyle name="Normal 3 8 5 2 2 2" xfId="17070"/>
    <cellStyle name="Normal 3 8 5 2 2 2 2" xfId="17071"/>
    <cellStyle name="Normal 3 8 5 2 2 3" xfId="17072"/>
    <cellStyle name="Normal 3 8 5 2 3" xfId="17073"/>
    <cellStyle name="Normal 3 8 5 2 3 2" xfId="17074"/>
    <cellStyle name="Normal 3 8 5 2 4" xfId="17075"/>
    <cellStyle name="Normal 3 8 5 3" xfId="17076"/>
    <cellStyle name="Normal 3 8 5 3 2" xfId="17077"/>
    <cellStyle name="Normal 3 8 5 3 2 2" xfId="17078"/>
    <cellStyle name="Normal 3 8 5 3 2 2 2" xfId="17079"/>
    <cellStyle name="Normal 3 8 5 3 2 3" xfId="17080"/>
    <cellStyle name="Normal 3 8 5 3 3" xfId="17081"/>
    <cellStyle name="Normal 3 8 5 3 3 2" xfId="17082"/>
    <cellStyle name="Normal 3 8 5 3 4" xfId="17083"/>
    <cellStyle name="Normal 3 8 5 4" xfId="17084"/>
    <cellStyle name="Normal 3 8 5 4 2" xfId="17085"/>
    <cellStyle name="Normal 3 8 5 4 2 2" xfId="17086"/>
    <cellStyle name="Normal 3 8 5 4 3" xfId="17087"/>
    <cellStyle name="Normal 3 8 5 5" xfId="17088"/>
    <cellStyle name="Normal 3 8 5 5 2" xfId="17089"/>
    <cellStyle name="Normal 3 8 5 6" xfId="17090"/>
    <cellStyle name="Normal 3 8 6" xfId="17091"/>
    <cellStyle name="Normal 3 8 6 2" xfId="17092"/>
    <cellStyle name="Normal 3 8 6 2 2" xfId="17093"/>
    <cellStyle name="Normal 3 8 6 2 2 2" xfId="17094"/>
    <cellStyle name="Normal 3 8 6 2 2 2 2" xfId="17095"/>
    <cellStyle name="Normal 3 8 6 2 2 3" xfId="17096"/>
    <cellStyle name="Normal 3 8 6 2 3" xfId="17097"/>
    <cellStyle name="Normal 3 8 6 2 3 2" xfId="17098"/>
    <cellStyle name="Normal 3 8 6 2 4" xfId="17099"/>
    <cellStyle name="Normal 3 8 6 3" xfId="17100"/>
    <cellStyle name="Normal 3 8 6 3 2" xfId="17101"/>
    <cellStyle name="Normal 3 8 6 3 2 2" xfId="17102"/>
    <cellStyle name="Normal 3 8 6 3 2 2 2" xfId="17103"/>
    <cellStyle name="Normal 3 8 6 3 2 3" xfId="17104"/>
    <cellStyle name="Normal 3 8 6 3 3" xfId="17105"/>
    <cellStyle name="Normal 3 8 6 3 3 2" xfId="17106"/>
    <cellStyle name="Normal 3 8 6 3 4" xfId="17107"/>
    <cellStyle name="Normal 3 8 6 4" xfId="17108"/>
    <cellStyle name="Normal 3 8 6 4 2" xfId="17109"/>
    <cellStyle name="Normal 3 8 6 4 2 2" xfId="17110"/>
    <cellStyle name="Normal 3 8 6 4 3" xfId="17111"/>
    <cellStyle name="Normal 3 8 6 5" xfId="17112"/>
    <cellStyle name="Normal 3 8 6 5 2" xfId="17113"/>
    <cellStyle name="Normal 3 8 6 6" xfId="17114"/>
    <cellStyle name="Normal 3 8 7" xfId="17115"/>
    <cellStyle name="Normal 3 8 7 2" xfId="17116"/>
    <cellStyle name="Normal 3 8 7 2 2" xfId="17117"/>
    <cellStyle name="Normal 3 8 7 2 2 2" xfId="17118"/>
    <cellStyle name="Normal 3 8 7 2 2 2 2" xfId="17119"/>
    <cellStyle name="Normal 3 8 7 2 2 3" xfId="17120"/>
    <cellStyle name="Normal 3 8 7 2 3" xfId="17121"/>
    <cellStyle name="Normal 3 8 7 2 3 2" xfId="17122"/>
    <cellStyle name="Normal 3 8 7 2 4" xfId="17123"/>
    <cellStyle name="Normal 3 8 7 3" xfId="17124"/>
    <cellStyle name="Normal 3 8 7 3 2" xfId="17125"/>
    <cellStyle name="Normal 3 8 7 3 2 2" xfId="17126"/>
    <cellStyle name="Normal 3 8 7 3 2 2 2" xfId="17127"/>
    <cellStyle name="Normal 3 8 7 3 2 3" xfId="17128"/>
    <cellStyle name="Normal 3 8 7 3 3" xfId="17129"/>
    <cellStyle name="Normal 3 8 7 3 3 2" xfId="17130"/>
    <cellStyle name="Normal 3 8 7 3 4" xfId="17131"/>
    <cellStyle name="Normal 3 8 7 4" xfId="17132"/>
    <cellStyle name="Normal 3 8 7 4 2" xfId="17133"/>
    <cellStyle name="Normal 3 8 7 4 2 2" xfId="17134"/>
    <cellStyle name="Normal 3 8 7 4 3" xfId="17135"/>
    <cellStyle name="Normal 3 8 7 5" xfId="17136"/>
    <cellStyle name="Normal 3 8 7 5 2" xfId="17137"/>
    <cellStyle name="Normal 3 8 7 6" xfId="17138"/>
    <cellStyle name="Normal 3 8 8" xfId="17139"/>
    <cellStyle name="Normal 3 8 8 2" xfId="17140"/>
    <cellStyle name="Normal 3 8 8 2 2" xfId="17141"/>
    <cellStyle name="Normal 3 8 8 2 2 2" xfId="17142"/>
    <cellStyle name="Normal 3 8 8 2 2 2 2" xfId="17143"/>
    <cellStyle name="Normal 3 8 8 2 2 3" xfId="17144"/>
    <cellStyle name="Normal 3 8 8 2 3" xfId="17145"/>
    <cellStyle name="Normal 3 8 8 2 3 2" xfId="17146"/>
    <cellStyle name="Normal 3 8 8 2 4" xfId="17147"/>
    <cellStyle name="Normal 3 8 8 3" xfId="17148"/>
    <cellStyle name="Normal 3 8 8 3 2" xfId="17149"/>
    <cellStyle name="Normal 3 8 8 3 2 2" xfId="17150"/>
    <cellStyle name="Normal 3 8 8 3 2 2 2" xfId="17151"/>
    <cellStyle name="Normal 3 8 8 3 2 3" xfId="17152"/>
    <cellStyle name="Normal 3 8 8 3 3" xfId="17153"/>
    <cellStyle name="Normal 3 8 8 3 3 2" xfId="17154"/>
    <cellStyle name="Normal 3 8 8 3 4" xfId="17155"/>
    <cellStyle name="Normal 3 8 8 4" xfId="17156"/>
    <cellStyle name="Normal 3 8 8 4 2" xfId="17157"/>
    <cellStyle name="Normal 3 8 8 4 2 2" xfId="17158"/>
    <cellStyle name="Normal 3 8 8 4 3" xfId="17159"/>
    <cellStyle name="Normal 3 8 8 5" xfId="17160"/>
    <cellStyle name="Normal 3 8 8 5 2" xfId="17161"/>
    <cellStyle name="Normal 3 8 8 6" xfId="17162"/>
    <cellStyle name="Normal 3 8 9" xfId="17163"/>
    <cellStyle name="Normal 3 8 9 2" xfId="17164"/>
    <cellStyle name="Normal 3 8 9 2 2" xfId="17165"/>
    <cellStyle name="Normal 3 8 9 2 2 2" xfId="17166"/>
    <cellStyle name="Normal 3 8 9 2 2 2 2" xfId="17167"/>
    <cellStyle name="Normal 3 8 9 2 2 3" xfId="17168"/>
    <cellStyle name="Normal 3 8 9 2 3" xfId="17169"/>
    <cellStyle name="Normal 3 8 9 2 3 2" xfId="17170"/>
    <cellStyle name="Normal 3 8 9 2 4" xfId="17171"/>
    <cellStyle name="Normal 3 8 9 3" xfId="17172"/>
    <cellStyle name="Normal 3 8 9 3 2" xfId="17173"/>
    <cellStyle name="Normal 3 8 9 3 2 2" xfId="17174"/>
    <cellStyle name="Normal 3 8 9 3 2 2 2" xfId="17175"/>
    <cellStyle name="Normal 3 8 9 3 2 3" xfId="17176"/>
    <cellStyle name="Normal 3 8 9 3 3" xfId="17177"/>
    <cellStyle name="Normal 3 8 9 3 3 2" xfId="17178"/>
    <cellStyle name="Normal 3 8 9 3 4" xfId="17179"/>
    <cellStyle name="Normal 3 8 9 4" xfId="17180"/>
    <cellStyle name="Normal 3 8 9 4 2" xfId="17181"/>
    <cellStyle name="Normal 3 8 9 4 2 2" xfId="17182"/>
    <cellStyle name="Normal 3 8 9 4 3" xfId="17183"/>
    <cellStyle name="Normal 3 8 9 5" xfId="17184"/>
    <cellStyle name="Normal 3 8 9 5 2" xfId="17185"/>
    <cellStyle name="Normal 3 8 9 6" xfId="17186"/>
    <cellStyle name="Normal 3 9" xfId="17187"/>
    <cellStyle name="Normal 3 9 10" xfId="17188"/>
    <cellStyle name="Normal 3 9 10 2" xfId="17189"/>
    <cellStyle name="Normal 3 9 10 2 2" xfId="17190"/>
    <cellStyle name="Normal 3 9 10 2 2 2" xfId="17191"/>
    <cellStyle name="Normal 3 9 10 2 2 2 2" xfId="17192"/>
    <cellStyle name="Normal 3 9 10 2 2 3" xfId="17193"/>
    <cellStyle name="Normal 3 9 10 2 3" xfId="17194"/>
    <cellStyle name="Normal 3 9 10 2 3 2" xfId="17195"/>
    <cellStyle name="Normal 3 9 10 2 4" xfId="17196"/>
    <cellStyle name="Normal 3 9 10 3" xfId="17197"/>
    <cellStyle name="Normal 3 9 10 3 2" xfId="17198"/>
    <cellStyle name="Normal 3 9 10 3 2 2" xfId="17199"/>
    <cellStyle name="Normal 3 9 10 3 2 2 2" xfId="17200"/>
    <cellStyle name="Normal 3 9 10 3 2 3" xfId="17201"/>
    <cellStyle name="Normal 3 9 10 3 3" xfId="17202"/>
    <cellStyle name="Normal 3 9 10 3 3 2" xfId="17203"/>
    <cellStyle name="Normal 3 9 10 3 4" xfId="17204"/>
    <cellStyle name="Normal 3 9 10 4" xfId="17205"/>
    <cellStyle name="Normal 3 9 10 4 2" xfId="17206"/>
    <cellStyle name="Normal 3 9 10 4 2 2" xfId="17207"/>
    <cellStyle name="Normal 3 9 10 4 3" xfId="17208"/>
    <cellStyle name="Normal 3 9 10 5" xfId="17209"/>
    <cellStyle name="Normal 3 9 10 5 2" xfId="17210"/>
    <cellStyle name="Normal 3 9 10 6" xfId="17211"/>
    <cellStyle name="Normal 3 9 11" xfId="17212"/>
    <cellStyle name="Normal 3 9 11 2" xfId="17213"/>
    <cellStyle name="Normal 3 9 11 2 2" xfId="17214"/>
    <cellStyle name="Normal 3 9 11 2 2 2" xfId="17215"/>
    <cellStyle name="Normal 3 9 11 2 2 2 2" xfId="17216"/>
    <cellStyle name="Normal 3 9 11 2 2 3" xfId="17217"/>
    <cellStyle name="Normal 3 9 11 2 3" xfId="17218"/>
    <cellStyle name="Normal 3 9 11 2 3 2" xfId="17219"/>
    <cellStyle name="Normal 3 9 11 2 4" xfId="17220"/>
    <cellStyle name="Normal 3 9 11 3" xfId="17221"/>
    <cellStyle name="Normal 3 9 11 3 2" xfId="17222"/>
    <cellStyle name="Normal 3 9 11 3 2 2" xfId="17223"/>
    <cellStyle name="Normal 3 9 11 3 2 2 2" xfId="17224"/>
    <cellStyle name="Normal 3 9 11 3 2 3" xfId="17225"/>
    <cellStyle name="Normal 3 9 11 3 3" xfId="17226"/>
    <cellStyle name="Normal 3 9 11 3 3 2" xfId="17227"/>
    <cellStyle name="Normal 3 9 11 3 4" xfId="17228"/>
    <cellStyle name="Normal 3 9 11 4" xfId="17229"/>
    <cellStyle name="Normal 3 9 11 4 2" xfId="17230"/>
    <cellStyle name="Normal 3 9 11 4 2 2" xfId="17231"/>
    <cellStyle name="Normal 3 9 11 4 3" xfId="17232"/>
    <cellStyle name="Normal 3 9 11 5" xfId="17233"/>
    <cellStyle name="Normal 3 9 11 5 2" xfId="17234"/>
    <cellStyle name="Normal 3 9 11 6" xfId="17235"/>
    <cellStyle name="Normal 3 9 12" xfId="17236"/>
    <cellStyle name="Normal 3 9 12 2" xfId="17237"/>
    <cellStyle name="Normal 3 9 12 2 2" xfId="17238"/>
    <cellStyle name="Normal 3 9 12 2 2 2" xfId="17239"/>
    <cellStyle name="Normal 3 9 12 2 2 2 2" xfId="17240"/>
    <cellStyle name="Normal 3 9 12 2 2 3" xfId="17241"/>
    <cellStyle name="Normal 3 9 12 2 3" xfId="17242"/>
    <cellStyle name="Normal 3 9 12 2 3 2" xfId="17243"/>
    <cellStyle name="Normal 3 9 12 2 4" xfId="17244"/>
    <cellStyle name="Normal 3 9 12 3" xfId="17245"/>
    <cellStyle name="Normal 3 9 12 3 2" xfId="17246"/>
    <cellStyle name="Normal 3 9 12 3 2 2" xfId="17247"/>
    <cellStyle name="Normal 3 9 12 3 2 2 2" xfId="17248"/>
    <cellStyle name="Normal 3 9 12 3 2 3" xfId="17249"/>
    <cellStyle name="Normal 3 9 12 3 3" xfId="17250"/>
    <cellStyle name="Normal 3 9 12 3 3 2" xfId="17251"/>
    <cellStyle name="Normal 3 9 12 3 4" xfId="17252"/>
    <cellStyle name="Normal 3 9 12 4" xfId="17253"/>
    <cellStyle name="Normal 3 9 12 4 2" xfId="17254"/>
    <cellStyle name="Normal 3 9 12 4 2 2" xfId="17255"/>
    <cellStyle name="Normal 3 9 12 4 3" xfId="17256"/>
    <cellStyle name="Normal 3 9 12 5" xfId="17257"/>
    <cellStyle name="Normal 3 9 12 5 2" xfId="17258"/>
    <cellStyle name="Normal 3 9 12 6" xfId="17259"/>
    <cellStyle name="Normal 3 9 13" xfId="17260"/>
    <cellStyle name="Normal 3 9 13 2" xfId="17261"/>
    <cellStyle name="Normal 3 9 13 2 2" xfId="17262"/>
    <cellStyle name="Normal 3 9 13 2 2 2" xfId="17263"/>
    <cellStyle name="Normal 3 9 13 2 2 2 2" xfId="17264"/>
    <cellStyle name="Normal 3 9 13 2 2 3" xfId="17265"/>
    <cellStyle name="Normal 3 9 13 2 3" xfId="17266"/>
    <cellStyle name="Normal 3 9 13 2 3 2" xfId="17267"/>
    <cellStyle name="Normal 3 9 13 2 4" xfId="17268"/>
    <cellStyle name="Normal 3 9 13 3" xfId="17269"/>
    <cellStyle name="Normal 3 9 13 3 2" xfId="17270"/>
    <cellStyle name="Normal 3 9 13 3 2 2" xfId="17271"/>
    <cellStyle name="Normal 3 9 13 3 2 2 2" xfId="17272"/>
    <cellStyle name="Normal 3 9 13 3 2 3" xfId="17273"/>
    <cellStyle name="Normal 3 9 13 3 3" xfId="17274"/>
    <cellStyle name="Normal 3 9 13 3 3 2" xfId="17275"/>
    <cellStyle name="Normal 3 9 13 3 4" xfId="17276"/>
    <cellStyle name="Normal 3 9 13 4" xfId="17277"/>
    <cellStyle name="Normal 3 9 13 4 2" xfId="17278"/>
    <cellStyle name="Normal 3 9 13 4 2 2" xfId="17279"/>
    <cellStyle name="Normal 3 9 13 4 3" xfId="17280"/>
    <cellStyle name="Normal 3 9 13 5" xfId="17281"/>
    <cellStyle name="Normal 3 9 13 5 2" xfId="17282"/>
    <cellStyle name="Normal 3 9 13 6" xfId="17283"/>
    <cellStyle name="Normal 3 9 14" xfId="17284"/>
    <cellStyle name="Normal 3 9 14 2" xfId="17285"/>
    <cellStyle name="Normal 3 9 14 2 2" xfId="17286"/>
    <cellStyle name="Normal 3 9 14 2 2 2" xfId="17287"/>
    <cellStyle name="Normal 3 9 14 2 3" xfId="17288"/>
    <cellStyle name="Normal 3 9 14 3" xfId="17289"/>
    <cellStyle name="Normal 3 9 14 3 2" xfId="17290"/>
    <cellStyle name="Normal 3 9 14 4" xfId="17291"/>
    <cellStyle name="Normal 3 9 15" xfId="17292"/>
    <cellStyle name="Normal 3 9 15 2" xfId="17293"/>
    <cellStyle name="Normal 3 9 15 2 2" xfId="17294"/>
    <cellStyle name="Normal 3 9 15 2 2 2" xfId="17295"/>
    <cellStyle name="Normal 3 9 15 2 3" xfId="17296"/>
    <cellStyle name="Normal 3 9 15 3" xfId="17297"/>
    <cellStyle name="Normal 3 9 15 3 2" xfId="17298"/>
    <cellStyle name="Normal 3 9 15 4" xfId="17299"/>
    <cellStyle name="Normal 3 9 16" xfId="17300"/>
    <cellStyle name="Normal 3 9 16 2" xfId="17301"/>
    <cellStyle name="Normal 3 9 16 2 2" xfId="17302"/>
    <cellStyle name="Normal 3 9 16 3" xfId="17303"/>
    <cellStyle name="Normal 3 9 17" xfId="17304"/>
    <cellStyle name="Normal 3 9 17 2" xfId="17305"/>
    <cellStyle name="Normal 3 9 18" xfId="17306"/>
    <cellStyle name="Normal 3 9 2" xfId="17307"/>
    <cellStyle name="Normal 3 9 2 2" xfId="17308"/>
    <cellStyle name="Normal 3 9 2 2 2" xfId="17309"/>
    <cellStyle name="Normal 3 9 2 2 2 2" xfId="17310"/>
    <cellStyle name="Normal 3 9 2 2 2 2 2" xfId="17311"/>
    <cellStyle name="Normal 3 9 2 2 2 3" xfId="17312"/>
    <cellStyle name="Normal 3 9 2 2 3" xfId="17313"/>
    <cellStyle name="Normal 3 9 2 2 3 2" xfId="17314"/>
    <cellStyle name="Normal 3 9 2 2 4" xfId="17315"/>
    <cellStyle name="Normal 3 9 2 3" xfId="17316"/>
    <cellStyle name="Normal 3 9 2 3 2" xfId="17317"/>
    <cellStyle name="Normal 3 9 2 3 2 2" xfId="17318"/>
    <cellStyle name="Normal 3 9 2 3 2 2 2" xfId="17319"/>
    <cellStyle name="Normal 3 9 2 3 2 3" xfId="17320"/>
    <cellStyle name="Normal 3 9 2 3 3" xfId="17321"/>
    <cellStyle name="Normal 3 9 2 3 3 2" xfId="17322"/>
    <cellStyle name="Normal 3 9 2 3 4" xfId="17323"/>
    <cellStyle name="Normal 3 9 2 4" xfId="17324"/>
    <cellStyle name="Normal 3 9 2 4 2" xfId="17325"/>
    <cellStyle name="Normal 3 9 2 4 2 2" xfId="17326"/>
    <cellStyle name="Normal 3 9 2 4 3" xfId="17327"/>
    <cellStyle name="Normal 3 9 2 5" xfId="17328"/>
    <cellStyle name="Normal 3 9 2 5 2" xfId="17329"/>
    <cellStyle name="Normal 3 9 2 6" xfId="17330"/>
    <cellStyle name="Normal 3 9 3" xfId="17331"/>
    <cellStyle name="Normal 3 9 3 2" xfId="17332"/>
    <cellStyle name="Normal 3 9 3 2 2" xfId="17333"/>
    <cellStyle name="Normal 3 9 3 2 2 2" xfId="17334"/>
    <cellStyle name="Normal 3 9 3 2 2 2 2" xfId="17335"/>
    <cellStyle name="Normal 3 9 3 2 2 3" xfId="17336"/>
    <cellStyle name="Normal 3 9 3 2 3" xfId="17337"/>
    <cellStyle name="Normal 3 9 3 2 3 2" xfId="17338"/>
    <cellStyle name="Normal 3 9 3 2 4" xfId="17339"/>
    <cellStyle name="Normal 3 9 3 3" xfId="17340"/>
    <cellStyle name="Normal 3 9 3 3 2" xfId="17341"/>
    <cellStyle name="Normal 3 9 3 3 2 2" xfId="17342"/>
    <cellStyle name="Normal 3 9 3 3 2 2 2" xfId="17343"/>
    <cellStyle name="Normal 3 9 3 3 2 3" xfId="17344"/>
    <cellStyle name="Normal 3 9 3 3 3" xfId="17345"/>
    <cellStyle name="Normal 3 9 3 3 3 2" xfId="17346"/>
    <cellStyle name="Normal 3 9 3 3 4" xfId="17347"/>
    <cellStyle name="Normal 3 9 3 4" xfId="17348"/>
    <cellStyle name="Normal 3 9 3 4 2" xfId="17349"/>
    <cellStyle name="Normal 3 9 3 4 2 2" xfId="17350"/>
    <cellStyle name="Normal 3 9 3 4 3" xfId="17351"/>
    <cellStyle name="Normal 3 9 3 5" xfId="17352"/>
    <cellStyle name="Normal 3 9 3 5 2" xfId="17353"/>
    <cellStyle name="Normal 3 9 3 6" xfId="17354"/>
    <cellStyle name="Normal 3 9 4" xfId="17355"/>
    <cellStyle name="Normal 3 9 4 2" xfId="17356"/>
    <cellStyle name="Normal 3 9 4 2 2" xfId="17357"/>
    <cellStyle name="Normal 3 9 4 2 2 2" xfId="17358"/>
    <cellStyle name="Normal 3 9 4 2 2 2 2" xfId="17359"/>
    <cellStyle name="Normal 3 9 4 2 2 3" xfId="17360"/>
    <cellStyle name="Normal 3 9 4 2 3" xfId="17361"/>
    <cellStyle name="Normal 3 9 4 2 3 2" xfId="17362"/>
    <cellStyle name="Normal 3 9 4 2 4" xfId="17363"/>
    <cellStyle name="Normal 3 9 4 3" xfId="17364"/>
    <cellStyle name="Normal 3 9 4 3 2" xfId="17365"/>
    <cellStyle name="Normal 3 9 4 3 2 2" xfId="17366"/>
    <cellStyle name="Normal 3 9 4 3 2 2 2" xfId="17367"/>
    <cellStyle name="Normal 3 9 4 3 2 3" xfId="17368"/>
    <cellStyle name="Normal 3 9 4 3 3" xfId="17369"/>
    <cellStyle name="Normal 3 9 4 3 3 2" xfId="17370"/>
    <cellStyle name="Normal 3 9 4 3 4" xfId="17371"/>
    <cellStyle name="Normal 3 9 4 4" xfId="17372"/>
    <cellStyle name="Normal 3 9 4 4 2" xfId="17373"/>
    <cellStyle name="Normal 3 9 4 4 2 2" xfId="17374"/>
    <cellStyle name="Normal 3 9 4 4 3" xfId="17375"/>
    <cellStyle name="Normal 3 9 4 5" xfId="17376"/>
    <cellStyle name="Normal 3 9 4 5 2" xfId="17377"/>
    <cellStyle name="Normal 3 9 4 6" xfId="17378"/>
    <cellStyle name="Normal 3 9 5" xfId="17379"/>
    <cellStyle name="Normal 3 9 5 2" xfId="17380"/>
    <cellStyle name="Normal 3 9 5 2 2" xfId="17381"/>
    <cellStyle name="Normal 3 9 5 2 2 2" xfId="17382"/>
    <cellStyle name="Normal 3 9 5 2 2 2 2" xfId="17383"/>
    <cellStyle name="Normal 3 9 5 2 2 3" xfId="17384"/>
    <cellStyle name="Normal 3 9 5 2 3" xfId="17385"/>
    <cellStyle name="Normal 3 9 5 2 3 2" xfId="17386"/>
    <cellStyle name="Normal 3 9 5 2 4" xfId="17387"/>
    <cellStyle name="Normal 3 9 5 3" xfId="17388"/>
    <cellStyle name="Normal 3 9 5 3 2" xfId="17389"/>
    <cellStyle name="Normal 3 9 5 3 2 2" xfId="17390"/>
    <cellStyle name="Normal 3 9 5 3 2 2 2" xfId="17391"/>
    <cellStyle name="Normal 3 9 5 3 2 3" xfId="17392"/>
    <cellStyle name="Normal 3 9 5 3 3" xfId="17393"/>
    <cellStyle name="Normal 3 9 5 3 3 2" xfId="17394"/>
    <cellStyle name="Normal 3 9 5 3 4" xfId="17395"/>
    <cellStyle name="Normal 3 9 5 4" xfId="17396"/>
    <cellStyle name="Normal 3 9 5 4 2" xfId="17397"/>
    <cellStyle name="Normal 3 9 5 4 2 2" xfId="17398"/>
    <cellStyle name="Normal 3 9 5 4 3" xfId="17399"/>
    <cellStyle name="Normal 3 9 5 5" xfId="17400"/>
    <cellStyle name="Normal 3 9 5 5 2" xfId="17401"/>
    <cellStyle name="Normal 3 9 5 6" xfId="17402"/>
    <cellStyle name="Normal 3 9 6" xfId="17403"/>
    <cellStyle name="Normal 3 9 6 2" xfId="17404"/>
    <cellStyle name="Normal 3 9 6 2 2" xfId="17405"/>
    <cellStyle name="Normal 3 9 6 2 2 2" xfId="17406"/>
    <cellStyle name="Normal 3 9 6 2 2 2 2" xfId="17407"/>
    <cellStyle name="Normal 3 9 6 2 2 3" xfId="17408"/>
    <cellStyle name="Normal 3 9 6 2 3" xfId="17409"/>
    <cellStyle name="Normal 3 9 6 2 3 2" xfId="17410"/>
    <cellStyle name="Normal 3 9 6 2 4" xfId="17411"/>
    <cellStyle name="Normal 3 9 6 3" xfId="17412"/>
    <cellStyle name="Normal 3 9 6 3 2" xfId="17413"/>
    <cellStyle name="Normal 3 9 6 3 2 2" xfId="17414"/>
    <cellStyle name="Normal 3 9 6 3 2 2 2" xfId="17415"/>
    <cellStyle name="Normal 3 9 6 3 2 3" xfId="17416"/>
    <cellStyle name="Normal 3 9 6 3 3" xfId="17417"/>
    <cellStyle name="Normal 3 9 6 3 3 2" xfId="17418"/>
    <cellStyle name="Normal 3 9 6 3 4" xfId="17419"/>
    <cellStyle name="Normal 3 9 6 4" xfId="17420"/>
    <cellStyle name="Normal 3 9 6 4 2" xfId="17421"/>
    <cellStyle name="Normal 3 9 6 4 2 2" xfId="17422"/>
    <cellStyle name="Normal 3 9 6 4 3" xfId="17423"/>
    <cellStyle name="Normal 3 9 6 5" xfId="17424"/>
    <cellStyle name="Normal 3 9 6 5 2" xfId="17425"/>
    <cellStyle name="Normal 3 9 6 6" xfId="17426"/>
    <cellStyle name="Normal 3 9 7" xfId="17427"/>
    <cellStyle name="Normal 3 9 7 2" xfId="17428"/>
    <cellStyle name="Normal 3 9 7 2 2" xfId="17429"/>
    <cellStyle name="Normal 3 9 7 2 2 2" xfId="17430"/>
    <cellStyle name="Normal 3 9 7 2 2 2 2" xfId="17431"/>
    <cellStyle name="Normal 3 9 7 2 2 3" xfId="17432"/>
    <cellStyle name="Normal 3 9 7 2 3" xfId="17433"/>
    <cellStyle name="Normal 3 9 7 2 3 2" xfId="17434"/>
    <cellStyle name="Normal 3 9 7 2 4" xfId="17435"/>
    <cellStyle name="Normal 3 9 7 3" xfId="17436"/>
    <cellStyle name="Normal 3 9 7 3 2" xfId="17437"/>
    <cellStyle name="Normal 3 9 7 3 2 2" xfId="17438"/>
    <cellStyle name="Normal 3 9 7 3 2 2 2" xfId="17439"/>
    <cellStyle name="Normal 3 9 7 3 2 3" xfId="17440"/>
    <cellStyle name="Normal 3 9 7 3 3" xfId="17441"/>
    <cellStyle name="Normal 3 9 7 3 3 2" xfId="17442"/>
    <cellStyle name="Normal 3 9 7 3 4" xfId="17443"/>
    <cellStyle name="Normal 3 9 7 4" xfId="17444"/>
    <cellStyle name="Normal 3 9 7 4 2" xfId="17445"/>
    <cellStyle name="Normal 3 9 7 4 2 2" xfId="17446"/>
    <cellStyle name="Normal 3 9 7 4 3" xfId="17447"/>
    <cellStyle name="Normal 3 9 7 5" xfId="17448"/>
    <cellStyle name="Normal 3 9 7 5 2" xfId="17449"/>
    <cellStyle name="Normal 3 9 7 6" xfId="17450"/>
    <cellStyle name="Normal 3 9 8" xfId="17451"/>
    <cellStyle name="Normal 3 9 8 2" xfId="17452"/>
    <cellStyle name="Normal 3 9 8 2 2" xfId="17453"/>
    <cellStyle name="Normal 3 9 8 2 2 2" xfId="17454"/>
    <cellStyle name="Normal 3 9 8 2 2 2 2" xfId="17455"/>
    <cellStyle name="Normal 3 9 8 2 2 3" xfId="17456"/>
    <cellStyle name="Normal 3 9 8 2 3" xfId="17457"/>
    <cellStyle name="Normal 3 9 8 2 3 2" xfId="17458"/>
    <cellStyle name="Normal 3 9 8 2 4" xfId="17459"/>
    <cellStyle name="Normal 3 9 8 3" xfId="17460"/>
    <cellStyle name="Normal 3 9 8 3 2" xfId="17461"/>
    <cellStyle name="Normal 3 9 8 3 2 2" xfId="17462"/>
    <cellStyle name="Normal 3 9 8 3 2 2 2" xfId="17463"/>
    <cellStyle name="Normal 3 9 8 3 2 3" xfId="17464"/>
    <cellStyle name="Normal 3 9 8 3 3" xfId="17465"/>
    <cellStyle name="Normal 3 9 8 3 3 2" xfId="17466"/>
    <cellStyle name="Normal 3 9 8 3 4" xfId="17467"/>
    <cellStyle name="Normal 3 9 8 4" xfId="17468"/>
    <cellStyle name="Normal 3 9 8 4 2" xfId="17469"/>
    <cellStyle name="Normal 3 9 8 4 2 2" xfId="17470"/>
    <cellStyle name="Normal 3 9 8 4 3" xfId="17471"/>
    <cellStyle name="Normal 3 9 8 5" xfId="17472"/>
    <cellStyle name="Normal 3 9 8 5 2" xfId="17473"/>
    <cellStyle name="Normal 3 9 8 6" xfId="17474"/>
    <cellStyle name="Normal 3 9 9" xfId="17475"/>
    <cellStyle name="Normal 3 9 9 2" xfId="17476"/>
    <cellStyle name="Normal 3 9 9 2 2" xfId="17477"/>
    <cellStyle name="Normal 3 9 9 2 2 2" xfId="17478"/>
    <cellStyle name="Normal 3 9 9 2 2 2 2" xfId="17479"/>
    <cellStyle name="Normal 3 9 9 2 2 3" xfId="17480"/>
    <cellStyle name="Normal 3 9 9 2 3" xfId="17481"/>
    <cellStyle name="Normal 3 9 9 2 3 2" xfId="17482"/>
    <cellStyle name="Normal 3 9 9 2 4" xfId="17483"/>
    <cellStyle name="Normal 3 9 9 3" xfId="17484"/>
    <cellStyle name="Normal 3 9 9 3 2" xfId="17485"/>
    <cellStyle name="Normal 3 9 9 3 2 2" xfId="17486"/>
    <cellStyle name="Normal 3 9 9 3 2 2 2" xfId="17487"/>
    <cellStyle name="Normal 3 9 9 3 2 3" xfId="17488"/>
    <cellStyle name="Normal 3 9 9 3 3" xfId="17489"/>
    <cellStyle name="Normal 3 9 9 3 3 2" xfId="17490"/>
    <cellStyle name="Normal 3 9 9 3 4" xfId="17491"/>
    <cellStyle name="Normal 3 9 9 4" xfId="17492"/>
    <cellStyle name="Normal 3 9 9 4 2" xfId="17493"/>
    <cellStyle name="Normal 3 9 9 4 2 2" xfId="17494"/>
    <cellStyle name="Normal 3 9 9 4 3" xfId="17495"/>
    <cellStyle name="Normal 3 9 9 5" xfId="17496"/>
    <cellStyle name="Normal 3 9 9 5 2" xfId="17497"/>
    <cellStyle name="Normal 3 9 9 6" xfId="17498"/>
    <cellStyle name="Normal 30" xfId="17499"/>
    <cellStyle name="Normal 31" xfId="17500"/>
    <cellStyle name="Normal 32" xfId="17501"/>
    <cellStyle name="Normal 33" xfId="17502"/>
    <cellStyle name="Normal 33 10" xfId="17503"/>
    <cellStyle name="Normal 33 10 10" xfId="17504"/>
    <cellStyle name="Normal 33 10 10 2" xfId="17505"/>
    <cellStyle name="Normal 33 10 10 2 2" xfId="17506"/>
    <cellStyle name="Normal 33 10 10 2 2 2" xfId="17507"/>
    <cellStyle name="Normal 33 10 10 2 2 2 2" xfId="17508"/>
    <cellStyle name="Normal 33 10 10 2 2 3" xfId="17509"/>
    <cellStyle name="Normal 33 10 10 2 3" xfId="17510"/>
    <cellStyle name="Normal 33 10 10 2 3 2" xfId="17511"/>
    <cellStyle name="Normal 33 10 10 2 4" xfId="17512"/>
    <cellStyle name="Normal 33 10 10 3" xfId="17513"/>
    <cellStyle name="Normal 33 10 10 3 2" xfId="17514"/>
    <cellStyle name="Normal 33 10 10 3 2 2" xfId="17515"/>
    <cellStyle name="Normal 33 10 10 3 2 2 2" xfId="17516"/>
    <cellStyle name="Normal 33 10 10 3 2 3" xfId="17517"/>
    <cellStyle name="Normal 33 10 10 3 3" xfId="17518"/>
    <cellStyle name="Normal 33 10 10 3 3 2" xfId="17519"/>
    <cellStyle name="Normal 33 10 10 3 4" xfId="17520"/>
    <cellStyle name="Normal 33 10 10 4" xfId="17521"/>
    <cellStyle name="Normal 33 10 10 4 2" xfId="17522"/>
    <cellStyle name="Normal 33 10 10 4 2 2" xfId="17523"/>
    <cellStyle name="Normal 33 10 10 4 3" xfId="17524"/>
    <cellStyle name="Normal 33 10 10 5" xfId="17525"/>
    <cellStyle name="Normal 33 10 10 5 2" xfId="17526"/>
    <cellStyle name="Normal 33 10 10 6" xfId="17527"/>
    <cellStyle name="Normal 33 10 11" xfId="17528"/>
    <cellStyle name="Normal 33 10 11 2" xfId="17529"/>
    <cellStyle name="Normal 33 10 11 2 2" xfId="17530"/>
    <cellStyle name="Normal 33 10 11 2 2 2" xfId="17531"/>
    <cellStyle name="Normal 33 10 11 2 2 2 2" xfId="17532"/>
    <cellStyle name="Normal 33 10 11 2 2 3" xfId="17533"/>
    <cellStyle name="Normal 33 10 11 2 3" xfId="17534"/>
    <cellStyle name="Normal 33 10 11 2 3 2" xfId="17535"/>
    <cellStyle name="Normal 33 10 11 2 4" xfId="17536"/>
    <cellStyle name="Normal 33 10 11 3" xfId="17537"/>
    <cellStyle name="Normal 33 10 11 3 2" xfId="17538"/>
    <cellStyle name="Normal 33 10 11 3 2 2" xfId="17539"/>
    <cellStyle name="Normal 33 10 11 3 2 2 2" xfId="17540"/>
    <cellStyle name="Normal 33 10 11 3 2 3" xfId="17541"/>
    <cellStyle name="Normal 33 10 11 3 3" xfId="17542"/>
    <cellStyle name="Normal 33 10 11 3 3 2" xfId="17543"/>
    <cellStyle name="Normal 33 10 11 3 4" xfId="17544"/>
    <cellStyle name="Normal 33 10 11 4" xfId="17545"/>
    <cellStyle name="Normal 33 10 11 4 2" xfId="17546"/>
    <cellStyle name="Normal 33 10 11 4 2 2" xfId="17547"/>
    <cellStyle name="Normal 33 10 11 4 3" xfId="17548"/>
    <cellStyle name="Normal 33 10 11 5" xfId="17549"/>
    <cellStyle name="Normal 33 10 11 5 2" xfId="17550"/>
    <cellStyle name="Normal 33 10 11 6" xfId="17551"/>
    <cellStyle name="Normal 33 10 12" xfId="17552"/>
    <cellStyle name="Normal 33 10 12 2" xfId="17553"/>
    <cellStyle name="Normal 33 10 12 2 2" xfId="17554"/>
    <cellStyle name="Normal 33 10 12 2 2 2" xfId="17555"/>
    <cellStyle name="Normal 33 10 12 2 2 2 2" xfId="17556"/>
    <cellStyle name="Normal 33 10 12 2 2 3" xfId="17557"/>
    <cellStyle name="Normal 33 10 12 2 3" xfId="17558"/>
    <cellStyle name="Normal 33 10 12 2 3 2" xfId="17559"/>
    <cellStyle name="Normal 33 10 12 2 4" xfId="17560"/>
    <cellStyle name="Normal 33 10 12 3" xfId="17561"/>
    <cellStyle name="Normal 33 10 12 3 2" xfId="17562"/>
    <cellStyle name="Normal 33 10 12 3 2 2" xfId="17563"/>
    <cellStyle name="Normal 33 10 12 3 2 2 2" xfId="17564"/>
    <cellStyle name="Normal 33 10 12 3 2 3" xfId="17565"/>
    <cellStyle name="Normal 33 10 12 3 3" xfId="17566"/>
    <cellStyle name="Normal 33 10 12 3 3 2" xfId="17567"/>
    <cellStyle name="Normal 33 10 12 3 4" xfId="17568"/>
    <cellStyle name="Normal 33 10 12 4" xfId="17569"/>
    <cellStyle name="Normal 33 10 12 4 2" xfId="17570"/>
    <cellStyle name="Normal 33 10 12 4 2 2" xfId="17571"/>
    <cellStyle name="Normal 33 10 12 4 3" xfId="17572"/>
    <cellStyle name="Normal 33 10 12 5" xfId="17573"/>
    <cellStyle name="Normal 33 10 12 5 2" xfId="17574"/>
    <cellStyle name="Normal 33 10 12 6" xfId="17575"/>
    <cellStyle name="Normal 33 10 13" xfId="17576"/>
    <cellStyle name="Normal 33 10 13 2" xfId="17577"/>
    <cellStyle name="Normal 33 10 13 2 2" xfId="17578"/>
    <cellStyle name="Normal 33 10 13 2 2 2" xfId="17579"/>
    <cellStyle name="Normal 33 10 13 2 2 2 2" xfId="17580"/>
    <cellStyle name="Normal 33 10 13 2 2 3" xfId="17581"/>
    <cellStyle name="Normal 33 10 13 2 3" xfId="17582"/>
    <cellStyle name="Normal 33 10 13 2 3 2" xfId="17583"/>
    <cellStyle name="Normal 33 10 13 2 4" xfId="17584"/>
    <cellStyle name="Normal 33 10 13 3" xfId="17585"/>
    <cellStyle name="Normal 33 10 13 3 2" xfId="17586"/>
    <cellStyle name="Normal 33 10 13 3 2 2" xfId="17587"/>
    <cellStyle name="Normal 33 10 13 3 2 2 2" xfId="17588"/>
    <cellStyle name="Normal 33 10 13 3 2 3" xfId="17589"/>
    <cellStyle name="Normal 33 10 13 3 3" xfId="17590"/>
    <cellStyle name="Normal 33 10 13 3 3 2" xfId="17591"/>
    <cellStyle name="Normal 33 10 13 3 4" xfId="17592"/>
    <cellStyle name="Normal 33 10 13 4" xfId="17593"/>
    <cellStyle name="Normal 33 10 13 4 2" xfId="17594"/>
    <cellStyle name="Normal 33 10 13 4 2 2" xfId="17595"/>
    <cellStyle name="Normal 33 10 13 4 3" xfId="17596"/>
    <cellStyle name="Normal 33 10 13 5" xfId="17597"/>
    <cellStyle name="Normal 33 10 13 5 2" xfId="17598"/>
    <cellStyle name="Normal 33 10 13 6" xfId="17599"/>
    <cellStyle name="Normal 33 10 14" xfId="17600"/>
    <cellStyle name="Normal 33 10 14 2" xfId="17601"/>
    <cellStyle name="Normal 33 10 14 2 2" xfId="17602"/>
    <cellStyle name="Normal 33 10 14 2 2 2" xfId="17603"/>
    <cellStyle name="Normal 33 10 14 2 3" xfId="17604"/>
    <cellStyle name="Normal 33 10 14 3" xfId="17605"/>
    <cellStyle name="Normal 33 10 14 3 2" xfId="17606"/>
    <cellStyle name="Normal 33 10 14 4" xfId="17607"/>
    <cellStyle name="Normal 33 10 15" xfId="17608"/>
    <cellStyle name="Normal 33 10 15 2" xfId="17609"/>
    <cellStyle name="Normal 33 10 15 2 2" xfId="17610"/>
    <cellStyle name="Normal 33 10 15 2 2 2" xfId="17611"/>
    <cellStyle name="Normal 33 10 15 2 3" xfId="17612"/>
    <cellStyle name="Normal 33 10 15 3" xfId="17613"/>
    <cellStyle name="Normal 33 10 15 3 2" xfId="17614"/>
    <cellStyle name="Normal 33 10 15 4" xfId="17615"/>
    <cellStyle name="Normal 33 10 16" xfId="17616"/>
    <cellStyle name="Normal 33 10 16 2" xfId="17617"/>
    <cellStyle name="Normal 33 10 16 2 2" xfId="17618"/>
    <cellStyle name="Normal 33 10 16 3" xfId="17619"/>
    <cellStyle name="Normal 33 10 17" xfId="17620"/>
    <cellStyle name="Normal 33 10 17 2" xfId="17621"/>
    <cellStyle name="Normal 33 10 18" xfId="17622"/>
    <cellStyle name="Normal 33 10 2" xfId="17623"/>
    <cellStyle name="Normal 33 10 2 2" xfId="17624"/>
    <cellStyle name="Normal 33 10 2 2 2" xfId="17625"/>
    <cellStyle name="Normal 33 10 2 2 2 2" xfId="17626"/>
    <cellStyle name="Normal 33 10 2 2 2 2 2" xfId="17627"/>
    <cellStyle name="Normal 33 10 2 2 2 3" xfId="17628"/>
    <cellStyle name="Normal 33 10 2 2 3" xfId="17629"/>
    <cellStyle name="Normal 33 10 2 2 3 2" xfId="17630"/>
    <cellStyle name="Normal 33 10 2 2 4" xfId="17631"/>
    <cellStyle name="Normal 33 10 2 3" xfId="17632"/>
    <cellStyle name="Normal 33 10 2 3 2" xfId="17633"/>
    <cellStyle name="Normal 33 10 2 3 2 2" xfId="17634"/>
    <cellStyle name="Normal 33 10 2 3 2 2 2" xfId="17635"/>
    <cellStyle name="Normal 33 10 2 3 2 3" xfId="17636"/>
    <cellStyle name="Normal 33 10 2 3 3" xfId="17637"/>
    <cellStyle name="Normal 33 10 2 3 3 2" xfId="17638"/>
    <cellStyle name="Normal 33 10 2 3 4" xfId="17639"/>
    <cellStyle name="Normal 33 10 2 4" xfId="17640"/>
    <cellStyle name="Normal 33 10 2 4 2" xfId="17641"/>
    <cellStyle name="Normal 33 10 2 4 2 2" xfId="17642"/>
    <cellStyle name="Normal 33 10 2 4 3" xfId="17643"/>
    <cellStyle name="Normal 33 10 2 5" xfId="17644"/>
    <cellStyle name="Normal 33 10 2 5 2" xfId="17645"/>
    <cellStyle name="Normal 33 10 2 6" xfId="17646"/>
    <cellStyle name="Normal 33 10 3" xfId="17647"/>
    <cellStyle name="Normal 33 10 3 2" xfId="17648"/>
    <cellStyle name="Normal 33 10 3 2 2" xfId="17649"/>
    <cellStyle name="Normal 33 10 3 2 2 2" xfId="17650"/>
    <cellStyle name="Normal 33 10 3 2 2 2 2" xfId="17651"/>
    <cellStyle name="Normal 33 10 3 2 2 3" xfId="17652"/>
    <cellStyle name="Normal 33 10 3 2 3" xfId="17653"/>
    <cellStyle name="Normal 33 10 3 2 3 2" xfId="17654"/>
    <cellStyle name="Normal 33 10 3 2 4" xfId="17655"/>
    <cellStyle name="Normal 33 10 3 3" xfId="17656"/>
    <cellStyle name="Normal 33 10 3 3 2" xfId="17657"/>
    <cellStyle name="Normal 33 10 3 3 2 2" xfId="17658"/>
    <cellStyle name="Normal 33 10 3 3 2 2 2" xfId="17659"/>
    <cellStyle name="Normal 33 10 3 3 2 3" xfId="17660"/>
    <cellStyle name="Normal 33 10 3 3 3" xfId="17661"/>
    <cellStyle name="Normal 33 10 3 3 3 2" xfId="17662"/>
    <cellStyle name="Normal 33 10 3 3 4" xfId="17663"/>
    <cellStyle name="Normal 33 10 3 4" xfId="17664"/>
    <cellStyle name="Normal 33 10 3 4 2" xfId="17665"/>
    <cellStyle name="Normal 33 10 3 4 2 2" xfId="17666"/>
    <cellStyle name="Normal 33 10 3 4 3" xfId="17667"/>
    <cellStyle name="Normal 33 10 3 5" xfId="17668"/>
    <cellStyle name="Normal 33 10 3 5 2" xfId="17669"/>
    <cellStyle name="Normal 33 10 3 6" xfId="17670"/>
    <cellStyle name="Normal 33 10 4" xfId="17671"/>
    <cellStyle name="Normal 33 10 4 2" xfId="17672"/>
    <cellStyle name="Normal 33 10 4 2 2" xfId="17673"/>
    <cellStyle name="Normal 33 10 4 2 2 2" xfId="17674"/>
    <cellStyle name="Normal 33 10 4 2 2 2 2" xfId="17675"/>
    <cellStyle name="Normal 33 10 4 2 2 3" xfId="17676"/>
    <cellStyle name="Normal 33 10 4 2 3" xfId="17677"/>
    <cellStyle name="Normal 33 10 4 2 3 2" xfId="17678"/>
    <cellStyle name="Normal 33 10 4 2 4" xfId="17679"/>
    <cellStyle name="Normal 33 10 4 3" xfId="17680"/>
    <cellStyle name="Normal 33 10 4 3 2" xfId="17681"/>
    <cellStyle name="Normal 33 10 4 3 2 2" xfId="17682"/>
    <cellStyle name="Normal 33 10 4 3 2 2 2" xfId="17683"/>
    <cellStyle name="Normal 33 10 4 3 2 3" xfId="17684"/>
    <cellStyle name="Normal 33 10 4 3 3" xfId="17685"/>
    <cellStyle name="Normal 33 10 4 3 3 2" xfId="17686"/>
    <cellStyle name="Normal 33 10 4 3 4" xfId="17687"/>
    <cellStyle name="Normal 33 10 4 4" xfId="17688"/>
    <cellStyle name="Normal 33 10 4 4 2" xfId="17689"/>
    <cellStyle name="Normal 33 10 4 4 2 2" xfId="17690"/>
    <cellStyle name="Normal 33 10 4 4 3" xfId="17691"/>
    <cellStyle name="Normal 33 10 4 5" xfId="17692"/>
    <cellStyle name="Normal 33 10 4 5 2" xfId="17693"/>
    <cellStyle name="Normal 33 10 4 6" xfId="17694"/>
    <cellStyle name="Normal 33 10 5" xfId="17695"/>
    <cellStyle name="Normal 33 10 5 2" xfId="17696"/>
    <cellStyle name="Normal 33 10 5 2 2" xfId="17697"/>
    <cellStyle name="Normal 33 10 5 2 2 2" xfId="17698"/>
    <cellStyle name="Normal 33 10 5 2 2 2 2" xfId="17699"/>
    <cellStyle name="Normal 33 10 5 2 2 3" xfId="17700"/>
    <cellStyle name="Normal 33 10 5 2 3" xfId="17701"/>
    <cellStyle name="Normal 33 10 5 2 3 2" xfId="17702"/>
    <cellStyle name="Normal 33 10 5 2 4" xfId="17703"/>
    <cellStyle name="Normal 33 10 5 3" xfId="17704"/>
    <cellStyle name="Normal 33 10 5 3 2" xfId="17705"/>
    <cellStyle name="Normal 33 10 5 3 2 2" xfId="17706"/>
    <cellStyle name="Normal 33 10 5 3 2 2 2" xfId="17707"/>
    <cellStyle name="Normal 33 10 5 3 2 3" xfId="17708"/>
    <cellStyle name="Normal 33 10 5 3 3" xfId="17709"/>
    <cellStyle name="Normal 33 10 5 3 3 2" xfId="17710"/>
    <cellStyle name="Normal 33 10 5 3 4" xfId="17711"/>
    <cellStyle name="Normal 33 10 5 4" xfId="17712"/>
    <cellStyle name="Normal 33 10 5 4 2" xfId="17713"/>
    <cellStyle name="Normal 33 10 5 4 2 2" xfId="17714"/>
    <cellStyle name="Normal 33 10 5 4 3" xfId="17715"/>
    <cellStyle name="Normal 33 10 5 5" xfId="17716"/>
    <cellStyle name="Normal 33 10 5 5 2" xfId="17717"/>
    <cellStyle name="Normal 33 10 5 6" xfId="17718"/>
    <cellStyle name="Normal 33 10 6" xfId="17719"/>
    <cellStyle name="Normal 33 10 6 2" xfId="17720"/>
    <cellStyle name="Normal 33 10 6 2 2" xfId="17721"/>
    <cellStyle name="Normal 33 10 6 2 2 2" xfId="17722"/>
    <cellStyle name="Normal 33 10 6 2 2 2 2" xfId="17723"/>
    <cellStyle name="Normal 33 10 6 2 2 3" xfId="17724"/>
    <cellStyle name="Normal 33 10 6 2 3" xfId="17725"/>
    <cellStyle name="Normal 33 10 6 2 3 2" xfId="17726"/>
    <cellStyle name="Normal 33 10 6 2 4" xfId="17727"/>
    <cellStyle name="Normal 33 10 6 3" xfId="17728"/>
    <cellStyle name="Normal 33 10 6 3 2" xfId="17729"/>
    <cellStyle name="Normal 33 10 6 3 2 2" xfId="17730"/>
    <cellStyle name="Normal 33 10 6 3 2 2 2" xfId="17731"/>
    <cellStyle name="Normal 33 10 6 3 2 3" xfId="17732"/>
    <cellStyle name="Normal 33 10 6 3 3" xfId="17733"/>
    <cellStyle name="Normal 33 10 6 3 3 2" xfId="17734"/>
    <cellStyle name="Normal 33 10 6 3 4" xfId="17735"/>
    <cellStyle name="Normal 33 10 6 4" xfId="17736"/>
    <cellStyle name="Normal 33 10 6 4 2" xfId="17737"/>
    <cellStyle name="Normal 33 10 6 4 2 2" xfId="17738"/>
    <cellStyle name="Normal 33 10 6 4 3" xfId="17739"/>
    <cellStyle name="Normal 33 10 6 5" xfId="17740"/>
    <cellStyle name="Normal 33 10 6 5 2" xfId="17741"/>
    <cellStyle name="Normal 33 10 6 6" xfId="17742"/>
    <cellStyle name="Normal 33 10 7" xfId="17743"/>
    <cellStyle name="Normal 33 10 7 2" xfId="17744"/>
    <cellStyle name="Normal 33 10 7 2 2" xfId="17745"/>
    <cellStyle name="Normal 33 10 7 2 2 2" xfId="17746"/>
    <cellStyle name="Normal 33 10 7 2 2 2 2" xfId="17747"/>
    <cellStyle name="Normal 33 10 7 2 2 3" xfId="17748"/>
    <cellStyle name="Normal 33 10 7 2 3" xfId="17749"/>
    <cellStyle name="Normal 33 10 7 2 3 2" xfId="17750"/>
    <cellStyle name="Normal 33 10 7 2 4" xfId="17751"/>
    <cellStyle name="Normal 33 10 7 3" xfId="17752"/>
    <cellStyle name="Normal 33 10 7 3 2" xfId="17753"/>
    <cellStyle name="Normal 33 10 7 3 2 2" xfId="17754"/>
    <cellStyle name="Normal 33 10 7 3 2 2 2" xfId="17755"/>
    <cellStyle name="Normal 33 10 7 3 2 3" xfId="17756"/>
    <cellStyle name="Normal 33 10 7 3 3" xfId="17757"/>
    <cellStyle name="Normal 33 10 7 3 3 2" xfId="17758"/>
    <cellStyle name="Normal 33 10 7 3 4" xfId="17759"/>
    <cellStyle name="Normal 33 10 7 4" xfId="17760"/>
    <cellStyle name="Normal 33 10 7 4 2" xfId="17761"/>
    <cellStyle name="Normal 33 10 7 4 2 2" xfId="17762"/>
    <cellStyle name="Normal 33 10 7 4 3" xfId="17763"/>
    <cellStyle name="Normal 33 10 7 5" xfId="17764"/>
    <cellStyle name="Normal 33 10 7 5 2" xfId="17765"/>
    <cellStyle name="Normal 33 10 7 6" xfId="17766"/>
    <cellStyle name="Normal 33 10 8" xfId="17767"/>
    <cellStyle name="Normal 33 10 8 2" xfId="17768"/>
    <cellStyle name="Normal 33 10 8 2 2" xfId="17769"/>
    <cellStyle name="Normal 33 10 8 2 2 2" xfId="17770"/>
    <cellStyle name="Normal 33 10 8 2 2 2 2" xfId="17771"/>
    <cellStyle name="Normal 33 10 8 2 2 3" xfId="17772"/>
    <cellStyle name="Normal 33 10 8 2 3" xfId="17773"/>
    <cellStyle name="Normal 33 10 8 2 3 2" xfId="17774"/>
    <cellStyle name="Normal 33 10 8 2 4" xfId="17775"/>
    <cellStyle name="Normal 33 10 8 3" xfId="17776"/>
    <cellStyle name="Normal 33 10 8 3 2" xfId="17777"/>
    <cellStyle name="Normal 33 10 8 3 2 2" xfId="17778"/>
    <cellStyle name="Normal 33 10 8 3 2 2 2" xfId="17779"/>
    <cellStyle name="Normal 33 10 8 3 2 3" xfId="17780"/>
    <cellStyle name="Normal 33 10 8 3 3" xfId="17781"/>
    <cellStyle name="Normal 33 10 8 3 3 2" xfId="17782"/>
    <cellStyle name="Normal 33 10 8 3 4" xfId="17783"/>
    <cellStyle name="Normal 33 10 8 4" xfId="17784"/>
    <cellStyle name="Normal 33 10 8 4 2" xfId="17785"/>
    <cellStyle name="Normal 33 10 8 4 2 2" xfId="17786"/>
    <cellStyle name="Normal 33 10 8 4 3" xfId="17787"/>
    <cellStyle name="Normal 33 10 8 5" xfId="17788"/>
    <cellStyle name="Normal 33 10 8 5 2" xfId="17789"/>
    <cellStyle name="Normal 33 10 8 6" xfId="17790"/>
    <cellStyle name="Normal 33 10 9" xfId="17791"/>
    <cellStyle name="Normal 33 10 9 2" xfId="17792"/>
    <cellStyle name="Normal 33 10 9 2 2" xfId="17793"/>
    <cellStyle name="Normal 33 10 9 2 2 2" xfId="17794"/>
    <cellStyle name="Normal 33 10 9 2 2 2 2" xfId="17795"/>
    <cellStyle name="Normal 33 10 9 2 2 3" xfId="17796"/>
    <cellStyle name="Normal 33 10 9 2 3" xfId="17797"/>
    <cellStyle name="Normal 33 10 9 2 3 2" xfId="17798"/>
    <cellStyle name="Normal 33 10 9 2 4" xfId="17799"/>
    <cellStyle name="Normal 33 10 9 3" xfId="17800"/>
    <cellStyle name="Normal 33 10 9 3 2" xfId="17801"/>
    <cellStyle name="Normal 33 10 9 3 2 2" xfId="17802"/>
    <cellStyle name="Normal 33 10 9 3 2 2 2" xfId="17803"/>
    <cellStyle name="Normal 33 10 9 3 2 3" xfId="17804"/>
    <cellStyle name="Normal 33 10 9 3 3" xfId="17805"/>
    <cellStyle name="Normal 33 10 9 3 3 2" xfId="17806"/>
    <cellStyle name="Normal 33 10 9 3 4" xfId="17807"/>
    <cellStyle name="Normal 33 10 9 4" xfId="17808"/>
    <cellStyle name="Normal 33 10 9 4 2" xfId="17809"/>
    <cellStyle name="Normal 33 10 9 4 2 2" xfId="17810"/>
    <cellStyle name="Normal 33 10 9 4 3" xfId="17811"/>
    <cellStyle name="Normal 33 10 9 5" xfId="17812"/>
    <cellStyle name="Normal 33 10 9 5 2" xfId="17813"/>
    <cellStyle name="Normal 33 10 9 6" xfId="17814"/>
    <cellStyle name="Normal 33 11" xfId="17815"/>
    <cellStyle name="Normal 33 11 10" xfId="17816"/>
    <cellStyle name="Normal 33 11 10 2" xfId="17817"/>
    <cellStyle name="Normal 33 11 10 2 2" xfId="17818"/>
    <cellStyle name="Normal 33 11 10 2 2 2" xfId="17819"/>
    <cellStyle name="Normal 33 11 10 2 2 2 2" xfId="17820"/>
    <cellStyle name="Normal 33 11 10 2 2 3" xfId="17821"/>
    <cellStyle name="Normal 33 11 10 2 3" xfId="17822"/>
    <cellStyle name="Normal 33 11 10 2 3 2" xfId="17823"/>
    <cellStyle name="Normal 33 11 10 2 4" xfId="17824"/>
    <cellStyle name="Normal 33 11 10 3" xfId="17825"/>
    <cellStyle name="Normal 33 11 10 3 2" xfId="17826"/>
    <cellStyle name="Normal 33 11 10 3 2 2" xfId="17827"/>
    <cellStyle name="Normal 33 11 10 3 2 2 2" xfId="17828"/>
    <cellStyle name="Normal 33 11 10 3 2 3" xfId="17829"/>
    <cellStyle name="Normal 33 11 10 3 3" xfId="17830"/>
    <cellStyle name="Normal 33 11 10 3 3 2" xfId="17831"/>
    <cellStyle name="Normal 33 11 10 3 4" xfId="17832"/>
    <cellStyle name="Normal 33 11 10 4" xfId="17833"/>
    <cellStyle name="Normal 33 11 10 4 2" xfId="17834"/>
    <cellStyle name="Normal 33 11 10 4 2 2" xfId="17835"/>
    <cellStyle name="Normal 33 11 10 4 3" xfId="17836"/>
    <cellStyle name="Normal 33 11 10 5" xfId="17837"/>
    <cellStyle name="Normal 33 11 10 5 2" xfId="17838"/>
    <cellStyle name="Normal 33 11 10 6" xfId="17839"/>
    <cellStyle name="Normal 33 11 11" xfId="17840"/>
    <cellStyle name="Normal 33 11 11 2" xfId="17841"/>
    <cellStyle name="Normal 33 11 11 2 2" xfId="17842"/>
    <cellStyle name="Normal 33 11 11 2 2 2" xfId="17843"/>
    <cellStyle name="Normal 33 11 11 2 2 2 2" xfId="17844"/>
    <cellStyle name="Normal 33 11 11 2 2 3" xfId="17845"/>
    <cellStyle name="Normal 33 11 11 2 3" xfId="17846"/>
    <cellStyle name="Normal 33 11 11 2 3 2" xfId="17847"/>
    <cellStyle name="Normal 33 11 11 2 4" xfId="17848"/>
    <cellStyle name="Normal 33 11 11 3" xfId="17849"/>
    <cellStyle name="Normal 33 11 11 3 2" xfId="17850"/>
    <cellStyle name="Normal 33 11 11 3 2 2" xfId="17851"/>
    <cellStyle name="Normal 33 11 11 3 2 2 2" xfId="17852"/>
    <cellStyle name="Normal 33 11 11 3 2 3" xfId="17853"/>
    <cellStyle name="Normal 33 11 11 3 3" xfId="17854"/>
    <cellStyle name="Normal 33 11 11 3 3 2" xfId="17855"/>
    <cellStyle name="Normal 33 11 11 3 4" xfId="17856"/>
    <cellStyle name="Normal 33 11 11 4" xfId="17857"/>
    <cellStyle name="Normal 33 11 11 4 2" xfId="17858"/>
    <cellStyle name="Normal 33 11 11 4 2 2" xfId="17859"/>
    <cellStyle name="Normal 33 11 11 4 3" xfId="17860"/>
    <cellStyle name="Normal 33 11 11 5" xfId="17861"/>
    <cellStyle name="Normal 33 11 11 5 2" xfId="17862"/>
    <cellStyle name="Normal 33 11 11 6" xfId="17863"/>
    <cellStyle name="Normal 33 11 12" xfId="17864"/>
    <cellStyle name="Normal 33 11 12 2" xfId="17865"/>
    <cellStyle name="Normal 33 11 12 2 2" xfId="17866"/>
    <cellStyle name="Normal 33 11 12 2 2 2" xfId="17867"/>
    <cellStyle name="Normal 33 11 12 2 2 2 2" xfId="17868"/>
    <cellStyle name="Normal 33 11 12 2 2 3" xfId="17869"/>
    <cellStyle name="Normal 33 11 12 2 3" xfId="17870"/>
    <cellStyle name="Normal 33 11 12 2 3 2" xfId="17871"/>
    <cellStyle name="Normal 33 11 12 2 4" xfId="17872"/>
    <cellStyle name="Normal 33 11 12 3" xfId="17873"/>
    <cellStyle name="Normal 33 11 12 3 2" xfId="17874"/>
    <cellStyle name="Normal 33 11 12 3 2 2" xfId="17875"/>
    <cellStyle name="Normal 33 11 12 3 2 2 2" xfId="17876"/>
    <cellStyle name="Normal 33 11 12 3 2 3" xfId="17877"/>
    <cellStyle name="Normal 33 11 12 3 3" xfId="17878"/>
    <cellStyle name="Normal 33 11 12 3 3 2" xfId="17879"/>
    <cellStyle name="Normal 33 11 12 3 4" xfId="17880"/>
    <cellStyle name="Normal 33 11 12 4" xfId="17881"/>
    <cellStyle name="Normal 33 11 12 4 2" xfId="17882"/>
    <cellStyle name="Normal 33 11 12 4 2 2" xfId="17883"/>
    <cellStyle name="Normal 33 11 12 4 3" xfId="17884"/>
    <cellStyle name="Normal 33 11 12 5" xfId="17885"/>
    <cellStyle name="Normal 33 11 12 5 2" xfId="17886"/>
    <cellStyle name="Normal 33 11 12 6" xfId="17887"/>
    <cellStyle name="Normal 33 11 13" xfId="17888"/>
    <cellStyle name="Normal 33 11 13 2" xfId="17889"/>
    <cellStyle name="Normal 33 11 13 2 2" xfId="17890"/>
    <cellStyle name="Normal 33 11 13 2 2 2" xfId="17891"/>
    <cellStyle name="Normal 33 11 13 2 2 2 2" xfId="17892"/>
    <cellStyle name="Normal 33 11 13 2 2 3" xfId="17893"/>
    <cellStyle name="Normal 33 11 13 2 3" xfId="17894"/>
    <cellStyle name="Normal 33 11 13 2 3 2" xfId="17895"/>
    <cellStyle name="Normal 33 11 13 2 4" xfId="17896"/>
    <cellStyle name="Normal 33 11 13 3" xfId="17897"/>
    <cellStyle name="Normal 33 11 13 3 2" xfId="17898"/>
    <cellStyle name="Normal 33 11 13 3 2 2" xfId="17899"/>
    <cellStyle name="Normal 33 11 13 3 2 2 2" xfId="17900"/>
    <cellStyle name="Normal 33 11 13 3 2 3" xfId="17901"/>
    <cellStyle name="Normal 33 11 13 3 3" xfId="17902"/>
    <cellStyle name="Normal 33 11 13 3 3 2" xfId="17903"/>
    <cellStyle name="Normal 33 11 13 3 4" xfId="17904"/>
    <cellStyle name="Normal 33 11 13 4" xfId="17905"/>
    <cellStyle name="Normal 33 11 13 4 2" xfId="17906"/>
    <cellStyle name="Normal 33 11 13 4 2 2" xfId="17907"/>
    <cellStyle name="Normal 33 11 13 4 3" xfId="17908"/>
    <cellStyle name="Normal 33 11 13 5" xfId="17909"/>
    <cellStyle name="Normal 33 11 13 5 2" xfId="17910"/>
    <cellStyle name="Normal 33 11 13 6" xfId="17911"/>
    <cellStyle name="Normal 33 11 14" xfId="17912"/>
    <cellStyle name="Normal 33 11 14 2" xfId="17913"/>
    <cellStyle name="Normal 33 11 14 2 2" xfId="17914"/>
    <cellStyle name="Normal 33 11 14 2 2 2" xfId="17915"/>
    <cellStyle name="Normal 33 11 14 2 3" xfId="17916"/>
    <cellStyle name="Normal 33 11 14 3" xfId="17917"/>
    <cellStyle name="Normal 33 11 14 3 2" xfId="17918"/>
    <cellStyle name="Normal 33 11 14 4" xfId="17919"/>
    <cellStyle name="Normal 33 11 15" xfId="17920"/>
    <cellStyle name="Normal 33 11 15 2" xfId="17921"/>
    <cellStyle name="Normal 33 11 15 2 2" xfId="17922"/>
    <cellStyle name="Normal 33 11 15 2 2 2" xfId="17923"/>
    <cellStyle name="Normal 33 11 15 2 3" xfId="17924"/>
    <cellStyle name="Normal 33 11 15 3" xfId="17925"/>
    <cellStyle name="Normal 33 11 15 3 2" xfId="17926"/>
    <cellStyle name="Normal 33 11 15 4" xfId="17927"/>
    <cellStyle name="Normal 33 11 16" xfId="17928"/>
    <cellStyle name="Normal 33 11 16 2" xfId="17929"/>
    <cellStyle name="Normal 33 11 16 2 2" xfId="17930"/>
    <cellStyle name="Normal 33 11 16 3" xfId="17931"/>
    <cellStyle name="Normal 33 11 17" xfId="17932"/>
    <cellStyle name="Normal 33 11 17 2" xfId="17933"/>
    <cellStyle name="Normal 33 11 18" xfId="17934"/>
    <cellStyle name="Normal 33 11 2" xfId="17935"/>
    <cellStyle name="Normal 33 11 2 2" xfId="17936"/>
    <cellStyle name="Normal 33 11 2 2 2" xfId="17937"/>
    <cellStyle name="Normal 33 11 2 2 2 2" xfId="17938"/>
    <cellStyle name="Normal 33 11 2 2 2 2 2" xfId="17939"/>
    <cellStyle name="Normal 33 11 2 2 2 3" xfId="17940"/>
    <cellStyle name="Normal 33 11 2 2 3" xfId="17941"/>
    <cellStyle name="Normal 33 11 2 2 3 2" xfId="17942"/>
    <cellStyle name="Normal 33 11 2 2 4" xfId="17943"/>
    <cellStyle name="Normal 33 11 2 3" xfId="17944"/>
    <cellStyle name="Normal 33 11 2 3 2" xfId="17945"/>
    <cellStyle name="Normal 33 11 2 3 2 2" xfId="17946"/>
    <cellStyle name="Normal 33 11 2 3 2 2 2" xfId="17947"/>
    <cellStyle name="Normal 33 11 2 3 2 3" xfId="17948"/>
    <cellStyle name="Normal 33 11 2 3 3" xfId="17949"/>
    <cellStyle name="Normal 33 11 2 3 3 2" xfId="17950"/>
    <cellStyle name="Normal 33 11 2 3 4" xfId="17951"/>
    <cellStyle name="Normal 33 11 2 4" xfId="17952"/>
    <cellStyle name="Normal 33 11 2 4 2" xfId="17953"/>
    <cellStyle name="Normal 33 11 2 4 2 2" xfId="17954"/>
    <cellStyle name="Normal 33 11 2 4 3" xfId="17955"/>
    <cellStyle name="Normal 33 11 2 5" xfId="17956"/>
    <cellStyle name="Normal 33 11 2 5 2" xfId="17957"/>
    <cellStyle name="Normal 33 11 2 6" xfId="17958"/>
    <cellStyle name="Normal 33 11 3" xfId="17959"/>
    <cellStyle name="Normal 33 11 3 2" xfId="17960"/>
    <cellStyle name="Normal 33 11 3 2 2" xfId="17961"/>
    <cellStyle name="Normal 33 11 3 2 2 2" xfId="17962"/>
    <cellStyle name="Normal 33 11 3 2 2 2 2" xfId="17963"/>
    <cellStyle name="Normal 33 11 3 2 2 3" xfId="17964"/>
    <cellStyle name="Normal 33 11 3 2 3" xfId="17965"/>
    <cellStyle name="Normal 33 11 3 2 3 2" xfId="17966"/>
    <cellStyle name="Normal 33 11 3 2 4" xfId="17967"/>
    <cellStyle name="Normal 33 11 3 3" xfId="17968"/>
    <cellStyle name="Normal 33 11 3 3 2" xfId="17969"/>
    <cellStyle name="Normal 33 11 3 3 2 2" xfId="17970"/>
    <cellStyle name="Normal 33 11 3 3 2 2 2" xfId="17971"/>
    <cellStyle name="Normal 33 11 3 3 2 3" xfId="17972"/>
    <cellStyle name="Normal 33 11 3 3 3" xfId="17973"/>
    <cellStyle name="Normal 33 11 3 3 3 2" xfId="17974"/>
    <cellStyle name="Normal 33 11 3 3 4" xfId="17975"/>
    <cellStyle name="Normal 33 11 3 4" xfId="17976"/>
    <cellStyle name="Normal 33 11 3 4 2" xfId="17977"/>
    <cellStyle name="Normal 33 11 3 4 2 2" xfId="17978"/>
    <cellStyle name="Normal 33 11 3 4 3" xfId="17979"/>
    <cellStyle name="Normal 33 11 3 5" xfId="17980"/>
    <cellStyle name="Normal 33 11 3 5 2" xfId="17981"/>
    <cellStyle name="Normal 33 11 3 6" xfId="17982"/>
    <cellStyle name="Normal 33 11 4" xfId="17983"/>
    <cellStyle name="Normal 33 11 4 2" xfId="17984"/>
    <cellStyle name="Normal 33 11 4 2 2" xfId="17985"/>
    <cellStyle name="Normal 33 11 4 2 2 2" xfId="17986"/>
    <cellStyle name="Normal 33 11 4 2 2 2 2" xfId="17987"/>
    <cellStyle name="Normal 33 11 4 2 2 3" xfId="17988"/>
    <cellStyle name="Normal 33 11 4 2 3" xfId="17989"/>
    <cellStyle name="Normal 33 11 4 2 3 2" xfId="17990"/>
    <cellStyle name="Normal 33 11 4 2 4" xfId="17991"/>
    <cellStyle name="Normal 33 11 4 3" xfId="17992"/>
    <cellStyle name="Normal 33 11 4 3 2" xfId="17993"/>
    <cellStyle name="Normal 33 11 4 3 2 2" xfId="17994"/>
    <cellStyle name="Normal 33 11 4 3 2 2 2" xfId="17995"/>
    <cellStyle name="Normal 33 11 4 3 2 3" xfId="17996"/>
    <cellStyle name="Normal 33 11 4 3 3" xfId="17997"/>
    <cellStyle name="Normal 33 11 4 3 3 2" xfId="17998"/>
    <cellStyle name="Normal 33 11 4 3 4" xfId="17999"/>
    <cellStyle name="Normal 33 11 4 4" xfId="18000"/>
    <cellStyle name="Normal 33 11 4 4 2" xfId="18001"/>
    <cellStyle name="Normal 33 11 4 4 2 2" xfId="18002"/>
    <cellStyle name="Normal 33 11 4 4 3" xfId="18003"/>
    <cellStyle name="Normal 33 11 4 5" xfId="18004"/>
    <cellStyle name="Normal 33 11 4 5 2" xfId="18005"/>
    <cellStyle name="Normal 33 11 4 6" xfId="18006"/>
    <cellStyle name="Normal 33 11 5" xfId="18007"/>
    <cellStyle name="Normal 33 11 5 2" xfId="18008"/>
    <cellStyle name="Normal 33 11 5 2 2" xfId="18009"/>
    <cellStyle name="Normal 33 11 5 2 2 2" xfId="18010"/>
    <cellStyle name="Normal 33 11 5 2 2 2 2" xfId="18011"/>
    <cellStyle name="Normal 33 11 5 2 2 3" xfId="18012"/>
    <cellStyle name="Normal 33 11 5 2 3" xfId="18013"/>
    <cellStyle name="Normal 33 11 5 2 3 2" xfId="18014"/>
    <cellStyle name="Normal 33 11 5 2 4" xfId="18015"/>
    <cellStyle name="Normal 33 11 5 3" xfId="18016"/>
    <cellStyle name="Normal 33 11 5 3 2" xfId="18017"/>
    <cellStyle name="Normal 33 11 5 3 2 2" xfId="18018"/>
    <cellStyle name="Normal 33 11 5 3 2 2 2" xfId="18019"/>
    <cellStyle name="Normal 33 11 5 3 2 3" xfId="18020"/>
    <cellStyle name="Normal 33 11 5 3 3" xfId="18021"/>
    <cellStyle name="Normal 33 11 5 3 3 2" xfId="18022"/>
    <cellStyle name="Normal 33 11 5 3 4" xfId="18023"/>
    <cellStyle name="Normal 33 11 5 4" xfId="18024"/>
    <cellStyle name="Normal 33 11 5 4 2" xfId="18025"/>
    <cellStyle name="Normal 33 11 5 4 2 2" xfId="18026"/>
    <cellStyle name="Normal 33 11 5 4 3" xfId="18027"/>
    <cellStyle name="Normal 33 11 5 5" xfId="18028"/>
    <cellStyle name="Normal 33 11 5 5 2" xfId="18029"/>
    <cellStyle name="Normal 33 11 5 6" xfId="18030"/>
    <cellStyle name="Normal 33 11 6" xfId="18031"/>
    <cellStyle name="Normal 33 11 6 2" xfId="18032"/>
    <cellStyle name="Normal 33 11 6 2 2" xfId="18033"/>
    <cellStyle name="Normal 33 11 6 2 2 2" xfId="18034"/>
    <cellStyle name="Normal 33 11 6 2 2 2 2" xfId="18035"/>
    <cellStyle name="Normal 33 11 6 2 2 3" xfId="18036"/>
    <cellStyle name="Normal 33 11 6 2 3" xfId="18037"/>
    <cellStyle name="Normal 33 11 6 2 3 2" xfId="18038"/>
    <cellStyle name="Normal 33 11 6 2 4" xfId="18039"/>
    <cellStyle name="Normal 33 11 6 3" xfId="18040"/>
    <cellStyle name="Normal 33 11 6 3 2" xfId="18041"/>
    <cellStyle name="Normal 33 11 6 3 2 2" xfId="18042"/>
    <cellStyle name="Normal 33 11 6 3 2 2 2" xfId="18043"/>
    <cellStyle name="Normal 33 11 6 3 2 3" xfId="18044"/>
    <cellStyle name="Normal 33 11 6 3 3" xfId="18045"/>
    <cellStyle name="Normal 33 11 6 3 3 2" xfId="18046"/>
    <cellStyle name="Normal 33 11 6 3 4" xfId="18047"/>
    <cellStyle name="Normal 33 11 6 4" xfId="18048"/>
    <cellStyle name="Normal 33 11 6 4 2" xfId="18049"/>
    <cellStyle name="Normal 33 11 6 4 2 2" xfId="18050"/>
    <cellStyle name="Normal 33 11 6 4 3" xfId="18051"/>
    <cellStyle name="Normal 33 11 6 5" xfId="18052"/>
    <cellStyle name="Normal 33 11 6 5 2" xfId="18053"/>
    <cellStyle name="Normal 33 11 6 6" xfId="18054"/>
    <cellStyle name="Normal 33 11 7" xfId="18055"/>
    <cellStyle name="Normal 33 11 7 2" xfId="18056"/>
    <cellStyle name="Normal 33 11 7 2 2" xfId="18057"/>
    <cellStyle name="Normal 33 11 7 2 2 2" xfId="18058"/>
    <cellStyle name="Normal 33 11 7 2 2 2 2" xfId="18059"/>
    <cellStyle name="Normal 33 11 7 2 2 3" xfId="18060"/>
    <cellStyle name="Normal 33 11 7 2 3" xfId="18061"/>
    <cellStyle name="Normal 33 11 7 2 3 2" xfId="18062"/>
    <cellStyle name="Normal 33 11 7 2 4" xfId="18063"/>
    <cellStyle name="Normal 33 11 7 3" xfId="18064"/>
    <cellStyle name="Normal 33 11 7 3 2" xfId="18065"/>
    <cellStyle name="Normal 33 11 7 3 2 2" xfId="18066"/>
    <cellStyle name="Normal 33 11 7 3 2 2 2" xfId="18067"/>
    <cellStyle name="Normal 33 11 7 3 2 3" xfId="18068"/>
    <cellStyle name="Normal 33 11 7 3 3" xfId="18069"/>
    <cellStyle name="Normal 33 11 7 3 3 2" xfId="18070"/>
    <cellStyle name="Normal 33 11 7 3 4" xfId="18071"/>
    <cellStyle name="Normal 33 11 7 4" xfId="18072"/>
    <cellStyle name="Normal 33 11 7 4 2" xfId="18073"/>
    <cellStyle name="Normal 33 11 7 4 2 2" xfId="18074"/>
    <cellStyle name="Normal 33 11 7 4 3" xfId="18075"/>
    <cellStyle name="Normal 33 11 7 5" xfId="18076"/>
    <cellStyle name="Normal 33 11 7 5 2" xfId="18077"/>
    <cellStyle name="Normal 33 11 7 6" xfId="18078"/>
    <cellStyle name="Normal 33 11 8" xfId="18079"/>
    <cellStyle name="Normal 33 11 8 2" xfId="18080"/>
    <cellStyle name="Normal 33 11 8 2 2" xfId="18081"/>
    <cellStyle name="Normal 33 11 8 2 2 2" xfId="18082"/>
    <cellStyle name="Normal 33 11 8 2 2 2 2" xfId="18083"/>
    <cellStyle name="Normal 33 11 8 2 2 3" xfId="18084"/>
    <cellStyle name="Normal 33 11 8 2 3" xfId="18085"/>
    <cellStyle name="Normal 33 11 8 2 3 2" xfId="18086"/>
    <cellStyle name="Normal 33 11 8 2 4" xfId="18087"/>
    <cellStyle name="Normal 33 11 8 3" xfId="18088"/>
    <cellStyle name="Normal 33 11 8 3 2" xfId="18089"/>
    <cellStyle name="Normal 33 11 8 3 2 2" xfId="18090"/>
    <cellStyle name="Normal 33 11 8 3 2 2 2" xfId="18091"/>
    <cellStyle name="Normal 33 11 8 3 2 3" xfId="18092"/>
    <cellStyle name="Normal 33 11 8 3 3" xfId="18093"/>
    <cellStyle name="Normal 33 11 8 3 3 2" xfId="18094"/>
    <cellStyle name="Normal 33 11 8 3 4" xfId="18095"/>
    <cellStyle name="Normal 33 11 8 4" xfId="18096"/>
    <cellStyle name="Normal 33 11 8 4 2" xfId="18097"/>
    <cellStyle name="Normal 33 11 8 4 2 2" xfId="18098"/>
    <cellStyle name="Normal 33 11 8 4 3" xfId="18099"/>
    <cellStyle name="Normal 33 11 8 5" xfId="18100"/>
    <cellStyle name="Normal 33 11 8 5 2" xfId="18101"/>
    <cellStyle name="Normal 33 11 8 6" xfId="18102"/>
    <cellStyle name="Normal 33 11 9" xfId="18103"/>
    <cellStyle name="Normal 33 11 9 2" xfId="18104"/>
    <cellStyle name="Normal 33 11 9 2 2" xfId="18105"/>
    <cellStyle name="Normal 33 11 9 2 2 2" xfId="18106"/>
    <cellStyle name="Normal 33 11 9 2 2 2 2" xfId="18107"/>
    <cellStyle name="Normal 33 11 9 2 2 3" xfId="18108"/>
    <cellStyle name="Normal 33 11 9 2 3" xfId="18109"/>
    <cellStyle name="Normal 33 11 9 2 3 2" xfId="18110"/>
    <cellStyle name="Normal 33 11 9 2 4" xfId="18111"/>
    <cellStyle name="Normal 33 11 9 3" xfId="18112"/>
    <cellStyle name="Normal 33 11 9 3 2" xfId="18113"/>
    <cellStyle name="Normal 33 11 9 3 2 2" xfId="18114"/>
    <cellStyle name="Normal 33 11 9 3 2 2 2" xfId="18115"/>
    <cellStyle name="Normal 33 11 9 3 2 3" xfId="18116"/>
    <cellStyle name="Normal 33 11 9 3 3" xfId="18117"/>
    <cellStyle name="Normal 33 11 9 3 3 2" xfId="18118"/>
    <cellStyle name="Normal 33 11 9 3 4" xfId="18119"/>
    <cellStyle name="Normal 33 11 9 4" xfId="18120"/>
    <cellStyle name="Normal 33 11 9 4 2" xfId="18121"/>
    <cellStyle name="Normal 33 11 9 4 2 2" xfId="18122"/>
    <cellStyle name="Normal 33 11 9 4 3" xfId="18123"/>
    <cellStyle name="Normal 33 11 9 5" xfId="18124"/>
    <cellStyle name="Normal 33 11 9 5 2" xfId="18125"/>
    <cellStyle name="Normal 33 11 9 6" xfId="18126"/>
    <cellStyle name="Normal 33 12" xfId="18127"/>
    <cellStyle name="Normal 33 12 10" xfId="18128"/>
    <cellStyle name="Normal 33 12 10 2" xfId="18129"/>
    <cellStyle name="Normal 33 12 10 2 2" xfId="18130"/>
    <cellStyle name="Normal 33 12 10 2 2 2" xfId="18131"/>
    <cellStyle name="Normal 33 12 10 2 2 2 2" xfId="18132"/>
    <cellStyle name="Normal 33 12 10 2 2 3" xfId="18133"/>
    <cellStyle name="Normal 33 12 10 2 3" xfId="18134"/>
    <cellStyle name="Normal 33 12 10 2 3 2" xfId="18135"/>
    <cellStyle name="Normal 33 12 10 2 4" xfId="18136"/>
    <cellStyle name="Normal 33 12 10 3" xfId="18137"/>
    <cellStyle name="Normal 33 12 10 3 2" xfId="18138"/>
    <cellStyle name="Normal 33 12 10 3 2 2" xfId="18139"/>
    <cellStyle name="Normal 33 12 10 3 2 2 2" xfId="18140"/>
    <cellStyle name="Normal 33 12 10 3 2 3" xfId="18141"/>
    <cellStyle name="Normal 33 12 10 3 3" xfId="18142"/>
    <cellStyle name="Normal 33 12 10 3 3 2" xfId="18143"/>
    <cellStyle name="Normal 33 12 10 3 4" xfId="18144"/>
    <cellStyle name="Normal 33 12 10 4" xfId="18145"/>
    <cellStyle name="Normal 33 12 10 4 2" xfId="18146"/>
    <cellStyle name="Normal 33 12 10 4 2 2" xfId="18147"/>
    <cellStyle name="Normal 33 12 10 4 3" xfId="18148"/>
    <cellStyle name="Normal 33 12 10 5" xfId="18149"/>
    <cellStyle name="Normal 33 12 10 5 2" xfId="18150"/>
    <cellStyle name="Normal 33 12 10 6" xfId="18151"/>
    <cellStyle name="Normal 33 12 11" xfId="18152"/>
    <cellStyle name="Normal 33 12 11 2" xfId="18153"/>
    <cellStyle name="Normal 33 12 11 2 2" xfId="18154"/>
    <cellStyle name="Normal 33 12 11 2 2 2" xfId="18155"/>
    <cellStyle name="Normal 33 12 11 2 2 2 2" xfId="18156"/>
    <cellStyle name="Normal 33 12 11 2 2 3" xfId="18157"/>
    <cellStyle name="Normal 33 12 11 2 3" xfId="18158"/>
    <cellStyle name="Normal 33 12 11 2 3 2" xfId="18159"/>
    <cellStyle name="Normal 33 12 11 2 4" xfId="18160"/>
    <cellStyle name="Normal 33 12 11 3" xfId="18161"/>
    <cellStyle name="Normal 33 12 11 3 2" xfId="18162"/>
    <cellStyle name="Normal 33 12 11 3 2 2" xfId="18163"/>
    <cellStyle name="Normal 33 12 11 3 2 2 2" xfId="18164"/>
    <cellStyle name="Normal 33 12 11 3 2 3" xfId="18165"/>
    <cellStyle name="Normal 33 12 11 3 3" xfId="18166"/>
    <cellStyle name="Normal 33 12 11 3 3 2" xfId="18167"/>
    <cellStyle name="Normal 33 12 11 3 4" xfId="18168"/>
    <cellStyle name="Normal 33 12 11 4" xfId="18169"/>
    <cellStyle name="Normal 33 12 11 4 2" xfId="18170"/>
    <cellStyle name="Normal 33 12 11 4 2 2" xfId="18171"/>
    <cellStyle name="Normal 33 12 11 4 3" xfId="18172"/>
    <cellStyle name="Normal 33 12 11 5" xfId="18173"/>
    <cellStyle name="Normal 33 12 11 5 2" xfId="18174"/>
    <cellStyle name="Normal 33 12 11 6" xfId="18175"/>
    <cellStyle name="Normal 33 12 12" xfId="18176"/>
    <cellStyle name="Normal 33 12 12 2" xfId="18177"/>
    <cellStyle name="Normal 33 12 12 2 2" xfId="18178"/>
    <cellStyle name="Normal 33 12 12 2 2 2" xfId="18179"/>
    <cellStyle name="Normal 33 12 12 2 2 2 2" xfId="18180"/>
    <cellStyle name="Normal 33 12 12 2 2 3" xfId="18181"/>
    <cellStyle name="Normal 33 12 12 2 3" xfId="18182"/>
    <cellStyle name="Normal 33 12 12 2 3 2" xfId="18183"/>
    <cellStyle name="Normal 33 12 12 2 4" xfId="18184"/>
    <cellStyle name="Normal 33 12 12 3" xfId="18185"/>
    <cellStyle name="Normal 33 12 12 3 2" xfId="18186"/>
    <cellStyle name="Normal 33 12 12 3 2 2" xfId="18187"/>
    <cellStyle name="Normal 33 12 12 3 2 2 2" xfId="18188"/>
    <cellStyle name="Normal 33 12 12 3 2 3" xfId="18189"/>
    <cellStyle name="Normal 33 12 12 3 3" xfId="18190"/>
    <cellStyle name="Normal 33 12 12 3 3 2" xfId="18191"/>
    <cellStyle name="Normal 33 12 12 3 4" xfId="18192"/>
    <cellStyle name="Normal 33 12 12 4" xfId="18193"/>
    <cellStyle name="Normal 33 12 12 4 2" xfId="18194"/>
    <cellStyle name="Normal 33 12 12 4 2 2" xfId="18195"/>
    <cellStyle name="Normal 33 12 12 4 3" xfId="18196"/>
    <cellStyle name="Normal 33 12 12 5" xfId="18197"/>
    <cellStyle name="Normal 33 12 12 5 2" xfId="18198"/>
    <cellStyle name="Normal 33 12 12 6" xfId="18199"/>
    <cellStyle name="Normal 33 12 13" xfId="18200"/>
    <cellStyle name="Normal 33 12 13 2" xfId="18201"/>
    <cellStyle name="Normal 33 12 13 2 2" xfId="18202"/>
    <cellStyle name="Normal 33 12 13 2 2 2" xfId="18203"/>
    <cellStyle name="Normal 33 12 13 2 2 2 2" xfId="18204"/>
    <cellStyle name="Normal 33 12 13 2 2 3" xfId="18205"/>
    <cellStyle name="Normal 33 12 13 2 3" xfId="18206"/>
    <cellStyle name="Normal 33 12 13 2 3 2" xfId="18207"/>
    <cellStyle name="Normal 33 12 13 2 4" xfId="18208"/>
    <cellStyle name="Normal 33 12 13 3" xfId="18209"/>
    <cellStyle name="Normal 33 12 13 3 2" xfId="18210"/>
    <cellStyle name="Normal 33 12 13 3 2 2" xfId="18211"/>
    <cellStyle name="Normal 33 12 13 3 2 2 2" xfId="18212"/>
    <cellStyle name="Normal 33 12 13 3 2 3" xfId="18213"/>
    <cellStyle name="Normal 33 12 13 3 3" xfId="18214"/>
    <cellStyle name="Normal 33 12 13 3 3 2" xfId="18215"/>
    <cellStyle name="Normal 33 12 13 3 4" xfId="18216"/>
    <cellStyle name="Normal 33 12 13 4" xfId="18217"/>
    <cellStyle name="Normal 33 12 13 4 2" xfId="18218"/>
    <cellStyle name="Normal 33 12 13 4 2 2" xfId="18219"/>
    <cellStyle name="Normal 33 12 13 4 3" xfId="18220"/>
    <cellStyle name="Normal 33 12 13 5" xfId="18221"/>
    <cellStyle name="Normal 33 12 13 5 2" xfId="18222"/>
    <cellStyle name="Normal 33 12 13 6" xfId="18223"/>
    <cellStyle name="Normal 33 12 14" xfId="18224"/>
    <cellStyle name="Normal 33 12 14 2" xfId="18225"/>
    <cellStyle name="Normal 33 12 14 2 2" xfId="18226"/>
    <cellStyle name="Normal 33 12 14 2 2 2" xfId="18227"/>
    <cellStyle name="Normal 33 12 14 2 3" xfId="18228"/>
    <cellStyle name="Normal 33 12 14 3" xfId="18229"/>
    <cellStyle name="Normal 33 12 14 3 2" xfId="18230"/>
    <cellStyle name="Normal 33 12 14 4" xfId="18231"/>
    <cellStyle name="Normal 33 12 15" xfId="18232"/>
    <cellStyle name="Normal 33 12 15 2" xfId="18233"/>
    <cellStyle name="Normal 33 12 15 2 2" xfId="18234"/>
    <cellStyle name="Normal 33 12 15 2 2 2" xfId="18235"/>
    <cellStyle name="Normal 33 12 15 2 3" xfId="18236"/>
    <cellStyle name="Normal 33 12 15 3" xfId="18237"/>
    <cellStyle name="Normal 33 12 15 3 2" xfId="18238"/>
    <cellStyle name="Normal 33 12 15 4" xfId="18239"/>
    <cellStyle name="Normal 33 12 16" xfId="18240"/>
    <cellStyle name="Normal 33 12 16 2" xfId="18241"/>
    <cellStyle name="Normal 33 12 16 2 2" xfId="18242"/>
    <cellStyle name="Normal 33 12 16 3" xfId="18243"/>
    <cellStyle name="Normal 33 12 17" xfId="18244"/>
    <cellStyle name="Normal 33 12 17 2" xfId="18245"/>
    <cellStyle name="Normal 33 12 18" xfId="18246"/>
    <cellStyle name="Normal 33 12 2" xfId="18247"/>
    <cellStyle name="Normal 33 12 2 2" xfId="18248"/>
    <cellStyle name="Normal 33 12 2 2 2" xfId="18249"/>
    <cellStyle name="Normal 33 12 2 2 2 2" xfId="18250"/>
    <cellStyle name="Normal 33 12 2 2 2 2 2" xfId="18251"/>
    <cellStyle name="Normal 33 12 2 2 2 3" xfId="18252"/>
    <cellStyle name="Normal 33 12 2 2 3" xfId="18253"/>
    <cellStyle name="Normal 33 12 2 2 3 2" xfId="18254"/>
    <cellStyle name="Normal 33 12 2 2 4" xfId="18255"/>
    <cellStyle name="Normal 33 12 2 3" xfId="18256"/>
    <cellStyle name="Normal 33 12 2 3 2" xfId="18257"/>
    <cellStyle name="Normal 33 12 2 3 2 2" xfId="18258"/>
    <cellStyle name="Normal 33 12 2 3 2 2 2" xfId="18259"/>
    <cellStyle name="Normal 33 12 2 3 2 3" xfId="18260"/>
    <cellStyle name="Normal 33 12 2 3 3" xfId="18261"/>
    <cellStyle name="Normal 33 12 2 3 3 2" xfId="18262"/>
    <cellStyle name="Normal 33 12 2 3 4" xfId="18263"/>
    <cellStyle name="Normal 33 12 2 4" xfId="18264"/>
    <cellStyle name="Normal 33 12 2 4 2" xfId="18265"/>
    <cellStyle name="Normal 33 12 2 4 2 2" xfId="18266"/>
    <cellStyle name="Normal 33 12 2 4 3" xfId="18267"/>
    <cellStyle name="Normal 33 12 2 5" xfId="18268"/>
    <cellStyle name="Normal 33 12 2 5 2" xfId="18269"/>
    <cellStyle name="Normal 33 12 2 6" xfId="18270"/>
    <cellStyle name="Normal 33 12 3" xfId="18271"/>
    <cellStyle name="Normal 33 12 3 2" xfId="18272"/>
    <cellStyle name="Normal 33 12 3 2 2" xfId="18273"/>
    <cellStyle name="Normal 33 12 3 2 2 2" xfId="18274"/>
    <cellStyle name="Normal 33 12 3 2 2 2 2" xfId="18275"/>
    <cellStyle name="Normal 33 12 3 2 2 3" xfId="18276"/>
    <cellStyle name="Normal 33 12 3 2 3" xfId="18277"/>
    <cellStyle name="Normal 33 12 3 2 3 2" xfId="18278"/>
    <cellStyle name="Normal 33 12 3 2 4" xfId="18279"/>
    <cellStyle name="Normal 33 12 3 3" xfId="18280"/>
    <cellStyle name="Normal 33 12 3 3 2" xfId="18281"/>
    <cellStyle name="Normal 33 12 3 3 2 2" xfId="18282"/>
    <cellStyle name="Normal 33 12 3 3 2 2 2" xfId="18283"/>
    <cellStyle name="Normal 33 12 3 3 2 3" xfId="18284"/>
    <cellStyle name="Normal 33 12 3 3 3" xfId="18285"/>
    <cellStyle name="Normal 33 12 3 3 3 2" xfId="18286"/>
    <cellStyle name="Normal 33 12 3 3 4" xfId="18287"/>
    <cellStyle name="Normal 33 12 3 4" xfId="18288"/>
    <cellStyle name="Normal 33 12 3 4 2" xfId="18289"/>
    <cellStyle name="Normal 33 12 3 4 2 2" xfId="18290"/>
    <cellStyle name="Normal 33 12 3 4 3" xfId="18291"/>
    <cellStyle name="Normal 33 12 3 5" xfId="18292"/>
    <cellStyle name="Normal 33 12 3 5 2" xfId="18293"/>
    <cellStyle name="Normal 33 12 3 6" xfId="18294"/>
    <cellStyle name="Normal 33 12 4" xfId="18295"/>
    <cellStyle name="Normal 33 12 4 2" xfId="18296"/>
    <cellStyle name="Normal 33 12 4 2 2" xfId="18297"/>
    <cellStyle name="Normal 33 12 4 2 2 2" xfId="18298"/>
    <cellStyle name="Normal 33 12 4 2 2 2 2" xfId="18299"/>
    <cellStyle name="Normal 33 12 4 2 2 3" xfId="18300"/>
    <cellStyle name="Normal 33 12 4 2 3" xfId="18301"/>
    <cellStyle name="Normal 33 12 4 2 3 2" xfId="18302"/>
    <cellStyle name="Normal 33 12 4 2 4" xfId="18303"/>
    <cellStyle name="Normal 33 12 4 3" xfId="18304"/>
    <cellStyle name="Normal 33 12 4 3 2" xfId="18305"/>
    <cellStyle name="Normal 33 12 4 3 2 2" xfId="18306"/>
    <cellStyle name="Normal 33 12 4 3 2 2 2" xfId="18307"/>
    <cellStyle name="Normal 33 12 4 3 2 3" xfId="18308"/>
    <cellStyle name="Normal 33 12 4 3 3" xfId="18309"/>
    <cellStyle name="Normal 33 12 4 3 3 2" xfId="18310"/>
    <cellStyle name="Normal 33 12 4 3 4" xfId="18311"/>
    <cellStyle name="Normal 33 12 4 4" xfId="18312"/>
    <cellStyle name="Normal 33 12 4 4 2" xfId="18313"/>
    <cellStyle name="Normal 33 12 4 4 2 2" xfId="18314"/>
    <cellStyle name="Normal 33 12 4 4 3" xfId="18315"/>
    <cellStyle name="Normal 33 12 4 5" xfId="18316"/>
    <cellStyle name="Normal 33 12 4 5 2" xfId="18317"/>
    <cellStyle name="Normal 33 12 4 6" xfId="18318"/>
    <cellStyle name="Normal 33 12 5" xfId="18319"/>
    <cellStyle name="Normal 33 12 5 2" xfId="18320"/>
    <cellStyle name="Normal 33 12 5 2 2" xfId="18321"/>
    <cellStyle name="Normal 33 12 5 2 2 2" xfId="18322"/>
    <cellStyle name="Normal 33 12 5 2 2 2 2" xfId="18323"/>
    <cellStyle name="Normal 33 12 5 2 2 3" xfId="18324"/>
    <cellStyle name="Normal 33 12 5 2 3" xfId="18325"/>
    <cellStyle name="Normal 33 12 5 2 3 2" xfId="18326"/>
    <cellStyle name="Normal 33 12 5 2 4" xfId="18327"/>
    <cellStyle name="Normal 33 12 5 3" xfId="18328"/>
    <cellStyle name="Normal 33 12 5 3 2" xfId="18329"/>
    <cellStyle name="Normal 33 12 5 3 2 2" xfId="18330"/>
    <cellStyle name="Normal 33 12 5 3 2 2 2" xfId="18331"/>
    <cellStyle name="Normal 33 12 5 3 2 3" xfId="18332"/>
    <cellStyle name="Normal 33 12 5 3 3" xfId="18333"/>
    <cellStyle name="Normal 33 12 5 3 3 2" xfId="18334"/>
    <cellStyle name="Normal 33 12 5 3 4" xfId="18335"/>
    <cellStyle name="Normal 33 12 5 4" xfId="18336"/>
    <cellStyle name="Normal 33 12 5 4 2" xfId="18337"/>
    <cellStyle name="Normal 33 12 5 4 2 2" xfId="18338"/>
    <cellStyle name="Normal 33 12 5 4 3" xfId="18339"/>
    <cellStyle name="Normal 33 12 5 5" xfId="18340"/>
    <cellStyle name="Normal 33 12 5 5 2" xfId="18341"/>
    <cellStyle name="Normal 33 12 5 6" xfId="18342"/>
    <cellStyle name="Normal 33 12 6" xfId="18343"/>
    <cellStyle name="Normal 33 12 6 2" xfId="18344"/>
    <cellStyle name="Normal 33 12 6 2 2" xfId="18345"/>
    <cellStyle name="Normal 33 12 6 2 2 2" xfId="18346"/>
    <cellStyle name="Normal 33 12 6 2 2 2 2" xfId="18347"/>
    <cellStyle name="Normal 33 12 6 2 2 3" xfId="18348"/>
    <cellStyle name="Normal 33 12 6 2 3" xfId="18349"/>
    <cellStyle name="Normal 33 12 6 2 3 2" xfId="18350"/>
    <cellStyle name="Normal 33 12 6 2 4" xfId="18351"/>
    <cellStyle name="Normal 33 12 6 3" xfId="18352"/>
    <cellStyle name="Normal 33 12 6 3 2" xfId="18353"/>
    <cellStyle name="Normal 33 12 6 3 2 2" xfId="18354"/>
    <cellStyle name="Normal 33 12 6 3 2 2 2" xfId="18355"/>
    <cellStyle name="Normal 33 12 6 3 2 3" xfId="18356"/>
    <cellStyle name="Normal 33 12 6 3 3" xfId="18357"/>
    <cellStyle name="Normal 33 12 6 3 3 2" xfId="18358"/>
    <cellStyle name="Normal 33 12 6 3 4" xfId="18359"/>
    <cellStyle name="Normal 33 12 6 4" xfId="18360"/>
    <cellStyle name="Normal 33 12 6 4 2" xfId="18361"/>
    <cellStyle name="Normal 33 12 6 4 2 2" xfId="18362"/>
    <cellStyle name="Normal 33 12 6 4 3" xfId="18363"/>
    <cellStyle name="Normal 33 12 6 5" xfId="18364"/>
    <cellStyle name="Normal 33 12 6 5 2" xfId="18365"/>
    <cellStyle name="Normal 33 12 6 6" xfId="18366"/>
    <cellStyle name="Normal 33 12 7" xfId="18367"/>
    <cellStyle name="Normal 33 12 7 2" xfId="18368"/>
    <cellStyle name="Normal 33 12 7 2 2" xfId="18369"/>
    <cellStyle name="Normal 33 12 7 2 2 2" xfId="18370"/>
    <cellStyle name="Normal 33 12 7 2 2 2 2" xfId="18371"/>
    <cellStyle name="Normal 33 12 7 2 2 3" xfId="18372"/>
    <cellStyle name="Normal 33 12 7 2 3" xfId="18373"/>
    <cellStyle name="Normal 33 12 7 2 3 2" xfId="18374"/>
    <cellStyle name="Normal 33 12 7 2 4" xfId="18375"/>
    <cellStyle name="Normal 33 12 7 3" xfId="18376"/>
    <cellStyle name="Normal 33 12 7 3 2" xfId="18377"/>
    <cellStyle name="Normal 33 12 7 3 2 2" xfId="18378"/>
    <cellStyle name="Normal 33 12 7 3 2 2 2" xfId="18379"/>
    <cellStyle name="Normal 33 12 7 3 2 3" xfId="18380"/>
    <cellStyle name="Normal 33 12 7 3 3" xfId="18381"/>
    <cellStyle name="Normal 33 12 7 3 3 2" xfId="18382"/>
    <cellStyle name="Normal 33 12 7 3 4" xfId="18383"/>
    <cellStyle name="Normal 33 12 7 4" xfId="18384"/>
    <cellStyle name="Normal 33 12 7 4 2" xfId="18385"/>
    <cellStyle name="Normal 33 12 7 4 2 2" xfId="18386"/>
    <cellStyle name="Normal 33 12 7 4 3" xfId="18387"/>
    <cellStyle name="Normal 33 12 7 5" xfId="18388"/>
    <cellStyle name="Normal 33 12 7 5 2" xfId="18389"/>
    <cellStyle name="Normal 33 12 7 6" xfId="18390"/>
    <cellStyle name="Normal 33 12 8" xfId="18391"/>
    <cellStyle name="Normal 33 12 8 2" xfId="18392"/>
    <cellStyle name="Normal 33 12 8 2 2" xfId="18393"/>
    <cellStyle name="Normal 33 12 8 2 2 2" xfId="18394"/>
    <cellStyle name="Normal 33 12 8 2 2 2 2" xfId="18395"/>
    <cellStyle name="Normal 33 12 8 2 2 3" xfId="18396"/>
    <cellStyle name="Normal 33 12 8 2 3" xfId="18397"/>
    <cellStyle name="Normal 33 12 8 2 3 2" xfId="18398"/>
    <cellStyle name="Normal 33 12 8 2 4" xfId="18399"/>
    <cellStyle name="Normal 33 12 8 3" xfId="18400"/>
    <cellStyle name="Normal 33 12 8 3 2" xfId="18401"/>
    <cellStyle name="Normal 33 12 8 3 2 2" xfId="18402"/>
    <cellStyle name="Normal 33 12 8 3 2 2 2" xfId="18403"/>
    <cellStyle name="Normal 33 12 8 3 2 3" xfId="18404"/>
    <cellStyle name="Normal 33 12 8 3 3" xfId="18405"/>
    <cellStyle name="Normal 33 12 8 3 3 2" xfId="18406"/>
    <cellStyle name="Normal 33 12 8 3 4" xfId="18407"/>
    <cellStyle name="Normal 33 12 8 4" xfId="18408"/>
    <cellStyle name="Normal 33 12 8 4 2" xfId="18409"/>
    <cellStyle name="Normal 33 12 8 4 2 2" xfId="18410"/>
    <cellStyle name="Normal 33 12 8 4 3" xfId="18411"/>
    <cellStyle name="Normal 33 12 8 5" xfId="18412"/>
    <cellStyle name="Normal 33 12 8 5 2" xfId="18413"/>
    <cellStyle name="Normal 33 12 8 6" xfId="18414"/>
    <cellStyle name="Normal 33 12 9" xfId="18415"/>
    <cellStyle name="Normal 33 12 9 2" xfId="18416"/>
    <cellStyle name="Normal 33 12 9 2 2" xfId="18417"/>
    <cellStyle name="Normal 33 12 9 2 2 2" xfId="18418"/>
    <cellStyle name="Normal 33 12 9 2 2 2 2" xfId="18419"/>
    <cellStyle name="Normal 33 12 9 2 2 3" xfId="18420"/>
    <cellStyle name="Normal 33 12 9 2 3" xfId="18421"/>
    <cellStyle name="Normal 33 12 9 2 3 2" xfId="18422"/>
    <cellStyle name="Normal 33 12 9 2 4" xfId="18423"/>
    <cellStyle name="Normal 33 12 9 3" xfId="18424"/>
    <cellStyle name="Normal 33 12 9 3 2" xfId="18425"/>
    <cellStyle name="Normal 33 12 9 3 2 2" xfId="18426"/>
    <cellStyle name="Normal 33 12 9 3 2 2 2" xfId="18427"/>
    <cellStyle name="Normal 33 12 9 3 2 3" xfId="18428"/>
    <cellStyle name="Normal 33 12 9 3 3" xfId="18429"/>
    <cellStyle name="Normal 33 12 9 3 3 2" xfId="18430"/>
    <cellStyle name="Normal 33 12 9 3 4" xfId="18431"/>
    <cellStyle name="Normal 33 12 9 4" xfId="18432"/>
    <cellStyle name="Normal 33 12 9 4 2" xfId="18433"/>
    <cellStyle name="Normal 33 12 9 4 2 2" xfId="18434"/>
    <cellStyle name="Normal 33 12 9 4 3" xfId="18435"/>
    <cellStyle name="Normal 33 12 9 5" xfId="18436"/>
    <cellStyle name="Normal 33 12 9 5 2" xfId="18437"/>
    <cellStyle name="Normal 33 12 9 6" xfId="18438"/>
    <cellStyle name="Normal 33 13" xfId="18439"/>
    <cellStyle name="Normal 33 13 10" xfId="18440"/>
    <cellStyle name="Normal 33 13 10 2" xfId="18441"/>
    <cellStyle name="Normal 33 13 10 2 2" xfId="18442"/>
    <cellStyle name="Normal 33 13 10 2 2 2" xfId="18443"/>
    <cellStyle name="Normal 33 13 10 2 2 2 2" xfId="18444"/>
    <cellStyle name="Normal 33 13 10 2 2 3" xfId="18445"/>
    <cellStyle name="Normal 33 13 10 2 3" xfId="18446"/>
    <cellStyle name="Normal 33 13 10 2 3 2" xfId="18447"/>
    <cellStyle name="Normal 33 13 10 2 4" xfId="18448"/>
    <cellStyle name="Normal 33 13 10 3" xfId="18449"/>
    <cellStyle name="Normal 33 13 10 3 2" xfId="18450"/>
    <cellStyle name="Normal 33 13 10 3 2 2" xfId="18451"/>
    <cellStyle name="Normal 33 13 10 3 2 2 2" xfId="18452"/>
    <cellStyle name="Normal 33 13 10 3 2 3" xfId="18453"/>
    <cellStyle name="Normal 33 13 10 3 3" xfId="18454"/>
    <cellStyle name="Normal 33 13 10 3 3 2" xfId="18455"/>
    <cellStyle name="Normal 33 13 10 3 4" xfId="18456"/>
    <cellStyle name="Normal 33 13 10 4" xfId="18457"/>
    <cellStyle name="Normal 33 13 10 4 2" xfId="18458"/>
    <cellStyle name="Normal 33 13 10 4 2 2" xfId="18459"/>
    <cellStyle name="Normal 33 13 10 4 3" xfId="18460"/>
    <cellStyle name="Normal 33 13 10 5" xfId="18461"/>
    <cellStyle name="Normal 33 13 10 5 2" xfId="18462"/>
    <cellStyle name="Normal 33 13 10 6" xfId="18463"/>
    <cellStyle name="Normal 33 13 11" xfId="18464"/>
    <cellStyle name="Normal 33 13 11 2" xfId="18465"/>
    <cellStyle name="Normal 33 13 11 2 2" xfId="18466"/>
    <cellStyle name="Normal 33 13 11 2 2 2" xfId="18467"/>
    <cellStyle name="Normal 33 13 11 2 2 2 2" xfId="18468"/>
    <cellStyle name="Normal 33 13 11 2 2 3" xfId="18469"/>
    <cellStyle name="Normal 33 13 11 2 3" xfId="18470"/>
    <cellStyle name="Normal 33 13 11 2 3 2" xfId="18471"/>
    <cellStyle name="Normal 33 13 11 2 4" xfId="18472"/>
    <cellStyle name="Normal 33 13 11 3" xfId="18473"/>
    <cellStyle name="Normal 33 13 11 3 2" xfId="18474"/>
    <cellStyle name="Normal 33 13 11 3 2 2" xfId="18475"/>
    <cellStyle name="Normal 33 13 11 3 2 2 2" xfId="18476"/>
    <cellStyle name="Normal 33 13 11 3 2 3" xfId="18477"/>
    <cellStyle name="Normal 33 13 11 3 3" xfId="18478"/>
    <cellStyle name="Normal 33 13 11 3 3 2" xfId="18479"/>
    <cellStyle name="Normal 33 13 11 3 4" xfId="18480"/>
    <cellStyle name="Normal 33 13 11 4" xfId="18481"/>
    <cellStyle name="Normal 33 13 11 4 2" xfId="18482"/>
    <cellStyle name="Normal 33 13 11 4 2 2" xfId="18483"/>
    <cellStyle name="Normal 33 13 11 4 3" xfId="18484"/>
    <cellStyle name="Normal 33 13 11 5" xfId="18485"/>
    <cellStyle name="Normal 33 13 11 5 2" xfId="18486"/>
    <cellStyle name="Normal 33 13 11 6" xfId="18487"/>
    <cellStyle name="Normal 33 13 12" xfId="18488"/>
    <cellStyle name="Normal 33 13 12 2" xfId="18489"/>
    <cellStyle name="Normal 33 13 12 2 2" xfId="18490"/>
    <cellStyle name="Normal 33 13 12 2 2 2" xfId="18491"/>
    <cellStyle name="Normal 33 13 12 2 2 2 2" xfId="18492"/>
    <cellStyle name="Normal 33 13 12 2 2 3" xfId="18493"/>
    <cellStyle name="Normal 33 13 12 2 3" xfId="18494"/>
    <cellStyle name="Normal 33 13 12 2 3 2" xfId="18495"/>
    <cellStyle name="Normal 33 13 12 2 4" xfId="18496"/>
    <cellStyle name="Normal 33 13 12 3" xfId="18497"/>
    <cellStyle name="Normal 33 13 12 3 2" xfId="18498"/>
    <cellStyle name="Normal 33 13 12 3 2 2" xfId="18499"/>
    <cellStyle name="Normal 33 13 12 3 2 2 2" xfId="18500"/>
    <cellStyle name="Normal 33 13 12 3 2 3" xfId="18501"/>
    <cellStyle name="Normal 33 13 12 3 3" xfId="18502"/>
    <cellStyle name="Normal 33 13 12 3 3 2" xfId="18503"/>
    <cellStyle name="Normal 33 13 12 3 4" xfId="18504"/>
    <cellStyle name="Normal 33 13 12 4" xfId="18505"/>
    <cellStyle name="Normal 33 13 12 4 2" xfId="18506"/>
    <cellStyle name="Normal 33 13 12 4 2 2" xfId="18507"/>
    <cellStyle name="Normal 33 13 12 4 3" xfId="18508"/>
    <cellStyle name="Normal 33 13 12 5" xfId="18509"/>
    <cellStyle name="Normal 33 13 12 5 2" xfId="18510"/>
    <cellStyle name="Normal 33 13 12 6" xfId="18511"/>
    <cellStyle name="Normal 33 13 13" xfId="18512"/>
    <cellStyle name="Normal 33 13 13 2" xfId="18513"/>
    <cellStyle name="Normal 33 13 13 2 2" xfId="18514"/>
    <cellStyle name="Normal 33 13 13 2 2 2" xfId="18515"/>
    <cellStyle name="Normal 33 13 13 2 2 2 2" xfId="18516"/>
    <cellStyle name="Normal 33 13 13 2 2 3" xfId="18517"/>
    <cellStyle name="Normal 33 13 13 2 3" xfId="18518"/>
    <cellStyle name="Normal 33 13 13 2 3 2" xfId="18519"/>
    <cellStyle name="Normal 33 13 13 2 4" xfId="18520"/>
    <cellStyle name="Normal 33 13 13 3" xfId="18521"/>
    <cellStyle name="Normal 33 13 13 3 2" xfId="18522"/>
    <cellStyle name="Normal 33 13 13 3 2 2" xfId="18523"/>
    <cellStyle name="Normal 33 13 13 3 2 2 2" xfId="18524"/>
    <cellStyle name="Normal 33 13 13 3 2 3" xfId="18525"/>
    <cellStyle name="Normal 33 13 13 3 3" xfId="18526"/>
    <cellStyle name="Normal 33 13 13 3 3 2" xfId="18527"/>
    <cellStyle name="Normal 33 13 13 3 4" xfId="18528"/>
    <cellStyle name="Normal 33 13 13 4" xfId="18529"/>
    <cellStyle name="Normal 33 13 13 4 2" xfId="18530"/>
    <cellStyle name="Normal 33 13 13 4 2 2" xfId="18531"/>
    <cellStyle name="Normal 33 13 13 4 3" xfId="18532"/>
    <cellStyle name="Normal 33 13 13 5" xfId="18533"/>
    <cellStyle name="Normal 33 13 13 5 2" xfId="18534"/>
    <cellStyle name="Normal 33 13 13 6" xfId="18535"/>
    <cellStyle name="Normal 33 13 14" xfId="18536"/>
    <cellStyle name="Normal 33 13 14 2" xfId="18537"/>
    <cellStyle name="Normal 33 13 14 2 2" xfId="18538"/>
    <cellStyle name="Normal 33 13 14 2 2 2" xfId="18539"/>
    <cellStyle name="Normal 33 13 14 2 3" xfId="18540"/>
    <cellStyle name="Normal 33 13 14 3" xfId="18541"/>
    <cellStyle name="Normal 33 13 14 3 2" xfId="18542"/>
    <cellStyle name="Normal 33 13 14 4" xfId="18543"/>
    <cellStyle name="Normal 33 13 15" xfId="18544"/>
    <cellStyle name="Normal 33 13 15 2" xfId="18545"/>
    <cellStyle name="Normal 33 13 15 2 2" xfId="18546"/>
    <cellStyle name="Normal 33 13 15 2 2 2" xfId="18547"/>
    <cellStyle name="Normal 33 13 15 2 3" xfId="18548"/>
    <cellStyle name="Normal 33 13 15 3" xfId="18549"/>
    <cellStyle name="Normal 33 13 15 3 2" xfId="18550"/>
    <cellStyle name="Normal 33 13 15 4" xfId="18551"/>
    <cellStyle name="Normal 33 13 16" xfId="18552"/>
    <cellStyle name="Normal 33 13 16 2" xfId="18553"/>
    <cellStyle name="Normal 33 13 16 2 2" xfId="18554"/>
    <cellStyle name="Normal 33 13 16 3" xfId="18555"/>
    <cellStyle name="Normal 33 13 17" xfId="18556"/>
    <cellStyle name="Normal 33 13 17 2" xfId="18557"/>
    <cellStyle name="Normal 33 13 18" xfId="18558"/>
    <cellStyle name="Normal 33 13 2" xfId="18559"/>
    <cellStyle name="Normal 33 13 2 2" xfId="18560"/>
    <cellStyle name="Normal 33 13 2 2 2" xfId="18561"/>
    <cellStyle name="Normal 33 13 2 2 2 2" xfId="18562"/>
    <cellStyle name="Normal 33 13 2 2 2 2 2" xfId="18563"/>
    <cellStyle name="Normal 33 13 2 2 2 3" xfId="18564"/>
    <cellStyle name="Normal 33 13 2 2 3" xfId="18565"/>
    <cellStyle name="Normal 33 13 2 2 3 2" xfId="18566"/>
    <cellStyle name="Normal 33 13 2 2 4" xfId="18567"/>
    <cellStyle name="Normal 33 13 2 3" xfId="18568"/>
    <cellStyle name="Normal 33 13 2 3 2" xfId="18569"/>
    <cellStyle name="Normal 33 13 2 3 2 2" xfId="18570"/>
    <cellStyle name="Normal 33 13 2 3 2 2 2" xfId="18571"/>
    <cellStyle name="Normal 33 13 2 3 2 3" xfId="18572"/>
    <cellStyle name="Normal 33 13 2 3 3" xfId="18573"/>
    <cellStyle name="Normal 33 13 2 3 3 2" xfId="18574"/>
    <cellStyle name="Normal 33 13 2 3 4" xfId="18575"/>
    <cellStyle name="Normal 33 13 2 4" xfId="18576"/>
    <cellStyle name="Normal 33 13 2 4 2" xfId="18577"/>
    <cellStyle name="Normal 33 13 2 4 2 2" xfId="18578"/>
    <cellStyle name="Normal 33 13 2 4 3" xfId="18579"/>
    <cellStyle name="Normal 33 13 2 5" xfId="18580"/>
    <cellStyle name="Normal 33 13 2 5 2" xfId="18581"/>
    <cellStyle name="Normal 33 13 2 6" xfId="18582"/>
    <cellStyle name="Normal 33 13 3" xfId="18583"/>
    <cellStyle name="Normal 33 13 3 2" xfId="18584"/>
    <cellStyle name="Normal 33 13 3 2 2" xfId="18585"/>
    <cellStyle name="Normal 33 13 3 2 2 2" xfId="18586"/>
    <cellStyle name="Normal 33 13 3 2 2 2 2" xfId="18587"/>
    <cellStyle name="Normal 33 13 3 2 2 3" xfId="18588"/>
    <cellStyle name="Normal 33 13 3 2 3" xfId="18589"/>
    <cellStyle name="Normal 33 13 3 2 3 2" xfId="18590"/>
    <cellStyle name="Normal 33 13 3 2 4" xfId="18591"/>
    <cellStyle name="Normal 33 13 3 3" xfId="18592"/>
    <cellStyle name="Normal 33 13 3 3 2" xfId="18593"/>
    <cellStyle name="Normal 33 13 3 3 2 2" xfId="18594"/>
    <cellStyle name="Normal 33 13 3 3 2 2 2" xfId="18595"/>
    <cellStyle name="Normal 33 13 3 3 2 3" xfId="18596"/>
    <cellStyle name="Normal 33 13 3 3 3" xfId="18597"/>
    <cellStyle name="Normal 33 13 3 3 3 2" xfId="18598"/>
    <cellStyle name="Normal 33 13 3 3 4" xfId="18599"/>
    <cellStyle name="Normal 33 13 3 4" xfId="18600"/>
    <cellStyle name="Normal 33 13 3 4 2" xfId="18601"/>
    <cellStyle name="Normal 33 13 3 4 2 2" xfId="18602"/>
    <cellStyle name="Normal 33 13 3 4 3" xfId="18603"/>
    <cellStyle name="Normal 33 13 3 5" xfId="18604"/>
    <cellStyle name="Normal 33 13 3 5 2" xfId="18605"/>
    <cellStyle name="Normal 33 13 3 6" xfId="18606"/>
    <cellStyle name="Normal 33 13 4" xfId="18607"/>
    <cellStyle name="Normal 33 13 4 2" xfId="18608"/>
    <cellStyle name="Normal 33 13 4 2 2" xfId="18609"/>
    <cellStyle name="Normal 33 13 4 2 2 2" xfId="18610"/>
    <cellStyle name="Normal 33 13 4 2 2 2 2" xfId="18611"/>
    <cellStyle name="Normal 33 13 4 2 2 3" xfId="18612"/>
    <cellStyle name="Normal 33 13 4 2 3" xfId="18613"/>
    <cellStyle name="Normal 33 13 4 2 3 2" xfId="18614"/>
    <cellStyle name="Normal 33 13 4 2 4" xfId="18615"/>
    <cellStyle name="Normal 33 13 4 3" xfId="18616"/>
    <cellStyle name="Normal 33 13 4 3 2" xfId="18617"/>
    <cellStyle name="Normal 33 13 4 3 2 2" xfId="18618"/>
    <cellStyle name="Normal 33 13 4 3 2 2 2" xfId="18619"/>
    <cellStyle name="Normal 33 13 4 3 2 3" xfId="18620"/>
    <cellStyle name="Normal 33 13 4 3 3" xfId="18621"/>
    <cellStyle name="Normal 33 13 4 3 3 2" xfId="18622"/>
    <cellStyle name="Normal 33 13 4 3 4" xfId="18623"/>
    <cellStyle name="Normal 33 13 4 4" xfId="18624"/>
    <cellStyle name="Normal 33 13 4 4 2" xfId="18625"/>
    <cellStyle name="Normal 33 13 4 4 2 2" xfId="18626"/>
    <cellStyle name="Normal 33 13 4 4 3" xfId="18627"/>
    <cellStyle name="Normal 33 13 4 5" xfId="18628"/>
    <cellStyle name="Normal 33 13 4 5 2" xfId="18629"/>
    <cellStyle name="Normal 33 13 4 6" xfId="18630"/>
    <cellStyle name="Normal 33 13 5" xfId="18631"/>
    <cellStyle name="Normal 33 13 5 2" xfId="18632"/>
    <cellStyle name="Normal 33 13 5 2 2" xfId="18633"/>
    <cellStyle name="Normal 33 13 5 2 2 2" xfId="18634"/>
    <cellStyle name="Normal 33 13 5 2 2 2 2" xfId="18635"/>
    <cellStyle name="Normal 33 13 5 2 2 3" xfId="18636"/>
    <cellStyle name="Normal 33 13 5 2 3" xfId="18637"/>
    <cellStyle name="Normal 33 13 5 2 3 2" xfId="18638"/>
    <cellStyle name="Normal 33 13 5 2 4" xfId="18639"/>
    <cellStyle name="Normal 33 13 5 3" xfId="18640"/>
    <cellStyle name="Normal 33 13 5 3 2" xfId="18641"/>
    <cellStyle name="Normal 33 13 5 3 2 2" xfId="18642"/>
    <cellStyle name="Normal 33 13 5 3 2 2 2" xfId="18643"/>
    <cellStyle name="Normal 33 13 5 3 2 3" xfId="18644"/>
    <cellStyle name="Normal 33 13 5 3 3" xfId="18645"/>
    <cellStyle name="Normal 33 13 5 3 3 2" xfId="18646"/>
    <cellStyle name="Normal 33 13 5 3 4" xfId="18647"/>
    <cellStyle name="Normal 33 13 5 4" xfId="18648"/>
    <cellStyle name="Normal 33 13 5 4 2" xfId="18649"/>
    <cellStyle name="Normal 33 13 5 4 2 2" xfId="18650"/>
    <cellStyle name="Normal 33 13 5 4 3" xfId="18651"/>
    <cellStyle name="Normal 33 13 5 5" xfId="18652"/>
    <cellStyle name="Normal 33 13 5 5 2" xfId="18653"/>
    <cellStyle name="Normal 33 13 5 6" xfId="18654"/>
    <cellStyle name="Normal 33 13 6" xfId="18655"/>
    <cellStyle name="Normal 33 13 6 2" xfId="18656"/>
    <cellStyle name="Normal 33 13 6 2 2" xfId="18657"/>
    <cellStyle name="Normal 33 13 6 2 2 2" xfId="18658"/>
    <cellStyle name="Normal 33 13 6 2 2 2 2" xfId="18659"/>
    <cellStyle name="Normal 33 13 6 2 2 3" xfId="18660"/>
    <cellStyle name="Normal 33 13 6 2 3" xfId="18661"/>
    <cellStyle name="Normal 33 13 6 2 3 2" xfId="18662"/>
    <cellStyle name="Normal 33 13 6 2 4" xfId="18663"/>
    <cellStyle name="Normal 33 13 6 3" xfId="18664"/>
    <cellStyle name="Normal 33 13 6 3 2" xfId="18665"/>
    <cellStyle name="Normal 33 13 6 3 2 2" xfId="18666"/>
    <cellStyle name="Normal 33 13 6 3 2 2 2" xfId="18667"/>
    <cellStyle name="Normal 33 13 6 3 2 3" xfId="18668"/>
    <cellStyle name="Normal 33 13 6 3 3" xfId="18669"/>
    <cellStyle name="Normal 33 13 6 3 3 2" xfId="18670"/>
    <cellStyle name="Normal 33 13 6 3 4" xfId="18671"/>
    <cellStyle name="Normal 33 13 6 4" xfId="18672"/>
    <cellStyle name="Normal 33 13 6 4 2" xfId="18673"/>
    <cellStyle name="Normal 33 13 6 4 2 2" xfId="18674"/>
    <cellStyle name="Normal 33 13 6 4 3" xfId="18675"/>
    <cellStyle name="Normal 33 13 6 5" xfId="18676"/>
    <cellStyle name="Normal 33 13 6 5 2" xfId="18677"/>
    <cellStyle name="Normal 33 13 6 6" xfId="18678"/>
    <cellStyle name="Normal 33 13 7" xfId="18679"/>
    <cellStyle name="Normal 33 13 7 2" xfId="18680"/>
    <cellStyle name="Normal 33 13 7 2 2" xfId="18681"/>
    <cellStyle name="Normal 33 13 7 2 2 2" xfId="18682"/>
    <cellStyle name="Normal 33 13 7 2 2 2 2" xfId="18683"/>
    <cellStyle name="Normal 33 13 7 2 2 3" xfId="18684"/>
    <cellStyle name="Normal 33 13 7 2 3" xfId="18685"/>
    <cellStyle name="Normal 33 13 7 2 3 2" xfId="18686"/>
    <cellStyle name="Normal 33 13 7 2 4" xfId="18687"/>
    <cellStyle name="Normal 33 13 7 3" xfId="18688"/>
    <cellStyle name="Normal 33 13 7 3 2" xfId="18689"/>
    <cellStyle name="Normal 33 13 7 3 2 2" xfId="18690"/>
    <cellStyle name="Normal 33 13 7 3 2 2 2" xfId="18691"/>
    <cellStyle name="Normal 33 13 7 3 2 3" xfId="18692"/>
    <cellStyle name="Normal 33 13 7 3 3" xfId="18693"/>
    <cellStyle name="Normal 33 13 7 3 3 2" xfId="18694"/>
    <cellStyle name="Normal 33 13 7 3 4" xfId="18695"/>
    <cellStyle name="Normal 33 13 7 4" xfId="18696"/>
    <cellStyle name="Normal 33 13 7 4 2" xfId="18697"/>
    <cellStyle name="Normal 33 13 7 4 2 2" xfId="18698"/>
    <cellStyle name="Normal 33 13 7 4 3" xfId="18699"/>
    <cellStyle name="Normal 33 13 7 5" xfId="18700"/>
    <cellStyle name="Normal 33 13 7 5 2" xfId="18701"/>
    <cellStyle name="Normal 33 13 7 6" xfId="18702"/>
    <cellStyle name="Normal 33 13 8" xfId="18703"/>
    <cellStyle name="Normal 33 13 8 2" xfId="18704"/>
    <cellStyle name="Normal 33 13 8 2 2" xfId="18705"/>
    <cellStyle name="Normal 33 13 8 2 2 2" xfId="18706"/>
    <cellStyle name="Normal 33 13 8 2 2 2 2" xfId="18707"/>
    <cellStyle name="Normal 33 13 8 2 2 3" xfId="18708"/>
    <cellStyle name="Normal 33 13 8 2 3" xfId="18709"/>
    <cellStyle name="Normal 33 13 8 2 3 2" xfId="18710"/>
    <cellStyle name="Normal 33 13 8 2 4" xfId="18711"/>
    <cellStyle name="Normal 33 13 8 3" xfId="18712"/>
    <cellStyle name="Normal 33 13 8 3 2" xfId="18713"/>
    <cellStyle name="Normal 33 13 8 3 2 2" xfId="18714"/>
    <cellStyle name="Normal 33 13 8 3 2 2 2" xfId="18715"/>
    <cellStyle name="Normal 33 13 8 3 2 3" xfId="18716"/>
    <cellStyle name="Normal 33 13 8 3 3" xfId="18717"/>
    <cellStyle name="Normal 33 13 8 3 3 2" xfId="18718"/>
    <cellStyle name="Normal 33 13 8 3 4" xfId="18719"/>
    <cellStyle name="Normal 33 13 8 4" xfId="18720"/>
    <cellStyle name="Normal 33 13 8 4 2" xfId="18721"/>
    <cellStyle name="Normal 33 13 8 4 2 2" xfId="18722"/>
    <cellStyle name="Normal 33 13 8 4 3" xfId="18723"/>
    <cellStyle name="Normal 33 13 8 5" xfId="18724"/>
    <cellStyle name="Normal 33 13 8 5 2" xfId="18725"/>
    <cellStyle name="Normal 33 13 8 6" xfId="18726"/>
    <cellStyle name="Normal 33 13 9" xfId="18727"/>
    <cellStyle name="Normal 33 13 9 2" xfId="18728"/>
    <cellStyle name="Normal 33 13 9 2 2" xfId="18729"/>
    <cellStyle name="Normal 33 13 9 2 2 2" xfId="18730"/>
    <cellStyle name="Normal 33 13 9 2 2 2 2" xfId="18731"/>
    <cellStyle name="Normal 33 13 9 2 2 3" xfId="18732"/>
    <cellStyle name="Normal 33 13 9 2 3" xfId="18733"/>
    <cellStyle name="Normal 33 13 9 2 3 2" xfId="18734"/>
    <cellStyle name="Normal 33 13 9 2 4" xfId="18735"/>
    <cellStyle name="Normal 33 13 9 3" xfId="18736"/>
    <cellStyle name="Normal 33 13 9 3 2" xfId="18737"/>
    <cellStyle name="Normal 33 13 9 3 2 2" xfId="18738"/>
    <cellStyle name="Normal 33 13 9 3 2 2 2" xfId="18739"/>
    <cellStyle name="Normal 33 13 9 3 2 3" xfId="18740"/>
    <cellStyle name="Normal 33 13 9 3 3" xfId="18741"/>
    <cellStyle name="Normal 33 13 9 3 3 2" xfId="18742"/>
    <cellStyle name="Normal 33 13 9 3 4" xfId="18743"/>
    <cellStyle name="Normal 33 13 9 4" xfId="18744"/>
    <cellStyle name="Normal 33 13 9 4 2" xfId="18745"/>
    <cellStyle name="Normal 33 13 9 4 2 2" xfId="18746"/>
    <cellStyle name="Normal 33 13 9 4 3" xfId="18747"/>
    <cellStyle name="Normal 33 13 9 5" xfId="18748"/>
    <cellStyle name="Normal 33 13 9 5 2" xfId="18749"/>
    <cellStyle name="Normal 33 13 9 6" xfId="18750"/>
    <cellStyle name="Normal 33 14" xfId="18751"/>
    <cellStyle name="Normal 33 14 10" xfId="18752"/>
    <cellStyle name="Normal 33 14 10 2" xfId="18753"/>
    <cellStyle name="Normal 33 14 10 2 2" xfId="18754"/>
    <cellStyle name="Normal 33 14 10 2 2 2" xfId="18755"/>
    <cellStyle name="Normal 33 14 10 2 2 2 2" xfId="18756"/>
    <cellStyle name="Normal 33 14 10 2 2 3" xfId="18757"/>
    <cellStyle name="Normal 33 14 10 2 3" xfId="18758"/>
    <cellStyle name="Normal 33 14 10 2 3 2" xfId="18759"/>
    <cellStyle name="Normal 33 14 10 2 4" xfId="18760"/>
    <cellStyle name="Normal 33 14 10 3" xfId="18761"/>
    <cellStyle name="Normal 33 14 10 3 2" xfId="18762"/>
    <cellStyle name="Normal 33 14 10 3 2 2" xfId="18763"/>
    <cellStyle name="Normal 33 14 10 3 2 2 2" xfId="18764"/>
    <cellStyle name="Normal 33 14 10 3 2 3" xfId="18765"/>
    <cellStyle name="Normal 33 14 10 3 3" xfId="18766"/>
    <cellStyle name="Normal 33 14 10 3 3 2" xfId="18767"/>
    <cellStyle name="Normal 33 14 10 3 4" xfId="18768"/>
    <cellStyle name="Normal 33 14 10 4" xfId="18769"/>
    <cellStyle name="Normal 33 14 10 4 2" xfId="18770"/>
    <cellStyle name="Normal 33 14 10 4 2 2" xfId="18771"/>
    <cellStyle name="Normal 33 14 10 4 3" xfId="18772"/>
    <cellStyle name="Normal 33 14 10 5" xfId="18773"/>
    <cellStyle name="Normal 33 14 10 5 2" xfId="18774"/>
    <cellStyle name="Normal 33 14 10 6" xfId="18775"/>
    <cellStyle name="Normal 33 14 11" xfId="18776"/>
    <cellStyle name="Normal 33 14 11 2" xfId="18777"/>
    <cellStyle name="Normal 33 14 11 2 2" xfId="18778"/>
    <cellStyle name="Normal 33 14 11 2 2 2" xfId="18779"/>
    <cellStyle name="Normal 33 14 11 2 2 2 2" xfId="18780"/>
    <cellStyle name="Normal 33 14 11 2 2 3" xfId="18781"/>
    <cellStyle name="Normal 33 14 11 2 3" xfId="18782"/>
    <cellStyle name="Normal 33 14 11 2 3 2" xfId="18783"/>
    <cellStyle name="Normal 33 14 11 2 4" xfId="18784"/>
    <cellStyle name="Normal 33 14 11 3" xfId="18785"/>
    <cellStyle name="Normal 33 14 11 3 2" xfId="18786"/>
    <cellStyle name="Normal 33 14 11 3 2 2" xfId="18787"/>
    <cellStyle name="Normal 33 14 11 3 2 2 2" xfId="18788"/>
    <cellStyle name="Normal 33 14 11 3 2 3" xfId="18789"/>
    <cellStyle name="Normal 33 14 11 3 3" xfId="18790"/>
    <cellStyle name="Normal 33 14 11 3 3 2" xfId="18791"/>
    <cellStyle name="Normal 33 14 11 3 4" xfId="18792"/>
    <cellStyle name="Normal 33 14 11 4" xfId="18793"/>
    <cellStyle name="Normal 33 14 11 4 2" xfId="18794"/>
    <cellStyle name="Normal 33 14 11 4 2 2" xfId="18795"/>
    <cellStyle name="Normal 33 14 11 4 3" xfId="18796"/>
    <cellStyle name="Normal 33 14 11 5" xfId="18797"/>
    <cellStyle name="Normal 33 14 11 5 2" xfId="18798"/>
    <cellStyle name="Normal 33 14 11 6" xfId="18799"/>
    <cellStyle name="Normal 33 14 12" xfId="18800"/>
    <cellStyle name="Normal 33 14 12 2" xfId="18801"/>
    <cellStyle name="Normal 33 14 12 2 2" xfId="18802"/>
    <cellStyle name="Normal 33 14 12 2 2 2" xfId="18803"/>
    <cellStyle name="Normal 33 14 12 2 2 2 2" xfId="18804"/>
    <cellStyle name="Normal 33 14 12 2 2 3" xfId="18805"/>
    <cellStyle name="Normal 33 14 12 2 3" xfId="18806"/>
    <cellStyle name="Normal 33 14 12 2 3 2" xfId="18807"/>
    <cellStyle name="Normal 33 14 12 2 4" xfId="18808"/>
    <cellStyle name="Normal 33 14 12 3" xfId="18809"/>
    <cellStyle name="Normal 33 14 12 3 2" xfId="18810"/>
    <cellStyle name="Normal 33 14 12 3 2 2" xfId="18811"/>
    <cellStyle name="Normal 33 14 12 3 2 2 2" xfId="18812"/>
    <cellStyle name="Normal 33 14 12 3 2 3" xfId="18813"/>
    <cellStyle name="Normal 33 14 12 3 3" xfId="18814"/>
    <cellStyle name="Normal 33 14 12 3 3 2" xfId="18815"/>
    <cellStyle name="Normal 33 14 12 3 4" xfId="18816"/>
    <cellStyle name="Normal 33 14 12 4" xfId="18817"/>
    <cellStyle name="Normal 33 14 12 4 2" xfId="18818"/>
    <cellStyle name="Normal 33 14 12 4 2 2" xfId="18819"/>
    <cellStyle name="Normal 33 14 12 4 3" xfId="18820"/>
    <cellStyle name="Normal 33 14 12 5" xfId="18821"/>
    <cellStyle name="Normal 33 14 12 5 2" xfId="18822"/>
    <cellStyle name="Normal 33 14 12 6" xfId="18823"/>
    <cellStyle name="Normal 33 14 13" xfId="18824"/>
    <cellStyle name="Normal 33 14 13 2" xfId="18825"/>
    <cellStyle name="Normal 33 14 13 2 2" xfId="18826"/>
    <cellStyle name="Normal 33 14 13 2 2 2" xfId="18827"/>
    <cellStyle name="Normal 33 14 13 2 2 2 2" xfId="18828"/>
    <cellStyle name="Normal 33 14 13 2 2 3" xfId="18829"/>
    <cellStyle name="Normal 33 14 13 2 3" xfId="18830"/>
    <cellStyle name="Normal 33 14 13 2 3 2" xfId="18831"/>
    <cellStyle name="Normal 33 14 13 2 4" xfId="18832"/>
    <cellStyle name="Normal 33 14 13 3" xfId="18833"/>
    <cellStyle name="Normal 33 14 13 3 2" xfId="18834"/>
    <cellStyle name="Normal 33 14 13 3 2 2" xfId="18835"/>
    <cellStyle name="Normal 33 14 13 3 2 2 2" xfId="18836"/>
    <cellStyle name="Normal 33 14 13 3 2 3" xfId="18837"/>
    <cellStyle name="Normal 33 14 13 3 3" xfId="18838"/>
    <cellStyle name="Normal 33 14 13 3 3 2" xfId="18839"/>
    <cellStyle name="Normal 33 14 13 3 4" xfId="18840"/>
    <cellStyle name="Normal 33 14 13 4" xfId="18841"/>
    <cellStyle name="Normal 33 14 13 4 2" xfId="18842"/>
    <cellStyle name="Normal 33 14 13 4 2 2" xfId="18843"/>
    <cellStyle name="Normal 33 14 13 4 3" xfId="18844"/>
    <cellStyle name="Normal 33 14 13 5" xfId="18845"/>
    <cellStyle name="Normal 33 14 13 5 2" xfId="18846"/>
    <cellStyle name="Normal 33 14 13 6" xfId="18847"/>
    <cellStyle name="Normal 33 14 14" xfId="18848"/>
    <cellStyle name="Normal 33 14 14 2" xfId="18849"/>
    <cellStyle name="Normal 33 14 14 2 2" xfId="18850"/>
    <cellStyle name="Normal 33 14 14 2 2 2" xfId="18851"/>
    <cellStyle name="Normal 33 14 14 2 3" xfId="18852"/>
    <cellStyle name="Normal 33 14 14 3" xfId="18853"/>
    <cellStyle name="Normal 33 14 14 3 2" xfId="18854"/>
    <cellStyle name="Normal 33 14 14 4" xfId="18855"/>
    <cellStyle name="Normal 33 14 15" xfId="18856"/>
    <cellStyle name="Normal 33 14 15 2" xfId="18857"/>
    <cellStyle name="Normal 33 14 15 2 2" xfId="18858"/>
    <cellStyle name="Normal 33 14 15 2 2 2" xfId="18859"/>
    <cellStyle name="Normal 33 14 15 2 3" xfId="18860"/>
    <cellStyle name="Normal 33 14 15 3" xfId="18861"/>
    <cellStyle name="Normal 33 14 15 3 2" xfId="18862"/>
    <cellStyle name="Normal 33 14 15 4" xfId="18863"/>
    <cellStyle name="Normal 33 14 16" xfId="18864"/>
    <cellStyle name="Normal 33 14 16 2" xfId="18865"/>
    <cellStyle name="Normal 33 14 16 2 2" xfId="18866"/>
    <cellStyle name="Normal 33 14 16 3" xfId="18867"/>
    <cellStyle name="Normal 33 14 17" xfId="18868"/>
    <cellStyle name="Normal 33 14 17 2" xfId="18869"/>
    <cellStyle name="Normal 33 14 18" xfId="18870"/>
    <cellStyle name="Normal 33 14 2" xfId="18871"/>
    <cellStyle name="Normal 33 14 2 2" xfId="18872"/>
    <cellStyle name="Normal 33 14 2 2 2" xfId="18873"/>
    <cellStyle name="Normal 33 14 2 2 2 2" xfId="18874"/>
    <cellStyle name="Normal 33 14 2 2 2 2 2" xfId="18875"/>
    <cellStyle name="Normal 33 14 2 2 2 3" xfId="18876"/>
    <cellStyle name="Normal 33 14 2 2 3" xfId="18877"/>
    <cellStyle name="Normal 33 14 2 2 3 2" xfId="18878"/>
    <cellStyle name="Normal 33 14 2 2 4" xfId="18879"/>
    <cellStyle name="Normal 33 14 2 3" xfId="18880"/>
    <cellStyle name="Normal 33 14 2 3 2" xfId="18881"/>
    <cellStyle name="Normal 33 14 2 3 2 2" xfId="18882"/>
    <cellStyle name="Normal 33 14 2 3 2 2 2" xfId="18883"/>
    <cellStyle name="Normal 33 14 2 3 2 3" xfId="18884"/>
    <cellStyle name="Normal 33 14 2 3 3" xfId="18885"/>
    <cellStyle name="Normal 33 14 2 3 3 2" xfId="18886"/>
    <cellStyle name="Normal 33 14 2 3 4" xfId="18887"/>
    <cellStyle name="Normal 33 14 2 4" xfId="18888"/>
    <cellStyle name="Normal 33 14 2 4 2" xfId="18889"/>
    <cellStyle name="Normal 33 14 2 4 2 2" xfId="18890"/>
    <cellStyle name="Normal 33 14 2 4 3" xfId="18891"/>
    <cellStyle name="Normal 33 14 2 5" xfId="18892"/>
    <cellStyle name="Normal 33 14 2 5 2" xfId="18893"/>
    <cellStyle name="Normal 33 14 2 6" xfId="18894"/>
    <cellStyle name="Normal 33 14 3" xfId="18895"/>
    <cellStyle name="Normal 33 14 3 2" xfId="18896"/>
    <cellStyle name="Normal 33 14 3 2 2" xfId="18897"/>
    <cellStyle name="Normal 33 14 3 2 2 2" xfId="18898"/>
    <cellStyle name="Normal 33 14 3 2 2 2 2" xfId="18899"/>
    <cellStyle name="Normal 33 14 3 2 2 3" xfId="18900"/>
    <cellStyle name="Normal 33 14 3 2 3" xfId="18901"/>
    <cellStyle name="Normal 33 14 3 2 3 2" xfId="18902"/>
    <cellStyle name="Normal 33 14 3 2 4" xfId="18903"/>
    <cellStyle name="Normal 33 14 3 3" xfId="18904"/>
    <cellStyle name="Normal 33 14 3 3 2" xfId="18905"/>
    <cellStyle name="Normal 33 14 3 3 2 2" xfId="18906"/>
    <cellStyle name="Normal 33 14 3 3 2 2 2" xfId="18907"/>
    <cellStyle name="Normal 33 14 3 3 2 3" xfId="18908"/>
    <cellStyle name="Normal 33 14 3 3 3" xfId="18909"/>
    <cellStyle name="Normal 33 14 3 3 3 2" xfId="18910"/>
    <cellStyle name="Normal 33 14 3 3 4" xfId="18911"/>
    <cellStyle name="Normal 33 14 3 4" xfId="18912"/>
    <cellStyle name="Normal 33 14 3 4 2" xfId="18913"/>
    <cellStyle name="Normal 33 14 3 4 2 2" xfId="18914"/>
    <cellStyle name="Normal 33 14 3 4 3" xfId="18915"/>
    <cellStyle name="Normal 33 14 3 5" xfId="18916"/>
    <cellStyle name="Normal 33 14 3 5 2" xfId="18917"/>
    <cellStyle name="Normal 33 14 3 6" xfId="18918"/>
    <cellStyle name="Normal 33 14 4" xfId="18919"/>
    <cellStyle name="Normal 33 14 4 2" xfId="18920"/>
    <cellStyle name="Normal 33 14 4 2 2" xfId="18921"/>
    <cellStyle name="Normal 33 14 4 2 2 2" xfId="18922"/>
    <cellStyle name="Normal 33 14 4 2 2 2 2" xfId="18923"/>
    <cellStyle name="Normal 33 14 4 2 2 3" xfId="18924"/>
    <cellStyle name="Normal 33 14 4 2 3" xfId="18925"/>
    <cellStyle name="Normal 33 14 4 2 3 2" xfId="18926"/>
    <cellStyle name="Normal 33 14 4 2 4" xfId="18927"/>
    <cellStyle name="Normal 33 14 4 3" xfId="18928"/>
    <cellStyle name="Normal 33 14 4 3 2" xfId="18929"/>
    <cellStyle name="Normal 33 14 4 3 2 2" xfId="18930"/>
    <cellStyle name="Normal 33 14 4 3 2 2 2" xfId="18931"/>
    <cellStyle name="Normal 33 14 4 3 2 3" xfId="18932"/>
    <cellStyle name="Normal 33 14 4 3 3" xfId="18933"/>
    <cellStyle name="Normal 33 14 4 3 3 2" xfId="18934"/>
    <cellStyle name="Normal 33 14 4 3 4" xfId="18935"/>
    <cellStyle name="Normal 33 14 4 4" xfId="18936"/>
    <cellStyle name="Normal 33 14 4 4 2" xfId="18937"/>
    <cellStyle name="Normal 33 14 4 4 2 2" xfId="18938"/>
    <cellStyle name="Normal 33 14 4 4 3" xfId="18939"/>
    <cellStyle name="Normal 33 14 4 5" xfId="18940"/>
    <cellStyle name="Normal 33 14 4 5 2" xfId="18941"/>
    <cellStyle name="Normal 33 14 4 6" xfId="18942"/>
    <cellStyle name="Normal 33 14 5" xfId="18943"/>
    <cellStyle name="Normal 33 14 5 2" xfId="18944"/>
    <cellStyle name="Normal 33 14 5 2 2" xfId="18945"/>
    <cellStyle name="Normal 33 14 5 2 2 2" xfId="18946"/>
    <cellStyle name="Normal 33 14 5 2 2 2 2" xfId="18947"/>
    <cellStyle name="Normal 33 14 5 2 2 3" xfId="18948"/>
    <cellStyle name="Normal 33 14 5 2 3" xfId="18949"/>
    <cellStyle name="Normal 33 14 5 2 3 2" xfId="18950"/>
    <cellStyle name="Normal 33 14 5 2 4" xfId="18951"/>
    <cellStyle name="Normal 33 14 5 3" xfId="18952"/>
    <cellStyle name="Normal 33 14 5 3 2" xfId="18953"/>
    <cellStyle name="Normal 33 14 5 3 2 2" xfId="18954"/>
    <cellStyle name="Normal 33 14 5 3 2 2 2" xfId="18955"/>
    <cellStyle name="Normal 33 14 5 3 2 3" xfId="18956"/>
    <cellStyle name="Normal 33 14 5 3 3" xfId="18957"/>
    <cellStyle name="Normal 33 14 5 3 3 2" xfId="18958"/>
    <cellStyle name="Normal 33 14 5 3 4" xfId="18959"/>
    <cellStyle name="Normal 33 14 5 4" xfId="18960"/>
    <cellStyle name="Normal 33 14 5 4 2" xfId="18961"/>
    <cellStyle name="Normal 33 14 5 4 2 2" xfId="18962"/>
    <cellStyle name="Normal 33 14 5 4 3" xfId="18963"/>
    <cellStyle name="Normal 33 14 5 5" xfId="18964"/>
    <cellStyle name="Normal 33 14 5 5 2" xfId="18965"/>
    <cellStyle name="Normal 33 14 5 6" xfId="18966"/>
    <cellStyle name="Normal 33 14 6" xfId="18967"/>
    <cellStyle name="Normal 33 14 6 2" xfId="18968"/>
    <cellStyle name="Normal 33 14 6 2 2" xfId="18969"/>
    <cellStyle name="Normal 33 14 6 2 2 2" xfId="18970"/>
    <cellStyle name="Normal 33 14 6 2 2 2 2" xfId="18971"/>
    <cellStyle name="Normal 33 14 6 2 2 3" xfId="18972"/>
    <cellStyle name="Normal 33 14 6 2 3" xfId="18973"/>
    <cellStyle name="Normal 33 14 6 2 3 2" xfId="18974"/>
    <cellStyle name="Normal 33 14 6 2 4" xfId="18975"/>
    <cellStyle name="Normal 33 14 6 3" xfId="18976"/>
    <cellStyle name="Normal 33 14 6 3 2" xfId="18977"/>
    <cellStyle name="Normal 33 14 6 3 2 2" xfId="18978"/>
    <cellStyle name="Normal 33 14 6 3 2 2 2" xfId="18979"/>
    <cellStyle name="Normal 33 14 6 3 2 3" xfId="18980"/>
    <cellStyle name="Normal 33 14 6 3 3" xfId="18981"/>
    <cellStyle name="Normal 33 14 6 3 3 2" xfId="18982"/>
    <cellStyle name="Normal 33 14 6 3 4" xfId="18983"/>
    <cellStyle name="Normal 33 14 6 4" xfId="18984"/>
    <cellStyle name="Normal 33 14 6 4 2" xfId="18985"/>
    <cellStyle name="Normal 33 14 6 4 2 2" xfId="18986"/>
    <cellStyle name="Normal 33 14 6 4 3" xfId="18987"/>
    <cellStyle name="Normal 33 14 6 5" xfId="18988"/>
    <cellStyle name="Normal 33 14 6 5 2" xfId="18989"/>
    <cellStyle name="Normal 33 14 6 6" xfId="18990"/>
    <cellStyle name="Normal 33 14 7" xfId="18991"/>
    <cellStyle name="Normal 33 14 7 2" xfId="18992"/>
    <cellStyle name="Normal 33 14 7 2 2" xfId="18993"/>
    <cellStyle name="Normal 33 14 7 2 2 2" xfId="18994"/>
    <cellStyle name="Normal 33 14 7 2 2 2 2" xfId="18995"/>
    <cellStyle name="Normal 33 14 7 2 2 3" xfId="18996"/>
    <cellStyle name="Normal 33 14 7 2 3" xfId="18997"/>
    <cellStyle name="Normal 33 14 7 2 3 2" xfId="18998"/>
    <cellStyle name="Normal 33 14 7 2 4" xfId="18999"/>
    <cellStyle name="Normal 33 14 7 3" xfId="19000"/>
    <cellStyle name="Normal 33 14 7 3 2" xfId="19001"/>
    <cellStyle name="Normal 33 14 7 3 2 2" xfId="19002"/>
    <cellStyle name="Normal 33 14 7 3 2 2 2" xfId="19003"/>
    <cellStyle name="Normal 33 14 7 3 2 3" xfId="19004"/>
    <cellStyle name="Normal 33 14 7 3 3" xfId="19005"/>
    <cellStyle name="Normal 33 14 7 3 3 2" xfId="19006"/>
    <cellStyle name="Normal 33 14 7 3 4" xfId="19007"/>
    <cellStyle name="Normal 33 14 7 4" xfId="19008"/>
    <cellStyle name="Normal 33 14 7 4 2" xfId="19009"/>
    <cellStyle name="Normal 33 14 7 4 2 2" xfId="19010"/>
    <cellStyle name="Normal 33 14 7 4 3" xfId="19011"/>
    <cellStyle name="Normal 33 14 7 5" xfId="19012"/>
    <cellStyle name="Normal 33 14 7 5 2" xfId="19013"/>
    <cellStyle name="Normal 33 14 7 6" xfId="19014"/>
    <cellStyle name="Normal 33 14 8" xfId="19015"/>
    <cellStyle name="Normal 33 14 8 2" xfId="19016"/>
    <cellStyle name="Normal 33 14 8 2 2" xfId="19017"/>
    <cellStyle name="Normal 33 14 8 2 2 2" xfId="19018"/>
    <cellStyle name="Normal 33 14 8 2 2 2 2" xfId="19019"/>
    <cellStyle name="Normal 33 14 8 2 2 3" xfId="19020"/>
    <cellStyle name="Normal 33 14 8 2 3" xfId="19021"/>
    <cellStyle name="Normal 33 14 8 2 3 2" xfId="19022"/>
    <cellStyle name="Normal 33 14 8 2 4" xfId="19023"/>
    <cellStyle name="Normal 33 14 8 3" xfId="19024"/>
    <cellStyle name="Normal 33 14 8 3 2" xfId="19025"/>
    <cellStyle name="Normal 33 14 8 3 2 2" xfId="19026"/>
    <cellStyle name="Normal 33 14 8 3 2 2 2" xfId="19027"/>
    <cellStyle name="Normal 33 14 8 3 2 3" xfId="19028"/>
    <cellStyle name="Normal 33 14 8 3 3" xfId="19029"/>
    <cellStyle name="Normal 33 14 8 3 3 2" xfId="19030"/>
    <cellStyle name="Normal 33 14 8 3 4" xfId="19031"/>
    <cellStyle name="Normal 33 14 8 4" xfId="19032"/>
    <cellStyle name="Normal 33 14 8 4 2" xfId="19033"/>
    <cellStyle name="Normal 33 14 8 4 2 2" xfId="19034"/>
    <cellStyle name="Normal 33 14 8 4 3" xfId="19035"/>
    <cellStyle name="Normal 33 14 8 5" xfId="19036"/>
    <cellStyle name="Normal 33 14 8 5 2" xfId="19037"/>
    <cellStyle name="Normal 33 14 8 6" xfId="19038"/>
    <cellStyle name="Normal 33 14 9" xfId="19039"/>
    <cellStyle name="Normal 33 14 9 2" xfId="19040"/>
    <cellStyle name="Normal 33 14 9 2 2" xfId="19041"/>
    <cellStyle name="Normal 33 14 9 2 2 2" xfId="19042"/>
    <cellStyle name="Normal 33 14 9 2 2 2 2" xfId="19043"/>
    <cellStyle name="Normal 33 14 9 2 2 3" xfId="19044"/>
    <cellStyle name="Normal 33 14 9 2 3" xfId="19045"/>
    <cellStyle name="Normal 33 14 9 2 3 2" xfId="19046"/>
    <cellStyle name="Normal 33 14 9 2 4" xfId="19047"/>
    <cellStyle name="Normal 33 14 9 3" xfId="19048"/>
    <cellStyle name="Normal 33 14 9 3 2" xfId="19049"/>
    <cellStyle name="Normal 33 14 9 3 2 2" xfId="19050"/>
    <cellStyle name="Normal 33 14 9 3 2 2 2" xfId="19051"/>
    <cellStyle name="Normal 33 14 9 3 2 3" xfId="19052"/>
    <cellStyle name="Normal 33 14 9 3 3" xfId="19053"/>
    <cellStyle name="Normal 33 14 9 3 3 2" xfId="19054"/>
    <cellStyle name="Normal 33 14 9 3 4" xfId="19055"/>
    <cellStyle name="Normal 33 14 9 4" xfId="19056"/>
    <cellStyle name="Normal 33 14 9 4 2" xfId="19057"/>
    <cellStyle name="Normal 33 14 9 4 2 2" xfId="19058"/>
    <cellStyle name="Normal 33 14 9 4 3" xfId="19059"/>
    <cellStyle name="Normal 33 14 9 5" xfId="19060"/>
    <cellStyle name="Normal 33 14 9 5 2" xfId="19061"/>
    <cellStyle name="Normal 33 14 9 6" xfId="19062"/>
    <cellStyle name="Normal 33 15" xfId="19063"/>
    <cellStyle name="Normal 33 15 10" xfId="19064"/>
    <cellStyle name="Normal 33 15 10 2" xfId="19065"/>
    <cellStyle name="Normal 33 15 10 2 2" xfId="19066"/>
    <cellStyle name="Normal 33 15 10 2 2 2" xfId="19067"/>
    <cellStyle name="Normal 33 15 10 2 2 2 2" xfId="19068"/>
    <cellStyle name="Normal 33 15 10 2 2 3" xfId="19069"/>
    <cellStyle name="Normal 33 15 10 2 3" xfId="19070"/>
    <cellStyle name="Normal 33 15 10 2 3 2" xfId="19071"/>
    <cellStyle name="Normal 33 15 10 2 4" xfId="19072"/>
    <cellStyle name="Normal 33 15 10 3" xfId="19073"/>
    <cellStyle name="Normal 33 15 10 3 2" xfId="19074"/>
    <cellStyle name="Normal 33 15 10 3 2 2" xfId="19075"/>
    <cellStyle name="Normal 33 15 10 3 2 2 2" xfId="19076"/>
    <cellStyle name="Normal 33 15 10 3 2 3" xfId="19077"/>
    <cellStyle name="Normal 33 15 10 3 3" xfId="19078"/>
    <cellStyle name="Normal 33 15 10 3 3 2" xfId="19079"/>
    <cellStyle name="Normal 33 15 10 3 4" xfId="19080"/>
    <cellStyle name="Normal 33 15 10 4" xfId="19081"/>
    <cellStyle name="Normal 33 15 10 4 2" xfId="19082"/>
    <cellStyle name="Normal 33 15 10 4 2 2" xfId="19083"/>
    <cellStyle name="Normal 33 15 10 4 3" xfId="19084"/>
    <cellStyle name="Normal 33 15 10 5" xfId="19085"/>
    <cellStyle name="Normal 33 15 10 5 2" xfId="19086"/>
    <cellStyle name="Normal 33 15 10 6" xfId="19087"/>
    <cellStyle name="Normal 33 15 11" xfId="19088"/>
    <cellStyle name="Normal 33 15 11 2" xfId="19089"/>
    <cellStyle name="Normal 33 15 11 2 2" xfId="19090"/>
    <cellStyle name="Normal 33 15 11 2 2 2" xfId="19091"/>
    <cellStyle name="Normal 33 15 11 2 2 2 2" xfId="19092"/>
    <cellStyle name="Normal 33 15 11 2 2 3" xfId="19093"/>
    <cellStyle name="Normal 33 15 11 2 3" xfId="19094"/>
    <cellStyle name="Normal 33 15 11 2 3 2" xfId="19095"/>
    <cellStyle name="Normal 33 15 11 2 4" xfId="19096"/>
    <cellStyle name="Normal 33 15 11 3" xfId="19097"/>
    <cellStyle name="Normal 33 15 11 3 2" xfId="19098"/>
    <cellStyle name="Normal 33 15 11 3 2 2" xfId="19099"/>
    <cellStyle name="Normal 33 15 11 3 2 2 2" xfId="19100"/>
    <cellStyle name="Normal 33 15 11 3 2 3" xfId="19101"/>
    <cellStyle name="Normal 33 15 11 3 3" xfId="19102"/>
    <cellStyle name="Normal 33 15 11 3 3 2" xfId="19103"/>
    <cellStyle name="Normal 33 15 11 3 4" xfId="19104"/>
    <cellStyle name="Normal 33 15 11 4" xfId="19105"/>
    <cellStyle name="Normal 33 15 11 4 2" xfId="19106"/>
    <cellStyle name="Normal 33 15 11 4 2 2" xfId="19107"/>
    <cellStyle name="Normal 33 15 11 4 3" xfId="19108"/>
    <cellStyle name="Normal 33 15 11 5" xfId="19109"/>
    <cellStyle name="Normal 33 15 11 5 2" xfId="19110"/>
    <cellStyle name="Normal 33 15 11 6" xfId="19111"/>
    <cellStyle name="Normal 33 15 12" xfId="19112"/>
    <cellStyle name="Normal 33 15 12 2" xfId="19113"/>
    <cellStyle name="Normal 33 15 12 2 2" xfId="19114"/>
    <cellStyle name="Normal 33 15 12 2 2 2" xfId="19115"/>
    <cellStyle name="Normal 33 15 12 2 2 2 2" xfId="19116"/>
    <cellStyle name="Normal 33 15 12 2 2 3" xfId="19117"/>
    <cellStyle name="Normal 33 15 12 2 3" xfId="19118"/>
    <cellStyle name="Normal 33 15 12 2 3 2" xfId="19119"/>
    <cellStyle name="Normal 33 15 12 2 4" xfId="19120"/>
    <cellStyle name="Normal 33 15 12 3" xfId="19121"/>
    <cellStyle name="Normal 33 15 12 3 2" xfId="19122"/>
    <cellStyle name="Normal 33 15 12 3 2 2" xfId="19123"/>
    <cellStyle name="Normal 33 15 12 3 2 2 2" xfId="19124"/>
    <cellStyle name="Normal 33 15 12 3 2 3" xfId="19125"/>
    <cellStyle name="Normal 33 15 12 3 3" xfId="19126"/>
    <cellStyle name="Normal 33 15 12 3 3 2" xfId="19127"/>
    <cellStyle name="Normal 33 15 12 3 4" xfId="19128"/>
    <cellStyle name="Normal 33 15 12 4" xfId="19129"/>
    <cellStyle name="Normal 33 15 12 4 2" xfId="19130"/>
    <cellStyle name="Normal 33 15 12 4 2 2" xfId="19131"/>
    <cellStyle name="Normal 33 15 12 4 3" xfId="19132"/>
    <cellStyle name="Normal 33 15 12 5" xfId="19133"/>
    <cellStyle name="Normal 33 15 12 5 2" xfId="19134"/>
    <cellStyle name="Normal 33 15 12 6" xfId="19135"/>
    <cellStyle name="Normal 33 15 13" xfId="19136"/>
    <cellStyle name="Normal 33 15 13 2" xfId="19137"/>
    <cellStyle name="Normal 33 15 13 2 2" xfId="19138"/>
    <cellStyle name="Normal 33 15 13 2 2 2" xfId="19139"/>
    <cellStyle name="Normal 33 15 13 2 2 2 2" xfId="19140"/>
    <cellStyle name="Normal 33 15 13 2 2 3" xfId="19141"/>
    <cellStyle name="Normal 33 15 13 2 3" xfId="19142"/>
    <cellStyle name="Normal 33 15 13 2 3 2" xfId="19143"/>
    <cellStyle name="Normal 33 15 13 2 4" xfId="19144"/>
    <cellStyle name="Normal 33 15 13 3" xfId="19145"/>
    <cellStyle name="Normal 33 15 13 3 2" xfId="19146"/>
    <cellStyle name="Normal 33 15 13 3 2 2" xfId="19147"/>
    <cellStyle name="Normal 33 15 13 3 2 2 2" xfId="19148"/>
    <cellStyle name="Normal 33 15 13 3 2 3" xfId="19149"/>
    <cellStyle name="Normal 33 15 13 3 3" xfId="19150"/>
    <cellStyle name="Normal 33 15 13 3 3 2" xfId="19151"/>
    <cellStyle name="Normal 33 15 13 3 4" xfId="19152"/>
    <cellStyle name="Normal 33 15 13 4" xfId="19153"/>
    <cellStyle name="Normal 33 15 13 4 2" xfId="19154"/>
    <cellStyle name="Normal 33 15 13 4 2 2" xfId="19155"/>
    <cellStyle name="Normal 33 15 13 4 3" xfId="19156"/>
    <cellStyle name="Normal 33 15 13 5" xfId="19157"/>
    <cellStyle name="Normal 33 15 13 5 2" xfId="19158"/>
    <cellStyle name="Normal 33 15 13 6" xfId="19159"/>
    <cellStyle name="Normal 33 15 14" xfId="19160"/>
    <cellStyle name="Normal 33 15 14 2" xfId="19161"/>
    <cellStyle name="Normal 33 15 14 2 2" xfId="19162"/>
    <cellStyle name="Normal 33 15 14 2 2 2" xfId="19163"/>
    <cellStyle name="Normal 33 15 14 2 3" xfId="19164"/>
    <cellStyle name="Normal 33 15 14 3" xfId="19165"/>
    <cellStyle name="Normal 33 15 14 3 2" xfId="19166"/>
    <cellStyle name="Normal 33 15 14 4" xfId="19167"/>
    <cellStyle name="Normal 33 15 15" xfId="19168"/>
    <cellStyle name="Normal 33 15 15 2" xfId="19169"/>
    <cellStyle name="Normal 33 15 15 2 2" xfId="19170"/>
    <cellStyle name="Normal 33 15 15 2 2 2" xfId="19171"/>
    <cellStyle name="Normal 33 15 15 2 3" xfId="19172"/>
    <cellStyle name="Normal 33 15 15 3" xfId="19173"/>
    <cellStyle name="Normal 33 15 15 3 2" xfId="19174"/>
    <cellStyle name="Normal 33 15 15 4" xfId="19175"/>
    <cellStyle name="Normal 33 15 16" xfId="19176"/>
    <cellStyle name="Normal 33 15 16 2" xfId="19177"/>
    <cellStyle name="Normal 33 15 16 2 2" xfId="19178"/>
    <cellStyle name="Normal 33 15 16 3" xfId="19179"/>
    <cellStyle name="Normal 33 15 17" xfId="19180"/>
    <cellStyle name="Normal 33 15 17 2" xfId="19181"/>
    <cellStyle name="Normal 33 15 18" xfId="19182"/>
    <cellStyle name="Normal 33 15 2" xfId="19183"/>
    <cellStyle name="Normal 33 15 2 2" xfId="19184"/>
    <cellStyle name="Normal 33 15 2 2 2" xfId="19185"/>
    <cellStyle name="Normal 33 15 2 2 2 2" xfId="19186"/>
    <cellStyle name="Normal 33 15 2 2 2 2 2" xfId="19187"/>
    <cellStyle name="Normal 33 15 2 2 2 3" xfId="19188"/>
    <cellStyle name="Normal 33 15 2 2 3" xfId="19189"/>
    <cellStyle name="Normal 33 15 2 2 3 2" xfId="19190"/>
    <cellStyle name="Normal 33 15 2 2 4" xfId="19191"/>
    <cellStyle name="Normal 33 15 2 3" xfId="19192"/>
    <cellStyle name="Normal 33 15 2 3 2" xfId="19193"/>
    <cellStyle name="Normal 33 15 2 3 2 2" xfId="19194"/>
    <cellStyle name="Normal 33 15 2 3 2 2 2" xfId="19195"/>
    <cellStyle name="Normal 33 15 2 3 2 3" xfId="19196"/>
    <cellStyle name="Normal 33 15 2 3 3" xfId="19197"/>
    <cellStyle name="Normal 33 15 2 3 3 2" xfId="19198"/>
    <cellStyle name="Normal 33 15 2 3 4" xfId="19199"/>
    <cellStyle name="Normal 33 15 2 4" xfId="19200"/>
    <cellStyle name="Normal 33 15 2 4 2" xfId="19201"/>
    <cellStyle name="Normal 33 15 2 4 2 2" xfId="19202"/>
    <cellStyle name="Normal 33 15 2 4 3" xfId="19203"/>
    <cellStyle name="Normal 33 15 2 5" xfId="19204"/>
    <cellStyle name="Normal 33 15 2 5 2" xfId="19205"/>
    <cellStyle name="Normal 33 15 2 6" xfId="19206"/>
    <cellStyle name="Normal 33 15 3" xfId="19207"/>
    <cellStyle name="Normal 33 15 3 2" xfId="19208"/>
    <cellStyle name="Normal 33 15 3 2 2" xfId="19209"/>
    <cellStyle name="Normal 33 15 3 2 2 2" xfId="19210"/>
    <cellStyle name="Normal 33 15 3 2 2 2 2" xfId="19211"/>
    <cellStyle name="Normal 33 15 3 2 2 3" xfId="19212"/>
    <cellStyle name="Normal 33 15 3 2 3" xfId="19213"/>
    <cellStyle name="Normal 33 15 3 2 3 2" xfId="19214"/>
    <cellStyle name="Normal 33 15 3 2 4" xfId="19215"/>
    <cellStyle name="Normal 33 15 3 3" xfId="19216"/>
    <cellStyle name="Normal 33 15 3 3 2" xfId="19217"/>
    <cellStyle name="Normal 33 15 3 3 2 2" xfId="19218"/>
    <cellStyle name="Normal 33 15 3 3 2 2 2" xfId="19219"/>
    <cellStyle name="Normal 33 15 3 3 2 3" xfId="19220"/>
    <cellStyle name="Normal 33 15 3 3 3" xfId="19221"/>
    <cellStyle name="Normal 33 15 3 3 3 2" xfId="19222"/>
    <cellStyle name="Normal 33 15 3 3 4" xfId="19223"/>
    <cellStyle name="Normal 33 15 3 4" xfId="19224"/>
    <cellStyle name="Normal 33 15 3 4 2" xfId="19225"/>
    <cellStyle name="Normal 33 15 3 4 2 2" xfId="19226"/>
    <cellStyle name="Normal 33 15 3 4 3" xfId="19227"/>
    <cellStyle name="Normal 33 15 3 5" xfId="19228"/>
    <cellStyle name="Normal 33 15 3 5 2" xfId="19229"/>
    <cellStyle name="Normal 33 15 3 6" xfId="19230"/>
    <cellStyle name="Normal 33 15 4" xfId="19231"/>
    <cellStyle name="Normal 33 15 4 2" xfId="19232"/>
    <cellStyle name="Normal 33 15 4 2 2" xfId="19233"/>
    <cellStyle name="Normal 33 15 4 2 2 2" xfId="19234"/>
    <cellStyle name="Normal 33 15 4 2 2 2 2" xfId="19235"/>
    <cellStyle name="Normal 33 15 4 2 2 3" xfId="19236"/>
    <cellStyle name="Normal 33 15 4 2 3" xfId="19237"/>
    <cellStyle name="Normal 33 15 4 2 3 2" xfId="19238"/>
    <cellStyle name="Normal 33 15 4 2 4" xfId="19239"/>
    <cellStyle name="Normal 33 15 4 3" xfId="19240"/>
    <cellStyle name="Normal 33 15 4 3 2" xfId="19241"/>
    <cellStyle name="Normal 33 15 4 3 2 2" xfId="19242"/>
    <cellStyle name="Normal 33 15 4 3 2 2 2" xfId="19243"/>
    <cellStyle name="Normal 33 15 4 3 2 3" xfId="19244"/>
    <cellStyle name="Normal 33 15 4 3 3" xfId="19245"/>
    <cellStyle name="Normal 33 15 4 3 3 2" xfId="19246"/>
    <cellStyle name="Normal 33 15 4 3 4" xfId="19247"/>
    <cellStyle name="Normal 33 15 4 4" xfId="19248"/>
    <cellStyle name="Normal 33 15 4 4 2" xfId="19249"/>
    <cellStyle name="Normal 33 15 4 4 2 2" xfId="19250"/>
    <cellStyle name="Normal 33 15 4 4 3" xfId="19251"/>
    <cellStyle name="Normal 33 15 4 5" xfId="19252"/>
    <cellStyle name="Normal 33 15 4 5 2" xfId="19253"/>
    <cellStyle name="Normal 33 15 4 6" xfId="19254"/>
    <cellStyle name="Normal 33 15 5" xfId="19255"/>
    <cellStyle name="Normal 33 15 5 2" xfId="19256"/>
    <cellStyle name="Normal 33 15 5 2 2" xfId="19257"/>
    <cellStyle name="Normal 33 15 5 2 2 2" xfId="19258"/>
    <cellStyle name="Normal 33 15 5 2 2 2 2" xfId="19259"/>
    <cellStyle name="Normal 33 15 5 2 2 3" xfId="19260"/>
    <cellStyle name="Normal 33 15 5 2 3" xfId="19261"/>
    <cellStyle name="Normal 33 15 5 2 3 2" xfId="19262"/>
    <cellStyle name="Normal 33 15 5 2 4" xfId="19263"/>
    <cellStyle name="Normal 33 15 5 3" xfId="19264"/>
    <cellStyle name="Normal 33 15 5 3 2" xfId="19265"/>
    <cellStyle name="Normal 33 15 5 3 2 2" xfId="19266"/>
    <cellStyle name="Normal 33 15 5 3 2 2 2" xfId="19267"/>
    <cellStyle name="Normal 33 15 5 3 2 3" xfId="19268"/>
    <cellStyle name="Normal 33 15 5 3 3" xfId="19269"/>
    <cellStyle name="Normal 33 15 5 3 3 2" xfId="19270"/>
    <cellStyle name="Normal 33 15 5 3 4" xfId="19271"/>
    <cellStyle name="Normal 33 15 5 4" xfId="19272"/>
    <cellStyle name="Normal 33 15 5 4 2" xfId="19273"/>
    <cellStyle name="Normal 33 15 5 4 2 2" xfId="19274"/>
    <cellStyle name="Normal 33 15 5 4 3" xfId="19275"/>
    <cellStyle name="Normal 33 15 5 5" xfId="19276"/>
    <cellStyle name="Normal 33 15 5 5 2" xfId="19277"/>
    <cellStyle name="Normal 33 15 5 6" xfId="19278"/>
    <cellStyle name="Normal 33 15 6" xfId="19279"/>
    <cellStyle name="Normal 33 15 6 2" xfId="19280"/>
    <cellStyle name="Normal 33 15 6 2 2" xfId="19281"/>
    <cellStyle name="Normal 33 15 6 2 2 2" xfId="19282"/>
    <cellStyle name="Normal 33 15 6 2 2 2 2" xfId="19283"/>
    <cellStyle name="Normal 33 15 6 2 2 3" xfId="19284"/>
    <cellStyle name="Normal 33 15 6 2 3" xfId="19285"/>
    <cellStyle name="Normal 33 15 6 2 3 2" xfId="19286"/>
    <cellStyle name="Normal 33 15 6 2 4" xfId="19287"/>
    <cellStyle name="Normal 33 15 6 3" xfId="19288"/>
    <cellStyle name="Normal 33 15 6 3 2" xfId="19289"/>
    <cellStyle name="Normal 33 15 6 3 2 2" xfId="19290"/>
    <cellStyle name="Normal 33 15 6 3 2 2 2" xfId="19291"/>
    <cellStyle name="Normal 33 15 6 3 2 3" xfId="19292"/>
    <cellStyle name="Normal 33 15 6 3 3" xfId="19293"/>
    <cellStyle name="Normal 33 15 6 3 3 2" xfId="19294"/>
    <cellStyle name="Normal 33 15 6 3 4" xfId="19295"/>
    <cellStyle name="Normal 33 15 6 4" xfId="19296"/>
    <cellStyle name="Normal 33 15 6 4 2" xfId="19297"/>
    <cellStyle name="Normal 33 15 6 4 2 2" xfId="19298"/>
    <cellStyle name="Normal 33 15 6 4 3" xfId="19299"/>
    <cellStyle name="Normal 33 15 6 5" xfId="19300"/>
    <cellStyle name="Normal 33 15 6 5 2" xfId="19301"/>
    <cellStyle name="Normal 33 15 6 6" xfId="19302"/>
    <cellStyle name="Normal 33 15 7" xfId="19303"/>
    <cellStyle name="Normal 33 15 7 2" xfId="19304"/>
    <cellStyle name="Normal 33 15 7 2 2" xfId="19305"/>
    <cellStyle name="Normal 33 15 7 2 2 2" xfId="19306"/>
    <cellStyle name="Normal 33 15 7 2 2 2 2" xfId="19307"/>
    <cellStyle name="Normal 33 15 7 2 2 3" xfId="19308"/>
    <cellStyle name="Normal 33 15 7 2 3" xfId="19309"/>
    <cellStyle name="Normal 33 15 7 2 3 2" xfId="19310"/>
    <cellStyle name="Normal 33 15 7 2 4" xfId="19311"/>
    <cellStyle name="Normal 33 15 7 3" xfId="19312"/>
    <cellStyle name="Normal 33 15 7 3 2" xfId="19313"/>
    <cellStyle name="Normal 33 15 7 3 2 2" xfId="19314"/>
    <cellStyle name="Normal 33 15 7 3 2 2 2" xfId="19315"/>
    <cellStyle name="Normal 33 15 7 3 2 3" xfId="19316"/>
    <cellStyle name="Normal 33 15 7 3 3" xfId="19317"/>
    <cellStyle name="Normal 33 15 7 3 3 2" xfId="19318"/>
    <cellStyle name="Normal 33 15 7 3 4" xfId="19319"/>
    <cellStyle name="Normal 33 15 7 4" xfId="19320"/>
    <cellStyle name="Normal 33 15 7 4 2" xfId="19321"/>
    <cellStyle name="Normal 33 15 7 4 2 2" xfId="19322"/>
    <cellStyle name="Normal 33 15 7 4 3" xfId="19323"/>
    <cellStyle name="Normal 33 15 7 5" xfId="19324"/>
    <cellStyle name="Normal 33 15 7 5 2" xfId="19325"/>
    <cellStyle name="Normal 33 15 7 6" xfId="19326"/>
    <cellStyle name="Normal 33 15 8" xfId="19327"/>
    <cellStyle name="Normal 33 15 8 2" xfId="19328"/>
    <cellStyle name="Normal 33 15 8 2 2" xfId="19329"/>
    <cellStyle name="Normal 33 15 8 2 2 2" xfId="19330"/>
    <cellStyle name="Normal 33 15 8 2 2 2 2" xfId="19331"/>
    <cellStyle name="Normal 33 15 8 2 2 3" xfId="19332"/>
    <cellStyle name="Normal 33 15 8 2 3" xfId="19333"/>
    <cellStyle name="Normal 33 15 8 2 3 2" xfId="19334"/>
    <cellStyle name="Normal 33 15 8 2 4" xfId="19335"/>
    <cellStyle name="Normal 33 15 8 3" xfId="19336"/>
    <cellStyle name="Normal 33 15 8 3 2" xfId="19337"/>
    <cellStyle name="Normal 33 15 8 3 2 2" xfId="19338"/>
    <cellStyle name="Normal 33 15 8 3 2 2 2" xfId="19339"/>
    <cellStyle name="Normal 33 15 8 3 2 3" xfId="19340"/>
    <cellStyle name="Normal 33 15 8 3 3" xfId="19341"/>
    <cellStyle name="Normal 33 15 8 3 3 2" xfId="19342"/>
    <cellStyle name="Normal 33 15 8 3 4" xfId="19343"/>
    <cellStyle name="Normal 33 15 8 4" xfId="19344"/>
    <cellStyle name="Normal 33 15 8 4 2" xfId="19345"/>
    <cellStyle name="Normal 33 15 8 4 2 2" xfId="19346"/>
    <cellStyle name="Normal 33 15 8 4 3" xfId="19347"/>
    <cellStyle name="Normal 33 15 8 5" xfId="19348"/>
    <cellStyle name="Normal 33 15 8 5 2" xfId="19349"/>
    <cellStyle name="Normal 33 15 8 6" xfId="19350"/>
    <cellStyle name="Normal 33 15 9" xfId="19351"/>
    <cellStyle name="Normal 33 15 9 2" xfId="19352"/>
    <cellStyle name="Normal 33 15 9 2 2" xfId="19353"/>
    <cellStyle name="Normal 33 15 9 2 2 2" xfId="19354"/>
    <cellStyle name="Normal 33 15 9 2 2 2 2" xfId="19355"/>
    <cellStyle name="Normal 33 15 9 2 2 3" xfId="19356"/>
    <cellStyle name="Normal 33 15 9 2 3" xfId="19357"/>
    <cellStyle name="Normal 33 15 9 2 3 2" xfId="19358"/>
    <cellStyle name="Normal 33 15 9 2 4" xfId="19359"/>
    <cellStyle name="Normal 33 15 9 3" xfId="19360"/>
    <cellStyle name="Normal 33 15 9 3 2" xfId="19361"/>
    <cellStyle name="Normal 33 15 9 3 2 2" xfId="19362"/>
    <cellStyle name="Normal 33 15 9 3 2 2 2" xfId="19363"/>
    <cellStyle name="Normal 33 15 9 3 2 3" xfId="19364"/>
    <cellStyle name="Normal 33 15 9 3 3" xfId="19365"/>
    <cellStyle name="Normal 33 15 9 3 3 2" xfId="19366"/>
    <cellStyle name="Normal 33 15 9 3 4" xfId="19367"/>
    <cellStyle name="Normal 33 15 9 4" xfId="19368"/>
    <cellStyle name="Normal 33 15 9 4 2" xfId="19369"/>
    <cellStyle name="Normal 33 15 9 4 2 2" xfId="19370"/>
    <cellStyle name="Normal 33 15 9 4 3" xfId="19371"/>
    <cellStyle name="Normal 33 15 9 5" xfId="19372"/>
    <cellStyle name="Normal 33 15 9 5 2" xfId="19373"/>
    <cellStyle name="Normal 33 15 9 6" xfId="19374"/>
    <cellStyle name="Normal 33 16" xfId="19375"/>
    <cellStyle name="Normal 33 16 10" xfId="19376"/>
    <cellStyle name="Normal 33 16 10 2" xfId="19377"/>
    <cellStyle name="Normal 33 16 10 2 2" xfId="19378"/>
    <cellStyle name="Normal 33 16 10 2 2 2" xfId="19379"/>
    <cellStyle name="Normal 33 16 10 2 2 2 2" xfId="19380"/>
    <cellStyle name="Normal 33 16 10 2 2 3" xfId="19381"/>
    <cellStyle name="Normal 33 16 10 2 3" xfId="19382"/>
    <cellStyle name="Normal 33 16 10 2 3 2" xfId="19383"/>
    <cellStyle name="Normal 33 16 10 2 4" xfId="19384"/>
    <cellStyle name="Normal 33 16 10 3" xfId="19385"/>
    <cellStyle name="Normal 33 16 10 3 2" xfId="19386"/>
    <cellStyle name="Normal 33 16 10 3 2 2" xfId="19387"/>
    <cellStyle name="Normal 33 16 10 3 2 2 2" xfId="19388"/>
    <cellStyle name="Normal 33 16 10 3 2 3" xfId="19389"/>
    <cellStyle name="Normal 33 16 10 3 3" xfId="19390"/>
    <cellStyle name="Normal 33 16 10 3 3 2" xfId="19391"/>
    <cellStyle name="Normal 33 16 10 3 4" xfId="19392"/>
    <cellStyle name="Normal 33 16 10 4" xfId="19393"/>
    <cellStyle name="Normal 33 16 10 4 2" xfId="19394"/>
    <cellStyle name="Normal 33 16 10 4 2 2" xfId="19395"/>
    <cellStyle name="Normal 33 16 10 4 3" xfId="19396"/>
    <cellStyle name="Normal 33 16 10 5" xfId="19397"/>
    <cellStyle name="Normal 33 16 10 5 2" xfId="19398"/>
    <cellStyle name="Normal 33 16 10 6" xfId="19399"/>
    <cellStyle name="Normal 33 16 11" xfId="19400"/>
    <cellStyle name="Normal 33 16 11 2" xfId="19401"/>
    <cellStyle name="Normal 33 16 11 2 2" xfId="19402"/>
    <cellStyle name="Normal 33 16 11 2 2 2" xfId="19403"/>
    <cellStyle name="Normal 33 16 11 2 2 2 2" xfId="19404"/>
    <cellStyle name="Normal 33 16 11 2 2 3" xfId="19405"/>
    <cellStyle name="Normal 33 16 11 2 3" xfId="19406"/>
    <cellStyle name="Normal 33 16 11 2 3 2" xfId="19407"/>
    <cellStyle name="Normal 33 16 11 2 4" xfId="19408"/>
    <cellStyle name="Normal 33 16 11 3" xfId="19409"/>
    <cellStyle name="Normal 33 16 11 3 2" xfId="19410"/>
    <cellStyle name="Normal 33 16 11 3 2 2" xfId="19411"/>
    <cellStyle name="Normal 33 16 11 3 2 2 2" xfId="19412"/>
    <cellStyle name="Normal 33 16 11 3 2 3" xfId="19413"/>
    <cellStyle name="Normal 33 16 11 3 3" xfId="19414"/>
    <cellStyle name="Normal 33 16 11 3 3 2" xfId="19415"/>
    <cellStyle name="Normal 33 16 11 3 4" xfId="19416"/>
    <cellStyle name="Normal 33 16 11 4" xfId="19417"/>
    <cellStyle name="Normal 33 16 11 4 2" xfId="19418"/>
    <cellStyle name="Normal 33 16 11 4 2 2" xfId="19419"/>
    <cellStyle name="Normal 33 16 11 4 3" xfId="19420"/>
    <cellStyle name="Normal 33 16 11 5" xfId="19421"/>
    <cellStyle name="Normal 33 16 11 5 2" xfId="19422"/>
    <cellStyle name="Normal 33 16 11 6" xfId="19423"/>
    <cellStyle name="Normal 33 16 12" xfId="19424"/>
    <cellStyle name="Normal 33 16 12 2" xfId="19425"/>
    <cellStyle name="Normal 33 16 12 2 2" xfId="19426"/>
    <cellStyle name="Normal 33 16 12 2 2 2" xfId="19427"/>
    <cellStyle name="Normal 33 16 12 2 2 2 2" xfId="19428"/>
    <cellStyle name="Normal 33 16 12 2 2 3" xfId="19429"/>
    <cellStyle name="Normal 33 16 12 2 3" xfId="19430"/>
    <cellStyle name="Normal 33 16 12 2 3 2" xfId="19431"/>
    <cellStyle name="Normal 33 16 12 2 4" xfId="19432"/>
    <cellStyle name="Normal 33 16 12 3" xfId="19433"/>
    <cellStyle name="Normal 33 16 12 3 2" xfId="19434"/>
    <cellStyle name="Normal 33 16 12 3 2 2" xfId="19435"/>
    <cellStyle name="Normal 33 16 12 3 2 2 2" xfId="19436"/>
    <cellStyle name="Normal 33 16 12 3 2 3" xfId="19437"/>
    <cellStyle name="Normal 33 16 12 3 3" xfId="19438"/>
    <cellStyle name="Normal 33 16 12 3 3 2" xfId="19439"/>
    <cellStyle name="Normal 33 16 12 3 4" xfId="19440"/>
    <cellStyle name="Normal 33 16 12 4" xfId="19441"/>
    <cellStyle name="Normal 33 16 12 4 2" xfId="19442"/>
    <cellStyle name="Normal 33 16 12 4 2 2" xfId="19443"/>
    <cellStyle name="Normal 33 16 12 4 3" xfId="19444"/>
    <cellStyle name="Normal 33 16 12 5" xfId="19445"/>
    <cellStyle name="Normal 33 16 12 5 2" xfId="19446"/>
    <cellStyle name="Normal 33 16 12 6" xfId="19447"/>
    <cellStyle name="Normal 33 16 13" xfId="19448"/>
    <cellStyle name="Normal 33 16 13 2" xfId="19449"/>
    <cellStyle name="Normal 33 16 13 2 2" xfId="19450"/>
    <cellStyle name="Normal 33 16 13 2 2 2" xfId="19451"/>
    <cellStyle name="Normal 33 16 13 2 2 2 2" xfId="19452"/>
    <cellStyle name="Normal 33 16 13 2 2 3" xfId="19453"/>
    <cellStyle name="Normal 33 16 13 2 3" xfId="19454"/>
    <cellStyle name="Normal 33 16 13 2 3 2" xfId="19455"/>
    <cellStyle name="Normal 33 16 13 2 4" xfId="19456"/>
    <cellStyle name="Normal 33 16 13 3" xfId="19457"/>
    <cellStyle name="Normal 33 16 13 3 2" xfId="19458"/>
    <cellStyle name="Normal 33 16 13 3 2 2" xfId="19459"/>
    <cellStyle name="Normal 33 16 13 3 2 2 2" xfId="19460"/>
    <cellStyle name="Normal 33 16 13 3 2 3" xfId="19461"/>
    <cellStyle name="Normal 33 16 13 3 3" xfId="19462"/>
    <cellStyle name="Normal 33 16 13 3 3 2" xfId="19463"/>
    <cellStyle name="Normal 33 16 13 3 4" xfId="19464"/>
    <cellStyle name="Normal 33 16 13 4" xfId="19465"/>
    <cellStyle name="Normal 33 16 13 4 2" xfId="19466"/>
    <cellStyle name="Normal 33 16 13 4 2 2" xfId="19467"/>
    <cellStyle name="Normal 33 16 13 4 3" xfId="19468"/>
    <cellStyle name="Normal 33 16 13 5" xfId="19469"/>
    <cellStyle name="Normal 33 16 13 5 2" xfId="19470"/>
    <cellStyle name="Normal 33 16 13 6" xfId="19471"/>
    <cellStyle name="Normal 33 16 14" xfId="19472"/>
    <cellStyle name="Normal 33 16 14 2" xfId="19473"/>
    <cellStyle name="Normal 33 16 14 2 2" xfId="19474"/>
    <cellStyle name="Normal 33 16 14 2 2 2" xfId="19475"/>
    <cellStyle name="Normal 33 16 14 2 3" xfId="19476"/>
    <cellStyle name="Normal 33 16 14 3" xfId="19477"/>
    <cellStyle name="Normal 33 16 14 3 2" xfId="19478"/>
    <cellStyle name="Normal 33 16 14 4" xfId="19479"/>
    <cellStyle name="Normal 33 16 15" xfId="19480"/>
    <cellStyle name="Normal 33 16 15 2" xfId="19481"/>
    <cellStyle name="Normal 33 16 15 2 2" xfId="19482"/>
    <cellStyle name="Normal 33 16 15 2 2 2" xfId="19483"/>
    <cellStyle name="Normal 33 16 15 2 3" xfId="19484"/>
    <cellStyle name="Normal 33 16 15 3" xfId="19485"/>
    <cellStyle name="Normal 33 16 15 3 2" xfId="19486"/>
    <cellStyle name="Normal 33 16 15 4" xfId="19487"/>
    <cellStyle name="Normal 33 16 16" xfId="19488"/>
    <cellStyle name="Normal 33 16 16 2" xfId="19489"/>
    <cellStyle name="Normal 33 16 16 2 2" xfId="19490"/>
    <cellStyle name="Normal 33 16 16 3" xfId="19491"/>
    <cellStyle name="Normal 33 16 17" xfId="19492"/>
    <cellStyle name="Normal 33 16 17 2" xfId="19493"/>
    <cellStyle name="Normal 33 16 18" xfId="19494"/>
    <cellStyle name="Normal 33 16 2" xfId="19495"/>
    <cellStyle name="Normal 33 16 2 2" xfId="19496"/>
    <cellStyle name="Normal 33 16 2 2 2" xfId="19497"/>
    <cellStyle name="Normal 33 16 2 2 2 2" xfId="19498"/>
    <cellStyle name="Normal 33 16 2 2 2 2 2" xfId="19499"/>
    <cellStyle name="Normal 33 16 2 2 2 3" xfId="19500"/>
    <cellStyle name="Normal 33 16 2 2 3" xfId="19501"/>
    <cellStyle name="Normal 33 16 2 2 3 2" xfId="19502"/>
    <cellStyle name="Normal 33 16 2 2 4" xfId="19503"/>
    <cellStyle name="Normal 33 16 2 3" xfId="19504"/>
    <cellStyle name="Normal 33 16 2 3 2" xfId="19505"/>
    <cellStyle name="Normal 33 16 2 3 2 2" xfId="19506"/>
    <cellStyle name="Normal 33 16 2 3 2 2 2" xfId="19507"/>
    <cellStyle name="Normal 33 16 2 3 2 3" xfId="19508"/>
    <cellStyle name="Normal 33 16 2 3 3" xfId="19509"/>
    <cellStyle name="Normal 33 16 2 3 3 2" xfId="19510"/>
    <cellStyle name="Normal 33 16 2 3 4" xfId="19511"/>
    <cellStyle name="Normal 33 16 2 4" xfId="19512"/>
    <cellStyle name="Normal 33 16 2 4 2" xfId="19513"/>
    <cellStyle name="Normal 33 16 2 4 2 2" xfId="19514"/>
    <cellStyle name="Normal 33 16 2 4 3" xfId="19515"/>
    <cellStyle name="Normal 33 16 2 5" xfId="19516"/>
    <cellStyle name="Normal 33 16 2 5 2" xfId="19517"/>
    <cellStyle name="Normal 33 16 2 6" xfId="19518"/>
    <cellStyle name="Normal 33 16 3" xfId="19519"/>
    <cellStyle name="Normal 33 16 3 2" xfId="19520"/>
    <cellStyle name="Normal 33 16 3 2 2" xfId="19521"/>
    <cellStyle name="Normal 33 16 3 2 2 2" xfId="19522"/>
    <cellStyle name="Normal 33 16 3 2 2 2 2" xfId="19523"/>
    <cellStyle name="Normal 33 16 3 2 2 3" xfId="19524"/>
    <cellStyle name="Normal 33 16 3 2 3" xfId="19525"/>
    <cellStyle name="Normal 33 16 3 2 3 2" xfId="19526"/>
    <cellStyle name="Normal 33 16 3 2 4" xfId="19527"/>
    <cellStyle name="Normal 33 16 3 3" xfId="19528"/>
    <cellStyle name="Normal 33 16 3 3 2" xfId="19529"/>
    <cellStyle name="Normal 33 16 3 3 2 2" xfId="19530"/>
    <cellStyle name="Normal 33 16 3 3 2 2 2" xfId="19531"/>
    <cellStyle name="Normal 33 16 3 3 2 3" xfId="19532"/>
    <cellStyle name="Normal 33 16 3 3 3" xfId="19533"/>
    <cellStyle name="Normal 33 16 3 3 3 2" xfId="19534"/>
    <cellStyle name="Normal 33 16 3 3 4" xfId="19535"/>
    <cellStyle name="Normal 33 16 3 4" xfId="19536"/>
    <cellStyle name="Normal 33 16 3 4 2" xfId="19537"/>
    <cellStyle name="Normal 33 16 3 4 2 2" xfId="19538"/>
    <cellStyle name="Normal 33 16 3 4 3" xfId="19539"/>
    <cellStyle name="Normal 33 16 3 5" xfId="19540"/>
    <cellStyle name="Normal 33 16 3 5 2" xfId="19541"/>
    <cellStyle name="Normal 33 16 3 6" xfId="19542"/>
    <cellStyle name="Normal 33 16 4" xfId="19543"/>
    <cellStyle name="Normal 33 16 4 2" xfId="19544"/>
    <cellStyle name="Normal 33 16 4 2 2" xfId="19545"/>
    <cellStyle name="Normal 33 16 4 2 2 2" xfId="19546"/>
    <cellStyle name="Normal 33 16 4 2 2 2 2" xfId="19547"/>
    <cellStyle name="Normal 33 16 4 2 2 3" xfId="19548"/>
    <cellStyle name="Normal 33 16 4 2 3" xfId="19549"/>
    <cellStyle name="Normal 33 16 4 2 3 2" xfId="19550"/>
    <cellStyle name="Normal 33 16 4 2 4" xfId="19551"/>
    <cellStyle name="Normal 33 16 4 3" xfId="19552"/>
    <cellStyle name="Normal 33 16 4 3 2" xfId="19553"/>
    <cellStyle name="Normal 33 16 4 3 2 2" xfId="19554"/>
    <cellStyle name="Normal 33 16 4 3 2 2 2" xfId="19555"/>
    <cellStyle name="Normal 33 16 4 3 2 3" xfId="19556"/>
    <cellStyle name="Normal 33 16 4 3 3" xfId="19557"/>
    <cellStyle name="Normal 33 16 4 3 3 2" xfId="19558"/>
    <cellStyle name="Normal 33 16 4 3 4" xfId="19559"/>
    <cellStyle name="Normal 33 16 4 4" xfId="19560"/>
    <cellStyle name="Normal 33 16 4 4 2" xfId="19561"/>
    <cellStyle name="Normal 33 16 4 4 2 2" xfId="19562"/>
    <cellStyle name="Normal 33 16 4 4 3" xfId="19563"/>
    <cellStyle name="Normal 33 16 4 5" xfId="19564"/>
    <cellStyle name="Normal 33 16 4 5 2" xfId="19565"/>
    <cellStyle name="Normal 33 16 4 6" xfId="19566"/>
    <cellStyle name="Normal 33 16 5" xfId="19567"/>
    <cellStyle name="Normal 33 16 5 2" xfId="19568"/>
    <cellStyle name="Normal 33 16 5 2 2" xfId="19569"/>
    <cellStyle name="Normal 33 16 5 2 2 2" xfId="19570"/>
    <cellStyle name="Normal 33 16 5 2 2 2 2" xfId="19571"/>
    <cellStyle name="Normal 33 16 5 2 2 3" xfId="19572"/>
    <cellStyle name="Normal 33 16 5 2 3" xfId="19573"/>
    <cellStyle name="Normal 33 16 5 2 3 2" xfId="19574"/>
    <cellStyle name="Normal 33 16 5 2 4" xfId="19575"/>
    <cellStyle name="Normal 33 16 5 3" xfId="19576"/>
    <cellStyle name="Normal 33 16 5 3 2" xfId="19577"/>
    <cellStyle name="Normal 33 16 5 3 2 2" xfId="19578"/>
    <cellStyle name="Normal 33 16 5 3 2 2 2" xfId="19579"/>
    <cellStyle name="Normal 33 16 5 3 2 3" xfId="19580"/>
    <cellStyle name="Normal 33 16 5 3 3" xfId="19581"/>
    <cellStyle name="Normal 33 16 5 3 3 2" xfId="19582"/>
    <cellStyle name="Normal 33 16 5 3 4" xfId="19583"/>
    <cellStyle name="Normal 33 16 5 4" xfId="19584"/>
    <cellStyle name="Normal 33 16 5 4 2" xfId="19585"/>
    <cellStyle name="Normal 33 16 5 4 2 2" xfId="19586"/>
    <cellStyle name="Normal 33 16 5 4 3" xfId="19587"/>
    <cellStyle name="Normal 33 16 5 5" xfId="19588"/>
    <cellStyle name="Normal 33 16 5 5 2" xfId="19589"/>
    <cellStyle name="Normal 33 16 5 6" xfId="19590"/>
    <cellStyle name="Normal 33 16 6" xfId="19591"/>
    <cellStyle name="Normal 33 16 6 2" xfId="19592"/>
    <cellStyle name="Normal 33 16 6 2 2" xfId="19593"/>
    <cellStyle name="Normal 33 16 6 2 2 2" xfId="19594"/>
    <cellStyle name="Normal 33 16 6 2 2 2 2" xfId="19595"/>
    <cellStyle name="Normal 33 16 6 2 2 3" xfId="19596"/>
    <cellStyle name="Normal 33 16 6 2 3" xfId="19597"/>
    <cellStyle name="Normal 33 16 6 2 3 2" xfId="19598"/>
    <cellStyle name="Normal 33 16 6 2 4" xfId="19599"/>
    <cellStyle name="Normal 33 16 6 3" xfId="19600"/>
    <cellStyle name="Normal 33 16 6 3 2" xfId="19601"/>
    <cellStyle name="Normal 33 16 6 3 2 2" xfId="19602"/>
    <cellStyle name="Normal 33 16 6 3 2 2 2" xfId="19603"/>
    <cellStyle name="Normal 33 16 6 3 2 3" xfId="19604"/>
    <cellStyle name="Normal 33 16 6 3 3" xfId="19605"/>
    <cellStyle name="Normal 33 16 6 3 3 2" xfId="19606"/>
    <cellStyle name="Normal 33 16 6 3 4" xfId="19607"/>
    <cellStyle name="Normal 33 16 6 4" xfId="19608"/>
    <cellStyle name="Normal 33 16 6 4 2" xfId="19609"/>
    <cellStyle name="Normal 33 16 6 4 2 2" xfId="19610"/>
    <cellStyle name="Normal 33 16 6 4 3" xfId="19611"/>
    <cellStyle name="Normal 33 16 6 5" xfId="19612"/>
    <cellStyle name="Normal 33 16 6 5 2" xfId="19613"/>
    <cellStyle name="Normal 33 16 6 6" xfId="19614"/>
    <cellStyle name="Normal 33 16 7" xfId="19615"/>
    <cellStyle name="Normal 33 16 7 2" xfId="19616"/>
    <cellStyle name="Normal 33 16 7 2 2" xfId="19617"/>
    <cellStyle name="Normal 33 16 7 2 2 2" xfId="19618"/>
    <cellStyle name="Normal 33 16 7 2 2 2 2" xfId="19619"/>
    <cellStyle name="Normal 33 16 7 2 2 3" xfId="19620"/>
    <cellStyle name="Normal 33 16 7 2 3" xfId="19621"/>
    <cellStyle name="Normal 33 16 7 2 3 2" xfId="19622"/>
    <cellStyle name="Normal 33 16 7 2 4" xfId="19623"/>
    <cellStyle name="Normal 33 16 7 3" xfId="19624"/>
    <cellStyle name="Normal 33 16 7 3 2" xfId="19625"/>
    <cellStyle name="Normal 33 16 7 3 2 2" xfId="19626"/>
    <cellStyle name="Normal 33 16 7 3 2 2 2" xfId="19627"/>
    <cellStyle name="Normal 33 16 7 3 2 3" xfId="19628"/>
    <cellStyle name="Normal 33 16 7 3 3" xfId="19629"/>
    <cellStyle name="Normal 33 16 7 3 3 2" xfId="19630"/>
    <cellStyle name="Normal 33 16 7 3 4" xfId="19631"/>
    <cellStyle name="Normal 33 16 7 4" xfId="19632"/>
    <cellStyle name="Normal 33 16 7 4 2" xfId="19633"/>
    <cellStyle name="Normal 33 16 7 4 2 2" xfId="19634"/>
    <cellStyle name="Normal 33 16 7 4 3" xfId="19635"/>
    <cellStyle name="Normal 33 16 7 5" xfId="19636"/>
    <cellStyle name="Normal 33 16 7 5 2" xfId="19637"/>
    <cellStyle name="Normal 33 16 7 6" xfId="19638"/>
    <cellStyle name="Normal 33 16 8" xfId="19639"/>
    <cellStyle name="Normal 33 16 8 2" xfId="19640"/>
    <cellStyle name="Normal 33 16 8 2 2" xfId="19641"/>
    <cellStyle name="Normal 33 16 8 2 2 2" xfId="19642"/>
    <cellStyle name="Normal 33 16 8 2 2 2 2" xfId="19643"/>
    <cellStyle name="Normal 33 16 8 2 2 3" xfId="19644"/>
    <cellStyle name="Normal 33 16 8 2 3" xfId="19645"/>
    <cellStyle name="Normal 33 16 8 2 3 2" xfId="19646"/>
    <cellStyle name="Normal 33 16 8 2 4" xfId="19647"/>
    <cellStyle name="Normal 33 16 8 3" xfId="19648"/>
    <cellStyle name="Normal 33 16 8 3 2" xfId="19649"/>
    <cellStyle name="Normal 33 16 8 3 2 2" xfId="19650"/>
    <cellStyle name="Normal 33 16 8 3 2 2 2" xfId="19651"/>
    <cellStyle name="Normal 33 16 8 3 2 3" xfId="19652"/>
    <cellStyle name="Normal 33 16 8 3 3" xfId="19653"/>
    <cellStyle name="Normal 33 16 8 3 3 2" xfId="19654"/>
    <cellStyle name="Normal 33 16 8 3 4" xfId="19655"/>
    <cellStyle name="Normal 33 16 8 4" xfId="19656"/>
    <cellStyle name="Normal 33 16 8 4 2" xfId="19657"/>
    <cellStyle name="Normal 33 16 8 4 2 2" xfId="19658"/>
    <cellStyle name="Normal 33 16 8 4 3" xfId="19659"/>
    <cellStyle name="Normal 33 16 8 5" xfId="19660"/>
    <cellStyle name="Normal 33 16 8 5 2" xfId="19661"/>
    <cellStyle name="Normal 33 16 8 6" xfId="19662"/>
    <cellStyle name="Normal 33 16 9" xfId="19663"/>
    <cellStyle name="Normal 33 16 9 2" xfId="19664"/>
    <cellStyle name="Normal 33 16 9 2 2" xfId="19665"/>
    <cellStyle name="Normal 33 16 9 2 2 2" xfId="19666"/>
    <cellStyle name="Normal 33 16 9 2 2 2 2" xfId="19667"/>
    <cellStyle name="Normal 33 16 9 2 2 3" xfId="19668"/>
    <cellStyle name="Normal 33 16 9 2 3" xfId="19669"/>
    <cellStyle name="Normal 33 16 9 2 3 2" xfId="19670"/>
    <cellStyle name="Normal 33 16 9 2 4" xfId="19671"/>
    <cellStyle name="Normal 33 16 9 3" xfId="19672"/>
    <cellStyle name="Normal 33 16 9 3 2" xfId="19673"/>
    <cellStyle name="Normal 33 16 9 3 2 2" xfId="19674"/>
    <cellStyle name="Normal 33 16 9 3 2 2 2" xfId="19675"/>
    <cellStyle name="Normal 33 16 9 3 2 3" xfId="19676"/>
    <cellStyle name="Normal 33 16 9 3 3" xfId="19677"/>
    <cellStyle name="Normal 33 16 9 3 3 2" xfId="19678"/>
    <cellStyle name="Normal 33 16 9 3 4" xfId="19679"/>
    <cellStyle name="Normal 33 16 9 4" xfId="19680"/>
    <cellStyle name="Normal 33 16 9 4 2" xfId="19681"/>
    <cellStyle name="Normal 33 16 9 4 2 2" xfId="19682"/>
    <cellStyle name="Normal 33 16 9 4 3" xfId="19683"/>
    <cellStyle name="Normal 33 16 9 5" xfId="19684"/>
    <cellStyle name="Normal 33 16 9 5 2" xfId="19685"/>
    <cellStyle name="Normal 33 16 9 6" xfId="19686"/>
    <cellStyle name="Normal 33 17" xfId="19687"/>
    <cellStyle name="Normal 33 17 10" xfId="19688"/>
    <cellStyle name="Normal 33 17 10 2" xfId="19689"/>
    <cellStyle name="Normal 33 17 10 2 2" xfId="19690"/>
    <cellStyle name="Normal 33 17 10 2 2 2" xfId="19691"/>
    <cellStyle name="Normal 33 17 10 2 2 2 2" xfId="19692"/>
    <cellStyle name="Normal 33 17 10 2 2 3" xfId="19693"/>
    <cellStyle name="Normal 33 17 10 2 3" xfId="19694"/>
    <cellStyle name="Normal 33 17 10 2 3 2" xfId="19695"/>
    <cellStyle name="Normal 33 17 10 2 4" xfId="19696"/>
    <cellStyle name="Normal 33 17 10 3" xfId="19697"/>
    <cellStyle name="Normal 33 17 10 3 2" xfId="19698"/>
    <cellStyle name="Normal 33 17 10 3 2 2" xfId="19699"/>
    <cellStyle name="Normal 33 17 10 3 2 2 2" xfId="19700"/>
    <cellStyle name="Normal 33 17 10 3 2 3" xfId="19701"/>
    <cellStyle name="Normal 33 17 10 3 3" xfId="19702"/>
    <cellStyle name="Normal 33 17 10 3 3 2" xfId="19703"/>
    <cellStyle name="Normal 33 17 10 3 4" xfId="19704"/>
    <cellStyle name="Normal 33 17 10 4" xfId="19705"/>
    <cellStyle name="Normal 33 17 10 4 2" xfId="19706"/>
    <cellStyle name="Normal 33 17 10 4 2 2" xfId="19707"/>
    <cellStyle name="Normal 33 17 10 4 3" xfId="19708"/>
    <cellStyle name="Normal 33 17 10 5" xfId="19709"/>
    <cellStyle name="Normal 33 17 10 5 2" xfId="19710"/>
    <cellStyle name="Normal 33 17 10 6" xfId="19711"/>
    <cellStyle name="Normal 33 17 11" xfId="19712"/>
    <cellStyle name="Normal 33 17 11 2" xfId="19713"/>
    <cellStyle name="Normal 33 17 11 2 2" xfId="19714"/>
    <cellStyle name="Normal 33 17 11 2 2 2" xfId="19715"/>
    <cellStyle name="Normal 33 17 11 2 2 2 2" xfId="19716"/>
    <cellStyle name="Normal 33 17 11 2 2 3" xfId="19717"/>
    <cellStyle name="Normal 33 17 11 2 3" xfId="19718"/>
    <cellStyle name="Normal 33 17 11 2 3 2" xfId="19719"/>
    <cellStyle name="Normal 33 17 11 2 4" xfId="19720"/>
    <cellStyle name="Normal 33 17 11 3" xfId="19721"/>
    <cellStyle name="Normal 33 17 11 3 2" xfId="19722"/>
    <cellStyle name="Normal 33 17 11 3 2 2" xfId="19723"/>
    <cellStyle name="Normal 33 17 11 3 2 2 2" xfId="19724"/>
    <cellStyle name="Normal 33 17 11 3 2 3" xfId="19725"/>
    <cellStyle name="Normal 33 17 11 3 3" xfId="19726"/>
    <cellStyle name="Normal 33 17 11 3 3 2" xfId="19727"/>
    <cellStyle name="Normal 33 17 11 3 4" xfId="19728"/>
    <cellStyle name="Normal 33 17 11 4" xfId="19729"/>
    <cellStyle name="Normal 33 17 11 4 2" xfId="19730"/>
    <cellStyle name="Normal 33 17 11 4 2 2" xfId="19731"/>
    <cellStyle name="Normal 33 17 11 4 3" xfId="19732"/>
    <cellStyle name="Normal 33 17 11 5" xfId="19733"/>
    <cellStyle name="Normal 33 17 11 5 2" xfId="19734"/>
    <cellStyle name="Normal 33 17 11 6" xfId="19735"/>
    <cellStyle name="Normal 33 17 12" xfId="19736"/>
    <cellStyle name="Normal 33 17 12 2" xfId="19737"/>
    <cellStyle name="Normal 33 17 12 2 2" xfId="19738"/>
    <cellStyle name="Normal 33 17 12 2 2 2" xfId="19739"/>
    <cellStyle name="Normal 33 17 12 2 2 2 2" xfId="19740"/>
    <cellStyle name="Normal 33 17 12 2 2 3" xfId="19741"/>
    <cellStyle name="Normal 33 17 12 2 3" xfId="19742"/>
    <cellStyle name="Normal 33 17 12 2 3 2" xfId="19743"/>
    <cellStyle name="Normal 33 17 12 2 4" xfId="19744"/>
    <cellStyle name="Normal 33 17 12 3" xfId="19745"/>
    <cellStyle name="Normal 33 17 12 3 2" xfId="19746"/>
    <cellStyle name="Normal 33 17 12 3 2 2" xfId="19747"/>
    <cellStyle name="Normal 33 17 12 3 2 2 2" xfId="19748"/>
    <cellStyle name="Normal 33 17 12 3 2 3" xfId="19749"/>
    <cellStyle name="Normal 33 17 12 3 3" xfId="19750"/>
    <cellStyle name="Normal 33 17 12 3 3 2" xfId="19751"/>
    <cellStyle name="Normal 33 17 12 3 4" xfId="19752"/>
    <cellStyle name="Normal 33 17 12 4" xfId="19753"/>
    <cellStyle name="Normal 33 17 12 4 2" xfId="19754"/>
    <cellStyle name="Normal 33 17 12 4 2 2" xfId="19755"/>
    <cellStyle name="Normal 33 17 12 4 3" xfId="19756"/>
    <cellStyle name="Normal 33 17 12 5" xfId="19757"/>
    <cellStyle name="Normal 33 17 12 5 2" xfId="19758"/>
    <cellStyle name="Normal 33 17 12 6" xfId="19759"/>
    <cellStyle name="Normal 33 17 13" xfId="19760"/>
    <cellStyle name="Normal 33 17 13 2" xfId="19761"/>
    <cellStyle name="Normal 33 17 13 2 2" xfId="19762"/>
    <cellStyle name="Normal 33 17 13 2 2 2" xfId="19763"/>
    <cellStyle name="Normal 33 17 13 2 2 2 2" xfId="19764"/>
    <cellStyle name="Normal 33 17 13 2 2 3" xfId="19765"/>
    <cellStyle name="Normal 33 17 13 2 3" xfId="19766"/>
    <cellStyle name="Normal 33 17 13 2 3 2" xfId="19767"/>
    <cellStyle name="Normal 33 17 13 2 4" xfId="19768"/>
    <cellStyle name="Normal 33 17 13 3" xfId="19769"/>
    <cellStyle name="Normal 33 17 13 3 2" xfId="19770"/>
    <cellStyle name="Normal 33 17 13 3 2 2" xfId="19771"/>
    <cellStyle name="Normal 33 17 13 3 2 2 2" xfId="19772"/>
    <cellStyle name="Normal 33 17 13 3 2 3" xfId="19773"/>
    <cellStyle name="Normal 33 17 13 3 3" xfId="19774"/>
    <cellStyle name="Normal 33 17 13 3 3 2" xfId="19775"/>
    <cellStyle name="Normal 33 17 13 3 4" xfId="19776"/>
    <cellStyle name="Normal 33 17 13 4" xfId="19777"/>
    <cellStyle name="Normal 33 17 13 4 2" xfId="19778"/>
    <cellStyle name="Normal 33 17 13 4 2 2" xfId="19779"/>
    <cellStyle name="Normal 33 17 13 4 3" xfId="19780"/>
    <cellStyle name="Normal 33 17 13 5" xfId="19781"/>
    <cellStyle name="Normal 33 17 13 5 2" xfId="19782"/>
    <cellStyle name="Normal 33 17 13 6" xfId="19783"/>
    <cellStyle name="Normal 33 17 14" xfId="19784"/>
    <cellStyle name="Normal 33 17 14 2" xfId="19785"/>
    <cellStyle name="Normal 33 17 14 2 2" xfId="19786"/>
    <cellStyle name="Normal 33 17 14 2 2 2" xfId="19787"/>
    <cellStyle name="Normal 33 17 14 2 3" xfId="19788"/>
    <cellStyle name="Normal 33 17 14 3" xfId="19789"/>
    <cellStyle name="Normal 33 17 14 3 2" xfId="19790"/>
    <cellStyle name="Normal 33 17 14 4" xfId="19791"/>
    <cellStyle name="Normal 33 17 15" xfId="19792"/>
    <cellStyle name="Normal 33 17 15 2" xfId="19793"/>
    <cellStyle name="Normal 33 17 15 2 2" xfId="19794"/>
    <cellStyle name="Normal 33 17 15 2 2 2" xfId="19795"/>
    <cellStyle name="Normal 33 17 15 2 3" xfId="19796"/>
    <cellStyle name="Normal 33 17 15 3" xfId="19797"/>
    <cellStyle name="Normal 33 17 15 3 2" xfId="19798"/>
    <cellStyle name="Normal 33 17 15 4" xfId="19799"/>
    <cellStyle name="Normal 33 17 16" xfId="19800"/>
    <cellStyle name="Normal 33 17 16 2" xfId="19801"/>
    <cellStyle name="Normal 33 17 16 2 2" xfId="19802"/>
    <cellStyle name="Normal 33 17 16 3" xfId="19803"/>
    <cellStyle name="Normal 33 17 17" xfId="19804"/>
    <cellStyle name="Normal 33 17 17 2" xfId="19805"/>
    <cellStyle name="Normal 33 17 18" xfId="19806"/>
    <cellStyle name="Normal 33 17 2" xfId="19807"/>
    <cellStyle name="Normal 33 17 2 2" xfId="19808"/>
    <cellStyle name="Normal 33 17 2 2 2" xfId="19809"/>
    <cellStyle name="Normal 33 17 2 2 2 2" xfId="19810"/>
    <cellStyle name="Normal 33 17 2 2 2 2 2" xfId="19811"/>
    <cellStyle name="Normal 33 17 2 2 2 3" xfId="19812"/>
    <cellStyle name="Normal 33 17 2 2 3" xfId="19813"/>
    <cellStyle name="Normal 33 17 2 2 3 2" xfId="19814"/>
    <cellStyle name="Normal 33 17 2 2 4" xfId="19815"/>
    <cellStyle name="Normal 33 17 2 3" xfId="19816"/>
    <cellStyle name="Normal 33 17 2 3 2" xfId="19817"/>
    <cellStyle name="Normal 33 17 2 3 2 2" xfId="19818"/>
    <cellStyle name="Normal 33 17 2 3 2 2 2" xfId="19819"/>
    <cellStyle name="Normal 33 17 2 3 2 3" xfId="19820"/>
    <cellStyle name="Normal 33 17 2 3 3" xfId="19821"/>
    <cellStyle name="Normal 33 17 2 3 3 2" xfId="19822"/>
    <cellStyle name="Normal 33 17 2 3 4" xfId="19823"/>
    <cellStyle name="Normal 33 17 2 4" xfId="19824"/>
    <cellStyle name="Normal 33 17 2 4 2" xfId="19825"/>
    <cellStyle name="Normal 33 17 2 4 2 2" xfId="19826"/>
    <cellStyle name="Normal 33 17 2 4 3" xfId="19827"/>
    <cellStyle name="Normal 33 17 2 5" xfId="19828"/>
    <cellStyle name="Normal 33 17 2 5 2" xfId="19829"/>
    <cellStyle name="Normal 33 17 2 6" xfId="19830"/>
    <cellStyle name="Normal 33 17 3" xfId="19831"/>
    <cellStyle name="Normal 33 17 3 2" xfId="19832"/>
    <cellStyle name="Normal 33 17 3 2 2" xfId="19833"/>
    <cellStyle name="Normal 33 17 3 2 2 2" xfId="19834"/>
    <cellStyle name="Normal 33 17 3 2 2 2 2" xfId="19835"/>
    <cellStyle name="Normal 33 17 3 2 2 3" xfId="19836"/>
    <cellStyle name="Normal 33 17 3 2 3" xfId="19837"/>
    <cellStyle name="Normal 33 17 3 2 3 2" xfId="19838"/>
    <cellStyle name="Normal 33 17 3 2 4" xfId="19839"/>
    <cellStyle name="Normal 33 17 3 3" xfId="19840"/>
    <cellStyle name="Normal 33 17 3 3 2" xfId="19841"/>
    <cellStyle name="Normal 33 17 3 3 2 2" xfId="19842"/>
    <cellStyle name="Normal 33 17 3 3 2 2 2" xfId="19843"/>
    <cellStyle name="Normal 33 17 3 3 2 3" xfId="19844"/>
    <cellStyle name="Normal 33 17 3 3 3" xfId="19845"/>
    <cellStyle name="Normal 33 17 3 3 3 2" xfId="19846"/>
    <cellStyle name="Normal 33 17 3 3 4" xfId="19847"/>
    <cellStyle name="Normal 33 17 3 4" xfId="19848"/>
    <cellStyle name="Normal 33 17 3 4 2" xfId="19849"/>
    <cellStyle name="Normal 33 17 3 4 2 2" xfId="19850"/>
    <cellStyle name="Normal 33 17 3 4 3" xfId="19851"/>
    <cellStyle name="Normal 33 17 3 5" xfId="19852"/>
    <cellStyle name="Normal 33 17 3 5 2" xfId="19853"/>
    <cellStyle name="Normal 33 17 3 6" xfId="19854"/>
    <cellStyle name="Normal 33 17 4" xfId="19855"/>
    <cellStyle name="Normal 33 17 4 2" xfId="19856"/>
    <cellStyle name="Normal 33 17 4 2 2" xfId="19857"/>
    <cellStyle name="Normal 33 17 4 2 2 2" xfId="19858"/>
    <cellStyle name="Normal 33 17 4 2 2 2 2" xfId="19859"/>
    <cellStyle name="Normal 33 17 4 2 2 3" xfId="19860"/>
    <cellStyle name="Normal 33 17 4 2 3" xfId="19861"/>
    <cellStyle name="Normal 33 17 4 2 3 2" xfId="19862"/>
    <cellStyle name="Normal 33 17 4 2 4" xfId="19863"/>
    <cellStyle name="Normal 33 17 4 3" xfId="19864"/>
    <cellStyle name="Normal 33 17 4 3 2" xfId="19865"/>
    <cellStyle name="Normal 33 17 4 3 2 2" xfId="19866"/>
    <cellStyle name="Normal 33 17 4 3 2 2 2" xfId="19867"/>
    <cellStyle name="Normal 33 17 4 3 2 3" xfId="19868"/>
    <cellStyle name="Normal 33 17 4 3 3" xfId="19869"/>
    <cellStyle name="Normal 33 17 4 3 3 2" xfId="19870"/>
    <cellStyle name="Normal 33 17 4 3 4" xfId="19871"/>
    <cellStyle name="Normal 33 17 4 4" xfId="19872"/>
    <cellStyle name="Normal 33 17 4 4 2" xfId="19873"/>
    <cellStyle name="Normal 33 17 4 4 2 2" xfId="19874"/>
    <cellStyle name="Normal 33 17 4 4 3" xfId="19875"/>
    <cellStyle name="Normal 33 17 4 5" xfId="19876"/>
    <cellStyle name="Normal 33 17 4 5 2" xfId="19877"/>
    <cellStyle name="Normal 33 17 4 6" xfId="19878"/>
    <cellStyle name="Normal 33 17 5" xfId="19879"/>
    <cellStyle name="Normal 33 17 5 2" xfId="19880"/>
    <cellStyle name="Normal 33 17 5 2 2" xfId="19881"/>
    <cellStyle name="Normal 33 17 5 2 2 2" xfId="19882"/>
    <cellStyle name="Normal 33 17 5 2 2 2 2" xfId="19883"/>
    <cellStyle name="Normal 33 17 5 2 2 3" xfId="19884"/>
    <cellStyle name="Normal 33 17 5 2 3" xfId="19885"/>
    <cellStyle name="Normal 33 17 5 2 3 2" xfId="19886"/>
    <cellStyle name="Normal 33 17 5 2 4" xfId="19887"/>
    <cellStyle name="Normal 33 17 5 3" xfId="19888"/>
    <cellStyle name="Normal 33 17 5 3 2" xfId="19889"/>
    <cellStyle name="Normal 33 17 5 3 2 2" xfId="19890"/>
    <cellStyle name="Normal 33 17 5 3 2 2 2" xfId="19891"/>
    <cellStyle name="Normal 33 17 5 3 2 3" xfId="19892"/>
    <cellStyle name="Normal 33 17 5 3 3" xfId="19893"/>
    <cellStyle name="Normal 33 17 5 3 3 2" xfId="19894"/>
    <cellStyle name="Normal 33 17 5 3 4" xfId="19895"/>
    <cellStyle name="Normal 33 17 5 4" xfId="19896"/>
    <cellStyle name="Normal 33 17 5 4 2" xfId="19897"/>
    <cellStyle name="Normal 33 17 5 4 2 2" xfId="19898"/>
    <cellStyle name="Normal 33 17 5 4 3" xfId="19899"/>
    <cellStyle name="Normal 33 17 5 5" xfId="19900"/>
    <cellStyle name="Normal 33 17 5 5 2" xfId="19901"/>
    <cellStyle name="Normal 33 17 5 6" xfId="19902"/>
    <cellStyle name="Normal 33 17 6" xfId="19903"/>
    <cellStyle name="Normal 33 17 6 2" xfId="19904"/>
    <cellStyle name="Normal 33 17 6 2 2" xfId="19905"/>
    <cellStyle name="Normal 33 17 6 2 2 2" xfId="19906"/>
    <cellStyle name="Normal 33 17 6 2 2 2 2" xfId="19907"/>
    <cellStyle name="Normal 33 17 6 2 2 3" xfId="19908"/>
    <cellStyle name="Normal 33 17 6 2 3" xfId="19909"/>
    <cellStyle name="Normal 33 17 6 2 3 2" xfId="19910"/>
    <cellStyle name="Normal 33 17 6 2 4" xfId="19911"/>
    <cellStyle name="Normal 33 17 6 3" xfId="19912"/>
    <cellStyle name="Normal 33 17 6 3 2" xfId="19913"/>
    <cellStyle name="Normal 33 17 6 3 2 2" xfId="19914"/>
    <cellStyle name="Normal 33 17 6 3 2 2 2" xfId="19915"/>
    <cellStyle name="Normal 33 17 6 3 2 3" xfId="19916"/>
    <cellStyle name="Normal 33 17 6 3 3" xfId="19917"/>
    <cellStyle name="Normal 33 17 6 3 3 2" xfId="19918"/>
    <cellStyle name="Normal 33 17 6 3 4" xfId="19919"/>
    <cellStyle name="Normal 33 17 6 4" xfId="19920"/>
    <cellStyle name="Normal 33 17 6 4 2" xfId="19921"/>
    <cellStyle name="Normal 33 17 6 4 2 2" xfId="19922"/>
    <cellStyle name="Normal 33 17 6 4 3" xfId="19923"/>
    <cellStyle name="Normal 33 17 6 5" xfId="19924"/>
    <cellStyle name="Normal 33 17 6 5 2" xfId="19925"/>
    <cellStyle name="Normal 33 17 6 6" xfId="19926"/>
    <cellStyle name="Normal 33 17 7" xfId="19927"/>
    <cellStyle name="Normal 33 17 7 2" xfId="19928"/>
    <cellStyle name="Normal 33 17 7 2 2" xfId="19929"/>
    <cellStyle name="Normal 33 17 7 2 2 2" xfId="19930"/>
    <cellStyle name="Normal 33 17 7 2 2 2 2" xfId="19931"/>
    <cellStyle name="Normal 33 17 7 2 2 3" xfId="19932"/>
    <cellStyle name="Normal 33 17 7 2 3" xfId="19933"/>
    <cellStyle name="Normal 33 17 7 2 3 2" xfId="19934"/>
    <cellStyle name="Normal 33 17 7 2 4" xfId="19935"/>
    <cellStyle name="Normal 33 17 7 3" xfId="19936"/>
    <cellStyle name="Normal 33 17 7 3 2" xfId="19937"/>
    <cellStyle name="Normal 33 17 7 3 2 2" xfId="19938"/>
    <cellStyle name="Normal 33 17 7 3 2 2 2" xfId="19939"/>
    <cellStyle name="Normal 33 17 7 3 2 3" xfId="19940"/>
    <cellStyle name="Normal 33 17 7 3 3" xfId="19941"/>
    <cellStyle name="Normal 33 17 7 3 3 2" xfId="19942"/>
    <cellStyle name="Normal 33 17 7 3 4" xfId="19943"/>
    <cellStyle name="Normal 33 17 7 4" xfId="19944"/>
    <cellStyle name="Normal 33 17 7 4 2" xfId="19945"/>
    <cellStyle name="Normal 33 17 7 4 2 2" xfId="19946"/>
    <cellStyle name="Normal 33 17 7 4 3" xfId="19947"/>
    <cellStyle name="Normal 33 17 7 5" xfId="19948"/>
    <cellStyle name="Normal 33 17 7 5 2" xfId="19949"/>
    <cellStyle name="Normal 33 17 7 6" xfId="19950"/>
    <cellStyle name="Normal 33 17 8" xfId="19951"/>
    <cellStyle name="Normal 33 17 8 2" xfId="19952"/>
    <cellStyle name="Normal 33 17 8 2 2" xfId="19953"/>
    <cellStyle name="Normal 33 17 8 2 2 2" xfId="19954"/>
    <cellStyle name="Normal 33 17 8 2 2 2 2" xfId="19955"/>
    <cellStyle name="Normal 33 17 8 2 2 3" xfId="19956"/>
    <cellStyle name="Normal 33 17 8 2 3" xfId="19957"/>
    <cellStyle name="Normal 33 17 8 2 3 2" xfId="19958"/>
    <cellStyle name="Normal 33 17 8 2 4" xfId="19959"/>
    <cellStyle name="Normal 33 17 8 3" xfId="19960"/>
    <cellStyle name="Normal 33 17 8 3 2" xfId="19961"/>
    <cellStyle name="Normal 33 17 8 3 2 2" xfId="19962"/>
    <cellStyle name="Normal 33 17 8 3 2 2 2" xfId="19963"/>
    <cellStyle name="Normal 33 17 8 3 2 3" xfId="19964"/>
    <cellStyle name="Normal 33 17 8 3 3" xfId="19965"/>
    <cellStyle name="Normal 33 17 8 3 3 2" xfId="19966"/>
    <cellStyle name="Normal 33 17 8 3 4" xfId="19967"/>
    <cellStyle name="Normal 33 17 8 4" xfId="19968"/>
    <cellStyle name="Normal 33 17 8 4 2" xfId="19969"/>
    <cellStyle name="Normal 33 17 8 4 2 2" xfId="19970"/>
    <cellStyle name="Normal 33 17 8 4 3" xfId="19971"/>
    <cellStyle name="Normal 33 17 8 5" xfId="19972"/>
    <cellStyle name="Normal 33 17 8 5 2" xfId="19973"/>
    <cellStyle name="Normal 33 17 8 6" xfId="19974"/>
    <cellStyle name="Normal 33 17 9" xfId="19975"/>
    <cellStyle name="Normal 33 17 9 2" xfId="19976"/>
    <cellStyle name="Normal 33 17 9 2 2" xfId="19977"/>
    <cellStyle name="Normal 33 17 9 2 2 2" xfId="19978"/>
    <cellStyle name="Normal 33 17 9 2 2 2 2" xfId="19979"/>
    <cellStyle name="Normal 33 17 9 2 2 3" xfId="19980"/>
    <cellStyle name="Normal 33 17 9 2 3" xfId="19981"/>
    <cellStyle name="Normal 33 17 9 2 3 2" xfId="19982"/>
    <cellStyle name="Normal 33 17 9 2 4" xfId="19983"/>
    <cellStyle name="Normal 33 17 9 3" xfId="19984"/>
    <cellStyle name="Normal 33 17 9 3 2" xfId="19985"/>
    <cellStyle name="Normal 33 17 9 3 2 2" xfId="19986"/>
    <cellStyle name="Normal 33 17 9 3 2 2 2" xfId="19987"/>
    <cellStyle name="Normal 33 17 9 3 2 3" xfId="19988"/>
    <cellStyle name="Normal 33 17 9 3 3" xfId="19989"/>
    <cellStyle name="Normal 33 17 9 3 3 2" xfId="19990"/>
    <cellStyle name="Normal 33 17 9 3 4" xfId="19991"/>
    <cellStyle name="Normal 33 17 9 4" xfId="19992"/>
    <cellStyle name="Normal 33 17 9 4 2" xfId="19993"/>
    <cellStyle name="Normal 33 17 9 4 2 2" xfId="19994"/>
    <cellStyle name="Normal 33 17 9 4 3" xfId="19995"/>
    <cellStyle name="Normal 33 17 9 5" xfId="19996"/>
    <cellStyle name="Normal 33 17 9 5 2" xfId="19997"/>
    <cellStyle name="Normal 33 17 9 6" xfId="19998"/>
    <cellStyle name="Normal 33 18" xfId="19999"/>
    <cellStyle name="Normal 33 18 10" xfId="20000"/>
    <cellStyle name="Normal 33 18 10 2" xfId="20001"/>
    <cellStyle name="Normal 33 18 10 2 2" xfId="20002"/>
    <cellStyle name="Normal 33 18 10 2 2 2" xfId="20003"/>
    <cellStyle name="Normal 33 18 10 2 2 2 2" xfId="20004"/>
    <cellStyle name="Normal 33 18 10 2 2 3" xfId="20005"/>
    <cellStyle name="Normal 33 18 10 2 3" xfId="20006"/>
    <cellStyle name="Normal 33 18 10 2 3 2" xfId="20007"/>
    <cellStyle name="Normal 33 18 10 2 4" xfId="20008"/>
    <cellStyle name="Normal 33 18 10 3" xfId="20009"/>
    <cellStyle name="Normal 33 18 10 3 2" xfId="20010"/>
    <cellStyle name="Normal 33 18 10 3 2 2" xfId="20011"/>
    <cellStyle name="Normal 33 18 10 3 2 2 2" xfId="20012"/>
    <cellStyle name="Normal 33 18 10 3 2 3" xfId="20013"/>
    <cellStyle name="Normal 33 18 10 3 3" xfId="20014"/>
    <cellStyle name="Normal 33 18 10 3 3 2" xfId="20015"/>
    <cellStyle name="Normal 33 18 10 3 4" xfId="20016"/>
    <cellStyle name="Normal 33 18 10 4" xfId="20017"/>
    <cellStyle name="Normal 33 18 10 4 2" xfId="20018"/>
    <cellStyle name="Normal 33 18 10 4 2 2" xfId="20019"/>
    <cellStyle name="Normal 33 18 10 4 3" xfId="20020"/>
    <cellStyle name="Normal 33 18 10 5" xfId="20021"/>
    <cellStyle name="Normal 33 18 10 5 2" xfId="20022"/>
    <cellStyle name="Normal 33 18 10 6" xfId="20023"/>
    <cellStyle name="Normal 33 18 11" xfId="20024"/>
    <cellStyle name="Normal 33 18 11 2" xfId="20025"/>
    <cellStyle name="Normal 33 18 11 2 2" xfId="20026"/>
    <cellStyle name="Normal 33 18 11 2 2 2" xfId="20027"/>
    <cellStyle name="Normal 33 18 11 2 2 2 2" xfId="20028"/>
    <cellStyle name="Normal 33 18 11 2 2 3" xfId="20029"/>
    <cellStyle name="Normal 33 18 11 2 3" xfId="20030"/>
    <cellStyle name="Normal 33 18 11 2 3 2" xfId="20031"/>
    <cellStyle name="Normal 33 18 11 2 4" xfId="20032"/>
    <cellStyle name="Normal 33 18 11 3" xfId="20033"/>
    <cellStyle name="Normal 33 18 11 3 2" xfId="20034"/>
    <cellStyle name="Normal 33 18 11 3 2 2" xfId="20035"/>
    <cellStyle name="Normal 33 18 11 3 2 2 2" xfId="20036"/>
    <cellStyle name="Normal 33 18 11 3 2 3" xfId="20037"/>
    <cellStyle name="Normal 33 18 11 3 3" xfId="20038"/>
    <cellStyle name="Normal 33 18 11 3 3 2" xfId="20039"/>
    <cellStyle name="Normal 33 18 11 3 4" xfId="20040"/>
    <cellStyle name="Normal 33 18 11 4" xfId="20041"/>
    <cellStyle name="Normal 33 18 11 4 2" xfId="20042"/>
    <cellStyle name="Normal 33 18 11 4 2 2" xfId="20043"/>
    <cellStyle name="Normal 33 18 11 4 3" xfId="20044"/>
    <cellStyle name="Normal 33 18 11 5" xfId="20045"/>
    <cellStyle name="Normal 33 18 11 5 2" xfId="20046"/>
    <cellStyle name="Normal 33 18 11 6" xfId="20047"/>
    <cellStyle name="Normal 33 18 12" xfId="20048"/>
    <cellStyle name="Normal 33 18 12 2" xfId="20049"/>
    <cellStyle name="Normal 33 18 12 2 2" xfId="20050"/>
    <cellStyle name="Normal 33 18 12 2 2 2" xfId="20051"/>
    <cellStyle name="Normal 33 18 12 2 2 2 2" xfId="20052"/>
    <cellStyle name="Normal 33 18 12 2 2 3" xfId="20053"/>
    <cellStyle name="Normal 33 18 12 2 3" xfId="20054"/>
    <cellStyle name="Normal 33 18 12 2 3 2" xfId="20055"/>
    <cellStyle name="Normal 33 18 12 2 4" xfId="20056"/>
    <cellStyle name="Normal 33 18 12 3" xfId="20057"/>
    <cellStyle name="Normal 33 18 12 3 2" xfId="20058"/>
    <cellStyle name="Normal 33 18 12 3 2 2" xfId="20059"/>
    <cellStyle name="Normal 33 18 12 3 2 2 2" xfId="20060"/>
    <cellStyle name="Normal 33 18 12 3 2 3" xfId="20061"/>
    <cellStyle name="Normal 33 18 12 3 3" xfId="20062"/>
    <cellStyle name="Normal 33 18 12 3 3 2" xfId="20063"/>
    <cellStyle name="Normal 33 18 12 3 4" xfId="20064"/>
    <cellStyle name="Normal 33 18 12 4" xfId="20065"/>
    <cellStyle name="Normal 33 18 12 4 2" xfId="20066"/>
    <cellStyle name="Normal 33 18 12 4 2 2" xfId="20067"/>
    <cellStyle name="Normal 33 18 12 4 3" xfId="20068"/>
    <cellStyle name="Normal 33 18 12 5" xfId="20069"/>
    <cellStyle name="Normal 33 18 12 5 2" xfId="20070"/>
    <cellStyle name="Normal 33 18 12 6" xfId="20071"/>
    <cellStyle name="Normal 33 18 13" xfId="20072"/>
    <cellStyle name="Normal 33 18 13 2" xfId="20073"/>
    <cellStyle name="Normal 33 18 13 2 2" xfId="20074"/>
    <cellStyle name="Normal 33 18 13 2 2 2" xfId="20075"/>
    <cellStyle name="Normal 33 18 13 2 2 2 2" xfId="20076"/>
    <cellStyle name="Normal 33 18 13 2 2 3" xfId="20077"/>
    <cellStyle name="Normal 33 18 13 2 3" xfId="20078"/>
    <cellStyle name="Normal 33 18 13 2 3 2" xfId="20079"/>
    <cellStyle name="Normal 33 18 13 2 4" xfId="20080"/>
    <cellStyle name="Normal 33 18 13 3" xfId="20081"/>
    <cellStyle name="Normal 33 18 13 3 2" xfId="20082"/>
    <cellStyle name="Normal 33 18 13 3 2 2" xfId="20083"/>
    <cellStyle name="Normal 33 18 13 3 2 2 2" xfId="20084"/>
    <cellStyle name="Normal 33 18 13 3 2 3" xfId="20085"/>
    <cellStyle name="Normal 33 18 13 3 3" xfId="20086"/>
    <cellStyle name="Normal 33 18 13 3 3 2" xfId="20087"/>
    <cellStyle name="Normal 33 18 13 3 4" xfId="20088"/>
    <cellStyle name="Normal 33 18 13 4" xfId="20089"/>
    <cellStyle name="Normal 33 18 13 4 2" xfId="20090"/>
    <cellStyle name="Normal 33 18 13 4 2 2" xfId="20091"/>
    <cellStyle name="Normal 33 18 13 4 3" xfId="20092"/>
    <cellStyle name="Normal 33 18 13 5" xfId="20093"/>
    <cellStyle name="Normal 33 18 13 5 2" xfId="20094"/>
    <cellStyle name="Normal 33 18 13 6" xfId="20095"/>
    <cellStyle name="Normal 33 18 14" xfId="20096"/>
    <cellStyle name="Normal 33 18 14 2" xfId="20097"/>
    <cellStyle name="Normal 33 18 14 2 2" xfId="20098"/>
    <cellStyle name="Normal 33 18 14 2 2 2" xfId="20099"/>
    <cellStyle name="Normal 33 18 14 2 3" xfId="20100"/>
    <cellStyle name="Normal 33 18 14 3" xfId="20101"/>
    <cellStyle name="Normal 33 18 14 3 2" xfId="20102"/>
    <cellStyle name="Normal 33 18 14 4" xfId="20103"/>
    <cellStyle name="Normal 33 18 15" xfId="20104"/>
    <cellStyle name="Normal 33 18 15 2" xfId="20105"/>
    <cellStyle name="Normal 33 18 15 2 2" xfId="20106"/>
    <cellStyle name="Normal 33 18 15 2 2 2" xfId="20107"/>
    <cellStyle name="Normal 33 18 15 2 3" xfId="20108"/>
    <cellStyle name="Normal 33 18 15 3" xfId="20109"/>
    <cellStyle name="Normal 33 18 15 3 2" xfId="20110"/>
    <cellStyle name="Normal 33 18 15 4" xfId="20111"/>
    <cellStyle name="Normal 33 18 16" xfId="20112"/>
    <cellStyle name="Normal 33 18 16 2" xfId="20113"/>
    <cellStyle name="Normal 33 18 16 2 2" xfId="20114"/>
    <cellStyle name="Normal 33 18 16 3" xfId="20115"/>
    <cellStyle name="Normal 33 18 17" xfId="20116"/>
    <cellStyle name="Normal 33 18 17 2" xfId="20117"/>
    <cellStyle name="Normal 33 18 18" xfId="20118"/>
    <cellStyle name="Normal 33 18 2" xfId="20119"/>
    <cellStyle name="Normal 33 18 2 2" xfId="20120"/>
    <cellStyle name="Normal 33 18 2 2 2" xfId="20121"/>
    <cellStyle name="Normal 33 18 2 2 2 2" xfId="20122"/>
    <cellStyle name="Normal 33 18 2 2 2 2 2" xfId="20123"/>
    <cellStyle name="Normal 33 18 2 2 2 3" xfId="20124"/>
    <cellStyle name="Normal 33 18 2 2 3" xfId="20125"/>
    <cellStyle name="Normal 33 18 2 2 3 2" xfId="20126"/>
    <cellStyle name="Normal 33 18 2 2 4" xfId="20127"/>
    <cellStyle name="Normal 33 18 2 3" xfId="20128"/>
    <cellStyle name="Normal 33 18 2 3 2" xfId="20129"/>
    <cellStyle name="Normal 33 18 2 3 2 2" xfId="20130"/>
    <cellStyle name="Normal 33 18 2 3 2 2 2" xfId="20131"/>
    <cellStyle name="Normal 33 18 2 3 2 3" xfId="20132"/>
    <cellStyle name="Normal 33 18 2 3 3" xfId="20133"/>
    <cellStyle name="Normal 33 18 2 3 3 2" xfId="20134"/>
    <cellStyle name="Normal 33 18 2 3 4" xfId="20135"/>
    <cellStyle name="Normal 33 18 2 4" xfId="20136"/>
    <cellStyle name="Normal 33 18 2 4 2" xfId="20137"/>
    <cellStyle name="Normal 33 18 2 4 2 2" xfId="20138"/>
    <cellStyle name="Normal 33 18 2 4 3" xfId="20139"/>
    <cellStyle name="Normal 33 18 2 5" xfId="20140"/>
    <cellStyle name="Normal 33 18 2 5 2" xfId="20141"/>
    <cellStyle name="Normal 33 18 2 6" xfId="20142"/>
    <cellStyle name="Normal 33 18 3" xfId="20143"/>
    <cellStyle name="Normal 33 18 3 2" xfId="20144"/>
    <cellStyle name="Normal 33 18 3 2 2" xfId="20145"/>
    <cellStyle name="Normal 33 18 3 2 2 2" xfId="20146"/>
    <cellStyle name="Normal 33 18 3 2 2 2 2" xfId="20147"/>
    <cellStyle name="Normal 33 18 3 2 2 3" xfId="20148"/>
    <cellStyle name="Normal 33 18 3 2 3" xfId="20149"/>
    <cellStyle name="Normal 33 18 3 2 3 2" xfId="20150"/>
    <cellStyle name="Normal 33 18 3 2 4" xfId="20151"/>
    <cellStyle name="Normal 33 18 3 3" xfId="20152"/>
    <cellStyle name="Normal 33 18 3 3 2" xfId="20153"/>
    <cellStyle name="Normal 33 18 3 3 2 2" xfId="20154"/>
    <cellStyle name="Normal 33 18 3 3 2 2 2" xfId="20155"/>
    <cellStyle name="Normal 33 18 3 3 2 3" xfId="20156"/>
    <cellStyle name="Normal 33 18 3 3 3" xfId="20157"/>
    <cellStyle name="Normal 33 18 3 3 3 2" xfId="20158"/>
    <cellStyle name="Normal 33 18 3 3 4" xfId="20159"/>
    <cellStyle name="Normal 33 18 3 4" xfId="20160"/>
    <cellStyle name="Normal 33 18 3 4 2" xfId="20161"/>
    <cellStyle name="Normal 33 18 3 4 2 2" xfId="20162"/>
    <cellStyle name="Normal 33 18 3 4 3" xfId="20163"/>
    <cellStyle name="Normal 33 18 3 5" xfId="20164"/>
    <cellStyle name="Normal 33 18 3 5 2" xfId="20165"/>
    <cellStyle name="Normal 33 18 3 6" xfId="20166"/>
    <cellStyle name="Normal 33 18 4" xfId="20167"/>
    <cellStyle name="Normal 33 18 4 2" xfId="20168"/>
    <cellStyle name="Normal 33 18 4 2 2" xfId="20169"/>
    <cellStyle name="Normal 33 18 4 2 2 2" xfId="20170"/>
    <cellStyle name="Normal 33 18 4 2 2 2 2" xfId="20171"/>
    <cellStyle name="Normal 33 18 4 2 2 3" xfId="20172"/>
    <cellStyle name="Normal 33 18 4 2 3" xfId="20173"/>
    <cellStyle name="Normal 33 18 4 2 3 2" xfId="20174"/>
    <cellStyle name="Normal 33 18 4 2 4" xfId="20175"/>
    <cellStyle name="Normal 33 18 4 3" xfId="20176"/>
    <cellStyle name="Normal 33 18 4 3 2" xfId="20177"/>
    <cellStyle name="Normal 33 18 4 3 2 2" xfId="20178"/>
    <cellStyle name="Normal 33 18 4 3 2 2 2" xfId="20179"/>
    <cellStyle name="Normal 33 18 4 3 2 3" xfId="20180"/>
    <cellStyle name="Normal 33 18 4 3 3" xfId="20181"/>
    <cellStyle name="Normal 33 18 4 3 3 2" xfId="20182"/>
    <cellStyle name="Normal 33 18 4 3 4" xfId="20183"/>
    <cellStyle name="Normal 33 18 4 4" xfId="20184"/>
    <cellStyle name="Normal 33 18 4 4 2" xfId="20185"/>
    <cellStyle name="Normal 33 18 4 4 2 2" xfId="20186"/>
    <cellStyle name="Normal 33 18 4 4 3" xfId="20187"/>
    <cellStyle name="Normal 33 18 4 5" xfId="20188"/>
    <cellStyle name="Normal 33 18 4 5 2" xfId="20189"/>
    <cellStyle name="Normal 33 18 4 6" xfId="20190"/>
    <cellStyle name="Normal 33 18 5" xfId="20191"/>
    <cellStyle name="Normal 33 18 5 2" xfId="20192"/>
    <cellStyle name="Normal 33 18 5 2 2" xfId="20193"/>
    <cellStyle name="Normal 33 18 5 2 2 2" xfId="20194"/>
    <cellStyle name="Normal 33 18 5 2 2 2 2" xfId="20195"/>
    <cellStyle name="Normal 33 18 5 2 2 3" xfId="20196"/>
    <cellStyle name="Normal 33 18 5 2 3" xfId="20197"/>
    <cellStyle name="Normal 33 18 5 2 3 2" xfId="20198"/>
    <cellStyle name="Normal 33 18 5 2 4" xfId="20199"/>
    <cellStyle name="Normal 33 18 5 3" xfId="20200"/>
    <cellStyle name="Normal 33 18 5 3 2" xfId="20201"/>
    <cellStyle name="Normal 33 18 5 3 2 2" xfId="20202"/>
    <cellStyle name="Normal 33 18 5 3 2 2 2" xfId="20203"/>
    <cellStyle name="Normal 33 18 5 3 2 3" xfId="20204"/>
    <cellStyle name="Normal 33 18 5 3 3" xfId="20205"/>
    <cellStyle name="Normal 33 18 5 3 3 2" xfId="20206"/>
    <cellStyle name="Normal 33 18 5 3 4" xfId="20207"/>
    <cellStyle name="Normal 33 18 5 4" xfId="20208"/>
    <cellStyle name="Normal 33 18 5 4 2" xfId="20209"/>
    <cellStyle name="Normal 33 18 5 4 2 2" xfId="20210"/>
    <cellStyle name="Normal 33 18 5 4 3" xfId="20211"/>
    <cellStyle name="Normal 33 18 5 5" xfId="20212"/>
    <cellStyle name="Normal 33 18 5 5 2" xfId="20213"/>
    <cellStyle name="Normal 33 18 5 6" xfId="20214"/>
    <cellStyle name="Normal 33 18 6" xfId="20215"/>
    <cellStyle name="Normal 33 18 6 2" xfId="20216"/>
    <cellStyle name="Normal 33 18 6 2 2" xfId="20217"/>
    <cellStyle name="Normal 33 18 6 2 2 2" xfId="20218"/>
    <cellStyle name="Normal 33 18 6 2 2 2 2" xfId="20219"/>
    <cellStyle name="Normal 33 18 6 2 2 3" xfId="20220"/>
    <cellStyle name="Normal 33 18 6 2 3" xfId="20221"/>
    <cellStyle name="Normal 33 18 6 2 3 2" xfId="20222"/>
    <cellStyle name="Normal 33 18 6 2 4" xfId="20223"/>
    <cellStyle name="Normal 33 18 6 3" xfId="20224"/>
    <cellStyle name="Normal 33 18 6 3 2" xfId="20225"/>
    <cellStyle name="Normal 33 18 6 3 2 2" xfId="20226"/>
    <cellStyle name="Normal 33 18 6 3 2 2 2" xfId="20227"/>
    <cellStyle name="Normal 33 18 6 3 2 3" xfId="20228"/>
    <cellStyle name="Normal 33 18 6 3 3" xfId="20229"/>
    <cellStyle name="Normal 33 18 6 3 3 2" xfId="20230"/>
    <cellStyle name="Normal 33 18 6 3 4" xfId="20231"/>
    <cellStyle name="Normal 33 18 6 4" xfId="20232"/>
    <cellStyle name="Normal 33 18 6 4 2" xfId="20233"/>
    <cellStyle name="Normal 33 18 6 4 2 2" xfId="20234"/>
    <cellStyle name="Normal 33 18 6 4 3" xfId="20235"/>
    <cellStyle name="Normal 33 18 6 5" xfId="20236"/>
    <cellStyle name="Normal 33 18 6 5 2" xfId="20237"/>
    <cellStyle name="Normal 33 18 6 6" xfId="20238"/>
    <cellStyle name="Normal 33 18 7" xfId="20239"/>
    <cellStyle name="Normal 33 18 7 2" xfId="20240"/>
    <cellStyle name="Normal 33 18 7 2 2" xfId="20241"/>
    <cellStyle name="Normal 33 18 7 2 2 2" xfId="20242"/>
    <cellStyle name="Normal 33 18 7 2 2 2 2" xfId="20243"/>
    <cellStyle name="Normal 33 18 7 2 2 3" xfId="20244"/>
    <cellStyle name="Normal 33 18 7 2 3" xfId="20245"/>
    <cellStyle name="Normal 33 18 7 2 3 2" xfId="20246"/>
    <cellStyle name="Normal 33 18 7 2 4" xfId="20247"/>
    <cellStyle name="Normal 33 18 7 3" xfId="20248"/>
    <cellStyle name="Normal 33 18 7 3 2" xfId="20249"/>
    <cellStyle name="Normal 33 18 7 3 2 2" xfId="20250"/>
    <cellStyle name="Normal 33 18 7 3 2 2 2" xfId="20251"/>
    <cellStyle name="Normal 33 18 7 3 2 3" xfId="20252"/>
    <cellStyle name="Normal 33 18 7 3 3" xfId="20253"/>
    <cellStyle name="Normal 33 18 7 3 3 2" xfId="20254"/>
    <cellStyle name="Normal 33 18 7 3 4" xfId="20255"/>
    <cellStyle name="Normal 33 18 7 4" xfId="20256"/>
    <cellStyle name="Normal 33 18 7 4 2" xfId="20257"/>
    <cellStyle name="Normal 33 18 7 4 2 2" xfId="20258"/>
    <cellStyle name="Normal 33 18 7 4 3" xfId="20259"/>
    <cellStyle name="Normal 33 18 7 5" xfId="20260"/>
    <cellStyle name="Normal 33 18 7 5 2" xfId="20261"/>
    <cellStyle name="Normal 33 18 7 6" xfId="20262"/>
    <cellStyle name="Normal 33 18 8" xfId="20263"/>
    <cellStyle name="Normal 33 18 8 2" xfId="20264"/>
    <cellStyle name="Normal 33 18 8 2 2" xfId="20265"/>
    <cellStyle name="Normal 33 18 8 2 2 2" xfId="20266"/>
    <cellStyle name="Normal 33 18 8 2 2 2 2" xfId="20267"/>
    <cellStyle name="Normal 33 18 8 2 2 3" xfId="20268"/>
    <cellStyle name="Normal 33 18 8 2 3" xfId="20269"/>
    <cellStyle name="Normal 33 18 8 2 3 2" xfId="20270"/>
    <cellStyle name="Normal 33 18 8 2 4" xfId="20271"/>
    <cellStyle name="Normal 33 18 8 3" xfId="20272"/>
    <cellStyle name="Normal 33 18 8 3 2" xfId="20273"/>
    <cellStyle name="Normal 33 18 8 3 2 2" xfId="20274"/>
    <cellStyle name="Normal 33 18 8 3 2 2 2" xfId="20275"/>
    <cellStyle name="Normal 33 18 8 3 2 3" xfId="20276"/>
    <cellStyle name="Normal 33 18 8 3 3" xfId="20277"/>
    <cellStyle name="Normal 33 18 8 3 3 2" xfId="20278"/>
    <cellStyle name="Normal 33 18 8 3 4" xfId="20279"/>
    <cellStyle name="Normal 33 18 8 4" xfId="20280"/>
    <cellStyle name="Normal 33 18 8 4 2" xfId="20281"/>
    <cellStyle name="Normal 33 18 8 4 2 2" xfId="20282"/>
    <cellStyle name="Normal 33 18 8 4 3" xfId="20283"/>
    <cellStyle name="Normal 33 18 8 5" xfId="20284"/>
    <cellStyle name="Normal 33 18 8 5 2" xfId="20285"/>
    <cellStyle name="Normal 33 18 8 6" xfId="20286"/>
    <cellStyle name="Normal 33 18 9" xfId="20287"/>
    <cellStyle name="Normal 33 18 9 2" xfId="20288"/>
    <cellStyle name="Normal 33 18 9 2 2" xfId="20289"/>
    <cellStyle name="Normal 33 18 9 2 2 2" xfId="20290"/>
    <cellStyle name="Normal 33 18 9 2 2 2 2" xfId="20291"/>
    <cellStyle name="Normal 33 18 9 2 2 3" xfId="20292"/>
    <cellStyle name="Normal 33 18 9 2 3" xfId="20293"/>
    <cellStyle name="Normal 33 18 9 2 3 2" xfId="20294"/>
    <cellStyle name="Normal 33 18 9 2 4" xfId="20295"/>
    <cellStyle name="Normal 33 18 9 3" xfId="20296"/>
    <cellStyle name="Normal 33 18 9 3 2" xfId="20297"/>
    <cellStyle name="Normal 33 18 9 3 2 2" xfId="20298"/>
    <cellStyle name="Normal 33 18 9 3 2 2 2" xfId="20299"/>
    <cellStyle name="Normal 33 18 9 3 2 3" xfId="20300"/>
    <cellStyle name="Normal 33 18 9 3 3" xfId="20301"/>
    <cellStyle name="Normal 33 18 9 3 3 2" xfId="20302"/>
    <cellStyle name="Normal 33 18 9 3 4" xfId="20303"/>
    <cellStyle name="Normal 33 18 9 4" xfId="20304"/>
    <cellStyle name="Normal 33 18 9 4 2" xfId="20305"/>
    <cellStyle name="Normal 33 18 9 4 2 2" xfId="20306"/>
    <cellStyle name="Normal 33 18 9 4 3" xfId="20307"/>
    <cellStyle name="Normal 33 18 9 5" xfId="20308"/>
    <cellStyle name="Normal 33 18 9 5 2" xfId="20309"/>
    <cellStyle name="Normal 33 18 9 6" xfId="20310"/>
    <cellStyle name="Normal 33 19" xfId="20311"/>
    <cellStyle name="Normal 33 19 10" xfId="20312"/>
    <cellStyle name="Normal 33 19 10 2" xfId="20313"/>
    <cellStyle name="Normal 33 19 10 2 2" xfId="20314"/>
    <cellStyle name="Normal 33 19 10 2 2 2" xfId="20315"/>
    <cellStyle name="Normal 33 19 10 2 2 2 2" xfId="20316"/>
    <cellStyle name="Normal 33 19 10 2 2 3" xfId="20317"/>
    <cellStyle name="Normal 33 19 10 2 3" xfId="20318"/>
    <cellStyle name="Normal 33 19 10 2 3 2" xfId="20319"/>
    <cellStyle name="Normal 33 19 10 2 4" xfId="20320"/>
    <cellStyle name="Normal 33 19 10 3" xfId="20321"/>
    <cellStyle name="Normal 33 19 10 3 2" xfId="20322"/>
    <cellStyle name="Normal 33 19 10 3 2 2" xfId="20323"/>
    <cellStyle name="Normal 33 19 10 3 2 2 2" xfId="20324"/>
    <cellStyle name="Normal 33 19 10 3 2 3" xfId="20325"/>
    <cellStyle name="Normal 33 19 10 3 3" xfId="20326"/>
    <cellStyle name="Normal 33 19 10 3 3 2" xfId="20327"/>
    <cellStyle name="Normal 33 19 10 3 4" xfId="20328"/>
    <cellStyle name="Normal 33 19 10 4" xfId="20329"/>
    <cellStyle name="Normal 33 19 10 4 2" xfId="20330"/>
    <cellStyle name="Normal 33 19 10 4 2 2" xfId="20331"/>
    <cellStyle name="Normal 33 19 10 4 3" xfId="20332"/>
    <cellStyle name="Normal 33 19 10 5" xfId="20333"/>
    <cellStyle name="Normal 33 19 10 5 2" xfId="20334"/>
    <cellStyle name="Normal 33 19 10 6" xfId="20335"/>
    <cellStyle name="Normal 33 19 11" xfId="20336"/>
    <cellStyle name="Normal 33 19 11 2" xfId="20337"/>
    <cellStyle name="Normal 33 19 11 2 2" xfId="20338"/>
    <cellStyle name="Normal 33 19 11 2 2 2" xfId="20339"/>
    <cellStyle name="Normal 33 19 11 2 2 2 2" xfId="20340"/>
    <cellStyle name="Normal 33 19 11 2 2 3" xfId="20341"/>
    <cellStyle name="Normal 33 19 11 2 3" xfId="20342"/>
    <cellStyle name="Normal 33 19 11 2 3 2" xfId="20343"/>
    <cellStyle name="Normal 33 19 11 2 4" xfId="20344"/>
    <cellStyle name="Normal 33 19 11 3" xfId="20345"/>
    <cellStyle name="Normal 33 19 11 3 2" xfId="20346"/>
    <cellStyle name="Normal 33 19 11 3 2 2" xfId="20347"/>
    <cellStyle name="Normal 33 19 11 3 2 2 2" xfId="20348"/>
    <cellStyle name="Normal 33 19 11 3 2 3" xfId="20349"/>
    <cellStyle name="Normal 33 19 11 3 3" xfId="20350"/>
    <cellStyle name="Normal 33 19 11 3 3 2" xfId="20351"/>
    <cellStyle name="Normal 33 19 11 3 4" xfId="20352"/>
    <cellStyle name="Normal 33 19 11 4" xfId="20353"/>
    <cellStyle name="Normal 33 19 11 4 2" xfId="20354"/>
    <cellStyle name="Normal 33 19 11 4 2 2" xfId="20355"/>
    <cellStyle name="Normal 33 19 11 4 3" xfId="20356"/>
    <cellStyle name="Normal 33 19 11 5" xfId="20357"/>
    <cellStyle name="Normal 33 19 11 5 2" xfId="20358"/>
    <cellStyle name="Normal 33 19 11 6" xfId="20359"/>
    <cellStyle name="Normal 33 19 12" xfId="20360"/>
    <cellStyle name="Normal 33 19 12 2" xfId="20361"/>
    <cellStyle name="Normal 33 19 12 2 2" xfId="20362"/>
    <cellStyle name="Normal 33 19 12 2 2 2" xfId="20363"/>
    <cellStyle name="Normal 33 19 12 2 2 2 2" xfId="20364"/>
    <cellStyle name="Normal 33 19 12 2 2 3" xfId="20365"/>
    <cellStyle name="Normal 33 19 12 2 3" xfId="20366"/>
    <cellStyle name="Normal 33 19 12 2 3 2" xfId="20367"/>
    <cellStyle name="Normal 33 19 12 2 4" xfId="20368"/>
    <cellStyle name="Normal 33 19 12 3" xfId="20369"/>
    <cellStyle name="Normal 33 19 12 3 2" xfId="20370"/>
    <cellStyle name="Normal 33 19 12 3 2 2" xfId="20371"/>
    <cellStyle name="Normal 33 19 12 3 2 2 2" xfId="20372"/>
    <cellStyle name="Normal 33 19 12 3 2 3" xfId="20373"/>
    <cellStyle name="Normal 33 19 12 3 3" xfId="20374"/>
    <cellStyle name="Normal 33 19 12 3 3 2" xfId="20375"/>
    <cellStyle name="Normal 33 19 12 3 4" xfId="20376"/>
    <cellStyle name="Normal 33 19 12 4" xfId="20377"/>
    <cellStyle name="Normal 33 19 12 4 2" xfId="20378"/>
    <cellStyle name="Normal 33 19 12 4 2 2" xfId="20379"/>
    <cellStyle name="Normal 33 19 12 4 3" xfId="20380"/>
    <cellStyle name="Normal 33 19 12 5" xfId="20381"/>
    <cellStyle name="Normal 33 19 12 5 2" xfId="20382"/>
    <cellStyle name="Normal 33 19 12 6" xfId="20383"/>
    <cellStyle name="Normal 33 19 13" xfId="20384"/>
    <cellStyle name="Normal 33 19 13 2" xfId="20385"/>
    <cellStyle name="Normal 33 19 13 2 2" xfId="20386"/>
    <cellStyle name="Normal 33 19 13 2 2 2" xfId="20387"/>
    <cellStyle name="Normal 33 19 13 2 2 2 2" xfId="20388"/>
    <cellStyle name="Normal 33 19 13 2 2 3" xfId="20389"/>
    <cellStyle name="Normal 33 19 13 2 3" xfId="20390"/>
    <cellStyle name="Normal 33 19 13 2 3 2" xfId="20391"/>
    <cellStyle name="Normal 33 19 13 2 4" xfId="20392"/>
    <cellStyle name="Normal 33 19 13 3" xfId="20393"/>
    <cellStyle name="Normal 33 19 13 3 2" xfId="20394"/>
    <cellStyle name="Normal 33 19 13 3 2 2" xfId="20395"/>
    <cellStyle name="Normal 33 19 13 3 2 2 2" xfId="20396"/>
    <cellStyle name="Normal 33 19 13 3 2 3" xfId="20397"/>
    <cellStyle name="Normal 33 19 13 3 3" xfId="20398"/>
    <cellStyle name="Normal 33 19 13 3 3 2" xfId="20399"/>
    <cellStyle name="Normal 33 19 13 3 4" xfId="20400"/>
    <cellStyle name="Normal 33 19 13 4" xfId="20401"/>
    <cellStyle name="Normal 33 19 13 4 2" xfId="20402"/>
    <cellStyle name="Normal 33 19 13 4 2 2" xfId="20403"/>
    <cellStyle name="Normal 33 19 13 4 3" xfId="20404"/>
    <cellStyle name="Normal 33 19 13 5" xfId="20405"/>
    <cellStyle name="Normal 33 19 13 5 2" xfId="20406"/>
    <cellStyle name="Normal 33 19 13 6" xfId="20407"/>
    <cellStyle name="Normal 33 19 14" xfId="20408"/>
    <cellStyle name="Normal 33 19 14 2" xfId="20409"/>
    <cellStyle name="Normal 33 19 14 2 2" xfId="20410"/>
    <cellStyle name="Normal 33 19 14 2 2 2" xfId="20411"/>
    <cellStyle name="Normal 33 19 14 2 3" xfId="20412"/>
    <cellStyle name="Normal 33 19 14 3" xfId="20413"/>
    <cellStyle name="Normal 33 19 14 3 2" xfId="20414"/>
    <cellStyle name="Normal 33 19 14 4" xfId="20415"/>
    <cellStyle name="Normal 33 19 15" xfId="20416"/>
    <cellStyle name="Normal 33 19 15 2" xfId="20417"/>
    <cellStyle name="Normal 33 19 15 2 2" xfId="20418"/>
    <cellStyle name="Normal 33 19 15 2 2 2" xfId="20419"/>
    <cellStyle name="Normal 33 19 15 2 3" xfId="20420"/>
    <cellStyle name="Normal 33 19 15 3" xfId="20421"/>
    <cellStyle name="Normal 33 19 15 3 2" xfId="20422"/>
    <cellStyle name="Normal 33 19 15 4" xfId="20423"/>
    <cellStyle name="Normal 33 19 16" xfId="20424"/>
    <cellStyle name="Normal 33 19 16 2" xfId="20425"/>
    <cellStyle name="Normal 33 19 16 2 2" xfId="20426"/>
    <cellStyle name="Normal 33 19 16 3" xfId="20427"/>
    <cellStyle name="Normal 33 19 17" xfId="20428"/>
    <cellStyle name="Normal 33 19 17 2" xfId="20429"/>
    <cellStyle name="Normal 33 19 18" xfId="20430"/>
    <cellStyle name="Normal 33 19 2" xfId="20431"/>
    <cellStyle name="Normal 33 19 2 2" xfId="20432"/>
    <cellStyle name="Normal 33 19 2 2 2" xfId="20433"/>
    <cellStyle name="Normal 33 19 2 2 2 2" xfId="20434"/>
    <cellStyle name="Normal 33 19 2 2 2 2 2" xfId="20435"/>
    <cellStyle name="Normal 33 19 2 2 2 3" xfId="20436"/>
    <cellStyle name="Normal 33 19 2 2 3" xfId="20437"/>
    <cellStyle name="Normal 33 19 2 2 3 2" xfId="20438"/>
    <cellStyle name="Normal 33 19 2 2 4" xfId="20439"/>
    <cellStyle name="Normal 33 19 2 3" xfId="20440"/>
    <cellStyle name="Normal 33 19 2 3 2" xfId="20441"/>
    <cellStyle name="Normal 33 19 2 3 2 2" xfId="20442"/>
    <cellStyle name="Normal 33 19 2 3 2 2 2" xfId="20443"/>
    <cellStyle name="Normal 33 19 2 3 2 3" xfId="20444"/>
    <cellStyle name="Normal 33 19 2 3 3" xfId="20445"/>
    <cellStyle name="Normal 33 19 2 3 3 2" xfId="20446"/>
    <cellStyle name="Normal 33 19 2 3 4" xfId="20447"/>
    <cellStyle name="Normal 33 19 2 4" xfId="20448"/>
    <cellStyle name="Normal 33 19 2 4 2" xfId="20449"/>
    <cellStyle name="Normal 33 19 2 4 2 2" xfId="20450"/>
    <cellStyle name="Normal 33 19 2 4 3" xfId="20451"/>
    <cellStyle name="Normal 33 19 2 5" xfId="20452"/>
    <cellStyle name="Normal 33 19 2 5 2" xfId="20453"/>
    <cellStyle name="Normal 33 19 2 6" xfId="20454"/>
    <cellStyle name="Normal 33 19 3" xfId="20455"/>
    <cellStyle name="Normal 33 19 3 2" xfId="20456"/>
    <cellStyle name="Normal 33 19 3 2 2" xfId="20457"/>
    <cellStyle name="Normal 33 19 3 2 2 2" xfId="20458"/>
    <cellStyle name="Normal 33 19 3 2 2 2 2" xfId="20459"/>
    <cellStyle name="Normal 33 19 3 2 2 3" xfId="20460"/>
    <cellStyle name="Normal 33 19 3 2 3" xfId="20461"/>
    <cellStyle name="Normal 33 19 3 2 3 2" xfId="20462"/>
    <cellStyle name="Normal 33 19 3 2 4" xfId="20463"/>
    <cellStyle name="Normal 33 19 3 3" xfId="20464"/>
    <cellStyle name="Normal 33 19 3 3 2" xfId="20465"/>
    <cellStyle name="Normal 33 19 3 3 2 2" xfId="20466"/>
    <cellStyle name="Normal 33 19 3 3 2 2 2" xfId="20467"/>
    <cellStyle name="Normal 33 19 3 3 2 3" xfId="20468"/>
    <cellStyle name="Normal 33 19 3 3 3" xfId="20469"/>
    <cellStyle name="Normal 33 19 3 3 3 2" xfId="20470"/>
    <cellStyle name="Normal 33 19 3 3 4" xfId="20471"/>
    <cellStyle name="Normal 33 19 3 4" xfId="20472"/>
    <cellStyle name="Normal 33 19 3 4 2" xfId="20473"/>
    <cellStyle name="Normal 33 19 3 4 2 2" xfId="20474"/>
    <cellStyle name="Normal 33 19 3 4 3" xfId="20475"/>
    <cellStyle name="Normal 33 19 3 5" xfId="20476"/>
    <cellStyle name="Normal 33 19 3 5 2" xfId="20477"/>
    <cellStyle name="Normal 33 19 3 6" xfId="20478"/>
    <cellStyle name="Normal 33 19 4" xfId="20479"/>
    <cellStyle name="Normal 33 19 4 2" xfId="20480"/>
    <cellStyle name="Normal 33 19 4 2 2" xfId="20481"/>
    <cellStyle name="Normal 33 19 4 2 2 2" xfId="20482"/>
    <cellStyle name="Normal 33 19 4 2 2 2 2" xfId="20483"/>
    <cellStyle name="Normal 33 19 4 2 2 3" xfId="20484"/>
    <cellStyle name="Normal 33 19 4 2 3" xfId="20485"/>
    <cellStyle name="Normal 33 19 4 2 3 2" xfId="20486"/>
    <cellStyle name="Normal 33 19 4 2 4" xfId="20487"/>
    <cellStyle name="Normal 33 19 4 3" xfId="20488"/>
    <cellStyle name="Normal 33 19 4 3 2" xfId="20489"/>
    <cellStyle name="Normal 33 19 4 3 2 2" xfId="20490"/>
    <cellStyle name="Normal 33 19 4 3 2 2 2" xfId="20491"/>
    <cellStyle name="Normal 33 19 4 3 2 3" xfId="20492"/>
    <cellStyle name="Normal 33 19 4 3 3" xfId="20493"/>
    <cellStyle name="Normal 33 19 4 3 3 2" xfId="20494"/>
    <cellStyle name="Normal 33 19 4 3 4" xfId="20495"/>
    <cellStyle name="Normal 33 19 4 4" xfId="20496"/>
    <cellStyle name="Normal 33 19 4 4 2" xfId="20497"/>
    <cellStyle name="Normal 33 19 4 4 2 2" xfId="20498"/>
    <cellStyle name="Normal 33 19 4 4 3" xfId="20499"/>
    <cellStyle name="Normal 33 19 4 5" xfId="20500"/>
    <cellStyle name="Normal 33 19 4 5 2" xfId="20501"/>
    <cellStyle name="Normal 33 19 4 6" xfId="20502"/>
    <cellStyle name="Normal 33 19 5" xfId="20503"/>
    <cellStyle name="Normal 33 19 5 2" xfId="20504"/>
    <cellStyle name="Normal 33 19 5 2 2" xfId="20505"/>
    <cellStyle name="Normal 33 19 5 2 2 2" xfId="20506"/>
    <cellStyle name="Normal 33 19 5 2 2 2 2" xfId="20507"/>
    <cellStyle name="Normal 33 19 5 2 2 3" xfId="20508"/>
    <cellStyle name="Normal 33 19 5 2 3" xfId="20509"/>
    <cellStyle name="Normal 33 19 5 2 3 2" xfId="20510"/>
    <cellStyle name="Normal 33 19 5 2 4" xfId="20511"/>
    <cellStyle name="Normal 33 19 5 3" xfId="20512"/>
    <cellStyle name="Normal 33 19 5 3 2" xfId="20513"/>
    <cellStyle name="Normal 33 19 5 3 2 2" xfId="20514"/>
    <cellStyle name="Normal 33 19 5 3 2 2 2" xfId="20515"/>
    <cellStyle name="Normal 33 19 5 3 2 3" xfId="20516"/>
    <cellStyle name="Normal 33 19 5 3 3" xfId="20517"/>
    <cellStyle name="Normal 33 19 5 3 3 2" xfId="20518"/>
    <cellStyle name="Normal 33 19 5 3 4" xfId="20519"/>
    <cellStyle name="Normal 33 19 5 4" xfId="20520"/>
    <cellStyle name="Normal 33 19 5 4 2" xfId="20521"/>
    <cellStyle name="Normal 33 19 5 4 2 2" xfId="20522"/>
    <cellStyle name="Normal 33 19 5 4 3" xfId="20523"/>
    <cellStyle name="Normal 33 19 5 5" xfId="20524"/>
    <cellStyle name="Normal 33 19 5 5 2" xfId="20525"/>
    <cellStyle name="Normal 33 19 5 6" xfId="20526"/>
    <cellStyle name="Normal 33 19 6" xfId="20527"/>
    <cellStyle name="Normal 33 19 6 2" xfId="20528"/>
    <cellStyle name="Normal 33 19 6 2 2" xfId="20529"/>
    <cellStyle name="Normal 33 19 6 2 2 2" xfId="20530"/>
    <cellStyle name="Normal 33 19 6 2 2 2 2" xfId="20531"/>
    <cellStyle name="Normal 33 19 6 2 2 3" xfId="20532"/>
    <cellStyle name="Normal 33 19 6 2 3" xfId="20533"/>
    <cellStyle name="Normal 33 19 6 2 3 2" xfId="20534"/>
    <cellStyle name="Normal 33 19 6 2 4" xfId="20535"/>
    <cellStyle name="Normal 33 19 6 3" xfId="20536"/>
    <cellStyle name="Normal 33 19 6 3 2" xfId="20537"/>
    <cellStyle name="Normal 33 19 6 3 2 2" xfId="20538"/>
    <cellStyle name="Normal 33 19 6 3 2 2 2" xfId="20539"/>
    <cellStyle name="Normal 33 19 6 3 2 3" xfId="20540"/>
    <cellStyle name="Normal 33 19 6 3 3" xfId="20541"/>
    <cellStyle name="Normal 33 19 6 3 3 2" xfId="20542"/>
    <cellStyle name="Normal 33 19 6 3 4" xfId="20543"/>
    <cellStyle name="Normal 33 19 6 4" xfId="20544"/>
    <cellStyle name="Normal 33 19 6 4 2" xfId="20545"/>
    <cellStyle name="Normal 33 19 6 4 2 2" xfId="20546"/>
    <cellStyle name="Normal 33 19 6 4 3" xfId="20547"/>
    <cellStyle name="Normal 33 19 6 5" xfId="20548"/>
    <cellStyle name="Normal 33 19 6 5 2" xfId="20549"/>
    <cellStyle name="Normal 33 19 6 6" xfId="20550"/>
    <cellStyle name="Normal 33 19 7" xfId="20551"/>
    <cellStyle name="Normal 33 19 7 2" xfId="20552"/>
    <cellStyle name="Normal 33 19 7 2 2" xfId="20553"/>
    <cellStyle name="Normal 33 19 7 2 2 2" xfId="20554"/>
    <cellStyle name="Normal 33 19 7 2 2 2 2" xfId="20555"/>
    <cellStyle name="Normal 33 19 7 2 2 3" xfId="20556"/>
    <cellStyle name="Normal 33 19 7 2 3" xfId="20557"/>
    <cellStyle name="Normal 33 19 7 2 3 2" xfId="20558"/>
    <cellStyle name="Normal 33 19 7 2 4" xfId="20559"/>
    <cellStyle name="Normal 33 19 7 3" xfId="20560"/>
    <cellStyle name="Normal 33 19 7 3 2" xfId="20561"/>
    <cellStyle name="Normal 33 19 7 3 2 2" xfId="20562"/>
    <cellStyle name="Normal 33 19 7 3 2 2 2" xfId="20563"/>
    <cellStyle name="Normal 33 19 7 3 2 3" xfId="20564"/>
    <cellStyle name="Normal 33 19 7 3 3" xfId="20565"/>
    <cellStyle name="Normal 33 19 7 3 3 2" xfId="20566"/>
    <cellStyle name="Normal 33 19 7 3 4" xfId="20567"/>
    <cellStyle name="Normal 33 19 7 4" xfId="20568"/>
    <cellStyle name="Normal 33 19 7 4 2" xfId="20569"/>
    <cellStyle name="Normal 33 19 7 4 2 2" xfId="20570"/>
    <cellStyle name="Normal 33 19 7 4 3" xfId="20571"/>
    <cellStyle name="Normal 33 19 7 5" xfId="20572"/>
    <cellStyle name="Normal 33 19 7 5 2" xfId="20573"/>
    <cellStyle name="Normal 33 19 7 6" xfId="20574"/>
    <cellStyle name="Normal 33 19 8" xfId="20575"/>
    <cellStyle name="Normal 33 19 8 2" xfId="20576"/>
    <cellStyle name="Normal 33 19 8 2 2" xfId="20577"/>
    <cellStyle name="Normal 33 19 8 2 2 2" xfId="20578"/>
    <cellStyle name="Normal 33 19 8 2 2 2 2" xfId="20579"/>
    <cellStyle name="Normal 33 19 8 2 2 3" xfId="20580"/>
    <cellStyle name="Normal 33 19 8 2 3" xfId="20581"/>
    <cellStyle name="Normal 33 19 8 2 3 2" xfId="20582"/>
    <cellStyle name="Normal 33 19 8 2 4" xfId="20583"/>
    <cellStyle name="Normal 33 19 8 3" xfId="20584"/>
    <cellStyle name="Normal 33 19 8 3 2" xfId="20585"/>
    <cellStyle name="Normal 33 19 8 3 2 2" xfId="20586"/>
    <cellStyle name="Normal 33 19 8 3 2 2 2" xfId="20587"/>
    <cellStyle name="Normal 33 19 8 3 2 3" xfId="20588"/>
    <cellStyle name="Normal 33 19 8 3 3" xfId="20589"/>
    <cellStyle name="Normal 33 19 8 3 3 2" xfId="20590"/>
    <cellStyle name="Normal 33 19 8 3 4" xfId="20591"/>
    <cellStyle name="Normal 33 19 8 4" xfId="20592"/>
    <cellStyle name="Normal 33 19 8 4 2" xfId="20593"/>
    <cellStyle name="Normal 33 19 8 4 2 2" xfId="20594"/>
    <cellStyle name="Normal 33 19 8 4 3" xfId="20595"/>
    <cellStyle name="Normal 33 19 8 5" xfId="20596"/>
    <cellStyle name="Normal 33 19 8 5 2" xfId="20597"/>
    <cellStyle name="Normal 33 19 8 6" xfId="20598"/>
    <cellStyle name="Normal 33 19 9" xfId="20599"/>
    <cellStyle name="Normal 33 19 9 2" xfId="20600"/>
    <cellStyle name="Normal 33 19 9 2 2" xfId="20601"/>
    <cellStyle name="Normal 33 19 9 2 2 2" xfId="20602"/>
    <cellStyle name="Normal 33 19 9 2 2 2 2" xfId="20603"/>
    <cellStyle name="Normal 33 19 9 2 2 3" xfId="20604"/>
    <cellStyle name="Normal 33 19 9 2 3" xfId="20605"/>
    <cellStyle name="Normal 33 19 9 2 3 2" xfId="20606"/>
    <cellStyle name="Normal 33 19 9 2 4" xfId="20607"/>
    <cellStyle name="Normal 33 19 9 3" xfId="20608"/>
    <cellStyle name="Normal 33 19 9 3 2" xfId="20609"/>
    <cellStyle name="Normal 33 19 9 3 2 2" xfId="20610"/>
    <cellStyle name="Normal 33 19 9 3 2 2 2" xfId="20611"/>
    <cellStyle name="Normal 33 19 9 3 2 3" xfId="20612"/>
    <cellStyle name="Normal 33 19 9 3 3" xfId="20613"/>
    <cellStyle name="Normal 33 19 9 3 3 2" xfId="20614"/>
    <cellStyle name="Normal 33 19 9 3 4" xfId="20615"/>
    <cellStyle name="Normal 33 19 9 4" xfId="20616"/>
    <cellStyle name="Normal 33 19 9 4 2" xfId="20617"/>
    <cellStyle name="Normal 33 19 9 4 2 2" xfId="20618"/>
    <cellStyle name="Normal 33 19 9 4 3" xfId="20619"/>
    <cellStyle name="Normal 33 19 9 5" xfId="20620"/>
    <cellStyle name="Normal 33 19 9 5 2" xfId="20621"/>
    <cellStyle name="Normal 33 19 9 6" xfId="20622"/>
    <cellStyle name="Normal 33 2" xfId="20623"/>
    <cellStyle name="Normal 33 2 10" xfId="20624"/>
    <cellStyle name="Normal 33 2 10 10" xfId="20625"/>
    <cellStyle name="Normal 33 2 10 10 2" xfId="20626"/>
    <cellStyle name="Normal 33 2 10 10 2 2" xfId="20627"/>
    <cellStyle name="Normal 33 2 10 10 2 2 2" xfId="20628"/>
    <cellStyle name="Normal 33 2 10 10 2 2 2 2" xfId="20629"/>
    <cellStyle name="Normal 33 2 10 10 2 2 3" xfId="20630"/>
    <cellStyle name="Normal 33 2 10 10 2 3" xfId="20631"/>
    <cellStyle name="Normal 33 2 10 10 2 3 2" xfId="20632"/>
    <cellStyle name="Normal 33 2 10 10 2 4" xfId="20633"/>
    <cellStyle name="Normal 33 2 10 10 3" xfId="20634"/>
    <cellStyle name="Normal 33 2 10 10 3 2" xfId="20635"/>
    <cellStyle name="Normal 33 2 10 10 3 2 2" xfId="20636"/>
    <cellStyle name="Normal 33 2 10 10 3 2 2 2" xfId="20637"/>
    <cellStyle name="Normal 33 2 10 10 3 2 3" xfId="20638"/>
    <cellStyle name="Normal 33 2 10 10 3 3" xfId="20639"/>
    <cellStyle name="Normal 33 2 10 10 3 3 2" xfId="20640"/>
    <cellStyle name="Normal 33 2 10 10 3 4" xfId="20641"/>
    <cellStyle name="Normal 33 2 10 10 4" xfId="20642"/>
    <cellStyle name="Normal 33 2 10 10 4 2" xfId="20643"/>
    <cellStyle name="Normal 33 2 10 10 4 2 2" xfId="20644"/>
    <cellStyle name="Normal 33 2 10 10 4 3" xfId="20645"/>
    <cellStyle name="Normal 33 2 10 10 5" xfId="20646"/>
    <cellStyle name="Normal 33 2 10 10 5 2" xfId="20647"/>
    <cellStyle name="Normal 33 2 10 10 6" xfId="20648"/>
    <cellStyle name="Normal 33 2 10 11" xfId="20649"/>
    <cellStyle name="Normal 33 2 10 11 2" xfId="20650"/>
    <cellStyle name="Normal 33 2 10 11 2 2" xfId="20651"/>
    <cellStyle name="Normal 33 2 10 11 2 2 2" xfId="20652"/>
    <cellStyle name="Normal 33 2 10 11 2 2 2 2" xfId="20653"/>
    <cellStyle name="Normal 33 2 10 11 2 2 3" xfId="20654"/>
    <cellStyle name="Normal 33 2 10 11 2 3" xfId="20655"/>
    <cellStyle name="Normal 33 2 10 11 2 3 2" xfId="20656"/>
    <cellStyle name="Normal 33 2 10 11 2 4" xfId="20657"/>
    <cellStyle name="Normal 33 2 10 11 3" xfId="20658"/>
    <cellStyle name="Normal 33 2 10 11 3 2" xfId="20659"/>
    <cellStyle name="Normal 33 2 10 11 3 2 2" xfId="20660"/>
    <cellStyle name="Normal 33 2 10 11 3 2 2 2" xfId="20661"/>
    <cellStyle name="Normal 33 2 10 11 3 2 3" xfId="20662"/>
    <cellStyle name="Normal 33 2 10 11 3 3" xfId="20663"/>
    <cellStyle name="Normal 33 2 10 11 3 3 2" xfId="20664"/>
    <cellStyle name="Normal 33 2 10 11 3 4" xfId="20665"/>
    <cellStyle name="Normal 33 2 10 11 4" xfId="20666"/>
    <cellStyle name="Normal 33 2 10 11 4 2" xfId="20667"/>
    <cellStyle name="Normal 33 2 10 11 4 2 2" xfId="20668"/>
    <cellStyle name="Normal 33 2 10 11 4 3" xfId="20669"/>
    <cellStyle name="Normal 33 2 10 11 5" xfId="20670"/>
    <cellStyle name="Normal 33 2 10 11 5 2" xfId="20671"/>
    <cellStyle name="Normal 33 2 10 11 6" xfId="20672"/>
    <cellStyle name="Normal 33 2 10 12" xfId="20673"/>
    <cellStyle name="Normal 33 2 10 12 2" xfId="20674"/>
    <cellStyle name="Normal 33 2 10 12 2 2" xfId="20675"/>
    <cellStyle name="Normal 33 2 10 12 2 2 2" xfId="20676"/>
    <cellStyle name="Normal 33 2 10 12 2 2 2 2" xfId="20677"/>
    <cellStyle name="Normal 33 2 10 12 2 2 3" xfId="20678"/>
    <cellStyle name="Normal 33 2 10 12 2 3" xfId="20679"/>
    <cellStyle name="Normal 33 2 10 12 2 3 2" xfId="20680"/>
    <cellStyle name="Normal 33 2 10 12 2 4" xfId="20681"/>
    <cellStyle name="Normal 33 2 10 12 3" xfId="20682"/>
    <cellStyle name="Normal 33 2 10 12 3 2" xfId="20683"/>
    <cellStyle name="Normal 33 2 10 12 3 2 2" xfId="20684"/>
    <cellStyle name="Normal 33 2 10 12 3 2 2 2" xfId="20685"/>
    <cellStyle name="Normal 33 2 10 12 3 2 3" xfId="20686"/>
    <cellStyle name="Normal 33 2 10 12 3 3" xfId="20687"/>
    <cellStyle name="Normal 33 2 10 12 3 3 2" xfId="20688"/>
    <cellStyle name="Normal 33 2 10 12 3 4" xfId="20689"/>
    <cellStyle name="Normal 33 2 10 12 4" xfId="20690"/>
    <cellStyle name="Normal 33 2 10 12 4 2" xfId="20691"/>
    <cellStyle name="Normal 33 2 10 12 4 2 2" xfId="20692"/>
    <cellStyle name="Normal 33 2 10 12 4 3" xfId="20693"/>
    <cellStyle name="Normal 33 2 10 12 5" xfId="20694"/>
    <cellStyle name="Normal 33 2 10 12 5 2" xfId="20695"/>
    <cellStyle name="Normal 33 2 10 12 6" xfId="20696"/>
    <cellStyle name="Normal 33 2 10 13" xfId="20697"/>
    <cellStyle name="Normal 33 2 10 13 2" xfId="20698"/>
    <cellStyle name="Normal 33 2 10 13 2 2" xfId="20699"/>
    <cellStyle name="Normal 33 2 10 13 2 2 2" xfId="20700"/>
    <cellStyle name="Normal 33 2 10 13 2 2 2 2" xfId="20701"/>
    <cellStyle name="Normal 33 2 10 13 2 2 3" xfId="20702"/>
    <cellStyle name="Normal 33 2 10 13 2 3" xfId="20703"/>
    <cellStyle name="Normal 33 2 10 13 2 3 2" xfId="20704"/>
    <cellStyle name="Normal 33 2 10 13 2 4" xfId="20705"/>
    <cellStyle name="Normal 33 2 10 13 3" xfId="20706"/>
    <cellStyle name="Normal 33 2 10 13 3 2" xfId="20707"/>
    <cellStyle name="Normal 33 2 10 13 3 2 2" xfId="20708"/>
    <cellStyle name="Normal 33 2 10 13 3 2 2 2" xfId="20709"/>
    <cellStyle name="Normal 33 2 10 13 3 2 3" xfId="20710"/>
    <cellStyle name="Normal 33 2 10 13 3 3" xfId="20711"/>
    <cellStyle name="Normal 33 2 10 13 3 3 2" xfId="20712"/>
    <cellStyle name="Normal 33 2 10 13 3 4" xfId="20713"/>
    <cellStyle name="Normal 33 2 10 13 4" xfId="20714"/>
    <cellStyle name="Normal 33 2 10 13 4 2" xfId="20715"/>
    <cellStyle name="Normal 33 2 10 13 4 2 2" xfId="20716"/>
    <cellStyle name="Normal 33 2 10 13 4 3" xfId="20717"/>
    <cellStyle name="Normal 33 2 10 13 5" xfId="20718"/>
    <cellStyle name="Normal 33 2 10 13 5 2" xfId="20719"/>
    <cellStyle name="Normal 33 2 10 13 6" xfId="20720"/>
    <cellStyle name="Normal 33 2 10 14" xfId="20721"/>
    <cellStyle name="Normal 33 2 10 14 2" xfId="20722"/>
    <cellStyle name="Normal 33 2 10 14 2 2" xfId="20723"/>
    <cellStyle name="Normal 33 2 10 14 2 2 2" xfId="20724"/>
    <cellStyle name="Normal 33 2 10 14 2 3" xfId="20725"/>
    <cellStyle name="Normal 33 2 10 14 3" xfId="20726"/>
    <cellStyle name="Normal 33 2 10 14 3 2" xfId="20727"/>
    <cellStyle name="Normal 33 2 10 14 4" xfId="20728"/>
    <cellStyle name="Normal 33 2 10 15" xfId="20729"/>
    <cellStyle name="Normal 33 2 10 15 2" xfId="20730"/>
    <cellStyle name="Normal 33 2 10 15 2 2" xfId="20731"/>
    <cellStyle name="Normal 33 2 10 15 2 2 2" xfId="20732"/>
    <cellStyle name="Normal 33 2 10 15 2 3" xfId="20733"/>
    <cellStyle name="Normal 33 2 10 15 3" xfId="20734"/>
    <cellStyle name="Normal 33 2 10 15 3 2" xfId="20735"/>
    <cellStyle name="Normal 33 2 10 15 4" xfId="20736"/>
    <cellStyle name="Normal 33 2 10 16" xfId="20737"/>
    <cellStyle name="Normal 33 2 10 16 2" xfId="20738"/>
    <cellStyle name="Normal 33 2 10 16 2 2" xfId="20739"/>
    <cellStyle name="Normal 33 2 10 16 3" xfId="20740"/>
    <cellStyle name="Normal 33 2 10 17" xfId="20741"/>
    <cellStyle name="Normal 33 2 10 17 2" xfId="20742"/>
    <cellStyle name="Normal 33 2 10 18" xfId="20743"/>
    <cellStyle name="Normal 33 2 10 2" xfId="20744"/>
    <cellStyle name="Normal 33 2 10 2 2" xfId="20745"/>
    <cellStyle name="Normal 33 2 10 2 2 2" xfId="20746"/>
    <cellStyle name="Normal 33 2 10 2 2 2 2" xfId="20747"/>
    <cellStyle name="Normal 33 2 10 2 2 2 2 2" xfId="20748"/>
    <cellStyle name="Normal 33 2 10 2 2 2 3" xfId="20749"/>
    <cellStyle name="Normal 33 2 10 2 2 3" xfId="20750"/>
    <cellStyle name="Normal 33 2 10 2 2 3 2" xfId="20751"/>
    <cellStyle name="Normal 33 2 10 2 2 4" xfId="20752"/>
    <cellStyle name="Normal 33 2 10 2 3" xfId="20753"/>
    <cellStyle name="Normal 33 2 10 2 3 2" xfId="20754"/>
    <cellStyle name="Normal 33 2 10 2 3 2 2" xfId="20755"/>
    <cellStyle name="Normal 33 2 10 2 3 2 2 2" xfId="20756"/>
    <cellStyle name="Normal 33 2 10 2 3 2 3" xfId="20757"/>
    <cellStyle name="Normal 33 2 10 2 3 3" xfId="20758"/>
    <cellStyle name="Normal 33 2 10 2 3 3 2" xfId="20759"/>
    <cellStyle name="Normal 33 2 10 2 3 4" xfId="20760"/>
    <cellStyle name="Normal 33 2 10 2 4" xfId="20761"/>
    <cellStyle name="Normal 33 2 10 2 4 2" xfId="20762"/>
    <cellStyle name="Normal 33 2 10 2 4 2 2" xfId="20763"/>
    <cellStyle name="Normal 33 2 10 2 4 3" xfId="20764"/>
    <cellStyle name="Normal 33 2 10 2 5" xfId="20765"/>
    <cellStyle name="Normal 33 2 10 2 5 2" xfId="20766"/>
    <cellStyle name="Normal 33 2 10 2 6" xfId="20767"/>
    <cellStyle name="Normal 33 2 10 3" xfId="20768"/>
    <cellStyle name="Normal 33 2 10 3 2" xfId="20769"/>
    <cellStyle name="Normal 33 2 10 3 2 2" xfId="20770"/>
    <cellStyle name="Normal 33 2 10 3 2 2 2" xfId="20771"/>
    <cellStyle name="Normal 33 2 10 3 2 2 2 2" xfId="20772"/>
    <cellStyle name="Normal 33 2 10 3 2 2 3" xfId="20773"/>
    <cellStyle name="Normal 33 2 10 3 2 3" xfId="20774"/>
    <cellStyle name="Normal 33 2 10 3 2 3 2" xfId="20775"/>
    <cellStyle name="Normal 33 2 10 3 2 4" xfId="20776"/>
    <cellStyle name="Normal 33 2 10 3 3" xfId="20777"/>
    <cellStyle name="Normal 33 2 10 3 3 2" xfId="20778"/>
    <cellStyle name="Normal 33 2 10 3 3 2 2" xfId="20779"/>
    <cellStyle name="Normal 33 2 10 3 3 2 2 2" xfId="20780"/>
    <cellStyle name="Normal 33 2 10 3 3 2 3" xfId="20781"/>
    <cellStyle name="Normal 33 2 10 3 3 3" xfId="20782"/>
    <cellStyle name="Normal 33 2 10 3 3 3 2" xfId="20783"/>
    <cellStyle name="Normal 33 2 10 3 3 4" xfId="20784"/>
    <cellStyle name="Normal 33 2 10 3 4" xfId="20785"/>
    <cellStyle name="Normal 33 2 10 3 4 2" xfId="20786"/>
    <cellStyle name="Normal 33 2 10 3 4 2 2" xfId="20787"/>
    <cellStyle name="Normal 33 2 10 3 4 3" xfId="20788"/>
    <cellStyle name="Normal 33 2 10 3 5" xfId="20789"/>
    <cellStyle name="Normal 33 2 10 3 5 2" xfId="20790"/>
    <cellStyle name="Normal 33 2 10 3 6" xfId="20791"/>
    <cellStyle name="Normal 33 2 10 4" xfId="20792"/>
    <cellStyle name="Normal 33 2 10 4 2" xfId="20793"/>
    <cellStyle name="Normal 33 2 10 4 2 2" xfId="20794"/>
    <cellStyle name="Normal 33 2 10 4 2 2 2" xfId="20795"/>
    <cellStyle name="Normal 33 2 10 4 2 2 2 2" xfId="20796"/>
    <cellStyle name="Normal 33 2 10 4 2 2 3" xfId="20797"/>
    <cellStyle name="Normal 33 2 10 4 2 3" xfId="20798"/>
    <cellStyle name="Normal 33 2 10 4 2 3 2" xfId="20799"/>
    <cellStyle name="Normal 33 2 10 4 2 4" xfId="20800"/>
    <cellStyle name="Normal 33 2 10 4 3" xfId="20801"/>
    <cellStyle name="Normal 33 2 10 4 3 2" xfId="20802"/>
    <cellStyle name="Normal 33 2 10 4 3 2 2" xfId="20803"/>
    <cellStyle name="Normal 33 2 10 4 3 2 2 2" xfId="20804"/>
    <cellStyle name="Normal 33 2 10 4 3 2 3" xfId="20805"/>
    <cellStyle name="Normal 33 2 10 4 3 3" xfId="20806"/>
    <cellStyle name="Normal 33 2 10 4 3 3 2" xfId="20807"/>
    <cellStyle name="Normal 33 2 10 4 3 4" xfId="20808"/>
    <cellStyle name="Normal 33 2 10 4 4" xfId="20809"/>
    <cellStyle name="Normal 33 2 10 4 4 2" xfId="20810"/>
    <cellStyle name="Normal 33 2 10 4 4 2 2" xfId="20811"/>
    <cellStyle name="Normal 33 2 10 4 4 3" xfId="20812"/>
    <cellStyle name="Normal 33 2 10 4 5" xfId="20813"/>
    <cellStyle name="Normal 33 2 10 4 5 2" xfId="20814"/>
    <cellStyle name="Normal 33 2 10 4 6" xfId="20815"/>
    <cellStyle name="Normal 33 2 10 5" xfId="20816"/>
    <cellStyle name="Normal 33 2 10 5 2" xfId="20817"/>
    <cellStyle name="Normal 33 2 10 5 2 2" xfId="20818"/>
    <cellStyle name="Normal 33 2 10 5 2 2 2" xfId="20819"/>
    <cellStyle name="Normal 33 2 10 5 2 2 2 2" xfId="20820"/>
    <cellStyle name="Normal 33 2 10 5 2 2 3" xfId="20821"/>
    <cellStyle name="Normal 33 2 10 5 2 3" xfId="20822"/>
    <cellStyle name="Normal 33 2 10 5 2 3 2" xfId="20823"/>
    <cellStyle name="Normal 33 2 10 5 2 4" xfId="20824"/>
    <cellStyle name="Normal 33 2 10 5 3" xfId="20825"/>
    <cellStyle name="Normal 33 2 10 5 3 2" xfId="20826"/>
    <cellStyle name="Normal 33 2 10 5 3 2 2" xfId="20827"/>
    <cellStyle name="Normal 33 2 10 5 3 2 2 2" xfId="20828"/>
    <cellStyle name="Normal 33 2 10 5 3 2 3" xfId="20829"/>
    <cellStyle name="Normal 33 2 10 5 3 3" xfId="20830"/>
    <cellStyle name="Normal 33 2 10 5 3 3 2" xfId="20831"/>
    <cellStyle name="Normal 33 2 10 5 3 4" xfId="20832"/>
    <cellStyle name="Normal 33 2 10 5 4" xfId="20833"/>
    <cellStyle name="Normal 33 2 10 5 4 2" xfId="20834"/>
    <cellStyle name="Normal 33 2 10 5 4 2 2" xfId="20835"/>
    <cellStyle name="Normal 33 2 10 5 4 3" xfId="20836"/>
    <cellStyle name="Normal 33 2 10 5 5" xfId="20837"/>
    <cellStyle name="Normal 33 2 10 5 5 2" xfId="20838"/>
    <cellStyle name="Normal 33 2 10 5 6" xfId="20839"/>
    <cellStyle name="Normal 33 2 10 6" xfId="20840"/>
    <cellStyle name="Normal 33 2 10 6 2" xfId="20841"/>
    <cellStyle name="Normal 33 2 10 6 2 2" xfId="20842"/>
    <cellStyle name="Normal 33 2 10 6 2 2 2" xfId="20843"/>
    <cellStyle name="Normal 33 2 10 6 2 2 2 2" xfId="20844"/>
    <cellStyle name="Normal 33 2 10 6 2 2 3" xfId="20845"/>
    <cellStyle name="Normal 33 2 10 6 2 3" xfId="20846"/>
    <cellStyle name="Normal 33 2 10 6 2 3 2" xfId="20847"/>
    <cellStyle name="Normal 33 2 10 6 2 4" xfId="20848"/>
    <cellStyle name="Normal 33 2 10 6 3" xfId="20849"/>
    <cellStyle name="Normal 33 2 10 6 3 2" xfId="20850"/>
    <cellStyle name="Normal 33 2 10 6 3 2 2" xfId="20851"/>
    <cellStyle name="Normal 33 2 10 6 3 2 2 2" xfId="20852"/>
    <cellStyle name="Normal 33 2 10 6 3 2 3" xfId="20853"/>
    <cellStyle name="Normal 33 2 10 6 3 3" xfId="20854"/>
    <cellStyle name="Normal 33 2 10 6 3 3 2" xfId="20855"/>
    <cellStyle name="Normal 33 2 10 6 3 4" xfId="20856"/>
    <cellStyle name="Normal 33 2 10 6 4" xfId="20857"/>
    <cellStyle name="Normal 33 2 10 6 4 2" xfId="20858"/>
    <cellStyle name="Normal 33 2 10 6 4 2 2" xfId="20859"/>
    <cellStyle name="Normal 33 2 10 6 4 3" xfId="20860"/>
    <cellStyle name="Normal 33 2 10 6 5" xfId="20861"/>
    <cellStyle name="Normal 33 2 10 6 5 2" xfId="20862"/>
    <cellStyle name="Normal 33 2 10 6 6" xfId="20863"/>
    <cellStyle name="Normal 33 2 10 7" xfId="20864"/>
    <cellStyle name="Normal 33 2 10 7 2" xfId="20865"/>
    <cellStyle name="Normal 33 2 10 7 2 2" xfId="20866"/>
    <cellStyle name="Normal 33 2 10 7 2 2 2" xfId="20867"/>
    <cellStyle name="Normal 33 2 10 7 2 2 2 2" xfId="20868"/>
    <cellStyle name="Normal 33 2 10 7 2 2 3" xfId="20869"/>
    <cellStyle name="Normal 33 2 10 7 2 3" xfId="20870"/>
    <cellStyle name="Normal 33 2 10 7 2 3 2" xfId="20871"/>
    <cellStyle name="Normal 33 2 10 7 2 4" xfId="20872"/>
    <cellStyle name="Normal 33 2 10 7 3" xfId="20873"/>
    <cellStyle name="Normal 33 2 10 7 3 2" xfId="20874"/>
    <cellStyle name="Normal 33 2 10 7 3 2 2" xfId="20875"/>
    <cellStyle name="Normal 33 2 10 7 3 2 2 2" xfId="20876"/>
    <cellStyle name="Normal 33 2 10 7 3 2 3" xfId="20877"/>
    <cellStyle name="Normal 33 2 10 7 3 3" xfId="20878"/>
    <cellStyle name="Normal 33 2 10 7 3 3 2" xfId="20879"/>
    <cellStyle name="Normal 33 2 10 7 3 4" xfId="20880"/>
    <cellStyle name="Normal 33 2 10 7 4" xfId="20881"/>
    <cellStyle name="Normal 33 2 10 7 4 2" xfId="20882"/>
    <cellStyle name="Normal 33 2 10 7 4 2 2" xfId="20883"/>
    <cellStyle name="Normal 33 2 10 7 4 3" xfId="20884"/>
    <cellStyle name="Normal 33 2 10 7 5" xfId="20885"/>
    <cellStyle name="Normal 33 2 10 7 5 2" xfId="20886"/>
    <cellStyle name="Normal 33 2 10 7 6" xfId="20887"/>
    <cellStyle name="Normal 33 2 10 8" xfId="20888"/>
    <cellStyle name="Normal 33 2 10 8 2" xfId="20889"/>
    <cellStyle name="Normal 33 2 10 8 2 2" xfId="20890"/>
    <cellStyle name="Normal 33 2 10 8 2 2 2" xfId="20891"/>
    <cellStyle name="Normal 33 2 10 8 2 2 2 2" xfId="20892"/>
    <cellStyle name="Normal 33 2 10 8 2 2 3" xfId="20893"/>
    <cellStyle name="Normal 33 2 10 8 2 3" xfId="20894"/>
    <cellStyle name="Normal 33 2 10 8 2 3 2" xfId="20895"/>
    <cellStyle name="Normal 33 2 10 8 2 4" xfId="20896"/>
    <cellStyle name="Normal 33 2 10 8 3" xfId="20897"/>
    <cellStyle name="Normal 33 2 10 8 3 2" xfId="20898"/>
    <cellStyle name="Normal 33 2 10 8 3 2 2" xfId="20899"/>
    <cellStyle name="Normal 33 2 10 8 3 2 2 2" xfId="20900"/>
    <cellStyle name="Normal 33 2 10 8 3 2 3" xfId="20901"/>
    <cellStyle name="Normal 33 2 10 8 3 3" xfId="20902"/>
    <cellStyle name="Normal 33 2 10 8 3 3 2" xfId="20903"/>
    <cellStyle name="Normal 33 2 10 8 3 4" xfId="20904"/>
    <cellStyle name="Normal 33 2 10 8 4" xfId="20905"/>
    <cellStyle name="Normal 33 2 10 8 4 2" xfId="20906"/>
    <cellStyle name="Normal 33 2 10 8 4 2 2" xfId="20907"/>
    <cellStyle name="Normal 33 2 10 8 4 3" xfId="20908"/>
    <cellStyle name="Normal 33 2 10 8 5" xfId="20909"/>
    <cellStyle name="Normal 33 2 10 8 5 2" xfId="20910"/>
    <cellStyle name="Normal 33 2 10 8 6" xfId="20911"/>
    <cellStyle name="Normal 33 2 10 9" xfId="20912"/>
    <cellStyle name="Normal 33 2 10 9 2" xfId="20913"/>
    <cellStyle name="Normal 33 2 10 9 2 2" xfId="20914"/>
    <cellStyle name="Normal 33 2 10 9 2 2 2" xfId="20915"/>
    <cellStyle name="Normal 33 2 10 9 2 2 2 2" xfId="20916"/>
    <cellStyle name="Normal 33 2 10 9 2 2 3" xfId="20917"/>
    <cellStyle name="Normal 33 2 10 9 2 3" xfId="20918"/>
    <cellStyle name="Normal 33 2 10 9 2 3 2" xfId="20919"/>
    <cellStyle name="Normal 33 2 10 9 2 4" xfId="20920"/>
    <cellStyle name="Normal 33 2 10 9 3" xfId="20921"/>
    <cellStyle name="Normal 33 2 10 9 3 2" xfId="20922"/>
    <cellStyle name="Normal 33 2 10 9 3 2 2" xfId="20923"/>
    <cellStyle name="Normal 33 2 10 9 3 2 2 2" xfId="20924"/>
    <cellStyle name="Normal 33 2 10 9 3 2 3" xfId="20925"/>
    <cellStyle name="Normal 33 2 10 9 3 3" xfId="20926"/>
    <cellStyle name="Normal 33 2 10 9 3 3 2" xfId="20927"/>
    <cellStyle name="Normal 33 2 10 9 3 4" xfId="20928"/>
    <cellStyle name="Normal 33 2 10 9 4" xfId="20929"/>
    <cellStyle name="Normal 33 2 10 9 4 2" xfId="20930"/>
    <cellStyle name="Normal 33 2 10 9 4 2 2" xfId="20931"/>
    <cellStyle name="Normal 33 2 10 9 4 3" xfId="20932"/>
    <cellStyle name="Normal 33 2 10 9 5" xfId="20933"/>
    <cellStyle name="Normal 33 2 10 9 5 2" xfId="20934"/>
    <cellStyle name="Normal 33 2 10 9 6" xfId="20935"/>
    <cellStyle name="Normal 33 2 11" xfId="20936"/>
    <cellStyle name="Normal 33 2 11 10" xfId="20937"/>
    <cellStyle name="Normal 33 2 11 10 2" xfId="20938"/>
    <cellStyle name="Normal 33 2 11 10 2 2" xfId="20939"/>
    <cellStyle name="Normal 33 2 11 10 2 2 2" xfId="20940"/>
    <cellStyle name="Normal 33 2 11 10 2 2 2 2" xfId="20941"/>
    <cellStyle name="Normal 33 2 11 10 2 2 3" xfId="20942"/>
    <cellStyle name="Normal 33 2 11 10 2 3" xfId="20943"/>
    <cellStyle name="Normal 33 2 11 10 2 3 2" xfId="20944"/>
    <cellStyle name="Normal 33 2 11 10 2 4" xfId="20945"/>
    <cellStyle name="Normal 33 2 11 10 3" xfId="20946"/>
    <cellStyle name="Normal 33 2 11 10 3 2" xfId="20947"/>
    <cellStyle name="Normal 33 2 11 10 3 2 2" xfId="20948"/>
    <cellStyle name="Normal 33 2 11 10 3 2 2 2" xfId="20949"/>
    <cellStyle name="Normal 33 2 11 10 3 2 3" xfId="20950"/>
    <cellStyle name="Normal 33 2 11 10 3 3" xfId="20951"/>
    <cellStyle name="Normal 33 2 11 10 3 3 2" xfId="20952"/>
    <cellStyle name="Normal 33 2 11 10 3 4" xfId="20953"/>
    <cellStyle name="Normal 33 2 11 10 4" xfId="20954"/>
    <cellStyle name="Normal 33 2 11 10 4 2" xfId="20955"/>
    <cellStyle name="Normal 33 2 11 10 4 2 2" xfId="20956"/>
    <cellStyle name="Normal 33 2 11 10 4 3" xfId="20957"/>
    <cellStyle name="Normal 33 2 11 10 5" xfId="20958"/>
    <cellStyle name="Normal 33 2 11 10 5 2" xfId="20959"/>
    <cellStyle name="Normal 33 2 11 10 6" xfId="20960"/>
    <cellStyle name="Normal 33 2 11 11" xfId="20961"/>
    <cellStyle name="Normal 33 2 11 11 2" xfId="20962"/>
    <cellStyle name="Normal 33 2 11 11 2 2" xfId="20963"/>
    <cellStyle name="Normal 33 2 11 11 2 2 2" xfId="20964"/>
    <cellStyle name="Normal 33 2 11 11 2 2 2 2" xfId="20965"/>
    <cellStyle name="Normal 33 2 11 11 2 2 3" xfId="20966"/>
    <cellStyle name="Normal 33 2 11 11 2 3" xfId="20967"/>
    <cellStyle name="Normal 33 2 11 11 2 3 2" xfId="20968"/>
    <cellStyle name="Normal 33 2 11 11 2 4" xfId="20969"/>
    <cellStyle name="Normal 33 2 11 11 3" xfId="20970"/>
    <cellStyle name="Normal 33 2 11 11 3 2" xfId="20971"/>
    <cellStyle name="Normal 33 2 11 11 3 2 2" xfId="20972"/>
    <cellStyle name="Normal 33 2 11 11 3 2 2 2" xfId="20973"/>
    <cellStyle name="Normal 33 2 11 11 3 2 3" xfId="20974"/>
    <cellStyle name="Normal 33 2 11 11 3 3" xfId="20975"/>
    <cellStyle name="Normal 33 2 11 11 3 3 2" xfId="20976"/>
    <cellStyle name="Normal 33 2 11 11 3 4" xfId="20977"/>
    <cellStyle name="Normal 33 2 11 11 4" xfId="20978"/>
    <cellStyle name="Normal 33 2 11 11 4 2" xfId="20979"/>
    <cellStyle name="Normal 33 2 11 11 4 2 2" xfId="20980"/>
    <cellStyle name="Normal 33 2 11 11 4 3" xfId="20981"/>
    <cellStyle name="Normal 33 2 11 11 5" xfId="20982"/>
    <cellStyle name="Normal 33 2 11 11 5 2" xfId="20983"/>
    <cellStyle name="Normal 33 2 11 11 6" xfId="20984"/>
    <cellStyle name="Normal 33 2 11 12" xfId="20985"/>
    <cellStyle name="Normal 33 2 11 12 2" xfId="20986"/>
    <cellStyle name="Normal 33 2 11 12 2 2" xfId="20987"/>
    <cellStyle name="Normal 33 2 11 12 2 2 2" xfId="20988"/>
    <cellStyle name="Normal 33 2 11 12 2 2 2 2" xfId="20989"/>
    <cellStyle name="Normal 33 2 11 12 2 2 3" xfId="20990"/>
    <cellStyle name="Normal 33 2 11 12 2 3" xfId="20991"/>
    <cellStyle name="Normal 33 2 11 12 2 3 2" xfId="20992"/>
    <cellStyle name="Normal 33 2 11 12 2 4" xfId="20993"/>
    <cellStyle name="Normal 33 2 11 12 3" xfId="20994"/>
    <cellStyle name="Normal 33 2 11 12 3 2" xfId="20995"/>
    <cellStyle name="Normal 33 2 11 12 3 2 2" xfId="20996"/>
    <cellStyle name="Normal 33 2 11 12 3 2 2 2" xfId="20997"/>
    <cellStyle name="Normal 33 2 11 12 3 2 3" xfId="20998"/>
    <cellStyle name="Normal 33 2 11 12 3 3" xfId="20999"/>
    <cellStyle name="Normal 33 2 11 12 3 3 2" xfId="21000"/>
    <cellStyle name="Normal 33 2 11 12 3 4" xfId="21001"/>
    <cellStyle name="Normal 33 2 11 12 4" xfId="21002"/>
    <cellStyle name="Normal 33 2 11 12 4 2" xfId="21003"/>
    <cellStyle name="Normal 33 2 11 12 4 2 2" xfId="21004"/>
    <cellStyle name="Normal 33 2 11 12 4 3" xfId="21005"/>
    <cellStyle name="Normal 33 2 11 12 5" xfId="21006"/>
    <cellStyle name="Normal 33 2 11 12 5 2" xfId="21007"/>
    <cellStyle name="Normal 33 2 11 12 6" xfId="21008"/>
    <cellStyle name="Normal 33 2 11 13" xfId="21009"/>
    <cellStyle name="Normal 33 2 11 13 2" xfId="21010"/>
    <cellStyle name="Normal 33 2 11 13 2 2" xfId="21011"/>
    <cellStyle name="Normal 33 2 11 13 2 2 2" xfId="21012"/>
    <cellStyle name="Normal 33 2 11 13 2 2 2 2" xfId="21013"/>
    <cellStyle name="Normal 33 2 11 13 2 2 3" xfId="21014"/>
    <cellStyle name="Normal 33 2 11 13 2 3" xfId="21015"/>
    <cellStyle name="Normal 33 2 11 13 2 3 2" xfId="21016"/>
    <cellStyle name="Normal 33 2 11 13 2 4" xfId="21017"/>
    <cellStyle name="Normal 33 2 11 13 3" xfId="21018"/>
    <cellStyle name="Normal 33 2 11 13 3 2" xfId="21019"/>
    <cellStyle name="Normal 33 2 11 13 3 2 2" xfId="21020"/>
    <cellStyle name="Normal 33 2 11 13 3 2 2 2" xfId="21021"/>
    <cellStyle name="Normal 33 2 11 13 3 2 3" xfId="21022"/>
    <cellStyle name="Normal 33 2 11 13 3 3" xfId="21023"/>
    <cellStyle name="Normal 33 2 11 13 3 3 2" xfId="21024"/>
    <cellStyle name="Normal 33 2 11 13 3 4" xfId="21025"/>
    <cellStyle name="Normal 33 2 11 13 4" xfId="21026"/>
    <cellStyle name="Normal 33 2 11 13 4 2" xfId="21027"/>
    <cellStyle name="Normal 33 2 11 13 4 2 2" xfId="21028"/>
    <cellStyle name="Normal 33 2 11 13 4 3" xfId="21029"/>
    <cellStyle name="Normal 33 2 11 13 5" xfId="21030"/>
    <cellStyle name="Normal 33 2 11 13 5 2" xfId="21031"/>
    <cellStyle name="Normal 33 2 11 13 6" xfId="21032"/>
    <cellStyle name="Normal 33 2 11 14" xfId="21033"/>
    <cellStyle name="Normal 33 2 11 14 2" xfId="21034"/>
    <cellStyle name="Normal 33 2 11 14 2 2" xfId="21035"/>
    <cellStyle name="Normal 33 2 11 14 2 2 2" xfId="21036"/>
    <cellStyle name="Normal 33 2 11 14 2 3" xfId="21037"/>
    <cellStyle name="Normal 33 2 11 14 3" xfId="21038"/>
    <cellStyle name="Normal 33 2 11 14 3 2" xfId="21039"/>
    <cellStyle name="Normal 33 2 11 14 4" xfId="21040"/>
    <cellStyle name="Normal 33 2 11 15" xfId="21041"/>
    <cellStyle name="Normal 33 2 11 15 2" xfId="21042"/>
    <cellStyle name="Normal 33 2 11 15 2 2" xfId="21043"/>
    <cellStyle name="Normal 33 2 11 15 2 2 2" xfId="21044"/>
    <cellStyle name="Normal 33 2 11 15 2 3" xfId="21045"/>
    <cellStyle name="Normal 33 2 11 15 3" xfId="21046"/>
    <cellStyle name="Normal 33 2 11 15 3 2" xfId="21047"/>
    <cellStyle name="Normal 33 2 11 15 4" xfId="21048"/>
    <cellStyle name="Normal 33 2 11 16" xfId="21049"/>
    <cellStyle name="Normal 33 2 11 16 2" xfId="21050"/>
    <cellStyle name="Normal 33 2 11 16 2 2" xfId="21051"/>
    <cellStyle name="Normal 33 2 11 16 3" xfId="21052"/>
    <cellStyle name="Normal 33 2 11 17" xfId="21053"/>
    <cellStyle name="Normal 33 2 11 17 2" xfId="21054"/>
    <cellStyle name="Normal 33 2 11 18" xfId="21055"/>
    <cellStyle name="Normal 33 2 11 2" xfId="21056"/>
    <cellStyle name="Normal 33 2 11 2 2" xfId="21057"/>
    <cellStyle name="Normal 33 2 11 2 2 2" xfId="21058"/>
    <cellStyle name="Normal 33 2 11 2 2 2 2" xfId="21059"/>
    <cellStyle name="Normal 33 2 11 2 2 2 2 2" xfId="21060"/>
    <cellStyle name="Normal 33 2 11 2 2 2 3" xfId="21061"/>
    <cellStyle name="Normal 33 2 11 2 2 3" xfId="21062"/>
    <cellStyle name="Normal 33 2 11 2 2 3 2" xfId="21063"/>
    <cellStyle name="Normal 33 2 11 2 2 4" xfId="21064"/>
    <cellStyle name="Normal 33 2 11 2 3" xfId="21065"/>
    <cellStyle name="Normal 33 2 11 2 3 2" xfId="21066"/>
    <cellStyle name="Normal 33 2 11 2 3 2 2" xfId="21067"/>
    <cellStyle name="Normal 33 2 11 2 3 2 2 2" xfId="21068"/>
    <cellStyle name="Normal 33 2 11 2 3 2 3" xfId="21069"/>
    <cellStyle name="Normal 33 2 11 2 3 3" xfId="21070"/>
    <cellStyle name="Normal 33 2 11 2 3 3 2" xfId="21071"/>
    <cellStyle name="Normal 33 2 11 2 3 4" xfId="21072"/>
    <cellStyle name="Normal 33 2 11 2 4" xfId="21073"/>
    <cellStyle name="Normal 33 2 11 2 4 2" xfId="21074"/>
    <cellStyle name="Normal 33 2 11 2 4 2 2" xfId="21075"/>
    <cellStyle name="Normal 33 2 11 2 4 3" xfId="21076"/>
    <cellStyle name="Normal 33 2 11 2 5" xfId="21077"/>
    <cellStyle name="Normal 33 2 11 2 5 2" xfId="21078"/>
    <cellStyle name="Normal 33 2 11 2 6" xfId="21079"/>
    <cellStyle name="Normal 33 2 11 3" xfId="21080"/>
    <cellStyle name="Normal 33 2 11 3 2" xfId="21081"/>
    <cellStyle name="Normal 33 2 11 3 2 2" xfId="21082"/>
    <cellStyle name="Normal 33 2 11 3 2 2 2" xfId="21083"/>
    <cellStyle name="Normal 33 2 11 3 2 2 2 2" xfId="21084"/>
    <cellStyle name="Normal 33 2 11 3 2 2 3" xfId="21085"/>
    <cellStyle name="Normal 33 2 11 3 2 3" xfId="21086"/>
    <cellStyle name="Normal 33 2 11 3 2 3 2" xfId="21087"/>
    <cellStyle name="Normal 33 2 11 3 2 4" xfId="21088"/>
    <cellStyle name="Normal 33 2 11 3 3" xfId="21089"/>
    <cellStyle name="Normal 33 2 11 3 3 2" xfId="21090"/>
    <cellStyle name="Normal 33 2 11 3 3 2 2" xfId="21091"/>
    <cellStyle name="Normal 33 2 11 3 3 2 2 2" xfId="21092"/>
    <cellStyle name="Normal 33 2 11 3 3 2 3" xfId="21093"/>
    <cellStyle name="Normal 33 2 11 3 3 3" xfId="21094"/>
    <cellStyle name="Normal 33 2 11 3 3 3 2" xfId="21095"/>
    <cellStyle name="Normal 33 2 11 3 3 4" xfId="21096"/>
    <cellStyle name="Normal 33 2 11 3 4" xfId="21097"/>
    <cellStyle name="Normal 33 2 11 3 4 2" xfId="21098"/>
    <cellStyle name="Normal 33 2 11 3 4 2 2" xfId="21099"/>
    <cellStyle name="Normal 33 2 11 3 4 3" xfId="21100"/>
    <cellStyle name="Normal 33 2 11 3 5" xfId="21101"/>
    <cellStyle name="Normal 33 2 11 3 5 2" xfId="21102"/>
    <cellStyle name="Normal 33 2 11 3 6" xfId="21103"/>
    <cellStyle name="Normal 33 2 11 4" xfId="21104"/>
    <cellStyle name="Normal 33 2 11 4 2" xfId="21105"/>
    <cellStyle name="Normal 33 2 11 4 2 2" xfId="21106"/>
    <cellStyle name="Normal 33 2 11 4 2 2 2" xfId="21107"/>
    <cellStyle name="Normal 33 2 11 4 2 2 2 2" xfId="21108"/>
    <cellStyle name="Normal 33 2 11 4 2 2 3" xfId="21109"/>
    <cellStyle name="Normal 33 2 11 4 2 3" xfId="21110"/>
    <cellStyle name="Normal 33 2 11 4 2 3 2" xfId="21111"/>
    <cellStyle name="Normal 33 2 11 4 2 4" xfId="21112"/>
    <cellStyle name="Normal 33 2 11 4 3" xfId="21113"/>
    <cellStyle name="Normal 33 2 11 4 3 2" xfId="21114"/>
    <cellStyle name="Normal 33 2 11 4 3 2 2" xfId="21115"/>
    <cellStyle name="Normal 33 2 11 4 3 2 2 2" xfId="21116"/>
    <cellStyle name="Normal 33 2 11 4 3 2 3" xfId="21117"/>
    <cellStyle name="Normal 33 2 11 4 3 3" xfId="21118"/>
    <cellStyle name="Normal 33 2 11 4 3 3 2" xfId="21119"/>
    <cellStyle name="Normal 33 2 11 4 3 4" xfId="21120"/>
    <cellStyle name="Normal 33 2 11 4 4" xfId="21121"/>
    <cellStyle name="Normal 33 2 11 4 4 2" xfId="21122"/>
    <cellStyle name="Normal 33 2 11 4 4 2 2" xfId="21123"/>
    <cellStyle name="Normal 33 2 11 4 4 3" xfId="21124"/>
    <cellStyle name="Normal 33 2 11 4 5" xfId="21125"/>
    <cellStyle name="Normal 33 2 11 4 5 2" xfId="21126"/>
    <cellStyle name="Normal 33 2 11 4 6" xfId="21127"/>
    <cellStyle name="Normal 33 2 11 5" xfId="21128"/>
    <cellStyle name="Normal 33 2 11 5 2" xfId="21129"/>
    <cellStyle name="Normal 33 2 11 5 2 2" xfId="21130"/>
    <cellStyle name="Normal 33 2 11 5 2 2 2" xfId="21131"/>
    <cellStyle name="Normal 33 2 11 5 2 2 2 2" xfId="21132"/>
    <cellStyle name="Normal 33 2 11 5 2 2 3" xfId="21133"/>
    <cellStyle name="Normal 33 2 11 5 2 3" xfId="21134"/>
    <cellStyle name="Normal 33 2 11 5 2 3 2" xfId="21135"/>
    <cellStyle name="Normal 33 2 11 5 2 4" xfId="21136"/>
    <cellStyle name="Normal 33 2 11 5 3" xfId="21137"/>
    <cellStyle name="Normal 33 2 11 5 3 2" xfId="21138"/>
    <cellStyle name="Normal 33 2 11 5 3 2 2" xfId="21139"/>
    <cellStyle name="Normal 33 2 11 5 3 2 2 2" xfId="21140"/>
    <cellStyle name="Normal 33 2 11 5 3 2 3" xfId="21141"/>
    <cellStyle name="Normal 33 2 11 5 3 3" xfId="21142"/>
    <cellStyle name="Normal 33 2 11 5 3 3 2" xfId="21143"/>
    <cellStyle name="Normal 33 2 11 5 3 4" xfId="21144"/>
    <cellStyle name="Normal 33 2 11 5 4" xfId="21145"/>
    <cellStyle name="Normal 33 2 11 5 4 2" xfId="21146"/>
    <cellStyle name="Normal 33 2 11 5 4 2 2" xfId="21147"/>
    <cellStyle name="Normal 33 2 11 5 4 3" xfId="21148"/>
    <cellStyle name="Normal 33 2 11 5 5" xfId="21149"/>
    <cellStyle name="Normal 33 2 11 5 5 2" xfId="21150"/>
    <cellStyle name="Normal 33 2 11 5 6" xfId="21151"/>
    <cellStyle name="Normal 33 2 11 6" xfId="21152"/>
    <cellStyle name="Normal 33 2 11 6 2" xfId="21153"/>
    <cellStyle name="Normal 33 2 11 6 2 2" xfId="21154"/>
    <cellStyle name="Normal 33 2 11 6 2 2 2" xfId="21155"/>
    <cellStyle name="Normal 33 2 11 6 2 2 2 2" xfId="21156"/>
    <cellStyle name="Normal 33 2 11 6 2 2 3" xfId="21157"/>
    <cellStyle name="Normal 33 2 11 6 2 3" xfId="21158"/>
    <cellStyle name="Normal 33 2 11 6 2 3 2" xfId="21159"/>
    <cellStyle name="Normal 33 2 11 6 2 4" xfId="21160"/>
    <cellStyle name="Normal 33 2 11 6 3" xfId="21161"/>
    <cellStyle name="Normal 33 2 11 6 3 2" xfId="21162"/>
    <cellStyle name="Normal 33 2 11 6 3 2 2" xfId="21163"/>
    <cellStyle name="Normal 33 2 11 6 3 2 2 2" xfId="21164"/>
    <cellStyle name="Normal 33 2 11 6 3 2 3" xfId="21165"/>
    <cellStyle name="Normal 33 2 11 6 3 3" xfId="21166"/>
    <cellStyle name="Normal 33 2 11 6 3 3 2" xfId="21167"/>
    <cellStyle name="Normal 33 2 11 6 3 4" xfId="21168"/>
    <cellStyle name="Normal 33 2 11 6 4" xfId="21169"/>
    <cellStyle name="Normal 33 2 11 6 4 2" xfId="21170"/>
    <cellStyle name="Normal 33 2 11 6 4 2 2" xfId="21171"/>
    <cellStyle name="Normal 33 2 11 6 4 3" xfId="21172"/>
    <cellStyle name="Normal 33 2 11 6 5" xfId="21173"/>
    <cellStyle name="Normal 33 2 11 6 5 2" xfId="21174"/>
    <cellStyle name="Normal 33 2 11 6 6" xfId="21175"/>
    <cellStyle name="Normal 33 2 11 7" xfId="21176"/>
    <cellStyle name="Normal 33 2 11 7 2" xfId="21177"/>
    <cellStyle name="Normal 33 2 11 7 2 2" xfId="21178"/>
    <cellStyle name="Normal 33 2 11 7 2 2 2" xfId="21179"/>
    <cellStyle name="Normal 33 2 11 7 2 2 2 2" xfId="21180"/>
    <cellStyle name="Normal 33 2 11 7 2 2 3" xfId="21181"/>
    <cellStyle name="Normal 33 2 11 7 2 3" xfId="21182"/>
    <cellStyle name="Normal 33 2 11 7 2 3 2" xfId="21183"/>
    <cellStyle name="Normal 33 2 11 7 2 4" xfId="21184"/>
    <cellStyle name="Normal 33 2 11 7 3" xfId="21185"/>
    <cellStyle name="Normal 33 2 11 7 3 2" xfId="21186"/>
    <cellStyle name="Normal 33 2 11 7 3 2 2" xfId="21187"/>
    <cellStyle name="Normal 33 2 11 7 3 2 2 2" xfId="21188"/>
    <cellStyle name="Normal 33 2 11 7 3 2 3" xfId="21189"/>
    <cellStyle name="Normal 33 2 11 7 3 3" xfId="21190"/>
    <cellStyle name="Normal 33 2 11 7 3 3 2" xfId="21191"/>
    <cellStyle name="Normal 33 2 11 7 3 4" xfId="21192"/>
    <cellStyle name="Normal 33 2 11 7 4" xfId="21193"/>
    <cellStyle name="Normal 33 2 11 7 4 2" xfId="21194"/>
    <cellStyle name="Normal 33 2 11 7 4 2 2" xfId="21195"/>
    <cellStyle name="Normal 33 2 11 7 4 3" xfId="21196"/>
    <cellStyle name="Normal 33 2 11 7 5" xfId="21197"/>
    <cellStyle name="Normal 33 2 11 7 5 2" xfId="21198"/>
    <cellStyle name="Normal 33 2 11 7 6" xfId="21199"/>
    <cellStyle name="Normal 33 2 11 8" xfId="21200"/>
    <cellStyle name="Normal 33 2 11 8 2" xfId="21201"/>
    <cellStyle name="Normal 33 2 11 8 2 2" xfId="21202"/>
    <cellStyle name="Normal 33 2 11 8 2 2 2" xfId="21203"/>
    <cellStyle name="Normal 33 2 11 8 2 2 2 2" xfId="21204"/>
    <cellStyle name="Normal 33 2 11 8 2 2 3" xfId="21205"/>
    <cellStyle name="Normal 33 2 11 8 2 3" xfId="21206"/>
    <cellStyle name="Normal 33 2 11 8 2 3 2" xfId="21207"/>
    <cellStyle name="Normal 33 2 11 8 2 4" xfId="21208"/>
    <cellStyle name="Normal 33 2 11 8 3" xfId="21209"/>
    <cellStyle name="Normal 33 2 11 8 3 2" xfId="21210"/>
    <cellStyle name="Normal 33 2 11 8 3 2 2" xfId="21211"/>
    <cellStyle name="Normal 33 2 11 8 3 2 2 2" xfId="21212"/>
    <cellStyle name="Normal 33 2 11 8 3 2 3" xfId="21213"/>
    <cellStyle name="Normal 33 2 11 8 3 3" xfId="21214"/>
    <cellStyle name="Normal 33 2 11 8 3 3 2" xfId="21215"/>
    <cellStyle name="Normal 33 2 11 8 3 4" xfId="21216"/>
    <cellStyle name="Normal 33 2 11 8 4" xfId="21217"/>
    <cellStyle name="Normal 33 2 11 8 4 2" xfId="21218"/>
    <cellStyle name="Normal 33 2 11 8 4 2 2" xfId="21219"/>
    <cellStyle name="Normal 33 2 11 8 4 3" xfId="21220"/>
    <cellStyle name="Normal 33 2 11 8 5" xfId="21221"/>
    <cellStyle name="Normal 33 2 11 8 5 2" xfId="21222"/>
    <cellStyle name="Normal 33 2 11 8 6" xfId="21223"/>
    <cellStyle name="Normal 33 2 11 9" xfId="21224"/>
    <cellStyle name="Normal 33 2 11 9 2" xfId="21225"/>
    <cellStyle name="Normal 33 2 11 9 2 2" xfId="21226"/>
    <cellStyle name="Normal 33 2 11 9 2 2 2" xfId="21227"/>
    <cellStyle name="Normal 33 2 11 9 2 2 2 2" xfId="21228"/>
    <cellStyle name="Normal 33 2 11 9 2 2 3" xfId="21229"/>
    <cellStyle name="Normal 33 2 11 9 2 3" xfId="21230"/>
    <cellStyle name="Normal 33 2 11 9 2 3 2" xfId="21231"/>
    <cellStyle name="Normal 33 2 11 9 2 4" xfId="21232"/>
    <cellStyle name="Normal 33 2 11 9 3" xfId="21233"/>
    <cellStyle name="Normal 33 2 11 9 3 2" xfId="21234"/>
    <cellStyle name="Normal 33 2 11 9 3 2 2" xfId="21235"/>
    <cellStyle name="Normal 33 2 11 9 3 2 2 2" xfId="21236"/>
    <cellStyle name="Normal 33 2 11 9 3 2 3" xfId="21237"/>
    <cellStyle name="Normal 33 2 11 9 3 3" xfId="21238"/>
    <cellStyle name="Normal 33 2 11 9 3 3 2" xfId="21239"/>
    <cellStyle name="Normal 33 2 11 9 3 4" xfId="21240"/>
    <cellStyle name="Normal 33 2 11 9 4" xfId="21241"/>
    <cellStyle name="Normal 33 2 11 9 4 2" xfId="21242"/>
    <cellStyle name="Normal 33 2 11 9 4 2 2" xfId="21243"/>
    <cellStyle name="Normal 33 2 11 9 4 3" xfId="21244"/>
    <cellStyle name="Normal 33 2 11 9 5" xfId="21245"/>
    <cellStyle name="Normal 33 2 11 9 5 2" xfId="21246"/>
    <cellStyle name="Normal 33 2 11 9 6" xfId="21247"/>
    <cellStyle name="Normal 33 2 12" xfId="21248"/>
    <cellStyle name="Normal 33 2 12 10" xfId="21249"/>
    <cellStyle name="Normal 33 2 12 10 2" xfId="21250"/>
    <cellStyle name="Normal 33 2 12 10 2 2" xfId="21251"/>
    <cellStyle name="Normal 33 2 12 10 2 2 2" xfId="21252"/>
    <cellStyle name="Normal 33 2 12 10 2 2 2 2" xfId="21253"/>
    <cellStyle name="Normal 33 2 12 10 2 2 3" xfId="21254"/>
    <cellStyle name="Normal 33 2 12 10 2 3" xfId="21255"/>
    <cellStyle name="Normal 33 2 12 10 2 3 2" xfId="21256"/>
    <cellStyle name="Normal 33 2 12 10 2 4" xfId="21257"/>
    <cellStyle name="Normal 33 2 12 10 3" xfId="21258"/>
    <cellStyle name="Normal 33 2 12 10 3 2" xfId="21259"/>
    <cellStyle name="Normal 33 2 12 10 3 2 2" xfId="21260"/>
    <cellStyle name="Normal 33 2 12 10 3 2 2 2" xfId="21261"/>
    <cellStyle name="Normal 33 2 12 10 3 2 3" xfId="21262"/>
    <cellStyle name="Normal 33 2 12 10 3 3" xfId="21263"/>
    <cellStyle name="Normal 33 2 12 10 3 3 2" xfId="21264"/>
    <cellStyle name="Normal 33 2 12 10 3 4" xfId="21265"/>
    <cellStyle name="Normal 33 2 12 10 4" xfId="21266"/>
    <cellStyle name="Normal 33 2 12 10 4 2" xfId="21267"/>
    <cellStyle name="Normal 33 2 12 10 4 2 2" xfId="21268"/>
    <cellStyle name="Normal 33 2 12 10 4 3" xfId="21269"/>
    <cellStyle name="Normal 33 2 12 10 5" xfId="21270"/>
    <cellStyle name="Normal 33 2 12 10 5 2" xfId="21271"/>
    <cellStyle name="Normal 33 2 12 10 6" xfId="21272"/>
    <cellStyle name="Normal 33 2 12 11" xfId="21273"/>
    <cellStyle name="Normal 33 2 12 11 2" xfId="21274"/>
    <cellStyle name="Normal 33 2 12 11 2 2" xfId="21275"/>
    <cellStyle name="Normal 33 2 12 11 2 2 2" xfId="21276"/>
    <cellStyle name="Normal 33 2 12 11 2 2 2 2" xfId="21277"/>
    <cellStyle name="Normal 33 2 12 11 2 2 3" xfId="21278"/>
    <cellStyle name="Normal 33 2 12 11 2 3" xfId="21279"/>
    <cellStyle name="Normal 33 2 12 11 2 3 2" xfId="21280"/>
    <cellStyle name="Normal 33 2 12 11 2 4" xfId="21281"/>
    <cellStyle name="Normal 33 2 12 11 3" xfId="21282"/>
    <cellStyle name="Normal 33 2 12 11 3 2" xfId="21283"/>
    <cellStyle name="Normal 33 2 12 11 3 2 2" xfId="21284"/>
    <cellStyle name="Normal 33 2 12 11 3 2 2 2" xfId="21285"/>
    <cellStyle name="Normal 33 2 12 11 3 2 3" xfId="21286"/>
    <cellStyle name="Normal 33 2 12 11 3 3" xfId="21287"/>
    <cellStyle name="Normal 33 2 12 11 3 3 2" xfId="21288"/>
    <cellStyle name="Normal 33 2 12 11 3 4" xfId="21289"/>
    <cellStyle name="Normal 33 2 12 11 4" xfId="21290"/>
    <cellStyle name="Normal 33 2 12 11 4 2" xfId="21291"/>
    <cellStyle name="Normal 33 2 12 11 4 2 2" xfId="21292"/>
    <cellStyle name="Normal 33 2 12 11 4 3" xfId="21293"/>
    <cellStyle name="Normal 33 2 12 11 5" xfId="21294"/>
    <cellStyle name="Normal 33 2 12 11 5 2" xfId="21295"/>
    <cellStyle name="Normal 33 2 12 11 6" xfId="21296"/>
    <cellStyle name="Normal 33 2 12 12" xfId="21297"/>
    <cellStyle name="Normal 33 2 12 12 2" xfId="21298"/>
    <cellStyle name="Normal 33 2 12 12 2 2" xfId="21299"/>
    <cellStyle name="Normal 33 2 12 12 2 2 2" xfId="21300"/>
    <cellStyle name="Normal 33 2 12 12 2 2 2 2" xfId="21301"/>
    <cellStyle name="Normal 33 2 12 12 2 2 3" xfId="21302"/>
    <cellStyle name="Normal 33 2 12 12 2 3" xfId="21303"/>
    <cellStyle name="Normal 33 2 12 12 2 3 2" xfId="21304"/>
    <cellStyle name="Normal 33 2 12 12 2 4" xfId="21305"/>
    <cellStyle name="Normal 33 2 12 12 3" xfId="21306"/>
    <cellStyle name="Normal 33 2 12 12 3 2" xfId="21307"/>
    <cellStyle name="Normal 33 2 12 12 3 2 2" xfId="21308"/>
    <cellStyle name="Normal 33 2 12 12 3 2 2 2" xfId="21309"/>
    <cellStyle name="Normal 33 2 12 12 3 2 3" xfId="21310"/>
    <cellStyle name="Normal 33 2 12 12 3 3" xfId="21311"/>
    <cellStyle name="Normal 33 2 12 12 3 3 2" xfId="21312"/>
    <cellStyle name="Normal 33 2 12 12 3 4" xfId="21313"/>
    <cellStyle name="Normal 33 2 12 12 4" xfId="21314"/>
    <cellStyle name="Normal 33 2 12 12 4 2" xfId="21315"/>
    <cellStyle name="Normal 33 2 12 12 4 2 2" xfId="21316"/>
    <cellStyle name="Normal 33 2 12 12 4 3" xfId="21317"/>
    <cellStyle name="Normal 33 2 12 12 5" xfId="21318"/>
    <cellStyle name="Normal 33 2 12 12 5 2" xfId="21319"/>
    <cellStyle name="Normal 33 2 12 12 6" xfId="21320"/>
    <cellStyle name="Normal 33 2 12 13" xfId="21321"/>
    <cellStyle name="Normal 33 2 12 13 2" xfId="21322"/>
    <cellStyle name="Normal 33 2 12 13 2 2" xfId="21323"/>
    <cellStyle name="Normal 33 2 12 13 2 2 2" xfId="21324"/>
    <cellStyle name="Normal 33 2 12 13 2 2 2 2" xfId="21325"/>
    <cellStyle name="Normal 33 2 12 13 2 2 3" xfId="21326"/>
    <cellStyle name="Normal 33 2 12 13 2 3" xfId="21327"/>
    <cellStyle name="Normal 33 2 12 13 2 3 2" xfId="21328"/>
    <cellStyle name="Normal 33 2 12 13 2 4" xfId="21329"/>
    <cellStyle name="Normal 33 2 12 13 3" xfId="21330"/>
    <cellStyle name="Normal 33 2 12 13 3 2" xfId="21331"/>
    <cellStyle name="Normal 33 2 12 13 3 2 2" xfId="21332"/>
    <cellStyle name="Normal 33 2 12 13 3 2 2 2" xfId="21333"/>
    <cellStyle name="Normal 33 2 12 13 3 2 3" xfId="21334"/>
    <cellStyle name="Normal 33 2 12 13 3 3" xfId="21335"/>
    <cellStyle name="Normal 33 2 12 13 3 3 2" xfId="21336"/>
    <cellStyle name="Normal 33 2 12 13 3 4" xfId="21337"/>
    <cellStyle name="Normal 33 2 12 13 4" xfId="21338"/>
    <cellStyle name="Normal 33 2 12 13 4 2" xfId="21339"/>
    <cellStyle name="Normal 33 2 12 13 4 2 2" xfId="21340"/>
    <cellStyle name="Normal 33 2 12 13 4 3" xfId="21341"/>
    <cellStyle name="Normal 33 2 12 13 5" xfId="21342"/>
    <cellStyle name="Normal 33 2 12 13 5 2" xfId="21343"/>
    <cellStyle name="Normal 33 2 12 13 6" xfId="21344"/>
    <cellStyle name="Normal 33 2 12 14" xfId="21345"/>
    <cellStyle name="Normal 33 2 12 14 2" xfId="21346"/>
    <cellStyle name="Normal 33 2 12 14 2 2" xfId="21347"/>
    <cellStyle name="Normal 33 2 12 14 2 2 2" xfId="21348"/>
    <cellStyle name="Normal 33 2 12 14 2 3" xfId="21349"/>
    <cellStyle name="Normal 33 2 12 14 3" xfId="21350"/>
    <cellStyle name="Normal 33 2 12 14 3 2" xfId="21351"/>
    <cellStyle name="Normal 33 2 12 14 4" xfId="21352"/>
    <cellStyle name="Normal 33 2 12 15" xfId="21353"/>
    <cellStyle name="Normal 33 2 12 15 2" xfId="21354"/>
    <cellStyle name="Normal 33 2 12 15 2 2" xfId="21355"/>
    <cellStyle name="Normal 33 2 12 15 2 2 2" xfId="21356"/>
    <cellStyle name="Normal 33 2 12 15 2 3" xfId="21357"/>
    <cellStyle name="Normal 33 2 12 15 3" xfId="21358"/>
    <cellStyle name="Normal 33 2 12 15 3 2" xfId="21359"/>
    <cellStyle name="Normal 33 2 12 15 4" xfId="21360"/>
    <cellStyle name="Normal 33 2 12 16" xfId="21361"/>
    <cellStyle name="Normal 33 2 12 16 2" xfId="21362"/>
    <cellStyle name="Normal 33 2 12 16 2 2" xfId="21363"/>
    <cellStyle name="Normal 33 2 12 16 3" xfId="21364"/>
    <cellStyle name="Normal 33 2 12 17" xfId="21365"/>
    <cellStyle name="Normal 33 2 12 17 2" xfId="21366"/>
    <cellStyle name="Normal 33 2 12 18" xfId="21367"/>
    <cellStyle name="Normal 33 2 12 2" xfId="21368"/>
    <cellStyle name="Normal 33 2 12 2 2" xfId="21369"/>
    <cellStyle name="Normal 33 2 12 2 2 2" xfId="21370"/>
    <cellStyle name="Normal 33 2 12 2 2 2 2" xfId="21371"/>
    <cellStyle name="Normal 33 2 12 2 2 2 2 2" xfId="21372"/>
    <cellStyle name="Normal 33 2 12 2 2 2 3" xfId="21373"/>
    <cellStyle name="Normal 33 2 12 2 2 3" xfId="21374"/>
    <cellStyle name="Normal 33 2 12 2 2 3 2" xfId="21375"/>
    <cellStyle name="Normal 33 2 12 2 2 4" xfId="21376"/>
    <cellStyle name="Normal 33 2 12 2 3" xfId="21377"/>
    <cellStyle name="Normal 33 2 12 2 3 2" xfId="21378"/>
    <cellStyle name="Normal 33 2 12 2 3 2 2" xfId="21379"/>
    <cellStyle name="Normal 33 2 12 2 3 2 2 2" xfId="21380"/>
    <cellStyle name="Normal 33 2 12 2 3 2 3" xfId="21381"/>
    <cellStyle name="Normal 33 2 12 2 3 3" xfId="21382"/>
    <cellStyle name="Normal 33 2 12 2 3 3 2" xfId="21383"/>
    <cellStyle name="Normal 33 2 12 2 3 4" xfId="21384"/>
    <cellStyle name="Normal 33 2 12 2 4" xfId="21385"/>
    <cellStyle name="Normal 33 2 12 2 4 2" xfId="21386"/>
    <cellStyle name="Normal 33 2 12 2 4 2 2" xfId="21387"/>
    <cellStyle name="Normal 33 2 12 2 4 3" xfId="21388"/>
    <cellStyle name="Normal 33 2 12 2 5" xfId="21389"/>
    <cellStyle name="Normal 33 2 12 2 5 2" xfId="21390"/>
    <cellStyle name="Normal 33 2 12 2 6" xfId="21391"/>
    <cellStyle name="Normal 33 2 12 3" xfId="21392"/>
    <cellStyle name="Normal 33 2 12 3 2" xfId="21393"/>
    <cellStyle name="Normal 33 2 12 3 2 2" xfId="21394"/>
    <cellStyle name="Normal 33 2 12 3 2 2 2" xfId="21395"/>
    <cellStyle name="Normal 33 2 12 3 2 2 2 2" xfId="21396"/>
    <cellStyle name="Normal 33 2 12 3 2 2 3" xfId="21397"/>
    <cellStyle name="Normal 33 2 12 3 2 3" xfId="21398"/>
    <cellStyle name="Normal 33 2 12 3 2 3 2" xfId="21399"/>
    <cellStyle name="Normal 33 2 12 3 2 4" xfId="21400"/>
    <cellStyle name="Normal 33 2 12 3 3" xfId="21401"/>
    <cellStyle name="Normal 33 2 12 3 3 2" xfId="21402"/>
    <cellStyle name="Normal 33 2 12 3 3 2 2" xfId="21403"/>
    <cellStyle name="Normal 33 2 12 3 3 2 2 2" xfId="21404"/>
    <cellStyle name="Normal 33 2 12 3 3 2 3" xfId="21405"/>
    <cellStyle name="Normal 33 2 12 3 3 3" xfId="21406"/>
    <cellStyle name="Normal 33 2 12 3 3 3 2" xfId="21407"/>
    <cellStyle name="Normal 33 2 12 3 3 4" xfId="21408"/>
    <cellStyle name="Normal 33 2 12 3 4" xfId="21409"/>
    <cellStyle name="Normal 33 2 12 3 4 2" xfId="21410"/>
    <cellStyle name="Normal 33 2 12 3 4 2 2" xfId="21411"/>
    <cellStyle name="Normal 33 2 12 3 4 3" xfId="21412"/>
    <cellStyle name="Normal 33 2 12 3 5" xfId="21413"/>
    <cellStyle name="Normal 33 2 12 3 5 2" xfId="21414"/>
    <cellStyle name="Normal 33 2 12 3 6" xfId="21415"/>
    <cellStyle name="Normal 33 2 12 4" xfId="21416"/>
    <cellStyle name="Normal 33 2 12 4 2" xfId="21417"/>
    <cellStyle name="Normal 33 2 12 4 2 2" xfId="21418"/>
    <cellStyle name="Normal 33 2 12 4 2 2 2" xfId="21419"/>
    <cellStyle name="Normal 33 2 12 4 2 2 2 2" xfId="21420"/>
    <cellStyle name="Normal 33 2 12 4 2 2 3" xfId="21421"/>
    <cellStyle name="Normal 33 2 12 4 2 3" xfId="21422"/>
    <cellStyle name="Normal 33 2 12 4 2 3 2" xfId="21423"/>
    <cellStyle name="Normal 33 2 12 4 2 4" xfId="21424"/>
    <cellStyle name="Normal 33 2 12 4 3" xfId="21425"/>
    <cellStyle name="Normal 33 2 12 4 3 2" xfId="21426"/>
    <cellStyle name="Normal 33 2 12 4 3 2 2" xfId="21427"/>
    <cellStyle name="Normal 33 2 12 4 3 2 2 2" xfId="21428"/>
    <cellStyle name="Normal 33 2 12 4 3 2 3" xfId="21429"/>
    <cellStyle name="Normal 33 2 12 4 3 3" xfId="21430"/>
    <cellStyle name="Normal 33 2 12 4 3 3 2" xfId="21431"/>
    <cellStyle name="Normal 33 2 12 4 3 4" xfId="21432"/>
    <cellStyle name="Normal 33 2 12 4 4" xfId="21433"/>
    <cellStyle name="Normal 33 2 12 4 4 2" xfId="21434"/>
    <cellStyle name="Normal 33 2 12 4 4 2 2" xfId="21435"/>
    <cellStyle name="Normal 33 2 12 4 4 3" xfId="21436"/>
    <cellStyle name="Normal 33 2 12 4 5" xfId="21437"/>
    <cellStyle name="Normal 33 2 12 4 5 2" xfId="21438"/>
    <cellStyle name="Normal 33 2 12 4 6" xfId="21439"/>
    <cellStyle name="Normal 33 2 12 5" xfId="21440"/>
    <cellStyle name="Normal 33 2 12 5 2" xfId="21441"/>
    <cellStyle name="Normal 33 2 12 5 2 2" xfId="21442"/>
    <cellStyle name="Normal 33 2 12 5 2 2 2" xfId="21443"/>
    <cellStyle name="Normal 33 2 12 5 2 2 2 2" xfId="21444"/>
    <cellStyle name="Normal 33 2 12 5 2 2 3" xfId="21445"/>
    <cellStyle name="Normal 33 2 12 5 2 3" xfId="21446"/>
    <cellStyle name="Normal 33 2 12 5 2 3 2" xfId="21447"/>
    <cellStyle name="Normal 33 2 12 5 2 4" xfId="21448"/>
    <cellStyle name="Normal 33 2 12 5 3" xfId="21449"/>
    <cellStyle name="Normal 33 2 12 5 3 2" xfId="21450"/>
    <cellStyle name="Normal 33 2 12 5 3 2 2" xfId="21451"/>
    <cellStyle name="Normal 33 2 12 5 3 2 2 2" xfId="21452"/>
    <cellStyle name="Normal 33 2 12 5 3 2 3" xfId="21453"/>
    <cellStyle name="Normal 33 2 12 5 3 3" xfId="21454"/>
    <cellStyle name="Normal 33 2 12 5 3 3 2" xfId="21455"/>
    <cellStyle name="Normal 33 2 12 5 3 4" xfId="21456"/>
    <cellStyle name="Normal 33 2 12 5 4" xfId="21457"/>
    <cellStyle name="Normal 33 2 12 5 4 2" xfId="21458"/>
    <cellStyle name="Normal 33 2 12 5 4 2 2" xfId="21459"/>
    <cellStyle name="Normal 33 2 12 5 4 3" xfId="21460"/>
    <cellStyle name="Normal 33 2 12 5 5" xfId="21461"/>
    <cellStyle name="Normal 33 2 12 5 5 2" xfId="21462"/>
    <cellStyle name="Normal 33 2 12 5 6" xfId="21463"/>
    <cellStyle name="Normal 33 2 12 6" xfId="21464"/>
    <cellStyle name="Normal 33 2 12 6 2" xfId="21465"/>
    <cellStyle name="Normal 33 2 12 6 2 2" xfId="21466"/>
    <cellStyle name="Normal 33 2 12 6 2 2 2" xfId="21467"/>
    <cellStyle name="Normal 33 2 12 6 2 2 2 2" xfId="21468"/>
    <cellStyle name="Normal 33 2 12 6 2 2 3" xfId="21469"/>
    <cellStyle name="Normal 33 2 12 6 2 3" xfId="21470"/>
    <cellStyle name="Normal 33 2 12 6 2 3 2" xfId="21471"/>
    <cellStyle name="Normal 33 2 12 6 2 4" xfId="21472"/>
    <cellStyle name="Normal 33 2 12 6 3" xfId="21473"/>
    <cellStyle name="Normal 33 2 12 6 3 2" xfId="21474"/>
    <cellStyle name="Normal 33 2 12 6 3 2 2" xfId="21475"/>
    <cellStyle name="Normal 33 2 12 6 3 2 2 2" xfId="21476"/>
    <cellStyle name="Normal 33 2 12 6 3 2 3" xfId="21477"/>
    <cellStyle name="Normal 33 2 12 6 3 3" xfId="21478"/>
    <cellStyle name="Normal 33 2 12 6 3 3 2" xfId="21479"/>
    <cellStyle name="Normal 33 2 12 6 3 4" xfId="21480"/>
    <cellStyle name="Normal 33 2 12 6 4" xfId="21481"/>
    <cellStyle name="Normal 33 2 12 6 4 2" xfId="21482"/>
    <cellStyle name="Normal 33 2 12 6 4 2 2" xfId="21483"/>
    <cellStyle name="Normal 33 2 12 6 4 3" xfId="21484"/>
    <cellStyle name="Normal 33 2 12 6 5" xfId="21485"/>
    <cellStyle name="Normal 33 2 12 6 5 2" xfId="21486"/>
    <cellStyle name="Normal 33 2 12 6 6" xfId="21487"/>
    <cellStyle name="Normal 33 2 12 7" xfId="21488"/>
    <cellStyle name="Normal 33 2 12 7 2" xfId="21489"/>
    <cellStyle name="Normal 33 2 12 7 2 2" xfId="21490"/>
    <cellStyle name="Normal 33 2 12 7 2 2 2" xfId="21491"/>
    <cellStyle name="Normal 33 2 12 7 2 2 2 2" xfId="21492"/>
    <cellStyle name="Normal 33 2 12 7 2 2 3" xfId="21493"/>
    <cellStyle name="Normal 33 2 12 7 2 3" xfId="21494"/>
    <cellStyle name="Normal 33 2 12 7 2 3 2" xfId="21495"/>
    <cellStyle name="Normal 33 2 12 7 2 4" xfId="21496"/>
    <cellStyle name="Normal 33 2 12 7 3" xfId="21497"/>
    <cellStyle name="Normal 33 2 12 7 3 2" xfId="21498"/>
    <cellStyle name="Normal 33 2 12 7 3 2 2" xfId="21499"/>
    <cellStyle name="Normal 33 2 12 7 3 2 2 2" xfId="21500"/>
    <cellStyle name="Normal 33 2 12 7 3 2 3" xfId="21501"/>
    <cellStyle name="Normal 33 2 12 7 3 3" xfId="21502"/>
    <cellStyle name="Normal 33 2 12 7 3 3 2" xfId="21503"/>
    <cellStyle name="Normal 33 2 12 7 3 4" xfId="21504"/>
    <cellStyle name="Normal 33 2 12 7 4" xfId="21505"/>
    <cellStyle name="Normal 33 2 12 7 4 2" xfId="21506"/>
    <cellStyle name="Normal 33 2 12 7 4 2 2" xfId="21507"/>
    <cellStyle name="Normal 33 2 12 7 4 3" xfId="21508"/>
    <cellStyle name="Normal 33 2 12 7 5" xfId="21509"/>
    <cellStyle name="Normal 33 2 12 7 5 2" xfId="21510"/>
    <cellStyle name="Normal 33 2 12 7 6" xfId="21511"/>
    <cellStyle name="Normal 33 2 12 8" xfId="21512"/>
    <cellStyle name="Normal 33 2 12 8 2" xfId="21513"/>
    <cellStyle name="Normal 33 2 12 8 2 2" xfId="21514"/>
    <cellStyle name="Normal 33 2 12 8 2 2 2" xfId="21515"/>
    <cellStyle name="Normal 33 2 12 8 2 2 2 2" xfId="21516"/>
    <cellStyle name="Normal 33 2 12 8 2 2 3" xfId="21517"/>
    <cellStyle name="Normal 33 2 12 8 2 3" xfId="21518"/>
    <cellStyle name="Normal 33 2 12 8 2 3 2" xfId="21519"/>
    <cellStyle name="Normal 33 2 12 8 2 4" xfId="21520"/>
    <cellStyle name="Normal 33 2 12 8 3" xfId="21521"/>
    <cellStyle name="Normal 33 2 12 8 3 2" xfId="21522"/>
    <cellStyle name="Normal 33 2 12 8 3 2 2" xfId="21523"/>
    <cellStyle name="Normal 33 2 12 8 3 2 2 2" xfId="21524"/>
    <cellStyle name="Normal 33 2 12 8 3 2 3" xfId="21525"/>
    <cellStyle name="Normal 33 2 12 8 3 3" xfId="21526"/>
    <cellStyle name="Normal 33 2 12 8 3 3 2" xfId="21527"/>
    <cellStyle name="Normal 33 2 12 8 3 4" xfId="21528"/>
    <cellStyle name="Normal 33 2 12 8 4" xfId="21529"/>
    <cellStyle name="Normal 33 2 12 8 4 2" xfId="21530"/>
    <cellStyle name="Normal 33 2 12 8 4 2 2" xfId="21531"/>
    <cellStyle name="Normal 33 2 12 8 4 3" xfId="21532"/>
    <cellStyle name="Normal 33 2 12 8 5" xfId="21533"/>
    <cellStyle name="Normal 33 2 12 8 5 2" xfId="21534"/>
    <cellStyle name="Normal 33 2 12 8 6" xfId="21535"/>
    <cellStyle name="Normal 33 2 12 9" xfId="21536"/>
    <cellStyle name="Normal 33 2 12 9 2" xfId="21537"/>
    <cellStyle name="Normal 33 2 12 9 2 2" xfId="21538"/>
    <cellStyle name="Normal 33 2 12 9 2 2 2" xfId="21539"/>
    <cellStyle name="Normal 33 2 12 9 2 2 2 2" xfId="21540"/>
    <cellStyle name="Normal 33 2 12 9 2 2 3" xfId="21541"/>
    <cellStyle name="Normal 33 2 12 9 2 3" xfId="21542"/>
    <cellStyle name="Normal 33 2 12 9 2 3 2" xfId="21543"/>
    <cellStyle name="Normal 33 2 12 9 2 4" xfId="21544"/>
    <cellStyle name="Normal 33 2 12 9 3" xfId="21545"/>
    <cellStyle name="Normal 33 2 12 9 3 2" xfId="21546"/>
    <cellStyle name="Normal 33 2 12 9 3 2 2" xfId="21547"/>
    <cellStyle name="Normal 33 2 12 9 3 2 2 2" xfId="21548"/>
    <cellStyle name="Normal 33 2 12 9 3 2 3" xfId="21549"/>
    <cellStyle name="Normal 33 2 12 9 3 3" xfId="21550"/>
    <cellStyle name="Normal 33 2 12 9 3 3 2" xfId="21551"/>
    <cellStyle name="Normal 33 2 12 9 3 4" xfId="21552"/>
    <cellStyle name="Normal 33 2 12 9 4" xfId="21553"/>
    <cellStyle name="Normal 33 2 12 9 4 2" xfId="21554"/>
    <cellStyle name="Normal 33 2 12 9 4 2 2" xfId="21555"/>
    <cellStyle name="Normal 33 2 12 9 4 3" xfId="21556"/>
    <cellStyle name="Normal 33 2 12 9 5" xfId="21557"/>
    <cellStyle name="Normal 33 2 12 9 5 2" xfId="21558"/>
    <cellStyle name="Normal 33 2 12 9 6" xfId="21559"/>
    <cellStyle name="Normal 33 2 13" xfId="21560"/>
    <cellStyle name="Normal 33 2 13 10" xfId="21561"/>
    <cellStyle name="Normal 33 2 13 10 2" xfId="21562"/>
    <cellStyle name="Normal 33 2 13 10 2 2" xfId="21563"/>
    <cellStyle name="Normal 33 2 13 10 2 2 2" xfId="21564"/>
    <cellStyle name="Normal 33 2 13 10 2 2 2 2" xfId="21565"/>
    <cellStyle name="Normal 33 2 13 10 2 2 3" xfId="21566"/>
    <cellStyle name="Normal 33 2 13 10 2 3" xfId="21567"/>
    <cellStyle name="Normal 33 2 13 10 2 3 2" xfId="21568"/>
    <cellStyle name="Normal 33 2 13 10 2 4" xfId="21569"/>
    <cellStyle name="Normal 33 2 13 10 3" xfId="21570"/>
    <cellStyle name="Normal 33 2 13 10 3 2" xfId="21571"/>
    <cellStyle name="Normal 33 2 13 10 3 2 2" xfId="21572"/>
    <cellStyle name="Normal 33 2 13 10 3 2 2 2" xfId="21573"/>
    <cellStyle name="Normal 33 2 13 10 3 2 3" xfId="21574"/>
    <cellStyle name="Normal 33 2 13 10 3 3" xfId="21575"/>
    <cellStyle name="Normal 33 2 13 10 3 3 2" xfId="21576"/>
    <cellStyle name="Normal 33 2 13 10 3 4" xfId="21577"/>
    <cellStyle name="Normal 33 2 13 10 4" xfId="21578"/>
    <cellStyle name="Normal 33 2 13 10 4 2" xfId="21579"/>
    <cellStyle name="Normal 33 2 13 10 4 2 2" xfId="21580"/>
    <cellStyle name="Normal 33 2 13 10 4 3" xfId="21581"/>
    <cellStyle name="Normal 33 2 13 10 5" xfId="21582"/>
    <cellStyle name="Normal 33 2 13 10 5 2" xfId="21583"/>
    <cellStyle name="Normal 33 2 13 10 6" xfId="21584"/>
    <cellStyle name="Normal 33 2 13 11" xfId="21585"/>
    <cellStyle name="Normal 33 2 13 11 2" xfId="21586"/>
    <cellStyle name="Normal 33 2 13 11 2 2" xfId="21587"/>
    <cellStyle name="Normal 33 2 13 11 2 2 2" xfId="21588"/>
    <cellStyle name="Normal 33 2 13 11 2 2 2 2" xfId="21589"/>
    <cellStyle name="Normal 33 2 13 11 2 2 3" xfId="21590"/>
    <cellStyle name="Normal 33 2 13 11 2 3" xfId="21591"/>
    <cellStyle name="Normal 33 2 13 11 2 3 2" xfId="21592"/>
    <cellStyle name="Normal 33 2 13 11 2 4" xfId="21593"/>
    <cellStyle name="Normal 33 2 13 11 3" xfId="21594"/>
    <cellStyle name="Normal 33 2 13 11 3 2" xfId="21595"/>
    <cellStyle name="Normal 33 2 13 11 3 2 2" xfId="21596"/>
    <cellStyle name="Normal 33 2 13 11 3 2 2 2" xfId="21597"/>
    <cellStyle name="Normal 33 2 13 11 3 2 3" xfId="21598"/>
    <cellStyle name="Normal 33 2 13 11 3 3" xfId="21599"/>
    <cellStyle name="Normal 33 2 13 11 3 3 2" xfId="21600"/>
    <cellStyle name="Normal 33 2 13 11 3 4" xfId="21601"/>
    <cellStyle name="Normal 33 2 13 11 4" xfId="21602"/>
    <cellStyle name="Normal 33 2 13 11 4 2" xfId="21603"/>
    <cellStyle name="Normal 33 2 13 11 4 2 2" xfId="21604"/>
    <cellStyle name="Normal 33 2 13 11 4 3" xfId="21605"/>
    <cellStyle name="Normal 33 2 13 11 5" xfId="21606"/>
    <cellStyle name="Normal 33 2 13 11 5 2" xfId="21607"/>
    <cellStyle name="Normal 33 2 13 11 6" xfId="21608"/>
    <cellStyle name="Normal 33 2 13 12" xfId="21609"/>
    <cellStyle name="Normal 33 2 13 12 2" xfId="21610"/>
    <cellStyle name="Normal 33 2 13 12 2 2" xfId="21611"/>
    <cellStyle name="Normal 33 2 13 12 2 2 2" xfId="21612"/>
    <cellStyle name="Normal 33 2 13 12 2 2 2 2" xfId="21613"/>
    <cellStyle name="Normal 33 2 13 12 2 2 3" xfId="21614"/>
    <cellStyle name="Normal 33 2 13 12 2 3" xfId="21615"/>
    <cellStyle name="Normal 33 2 13 12 2 3 2" xfId="21616"/>
    <cellStyle name="Normal 33 2 13 12 2 4" xfId="21617"/>
    <cellStyle name="Normal 33 2 13 12 3" xfId="21618"/>
    <cellStyle name="Normal 33 2 13 12 3 2" xfId="21619"/>
    <cellStyle name="Normal 33 2 13 12 3 2 2" xfId="21620"/>
    <cellStyle name="Normal 33 2 13 12 3 2 2 2" xfId="21621"/>
    <cellStyle name="Normal 33 2 13 12 3 2 3" xfId="21622"/>
    <cellStyle name="Normal 33 2 13 12 3 3" xfId="21623"/>
    <cellStyle name="Normal 33 2 13 12 3 3 2" xfId="21624"/>
    <cellStyle name="Normal 33 2 13 12 3 4" xfId="21625"/>
    <cellStyle name="Normal 33 2 13 12 4" xfId="21626"/>
    <cellStyle name="Normal 33 2 13 12 4 2" xfId="21627"/>
    <cellStyle name="Normal 33 2 13 12 4 2 2" xfId="21628"/>
    <cellStyle name="Normal 33 2 13 12 4 3" xfId="21629"/>
    <cellStyle name="Normal 33 2 13 12 5" xfId="21630"/>
    <cellStyle name="Normal 33 2 13 12 5 2" xfId="21631"/>
    <cellStyle name="Normal 33 2 13 12 6" xfId="21632"/>
    <cellStyle name="Normal 33 2 13 13" xfId="21633"/>
    <cellStyle name="Normal 33 2 13 13 2" xfId="21634"/>
    <cellStyle name="Normal 33 2 13 13 2 2" xfId="21635"/>
    <cellStyle name="Normal 33 2 13 13 2 2 2" xfId="21636"/>
    <cellStyle name="Normal 33 2 13 13 2 2 2 2" xfId="21637"/>
    <cellStyle name="Normal 33 2 13 13 2 2 3" xfId="21638"/>
    <cellStyle name="Normal 33 2 13 13 2 3" xfId="21639"/>
    <cellStyle name="Normal 33 2 13 13 2 3 2" xfId="21640"/>
    <cellStyle name="Normal 33 2 13 13 2 4" xfId="21641"/>
    <cellStyle name="Normal 33 2 13 13 3" xfId="21642"/>
    <cellStyle name="Normal 33 2 13 13 3 2" xfId="21643"/>
    <cellStyle name="Normal 33 2 13 13 3 2 2" xfId="21644"/>
    <cellStyle name="Normal 33 2 13 13 3 2 2 2" xfId="21645"/>
    <cellStyle name="Normal 33 2 13 13 3 2 3" xfId="21646"/>
    <cellStyle name="Normal 33 2 13 13 3 3" xfId="21647"/>
    <cellStyle name="Normal 33 2 13 13 3 3 2" xfId="21648"/>
    <cellStyle name="Normal 33 2 13 13 3 4" xfId="21649"/>
    <cellStyle name="Normal 33 2 13 13 4" xfId="21650"/>
    <cellStyle name="Normal 33 2 13 13 4 2" xfId="21651"/>
    <cellStyle name="Normal 33 2 13 13 4 2 2" xfId="21652"/>
    <cellStyle name="Normal 33 2 13 13 4 3" xfId="21653"/>
    <cellStyle name="Normal 33 2 13 13 5" xfId="21654"/>
    <cellStyle name="Normal 33 2 13 13 5 2" xfId="21655"/>
    <cellStyle name="Normal 33 2 13 13 6" xfId="21656"/>
    <cellStyle name="Normal 33 2 13 14" xfId="21657"/>
    <cellStyle name="Normal 33 2 13 14 2" xfId="21658"/>
    <cellStyle name="Normal 33 2 13 14 2 2" xfId="21659"/>
    <cellStyle name="Normal 33 2 13 14 2 2 2" xfId="21660"/>
    <cellStyle name="Normal 33 2 13 14 2 3" xfId="21661"/>
    <cellStyle name="Normal 33 2 13 14 3" xfId="21662"/>
    <cellStyle name="Normal 33 2 13 14 3 2" xfId="21663"/>
    <cellStyle name="Normal 33 2 13 14 4" xfId="21664"/>
    <cellStyle name="Normal 33 2 13 15" xfId="21665"/>
    <cellStyle name="Normal 33 2 13 15 2" xfId="21666"/>
    <cellStyle name="Normal 33 2 13 15 2 2" xfId="21667"/>
    <cellStyle name="Normal 33 2 13 15 2 2 2" xfId="21668"/>
    <cellStyle name="Normal 33 2 13 15 2 3" xfId="21669"/>
    <cellStyle name="Normal 33 2 13 15 3" xfId="21670"/>
    <cellStyle name="Normal 33 2 13 15 3 2" xfId="21671"/>
    <cellStyle name="Normal 33 2 13 15 4" xfId="21672"/>
    <cellStyle name="Normal 33 2 13 16" xfId="21673"/>
    <cellStyle name="Normal 33 2 13 16 2" xfId="21674"/>
    <cellStyle name="Normal 33 2 13 16 2 2" xfId="21675"/>
    <cellStyle name="Normal 33 2 13 16 3" xfId="21676"/>
    <cellStyle name="Normal 33 2 13 17" xfId="21677"/>
    <cellStyle name="Normal 33 2 13 17 2" xfId="21678"/>
    <cellStyle name="Normal 33 2 13 18" xfId="21679"/>
    <cellStyle name="Normal 33 2 13 2" xfId="21680"/>
    <cellStyle name="Normal 33 2 13 2 2" xfId="21681"/>
    <cellStyle name="Normal 33 2 13 2 2 2" xfId="21682"/>
    <cellStyle name="Normal 33 2 13 2 2 2 2" xfId="21683"/>
    <cellStyle name="Normal 33 2 13 2 2 2 2 2" xfId="21684"/>
    <cellStyle name="Normal 33 2 13 2 2 2 3" xfId="21685"/>
    <cellStyle name="Normal 33 2 13 2 2 3" xfId="21686"/>
    <cellStyle name="Normal 33 2 13 2 2 3 2" xfId="21687"/>
    <cellStyle name="Normal 33 2 13 2 2 4" xfId="21688"/>
    <cellStyle name="Normal 33 2 13 2 3" xfId="21689"/>
    <cellStyle name="Normal 33 2 13 2 3 2" xfId="21690"/>
    <cellStyle name="Normal 33 2 13 2 3 2 2" xfId="21691"/>
    <cellStyle name="Normal 33 2 13 2 3 2 2 2" xfId="21692"/>
    <cellStyle name="Normal 33 2 13 2 3 2 3" xfId="21693"/>
    <cellStyle name="Normal 33 2 13 2 3 3" xfId="21694"/>
    <cellStyle name="Normal 33 2 13 2 3 3 2" xfId="21695"/>
    <cellStyle name="Normal 33 2 13 2 3 4" xfId="21696"/>
    <cellStyle name="Normal 33 2 13 2 4" xfId="21697"/>
    <cellStyle name="Normal 33 2 13 2 4 2" xfId="21698"/>
    <cellStyle name="Normal 33 2 13 2 4 2 2" xfId="21699"/>
    <cellStyle name="Normal 33 2 13 2 4 3" xfId="21700"/>
    <cellStyle name="Normal 33 2 13 2 5" xfId="21701"/>
    <cellStyle name="Normal 33 2 13 2 5 2" xfId="21702"/>
    <cellStyle name="Normal 33 2 13 2 6" xfId="21703"/>
    <cellStyle name="Normal 33 2 13 3" xfId="21704"/>
    <cellStyle name="Normal 33 2 13 3 2" xfId="21705"/>
    <cellStyle name="Normal 33 2 13 3 2 2" xfId="21706"/>
    <cellStyle name="Normal 33 2 13 3 2 2 2" xfId="21707"/>
    <cellStyle name="Normal 33 2 13 3 2 2 2 2" xfId="21708"/>
    <cellStyle name="Normal 33 2 13 3 2 2 3" xfId="21709"/>
    <cellStyle name="Normal 33 2 13 3 2 3" xfId="21710"/>
    <cellStyle name="Normal 33 2 13 3 2 3 2" xfId="21711"/>
    <cellStyle name="Normal 33 2 13 3 2 4" xfId="21712"/>
    <cellStyle name="Normal 33 2 13 3 3" xfId="21713"/>
    <cellStyle name="Normal 33 2 13 3 3 2" xfId="21714"/>
    <cellStyle name="Normal 33 2 13 3 3 2 2" xfId="21715"/>
    <cellStyle name="Normal 33 2 13 3 3 2 2 2" xfId="21716"/>
    <cellStyle name="Normal 33 2 13 3 3 2 3" xfId="21717"/>
    <cellStyle name="Normal 33 2 13 3 3 3" xfId="21718"/>
    <cellStyle name="Normal 33 2 13 3 3 3 2" xfId="21719"/>
    <cellStyle name="Normal 33 2 13 3 3 4" xfId="21720"/>
    <cellStyle name="Normal 33 2 13 3 4" xfId="21721"/>
    <cellStyle name="Normal 33 2 13 3 4 2" xfId="21722"/>
    <cellStyle name="Normal 33 2 13 3 4 2 2" xfId="21723"/>
    <cellStyle name="Normal 33 2 13 3 4 3" xfId="21724"/>
    <cellStyle name="Normal 33 2 13 3 5" xfId="21725"/>
    <cellStyle name="Normal 33 2 13 3 5 2" xfId="21726"/>
    <cellStyle name="Normal 33 2 13 3 6" xfId="21727"/>
    <cellStyle name="Normal 33 2 13 4" xfId="21728"/>
    <cellStyle name="Normal 33 2 13 4 2" xfId="21729"/>
    <cellStyle name="Normal 33 2 13 4 2 2" xfId="21730"/>
    <cellStyle name="Normal 33 2 13 4 2 2 2" xfId="21731"/>
    <cellStyle name="Normal 33 2 13 4 2 2 2 2" xfId="21732"/>
    <cellStyle name="Normal 33 2 13 4 2 2 3" xfId="21733"/>
    <cellStyle name="Normal 33 2 13 4 2 3" xfId="21734"/>
    <cellStyle name="Normal 33 2 13 4 2 3 2" xfId="21735"/>
    <cellStyle name="Normal 33 2 13 4 2 4" xfId="21736"/>
    <cellStyle name="Normal 33 2 13 4 3" xfId="21737"/>
    <cellStyle name="Normal 33 2 13 4 3 2" xfId="21738"/>
    <cellStyle name="Normal 33 2 13 4 3 2 2" xfId="21739"/>
    <cellStyle name="Normal 33 2 13 4 3 2 2 2" xfId="21740"/>
    <cellStyle name="Normal 33 2 13 4 3 2 3" xfId="21741"/>
    <cellStyle name="Normal 33 2 13 4 3 3" xfId="21742"/>
    <cellStyle name="Normal 33 2 13 4 3 3 2" xfId="21743"/>
    <cellStyle name="Normal 33 2 13 4 3 4" xfId="21744"/>
    <cellStyle name="Normal 33 2 13 4 4" xfId="21745"/>
    <cellStyle name="Normal 33 2 13 4 4 2" xfId="21746"/>
    <cellStyle name="Normal 33 2 13 4 4 2 2" xfId="21747"/>
    <cellStyle name="Normal 33 2 13 4 4 3" xfId="21748"/>
    <cellStyle name="Normal 33 2 13 4 5" xfId="21749"/>
    <cellStyle name="Normal 33 2 13 4 5 2" xfId="21750"/>
    <cellStyle name="Normal 33 2 13 4 6" xfId="21751"/>
    <cellStyle name="Normal 33 2 13 5" xfId="21752"/>
    <cellStyle name="Normal 33 2 13 5 2" xfId="21753"/>
    <cellStyle name="Normal 33 2 13 5 2 2" xfId="21754"/>
    <cellStyle name="Normal 33 2 13 5 2 2 2" xfId="21755"/>
    <cellStyle name="Normal 33 2 13 5 2 2 2 2" xfId="21756"/>
    <cellStyle name="Normal 33 2 13 5 2 2 3" xfId="21757"/>
    <cellStyle name="Normal 33 2 13 5 2 3" xfId="21758"/>
    <cellStyle name="Normal 33 2 13 5 2 3 2" xfId="21759"/>
    <cellStyle name="Normal 33 2 13 5 2 4" xfId="21760"/>
    <cellStyle name="Normal 33 2 13 5 3" xfId="21761"/>
    <cellStyle name="Normal 33 2 13 5 3 2" xfId="21762"/>
    <cellStyle name="Normal 33 2 13 5 3 2 2" xfId="21763"/>
    <cellStyle name="Normal 33 2 13 5 3 2 2 2" xfId="21764"/>
    <cellStyle name="Normal 33 2 13 5 3 2 3" xfId="21765"/>
    <cellStyle name="Normal 33 2 13 5 3 3" xfId="21766"/>
    <cellStyle name="Normal 33 2 13 5 3 3 2" xfId="21767"/>
    <cellStyle name="Normal 33 2 13 5 3 4" xfId="21768"/>
    <cellStyle name="Normal 33 2 13 5 4" xfId="21769"/>
    <cellStyle name="Normal 33 2 13 5 4 2" xfId="21770"/>
    <cellStyle name="Normal 33 2 13 5 4 2 2" xfId="21771"/>
    <cellStyle name="Normal 33 2 13 5 4 3" xfId="21772"/>
    <cellStyle name="Normal 33 2 13 5 5" xfId="21773"/>
    <cellStyle name="Normal 33 2 13 5 5 2" xfId="21774"/>
    <cellStyle name="Normal 33 2 13 5 6" xfId="21775"/>
    <cellStyle name="Normal 33 2 13 6" xfId="21776"/>
    <cellStyle name="Normal 33 2 13 6 2" xfId="21777"/>
    <cellStyle name="Normal 33 2 13 6 2 2" xfId="21778"/>
    <cellStyle name="Normal 33 2 13 6 2 2 2" xfId="21779"/>
    <cellStyle name="Normal 33 2 13 6 2 2 2 2" xfId="21780"/>
    <cellStyle name="Normal 33 2 13 6 2 2 3" xfId="21781"/>
    <cellStyle name="Normal 33 2 13 6 2 3" xfId="21782"/>
    <cellStyle name="Normal 33 2 13 6 2 3 2" xfId="21783"/>
    <cellStyle name="Normal 33 2 13 6 2 4" xfId="21784"/>
    <cellStyle name="Normal 33 2 13 6 3" xfId="21785"/>
    <cellStyle name="Normal 33 2 13 6 3 2" xfId="21786"/>
    <cellStyle name="Normal 33 2 13 6 3 2 2" xfId="21787"/>
    <cellStyle name="Normal 33 2 13 6 3 2 2 2" xfId="21788"/>
    <cellStyle name="Normal 33 2 13 6 3 2 3" xfId="21789"/>
    <cellStyle name="Normal 33 2 13 6 3 3" xfId="21790"/>
    <cellStyle name="Normal 33 2 13 6 3 3 2" xfId="21791"/>
    <cellStyle name="Normal 33 2 13 6 3 4" xfId="21792"/>
    <cellStyle name="Normal 33 2 13 6 4" xfId="21793"/>
    <cellStyle name="Normal 33 2 13 6 4 2" xfId="21794"/>
    <cellStyle name="Normal 33 2 13 6 4 2 2" xfId="21795"/>
    <cellStyle name="Normal 33 2 13 6 4 3" xfId="21796"/>
    <cellStyle name="Normal 33 2 13 6 5" xfId="21797"/>
    <cellStyle name="Normal 33 2 13 6 5 2" xfId="21798"/>
    <cellStyle name="Normal 33 2 13 6 6" xfId="21799"/>
    <cellStyle name="Normal 33 2 13 7" xfId="21800"/>
    <cellStyle name="Normal 33 2 13 7 2" xfId="21801"/>
    <cellStyle name="Normal 33 2 13 7 2 2" xfId="21802"/>
    <cellStyle name="Normal 33 2 13 7 2 2 2" xfId="21803"/>
    <cellStyle name="Normal 33 2 13 7 2 2 2 2" xfId="21804"/>
    <cellStyle name="Normal 33 2 13 7 2 2 3" xfId="21805"/>
    <cellStyle name="Normal 33 2 13 7 2 3" xfId="21806"/>
    <cellStyle name="Normal 33 2 13 7 2 3 2" xfId="21807"/>
    <cellStyle name="Normal 33 2 13 7 2 4" xfId="21808"/>
    <cellStyle name="Normal 33 2 13 7 3" xfId="21809"/>
    <cellStyle name="Normal 33 2 13 7 3 2" xfId="21810"/>
    <cellStyle name="Normal 33 2 13 7 3 2 2" xfId="21811"/>
    <cellStyle name="Normal 33 2 13 7 3 2 2 2" xfId="21812"/>
    <cellStyle name="Normal 33 2 13 7 3 2 3" xfId="21813"/>
    <cellStyle name="Normal 33 2 13 7 3 3" xfId="21814"/>
    <cellStyle name="Normal 33 2 13 7 3 3 2" xfId="21815"/>
    <cellStyle name="Normal 33 2 13 7 3 4" xfId="21816"/>
    <cellStyle name="Normal 33 2 13 7 4" xfId="21817"/>
    <cellStyle name="Normal 33 2 13 7 4 2" xfId="21818"/>
    <cellStyle name="Normal 33 2 13 7 4 2 2" xfId="21819"/>
    <cellStyle name="Normal 33 2 13 7 4 3" xfId="21820"/>
    <cellStyle name="Normal 33 2 13 7 5" xfId="21821"/>
    <cellStyle name="Normal 33 2 13 7 5 2" xfId="21822"/>
    <cellStyle name="Normal 33 2 13 7 6" xfId="21823"/>
    <cellStyle name="Normal 33 2 13 8" xfId="21824"/>
    <cellStyle name="Normal 33 2 13 8 2" xfId="21825"/>
    <cellStyle name="Normal 33 2 13 8 2 2" xfId="21826"/>
    <cellStyle name="Normal 33 2 13 8 2 2 2" xfId="21827"/>
    <cellStyle name="Normal 33 2 13 8 2 2 2 2" xfId="21828"/>
    <cellStyle name="Normal 33 2 13 8 2 2 3" xfId="21829"/>
    <cellStyle name="Normal 33 2 13 8 2 3" xfId="21830"/>
    <cellStyle name="Normal 33 2 13 8 2 3 2" xfId="21831"/>
    <cellStyle name="Normal 33 2 13 8 2 4" xfId="21832"/>
    <cellStyle name="Normal 33 2 13 8 3" xfId="21833"/>
    <cellStyle name="Normal 33 2 13 8 3 2" xfId="21834"/>
    <cellStyle name="Normal 33 2 13 8 3 2 2" xfId="21835"/>
    <cellStyle name="Normal 33 2 13 8 3 2 2 2" xfId="21836"/>
    <cellStyle name="Normal 33 2 13 8 3 2 3" xfId="21837"/>
    <cellStyle name="Normal 33 2 13 8 3 3" xfId="21838"/>
    <cellStyle name="Normal 33 2 13 8 3 3 2" xfId="21839"/>
    <cellStyle name="Normal 33 2 13 8 3 4" xfId="21840"/>
    <cellStyle name="Normal 33 2 13 8 4" xfId="21841"/>
    <cellStyle name="Normal 33 2 13 8 4 2" xfId="21842"/>
    <cellStyle name="Normal 33 2 13 8 4 2 2" xfId="21843"/>
    <cellStyle name="Normal 33 2 13 8 4 3" xfId="21844"/>
    <cellStyle name="Normal 33 2 13 8 5" xfId="21845"/>
    <cellStyle name="Normal 33 2 13 8 5 2" xfId="21846"/>
    <cellStyle name="Normal 33 2 13 8 6" xfId="21847"/>
    <cellStyle name="Normal 33 2 13 9" xfId="21848"/>
    <cellStyle name="Normal 33 2 13 9 2" xfId="21849"/>
    <cellStyle name="Normal 33 2 13 9 2 2" xfId="21850"/>
    <cellStyle name="Normal 33 2 13 9 2 2 2" xfId="21851"/>
    <cellStyle name="Normal 33 2 13 9 2 2 2 2" xfId="21852"/>
    <cellStyle name="Normal 33 2 13 9 2 2 3" xfId="21853"/>
    <cellStyle name="Normal 33 2 13 9 2 3" xfId="21854"/>
    <cellStyle name="Normal 33 2 13 9 2 3 2" xfId="21855"/>
    <cellStyle name="Normal 33 2 13 9 2 4" xfId="21856"/>
    <cellStyle name="Normal 33 2 13 9 3" xfId="21857"/>
    <cellStyle name="Normal 33 2 13 9 3 2" xfId="21858"/>
    <cellStyle name="Normal 33 2 13 9 3 2 2" xfId="21859"/>
    <cellStyle name="Normal 33 2 13 9 3 2 2 2" xfId="21860"/>
    <cellStyle name="Normal 33 2 13 9 3 2 3" xfId="21861"/>
    <cellStyle name="Normal 33 2 13 9 3 3" xfId="21862"/>
    <cellStyle name="Normal 33 2 13 9 3 3 2" xfId="21863"/>
    <cellStyle name="Normal 33 2 13 9 3 4" xfId="21864"/>
    <cellStyle name="Normal 33 2 13 9 4" xfId="21865"/>
    <cellStyle name="Normal 33 2 13 9 4 2" xfId="21866"/>
    <cellStyle name="Normal 33 2 13 9 4 2 2" xfId="21867"/>
    <cellStyle name="Normal 33 2 13 9 4 3" xfId="21868"/>
    <cellStyle name="Normal 33 2 13 9 5" xfId="21869"/>
    <cellStyle name="Normal 33 2 13 9 5 2" xfId="21870"/>
    <cellStyle name="Normal 33 2 13 9 6" xfId="21871"/>
    <cellStyle name="Normal 33 2 14" xfId="21872"/>
    <cellStyle name="Normal 33 2 14 2" xfId="21873"/>
    <cellStyle name="Normal 33 2 14 2 2" xfId="21874"/>
    <cellStyle name="Normal 33 2 14 2 2 2" xfId="21875"/>
    <cellStyle name="Normal 33 2 14 2 2 2 2" xfId="21876"/>
    <cellStyle name="Normal 33 2 14 2 2 3" xfId="21877"/>
    <cellStyle name="Normal 33 2 14 2 3" xfId="21878"/>
    <cellStyle name="Normal 33 2 14 2 3 2" xfId="21879"/>
    <cellStyle name="Normal 33 2 14 2 4" xfId="21880"/>
    <cellStyle name="Normal 33 2 14 3" xfId="21881"/>
    <cellStyle name="Normal 33 2 14 3 2" xfId="21882"/>
    <cellStyle name="Normal 33 2 14 3 2 2" xfId="21883"/>
    <cellStyle name="Normal 33 2 14 3 2 2 2" xfId="21884"/>
    <cellStyle name="Normal 33 2 14 3 2 3" xfId="21885"/>
    <cellStyle name="Normal 33 2 14 3 3" xfId="21886"/>
    <cellStyle name="Normal 33 2 14 3 3 2" xfId="21887"/>
    <cellStyle name="Normal 33 2 14 3 4" xfId="21888"/>
    <cellStyle name="Normal 33 2 14 4" xfId="21889"/>
    <cellStyle name="Normal 33 2 14 4 2" xfId="21890"/>
    <cellStyle name="Normal 33 2 14 4 2 2" xfId="21891"/>
    <cellStyle name="Normal 33 2 14 4 3" xfId="21892"/>
    <cellStyle name="Normal 33 2 14 5" xfId="21893"/>
    <cellStyle name="Normal 33 2 14 5 2" xfId="21894"/>
    <cellStyle name="Normal 33 2 14 6" xfId="21895"/>
    <cellStyle name="Normal 33 2 15" xfId="21896"/>
    <cellStyle name="Normal 33 2 15 2" xfId="21897"/>
    <cellStyle name="Normal 33 2 15 2 2" xfId="21898"/>
    <cellStyle name="Normal 33 2 15 2 2 2" xfId="21899"/>
    <cellStyle name="Normal 33 2 15 2 2 2 2" xfId="21900"/>
    <cellStyle name="Normal 33 2 15 2 2 3" xfId="21901"/>
    <cellStyle name="Normal 33 2 15 2 3" xfId="21902"/>
    <cellStyle name="Normal 33 2 15 2 3 2" xfId="21903"/>
    <cellStyle name="Normal 33 2 15 2 4" xfId="21904"/>
    <cellStyle name="Normal 33 2 15 3" xfId="21905"/>
    <cellStyle name="Normal 33 2 15 3 2" xfId="21906"/>
    <cellStyle name="Normal 33 2 15 3 2 2" xfId="21907"/>
    <cellStyle name="Normal 33 2 15 3 2 2 2" xfId="21908"/>
    <cellStyle name="Normal 33 2 15 3 2 3" xfId="21909"/>
    <cellStyle name="Normal 33 2 15 3 3" xfId="21910"/>
    <cellStyle name="Normal 33 2 15 3 3 2" xfId="21911"/>
    <cellStyle name="Normal 33 2 15 3 4" xfId="21912"/>
    <cellStyle name="Normal 33 2 15 4" xfId="21913"/>
    <cellStyle name="Normal 33 2 15 4 2" xfId="21914"/>
    <cellStyle name="Normal 33 2 15 4 2 2" xfId="21915"/>
    <cellStyle name="Normal 33 2 15 4 3" xfId="21916"/>
    <cellStyle name="Normal 33 2 15 5" xfId="21917"/>
    <cellStyle name="Normal 33 2 15 5 2" xfId="21918"/>
    <cellStyle name="Normal 33 2 15 6" xfId="21919"/>
    <cellStyle name="Normal 33 2 16" xfId="21920"/>
    <cellStyle name="Normal 33 2 16 2" xfId="21921"/>
    <cellStyle name="Normal 33 2 16 2 2" xfId="21922"/>
    <cellStyle name="Normal 33 2 16 2 2 2" xfId="21923"/>
    <cellStyle name="Normal 33 2 16 2 2 2 2" xfId="21924"/>
    <cellStyle name="Normal 33 2 16 2 2 3" xfId="21925"/>
    <cellStyle name="Normal 33 2 16 2 3" xfId="21926"/>
    <cellStyle name="Normal 33 2 16 2 3 2" xfId="21927"/>
    <cellStyle name="Normal 33 2 16 2 4" xfId="21928"/>
    <cellStyle name="Normal 33 2 16 3" xfId="21929"/>
    <cellStyle name="Normal 33 2 16 3 2" xfId="21930"/>
    <cellStyle name="Normal 33 2 16 3 2 2" xfId="21931"/>
    <cellStyle name="Normal 33 2 16 3 2 2 2" xfId="21932"/>
    <cellStyle name="Normal 33 2 16 3 2 3" xfId="21933"/>
    <cellStyle name="Normal 33 2 16 3 3" xfId="21934"/>
    <cellStyle name="Normal 33 2 16 3 3 2" xfId="21935"/>
    <cellStyle name="Normal 33 2 16 3 4" xfId="21936"/>
    <cellStyle name="Normal 33 2 16 4" xfId="21937"/>
    <cellStyle name="Normal 33 2 16 4 2" xfId="21938"/>
    <cellStyle name="Normal 33 2 16 4 2 2" xfId="21939"/>
    <cellStyle name="Normal 33 2 16 4 3" xfId="21940"/>
    <cellStyle name="Normal 33 2 16 5" xfId="21941"/>
    <cellStyle name="Normal 33 2 16 5 2" xfId="21942"/>
    <cellStyle name="Normal 33 2 16 6" xfId="21943"/>
    <cellStyle name="Normal 33 2 17" xfId="21944"/>
    <cellStyle name="Normal 33 2 17 2" xfId="21945"/>
    <cellStyle name="Normal 33 2 17 2 2" xfId="21946"/>
    <cellStyle name="Normal 33 2 17 2 2 2" xfId="21947"/>
    <cellStyle name="Normal 33 2 17 2 2 2 2" xfId="21948"/>
    <cellStyle name="Normal 33 2 17 2 2 3" xfId="21949"/>
    <cellStyle name="Normal 33 2 17 2 3" xfId="21950"/>
    <cellStyle name="Normal 33 2 17 2 3 2" xfId="21951"/>
    <cellStyle name="Normal 33 2 17 2 4" xfId="21952"/>
    <cellStyle name="Normal 33 2 17 3" xfId="21953"/>
    <cellStyle name="Normal 33 2 17 3 2" xfId="21954"/>
    <cellStyle name="Normal 33 2 17 3 2 2" xfId="21955"/>
    <cellStyle name="Normal 33 2 17 3 2 2 2" xfId="21956"/>
    <cellStyle name="Normal 33 2 17 3 2 3" xfId="21957"/>
    <cellStyle name="Normal 33 2 17 3 3" xfId="21958"/>
    <cellStyle name="Normal 33 2 17 3 3 2" xfId="21959"/>
    <cellStyle name="Normal 33 2 17 3 4" xfId="21960"/>
    <cellStyle name="Normal 33 2 17 4" xfId="21961"/>
    <cellStyle name="Normal 33 2 17 4 2" xfId="21962"/>
    <cellStyle name="Normal 33 2 17 4 2 2" xfId="21963"/>
    <cellStyle name="Normal 33 2 17 4 3" xfId="21964"/>
    <cellStyle name="Normal 33 2 17 5" xfId="21965"/>
    <cellStyle name="Normal 33 2 17 5 2" xfId="21966"/>
    <cellStyle name="Normal 33 2 17 6" xfId="21967"/>
    <cellStyle name="Normal 33 2 18" xfId="21968"/>
    <cellStyle name="Normal 33 2 18 2" xfId="21969"/>
    <cellStyle name="Normal 33 2 18 2 2" xfId="21970"/>
    <cellStyle name="Normal 33 2 18 2 2 2" xfId="21971"/>
    <cellStyle name="Normal 33 2 18 2 2 2 2" xfId="21972"/>
    <cellStyle name="Normal 33 2 18 2 2 3" xfId="21973"/>
    <cellStyle name="Normal 33 2 18 2 3" xfId="21974"/>
    <cellStyle name="Normal 33 2 18 2 3 2" xfId="21975"/>
    <cellStyle name="Normal 33 2 18 2 4" xfId="21976"/>
    <cellStyle name="Normal 33 2 18 3" xfId="21977"/>
    <cellStyle name="Normal 33 2 18 3 2" xfId="21978"/>
    <cellStyle name="Normal 33 2 18 3 2 2" xfId="21979"/>
    <cellStyle name="Normal 33 2 18 3 2 2 2" xfId="21980"/>
    <cellStyle name="Normal 33 2 18 3 2 3" xfId="21981"/>
    <cellStyle name="Normal 33 2 18 3 3" xfId="21982"/>
    <cellStyle name="Normal 33 2 18 3 3 2" xfId="21983"/>
    <cellStyle name="Normal 33 2 18 3 4" xfId="21984"/>
    <cellStyle name="Normal 33 2 18 4" xfId="21985"/>
    <cellStyle name="Normal 33 2 18 4 2" xfId="21986"/>
    <cellStyle name="Normal 33 2 18 4 2 2" xfId="21987"/>
    <cellStyle name="Normal 33 2 18 4 3" xfId="21988"/>
    <cellStyle name="Normal 33 2 18 5" xfId="21989"/>
    <cellStyle name="Normal 33 2 18 5 2" xfId="21990"/>
    <cellStyle name="Normal 33 2 18 6" xfId="21991"/>
    <cellStyle name="Normal 33 2 19" xfId="21992"/>
    <cellStyle name="Normal 33 2 19 2" xfId="21993"/>
    <cellStyle name="Normal 33 2 19 2 2" xfId="21994"/>
    <cellStyle name="Normal 33 2 19 2 2 2" xfId="21995"/>
    <cellStyle name="Normal 33 2 19 2 2 2 2" xfId="21996"/>
    <cellStyle name="Normal 33 2 19 2 2 3" xfId="21997"/>
    <cellStyle name="Normal 33 2 19 2 3" xfId="21998"/>
    <cellStyle name="Normal 33 2 19 2 3 2" xfId="21999"/>
    <cellStyle name="Normal 33 2 19 2 4" xfId="22000"/>
    <cellStyle name="Normal 33 2 19 3" xfId="22001"/>
    <cellStyle name="Normal 33 2 19 3 2" xfId="22002"/>
    <cellStyle name="Normal 33 2 19 3 2 2" xfId="22003"/>
    <cellStyle name="Normal 33 2 19 3 2 2 2" xfId="22004"/>
    <cellStyle name="Normal 33 2 19 3 2 3" xfId="22005"/>
    <cellStyle name="Normal 33 2 19 3 3" xfId="22006"/>
    <cellStyle name="Normal 33 2 19 3 3 2" xfId="22007"/>
    <cellStyle name="Normal 33 2 19 3 4" xfId="22008"/>
    <cellStyle name="Normal 33 2 19 4" xfId="22009"/>
    <cellStyle name="Normal 33 2 19 4 2" xfId="22010"/>
    <cellStyle name="Normal 33 2 19 4 2 2" xfId="22011"/>
    <cellStyle name="Normal 33 2 19 4 3" xfId="22012"/>
    <cellStyle name="Normal 33 2 19 5" xfId="22013"/>
    <cellStyle name="Normal 33 2 19 5 2" xfId="22014"/>
    <cellStyle name="Normal 33 2 19 6" xfId="22015"/>
    <cellStyle name="Normal 33 2 2" xfId="22016"/>
    <cellStyle name="Normal 33 2 2 10" xfId="22017"/>
    <cellStyle name="Normal 33 2 2 10 2" xfId="22018"/>
    <cellStyle name="Normal 33 2 2 10 2 2" xfId="22019"/>
    <cellStyle name="Normal 33 2 2 10 2 2 2" xfId="22020"/>
    <cellStyle name="Normal 33 2 2 10 2 2 2 2" xfId="22021"/>
    <cellStyle name="Normal 33 2 2 10 2 2 3" xfId="22022"/>
    <cellStyle name="Normal 33 2 2 10 2 3" xfId="22023"/>
    <cellStyle name="Normal 33 2 2 10 2 3 2" xfId="22024"/>
    <cellStyle name="Normal 33 2 2 10 2 4" xfId="22025"/>
    <cellStyle name="Normal 33 2 2 10 3" xfId="22026"/>
    <cellStyle name="Normal 33 2 2 10 3 2" xfId="22027"/>
    <cellStyle name="Normal 33 2 2 10 3 2 2" xfId="22028"/>
    <cellStyle name="Normal 33 2 2 10 3 2 2 2" xfId="22029"/>
    <cellStyle name="Normal 33 2 2 10 3 2 3" xfId="22030"/>
    <cellStyle name="Normal 33 2 2 10 3 3" xfId="22031"/>
    <cellStyle name="Normal 33 2 2 10 3 3 2" xfId="22032"/>
    <cellStyle name="Normal 33 2 2 10 3 4" xfId="22033"/>
    <cellStyle name="Normal 33 2 2 10 4" xfId="22034"/>
    <cellStyle name="Normal 33 2 2 10 4 2" xfId="22035"/>
    <cellStyle name="Normal 33 2 2 10 4 2 2" xfId="22036"/>
    <cellStyle name="Normal 33 2 2 10 4 3" xfId="22037"/>
    <cellStyle name="Normal 33 2 2 10 5" xfId="22038"/>
    <cellStyle name="Normal 33 2 2 10 5 2" xfId="22039"/>
    <cellStyle name="Normal 33 2 2 10 6" xfId="22040"/>
    <cellStyle name="Normal 33 2 2 11" xfId="22041"/>
    <cellStyle name="Normal 33 2 2 11 2" xfId="22042"/>
    <cellStyle name="Normal 33 2 2 11 2 2" xfId="22043"/>
    <cellStyle name="Normal 33 2 2 11 2 2 2" xfId="22044"/>
    <cellStyle name="Normal 33 2 2 11 2 2 2 2" xfId="22045"/>
    <cellStyle name="Normal 33 2 2 11 2 2 3" xfId="22046"/>
    <cellStyle name="Normal 33 2 2 11 2 3" xfId="22047"/>
    <cellStyle name="Normal 33 2 2 11 2 3 2" xfId="22048"/>
    <cellStyle name="Normal 33 2 2 11 2 4" xfId="22049"/>
    <cellStyle name="Normal 33 2 2 11 3" xfId="22050"/>
    <cellStyle name="Normal 33 2 2 11 3 2" xfId="22051"/>
    <cellStyle name="Normal 33 2 2 11 3 2 2" xfId="22052"/>
    <cellStyle name="Normal 33 2 2 11 3 2 2 2" xfId="22053"/>
    <cellStyle name="Normal 33 2 2 11 3 2 3" xfId="22054"/>
    <cellStyle name="Normal 33 2 2 11 3 3" xfId="22055"/>
    <cellStyle name="Normal 33 2 2 11 3 3 2" xfId="22056"/>
    <cellStyle name="Normal 33 2 2 11 3 4" xfId="22057"/>
    <cellStyle name="Normal 33 2 2 11 4" xfId="22058"/>
    <cellStyle name="Normal 33 2 2 11 4 2" xfId="22059"/>
    <cellStyle name="Normal 33 2 2 11 4 2 2" xfId="22060"/>
    <cellStyle name="Normal 33 2 2 11 4 3" xfId="22061"/>
    <cellStyle name="Normal 33 2 2 11 5" xfId="22062"/>
    <cellStyle name="Normal 33 2 2 11 5 2" xfId="22063"/>
    <cellStyle name="Normal 33 2 2 11 6" xfId="22064"/>
    <cellStyle name="Normal 33 2 2 12" xfId="22065"/>
    <cellStyle name="Normal 33 2 2 12 2" xfId="22066"/>
    <cellStyle name="Normal 33 2 2 12 2 2" xfId="22067"/>
    <cellStyle name="Normal 33 2 2 12 2 2 2" xfId="22068"/>
    <cellStyle name="Normal 33 2 2 12 2 2 2 2" xfId="22069"/>
    <cellStyle name="Normal 33 2 2 12 2 2 3" xfId="22070"/>
    <cellStyle name="Normal 33 2 2 12 2 3" xfId="22071"/>
    <cellStyle name="Normal 33 2 2 12 2 3 2" xfId="22072"/>
    <cellStyle name="Normal 33 2 2 12 2 4" xfId="22073"/>
    <cellStyle name="Normal 33 2 2 12 3" xfId="22074"/>
    <cellStyle name="Normal 33 2 2 12 3 2" xfId="22075"/>
    <cellStyle name="Normal 33 2 2 12 3 2 2" xfId="22076"/>
    <cellStyle name="Normal 33 2 2 12 3 2 2 2" xfId="22077"/>
    <cellStyle name="Normal 33 2 2 12 3 2 3" xfId="22078"/>
    <cellStyle name="Normal 33 2 2 12 3 3" xfId="22079"/>
    <cellStyle name="Normal 33 2 2 12 3 3 2" xfId="22080"/>
    <cellStyle name="Normal 33 2 2 12 3 4" xfId="22081"/>
    <cellStyle name="Normal 33 2 2 12 4" xfId="22082"/>
    <cellStyle name="Normal 33 2 2 12 4 2" xfId="22083"/>
    <cellStyle name="Normal 33 2 2 12 4 2 2" xfId="22084"/>
    <cellStyle name="Normal 33 2 2 12 4 3" xfId="22085"/>
    <cellStyle name="Normal 33 2 2 12 5" xfId="22086"/>
    <cellStyle name="Normal 33 2 2 12 5 2" xfId="22087"/>
    <cellStyle name="Normal 33 2 2 12 6" xfId="22088"/>
    <cellStyle name="Normal 33 2 2 13" xfId="22089"/>
    <cellStyle name="Normal 33 2 2 13 2" xfId="22090"/>
    <cellStyle name="Normal 33 2 2 13 2 2" xfId="22091"/>
    <cellStyle name="Normal 33 2 2 13 2 2 2" xfId="22092"/>
    <cellStyle name="Normal 33 2 2 13 2 2 2 2" xfId="22093"/>
    <cellStyle name="Normal 33 2 2 13 2 2 3" xfId="22094"/>
    <cellStyle name="Normal 33 2 2 13 2 3" xfId="22095"/>
    <cellStyle name="Normal 33 2 2 13 2 3 2" xfId="22096"/>
    <cellStyle name="Normal 33 2 2 13 2 4" xfId="22097"/>
    <cellStyle name="Normal 33 2 2 13 3" xfId="22098"/>
    <cellStyle name="Normal 33 2 2 13 3 2" xfId="22099"/>
    <cellStyle name="Normal 33 2 2 13 3 2 2" xfId="22100"/>
    <cellStyle name="Normal 33 2 2 13 3 2 2 2" xfId="22101"/>
    <cellStyle name="Normal 33 2 2 13 3 2 3" xfId="22102"/>
    <cellStyle name="Normal 33 2 2 13 3 3" xfId="22103"/>
    <cellStyle name="Normal 33 2 2 13 3 3 2" xfId="22104"/>
    <cellStyle name="Normal 33 2 2 13 3 4" xfId="22105"/>
    <cellStyle name="Normal 33 2 2 13 4" xfId="22106"/>
    <cellStyle name="Normal 33 2 2 13 4 2" xfId="22107"/>
    <cellStyle name="Normal 33 2 2 13 4 2 2" xfId="22108"/>
    <cellStyle name="Normal 33 2 2 13 4 3" xfId="22109"/>
    <cellStyle name="Normal 33 2 2 13 5" xfId="22110"/>
    <cellStyle name="Normal 33 2 2 13 5 2" xfId="22111"/>
    <cellStyle name="Normal 33 2 2 13 6" xfId="22112"/>
    <cellStyle name="Normal 33 2 2 14" xfId="22113"/>
    <cellStyle name="Normal 33 2 2 14 2" xfId="22114"/>
    <cellStyle name="Normal 33 2 2 14 2 2" xfId="22115"/>
    <cellStyle name="Normal 33 2 2 14 2 2 2" xfId="22116"/>
    <cellStyle name="Normal 33 2 2 14 2 3" xfId="22117"/>
    <cellStyle name="Normal 33 2 2 14 3" xfId="22118"/>
    <cellStyle name="Normal 33 2 2 14 3 2" xfId="22119"/>
    <cellStyle name="Normal 33 2 2 14 4" xfId="22120"/>
    <cellStyle name="Normal 33 2 2 15" xfId="22121"/>
    <cellStyle name="Normal 33 2 2 15 2" xfId="22122"/>
    <cellStyle name="Normal 33 2 2 15 2 2" xfId="22123"/>
    <cellStyle name="Normal 33 2 2 15 2 2 2" xfId="22124"/>
    <cellStyle name="Normal 33 2 2 15 2 3" xfId="22125"/>
    <cellStyle name="Normal 33 2 2 15 3" xfId="22126"/>
    <cellStyle name="Normal 33 2 2 15 3 2" xfId="22127"/>
    <cellStyle name="Normal 33 2 2 15 4" xfId="22128"/>
    <cellStyle name="Normal 33 2 2 16" xfId="22129"/>
    <cellStyle name="Normal 33 2 2 16 2" xfId="22130"/>
    <cellStyle name="Normal 33 2 2 16 2 2" xfId="22131"/>
    <cellStyle name="Normal 33 2 2 16 3" xfId="22132"/>
    <cellStyle name="Normal 33 2 2 17" xfId="22133"/>
    <cellStyle name="Normal 33 2 2 17 2" xfId="22134"/>
    <cellStyle name="Normal 33 2 2 18" xfId="22135"/>
    <cellStyle name="Normal 33 2 2 2" xfId="22136"/>
    <cellStyle name="Normal 33 2 2 2 2" xfId="22137"/>
    <cellStyle name="Normal 33 2 2 2 2 2" xfId="22138"/>
    <cellStyle name="Normal 33 2 2 2 2 2 2" xfId="22139"/>
    <cellStyle name="Normal 33 2 2 2 2 2 2 2" xfId="22140"/>
    <cellStyle name="Normal 33 2 2 2 2 2 3" xfId="22141"/>
    <cellStyle name="Normal 33 2 2 2 2 3" xfId="22142"/>
    <cellStyle name="Normal 33 2 2 2 2 3 2" xfId="22143"/>
    <cellStyle name="Normal 33 2 2 2 2 4" xfId="22144"/>
    <cellStyle name="Normal 33 2 2 2 3" xfId="22145"/>
    <cellStyle name="Normal 33 2 2 2 3 2" xfId="22146"/>
    <cellStyle name="Normal 33 2 2 2 3 2 2" xfId="22147"/>
    <cellStyle name="Normal 33 2 2 2 3 2 2 2" xfId="22148"/>
    <cellStyle name="Normal 33 2 2 2 3 2 3" xfId="22149"/>
    <cellStyle name="Normal 33 2 2 2 3 3" xfId="22150"/>
    <cellStyle name="Normal 33 2 2 2 3 3 2" xfId="22151"/>
    <cellStyle name="Normal 33 2 2 2 3 4" xfId="22152"/>
    <cellStyle name="Normal 33 2 2 2 4" xfId="22153"/>
    <cellStyle name="Normal 33 2 2 2 4 2" xfId="22154"/>
    <cellStyle name="Normal 33 2 2 2 4 2 2" xfId="22155"/>
    <cellStyle name="Normal 33 2 2 2 4 3" xfId="22156"/>
    <cellStyle name="Normal 33 2 2 2 5" xfId="22157"/>
    <cellStyle name="Normal 33 2 2 2 5 2" xfId="22158"/>
    <cellStyle name="Normal 33 2 2 2 6" xfId="22159"/>
    <cellStyle name="Normal 33 2 2 3" xfId="22160"/>
    <cellStyle name="Normal 33 2 2 3 2" xfId="22161"/>
    <cellStyle name="Normal 33 2 2 3 2 2" xfId="22162"/>
    <cellStyle name="Normal 33 2 2 3 2 2 2" xfId="22163"/>
    <cellStyle name="Normal 33 2 2 3 2 2 2 2" xfId="22164"/>
    <cellStyle name="Normal 33 2 2 3 2 2 3" xfId="22165"/>
    <cellStyle name="Normal 33 2 2 3 2 3" xfId="22166"/>
    <cellStyle name="Normal 33 2 2 3 2 3 2" xfId="22167"/>
    <cellStyle name="Normal 33 2 2 3 2 4" xfId="22168"/>
    <cellStyle name="Normal 33 2 2 3 3" xfId="22169"/>
    <cellStyle name="Normal 33 2 2 3 3 2" xfId="22170"/>
    <cellStyle name="Normal 33 2 2 3 3 2 2" xfId="22171"/>
    <cellStyle name="Normal 33 2 2 3 3 2 2 2" xfId="22172"/>
    <cellStyle name="Normal 33 2 2 3 3 2 3" xfId="22173"/>
    <cellStyle name="Normal 33 2 2 3 3 3" xfId="22174"/>
    <cellStyle name="Normal 33 2 2 3 3 3 2" xfId="22175"/>
    <cellStyle name="Normal 33 2 2 3 3 4" xfId="22176"/>
    <cellStyle name="Normal 33 2 2 3 4" xfId="22177"/>
    <cellStyle name="Normal 33 2 2 3 4 2" xfId="22178"/>
    <cellStyle name="Normal 33 2 2 3 4 2 2" xfId="22179"/>
    <cellStyle name="Normal 33 2 2 3 4 3" xfId="22180"/>
    <cellStyle name="Normal 33 2 2 3 5" xfId="22181"/>
    <cellStyle name="Normal 33 2 2 3 5 2" xfId="22182"/>
    <cellStyle name="Normal 33 2 2 3 6" xfId="22183"/>
    <cellStyle name="Normal 33 2 2 4" xfId="22184"/>
    <cellStyle name="Normal 33 2 2 4 2" xfId="22185"/>
    <cellStyle name="Normal 33 2 2 4 2 2" xfId="22186"/>
    <cellStyle name="Normal 33 2 2 4 2 2 2" xfId="22187"/>
    <cellStyle name="Normal 33 2 2 4 2 2 2 2" xfId="22188"/>
    <cellStyle name="Normal 33 2 2 4 2 2 3" xfId="22189"/>
    <cellStyle name="Normal 33 2 2 4 2 3" xfId="22190"/>
    <cellStyle name="Normal 33 2 2 4 2 3 2" xfId="22191"/>
    <cellStyle name="Normal 33 2 2 4 2 4" xfId="22192"/>
    <cellStyle name="Normal 33 2 2 4 3" xfId="22193"/>
    <cellStyle name="Normal 33 2 2 4 3 2" xfId="22194"/>
    <cellStyle name="Normal 33 2 2 4 3 2 2" xfId="22195"/>
    <cellStyle name="Normal 33 2 2 4 3 2 2 2" xfId="22196"/>
    <cellStyle name="Normal 33 2 2 4 3 2 3" xfId="22197"/>
    <cellStyle name="Normal 33 2 2 4 3 3" xfId="22198"/>
    <cellStyle name="Normal 33 2 2 4 3 3 2" xfId="22199"/>
    <cellStyle name="Normal 33 2 2 4 3 4" xfId="22200"/>
    <cellStyle name="Normal 33 2 2 4 4" xfId="22201"/>
    <cellStyle name="Normal 33 2 2 4 4 2" xfId="22202"/>
    <cellStyle name="Normal 33 2 2 4 4 2 2" xfId="22203"/>
    <cellStyle name="Normal 33 2 2 4 4 3" xfId="22204"/>
    <cellStyle name="Normal 33 2 2 4 5" xfId="22205"/>
    <cellStyle name="Normal 33 2 2 4 5 2" xfId="22206"/>
    <cellStyle name="Normal 33 2 2 4 6" xfId="22207"/>
    <cellStyle name="Normal 33 2 2 5" xfId="22208"/>
    <cellStyle name="Normal 33 2 2 5 2" xfId="22209"/>
    <cellStyle name="Normal 33 2 2 5 2 2" xfId="22210"/>
    <cellStyle name="Normal 33 2 2 5 2 2 2" xfId="22211"/>
    <cellStyle name="Normal 33 2 2 5 2 2 2 2" xfId="22212"/>
    <cellStyle name="Normal 33 2 2 5 2 2 3" xfId="22213"/>
    <cellStyle name="Normal 33 2 2 5 2 3" xfId="22214"/>
    <cellStyle name="Normal 33 2 2 5 2 3 2" xfId="22215"/>
    <cellStyle name="Normal 33 2 2 5 2 4" xfId="22216"/>
    <cellStyle name="Normal 33 2 2 5 3" xfId="22217"/>
    <cellStyle name="Normal 33 2 2 5 3 2" xfId="22218"/>
    <cellStyle name="Normal 33 2 2 5 3 2 2" xfId="22219"/>
    <cellStyle name="Normal 33 2 2 5 3 2 2 2" xfId="22220"/>
    <cellStyle name="Normal 33 2 2 5 3 2 3" xfId="22221"/>
    <cellStyle name="Normal 33 2 2 5 3 3" xfId="22222"/>
    <cellStyle name="Normal 33 2 2 5 3 3 2" xfId="22223"/>
    <cellStyle name="Normal 33 2 2 5 3 4" xfId="22224"/>
    <cellStyle name="Normal 33 2 2 5 4" xfId="22225"/>
    <cellStyle name="Normal 33 2 2 5 4 2" xfId="22226"/>
    <cellStyle name="Normal 33 2 2 5 4 2 2" xfId="22227"/>
    <cellStyle name="Normal 33 2 2 5 4 3" xfId="22228"/>
    <cellStyle name="Normal 33 2 2 5 5" xfId="22229"/>
    <cellStyle name="Normal 33 2 2 5 5 2" xfId="22230"/>
    <cellStyle name="Normal 33 2 2 5 6" xfId="22231"/>
    <cellStyle name="Normal 33 2 2 6" xfId="22232"/>
    <cellStyle name="Normal 33 2 2 6 2" xfId="22233"/>
    <cellStyle name="Normal 33 2 2 6 2 2" xfId="22234"/>
    <cellStyle name="Normal 33 2 2 6 2 2 2" xfId="22235"/>
    <cellStyle name="Normal 33 2 2 6 2 2 2 2" xfId="22236"/>
    <cellStyle name="Normal 33 2 2 6 2 2 3" xfId="22237"/>
    <cellStyle name="Normal 33 2 2 6 2 3" xfId="22238"/>
    <cellStyle name="Normal 33 2 2 6 2 3 2" xfId="22239"/>
    <cellStyle name="Normal 33 2 2 6 2 4" xfId="22240"/>
    <cellStyle name="Normal 33 2 2 6 3" xfId="22241"/>
    <cellStyle name="Normal 33 2 2 6 3 2" xfId="22242"/>
    <cellStyle name="Normal 33 2 2 6 3 2 2" xfId="22243"/>
    <cellStyle name="Normal 33 2 2 6 3 2 2 2" xfId="22244"/>
    <cellStyle name="Normal 33 2 2 6 3 2 3" xfId="22245"/>
    <cellStyle name="Normal 33 2 2 6 3 3" xfId="22246"/>
    <cellStyle name="Normal 33 2 2 6 3 3 2" xfId="22247"/>
    <cellStyle name="Normal 33 2 2 6 3 4" xfId="22248"/>
    <cellStyle name="Normal 33 2 2 6 4" xfId="22249"/>
    <cellStyle name="Normal 33 2 2 6 4 2" xfId="22250"/>
    <cellStyle name="Normal 33 2 2 6 4 2 2" xfId="22251"/>
    <cellStyle name="Normal 33 2 2 6 4 3" xfId="22252"/>
    <cellStyle name="Normal 33 2 2 6 5" xfId="22253"/>
    <cellStyle name="Normal 33 2 2 6 5 2" xfId="22254"/>
    <cellStyle name="Normal 33 2 2 6 6" xfId="22255"/>
    <cellStyle name="Normal 33 2 2 7" xfId="22256"/>
    <cellStyle name="Normal 33 2 2 7 2" xfId="22257"/>
    <cellStyle name="Normal 33 2 2 7 2 2" xfId="22258"/>
    <cellStyle name="Normal 33 2 2 7 2 2 2" xfId="22259"/>
    <cellStyle name="Normal 33 2 2 7 2 2 2 2" xfId="22260"/>
    <cellStyle name="Normal 33 2 2 7 2 2 3" xfId="22261"/>
    <cellStyle name="Normal 33 2 2 7 2 3" xfId="22262"/>
    <cellStyle name="Normal 33 2 2 7 2 3 2" xfId="22263"/>
    <cellStyle name="Normal 33 2 2 7 2 4" xfId="22264"/>
    <cellStyle name="Normal 33 2 2 7 3" xfId="22265"/>
    <cellStyle name="Normal 33 2 2 7 3 2" xfId="22266"/>
    <cellStyle name="Normal 33 2 2 7 3 2 2" xfId="22267"/>
    <cellStyle name="Normal 33 2 2 7 3 2 2 2" xfId="22268"/>
    <cellStyle name="Normal 33 2 2 7 3 2 3" xfId="22269"/>
    <cellStyle name="Normal 33 2 2 7 3 3" xfId="22270"/>
    <cellStyle name="Normal 33 2 2 7 3 3 2" xfId="22271"/>
    <cellStyle name="Normal 33 2 2 7 3 4" xfId="22272"/>
    <cellStyle name="Normal 33 2 2 7 4" xfId="22273"/>
    <cellStyle name="Normal 33 2 2 7 4 2" xfId="22274"/>
    <cellStyle name="Normal 33 2 2 7 4 2 2" xfId="22275"/>
    <cellStyle name="Normal 33 2 2 7 4 3" xfId="22276"/>
    <cellStyle name="Normal 33 2 2 7 5" xfId="22277"/>
    <cellStyle name="Normal 33 2 2 7 5 2" xfId="22278"/>
    <cellStyle name="Normal 33 2 2 7 6" xfId="22279"/>
    <cellStyle name="Normal 33 2 2 8" xfId="22280"/>
    <cellStyle name="Normal 33 2 2 8 2" xfId="22281"/>
    <cellStyle name="Normal 33 2 2 8 2 2" xfId="22282"/>
    <cellStyle name="Normal 33 2 2 8 2 2 2" xfId="22283"/>
    <cellStyle name="Normal 33 2 2 8 2 2 2 2" xfId="22284"/>
    <cellStyle name="Normal 33 2 2 8 2 2 3" xfId="22285"/>
    <cellStyle name="Normal 33 2 2 8 2 3" xfId="22286"/>
    <cellStyle name="Normal 33 2 2 8 2 3 2" xfId="22287"/>
    <cellStyle name="Normal 33 2 2 8 2 4" xfId="22288"/>
    <cellStyle name="Normal 33 2 2 8 3" xfId="22289"/>
    <cellStyle name="Normal 33 2 2 8 3 2" xfId="22290"/>
    <cellStyle name="Normal 33 2 2 8 3 2 2" xfId="22291"/>
    <cellStyle name="Normal 33 2 2 8 3 2 2 2" xfId="22292"/>
    <cellStyle name="Normal 33 2 2 8 3 2 3" xfId="22293"/>
    <cellStyle name="Normal 33 2 2 8 3 3" xfId="22294"/>
    <cellStyle name="Normal 33 2 2 8 3 3 2" xfId="22295"/>
    <cellStyle name="Normal 33 2 2 8 3 4" xfId="22296"/>
    <cellStyle name="Normal 33 2 2 8 4" xfId="22297"/>
    <cellStyle name="Normal 33 2 2 8 4 2" xfId="22298"/>
    <cellStyle name="Normal 33 2 2 8 4 2 2" xfId="22299"/>
    <cellStyle name="Normal 33 2 2 8 4 3" xfId="22300"/>
    <cellStyle name="Normal 33 2 2 8 5" xfId="22301"/>
    <cellStyle name="Normal 33 2 2 8 5 2" xfId="22302"/>
    <cellStyle name="Normal 33 2 2 8 6" xfId="22303"/>
    <cellStyle name="Normal 33 2 2 9" xfId="22304"/>
    <cellStyle name="Normal 33 2 2 9 2" xfId="22305"/>
    <cellStyle name="Normal 33 2 2 9 2 2" xfId="22306"/>
    <cellStyle name="Normal 33 2 2 9 2 2 2" xfId="22307"/>
    <cellStyle name="Normal 33 2 2 9 2 2 2 2" xfId="22308"/>
    <cellStyle name="Normal 33 2 2 9 2 2 3" xfId="22309"/>
    <cellStyle name="Normal 33 2 2 9 2 3" xfId="22310"/>
    <cellStyle name="Normal 33 2 2 9 2 3 2" xfId="22311"/>
    <cellStyle name="Normal 33 2 2 9 2 4" xfId="22312"/>
    <cellStyle name="Normal 33 2 2 9 3" xfId="22313"/>
    <cellStyle name="Normal 33 2 2 9 3 2" xfId="22314"/>
    <cellStyle name="Normal 33 2 2 9 3 2 2" xfId="22315"/>
    <cellStyle name="Normal 33 2 2 9 3 2 2 2" xfId="22316"/>
    <cellStyle name="Normal 33 2 2 9 3 2 3" xfId="22317"/>
    <cellStyle name="Normal 33 2 2 9 3 3" xfId="22318"/>
    <cellStyle name="Normal 33 2 2 9 3 3 2" xfId="22319"/>
    <cellStyle name="Normal 33 2 2 9 3 4" xfId="22320"/>
    <cellStyle name="Normal 33 2 2 9 4" xfId="22321"/>
    <cellStyle name="Normal 33 2 2 9 4 2" xfId="22322"/>
    <cellStyle name="Normal 33 2 2 9 4 2 2" xfId="22323"/>
    <cellStyle name="Normal 33 2 2 9 4 3" xfId="22324"/>
    <cellStyle name="Normal 33 2 2 9 5" xfId="22325"/>
    <cellStyle name="Normal 33 2 2 9 5 2" xfId="22326"/>
    <cellStyle name="Normal 33 2 2 9 6" xfId="22327"/>
    <cellStyle name="Normal 33 2 20" xfId="22328"/>
    <cellStyle name="Normal 33 2 20 2" xfId="22329"/>
    <cellStyle name="Normal 33 2 20 2 2" xfId="22330"/>
    <cellStyle name="Normal 33 2 20 2 2 2" xfId="22331"/>
    <cellStyle name="Normal 33 2 20 2 2 2 2" xfId="22332"/>
    <cellStyle name="Normal 33 2 20 2 2 3" xfId="22333"/>
    <cellStyle name="Normal 33 2 20 2 3" xfId="22334"/>
    <cellStyle name="Normal 33 2 20 2 3 2" xfId="22335"/>
    <cellStyle name="Normal 33 2 20 2 4" xfId="22336"/>
    <cellStyle name="Normal 33 2 20 3" xfId="22337"/>
    <cellStyle name="Normal 33 2 20 3 2" xfId="22338"/>
    <cellStyle name="Normal 33 2 20 3 2 2" xfId="22339"/>
    <cellStyle name="Normal 33 2 20 3 2 2 2" xfId="22340"/>
    <cellStyle name="Normal 33 2 20 3 2 3" xfId="22341"/>
    <cellStyle name="Normal 33 2 20 3 3" xfId="22342"/>
    <cellStyle name="Normal 33 2 20 3 3 2" xfId="22343"/>
    <cellStyle name="Normal 33 2 20 3 4" xfId="22344"/>
    <cellStyle name="Normal 33 2 20 4" xfId="22345"/>
    <cellStyle name="Normal 33 2 20 4 2" xfId="22346"/>
    <cellStyle name="Normal 33 2 20 4 2 2" xfId="22347"/>
    <cellStyle name="Normal 33 2 20 4 3" xfId="22348"/>
    <cellStyle name="Normal 33 2 20 5" xfId="22349"/>
    <cellStyle name="Normal 33 2 20 5 2" xfId="22350"/>
    <cellStyle name="Normal 33 2 20 6" xfId="22351"/>
    <cellStyle name="Normal 33 2 21" xfId="22352"/>
    <cellStyle name="Normal 33 2 21 2" xfId="22353"/>
    <cellStyle name="Normal 33 2 21 2 2" xfId="22354"/>
    <cellStyle name="Normal 33 2 21 2 2 2" xfId="22355"/>
    <cellStyle name="Normal 33 2 21 2 2 2 2" xfId="22356"/>
    <cellStyle name="Normal 33 2 21 2 2 3" xfId="22357"/>
    <cellStyle name="Normal 33 2 21 2 3" xfId="22358"/>
    <cellStyle name="Normal 33 2 21 2 3 2" xfId="22359"/>
    <cellStyle name="Normal 33 2 21 2 4" xfId="22360"/>
    <cellStyle name="Normal 33 2 21 3" xfId="22361"/>
    <cellStyle name="Normal 33 2 21 3 2" xfId="22362"/>
    <cellStyle name="Normal 33 2 21 3 2 2" xfId="22363"/>
    <cellStyle name="Normal 33 2 21 3 2 2 2" xfId="22364"/>
    <cellStyle name="Normal 33 2 21 3 2 3" xfId="22365"/>
    <cellStyle name="Normal 33 2 21 3 3" xfId="22366"/>
    <cellStyle name="Normal 33 2 21 3 3 2" xfId="22367"/>
    <cellStyle name="Normal 33 2 21 3 4" xfId="22368"/>
    <cellStyle name="Normal 33 2 21 4" xfId="22369"/>
    <cellStyle name="Normal 33 2 21 4 2" xfId="22370"/>
    <cellStyle name="Normal 33 2 21 4 2 2" xfId="22371"/>
    <cellStyle name="Normal 33 2 21 4 3" xfId="22372"/>
    <cellStyle name="Normal 33 2 21 5" xfId="22373"/>
    <cellStyle name="Normal 33 2 21 5 2" xfId="22374"/>
    <cellStyle name="Normal 33 2 21 6" xfId="22375"/>
    <cellStyle name="Normal 33 2 22" xfId="22376"/>
    <cellStyle name="Normal 33 2 22 2" xfId="22377"/>
    <cellStyle name="Normal 33 2 22 2 2" xfId="22378"/>
    <cellStyle name="Normal 33 2 22 2 2 2" xfId="22379"/>
    <cellStyle name="Normal 33 2 22 2 2 2 2" xfId="22380"/>
    <cellStyle name="Normal 33 2 22 2 2 3" xfId="22381"/>
    <cellStyle name="Normal 33 2 22 2 3" xfId="22382"/>
    <cellStyle name="Normal 33 2 22 2 3 2" xfId="22383"/>
    <cellStyle name="Normal 33 2 22 2 4" xfId="22384"/>
    <cellStyle name="Normal 33 2 22 3" xfId="22385"/>
    <cellStyle name="Normal 33 2 22 3 2" xfId="22386"/>
    <cellStyle name="Normal 33 2 22 3 2 2" xfId="22387"/>
    <cellStyle name="Normal 33 2 22 3 2 2 2" xfId="22388"/>
    <cellStyle name="Normal 33 2 22 3 2 3" xfId="22389"/>
    <cellStyle name="Normal 33 2 22 3 3" xfId="22390"/>
    <cellStyle name="Normal 33 2 22 3 3 2" xfId="22391"/>
    <cellStyle name="Normal 33 2 22 3 4" xfId="22392"/>
    <cellStyle name="Normal 33 2 22 4" xfId="22393"/>
    <cellStyle name="Normal 33 2 22 4 2" xfId="22394"/>
    <cellStyle name="Normal 33 2 22 4 2 2" xfId="22395"/>
    <cellStyle name="Normal 33 2 22 4 3" xfId="22396"/>
    <cellStyle name="Normal 33 2 22 5" xfId="22397"/>
    <cellStyle name="Normal 33 2 22 5 2" xfId="22398"/>
    <cellStyle name="Normal 33 2 22 6" xfId="22399"/>
    <cellStyle name="Normal 33 2 23" xfId="22400"/>
    <cellStyle name="Normal 33 2 23 2" xfId="22401"/>
    <cellStyle name="Normal 33 2 23 2 2" xfId="22402"/>
    <cellStyle name="Normal 33 2 23 2 2 2" xfId="22403"/>
    <cellStyle name="Normal 33 2 23 2 2 2 2" xfId="22404"/>
    <cellStyle name="Normal 33 2 23 2 2 3" xfId="22405"/>
    <cellStyle name="Normal 33 2 23 2 3" xfId="22406"/>
    <cellStyle name="Normal 33 2 23 2 3 2" xfId="22407"/>
    <cellStyle name="Normal 33 2 23 2 4" xfId="22408"/>
    <cellStyle name="Normal 33 2 23 3" xfId="22409"/>
    <cellStyle name="Normal 33 2 23 3 2" xfId="22410"/>
    <cellStyle name="Normal 33 2 23 3 2 2" xfId="22411"/>
    <cellStyle name="Normal 33 2 23 3 2 2 2" xfId="22412"/>
    <cellStyle name="Normal 33 2 23 3 2 3" xfId="22413"/>
    <cellStyle name="Normal 33 2 23 3 3" xfId="22414"/>
    <cellStyle name="Normal 33 2 23 3 3 2" xfId="22415"/>
    <cellStyle name="Normal 33 2 23 3 4" xfId="22416"/>
    <cellStyle name="Normal 33 2 23 4" xfId="22417"/>
    <cellStyle name="Normal 33 2 23 4 2" xfId="22418"/>
    <cellStyle name="Normal 33 2 23 4 2 2" xfId="22419"/>
    <cellStyle name="Normal 33 2 23 4 3" xfId="22420"/>
    <cellStyle name="Normal 33 2 23 5" xfId="22421"/>
    <cellStyle name="Normal 33 2 23 5 2" xfId="22422"/>
    <cellStyle name="Normal 33 2 23 6" xfId="22423"/>
    <cellStyle name="Normal 33 2 24" xfId="22424"/>
    <cellStyle name="Normal 33 2 24 2" xfId="22425"/>
    <cellStyle name="Normal 33 2 24 2 2" xfId="22426"/>
    <cellStyle name="Normal 33 2 24 2 2 2" xfId="22427"/>
    <cellStyle name="Normal 33 2 24 2 2 2 2" xfId="22428"/>
    <cellStyle name="Normal 33 2 24 2 2 3" xfId="22429"/>
    <cellStyle name="Normal 33 2 24 2 3" xfId="22430"/>
    <cellStyle name="Normal 33 2 24 2 3 2" xfId="22431"/>
    <cellStyle name="Normal 33 2 24 2 4" xfId="22432"/>
    <cellStyle name="Normal 33 2 24 3" xfId="22433"/>
    <cellStyle name="Normal 33 2 24 3 2" xfId="22434"/>
    <cellStyle name="Normal 33 2 24 3 2 2" xfId="22435"/>
    <cellStyle name="Normal 33 2 24 3 2 2 2" xfId="22436"/>
    <cellStyle name="Normal 33 2 24 3 2 3" xfId="22437"/>
    <cellStyle name="Normal 33 2 24 3 3" xfId="22438"/>
    <cellStyle name="Normal 33 2 24 3 3 2" xfId="22439"/>
    <cellStyle name="Normal 33 2 24 3 4" xfId="22440"/>
    <cellStyle name="Normal 33 2 24 4" xfId="22441"/>
    <cellStyle name="Normal 33 2 24 4 2" xfId="22442"/>
    <cellStyle name="Normal 33 2 24 4 2 2" xfId="22443"/>
    <cellStyle name="Normal 33 2 24 4 3" xfId="22444"/>
    <cellStyle name="Normal 33 2 24 5" xfId="22445"/>
    <cellStyle name="Normal 33 2 24 5 2" xfId="22446"/>
    <cellStyle name="Normal 33 2 24 6" xfId="22447"/>
    <cellStyle name="Normal 33 2 25" xfId="22448"/>
    <cellStyle name="Normal 33 2 25 2" xfId="22449"/>
    <cellStyle name="Normal 33 2 25 2 2" xfId="22450"/>
    <cellStyle name="Normal 33 2 25 2 2 2" xfId="22451"/>
    <cellStyle name="Normal 33 2 25 2 2 2 2" xfId="22452"/>
    <cellStyle name="Normal 33 2 25 2 2 3" xfId="22453"/>
    <cellStyle name="Normal 33 2 25 2 3" xfId="22454"/>
    <cellStyle name="Normal 33 2 25 2 3 2" xfId="22455"/>
    <cellStyle name="Normal 33 2 25 2 4" xfId="22456"/>
    <cellStyle name="Normal 33 2 25 3" xfId="22457"/>
    <cellStyle name="Normal 33 2 25 3 2" xfId="22458"/>
    <cellStyle name="Normal 33 2 25 3 2 2" xfId="22459"/>
    <cellStyle name="Normal 33 2 25 3 2 2 2" xfId="22460"/>
    <cellStyle name="Normal 33 2 25 3 2 3" xfId="22461"/>
    <cellStyle name="Normal 33 2 25 3 3" xfId="22462"/>
    <cellStyle name="Normal 33 2 25 3 3 2" xfId="22463"/>
    <cellStyle name="Normal 33 2 25 3 4" xfId="22464"/>
    <cellStyle name="Normal 33 2 25 4" xfId="22465"/>
    <cellStyle name="Normal 33 2 25 4 2" xfId="22466"/>
    <cellStyle name="Normal 33 2 25 4 2 2" xfId="22467"/>
    <cellStyle name="Normal 33 2 25 4 3" xfId="22468"/>
    <cellStyle name="Normal 33 2 25 5" xfId="22469"/>
    <cellStyle name="Normal 33 2 25 5 2" xfId="22470"/>
    <cellStyle name="Normal 33 2 25 6" xfId="22471"/>
    <cellStyle name="Normal 33 2 26" xfId="22472"/>
    <cellStyle name="Normal 33 2 26 2" xfId="22473"/>
    <cellStyle name="Normal 33 2 26 2 2" xfId="22474"/>
    <cellStyle name="Normal 33 2 26 2 2 2" xfId="22475"/>
    <cellStyle name="Normal 33 2 26 2 3" xfId="22476"/>
    <cellStyle name="Normal 33 2 26 3" xfId="22477"/>
    <cellStyle name="Normal 33 2 26 3 2" xfId="22478"/>
    <cellStyle name="Normal 33 2 26 4" xfId="22479"/>
    <cellStyle name="Normal 33 2 27" xfId="22480"/>
    <cellStyle name="Normal 33 2 27 2" xfId="22481"/>
    <cellStyle name="Normal 33 2 27 2 2" xfId="22482"/>
    <cellStyle name="Normal 33 2 27 2 2 2" xfId="22483"/>
    <cellStyle name="Normal 33 2 27 2 3" xfId="22484"/>
    <cellStyle name="Normal 33 2 27 3" xfId="22485"/>
    <cellStyle name="Normal 33 2 27 3 2" xfId="22486"/>
    <cellStyle name="Normal 33 2 27 4" xfId="22487"/>
    <cellStyle name="Normal 33 2 28" xfId="22488"/>
    <cellStyle name="Normal 33 2 28 2" xfId="22489"/>
    <cellStyle name="Normal 33 2 28 2 2" xfId="22490"/>
    <cellStyle name="Normal 33 2 28 3" xfId="22491"/>
    <cellStyle name="Normal 33 2 29" xfId="22492"/>
    <cellStyle name="Normal 33 2 29 2" xfId="22493"/>
    <cellStyle name="Normal 33 2 3" xfId="22494"/>
    <cellStyle name="Normal 33 2 3 10" xfId="22495"/>
    <cellStyle name="Normal 33 2 3 10 2" xfId="22496"/>
    <cellStyle name="Normal 33 2 3 10 2 2" xfId="22497"/>
    <cellStyle name="Normal 33 2 3 10 2 2 2" xfId="22498"/>
    <cellStyle name="Normal 33 2 3 10 2 2 2 2" xfId="22499"/>
    <cellStyle name="Normal 33 2 3 10 2 2 3" xfId="22500"/>
    <cellStyle name="Normal 33 2 3 10 2 3" xfId="22501"/>
    <cellStyle name="Normal 33 2 3 10 2 3 2" xfId="22502"/>
    <cellStyle name="Normal 33 2 3 10 2 4" xfId="22503"/>
    <cellStyle name="Normal 33 2 3 10 3" xfId="22504"/>
    <cellStyle name="Normal 33 2 3 10 3 2" xfId="22505"/>
    <cellStyle name="Normal 33 2 3 10 3 2 2" xfId="22506"/>
    <cellStyle name="Normal 33 2 3 10 3 2 2 2" xfId="22507"/>
    <cellStyle name="Normal 33 2 3 10 3 2 3" xfId="22508"/>
    <cellStyle name="Normal 33 2 3 10 3 3" xfId="22509"/>
    <cellStyle name="Normal 33 2 3 10 3 3 2" xfId="22510"/>
    <cellStyle name="Normal 33 2 3 10 3 4" xfId="22511"/>
    <cellStyle name="Normal 33 2 3 10 4" xfId="22512"/>
    <cellStyle name="Normal 33 2 3 10 4 2" xfId="22513"/>
    <cellStyle name="Normal 33 2 3 10 4 2 2" xfId="22514"/>
    <cellStyle name="Normal 33 2 3 10 4 3" xfId="22515"/>
    <cellStyle name="Normal 33 2 3 10 5" xfId="22516"/>
    <cellStyle name="Normal 33 2 3 10 5 2" xfId="22517"/>
    <cellStyle name="Normal 33 2 3 10 6" xfId="22518"/>
    <cellStyle name="Normal 33 2 3 11" xfId="22519"/>
    <cellStyle name="Normal 33 2 3 11 2" xfId="22520"/>
    <cellStyle name="Normal 33 2 3 11 2 2" xfId="22521"/>
    <cellStyle name="Normal 33 2 3 11 2 2 2" xfId="22522"/>
    <cellStyle name="Normal 33 2 3 11 2 2 2 2" xfId="22523"/>
    <cellStyle name="Normal 33 2 3 11 2 2 3" xfId="22524"/>
    <cellStyle name="Normal 33 2 3 11 2 3" xfId="22525"/>
    <cellStyle name="Normal 33 2 3 11 2 3 2" xfId="22526"/>
    <cellStyle name="Normal 33 2 3 11 2 4" xfId="22527"/>
    <cellStyle name="Normal 33 2 3 11 3" xfId="22528"/>
    <cellStyle name="Normal 33 2 3 11 3 2" xfId="22529"/>
    <cellStyle name="Normal 33 2 3 11 3 2 2" xfId="22530"/>
    <cellStyle name="Normal 33 2 3 11 3 2 2 2" xfId="22531"/>
    <cellStyle name="Normal 33 2 3 11 3 2 3" xfId="22532"/>
    <cellStyle name="Normal 33 2 3 11 3 3" xfId="22533"/>
    <cellStyle name="Normal 33 2 3 11 3 3 2" xfId="22534"/>
    <cellStyle name="Normal 33 2 3 11 3 4" xfId="22535"/>
    <cellStyle name="Normal 33 2 3 11 4" xfId="22536"/>
    <cellStyle name="Normal 33 2 3 11 4 2" xfId="22537"/>
    <cellStyle name="Normal 33 2 3 11 4 2 2" xfId="22538"/>
    <cellStyle name="Normal 33 2 3 11 4 3" xfId="22539"/>
    <cellStyle name="Normal 33 2 3 11 5" xfId="22540"/>
    <cellStyle name="Normal 33 2 3 11 5 2" xfId="22541"/>
    <cellStyle name="Normal 33 2 3 11 6" xfId="22542"/>
    <cellStyle name="Normal 33 2 3 12" xfId="22543"/>
    <cellStyle name="Normal 33 2 3 12 2" xfId="22544"/>
    <cellStyle name="Normal 33 2 3 12 2 2" xfId="22545"/>
    <cellStyle name="Normal 33 2 3 12 2 2 2" xfId="22546"/>
    <cellStyle name="Normal 33 2 3 12 2 2 2 2" xfId="22547"/>
    <cellStyle name="Normal 33 2 3 12 2 2 3" xfId="22548"/>
    <cellStyle name="Normal 33 2 3 12 2 3" xfId="22549"/>
    <cellStyle name="Normal 33 2 3 12 2 3 2" xfId="22550"/>
    <cellStyle name="Normal 33 2 3 12 2 4" xfId="22551"/>
    <cellStyle name="Normal 33 2 3 12 3" xfId="22552"/>
    <cellStyle name="Normal 33 2 3 12 3 2" xfId="22553"/>
    <cellStyle name="Normal 33 2 3 12 3 2 2" xfId="22554"/>
    <cellStyle name="Normal 33 2 3 12 3 2 2 2" xfId="22555"/>
    <cellStyle name="Normal 33 2 3 12 3 2 3" xfId="22556"/>
    <cellStyle name="Normal 33 2 3 12 3 3" xfId="22557"/>
    <cellStyle name="Normal 33 2 3 12 3 3 2" xfId="22558"/>
    <cellStyle name="Normal 33 2 3 12 3 4" xfId="22559"/>
    <cellStyle name="Normal 33 2 3 12 4" xfId="22560"/>
    <cellStyle name="Normal 33 2 3 12 4 2" xfId="22561"/>
    <cellStyle name="Normal 33 2 3 12 4 2 2" xfId="22562"/>
    <cellStyle name="Normal 33 2 3 12 4 3" xfId="22563"/>
    <cellStyle name="Normal 33 2 3 12 5" xfId="22564"/>
    <cellStyle name="Normal 33 2 3 12 5 2" xfId="22565"/>
    <cellStyle name="Normal 33 2 3 12 6" xfId="22566"/>
    <cellStyle name="Normal 33 2 3 13" xfId="22567"/>
    <cellStyle name="Normal 33 2 3 13 2" xfId="22568"/>
    <cellStyle name="Normal 33 2 3 13 2 2" xfId="22569"/>
    <cellStyle name="Normal 33 2 3 13 2 2 2" xfId="22570"/>
    <cellStyle name="Normal 33 2 3 13 2 2 2 2" xfId="22571"/>
    <cellStyle name="Normal 33 2 3 13 2 2 3" xfId="22572"/>
    <cellStyle name="Normal 33 2 3 13 2 3" xfId="22573"/>
    <cellStyle name="Normal 33 2 3 13 2 3 2" xfId="22574"/>
    <cellStyle name="Normal 33 2 3 13 2 4" xfId="22575"/>
    <cellStyle name="Normal 33 2 3 13 3" xfId="22576"/>
    <cellStyle name="Normal 33 2 3 13 3 2" xfId="22577"/>
    <cellStyle name="Normal 33 2 3 13 3 2 2" xfId="22578"/>
    <cellStyle name="Normal 33 2 3 13 3 2 2 2" xfId="22579"/>
    <cellStyle name="Normal 33 2 3 13 3 2 3" xfId="22580"/>
    <cellStyle name="Normal 33 2 3 13 3 3" xfId="22581"/>
    <cellStyle name="Normal 33 2 3 13 3 3 2" xfId="22582"/>
    <cellStyle name="Normal 33 2 3 13 3 4" xfId="22583"/>
    <cellStyle name="Normal 33 2 3 13 4" xfId="22584"/>
    <cellStyle name="Normal 33 2 3 13 4 2" xfId="22585"/>
    <cellStyle name="Normal 33 2 3 13 4 2 2" xfId="22586"/>
    <cellStyle name="Normal 33 2 3 13 4 3" xfId="22587"/>
    <cellStyle name="Normal 33 2 3 13 5" xfId="22588"/>
    <cellStyle name="Normal 33 2 3 13 5 2" xfId="22589"/>
    <cellStyle name="Normal 33 2 3 13 6" xfId="22590"/>
    <cellStyle name="Normal 33 2 3 14" xfId="22591"/>
    <cellStyle name="Normal 33 2 3 14 2" xfId="22592"/>
    <cellStyle name="Normal 33 2 3 14 2 2" xfId="22593"/>
    <cellStyle name="Normal 33 2 3 14 2 2 2" xfId="22594"/>
    <cellStyle name="Normal 33 2 3 14 2 3" xfId="22595"/>
    <cellStyle name="Normal 33 2 3 14 3" xfId="22596"/>
    <cellStyle name="Normal 33 2 3 14 3 2" xfId="22597"/>
    <cellStyle name="Normal 33 2 3 14 4" xfId="22598"/>
    <cellStyle name="Normal 33 2 3 15" xfId="22599"/>
    <cellStyle name="Normal 33 2 3 15 2" xfId="22600"/>
    <cellStyle name="Normal 33 2 3 15 2 2" xfId="22601"/>
    <cellStyle name="Normal 33 2 3 15 2 2 2" xfId="22602"/>
    <cellStyle name="Normal 33 2 3 15 2 3" xfId="22603"/>
    <cellStyle name="Normal 33 2 3 15 3" xfId="22604"/>
    <cellStyle name="Normal 33 2 3 15 3 2" xfId="22605"/>
    <cellStyle name="Normal 33 2 3 15 4" xfId="22606"/>
    <cellStyle name="Normal 33 2 3 16" xfId="22607"/>
    <cellStyle name="Normal 33 2 3 16 2" xfId="22608"/>
    <cellStyle name="Normal 33 2 3 16 2 2" xfId="22609"/>
    <cellStyle name="Normal 33 2 3 16 3" xfId="22610"/>
    <cellStyle name="Normal 33 2 3 17" xfId="22611"/>
    <cellStyle name="Normal 33 2 3 17 2" xfId="22612"/>
    <cellStyle name="Normal 33 2 3 18" xfId="22613"/>
    <cellStyle name="Normal 33 2 3 2" xfId="22614"/>
    <cellStyle name="Normal 33 2 3 2 2" xfId="22615"/>
    <cellStyle name="Normal 33 2 3 2 2 2" xfId="22616"/>
    <cellStyle name="Normal 33 2 3 2 2 2 2" xfId="22617"/>
    <cellStyle name="Normal 33 2 3 2 2 2 2 2" xfId="22618"/>
    <cellStyle name="Normal 33 2 3 2 2 2 3" xfId="22619"/>
    <cellStyle name="Normal 33 2 3 2 2 3" xfId="22620"/>
    <cellStyle name="Normal 33 2 3 2 2 3 2" xfId="22621"/>
    <cellStyle name="Normal 33 2 3 2 2 4" xfId="22622"/>
    <cellStyle name="Normal 33 2 3 2 3" xfId="22623"/>
    <cellStyle name="Normal 33 2 3 2 3 2" xfId="22624"/>
    <cellStyle name="Normal 33 2 3 2 3 2 2" xfId="22625"/>
    <cellStyle name="Normal 33 2 3 2 3 2 2 2" xfId="22626"/>
    <cellStyle name="Normal 33 2 3 2 3 2 3" xfId="22627"/>
    <cellStyle name="Normal 33 2 3 2 3 3" xfId="22628"/>
    <cellStyle name="Normal 33 2 3 2 3 3 2" xfId="22629"/>
    <cellStyle name="Normal 33 2 3 2 3 4" xfId="22630"/>
    <cellStyle name="Normal 33 2 3 2 4" xfId="22631"/>
    <cellStyle name="Normal 33 2 3 2 4 2" xfId="22632"/>
    <cellStyle name="Normal 33 2 3 2 4 2 2" xfId="22633"/>
    <cellStyle name="Normal 33 2 3 2 4 3" xfId="22634"/>
    <cellStyle name="Normal 33 2 3 2 5" xfId="22635"/>
    <cellStyle name="Normal 33 2 3 2 5 2" xfId="22636"/>
    <cellStyle name="Normal 33 2 3 2 6" xfId="22637"/>
    <cellStyle name="Normal 33 2 3 3" xfId="22638"/>
    <cellStyle name="Normal 33 2 3 3 2" xfId="22639"/>
    <cellStyle name="Normal 33 2 3 3 2 2" xfId="22640"/>
    <cellStyle name="Normal 33 2 3 3 2 2 2" xfId="22641"/>
    <cellStyle name="Normal 33 2 3 3 2 2 2 2" xfId="22642"/>
    <cellStyle name="Normal 33 2 3 3 2 2 3" xfId="22643"/>
    <cellStyle name="Normal 33 2 3 3 2 3" xfId="22644"/>
    <cellStyle name="Normal 33 2 3 3 2 3 2" xfId="22645"/>
    <cellStyle name="Normal 33 2 3 3 2 4" xfId="22646"/>
    <cellStyle name="Normal 33 2 3 3 3" xfId="22647"/>
    <cellStyle name="Normal 33 2 3 3 3 2" xfId="22648"/>
    <cellStyle name="Normal 33 2 3 3 3 2 2" xfId="22649"/>
    <cellStyle name="Normal 33 2 3 3 3 2 2 2" xfId="22650"/>
    <cellStyle name="Normal 33 2 3 3 3 2 3" xfId="22651"/>
    <cellStyle name="Normal 33 2 3 3 3 3" xfId="22652"/>
    <cellStyle name="Normal 33 2 3 3 3 3 2" xfId="22653"/>
    <cellStyle name="Normal 33 2 3 3 3 4" xfId="22654"/>
    <cellStyle name="Normal 33 2 3 3 4" xfId="22655"/>
    <cellStyle name="Normal 33 2 3 3 4 2" xfId="22656"/>
    <cellStyle name="Normal 33 2 3 3 4 2 2" xfId="22657"/>
    <cellStyle name="Normal 33 2 3 3 4 3" xfId="22658"/>
    <cellStyle name="Normal 33 2 3 3 5" xfId="22659"/>
    <cellStyle name="Normal 33 2 3 3 5 2" xfId="22660"/>
    <cellStyle name="Normal 33 2 3 3 6" xfId="22661"/>
    <cellStyle name="Normal 33 2 3 4" xfId="22662"/>
    <cellStyle name="Normal 33 2 3 4 2" xfId="22663"/>
    <cellStyle name="Normal 33 2 3 4 2 2" xfId="22664"/>
    <cellStyle name="Normal 33 2 3 4 2 2 2" xfId="22665"/>
    <cellStyle name="Normal 33 2 3 4 2 2 2 2" xfId="22666"/>
    <cellStyle name="Normal 33 2 3 4 2 2 3" xfId="22667"/>
    <cellStyle name="Normal 33 2 3 4 2 3" xfId="22668"/>
    <cellStyle name="Normal 33 2 3 4 2 3 2" xfId="22669"/>
    <cellStyle name="Normal 33 2 3 4 2 4" xfId="22670"/>
    <cellStyle name="Normal 33 2 3 4 3" xfId="22671"/>
    <cellStyle name="Normal 33 2 3 4 3 2" xfId="22672"/>
    <cellStyle name="Normal 33 2 3 4 3 2 2" xfId="22673"/>
    <cellStyle name="Normal 33 2 3 4 3 2 2 2" xfId="22674"/>
    <cellStyle name="Normal 33 2 3 4 3 2 3" xfId="22675"/>
    <cellStyle name="Normal 33 2 3 4 3 3" xfId="22676"/>
    <cellStyle name="Normal 33 2 3 4 3 3 2" xfId="22677"/>
    <cellStyle name="Normal 33 2 3 4 3 4" xfId="22678"/>
    <cellStyle name="Normal 33 2 3 4 4" xfId="22679"/>
    <cellStyle name="Normal 33 2 3 4 4 2" xfId="22680"/>
    <cellStyle name="Normal 33 2 3 4 4 2 2" xfId="22681"/>
    <cellStyle name="Normal 33 2 3 4 4 3" xfId="22682"/>
    <cellStyle name="Normal 33 2 3 4 5" xfId="22683"/>
    <cellStyle name="Normal 33 2 3 4 5 2" xfId="22684"/>
    <cellStyle name="Normal 33 2 3 4 6" xfId="22685"/>
    <cellStyle name="Normal 33 2 3 5" xfId="22686"/>
    <cellStyle name="Normal 33 2 3 5 2" xfId="22687"/>
    <cellStyle name="Normal 33 2 3 5 2 2" xfId="22688"/>
    <cellStyle name="Normal 33 2 3 5 2 2 2" xfId="22689"/>
    <cellStyle name="Normal 33 2 3 5 2 2 2 2" xfId="22690"/>
    <cellStyle name="Normal 33 2 3 5 2 2 3" xfId="22691"/>
    <cellStyle name="Normal 33 2 3 5 2 3" xfId="22692"/>
    <cellStyle name="Normal 33 2 3 5 2 3 2" xfId="22693"/>
    <cellStyle name="Normal 33 2 3 5 2 4" xfId="22694"/>
    <cellStyle name="Normal 33 2 3 5 3" xfId="22695"/>
    <cellStyle name="Normal 33 2 3 5 3 2" xfId="22696"/>
    <cellStyle name="Normal 33 2 3 5 3 2 2" xfId="22697"/>
    <cellStyle name="Normal 33 2 3 5 3 2 2 2" xfId="22698"/>
    <cellStyle name="Normal 33 2 3 5 3 2 3" xfId="22699"/>
    <cellStyle name="Normal 33 2 3 5 3 3" xfId="22700"/>
    <cellStyle name="Normal 33 2 3 5 3 3 2" xfId="22701"/>
    <cellStyle name="Normal 33 2 3 5 3 4" xfId="22702"/>
    <cellStyle name="Normal 33 2 3 5 4" xfId="22703"/>
    <cellStyle name="Normal 33 2 3 5 4 2" xfId="22704"/>
    <cellStyle name="Normal 33 2 3 5 4 2 2" xfId="22705"/>
    <cellStyle name="Normal 33 2 3 5 4 3" xfId="22706"/>
    <cellStyle name="Normal 33 2 3 5 5" xfId="22707"/>
    <cellStyle name="Normal 33 2 3 5 5 2" xfId="22708"/>
    <cellStyle name="Normal 33 2 3 5 6" xfId="22709"/>
    <cellStyle name="Normal 33 2 3 6" xfId="22710"/>
    <cellStyle name="Normal 33 2 3 6 2" xfId="22711"/>
    <cellStyle name="Normal 33 2 3 6 2 2" xfId="22712"/>
    <cellStyle name="Normal 33 2 3 6 2 2 2" xfId="22713"/>
    <cellStyle name="Normal 33 2 3 6 2 2 2 2" xfId="22714"/>
    <cellStyle name="Normal 33 2 3 6 2 2 3" xfId="22715"/>
    <cellStyle name="Normal 33 2 3 6 2 3" xfId="22716"/>
    <cellStyle name="Normal 33 2 3 6 2 3 2" xfId="22717"/>
    <cellStyle name="Normal 33 2 3 6 2 4" xfId="22718"/>
    <cellStyle name="Normal 33 2 3 6 3" xfId="22719"/>
    <cellStyle name="Normal 33 2 3 6 3 2" xfId="22720"/>
    <cellStyle name="Normal 33 2 3 6 3 2 2" xfId="22721"/>
    <cellStyle name="Normal 33 2 3 6 3 2 2 2" xfId="22722"/>
    <cellStyle name="Normal 33 2 3 6 3 2 3" xfId="22723"/>
    <cellStyle name="Normal 33 2 3 6 3 3" xfId="22724"/>
    <cellStyle name="Normal 33 2 3 6 3 3 2" xfId="22725"/>
    <cellStyle name="Normal 33 2 3 6 3 4" xfId="22726"/>
    <cellStyle name="Normal 33 2 3 6 4" xfId="22727"/>
    <cellStyle name="Normal 33 2 3 6 4 2" xfId="22728"/>
    <cellStyle name="Normal 33 2 3 6 4 2 2" xfId="22729"/>
    <cellStyle name="Normal 33 2 3 6 4 3" xfId="22730"/>
    <cellStyle name="Normal 33 2 3 6 5" xfId="22731"/>
    <cellStyle name="Normal 33 2 3 6 5 2" xfId="22732"/>
    <cellStyle name="Normal 33 2 3 6 6" xfId="22733"/>
    <cellStyle name="Normal 33 2 3 7" xfId="22734"/>
    <cellStyle name="Normal 33 2 3 7 2" xfId="22735"/>
    <cellStyle name="Normal 33 2 3 7 2 2" xfId="22736"/>
    <cellStyle name="Normal 33 2 3 7 2 2 2" xfId="22737"/>
    <cellStyle name="Normal 33 2 3 7 2 2 2 2" xfId="22738"/>
    <cellStyle name="Normal 33 2 3 7 2 2 3" xfId="22739"/>
    <cellStyle name="Normal 33 2 3 7 2 3" xfId="22740"/>
    <cellStyle name="Normal 33 2 3 7 2 3 2" xfId="22741"/>
    <cellStyle name="Normal 33 2 3 7 2 4" xfId="22742"/>
    <cellStyle name="Normal 33 2 3 7 3" xfId="22743"/>
    <cellStyle name="Normal 33 2 3 7 3 2" xfId="22744"/>
    <cellStyle name="Normal 33 2 3 7 3 2 2" xfId="22745"/>
    <cellStyle name="Normal 33 2 3 7 3 2 2 2" xfId="22746"/>
    <cellStyle name="Normal 33 2 3 7 3 2 3" xfId="22747"/>
    <cellStyle name="Normal 33 2 3 7 3 3" xfId="22748"/>
    <cellStyle name="Normal 33 2 3 7 3 3 2" xfId="22749"/>
    <cellStyle name="Normal 33 2 3 7 3 4" xfId="22750"/>
    <cellStyle name="Normal 33 2 3 7 4" xfId="22751"/>
    <cellStyle name="Normal 33 2 3 7 4 2" xfId="22752"/>
    <cellStyle name="Normal 33 2 3 7 4 2 2" xfId="22753"/>
    <cellStyle name="Normal 33 2 3 7 4 3" xfId="22754"/>
    <cellStyle name="Normal 33 2 3 7 5" xfId="22755"/>
    <cellStyle name="Normal 33 2 3 7 5 2" xfId="22756"/>
    <cellStyle name="Normal 33 2 3 7 6" xfId="22757"/>
    <cellStyle name="Normal 33 2 3 8" xfId="22758"/>
    <cellStyle name="Normal 33 2 3 8 2" xfId="22759"/>
    <cellStyle name="Normal 33 2 3 8 2 2" xfId="22760"/>
    <cellStyle name="Normal 33 2 3 8 2 2 2" xfId="22761"/>
    <cellStyle name="Normal 33 2 3 8 2 2 2 2" xfId="22762"/>
    <cellStyle name="Normal 33 2 3 8 2 2 3" xfId="22763"/>
    <cellStyle name="Normal 33 2 3 8 2 3" xfId="22764"/>
    <cellStyle name="Normal 33 2 3 8 2 3 2" xfId="22765"/>
    <cellStyle name="Normal 33 2 3 8 2 4" xfId="22766"/>
    <cellStyle name="Normal 33 2 3 8 3" xfId="22767"/>
    <cellStyle name="Normal 33 2 3 8 3 2" xfId="22768"/>
    <cellStyle name="Normal 33 2 3 8 3 2 2" xfId="22769"/>
    <cellStyle name="Normal 33 2 3 8 3 2 2 2" xfId="22770"/>
    <cellStyle name="Normal 33 2 3 8 3 2 3" xfId="22771"/>
    <cellStyle name="Normal 33 2 3 8 3 3" xfId="22772"/>
    <cellStyle name="Normal 33 2 3 8 3 3 2" xfId="22773"/>
    <cellStyle name="Normal 33 2 3 8 3 4" xfId="22774"/>
    <cellStyle name="Normal 33 2 3 8 4" xfId="22775"/>
    <cellStyle name="Normal 33 2 3 8 4 2" xfId="22776"/>
    <cellStyle name="Normal 33 2 3 8 4 2 2" xfId="22777"/>
    <cellStyle name="Normal 33 2 3 8 4 3" xfId="22778"/>
    <cellStyle name="Normal 33 2 3 8 5" xfId="22779"/>
    <cellStyle name="Normal 33 2 3 8 5 2" xfId="22780"/>
    <cellStyle name="Normal 33 2 3 8 6" xfId="22781"/>
    <cellStyle name="Normal 33 2 3 9" xfId="22782"/>
    <cellStyle name="Normal 33 2 3 9 2" xfId="22783"/>
    <cellStyle name="Normal 33 2 3 9 2 2" xfId="22784"/>
    <cellStyle name="Normal 33 2 3 9 2 2 2" xfId="22785"/>
    <cellStyle name="Normal 33 2 3 9 2 2 2 2" xfId="22786"/>
    <cellStyle name="Normal 33 2 3 9 2 2 3" xfId="22787"/>
    <cellStyle name="Normal 33 2 3 9 2 3" xfId="22788"/>
    <cellStyle name="Normal 33 2 3 9 2 3 2" xfId="22789"/>
    <cellStyle name="Normal 33 2 3 9 2 4" xfId="22790"/>
    <cellStyle name="Normal 33 2 3 9 3" xfId="22791"/>
    <cellStyle name="Normal 33 2 3 9 3 2" xfId="22792"/>
    <cellStyle name="Normal 33 2 3 9 3 2 2" xfId="22793"/>
    <cellStyle name="Normal 33 2 3 9 3 2 2 2" xfId="22794"/>
    <cellStyle name="Normal 33 2 3 9 3 2 3" xfId="22795"/>
    <cellStyle name="Normal 33 2 3 9 3 3" xfId="22796"/>
    <cellStyle name="Normal 33 2 3 9 3 3 2" xfId="22797"/>
    <cellStyle name="Normal 33 2 3 9 3 4" xfId="22798"/>
    <cellStyle name="Normal 33 2 3 9 4" xfId="22799"/>
    <cellStyle name="Normal 33 2 3 9 4 2" xfId="22800"/>
    <cellStyle name="Normal 33 2 3 9 4 2 2" xfId="22801"/>
    <cellStyle name="Normal 33 2 3 9 4 3" xfId="22802"/>
    <cellStyle name="Normal 33 2 3 9 5" xfId="22803"/>
    <cellStyle name="Normal 33 2 3 9 5 2" xfId="22804"/>
    <cellStyle name="Normal 33 2 3 9 6" xfId="22805"/>
    <cellStyle name="Normal 33 2 30" xfId="22806"/>
    <cellStyle name="Normal 33 2 4" xfId="22807"/>
    <cellStyle name="Normal 33 2 4 10" xfId="22808"/>
    <cellStyle name="Normal 33 2 4 10 2" xfId="22809"/>
    <cellStyle name="Normal 33 2 4 10 2 2" xfId="22810"/>
    <cellStyle name="Normal 33 2 4 10 2 2 2" xfId="22811"/>
    <cellStyle name="Normal 33 2 4 10 2 2 2 2" xfId="22812"/>
    <cellStyle name="Normal 33 2 4 10 2 2 3" xfId="22813"/>
    <cellStyle name="Normal 33 2 4 10 2 3" xfId="22814"/>
    <cellStyle name="Normal 33 2 4 10 2 3 2" xfId="22815"/>
    <cellStyle name="Normal 33 2 4 10 2 4" xfId="22816"/>
    <cellStyle name="Normal 33 2 4 10 3" xfId="22817"/>
    <cellStyle name="Normal 33 2 4 10 3 2" xfId="22818"/>
    <cellStyle name="Normal 33 2 4 10 3 2 2" xfId="22819"/>
    <cellStyle name="Normal 33 2 4 10 3 2 2 2" xfId="22820"/>
    <cellStyle name="Normal 33 2 4 10 3 2 3" xfId="22821"/>
    <cellStyle name="Normal 33 2 4 10 3 3" xfId="22822"/>
    <cellStyle name="Normal 33 2 4 10 3 3 2" xfId="22823"/>
    <cellStyle name="Normal 33 2 4 10 3 4" xfId="22824"/>
    <cellStyle name="Normal 33 2 4 10 4" xfId="22825"/>
    <cellStyle name="Normal 33 2 4 10 4 2" xfId="22826"/>
    <cellStyle name="Normal 33 2 4 10 4 2 2" xfId="22827"/>
    <cellStyle name="Normal 33 2 4 10 4 3" xfId="22828"/>
    <cellStyle name="Normal 33 2 4 10 5" xfId="22829"/>
    <cellStyle name="Normal 33 2 4 10 5 2" xfId="22830"/>
    <cellStyle name="Normal 33 2 4 10 6" xfId="22831"/>
    <cellStyle name="Normal 33 2 4 11" xfId="22832"/>
    <cellStyle name="Normal 33 2 4 11 2" xfId="22833"/>
    <cellStyle name="Normal 33 2 4 11 2 2" xfId="22834"/>
    <cellStyle name="Normal 33 2 4 11 2 2 2" xfId="22835"/>
    <cellStyle name="Normal 33 2 4 11 2 2 2 2" xfId="22836"/>
    <cellStyle name="Normal 33 2 4 11 2 2 3" xfId="22837"/>
    <cellStyle name="Normal 33 2 4 11 2 3" xfId="22838"/>
    <cellStyle name="Normal 33 2 4 11 2 3 2" xfId="22839"/>
    <cellStyle name="Normal 33 2 4 11 2 4" xfId="22840"/>
    <cellStyle name="Normal 33 2 4 11 3" xfId="22841"/>
    <cellStyle name="Normal 33 2 4 11 3 2" xfId="22842"/>
    <cellStyle name="Normal 33 2 4 11 3 2 2" xfId="22843"/>
    <cellStyle name="Normal 33 2 4 11 3 2 2 2" xfId="22844"/>
    <cellStyle name="Normal 33 2 4 11 3 2 3" xfId="22845"/>
    <cellStyle name="Normal 33 2 4 11 3 3" xfId="22846"/>
    <cellStyle name="Normal 33 2 4 11 3 3 2" xfId="22847"/>
    <cellStyle name="Normal 33 2 4 11 3 4" xfId="22848"/>
    <cellStyle name="Normal 33 2 4 11 4" xfId="22849"/>
    <cellStyle name="Normal 33 2 4 11 4 2" xfId="22850"/>
    <cellStyle name="Normal 33 2 4 11 4 2 2" xfId="22851"/>
    <cellStyle name="Normal 33 2 4 11 4 3" xfId="22852"/>
    <cellStyle name="Normal 33 2 4 11 5" xfId="22853"/>
    <cellStyle name="Normal 33 2 4 11 5 2" xfId="22854"/>
    <cellStyle name="Normal 33 2 4 11 6" xfId="22855"/>
    <cellStyle name="Normal 33 2 4 12" xfId="22856"/>
    <cellStyle name="Normal 33 2 4 12 2" xfId="22857"/>
    <cellStyle name="Normal 33 2 4 12 2 2" xfId="22858"/>
    <cellStyle name="Normal 33 2 4 12 2 2 2" xfId="22859"/>
    <cellStyle name="Normal 33 2 4 12 2 2 2 2" xfId="22860"/>
    <cellStyle name="Normal 33 2 4 12 2 2 3" xfId="22861"/>
    <cellStyle name="Normal 33 2 4 12 2 3" xfId="22862"/>
    <cellStyle name="Normal 33 2 4 12 2 3 2" xfId="22863"/>
    <cellStyle name="Normal 33 2 4 12 2 4" xfId="22864"/>
    <cellStyle name="Normal 33 2 4 12 3" xfId="22865"/>
    <cellStyle name="Normal 33 2 4 12 3 2" xfId="22866"/>
    <cellStyle name="Normal 33 2 4 12 3 2 2" xfId="22867"/>
    <cellStyle name="Normal 33 2 4 12 3 2 2 2" xfId="22868"/>
    <cellStyle name="Normal 33 2 4 12 3 2 3" xfId="22869"/>
    <cellStyle name="Normal 33 2 4 12 3 3" xfId="22870"/>
    <cellStyle name="Normal 33 2 4 12 3 3 2" xfId="22871"/>
    <cellStyle name="Normal 33 2 4 12 3 4" xfId="22872"/>
    <cellStyle name="Normal 33 2 4 12 4" xfId="22873"/>
    <cellStyle name="Normal 33 2 4 12 4 2" xfId="22874"/>
    <cellStyle name="Normal 33 2 4 12 4 2 2" xfId="22875"/>
    <cellStyle name="Normal 33 2 4 12 4 3" xfId="22876"/>
    <cellStyle name="Normal 33 2 4 12 5" xfId="22877"/>
    <cellStyle name="Normal 33 2 4 12 5 2" xfId="22878"/>
    <cellStyle name="Normal 33 2 4 12 6" xfId="22879"/>
    <cellStyle name="Normal 33 2 4 13" xfId="22880"/>
    <cellStyle name="Normal 33 2 4 13 2" xfId="22881"/>
    <cellStyle name="Normal 33 2 4 13 2 2" xfId="22882"/>
    <cellStyle name="Normal 33 2 4 13 2 2 2" xfId="22883"/>
    <cellStyle name="Normal 33 2 4 13 2 2 2 2" xfId="22884"/>
    <cellStyle name="Normal 33 2 4 13 2 2 3" xfId="22885"/>
    <cellStyle name="Normal 33 2 4 13 2 3" xfId="22886"/>
    <cellStyle name="Normal 33 2 4 13 2 3 2" xfId="22887"/>
    <cellStyle name="Normal 33 2 4 13 2 4" xfId="22888"/>
    <cellStyle name="Normal 33 2 4 13 3" xfId="22889"/>
    <cellStyle name="Normal 33 2 4 13 3 2" xfId="22890"/>
    <cellStyle name="Normal 33 2 4 13 3 2 2" xfId="22891"/>
    <cellStyle name="Normal 33 2 4 13 3 2 2 2" xfId="22892"/>
    <cellStyle name="Normal 33 2 4 13 3 2 3" xfId="22893"/>
    <cellStyle name="Normal 33 2 4 13 3 3" xfId="22894"/>
    <cellStyle name="Normal 33 2 4 13 3 3 2" xfId="22895"/>
    <cellStyle name="Normal 33 2 4 13 3 4" xfId="22896"/>
    <cellStyle name="Normal 33 2 4 13 4" xfId="22897"/>
    <cellStyle name="Normal 33 2 4 13 4 2" xfId="22898"/>
    <cellStyle name="Normal 33 2 4 13 4 2 2" xfId="22899"/>
    <cellStyle name="Normal 33 2 4 13 4 3" xfId="22900"/>
    <cellStyle name="Normal 33 2 4 13 5" xfId="22901"/>
    <cellStyle name="Normal 33 2 4 13 5 2" xfId="22902"/>
    <cellStyle name="Normal 33 2 4 13 6" xfId="22903"/>
    <cellStyle name="Normal 33 2 4 14" xfId="22904"/>
    <cellStyle name="Normal 33 2 4 14 2" xfId="22905"/>
    <cellStyle name="Normal 33 2 4 14 2 2" xfId="22906"/>
    <cellStyle name="Normal 33 2 4 14 2 2 2" xfId="22907"/>
    <cellStyle name="Normal 33 2 4 14 2 3" xfId="22908"/>
    <cellStyle name="Normal 33 2 4 14 3" xfId="22909"/>
    <cellStyle name="Normal 33 2 4 14 3 2" xfId="22910"/>
    <cellStyle name="Normal 33 2 4 14 4" xfId="22911"/>
    <cellStyle name="Normal 33 2 4 15" xfId="22912"/>
    <cellStyle name="Normal 33 2 4 15 2" xfId="22913"/>
    <cellStyle name="Normal 33 2 4 15 2 2" xfId="22914"/>
    <cellStyle name="Normal 33 2 4 15 2 2 2" xfId="22915"/>
    <cellStyle name="Normal 33 2 4 15 2 3" xfId="22916"/>
    <cellStyle name="Normal 33 2 4 15 3" xfId="22917"/>
    <cellStyle name="Normal 33 2 4 15 3 2" xfId="22918"/>
    <cellStyle name="Normal 33 2 4 15 4" xfId="22919"/>
    <cellStyle name="Normal 33 2 4 16" xfId="22920"/>
    <cellStyle name="Normal 33 2 4 16 2" xfId="22921"/>
    <cellStyle name="Normal 33 2 4 16 2 2" xfId="22922"/>
    <cellStyle name="Normal 33 2 4 16 3" xfId="22923"/>
    <cellStyle name="Normal 33 2 4 17" xfId="22924"/>
    <cellStyle name="Normal 33 2 4 17 2" xfId="22925"/>
    <cellStyle name="Normal 33 2 4 18" xfId="22926"/>
    <cellStyle name="Normal 33 2 4 2" xfId="22927"/>
    <cellStyle name="Normal 33 2 4 2 2" xfId="22928"/>
    <cellStyle name="Normal 33 2 4 2 2 2" xfId="22929"/>
    <cellStyle name="Normal 33 2 4 2 2 2 2" xfId="22930"/>
    <cellStyle name="Normal 33 2 4 2 2 2 2 2" xfId="22931"/>
    <cellStyle name="Normal 33 2 4 2 2 2 3" xfId="22932"/>
    <cellStyle name="Normal 33 2 4 2 2 3" xfId="22933"/>
    <cellStyle name="Normal 33 2 4 2 2 3 2" xfId="22934"/>
    <cellStyle name="Normal 33 2 4 2 2 4" xfId="22935"/>
    <cellStyle name="Normal 33 2 4 2 3" xfId="22936"/>
    <cellStyle name="Normal 33 2 4 2 3 2" xfId="22937"/>
    <cellStyle name="Normal 33 2 4 2 3 2 2" xfId="22938"/>
    <cellStyle name="Normal 33 2 4 2 3 2 2 2" xfId="22939"/>
    <cellStyle name="Normal 33 2 4 2 3 2 3" xfId="22940"/>
    <cellStyle name="Normal 33 2 4 2 3 3" xfId="22941"/>
    <cellStyle name="Normal 33 2 4 2 3 3 2" xfId="22942"/>
    <cellStyle name="Normal 33 2 4 2 3 4" xfId="22943"/>
    <cellStyle name="Normal 33 2 4 2 4" xfId="22944"/>
    <cellStyle name="Normal 33 2 4 2 4 2" xfId="22945"/>
    <cellStyle name="Normal 33 2 4 2 4 2 2" xfId="22946"/>
    <cellStyle name="Normal 33 2 4 2 4 3" xfId="22947"/>
    <cellStyle name="Normal 33 2 4 2 5" xfId="22948"/>
    <cellStyle name="Normal 33 2 4 2 5 2" xfId="22949"/>
    <cellStyle name="Normal 33 2 4 2 6" xfId="22950"/>
    <cellStyle name="Normal 33 2 4 3" xfId="22951"/>
    <cellStyle name="Normal 33 2 4 3 2" xfId="22952"/>
    <cellStyle name="Normal 33 2 4 3 2 2" xfId="22953"/>
    <cellStyle name="Normal 33 2 4 3 2 2 2" xfId="22954"/>
    <cellStyle name="Normal 33 2 4 3 2 2 2 2" xfId="22955"/>
    <cellStyle name="Normal 33 2 4 3 2 2 3" xfId="22956"/>
    <cellStyle name="Normal 33 2 4 3 2 3" xfId="22957"/>
    <cellStyle name="Normal 33 2 4 3 2 3 2" xfId="22958"/>
    <cellStyle name="Normal 33 2 4 3 2 4" xfId="22959"/>
    <cellStyle name="Normal 33 2 4 3 3" xfId="22960"/>
    <cellStyle name="Normal 33 2 4 3 3 2" xfId="22961"/>
    <cellStyle name="Normal 33 2 4 3 3 2 2" xfId="22962"/>
    <cellStyle name="Normal 33 2 4 3 3 2 2 2" xfId="22963"/>
    <cellStyle name="Normal 33 2 4 3 3 2 3" xfId="22964"/>
    <cellStyle name="Normal 33 2 4 3 3 3" xfId="22965"/>
    <cellStyle name="Normal 33 2 4 3 3 3 2" xfId="22966"/>
    <cellStyle name="Normal 33 2 4 3 3 4" xfId="22967"/>
    <cellStyle name="Normal 33 2 4 3 4" xfId="22968"/>
    <cellStyle name="Normal 33 2 4 3 4 2" xfId="22969"/>
    <cellStyle name="Normal 33 2 4 3 4 2 2" xfId="22970"/>
    <cellStyle name="Normal 33 2 4 3 4 3" xfId="22971"/>
    <cellStyle name="Normal 33 2 4 3 5" xfId="22972"/>
    <cellStyle name="Normal 33 2 4 3 5 2" xfId="22973"/>
    <cellStyle name="Normal 33 2 4 3 6" xfId="22974"/>
    <cellStyle name="Normal 33 2 4 4" xfId="22975"/>
    <cellStyle name="Normal 33 2 4 4 2" xfId="22976"/>
    <cellStyle name="Normal 33 2 4 4 2 2" xfId="22977"/>
    <cellStyle name="Normal 33 2 4 4 2 2 2" xfId="22978"/>
    <cellStyle name="Normal 33 2 4 4 2 2 2 2" xfId="22979"/>
    <cellStyle name="Normal 33 2 4 4 2 2 3" xfId="22980"/>
    <cellStyle name="Normal 33 2 4 4 2 3" xfId="22981"/>
    <cellStyle name="Normal 33 2 4 4 2 3 2" xfId="22982"/>
    <cellStyle name="Normal 33 2 4 4 2 4" xfId="22983"/>
    <cellStyle name="Normal 33 2 4 4 3" xfId="22984"/>
    <cellStyle name="Normal 33 2 4 4 3 2" xfId="22985"/>
    <cellStyle name="Normal 33 2 4 4 3 2 2" xfId="22986"/>
    <cellStyle name="Normal 33 2 4 4 3 2 2 2" xfId="22987"/>
    <cellStyle name="Normal 33 2 4 4 3 2 3" xfId="22988"/>
    <cellStyle name="Normal 33 2 4 4 3 3" xfId="22989"/>
    <cellStyle name="Normal 33 2 4 4 3 3 2" xfId="22990"/>
    <cellStyle name="Normal 33 2 4 4 3 4" xfId="22991"/>
    <cellStyle name="Normal 33 2 4 4 4" xfId="22992"/>
    <cellStyle name="Normal 33 2 4 4 4 2" xfId="22993"/>
    <cellStyle name="Normal 33 2 4 4 4 2 2" xfId="22994"/>
    <cellStyle name="Normal 33 2 4 4 4 3" xfId="22995"/>
    <cellStyle name="Normal 33 2 4 4 5" xfId="22996"/>
    <cellStyle name="Normal 33 2 4 4 5 2" xfId="22997"/>
    <cellStyle name="Normal 33 2 4 4 6" xfId="22998"/>
    <cellStyle name="Normal 33 2 4 5" xfId="22999"/>
    <cellStyle name="Normal 33 2 4 5 2" xfId="23000"/>
    <cellStyle name="Normal 33 2 4 5 2 2" xfId="23001"/>
    <cellStyle name="Normal 33 2 4 5 2 2 2" xfId="23002"/>
    <cellStyle name="Normal 33 2 4 5 2 2 2 2" xfId="23003"/>
    <cellStyle name="Normal 33 2 4 5 2 2 3" xfId="23004"/>
    <cellStyle name="Normal 33 2 4 5 2 3" xfId="23005"/>
    <cellStyle name="Normal 33 2 4 5 2 3 2" xfId="23006"/>
    <cellStyle name="Normal 33 2 4 5 2 4" xfId="23007"/>
    <cellStyle name="Normal 33 2 4 5 3" xfId="23008"/>
    <cellStyle name="Normal 33 2 4 5 3 2" xfId="23009"/>
    <cellStyle name="Normal 33 2 4 5 3 2 2" xfId="23010"/>
    <cellStyle name="Normal 33 2 4 5 3 2 2 2" xfId="23011"/>
    <cellStyle name="Normal 33 2 4 5 3 2 3" xfId="23012"/>
    <cellStyle name="Normal 33 2 4 5 3 3" xfId="23013"/>
    <cellStyle name="Normal 33 2 4 5 3 3 2" xfId="23014"/>
    <cellStyle name="Normal 33 2 4 5 3 4" xfId="23015"/>
    <cellStyle name="Normal 33 2 4 5 4" xfId="23016"/>
    <cellStyle name="Normal 33 2 4 5 4 2" xfId="23017"/>
    <cellStyle name="Normal 33 2 4 5 4 2 2" xfId="23018"/>
    <cellStyle name="Normal 33 2 4 5 4 3" xfId="23019"/>
    <cellStyle name="Normal 33 2 4 5 5" xfId="23020"/>
    <cellStyle name="Normal 33 2 4 5 5 2" xfId="23021"/>
    <cellStyle name="Normal 33 2 4 5 6" xfId="23022"/>
    <cellStyle name="Normal 33 2 4 6" xfId="23023"/>
    <cellStyle name="Normal 33 2 4 6 2" xfId="23024"/>
    <cellStyle name="Normal 33 2 4 6 2 2" xfId="23025"/>
    <cellStyle name="Normal 33 2 4 6 2 2 2" xfId="23026"/>
    <cellStyle name="Normal 33 2 4 6 2 2 2 2" xfId="23027"/>
    <cellStyle name="Normal 33 2 4 6 2 2 3" xfId="23028"/>
    <cellStyle name="Normal 33 2 4 6 2 3" xfId="23029"/>
    <cellStyle name="Normal 33 2 4 6 2 3 2" xfId="23030"/>
    <cellStyle name="Normal 33 2 4 6 2 4" xfId="23031"/>
    <cellStyle name="Normal 33 2 4 6 3" xfId="23032"/>
    <cellStyle name="Normal 33 2 4 6 3 2" xfId="23033"/>
    <cellStyle name="Normal 33 2 4 6 3 2 2" xfId="23034"/>
    <cellStyle name="Normal 33 2 4 6 3 2 2 2" xfId="23035"/>
    <cellStyle name="Normal 33 2 4 6 3 2 3" xfId="23036"/>
    <cellStyle name="Normal 33 2 4 6 3 3" xfId="23037"/>
    <cellStyle name="Normal 33 2 4 6 3 3 2" xfId="23038"/>
    <cellStyle name="Normal 33 2 4 6 3 4" xfId="23039"/>
    <cellStyle name="Normal 33 2 4 6 4" xfId="23040"/>
    <cellStyle name="Normal 33 2 4 6 4 2" xfId="23041"/>
    <cellStyle name="Normal 33 2 4 6 4 2 2" xfId="23042"/>
    <cellStyle name="Normal 33 2 4 6 4 3" xfId="23043"/>
    <cellStyle name="Normal 33 2 4 6 5" xfId="23044"/>
    <cellStyle name="Normal 33 2 4 6 5 2" xfId="23045"/>
    <cellStyle name="Normal 33 2 4 6 6" xfId="23046"/>
    <cellStyle name="Normal 33 2 4 7" xfId="23047"/>
    <cellStyle name="Normal 33 2 4 7 2" xfId="23048"/>
    <cellStyle name="Normal 33 2 4 7 2 2" xfId="23049"/>
    <cellStyle name="Normal 33 2 4 7 2 2 2" xfId="23050"/>
    <cellStyle name="Normal 33 2 4 7 2 2 2 2" xfId="23051"/>
    <cellStyle name="Normal 33 2 4 7 2 2 3" xfId="23052"/>
    <cellStyle name="Normal 33 2 4 7 2 3" xfId="23053"/>
    <cellStyle name="Normal 33 2 4 7 2 3 2" xfId="23054"/>
    <cellStyle name="Normal 33 2 4 7 2 4" xfId="23055"/>
    <cellStyle name="Normal 33 2 4 7 3" xfId="23056"/>
    <cellStyle name="Normal 33 2 4 7 3 2" xfId="23057"/>
    <cellStyle name="Normal 33 2 4 7 3 2 2" xfId="23058"/>
    <cellStyle name="Normal 33 2 4 7 3 2 2 2" xfId="23059"/>
    <cellStyle name="Normal 33 2 4 7 3 2 3" xfId="23060"/>
    <cellStyle name="Normal 33 2 4 7 3 3" xfId="23061"/>
    <cellStyle name="Normal 33 2 4 7 3 3 2" xfId="23062"/>
    <cellStyle name="Normal 33 2 4 7 3 4" xfId="23063"/>
    <cellStyle name="Normal 33 2 4 7 4" xfId="23064"/>
    <cellStyle name="Normal 33 2 4 7 4 2" xfId="23065"/>
    <cellStyle name="Normal 33 2 4 7 4 2 2" xfId="23066"/>
    <cellStyle name="Normal 33 2 4 7 4 3" xfId="23067"/>
    <cellStyle name="Normal 33 2 4 7 5" xfId="23068"/>
    <cellStyle name="Normal 33 2 4 7 5 2" xfId="23069"/>
    <cellStyle name="Normal 33 2 4 7 6" xfId="23070"/>
    <cellStyle name="Normal 33 2 4 8" xfId="23071"/>
    <cellStyle name="Normal 33 2 4 8 2" xfId="23072"/>
    <cellStyle name="Normal 33 2 4 8 2 2" xfId="23073"/>
    <cellStyle name="Normal 33 2 4 8 2 2 2" xfId="23074"/>
    <cellStyle name="Normal 33 2 4 8 2 2 2 2" xfId="23075"/>
    <cellStyle name="Normal 33 2 4 8 2 2 3" xfId="23076"/>
    <cellStyle name="Normal 33 2 4 8 2 3" xfId="23077"/>
    <cellStyle name="Normal 33 2 4 8 2 3 2" xfId="23078"/>
    <cellStyle name="Normal 33 2 4 8 2 4" xfId="23079"/>
    <cellStyle name="Normal 33 2 4 8 3" xfId="23080"/>
    <cellStyle name="Normal 33 2 4 8 3 2" xfId="23081"/>
    <cellStyle name="Normal 33 2 4 8 3 2 2" xfId="23082"/>
    <cellStyle name="Normal 33 2 4 8 3 2 2 2" xfId="23083"/>
    <cellStyle name="Normal 33 2 4 8 3 2 3" xfId="23084"/>
    <cellStyle name="Normal 33 2 4 8 3 3" xfId="23085"/>
    <cellStyle name="Normal 33 2 4 8 3 3 2" xfId="23086"/>
    <cellStyle name="Normal 33 2 4 8 3 4" xfId="23087"/>
    <cellStyle name="Normal 33 2 4 8 4" xfId="23088"/>
    <cellStyle name="Normal 33 2 4 8 4 2" xfId="23089"/>
    <cellStyle name="Normal 33 2 4 8 4 2 2" xfId="23090"/>
    <cellStyle name="Normal 33 2 4 8 4 3" xfId="23091"/>
    <cellStyle name="Normal 33 2 4 8 5" xfId="23092"/>
    <cellStyle name="Normal 33 2 4 8 5 2" xfId="23093"/>
    <cellStyle name="Normal 33 2 4 8 6" xfId="23094"/>
    <cellStyle name="Normal 33 2 4 9" xfId="23095"/>
    <cellStyle name="Normal 33 2 4 9 2" xfId="23096"/>
    <cellStyle name="Normal 33 2 4 9 2 2" xfId="23097"/>
    <cellStyle name="Normal 33 2 4 9 2 2 2" xfId="23098"/>
    <cellStyle name="Normal 33 2 4 9 2 2 2 2" xfId="23099"/>
    <cellStyle name="Normal 33 2 4 9 2 2 3" xfId="23100"/>
    <cellStyle name="Normal 33 2 4 9 2 3" xfId="23101"/>
    <cellStyle name="Normal 33 2 4 9 2 3 2" xfId="23102"/>
    <cellStyle name="Normal 33 2 4 9 2 4" xfId="23103"/>
    <cellStyle name="Normal 33 2 4 9 3" xfId="23104"/>
    <cellStyle name="Normal 33 2 4 9 3 2" xfId="23105"/>
    <cellStyle name="Normal 33 2 4 9 3 2 2" xfId="23106"/>
    <cellStyle name="Normal 33 2 4 9 3 2 2 2" xfId="23107"/>
    <cellStyle name="Normal 33 2 4 9 3 2 3" xfId="23108"/>
    <cellStyle name="Normal 33 2 4 9 3 3" xfId="23109"/>
    <cellStyle name="Normal 33 2 4 9 3 3 2" xfId="23110"/>
    <cellStyle name="Normal 33 2 4 9 3 4" xfId="23111"/>
    <cellStyle name="Normal 33 2 4 9 4" xfId="23112"/>
    <cellStyle name="Normal 33 2 4 9 4 2" xfId="23113"/>
    <cellStyle name="Normal 33 2 4 9 4 2 2" xfId="23114"/>
    <cellStyle name="Normal 33 2 4 9 4 3" xfId="23115"/>
    <cellStyle name="Normal 33 2 4 9 5" xfId="23116"/>
    <cellStyle name="Normal 33 2 4 9 5 2" xfId="23117"/>
    <cellStyle name="Normal 33 2 4 9 6" xfId="23118"/>
    <cellStyle name="Normal 33 2 5" xfId="23119"/>
    <cellStyle name="Normal 33 2 5 10" xfId="23120"/>
    <cellStyle name="Normal 33 2 5 10 2" xfId="23121"/>
    <cellStyle name="Normal 33 2 5 10 2 2" xfId="23122"/>
    <cellStyle name="Normal 33 2 5 10 2 2 2" xfId="23123"/>
    <cellStyle name="Normal 33 2 5 10 2 2 2 2" xfId="23124"/>
    <cellStyle name="Normal 33 2 5 10 2 2 3" xfId="23125"/>
    <cellStyle name="Normal 33 2 5 10 2 3" xfId="23126"/>
    <cellStyle name="Normal 33 2 5 10 2 3 2" xfId="23127"/>
    <cellStyle name="Normal 33 2 5 10 2 4" xfId="23128"/>
    <cellStyle name="Normal 33 2 5 10 3" xfId="23129"/>
    <cellStyle name="Normal 33 2 5 10 3 2" xfId="23130"/>
    <cellStyle name="Normal 33 2 5 10 3 2 2" xfId="23131"/>
    <cellStyle name="Normal 33 2 5 10 3 2 2 2" xfId="23132"/>
    <cellStyle name="Normal 33 2 5 10 3 2 3" xfId="23133"/>
    <cellStyle name="Normal 33 2 5 10 3 3" xfId="23134"/>
    <cellStyle name="Normal 33 2 5 10 3 3 2" xfId="23135"/>
    <cellStyle name="Normal 33 2 5 10 3 4" xfId="23136"/>
    <cellStyle name="Normal 33 2 5 10 4" xfId="23137"/>
    <cellStyle name="Normal 33 2 5 10 4 2" xfId="23138"/>
    <cellStyle name="Normal 33 2 5 10 4 2 2" xfId="23139"/>
    <cellStyle name="Normal 33 2 5 10 4 3" xfId="23140"/>
    <cellStyle name="Normal 33 2 5 10 5" xfId="23141"/>
    <cellStyle name="Normal 33 2 5 10 5 2" xfId="23142"/>
    <cellStyle name="Normal 33 2 5 10 6" xfId="23143"/>
    <cellStyle name="Normal 33 2 5 11" xfId="23144"/>
    <cellStyle name="Normal 33 2 5 11 2" xfId="23145"/>
    <cellStyle name="Normal 33 2 5 11 2 2" xfId="23146"/>
    <cellStyle name="Normal 33 2 5 11 2 2 2" xfId="23147"/>
    <cellStyle name="Normal 33 2 5 11 2 2 2 2" xfId="23148"/>
    <cellStyle name="Normal 33 2 5 11 2 2 3" xfId="23149"/>
    <cellStyle name="Normal 33 2 5 11 2 3" xfId="23150"/>
    <cellStyle name="Normal 33 2 5 11 2 3 2" xfId="23151"/>
    <cellStyle name="Normal 33 2 5 11 2 4" xfId="23152"/>
    <cellStyle name="Normal 33 2 5 11 3" xfId="23153"/>
    <cellStyle name="Normal 33 2 5 11 3 2" xfId="23154"/>
    <cellStyle name="Normal 33 2 5 11 3 2 2" xfId="23155"/>
    <cellStyle name="Normal 33 2 5 11 3 2 2 2" xfId="23156"/>
    <cellStyle name="Normal 33 2 5 11 3 2 3" xfId="23157"/>
    <cellStyle name="Normal 33 2 5 11 3 3" xfId="23158"/>
    <cellStyle name="Normal 33 2 5 11 3 3 2" xfId="23159"/>
    <cellStyle name="Normal 33 2 5 11 3 4" xfId="23160"/>
    <cellStyle name="Normal 33 2 5 11 4" xfId="23161"/>
    <cellStyle name="Normal 33 2 5 11 4 2" xfId="23162"/>
    <cellStyle name="Normal 33 2 5 11 4 2 2" xfId="23163"/>
    <cellStyle name="Normal 33 2 5 11 4 3" xfId="23164"/>
    <cellStyle name="Normal 33 2 5 11 5" xfId="23165"/>
    <cellStyle name="Normal 33 2 5 11 5 2" xfId="23166"/>
    <cellStyle name="Normal 33 2 5 11 6" xfId="23167"/>
    <cellStyle name="Normal 33 2 5 12" xfId="23168"/>
    <cellStyle name="Normal 33 2 5 12 2" xfId="23169"/>
    <cellStyle name="Normal 33 2 5 12 2 2" xfId="23170"/>
    <cellStyle name="Normal 33 2 5 12 2 2 2" xfId="23171"/>
    <cellStyle name="Normal 33 2 5 12 2 2 2 2" xfId="23172"/>
    <cellStyle name="Normal 33 2 5 12 2 2 3" xfId="23173"/>
    <cellStyle name="Normal 33 2 5 12 2 3" xfId="23174"/>
    <cellStyle name="Normal 33 2 5 12 2 3 2" xfId="23175"/>
    <cellStyle name="Normal 33 2 5 12 2 4" xfId="23176"/>
    <cellStyle name="Normal 33 2 5 12 3" xfId="23177"/>
    <cellStyle name="Normal 33 2 5 12 3 2" xfId="23178"/>
    <cellStyle name="Normal 33 2 5 12 3 2 2" xfId="23179"/>
    <cellStyle name="Normal 33 2 5 12 3 2 2 2" xfId="23180"/>
    <cellStyle name="Normal 33 2 5 12 3 2 3" xfId="23181"/>
    <cellStyle name="Normal 33 2 5 12 3 3" xfId="23182"/>
    <cellStyle name="Normal 33 2 5 12 3 3 2" xfId="23183"/>
    <cellStyle name="Normal 33 2 5 12 3 4" xfId="23184"/>
    <cellStyle name="Normal 33 2 5 12 4" xfId="23185"/>
    <cellStyle name="Normal 33 2 5 12 4 2" xfId="23186"/>
    <cellStyle name="Normal 33 2 5 12 4 2 2" xfId="23187"/>
    <cellStyle name="Normal 33 2 5 12 4 3" xfId="23188"/>
    <cellStyle name="Normal 33 2 5 12 5" xfId="23189"/>
    <cellStyle name="Normal 33 2 5 12 5 2" xfId="23190"/>
    <cellStyle name="Normal 33 2 5 12 6" xfId="23191"/>
    <cellStyle name="Normal 33 2 5 13" xfId="23192"/>
    <cellStyle name="Normal 33 2 5 13 2" xfId="23193"/>
    <cellStyle name="Normal 33 2 5 13 2 2" xfId="23194"/>
    <cellStyle name="Normal 33 2 5 13 2 2 2" xfId="23195"/>
    <cellStyle name="Normal 33 2 5 13 2 2 2 2" xfId="23196"/>
    <cellStyle name="Normal 33 2 5 13 2 2 3" xfId="23197"/>
    <cellStyle name="Normal 33 2 5 13 2 3" xfId="23198"/>
    <cellStyle name="Normal 33 2 5 13 2 3 2" xfId="23199"/>
    <cellStyle name="Normal 33 2 5 13 2 4" xfId="23200"/>
    <cellStyle name="Normal 33 2 5 13 3" xfId="23201"/>
    <cellStyle name="Normal 33 2 5 13 3 2" xfId="23202"/>
    <cellStyle name="Normal 33 2 5 13 3 2 2" xfId="23203"/>
    <cellStyle name="Normal 33 2 5 13 3 2 2 2" xfId="23204"/>
    <cellStyle name="Normal 33 2 5 13 3 2 3" xfId="23205"/>
    <cellStyle name="Normal 33 2 5 13 3 3" xfId="23206"/>
    <cellStyle name="Normal 33 2 5 13 3 3 2" xfId="23207"/>
    <cellStyle name="Normal 33 2 5 13 3 4" xfId="23208"/>
    <cellStyle name="Normal 33 2 5 13 4" xfId="23209"/>
    <cellStyle name="Normal 33 2 5 13 4 2" xfId="23210"/>
    <cellStyle name="Normal 33 2 5 13 4 2 2" xfId="23211"/>
    <cellStyle name="Normal 33 2 5 13 4 3" xfId="23212"/>
    <cellStyle name="Normal 33 2 5 13 5" xfId="23213"/>
    <cellStyle name="Normal 33 2 5 13 5 2" xfId="23214"/>
    <cellStyle name="Normal 33 2 5 13 6" xfId="23215"/>
    <cellStyle name="Normal 33 2 5 14" xfId="23216"/>
    <cellStyle name="Normal 33 2 5 14 2" xfId="23217"/>
    <cellStyle name="Normal 33 2 5 14 2 2" xfId="23218"/>
    <cellStyle name="Normal 33 2 5 14 2 2 2" xfId="23219"/>
    <cellStyle name="Normal 33 2 5 14 2 3" xfId="23220"/>
    <cellStyle name="Normal 33 2 5 14 3" xfId="23221"/>
    <cellStyle name="Normal 33 2 5 14 3 2" xfId="23222"/>
    <cellStyle name="Normal 33 2 5 14 4" xfId="23223"/>
    <cellStyle name="Normal 33 2 5 15" xfId="23224"/>
    <cellStyle name="Normal 33 2 5 15 2" xfId="23225"/>
    <cellStyle name="Normal 33 2 5 15 2 2" xfId="23226"/>
    <cellStyle name="Normal 33 2 5 15 2 2 2" xfId="23227"/>
    <cellStyle name="Normal 33 2 5 15 2 3" xfId="23228"/>
    <cellStyle name="Normal 33 2 5 15 3" xfId="23229"/>
    <cellStyle name="Normal 33 2 5 15 3 2" xfId="23230"/>
    <cellStyle name="Normal 33 2 5 15 4" xfId="23231"/>
    <cellStyle name="Normal 33 2 5 16" xfId="23232"/>
    <cellStyle name="Normal 33 2 5 16 2" xfId="23233"/>
    <cellStyle name="Normal 33 2 5 16 2 2" xfId="23234"/>
    <cellStyle name="Normal 33 2 5 16 3" xfId="23235"/>
    <cellStyle name="Normal 33 2 5 17" xfId="23236"/>
    <cellStyle name="Normal 33 2 5 17 2" xfId="23237"/>
    <cellStyle name="Normal 33 2 5 18" xfId="23238"/>
    <cellStyle name="Normal 33 2 5 2" xfId="23239"/>
    <cellStyle name="Normal 33 2 5 2 2" xfId="23240"/>
    <cellStyle name="Normal 33 2 5 2 2 2" xfId="23241"/>
    <cellStyle name="Normal 33 2 5 2 2 2 2" xfId="23242"/>
    <cellStyle name="Normal 33 2 5 2 2 2 2 2" xfId="23243"/>
    <cellStyle name="Normal 33 2 5 2 2 2 3" xfId="23244"/>
    <cellStyle name="Normal 33 2 5 2 2 3" xfId="23245"/>
    <cellStyle name="Normal 33 2 5 2 2 3 2" xfId="23246"/>
    <cellStyle name="Normal 33 2 5 2 2 4" xfId="23247"/>
    <cellStyle name="Normal 33 2 5 2 3" xfId="23248"/>
    <cellStyle name="Normal 33 2 5 2 3 2" xfId="23249"/>
    <cellStyle name="Normal 33 2 5 2 3 2 2" xfId="23250"/>
    <cellStyle name="Normal 33 2 5 2 3 2 2 2" xfId="23251"/>
    <cellStyle name="Normal 33 2 5 2 3 2 3" xfId="23252"/>
    <cellStyle name="Normal 33 2 5 2 3 3" xfId="23253"/>
    <cellStyle name="Normal 33 2 5 2 3 3 2" xfId="23254"/>
    <cellStyle name="Normal 33 2 5 2 3 4" xfId="23255"/>
    <cellStyle name="Normal 33 2 5 2 4" xfId="23256"/>
    <cellStyle name="Normal 33 2 5 2 4 2" xfId="23257"/>
    <cellStyle name="Normal 33 2 5 2 4 2 2" xfId="23258"/>
    <cellStyle name="Normal 33 2 5 2 4 3" xfId="23259"/>
    <cellStyle name="Normal 33 2 5 2 5" xfId="23260"/>
    <cellStyle name="Normal 33 2 5 2 5 2" xfId="23261"/>
    <cellStyle name="Normal 33 2 5 2 6" xfId="23262"/>
    <cellStyle name="Normal 33 2 5 3" xfId="23263"/>
    <cellStyle name="Normal 33 2 5 3 2" xfId="23264"/>
    <cellStyle name="Normal 33 2 5 3 2 2" xfId="23265"/>
    <cellStyle name="Normal 33 2 5 3 2 2 2" xfId="23266"/>
    <cellStyle name="Normal 33 2 5 3 2 2 2 2" xfId="23267"/>
    <cellStyle name="Normal 33 2 5 3 2 2 3" xfId="23268"/>
    <cellStyle name="Normal 33 2 5 3 2 3" xfId="23269"/>
    <cellStyle name="Normal 33 2 5 3 2 3 2" xfId="23270"/>
    <cellStyle name="Normal 33 2 5 3 2 4" xfId="23271"/>
    <cellStyle name="Normal 33 2 5 3 3" xfId="23272"/>
    <cellStyle name="Normal 33 2 5 3 3 2" xfId="23273"/>
    <cellStyle name="Normal 33 2 5 3 3 2 2" xfId="23274"/>
    <cellStyle name="Normal 33 2 5 3 3 2 2 2" xfId="23275"/>
    <cellStyle name="Normal 33 2 5 3 3 2 3" xfId="23276"/>
    <cellStyle name="Normal 33 2 5 3 3 3" xfId="23277"/>
    <cellStyle name="Normal 33 2 5 3 3 3 2" xfId="23278"/>
    <cellStyle name="Normal 33 2 5 3 3 4" xfId="23279"/>
    <cellStyle name="Normal 33 2 5 3 4" xfId="23280"/>
    <cellStyle name="Normal 33 2 5 3 4 2" xfId="23281"/>
    <cellStyle name="Normal 33 2 5 3 4 2 2" xfId="23282"/>
    <cellStyle name="Normal 33 2 5 3 4 3" xfId="23283"/>
    <cellStyle name="Normal 33 2 5 3 5" xfId="23284"/>
    <cellStyle name="Normal 33 2 5 3 5 2" xfId="23285"/>
    <cellStyle name="Normal 33 2 5 3 6" xfId="23286"/>
    <cellStyle name="Normal 33 2 5 4" xfId="23287"/>
    <cellStyle name="Normal 33 2 5 4 2" xfId="23288"/>
    <cellStyle name="Normal 33 2 5 4 2 2" xfId="23289"/>
    <cellStyle name="Normal 33 2 5 4 2 2 2" xfId="23290"/>
    <cellStyle name="Normal 33 2 5 4 2 2 2 2" xfId="23291"/>
    <cellStyle name="Normal 33 2 5 4 2 2 3" xfId="23292"/>
    <cellStyle name="Normal 33 2 5 4 2 3" xfId="23293"/>
    <cellStyle name="Normal 33 2 5 4 2 3 2" xfId="23294"/>
    <cellStyle name="Normal 33 2 5 4 2 4" xfId="23295"/>
    <cellStyle name="Normal 33 2 5 4 3" xfId="23296"/>
    <cellStyle name="Normal 33 2 5 4 3 2" xfId="23297"/>
    <cellStyle name="Normal 33 2 5 4 3 2 2" xfId="23298"/>
    <cellStyle name="Normal 33 2 5 4 3 2 2 2" xfId="23299"/>
    <cellStyle name="Normal 33 2 5 4 3 2 3" xfId="23300"/>
    <cellStyle name="Normal 33 2 5 4 3 3" xfId="23301"/>
    <cellStyle name="Normal 33 2 5 4 3 3 2" xfId="23302"/>
    <cellStyle name="Normal 33 2 5 4 3 4" xfId="23303"/>
    <cellStyle name="Normal 33 2 5 4 4" xfId="23304"/>
    <cellStyle name="Normal 33 2 5 4 4 2" xfId="23305"/>
    <cellStyle name="Normal 33 2 5 4 4 2 2" xfId="23306"/>
    <cellStyle name="Normal 33 2 5 4 4 3" xfId="23307"/>
    <cellStyle name="Normal 33 2 5 4 5" xfId="23308"/>
    <cellStyle name="Normal 33 2 5 4 5 2" xfId="23309"/>
    <cellStyle name="Normal 33 2 5 4 6" xfId="23310"/>
    <cellStyle name="Normal 33 2 5 5" xfId="23311"/>
    <cellStyle name="Normal 33 2 5 5 2" xfId="23312"/>
    <cellStyle name="Normal 33 2 5 5 2 2" xfId="23313"/>
    <cellStyle name="Normal 33 2 5 5 2 2 2" xfId="23314"/>
    <cellStyle name="Normal 33 2 5 5 2 2 2 2" xfId="23315"/>
    <cellStyle name="Normal 33 2 5 5 2 2 3" xfId="23316"/>
    <cellStyle name="Normal 33 2 5 5 2 3" xfId="23317"/>
    <cellStyle name="Normal 33 2 5 5 2 3 2" xfId="23318"/>
    <cellStyle name="Normal 33 2 5 5 2 4" xfId="23319"/>
    <cellStyle name="Normal 33 2 5 5 3" xfId="23320"/>
    <cellStyle name="Normal 33 2 5 5 3 2" xfId="23321"/>
    <cellStyle name="Normal 33 2 5 5 3 2 2" xfId="23322"/>
    <cellStyle name="Normal 33 2 5 5 3 2 2 2" xfId="23323"/>
    <cellStyle name="Normal 33 2 5 5 3 2 3" xfId="23324"/>
    <cellStyle name="Normal 33 2 5 5 3 3" xfId="23325"/>
    <cellStyle name="Normal 33 2 5 5 3 3 2" xfId="23326"/>
    <cellStyle name="Normal 33 2 5 5 3 4" xfId="23327"/>
    <cellStyle name="Normal 33 2 5 5 4" xfId="23328"/>
    <cellStyle name="Normal 33 2 5 5 4 2" xfId="23329"/>
    <cellStyle name="Normal 33 2 5 5 4 2 2" xfId="23330"/>
    <cellStyle name="Normal 33 2 5 5 4 3" xfId="23331"/>
    <cellStyle name="Normal 33 2 5 5 5" xfId="23332"/>
    <cellStyle name="Normal 33 2 5 5 5 2" xfId="23333"/>
    <cellStyle name="Normal 33 2 5 5 6" xfId="23334"/>
    <cellStyle name="Normal 33 2 5 6" xfId="23335"/>
    <cellStyle name="Normal 33 2 5 6 2" xfId="23336"/>
    <cellStyle name="Normal 33 2 5 6 2 2" xfId="23337"/>
    <cellStyle name="Normal 33 2 5 6 2 2 2" xfId="23338"/>
    <cellStyle name="Normal 33 2 5 6 2 2 2 2" xfId="23339"/>
    <cellStyle name="Normal 33 2 5 6 2 2 3" xfId="23340"/>
    <cellStyle name="Normal 33 2 5 6 2 3" xfId="23341"/>
    <cellStyle name="Normal 33 2 5 6 2 3 2" xfId="23342"/>
    <cellStyle name="Normal 33 2 5 6 2 4" xfId="23343"/>
    <cellStyle name="Normal 33 2 5 6 3" xfId="23344"/>
    <cellStyle name="Normal 33 2 5 6 3 2" xfId="23345"/>
    <cellStyle name="Normal 33 2 5 6 3 2 2" xfId="23346"/>
    <cellStyle name="Normal 33 2 5 6 3 2 2 2" xfId="23347"/>
    <cellStyle name="Normal 33 2 5 6 3 2 3" xfId="23348"/>
    <cellStyle name="Normal 33 2 5 6 3 3" xfId="23349"/>
    <cellStyle name="Normal 33 2 5 6 3 3 2" xfId="23350"/>
    <cellStyle name="Normal 33 2 5 6 3 4" xfId="23351"/>
    <cellStyle name="Normal 33 2 5 6 4" xfId="23352"/>
    <cellStyle name="Normal 33 2 5 6 4 2" xfId="23353"/>
    <cellStyle name="Normal 33 2 5 6 4 2 2" xfId="23354"/>
    <cellStyle name="Normal 33 2 5 6 4 3" xfId="23355"/>
    <cellStyle name="Normal 33 2 5 6 5" xfId="23356"/>
    <cellStyle name="Normal 33 2 5 6 5 2" xfId="23357"/>
    <cellStyle name="Normal 33 2 5 6 6" xfId="23358"/>
    <cellStyle name="Normal 33 2 5 7" xfId="23359"/>
    <cellStyle name="Normal 33 2 5 7 2" xfId="23360"/>
    <cellStyle name="Normal 33 2 5 7 2 2" xfId="23361"/>
    <cellStyle name="Normal 33 2 5 7 2 2 2" xfId="23362"/>
    <cellStyle name="Normal 33 2 5 7 2 2 2 2" xfId="23363"/>
    <cellStyle name="Normal 33 2 5 7 2 2 3" xfId="23364"/>
    <cellStyle name="Normal 33 2 5 7 2 3" xfId="23365"/>
    <cellStyle name="Normal 33 2 5 7 2 3 2" xfId="23366"/>
    <cellStyle name="Normal 33 2 5 7 2 4" xfId="23367"/>
    <cellStyle name="Normal 33 2 5 7 3" xfId="23368"/>
    <cellStyle name="Normal 33 2 5 7 3 2" xfId="23369"/>
    <cellStyle name="Normal 33 2 5 7 3 2 2" xfId="23370"/>
    <cellStyle name="Normal 33 2 5 7 3 2 2 2" xfId="23371"/>
    <cellStyle name="Normal 33 2 5 7 3 2 3" xfId="23372"/>
    <cellStyle name="Normal 33 2 5 7 3 3" xfId="23373"/>
    <cellStyle name="Normal 33 2 5 7 3 3 2" xfId="23374"/>
    <cellStyle name="Normal 33 2 5 7 3 4" xfId="23375"/>
    <cellStyle name="Normal 33 2 5 7 4" xfId="23376"/>
    <cellStyle name="Normal 33 2 5 7 4 2" xfId="23377"/>
    <cellStyle name="Normal 33 2 5 7 4 2 2" xfId="23378"/>
    <cellStyle name="Normal 33 2 5 7 4 3" xfId="23379"/>
    <cellStyle name="Normal 33 2 5 7 5" xfId="23380"/>
    <cellStyle name="Normal 33 2 5 7 5 2" xfId="23381"/>
    <cellStyle name="Normal 33 2 5 7 6" xfId="23382"/>
    <cellStyle name="Normal 33 2 5 8" xfId="23383"/>
    <cellStyle name="Normal 33 2 5 8 2" xfId="23384"/>
    <cellStyle name="Normal 33 2 5 8 2 2" xfId="23385"/>
    <cellStyle name="Normal 33 2 5 8 2 2 2" xfId="23386"/>
    <cellStyle name="Normal 33 2 5 8 2 2 2 2" xfId="23387"/>
    <cellStyle name="Normal 33 2 5 8 2 2 3" xfId="23388"/>
    <cellStyle name="Normal 33 2 5 8 2 3" xfId="23389"/>
    <cellStyle name="Normal 33 2 5 8 2 3 2" xfId="23390"/>
    <cellStyle name="Normal 33 2 5 8 2 4" xfId="23391"/>
    <cellStyle name="Normal 33 2 5 8 3" xfId="23392"/>
    <cellStyle name="Normal 33 2 5 8 3 2" xfId="23393"/>
    <cellStyle name="Normal 33 2 5 8 3 2 2" xfId="23394"/>
    <cellStyle name="Normal 33 2 5 8 3 2 2 2" xfId="23395"/>
    <cellStyle name="Normal 33 2 5 8 3 2 3" xfId="23396"/>
    <cellStyle name="Normal 33 2 5 8 3 3" xfId="23397"/>
    <cellStyle name="Normal 33 2 5 8 3 3 2" xfId="23398"/>
    <cellStyle name="Normal 33 2 5 8 3 4" xfId="23399"/>
    <cellStyle name="Normal 33 2 5 8 4" xfId="23400"/>
    <cellStyle name="Normal 33 2 5 8 4 2" xfId="23401"/>
    <cellStyle name="Normal 33 2 5 8 4 2 2" xfId="23402"/>
    <cellStyle name="Normal 33 2 5 8 4 3" xfId="23403"/>
    <cellStyle name="Normal 33 2 5 8 5" xfId="23404"/>
    <cellStyle name="Normal 33 2 5 8 5 2" xfId="23405"/>
    <cellStyle name="Normal 33 2 5 8 6" xfId="23406"/>
    <cellStyle name="Normal 33 2 5 9" xfId="23407"/>
    <cellStyle name="Normal 33 2 5 9 2" xfId="23408"/>
    <cellStyle name="Normal 33 2 5 9 2 2" xfId="23409"/>
    <cellStyle name="Normal 33 2 5 9 2 2 2" xfId="23410"/>
    <cellStyle name="Normal 33 2 5 9 2 2 2 2" xfId="23411"/>
    <cellStyle name="Normal 33 2 5 9 2 2 3" xfId="23412"/>
    <cellStyle name="Normal 33 2 5 9 2 3" xfId="23413"/>
    <cellStyle name="Normal 33 2 5 9 2 3 2" xfId="23414"/>
    <cellStyle name="Normal 33 2 5 9 2 4" xfId="23415"/>
    <cellStyle name="Normal 33 2 5 9 3" xfId="23416"/>
    <cellStyle name="Normal 33 2 5 9 3 2" xfId="23417"/>
    <cellStyle name="Normal 33 2 5 9 3 2 2" xfId="23418"/>
    <cellStyle name="Normal 33 2 5 9 3 2 2 2" xfId="23419"/>
    <cellStyle name="Normal 33 2 5 9 3 2 3" xfId="23420"/>
    <cellStyle name="Normal 33 2 5 9 3 3" xfId="23421"/>
    <cellStyle name="Normal 33 2 5 9 3 3 2" xfId="23422"/>
    <cellStyle name="Normal 33 2 5 9 3 4" xfId="23423"/>
    <cellStyle name="Normal 33 2 5 9 4" xfId="23424"/>
    <cellStyle name="Normal 33 2 5 9 4 2" xfId="23425"/>
    <cellStyle name="Normal 33 2 5 9 4 2 2" xfId="23426"/>
    <cellStyle name="Normal 33 2 5 9 4 3" xfId="23427"/>
    <cellStyle name="Normal 33 2 5 9 5" xfId="23428"/>
    <cellStyle name="Normal 33 2 5 9 5 2" xfId="23429"/>
    <cellStyle name="Normal 33 2 5 9 6" xfId="23430"/>
    <cellStyle name="Normal 33 2 6" xfId="23431"/>
    <cellStyle name="Normal 33 2 6 10" xfId="23432"/>
    <cellStyle name="Normal 33 2 6 10 2" xfId="23433"/>
    <cellStyle name="Normal 33 2 6 10 2 2" xfId="23434"/>
    <cellStyle name="Normal 33 2 6 10 2 2 2" xfId="23435"/>
    <cellStyle name="Normal 33 2 6 10 2 2 2 2" xfId="23436"/>
    <cellStyle name="Normal 33 2 6 10 2 2 3" xfId="23437"/>
    <cellStyle name="Normal 33 2 6 10 2 3" xfId="23438"/>
    <cellStyle name="Normal 33 2 6 10 2 3 2" xfId="23439"/>
    <cellStyle name="Normal 33 2 6 10 2 4" xfId="23440"/>
    <cellStyle name="Normal 33 2 6 10 3" xfId="23441"/>
    <cellStyle name="Normal 33 2 6 10 3 2" xfId="23442"/>
    <cellStyle name="Normal 33 2 6 10 3 2 2" xfId="23443"/>
    <cellStyle name="Normal 33 2 6 10 3 2 2 2" xfId="23444"/>
    <cellStyle name="Normal 33 2 6 10 3 2 3" xfId="23445"/>
    <cellStyle name="Normal 33 2 6 10 3 3" xfId="23446"/>
    <cellStyle name="Normal 33 2 6 10 3 3 2" xfId="23447"/>
    <cellStyle name="Normal 33 2 6 10 3 4" xfId="23448"/>
    <cellStyle name="Normal 33 2 6 10 4" xfId="23449"/>
    <cellStyle name="Normal 33 2 6 10 4 2" xfId="23450"/>
    <cellStyle name="Normal 33 2 6 10 4 2 2" xfId="23451"/>
    <cellStyle name="Normal 33 2 6 10 4 3" xfId="23452"/>
    <cellStyle name="Normal 33 2 6 10 5" xfId="23453"/>
    <cellStyle name="Normal 33 2 6 10 5 2" xfId="23454"/>
    <cellStyle name="Normal 33 2 6 10 6" xfId="23455"/>
    <cellStyle name="Normal 33 2 6 11" xfId="23456"/>
    <cellStyle name="Normal 33 2 6 11 2" xfId="23457"/>
    <cellStyle name="Normal 33 2 6 11 2 2" xfId="23458"/>
    <cellStyle name="Normal 33 2 6 11 2 2 2" xfId="23459"/>
    <cellStyle name="Normal 33 2 6 11 2 2 2 2" xfId="23460"/>
    <cellStyle name="Normal 33 2 6 11 2 2 3" xfId="23461"/>
    <cellStyle name="Normal 33 2 6 11 2 3" xfId="23462"/>
    <cellStyle name="Normal 33 2 6 11 2 3 2" xfId="23463"/>
    <cellStyle name="Normal 33 2 6 11 2 4" xfId="23464"/>
    <cellStyle name="Normal 33 2 6 11 3" xfId="23465"/>
    <cellStyle name="Normal 33 2 6 11 3 2" xfId="23466"/>
    <cellStyle name="Normal 33 2 6 11 3 2 2" xfId="23467"/>
    <cellStyle name="Normal 33 2 6 11 3 2 2 2" xfId="23468"/>
    <cellStyle name="Normal 33 2 6 11 3 2 3" xfId="23469"/>
    <cellStyle name="Normal 33 2 6 11 3 3" xfId="23470"/>
    <cellStyle name="Normal 33 2 6 11 3 3 2" xfId="23471"/>
    <cellStyle name="Normal 33 2 6 11 3 4" xfId="23472"/>
    <cellStyle name="Normal 33 2 6 11 4" xfId="23473"/>
    <cellStyle name="Normal 33 2 6 11 4 2" xfId="23474"/>
    <cellStyle name="Normal 33 2 6 11 4 2 2" xfId="23475"/>
    <cellStyle name="Normal 33 2 6 11 4 3" xfId="23476"/>
    <cellStyle name="Normal 33 2 6 11 5" xfId="23477"/>
    <cellStyle name="Normal 33 2 6 11 5 2" xfId="23478"/>
    <cellStyle name="Normal 33 2 6 11 6" xfId="23479"/>
    <cellStyle name="Normal 33 2 6 12" xfId="23480"/>
    <cellStyle name="Normal 33 2 6 12 2" xfId="23481"/>
    <cellStyle name="Normal 33 2 6 12 2 2" xfId="23482"/>
    <cellStyle name="Normal 33 2 6 12 2 2 2" xfId="23483"/>
    <cellStyle name="Normal 33 2 6 12 2 2 2 2" xfId="23484"/>
    <cellStyle name="Normal 33 2 6 12 2 2 3" xfId="23485"/>
    <cellStyle name="Normal 33 2 6 12 2 3" xfId="23486"/>
    <cellStyle name="Normal 33 2 6 12 2 3 2" xfId="23487"/>
    <cellStyle name="Normal 33 2 6 12 2 4" xfId="23488"/>
    <cellStyle name="Normal 33 2 6 12 3" xfId="23489"/>
    <cellStyle name="Normal 33 2 6 12 3 2" xfId="23490"/>
    <cellStyle name="Normal 33 2 6 12 3 2 2" xfId="23491"/>
    <cellStyle name="Normal 33 2 6 12 3 2 2 2" xfId="23492"/>
    <cellStyle name="Normal 33 2 6 12 3 2 3" xfId="23493"/>
    <cellStyle name="Normal 33 2 6 12 3 3" xfId="23494"/>
    <cellStyle name="Normal 33 2 6 12 3 3 2" xfId="23495"/>
    <cellStyle name="Normal 33 2 6 12 3 4" xfId="23496"/>
    <cellStyle name="Normal 33 2 6 12 4" xfId="23497"/>
    <cellStyle name="Normal 33 2 6 12 4 2" xfId="23498"/>
    <cellStyle name="Normal 33 2 6 12 4 2 2" xfId="23499"/>
    <cellStyle name="Normal 33 2 6 12 4 3" xfId="23500"/>
    <cellStyle name="Normal 33 2 6 12 5" xfId="23501"/>
    <cellStyle name="Normal 33 2 6 12 5 2" xfId="23502"/>
    <cellStyle name="Normal 33 2 6 12 6" xfId="23503"/>
    <cellStyle name="Normal 33 2 6 13" xfId="23504"/>
    <cellStyle name="Normal 33 2 6 13 2" xfId="23505"/>
    <cellStyle name="Normal 33 2 6 13 2 2" xfId="23506"/>
    <cellStyle name="Normal 33 2 6 13 2 2 2" xfId="23507"/>
    <cellStyle name="Normal 33 2 6 13 2 2 2 2" xfId="23508"/>
    <cellStyle name="Normal 33 2 6 13 2 2 3" xfId="23509"/>
    <cellStyle name="Normal 33 2 6 13 2 3" xfId="23510"/>
    <cellStyle name="Normal 33 2 6 13 2 3 2" xfId="23511"/>
    <cellStyle name="Normal 33 2 6 13 2 4" xfId="23512"/>
    <cellStyle name="Normal 33 2 6 13 3" xfId="23513"/>
    <cellStyle name="Normal 33 2 6 13 3 2" xfId="23514"/>
    <cellStyle name="Normal 33 2 6 13 3 2 2" xfId="23515"/>
    <cellStyle name="Normal 33 2 6 13 3 2 2 2" xfId="23516"/>
    <cellStyle name="Normal 33 2 6 13 3 2 3" xfId="23517"/>
    <cellStyle name="Normal 33 2 6 13 3 3" xfId="23518"/>
    <cellStyle name="Normal 33 2 6 13 3 3 2" xfId="23519"/>
    <cellStyle name="Normal 33 2 6 13 3 4" xfId="23520"/>
    <cellStyle name="Normal 33 2 6 13 4" xfId="23521"/>
    <cellStyle name="Normal 33 2 6 13 4 2" xfId="23522"/>
    <cellStyle name="Normal 33 2 6 13 4 2 2" xfId="23523"/>
    <cellStyle name="Normal 33 2 6 13 4 3" xfId="23524"/>
    <cellStyle name="Normal 33 2 6 13 5" xfId="23525"/>
    <cellStyle name="Normal 33 2 6 13 5 2" xfId="23526"/>
    <cellStyle name="Normal 33 2 6 13 6" xfId="23527"/>
    <cellStyle name="Normal 33 2 6 14" xfId="23528"/>
    <cellStyle name="Normal 33 2 6 14 2" xfId="23529"/>
    <cellStyle name="Normal 33 2 6 14 2 2" xfId="23530"/>
    <cellStyle name="Normal 33 2 6 14 2 2 2" xfId="23531"/>
    <cellStyle name="Normal 33 2 6 14 2 3" xfId="23532"/>
    <cellStyle name="Normal 33 2 6 14 3" xfId="23533"/>
    <cellStyle name="Normal 33 2 6 14 3 2" xfId="23534"/>
    <cellStyle name="Normal 33 2 6 14 4" xfId="23535"/>
    <cellStyle name="Normal 33 2 6 15" xfId="23536"/>
    <cellStyle name="Normal 33 2 6 15 2" xfId="23537"/>
    <cellStyle name="Normal 33 2 6 15 2 2" xfId="23538"/>
    <cellStyle name="Normal 33 2 6 15 2 2 2" xfId="23539"/>
    <cellStyle name="Normal 33 2 6 15 2 3" xfId="23540"/>
    <cellStyle name="Normal 33 2 6 15 3" xfId="23541"/>
    <cellStyle name="Normal 33 2 6 15 3 2" xfId="23542"/>
    <cellStyle name="Normal 33 2 6 15 4" xfId="23543"/>
    <cellStyle name="Normal 33 2 6 16" xfId="23544"/>
    <cellStyle name="Normal 33 2 6 16 2" xfId="23545"/>
    <cellStyle name="Normal 33 2 6 16 2 2" xfId="23546"/>
    <cellStyle name="Normal 33 2 6 16 3" xfId="23547"/>
    <cellStyle name="Normal 33 2 6 17" xfId="23548"/>
    <cellStyle name="Normal 33 2 6 17 2" xfId="23549"/>
    <cellStyle name="Normal 33 2 6 18" xfId="23550"/>
    <cellStyle name="Normal 33 2 6 2" xfId="23551"/>
    <cellStyle name="Normal 33 2 6 2 2" xfId="23552"/>
    <cellStyle name="Normal 33 2 6 2 2 2" xfId="23553"/>
    <cellStyle name="Normal 33 2 6 2 2 2 2" xfId="23554"/>
    <cellStyle name="Normal 33 2 6 2 2 2 2 2" xfId="23555"/>
    <cellStyle name="Normal 33 2 6 2 2 2 3" xfId="23556"/>
    <cellStyle name="Normal 33 2 6 2 2 3" xfId="23557"/>
    <cellStyle name="Normal 33 2 6 2 2 3 2" xfId="23558"/>
    <cellStyle name="Normal 33 2 6 2 2 4" xfId="23559"/>
    <cellStyle name="Normal 33 2 6 2 3" xfId="23560"/>
    <cellStyle name="Normal 33 2 6 2 3 2" xfId="23561"/>
    <cellStyle name="Normal 33 2 6 2 3 2 2" xfId="23562"/>
    <cellStyle name="Normal 33 2 6 2 3 2 2 2" xfId="23563"/>
    <cellStyle name="Normal 33 2 6 2 3 2 3" xfId="23564"/>
    <cellStyle name="Normal 33 2 6 2 3 3" xfId="23565"/>
    <cellStyle name="Normal 33 2 6 2 3 3 2" xfId="23566"/>
    <cellStyle name="Normal 33 2 6 2 3 4" xfId="23567"/>
    <cellStyle name="Normal 33 2 6 2 4" xfId="23568"/>
    <cellStyle name="Normal 33 2 6 2 4 2" xfId="23569"/>
    <cellStyle name="Normal 33 2 6 2 4 2 2" xfId="23570"/>
    <cellStyle name="Normal 33 2 6 2 4 3" xfId="23571"/>
    <cellStyle name="Normal 33 2 6 2 5" xfId="23572"/>
    <cellStyle name="Normal 33 2 6 2 5 2" xfId="23573"/>
    <cellStyle name="Normal 33 2 6 2 6" xfId="23574"/>
    <cellStyle name="Normal 33 2 6 3" xfId="23575"/>
    <cellStyle name="Normal 33 2 6 3 2" xfId="23576"/>
    <cellStyle name="Normal 33 2 6 3 2 2" xfId="23577"/>
    <cellStyle name="Normal 33 2 6 3 2 2 2" xfId="23578"/>
    <cellStyle name="Normal 33 2 6 3 2 2 2 2" xfId="23579"/>
    <cellStyle name="Normal 33 2 6 3 2 2 3" xfId="23580"/>
    <cellStyle name="Normal 33 2 6 3 2 3" xfId="23581"/>
    <cellStyle name="Normal 33 2 6 3 2 3 2" xfId="23582"/>
    <cellStyle name="Normal 33 2 6 3 2 4" xfId="23583"/>
    <cellStyle name="Normal 33 2 6 3 3" xfId="23584"/>
    <cellStyle name="Normal 33 2 6 3 3 2" xfId="23585"/>
    <cellStyle name="Normal 33 2 6 3 3 2 2" xfId="23586"/>
    <cellStyle name="Normal 33 2 6 3 3 2 2 2" xfId="23587"/>
    <cellStyle name="Normal 33 2 6 3 3 2 3" xfId="23588"/>
    <cellStyle name="Normal 33 2 6 3 3 3" xfId="23589"/>
    <cellStyle name="Normal 33 2 6 3 3 3 2" xfId="23590"/>
    <cellStyle name="Normal 33 2 6 3 3 4" xfId="23591"/>
    <cellStyle name="Normal 33 2 6 3 4" xfId="23592"/>
    <cellStyle name="Normal 33 2 6 3 4 2" xfId="23593"/>
    <cellStyle name="Normal 33 2 6 3 4 2 2" xfId="23594"/>
    <cellStyle name="Normal 33 2 6 3 4 3" xfId="23595"/>
    <cellStyle name="Normal 33 2 6 3 5" xfId="23596"/>
    <cellStyle name="Normal 33 2 6 3 5 2" xfId="23597"/>
    <cellStyle name="Normal 33 2 6 3 6" xfId="23598"/>
    <cellStyle name="Normal 33 2 6 4" xfId="23599"/>
    <cellStyle name="Normal 33 2 6 4 2" xfId="23600"/>
    <cellStyle name="Normal 33 2 6 4 2 2" xfId="23601"/>
    <cellStyle name="Normal 33 2 6 4 2 2 2" xfId="23602"/>
    <cellStyle name="Normal 33 2 6 4 2 2 2 2" xfId="23603"/>
    <cellStyle name="Normal 33 2 6 4 2 2 3" xfId="23604"/>
    <cellStyle name="Normal 33 2 6 4 2 3" xfId="23605"/>
    <cellStyle name="Normal 33 2 6 4 2 3 2" xfId="23606"/>
    <cellStyle name="Normal 33 2 6 4 2 4" xfId="23607"/>
    <cellStyle name="Normal 33 2 6 4 3" xfId="23608"/>
    <cellStyle name="Normal 33 2 6 4 3 2" xfId="23609"/>
    <cellStyle name="Normal 33 2 6 4 3 2 2" xfId="23610"/>
    <cellStyle name="Normal 33 2 6 4 3 2 2 2" xfId="23611"/>
    <cellStyle name="Normal 33 2 6 4 3 2 3" xfId="23612"/>
    <cellStyle name="Normal 33 2 6 4 3 3" xfId="23613"/>
    <cellStyle name="Normal 33 2 6 4 3 3 2" xfId="23614"/>
    <cellStyle name="Normal 33 2 6 4 3 4" xfId="23615"/>
    <cellStyle name="Normal 33 2 6 4 4" xfId="23616"/>
    <cellStyle name="Normal 33 2 6 4 4 2" xfId="23617"/>
    <cellStyle name="Normal 33 2 6 4 4 2 2" xfId="23618"/>
    <cellStyle name="Normal 33 2 6 4 4 3" xfId="23619"/>
    <cellStyle name="Normal 33 2 6 4 5" xfId="23620"/>
    <cellStyle name="Normal 33 2 6 4 5 2" xfId="23621"/>
    <cellStyle name="Normal 33 2 6 4 6" xfId="23622"/>
    <cellStyle name="Normal 33 2 6 5" xfId="23623"/>
    <cellStyle name="Normal 33 2 6 5 2" xfId="23624"/>
    <cellStyle name="Normal 33 2 6 5 2 2" xfId="23625"/>
    <cellStyle name="Normal 33 2 6 5 2 2 2" xfId="23626"/>
    <cellStyle name="Normal 33 2 6 5 2 2 2 2" xfId="23627"/>
    <cellStyle name="Normal 33 2 6 5 2 2 3" xfId="23628"/>
    <cellStyle name="Normal 33 2 6 5 2 3" xfId="23629"/>
    <cellStyle name="Normal 33 2 6 5 2 3 2" xfId="23630"/>
    <cellStyle name="Normal 33 2 6 5 2 4" xfId="23631"/>
    <cellStyle name="Normal 33 2 6 5 3" xfId="23632"/>
    <cellStyle name="Normal 33 2 6 5 3 2" xfId="23633"/>
    <cellStyle name="Normal 33 2 6 5 3 2 2" xfId="23634"/>
    <cellStyle name="Normal 33 2 6 5 3 2 2 2" xfId="23635"/>
    <cellStyle name="Normal 33 2 6 5 3 2 3" xfId="23636"/>
    <cellStyle name="Normal 33 2 6 5 3 3" xfId="23637"/>
    <cellStyle name="Normal 33 2 6 5 3 3 2" xfId="23638"/>
    <cellStyle name="Normal 33 2 6 5 3 4" xfId="23639"/>
    <cellStyle name="Normal 33 2 6 5 4" xfId="23640"/>
    <cellStyle name="Normal 33 2 6 5 4 2" xfId="23641"/>
    <cellStyle name="Normal 33 2 6 5 4 2 2" xfId="23642"/>
    <cellStyle name="Normal 33 2 6 5 4 3" xfId="23643"/>
    <cellStyle name="Normal 33 2 6 5 5" xfId="23644"/>
    <cellStyle name="Normal 33 2 6 5 5 2" xfId="23645"/>
    <cellStyle name="Normal 33 2 6 5 6" xfId="23646"/>
    <cellStyle name="Normal 33 2 6 6" xfId="23647"/>
    <cellStyle name="Normal 33 2 6 6 2" xfId="23648"/>
    <cellStyle name="Normal 33 2 6 6 2 2" xfId="23649"/>
    <cellStyle name="Normal 33 2 6 6 2 2 2" xfId="23650"/>
    <cellStyle name="Normal 33 2 6 6 2 2 2 2" xfId="23651"/>
    <cellStyle name="Normal 33 2 6 6 2 2 3" xfId="23652"/>
    <cellStyle name="Normal 33 2 6 6 2 3" xfId="23653"/>
    <cellStyle name="Normal 33 2 6 6 2 3 2" xfId="23654"/>
    <cellStyle name="Normal 33 2 6 6 2 4" xfId="23655"/>
    <cellStyle name="Normal 33 2 6 6 3" xfId="23656"/>
    <cellStyle name="Normal 33 2 6 6 3 2" xfId="23657"/>
    <cellStyle name="Normal 33 2 6 6 3 2 2" xfId="23658"/>
    <cellStyle name="Normal 33 2 6 6 3 2 2 2" xfId="23659"/>
    <cellStyle name="Normal 33 2 6 6 3 2 3" xfId="23660"/>
    <cellStyle name="Normal 33 2 6 6 3 3" xfId="23661"/>
    <cellStyle name="Normal 33 2 6 6 3 3 2" xfId="23662"/>
    <cellStyle name="Normal 33 2 6 6 3 4" xfId="23663"/>
    <cellStyle name="Normal 33 2 6 6 4" xfId="23664"/>
    <cellStyle name="Normal 33 2 6 6 4 2" xfId="23665"/>
    <cellStyle name="Normal 33 2 6 6 4 2 2" xfId="23666"/>
    <cellStyle name="Normal 33 2 6 6 4 3" xfId="23667"/>
    <cellStyle name="Normal 33 2 6 6 5" xfId="23668"/>
    <cellStyle name="Normal 33 2 6 6 5 2" xfId="23669"/>
    <cellStyle name="Normal 33 2 6 6 6" xfId="23670"/>
    <cellStyle name="Normal 33 2 6 7" xfId="23671"/>
    <cellStyle name="Normal 33 2 6 7 2" xfId="23672"/>
    <cellStyle name="Normal 33 2 6 7 2 2" xfId="23673"/>
    <cellStyle name="Normal 33 2 6 7 2 2 2" xfId="23674"/>
    <cellStyle name="Normal 33 2 6 7 2 2 2 2" xfId="23675"/>
    <cellStyle name="Normal 33 2 6 7 2 2 3" xfId="23676"/>
    <cellStyle name="Normal 33 2 6 7 2 3" xfId="23677"/>
    <cellStyle name="Normal 33 2 6 7 2 3 2" xfId="23678"/>
    <cellStyle name="Normal 33 2 6 7 2 4" xfId="23679"/>
    <cellStyle name="Normal 33 2 6 7 3" xfId="23680"/>
    <cellStyle name="Normal 33 2 6 7 3 2" xfId="23681"/>
    <cellStyle name="Normal 33 2 6 7 3 2 2" xfId="23682"/>
    <cellStyle name="Normal 33 2 6 7 3 2 2 2" xfId="23683"/>
    <cellStyle name="Normal 33 2 6 7 3 2 3" xfId="23684"/>
    <cellStyle name="Normal 33 2 6 7 3 3" xfId="23685"/>
    <cellStyle name="Normal 33 2 6 7 3 3 2" xfId="23686"/>
    <cellStyle name="Normal 33 2 6 7 3 4" xfId="23687"/>
    <cellStyle name="Normal 33 2 6 7 4" xfId="23688"/>
    <cellStyle name="Normal 33 2 6 7 4 2" xfId="23689"/>
    <cellStyle name="Normal 33 2 6 7 4 2 2" xfId="23690"/>
    <cellStyle name="Normal 33 2 6 7 4 3" xfId="23691"/>
    <cellStyle name="Normal 33 2 6 7 5" xfId="23692"/>
    <cellStyle name="Normal 33 2 6 7 5 2" xfId="23693"/>
    <cellStyle name="Normal 33 2 6 7 6" xfId="23694"/>
    <cellStyle name="Normal 33 2 6 8" xfId="23695"/>
    <cellStyle name="Normal 33 2 6 8 2" xfId="23696"/>
    <cellStyle name="Normal 33 2 6 8 2 2" xfId="23697"/>
    <cellStyle name="Normal 33 2 6 8 2 2 2" xfId="23698"/>
    <cellStyle name="Normal 33 2 6 8 2 2 2 2" xfId="23699"/>
    <cellStyle name="Normal 33 2 6 8 2 2 3" xfId="23700"/>
    <cellStyle name="Normal 33 2 6 8 2 3" xfId="23701"/>
    <cellStyle name="Normal 33 2 6 8 2 3 2" xfId="23702"/>
    <cellStyle name="Normal 33 2 6 8 2 4" xfId="23703"/>
    <cellStyle name="Normal 33 2 6 8 3" xfId="23704"/>
    <cellStyle name="Normal 33 2 6 8 3 2" xfId="23705"/>
    <cellStyle name="Normal 33 2 6 8 3 2 2" xfId="23706"/>
    <cellStyle name="Normal 33 2 6 8 3 2 2 2" xfId="23707"/>
    <cellStyle name="Normal 33 2 6 8 3 2 3" xfId="23708"/>
    <cellStyle name="Normal 33 2 6 8 3 3" xfId="23709"/>
    <cellStyle name="Normal 33 2 6 8 3 3 2" xfId="23710"/>
    <cellStyle name="Normal 33 2 6 8 3 4" xfId="23711"/>
    <cellStyle name="Normal 33 2 6 8 4" xfId="23712"/>
    <cellStyle name="Normal 33 2 6 8 4 2" xfId="23713"/>
    <cellStyle name="Normal 33 2 6 8 4 2 2" xfId="23714"/>
    <cellStyle name="Normal 33 2 6 8 4 3" xfId="23715"/>
    <cellStyle name="Normal 33 2 6 8 5" xfId="23716"/>
    <cellStyle name="Normal 33 2 6 8 5 2" xfId="23717"/>
    <cellStyle name="Normal 33 2 6 8 6" xfId="23718"/>
    <cellStyle name="Normal 33 2 6 9" xfId="23719"/>
    <cellStyle name="Normal 33 2 6 9 2" xfId="23720"/>
    <cellStyle name="Normal 33 2 6 9 2 2" xfId="23721"/>
    <cellStyle name="Normal 33 2 6 9 2 2 2" xfId="23722"/>
    <cellStyle name="Normal 33 2 6 9 2 2 2 2" xfId="23723"/>
    <cellStyle name="Normal 33 2 6 9 2 2 3" xfId="23724"/>
    <cellStyle name="Normal 33 2 6 9 2 3" xfId="23725"/>
    <cellStyle name="Normal 33 2 6 9 2 3 2" xfId="23726"/>
    <cellStyle name="Normal 33 2 6 9 2 4" xfId="23727"/>
    <cellStyle name="Normal 33 2 6 9 3" xfId="23728"/>
    <cellStyle name="Normal 33 2 6 9 3 2" xfId="23729"/>
    <cellStyle name="Normal 33 2 6 9 3 2 2" xfId="23730"/>
    <cellStyle name="Normal 33 2 6 9 3 2 2 2" xfId="23731"/>
    <cellStyle name="Normal 33 2 6 9 3 2 3" xfId="23732"/>
    <cellStyle name="Normal 33 2 6 9 3 3" xfId="23733"/>
    <cellStyle name="Normal 33 2 6 9 3 3 2" xfId="23734"/>
    <cellStyle name="Normal 33 2 6 9 3 4" xfId="23735"/>
    <cellStyle name="Normal 33 2 6 9 4" xfId="23736"/>
    <cellStyle name="Normal 33 2 6 9 4 2" xfId="23737"/>
    <cellStyle name="Normal 33 2 6 9 4 2 2" xfId="23738"/>
    <cellStyle name="Normal 33 2 6 9 4 3" xfId="23739"/>
    <cellStyle name="Normal 33 2 6 9 5" xfId="23740"/>
    <cellStyle name="Normal 33 2 6 9 5 2" xfId="23741"/>
    <cellStyle name="Normal 33 2 6 9 6" xfId="23742"/>
    <cellStyle name="Normal 33 2 7" xfId="23743"/>
    <cellStyle name="Normal 33 2 7 10" xfId="23744"/>
    <cellStyle name="Normal 33 2 7 10 2" xfId="23745"/>
    <cellStyle name="Normal 33 2 7 10 2 2" xfId="23746"/>
    <cellStyle name="Normal 33 2 7 10 2 2 2" xfId="23747"/>
    <cellStyle name="Normal 33 2 7 10 2 2 2 2" xfId="23748"/>
    <cellStyle name="Normal 33 2 7 10 2 2 3" xfId="23749"/>
    <cellStyle name="Normal 33 2 7 10 2 3" xfId="23750"/>
    <cellStyle name="Normal 33 2 7 10 2 3 2" xfId="23751"/>
    <cellStyle name="Normal 33 2 7 10 2 4" xfId="23752"/>
    <cellStyle name="Normal 33 2 7 10 3" xfId="23753"/>
    <cellStyle name="Normal 33 2 7 10 3 2" xfId="23754"/>
    <cellStyle name="Normal 33 2 7 10 3 2 2" xfId="23755"/>
    <cellStyle name="Normal 33 2 7 10 3 2 2 2" xfId="23756"/>
    <cellStyle name="Normal 33 2 7 10 3 2 3" xfId="23757"/>
    <cellStyle name="Normal 33 2 7 10 3 3" xfId="23758"/>
    <cellStyle name="Normal 33 2 7 10 3 3 2" xfId="23759"/>
    <cellStyle name="Normal 33 2 7 10 3 4" xfId="23760"/>
    <cellStyle name="Normal 33 2 7 10 4" xfId="23761"/>
    <cellStyle name="Normal 33 2 7 10 4 2" xfId="23762"/>
    <cellStyle name="Normal 33 2 7 10 4 2 2" xfId="23763"/>
    <cellStyle name="Normal 33 2 7 10 4 3" xfId="23764"/>
    <cellStyle name="Normal 33 2 7 10 5" xfId="23765"/>
    <cellStyle name="Normal 33 2 7 10 5 2" xfId="23766"/>
    <cellStyle name="Normal 33 2 7 10 6" xfId="23767"/>
    <cellStyle name="Normal 33 2 7 11" xfId="23768"/>
    <cellStyle name="Normal 33 2 7 11 2" xfId="23769"/>
    <cellStyle name="Normal 33 2 7 11 2 2" xfId="23770"/>
    <cellStyle name="Normal 33 2 7 11 2 2 2" xfId="23771"/>
    <cellStyle name="Normal 33 2 7 11 2 2 2 2" xfId="23772"/>
    <cellStyle name="Normal 33 2 7 11 2 2 3" xfId="23773"/>
    <cellStyle name="Normal 33 2 7 11 2 3" xfId="23774"/>
    <cellStyle name="Normal 33 2 7 11 2 3 2" xfId="23775"/>
    <cellStyle name="Normal 33 2 7 11 2 4" xfId="23776"/>
    <cellStyle name="Normal 33 2 7 11 3" xfId="23777"/>
    <cellStyle name="Normal 33 2 7 11 3 2" xfId="23778"/>
    <cellStyle name="Normal 33 2 7 11 3 2 2" xfId="23779"/>
    <cellStyle name="Normal 33 2 7 11 3 2 2 2" xfId="23780"/>
    <cellStyle name="Normal 33 2 7 11 3 2 3" xfId="23781"/>
    <cellStyle name="Normal 33 2 7 11 3 3" xfId="23782"/>
    <cellStyle name="Normal 33 2 7 11 3 3 2" xfId="23783"/>
    <cellStyle name="Normal 33 2 7 11 3 4" xfId="23784"/>
    <cellStyle name="Normal 33 2 7 11 4" xfId="23785"/>
    <cellStyle name="Normal 33 2 7 11 4 2" xfId="23786"/>
    <cellStyle name="Normal 33 2 7 11 4 2 2" xfId="23787"/>
    <cellStyle name="Normal 33 2 7 11 4 3" xfId="23788"/>
    <cellStyle name="Normal 33 2 7 11 5" xfId="23789"/>
    <cellStyle name="Normal 33 2 7 11 5 2" xfId="23790"/>
    <cellStyle name="Normal 33 2 7 11 6" xfId="23791"/>
    <cellStyle name="Normal 33 2 7 12" xfId="23792"/>
    <cellStyle name="Normal 33 2 7 12 2" xfId="23793"/>
    <cellStyle name="Normal 33 2 7 12 2 2" xfId="23794"/>
    <cellStyle name="Normal 33 2 7 12 2 2 2" xfId="23795"/>
    <cellStyle name="Normal 33 2 7 12 2 2 2 2" xfId="23796"/>
    <cellStyle name="Normal 33 2 7 12 2 2 3" xfId="23797"/>
    <cellStyle name="Normal 33 2 7 12 2 3" xfId="23798"/>
    <cellStyle name="Normal 33 2 7 12 2 3 2" xfId="23799"/>
    <cellStyle name="Normal 33 2 7 12 2 4" xfId="23800"/>
    <cellStyle name="Normal 33 2 7 12 3" xfId="23801"/>
    <cellStyle name="Normal 33 2 7 12 3 2" xfId="23802"/>
    <cellStyle name="Normal 33 2 7 12 3 2 2" xfId="23803"/>
    <cellStyle name="Normal 33 2 7 12 3 2 2 2" xfId="23804"/>
    <cellStyle name="Normal 33 2 7 12 3 2 3" xfId="23805"/>
    <cellStyle name="Normal 33 2 7 12 3 3" xfId="23806"/>
    <cellStyle name="Normal 33 2 7 12 3 3 2" xfId="23807"/>
    <cellStyle name="Normal 33 2 7 12 3 4" xfId="23808"/>
    <cellStyle name="Normal 33 2 7 12 4" xfId="23809"/>
    <cellStyle name="Normal 33 2 7 12 4 2" xfId="23810"/>
    <cellStyle name="Normal 33 2 7 12 4 2 2" xfId="23811"/>
    <cellStyle name="Normal 33 2 7 12 4 3" xfId="23812"/>
    <cellStyle name="Normal 33 2 7 12 5" xfId="23813"/>
    <cellStyle name="Normal 33 2 7 12 5 2" xfId="23814"/>
    <cellStyle name="Normal 33 2 7 12 6" xfId="23815"/>
    <cellStyle name="Normal 33 2 7 13" xfId="23816"/>
    <cellStyle name="Normal 33 2 7 13 2" xfId="23817"/>
    <cellStyle name="Normal 33 2 7 13 2 2" xfId="23818"/>
    <cellStyle name="Normal 33 2 7 13 2 2 2" xfId="23819"/>
    <cellStyle name="Normal 33 2 7 13 2 2 2 2" xfId="23820"/>
    <cellStyle name="Normal 33 2 7 13 2 2 3" xfId="23821"/>
    <cellStyle name="Normal 33 2 7 13 2 3" xfId="23822"/>
    <cellStyle name="Normal 33 2 7 13 2 3 2" xfId="23823"/>
    <cellStyle name="Normal 33 2 7 13 2 4" xfId="23824"/>
    <cellStyle name="Normal 33 2 7 13 3" xfId="23825"/>
    <cellStyle name="Normal 33 2 7 13 3 2" xfId="23826"/>
    <cellStyle name="Normal 33 2 7 13 3 2 2" xfId="23827"/>
    <cellStyle name="Normal 33 2 7 13 3 2 2 2" xfId="23828"/>
    <cellStyle name="Normal 33 2 7 13 3 2 3" xfId="23829"/>
    <cellStyle name="Normal 33 2 7 13 3 3" xfId="23830"/>
    <cellStyle name="Normal 33 2 7 13 3 3 2" xfId="23831"/>
    <cellStyle name="Normal 33 2 7 13 3 4" xfId="23832"/>
    <cellStyle name="Normal 33 2 7 13 4" xfId="23833"/>
    <cellStyle name="Normal 33 2 7 13 4 2" xfId="23834"/>
    <cellStyle name="Normal 33 2 7 13 4 2 2" xfId="23835"/>
    <cellStyle name="Normal 33 2 7 13 4 3" xfId="23836"/>
    <cellStyle name="Normal 33 2 7 13 5" xfId="23837"/>
    <cellStyle name="Normal 33 2 7 13 5 2" xfId="23838"/>
    <cellStyle name="Normal 33 2 7 13 6" xfId="23839"/>
    <cellStyle name="Normal 33 2 7 14" xfId="23840"/>
    <cellStyle name="Normal 33 2 7 14 2" xfId="23841"/>
    <cellStyle name="Normal 33 2 7 14 2 2" xfId="23842"/>
    <cellStyle name="Normal 33 2 7 14 2 2 2" xfId="23843"/>
    <cellStyle name="Normal 33 2 7 14 2 3" xfId="23844"/>
    <cellStyle name="Normal 33 2 7 14 3" xfId="23845"/>
    <cellStyle name="Normal 33 2 7 14 3 2" xfId="23846"/>
    <cellStyle name="Normal 33 2 7 14 4" xfId="23847"/>
    <cellStyle name="Normal 33 2 7 15" xfId="23848"/>
    <cellStyle name="Normal 33 2 7 15 2" xfId="23849"/>
    <cellStyle name="Normal 33 2 7 15 2 2" xfId="23850"/>
    <cellStyle name="Normal 33 2 7 15 2 2 2" xfId="23851"/>
    <cellStyle name="Normal 33 2 7 15 2 3" xfId="23852"/>
    <cellStyle name="Normal 33 2 7 15 3" xfId="23853"/>
    <cellStyle name="Normal 33 2 7 15 3 2" xfId="23854"/>
    <cellStyle name="Normal 33 2 7 15 4" xfId="23855"/>
    <cellStyle name="Normal 33 2 7 16" xfId="23856"/>
    <cellStyle name="Normal 33 2 7 16 2" xfId="23857"/>
    <cellStyle name="Normal 33 2 7 16 2 2" xfId="23858"/>
    <cellStyle name="Normal 33 2 7 16 3" xfId="23859"/>
    <cellStyle name="Normal 33 2 7 17" xfId="23860"/>
    <cellStyle name="Normal 33 2 7 17 2" xfId="23861"/>
    <cellStyle name="Normal 33 2 7 18" xfId="23862"/>
    <cellStyle name="Normal 33 2 7 2" xfId="23863"/>
    <cellStyle name="Normal 33 2 7 2 2" xfId="23864"/>
    <cellStyle name="Normal 33 2 7 2 2 2" xfId="23865"/>
    <cellStyle name="Normal 33 2 7 2 2 2 2" xfId="23866"/>
    <cellStyle name="Normal 33 2 7 2 2 2 2 2" xfId="23867"/>
    <cellStyle name="Normal 33 2 7 2 2 2 3" xfId="23868"/>
    <cellStyle name="Normal 33 2 7 2 2 3" xfId="23869"/>
    <cellStyle name="Normal 33 2 7 2 2 3 2" xfId="23870"/>
    <cellStyle name="Normal 33 2 7 2 2 4" xfId="23871"/>
    <cellStyle name="Normal 33 2 7 2 3" xfId="23872"/>
    <cellStyle name="Normal 33 2 7 2 3 2" xfId="23873"/>
    <cellStyle name="Normal 33 2 7 2 3 2 2" xfId="23874"/>
    <cellStyle name="Normal 33 2 7 2 3 2 2 2" xfId="23875"/>
    <cellStyle name="Normal 33 2 7 2 3 2 3" xfId="23876"/>
    <cellStyle name="Normal 33 2 7 2 3 3" xfId="23877"/>
    <cellStyle name="Normal 33 2 7 2 3 3 2" xfId="23878"/>
    <cellStyle name="Normal 33 2 7 2 3 4" xfId="23879"/>
    <cellStyle name="Normal 33 2 7 2 4" xfId="23880"/>
    <cellStyle name="Normal 33 2 7 2 4 2" xfId="23881"/>
    <cellStyle name="Normal 33 2 7 2 4 2 2" xfId="23882"/>
    <cellStyle name="Normal 33 2 7 2 4 3" xfId="23883"/>
    <cellStyle name="Normal 33 2 7 2 5" xfId="23884"/>
    <cellStyle name="Normal 33 2 7 2 5 2" xfId="23885"/>
    <cellStyle name="Normal 33 2 7 2 6" xfId="23886"/>
    <cellStyle name="Normal 33 2 7 3" xfId="23887"/>
    <cellStyle name="Normal 33 2 7 3 2" xfId="23888"/>
    <cellStyle name="Normal 33 2 7 3 2 2" xfId="23889"/>
    <cellStyle name="Normal 33 2 7 3 2 2 2" xfId="23890"/>
    <cellStyle name="Normal 33 2 7 3 2 2 2 2" xfId="23891"/>
    <cellStyle name="Normal 33 2 7 3 2 2 3" xfId="23892"/>
    <cellStyle name="Normal 33 2 7 3 2 3" xfId="23893"/>
    <cellStyle name="Normal 33 2 7 3 2 3 2" xfId="23894"/>
    <cellStyle name="Normal 33 2 7 3 2 4" xfId="23895"/>
    <cellStyle name="Normal 33 2 7 3 3" xfId="23896"/>
    <cellStyle name="Normal 33 2 7 3 3 2" xfId="23897"/>
    <cellStyle name="Normal 33 2 7 3 3 2 2" xfId="23898"/>
    <cellStyle name="Normal 33 2 7 3 3 2 2 2" xfId="23899"/>
    <cellStyle name="Normal 33 2 7 3 3 2 3" xfId="23900"/>
    <cellStyle name="Normal 33 2 7 3 3 3" xfId="23901"/>
    <cellStyle name="Normal 33 2 7 3 3 3 2" xfId="23902"/>
    <cellStyle name="Normal 33 2 7 3 3 4" xfId="23903"/>
    <cellStyle name="Normal 33 2 7 3 4" xfId="23904"/>
    <cellStyle name="Normal 33 2 7 3 4 2" xfId="23905"/>
    <cellStyle name="Normal 33 2 7 3 4 2 2" xfId="23906"/>
    <cellStyle name="Normal 33 2 7 3 4 3" xfId="23907"/>
    <cellStyle name="Normal 33 2 7 3 5" xfId="23908"/>
    <cellStyle name="Normal 33 2 7 3 5 2" xfId="23909"/>
    <cellStyle name="Normal 33 2 7 3 6" xfId="23910"/>
    <cellStyle name="Normal 33 2 7 4" xfId="23911"/>
    <cellStyle name="Normal 33 2 7 4 2" xfId="23912"/>
    <cellStyle name="Normal 33 2 7 4 2 2" xfId="23913"/>
    <cellStyle name="Normal 33 2 7 4 2 2 2" xfId="23914"/>
    <cellStyle name="Normal 33 2 7 4 2 2 2 2" xfId="23915"/>
    <cellStyle name="Normal 33 2 7 4 2 2 3" xfId="23916"/>
    <cellStyle name="Normal 33 2 7 4 2 3" xfId="23917"/>
    <cellStyle name="Normal 33 2 7 4 2 3 2" xfId="23918"/>
    <cellStyle name="Normal 33 2 7 4 2 4" xfId="23919"/>
    <cellStyle name="Normal 33 2 7 4 3" xfId="23920"/>
    <cellStyle name="Normal 33 2 7 4 3 2" xfId="23921"/>
    <cellStyle name="Normal 33 2 7 4 3 2 2" xfId="23922"/>
    <cellStyle name="Normal 33 2 7 4 3 2 2 2" xfId="23923"/>
    <cellStyle name="Normal 33 2 7 4 3 2 3" xfId="23924"/>
    <cellStyle name="Normal 33 2 7 4 3 3" xfId="23925"/>
    <cellStyle name="Normal 33 2 7 4 3 3 2" xfId="23926"/>
    <cellStyle name="Normal 33 2 7 4 3 4" xfId="23927"/>
    <cellStyle name="Normal 33 2 7 4 4" xfId="23928"/>
    <cellStyle name="Normal 33 2 7 4 4 2" xfId="23929"/>
    <cellStyle name="Normal 33 2 7 4 4 2 2" xfId="23930"/>
    <cellStyle name="Normal 33 2 7 4 4 3" xfId="23931"/>
    <cellStyle name="Normal 33 2 7 4 5" xfId="23932"/>
    <cellStyle name="Normal 33 2 7 4 5 2" xfId="23933"/>
    <cellStyle name="Normal 33 2 7 4 6" xfId="23934"/>
    <cellStyle name="Normal 33 2 7 5" xfId="23935"/>
    <cellStyle name="Normal 33 2 7 5 2" xfId="23936"/>
    <cellStyle name="Normal 33 2 7 5 2 2" xfId="23937"/>
    <cellStyle name="Normal 33 2 7 5 2 2 2" xfId="23938"/>
    <cellStyle name="Normal 33 2 7 5 2 2 2 2" xfId="23939"/>
    <cellStyle name="Normal 33 2 7 5 2 2 3" xfId="23940"/>
    <cellStyle name="Normal 33 2 7 5 2 3" xfId="23941"/>
    <cellStyle name="Normal 33 2 7 5 2 3 2" xfId="23942"/>
    <cellStyle name="Normal 33 2 7 5 2 4" xfId="23943"/>
    <cellStyle name="Normal 33 2 7 5 3" xfId="23944"/>
    <cellStyle name="Normal 33 2 7 5 3 2" xfId="23945"/>
    <cellStyle name="Normal 33 2 7 5 3 2 2" xfId="23946"/>
    <cellStyle name="Normal 33 2 7 5 3 2 2 2" xfId="23947"/>
    <cellStyle name="Normal 33 2 7 5 3 2 3" xfId="23948"/>
    <cellStyle name="Normal 33 2 7 5 3 3" xfId="23949"/>
    <cellStyle name="Normal 33 2 7 5 3 3 2" xfId="23950"/>
    <cellStyle name="Normal 33 2 7 5 3 4" xfId="23951"/>
    <cellStyle name="Normal 33 2 7 5 4" xfId="23952"/>
    <cellStyle name="Normal 33 2 7 5 4 2" xfId="23953"/>
    <cellStyle name="Normal 33 2 7 5 4 2 2" xfId="23954"/>
    <cellStyle name="Normal 33 2 7 5 4 3" xfId="23955"/>
    <cellStyle name="Normal 33 2 7 5 5" xfId="23956"/>
    <cellStyle name="Normal 33 2 7 5 5 2" xfId="23957"/>
    <cellStyle name="Normal 33 2 7 5 6" xfId="23958"/>
    <cellStyle name="Normal 33 2 7 6" xfId="23959"/>
    <cellStyle name="Normal 33 2 7 6 2" xfId="23960"/>
    <cellStyle name="Normal 33 2 7 6 2 2" xfId="23961"/>
    <cellStyle name="Normal 33 2 7 6 2 2 2" xfId="23962"/>
    <cellStyle name="Normal 33 2 7 6 2 2 2 2" xfId="23963"/>
    <cellStyle name="Normal 33 2 7 6 2 2 3" xfId="23964"/>
    <cellStyle name="Normal 33 2 7 6 2 3" xfId="23965"/>
    <cellStyle name="Normal 33 2 7 6 2 3 2" xfId="23966"/>
    <cellStyle name="Normal 33 2 7 6 2 4" xfId="23967"/>
    <cellStyle name="Normal 33 2 7 6 3" xfId="23968"/>
    <cellStyle name="Normal 33 2 7 6 3 2" xfId="23969"/>
    <cellStyle name="Normal 33 2 7 6 3 2 2" xfId="23970"/>
    <cellStyle name="Normal 33 2 7 6 3 2 2 2" xfId="23971"/>
    <cellStyle name="Normal 33 2 7 6 3 2 3" xfId="23972"/>
    <cellStyle name="Normal 33 2 7 6 3 3" xfId="23973"/>
    <cellStyle name="Normal 33 2 7 6 3 3 2" xfId="23974"/>
    <cellStyle name="Normal 33 2 7 6 3 4" xfId="23975"/>
    <cellStyle name="Normal 33 2 7 6 4" xfId="23976"/>
    <cellStyle name="Normal 33 2 7 6 4 2" xfId="23977"/>
    <cellStyle name="Normal 33 2 7 6 4 2 2" xfId="23978"/>
    <cellStyle name="Normal 33 2 7 6 4 3" xfId="23979"/>
    <cellStyle name="Normal 33 2 7 6 5" xfId="23980"/>
    <cellStyle name="Normal 33 2 7 6 5 2" xfId="23981"/>
    <cellStyle name="Normal 33 2 7 6 6" xfId="23982"/>
    <cellStyle name="Normal 33 2 7 7" xfId="23983"/>
    <cellStyle name="Normal 33 2 7 7 2" xfId="23984"/>
    <cellStyle name="Normal 33 2 7 7 2 2" xfId="23985"/>
    <cellStyle name="Normal 33 2 7 7 2 2 2" xfId="23986"/>
    <cellStyle name="Normal 33 2 7 7 2 2 2 2" xfId="23987"/>
    <cellStyle name="Normal 33 2 7 7 2 2 3" xfId="23988"/>
    <cellStyle name="Normal 33 2 7 7 2 3" xfId="23989"/>
    <cellStyle name="Normal 33 2 7 7 2 3 2" xfId="23990"/>
    <cellStyle name="Normal 33 2 7 7 2 4" xfId="23991"/>
    <cellStyle name="Normal 33 2 7 7 3" xfId="23992"/>
    <cellStyle name="Normal 33 2 7 7 3 2" xfId="23993"/>
    <cellStyle name="Normal 33 2 7 7 3 2 2" xfId="23994"/>
    <cellStyle name="Normal 33 2 7 7 3 2 2 2" xfId="23995"/>
    <cellStyle name="Normal 33 2 7 7 3 2 3" xfId="23996"/>
    <cellStyle name="Normal 33 2 7 7 3 3" xfId="23997"/>
    <cellStyle name="Normal 33 2 7 7 3 3 2" xfId="23998"/>
    <cellStyle name="Normal 33 2 7 7 3 4" xfId="23999"/>
    <cellStyle name="Normal 33 2 7 7 4" xfId="24000"/>
    <cellStyle name="Normal 33 2 7 7 4 2" xfId="24001"/>
    <cellStyle name="Normal 33 2 7 7 4 2 2" xfId="24002"/>
    <cellStyle name="Normal 33 2 7 7 4 3" xfId="24003"/>
    <cellStyle name="Normal 33 2 7 7 5" xfId="24004"/>
    <cellStyle name="Normal 33 2 7 7 5 2" xfId="24005"/>
    <cellStyle name="Normal 33 2 7 7 6" xfId="24006"/>
    <cellStyle name="Normal 33 2 7 8" xfId="24007"/>
    <cellStyle name="Normal 33 2 7 8 2" xfId="24008"/>
    <cellStyle name="Normal 33 2 7 8 2 2" xfId="24009"/>
    <cellStyle name="Normal 33 2 7 8 2 2 2" xfId="24010"/>
    <cellStyle name="Normal 33 2 7 8 2 2 2 2" xfId="24011"/>
    <cellStyle name="Normal 33 2 7 8 2 2 3" xfId="24012"/>
    <cellStyle name="Normal 33 2 7 8 2 3" xfId="24013"/>
    <cellStyle name="Normal 33 2 7 8 2 3 2" xfId="24014"/>
    <cellStyle name="Normal 33 2 7 8 2 4" xfId="24015"/>
    <cellStyle name="Normal 33 2 7 8 3" xfId="24016"/>
    <cellStyle name="Normal 33 2 7 8 3 2" xfId="24017"/>
    <cellStyle name="Normal 33 2 7 8 3 2 2" xfId="24018"/>
    <cellStyle name="Normal 33 2 7 8 3 2 2 2" xfId="24019"/>
    <cellStyle name="Normal 33 2 7 8 3 2 3" xfId="24020"/>
    <cellStyle name="Normal 33 2 7 8 3 3" xfId="24021"/>
    <cellStyle name="Normal 33 2 7 8 3 3 2" xfId="24022"/>
    <cellStyle name="Normal 33 2 7 8 3 4" xfId="24023"/>
    <cellStyle name="Normal 33 2 7 8 4" xfId="24024"/>
    <cellStyle name="Normal 33 2 7 8 4 2" xfId="24025"/>
    <cellStyle name="Normal 33 2 7 8 4 2 2" xfId="24026"/>
    <cellStyle name="Normal 33 2 7 8 4 3" xfId="24027"/>
    <cellStyle name="Normal 33 2 7 8 5" xfId="24028"/>
    <cellStyle name="Normal 33 2 7 8 5 2" xfId="24029"/>
    <cellStyle name="Normal 33 2 7 8 6" xfId="24030"/>
    <cellStyle name="Normal 33 2 7 9" xfId="24031"/>
    <cellStyle name="Normal 33 2 7 9 2" xfId="24032"/>
    <cellStyle name="Normal 33 2 7 9 2 2" xfId="24033"/>
    <cellStyle name="Normal 33 2 7 9 2 2 2" xfId="24034"/>
    <cellStyle name="Normal 33 2 7 9 2 2 2 2" xfId="24035"/>
    <cellStyle name="Normal 33 2 7 9 2 2 3" xfId="24036"/>
    <cellStyle name="Normal 33 2 7 9 2 3" xfId="24037"/>
    <cellStyle name="Normal 33 2 7 9 2 3 2" xfId="24038"/>
    <cellStyle name="Normal 33 2 7 9 2 4" xfId="24039"/>
    <cellStyle name="Normal 33 2 7 9 3" xfId="24040"/>
    <cellStyle name="Normal 33 2 7 9 3 2" xfId="24041"/>
    <cellStyle name="Normal 33 2 7 9 3 2 2" xfId="24042"/>
    <cellStyle name="Normal 33 2 7 9 3 2 2 2" xfId="24043"/>
    <cellStyle name="Normal 33 2 7 9 3 2 3" xfId="24044"/>
    <cellStyle name="Normal 33 2 7 9 3 3" xfId="24045"/>
    <cellStyle name="Normal 33 2 7 9 3 3 2" xfId="24046"/>
    <cellStyle name="Normal 33 2 7 9 3 4" xfId="24047"/>
    <cellStyle name="Normal 33 2 7 9 4" xfId="24048"/>
    <cellStyle name="Normal 33 2 7 9 4 2" xfId="24049"/>
    <cellStyle name="Normal 33 2 7 9 4 2 2" xfId="24050"/>
    <cellStyle name="Normal 33 2 7 9 4 3" xfId="24051"/>
    <cellStyle name="Normal 33 2 7 9 5" xfId="24052"/>
    <cellStyle name="Normal 33 2 7 9 5 2" xfId="24053"/>
    <cellStyle name="Normal 33 2 7 9 6" xfId="24054"/>
    <cellStyle name="Normal 33 2 8" xfId="24055"/>
    <cellStyle name="Normal 33 2 8 10" xfId="24056"/>
    <cellStyle name="Normal 33 2 8 10 2" xfId="24057"/>
    <cellStyle name="Normal 33 2 8 10 2 2" xfId="24058"/>
    <cellStyle name="Normal 33 2 8 10 2 2 2" xfId="24059"/>
    <cellStyle name="Normal 33 2 8 10 2 2 2 2" xfId="24060"/>
    <cellStyle name="Normal 33 2 8 10 2 2 3" xfId="24061"/>
    <cellStyle name="Normal 33 2 8 10 2 3" xfId="24062"/>
    <cellStyle name="Normal 33 2 8 10 2 3 2" xfId="24063"/>
    <cellStyle name="Normal 33 2 8 10 2 4" xfId="24064"/>
    <cellStyle name="Normal 33 2 8 10 3" xfId="24065"/>
    <cellStyle name="Normal 33 2 8 10 3 2" xfId="24066"/>
    <cellStyle name="Normal 33 2 8 10 3 2 2" xfId="24067"/>
    <cellStyle name="Normal 33 2 8 10 3 2 2 2" xfId="24068"/>
    <cellStyle name="Normal 33 2 8 10 3 2 3" xfId="24069"/>
    <cellStyle name="Normal 33 2 8 10 3 3" xfId="24070"/>
    <cellStyle name="Normal 33 2 8 10 3 3 2" xfId="24071"/>
    <cellStyle name="Normal 33 2 8 10 3 4" xfId="24072"/>
    <cellStyle name="Normal 33 2 8 10 4" xfId="24073"/>
    <cellStyle name="Normal 33 2 8 10 4 2" xfId="24074"/>
    <cellStyle name="Normal 33 2 8 10 4 2 2" xfId="24075"/>
    <cellStyle name="Normal 33 2 8 10 4 3" xfId="24076"/>
    <cellStyle name="Normal 33 2 8 10 5" xfId="24077"/>
    <cellStyle name="Normal 33 2 8 10 5 2" xfId="24078"/>
    <cellStyle name="Normal 33 2 8 10 6" xfId="24079"/>
    <cellStyle name="Normal 33 2 8 11" xfId="24080"/>
    <cellStyle name="Normal 33 2 8 11 2" xfId="24081"/>
    <cellStyle name="Normal 33 2 8 11 2 2" xfId="24082"/>
    <cellStyle name="Normal 33 2 8 11 2 2 2" xfId="24083"/>
    <cellStyle name="Normal 33 2 8 11 2 2 2 2" xfId="24084"/>
    <cellStyle name="Normal 33 2 8 11 2 2 3" xfId="24085"/>
    <cellStyle name="Normal 33 2 8 11 2 3" xfId="24086"/>
    <cellStyle name="Normal 33 2 8 11 2 3 2" xfId="24087"/>
    <cellStyle name="Normal 33 2 8 11 2 4" xfId="24088"/>
    <cellStyle name="Normal 33 2 8 11 3" xfId="24089"/>
    <cellStyle name="Normal 33 2 8 11 3 2" xfId="24090"/>
    <cellStyle name="Normal 33 2 8 11 3 2 2" xfId="24091"/>
    <cellStyle name="Normal 33 2 8 11 3 2 2 2" xfId="24092"/>
    <cellStyle name="Normal 33 2 8 11 3 2 3" xfId="24093"/>
    <cellStyle name="Normal 33 2 8 11 3 3" xfId="24094"/>
    <cellStyle name="Normal 33 2 8 11 3 3 2" xfId="24095"/>
    <cellStyle name="Normal 33 2 8 11 3 4" xfId="24096"/>
    <cellStyle name="Normal 33 2 8 11 4" xfId="24097"/>
    <cellStyle name="Normal 33 2 8 11 4 2" xfId="24098"/>
    <cellStyle name="Normal 33 2 8 11 4 2 2" xfId="24099"/>
    <cellStyle name="Normal 33 2 8 11 4 3" xfId="24100"/>
    <cellStyle name="Normal 33 2 8 11 5" xfId="24101"/>
    <cellStyle name="Normal 33 2 8 11 5 2" xfId="24102"/>
    <cellStyle name="Normal 33 2 8 11 6" xfId="24103"/>
    <cellStyle name="Normal 33 2 8 12" xfId="24104"/>
    <cellStyle name="Normal 33 2 8 12 2" xfId="24105"/>
    <cellStyle name="Normal 33 2 8 12 2 2" xfId="24106"/>
    <cellStyle name="Normal 33 2 8 12 2 2 2" xfId="24107"/>
    <cellStyle name="Normal 33 2 8 12 2 2 2 2" xfId="24108"/>
    <cellStyle name="Normal 33 2 8 12 2 2 3" xfId="24109"/>
    <cellStyle name="Normal 33 2 8 12 2 3" xfId="24110"/>
    <cellStyle name="Normal 33 2 8 12 2 3 2" xfId="24111"/>
    <cellStyle name="Normal 33 2 8 12 2 4" xfId="24112"/>
    <cellStyle name="Normal 33 2 8 12 3" xfId="24113"/>
    <cellStyle name="Normal 33 2 8 12 3 2" xfId="24114"/>
    <cellStyle name="Normal 33 2 8 12 3 2 2" xfId="24115"/>
    <cellStyle name="Normal 33 2 8 12 3 2 2 2" xfId="24116"/>
    <cellStyle name="Normal 33 2 8 12 3 2 3" xfId="24117"/>
    <cellStyle name="Normal 33 2 8 12 3 3" xfId="24118"/>
    <cellStyle name="Normal 33 2 8 12 3 3 2" xfId="24119"/>
    <cellStyle name="Normal 33 2 8 12 3 4" xfId="24120"/>
    <cellStyle name="Normal 33 2 8 12 4" xfId="24121"/>
    <cellStyle name="Normal 33 2 8 12 4 2" xfId="24122"/>
    <cellStyle name="Normal 33 2 8 12 4 2 2" xfId="24123"/>
    <cellStyle name="Normal 33 2 8 12 4 3" xfId="24124"/>
    <cellStyle name="Normal 33 2 8 12 5" xfId="24125"/>
    <cellStyle name="Normal 33 2 8 12 5 2" xfId="24126"/>
    <cellStyle name="Normal 33 2 8 12 6" xfId="24127"/>
    <cellStyle name="Normal 33 2 8 13" xfId="24128"/>
    <cellStyle name="Normal 33 2 8 13 2" xfId="24129"/>
    <cellStyle name="Normal 33 2 8 13 2 2" xfId="24130"/>
    <cellStyle name="Normal 33 2 8 13 2 2 2" xfId="24131"/>
    <cellStyle name="Normal 33 2 8 13 2 2 2 2" xfId="24132"/>
    <cellStyle name="Normal 33 2 8 13 2 2 3" xfId="24133"/>
    <cellStyle name="Normal 33 2 8 13 2 3" xfId="24134"/>
    <cellStyle name="Normal 33 2 8 13 2 3 2" xfId="24135"/>
    <cellStyle name="Normal 33 2 8 13 2 4" xfId="24136"/>
    <cellStyle name="Normal 33 2 8 13 3" xfId="24137"/>
    <cellStyle name="Normal 33 2 8 13 3 2" xfId="24138"/>
    <cellStyle name="Normal 33 2 8 13 3 2 2" xfId="24139"/>
    <cellStyle name="Normal 33 2 8 13 3 2 2 2" xfId="24140"/>
    <cellStyle name="Normal 33 2 8 13 3 2 3" xfId="24141"/>
    <cellStyle name="Normal 33 2 8 13 3 3" xfId="24142"/>
    <cellStyle name="Normal 33 2 8 13 3 3 2" xfId="24143"/>
    <cellStyle name="Normal 33 2 8 13 3 4" xfId="24144"/>
    <cellStyle name="Normal 33 2 8 13 4" xfId="24145"/>
    <cellStyle name="Normal 33 2 8 13 4 2" xfId="24146"/>
    <cellStyle name="Normal 33 2 8 13 4 2 2" xfId="24147"/>
    <cellStyle name="Normal 33 2 8 13 4 3" xfId="24148"/>
    <cellStyle name="Normal 33 2 8 13 5" xfId="24149"/>
    <cellStyle name="Normal 33 2 8 13 5 2" xfId="24150"/>
    <cellStyle name="Normal 33 2 8 13 6" xfId="24151"/>
    <cellStyle name="Normal 33 2 8 14" xfId="24152"/>
    <cellStyle name="Normal 33 2 8 14 2" xfId="24153"/>
    <cellStyle name="Normal 33 2 8 14 2 2" xfId="24154"/>
    <cellStyle name="Normal 33 2 8 14 2 2 2" xfId="24155"/>
    <cellStyle name="Normal 33 2 8 14 2 3" xfId="24156"/>
    <cellStyle name="Normal 33 2 8 14 3" xfId="24157"/>
    <cellStyle name="Normal 33 2 8 14 3 2" xfId="24158"/>
    <cellStyle name="Normal 33 2 8 14 4" xfId="24159"/>
    <cellStyle name="Normal 33 2 8 15" xfId="24160"/>
    <cellStyle name="Normal 33 2 8 15 2" xfId="24161"/>
    <cellStyle name="Normal 33 2 8 15 2 2" xfId="24162"/>
    <cellStyle name="Normal 33 2 8 15 2 2 2" xfId="24163"/>
    <cellStyle name="Normal 33 2 8 15 2 3" xfId="24164"/>
    <cellStyle name="Normal 33 2 8 15 3" xfId="24165"/>
    <cellStyle name="Normal 33 2 8 15 3 2" xfId="24166"/>
    <cellStyle name="Normal 33 2 8 15 4" xfId="24167"/>
    <cellStyle name="Normal 33 2 8 16" xfId="24168"/>
    <cellStyle name="Normal 33 2 8 16 2" xfId="24169"/>
    <cellStyle name="Normal 33 2 8 16 2 2" xfId="24170"/>
    <cellStyle name="Normal 33 2 8 16 3" xfId="24171"/>
    <cellStyle name="Normal 33 2 8 17" xfId="24172"/>
    <cellStyle name="Normal 33 2 8 17 2" xfId="24173"/>
    <cellStyle name="Normal 33 2 8 18" xfId="24174"/>
    <cellStyle name="Normal 33 2 8 2" xfId="24175"/>
    <cellStyle name="Normal 33 2 8 2 2" xfId="24176"/>
    <cellStyle name="Normal 33 2 8 2 2 2" xfId="24177"/>
    <cellStyle name="Normal 33 2 8 2 2 2 2" xfId="24178"/>
    <cellStyle name="Normal 33 2 8 2 2 2 2 2" xfId="24179"/>
    <cellStyle name="Normal 33 2 8 2 2 2 3" xfId="24180"/>
    <cellStyle name="Normal 33 2 8 2 2 3" xfId="24181"/>
    <cellStyle name="Normal 33 2 8 2 2 3 2" xfId="24182"/>
    <cellStyle name="Normal 33 2 8 2 2 4" xfId="24183"/>
    <cellStyle name="Normal 33 2 8 2 3" xfId="24184"/>
    <cellStyle name="Normal 33 2 8 2 3 2" xfId="24185"/>
    <cellStyle name="Normal 33 2 8 2 3 2 2" xfId="24186"/>
    <cellStyle name="Normal 33 2 8 2 3 2 2 2" xfId="24187"/>
    <cellStyle name="Normal 33 2 8 2 3 2 3" xfId="24188"/>
    <cellStyle name="Normal 33 2 8 2 3 3" xfId="24189"/>
    <cellStyle name="Normal 33 2 8 2 3 3 2" xfId="24190"/>
    <cellStyle name="Normal 33 2 8 2 3 4" xfId="24191"/>
    <cellStyle name="Normal 33 2 8 2 4" xfId="24192"/>
    <cellStyle name="Normal 33 2 8 2 4 2" xfId="24193"/>
    <cellStyle name="Normal 33 2 8 2 4 2 2" xfId="24194"/>
    <cellStyle name="Normal 33 2 8 2 4 3" xfId="24195"/>
    <cellStyle name="Normal 33 2 8 2 5" xfId="24196"/>
    <cellStyle name="Normal 33 2 8 2 5 2" xfId="24197"/>
    <cellStyle name="Normal 33 2 8 2 6" xfId="24198"/>
    <cellStyle name="Normal 33 2 8 3" xfId="24199"/>
    <cellStyle name="Normal 33 2 8 3 2" xfId="24200"/>
    <cellStyle name="Normal 33 2 8 3 2 2" xfId="24201"/>
    <cellStyle name="Normal 33 2 8 3 2 2 2" xfId="24202"/>
    <cellStyle name="Normal 33 2 8 3 2 2 2 2" xfId="24203"/>
    <cellStyle name="Normal 33 2 8 3 2 2 3" xfId="24204"/>
    <cellStyle name="Normal 33 2 8 3 2 3" xfId="24205"/>
    <cellStyle name="Normal 33 2 8 3 2 3 2" xfId="24206"/>
    <cellStyle name="Normal 33 2 8 3 2 4" xfId="24207"/>
    <cellStyle name="Normal 33 2 8 3 3" xfId="24208"/>
    <cellStyle name="Normal 33 2 8 3 3 2" xfId="24209"/>
    <cellStyle name="Normal 33 2 8 3 3 2 2" xfId="24210"/>
    <cellStyle name="Normal 33 2 8 3 3 2 2 2" xfId="24211"/>
    <cellStyle name="Normal 33 2 8 3 3 2 3" xfId="24212"/>
    <cellStyle name="Normal 33 2 8 3 3 3" xfId="24213"/>
    <cellStyle name="Normal 33 2 8 3 3 3 2" xfId="24214"/>
    <cellStyle name="Normal 33 2 8 3 3 4" xfId="24215"/>
    <cellStyle name="Normal 33 2 8 3 4" xfId="24216"/>
    <cellStyle name="Normal 33 2 8 3 4 2" xfId="24217"/>
    <cellStyle name="Normal 33 2 8 3 4 2 2" xfId="24218"/>
    <cellStyle name="Normal 33 2 8 3 4 3" xfId="24219"/>
    <cellStyle name="Normal 33 2 8 3 5" xfId="24220"/>
    <cellStyle name="Normal 33 2 8 3 5 2" xfId="24221"/>
    <cellStyle name="Normal 33 2 8 3 6" xfId="24222"/>
    <cellStyle name="Normal 33 2 8 4" xfId="24223"/>
    <cellStyle name="Normal 33 2 8 4 2" xfId="24224"/>
    <cellStyle name="Normal 33 2 8 4 2 2" xfId="24225"/>
    <cellStyle name="Normal 33 2 8 4 2 2 2" xfId="24226"/>
    <cellStyle name="Normal 33 2 8 4 2 2 2 2" xfId="24227"/>
    <cellStyle name="Normal 33 2 8 4 2 2 3" xfId="24228"/>
    <cellStyle name="Normal 33 2 8 4 2 3" xfId="24229"/>
    <cellStyle name="Normal 33 2 8 4 2 3 2" xfId="24230"/>
    <cellStyle name="Normal 33 2 8 4 2 4" xfId="24231"/>
    <cellStyle name="Normal 33 2 8 4 3" xfId="24232"/>
    <cellStyle name="Normal 33 2 8 4 3 2" xfId="24233"/>
    <cellStyle name="Normal 33 2 8 4 3 2 2" xfId="24234"/>
    <cellStyle name="Normal 33 2 8 4 3 2 2 2" xfId="24235"/>
    <cellStyle name="Normal 33 2 8 4 3 2 3" xfId="24236"/>
    <cellStyle name="Normal 33 2 8 4 3 3" xfId="24237"/>
    <cellStyle name="Normal 33 2 8 4 3 3 2" xfId="24238"/>
    <cellStyle name="Normal 33 2 8 4 3 4" xfId="24239"/>
    <cellStyle name="Normal 33 2 8 4 4" xfId="24240"/>
    <cellStyle name="Normal 33 2 8 4 4 2" xfId="24241"/>
    <cellStyle name="Normal 33 2 8 4 4 2 2" xfId="24242"/>
    <cellStyle name="Normal 33 2 8 4 4 3" xfId="24243"/>
    <cellStyle name="Normal 33 2 8 4 5" xfId="24244"/>
    <cellStyle name="Normal 33 2 8 4 5 2" xfId="24245"/>
    <cellStyle name="Normal 33 2 8 4 6" xfId="24246"/>
    <cellStyle name="Normal 33 2 8 5" xfId="24247"/>
    <cellStyle name="Normal 33 2 8 5 2" xfId="24248"/>
    <cellStyle name="Normal 33 2 8 5 2 2" xfId="24249"/>
    <cellStyle name="Normal 33 2 8 5 2 2 2" xfId="24250"/>
    <cellStyle name="Normal 33 2 8 5 2 2 2 2" xfId="24251"/>
    <cellStyle name="Normal 33 2 8 5 2 2 3" xfId="24252"/>
    <cellStyle name="Normal 33 2 8 5 2 3" xfId="24253"/>
    <cellStyle name="Normal 33 2 8 5 2 3 2" xfId="24254"/>
    <cellStyle name="Normal 33 2 8 5 2 4" xfId="24255"/>
    <cellStyle name="Normal 33 2 8 5 3" xfId="24256"/>
    <cellStyle name="Normal 33 2 8 5 3 2" xfId="24257"/>
    <cellStyle name="Normal 33 2 8 5 3 2 2" xfId="24258"/>
    <cellStyle name="Normal 33 2 8 5 3 2 2 2" xfId="24259"/>
    <cellStyle name="Normal 33 2 8 5 3 2 3" xfId="24260"/>
    <cellStyle name="Normal 33 2 8 5 3 3" xfId="24261"/>
    <cellStyle name="Normal 33 2 8 5 3 3 2" xfId="24262"/>
    <cellStyle name="Normal 33 2 8 5 3 4" xfId="24263"/>
    <cellStyle name="Normal 33 2 8 5 4" xfId="24264"/>
    <cellStyle name="Normal 33 2 8 5 4 2" xfId="24265"/>
    <cellStyle name="Normal 33 2 8 5 4 2 2" xfId="24266"/>
    <cellStyle name="Normal 33 2 8 5 4 3" xfId="24267"/>
    <cellStyle name="Normal 33 2 8 5 5" xfId="24268"/>
    <cellStyle name="Normal 33 2 8 5 5 2" xfId="24269"/>
    <cellStyle name="Normal 33 2 8 5 6" xfId="24270"/>
    <cellStyle name="Normal 33 2 8 6" xfId="24271"/>
    <cellStyle name="Normal 33 2 8 6 2" xfId="24272"/>
    <cellStyle name="Normal 33 2 8 6 2 2" xfId="24273"/>
    <cellStyle name="Normal 33 2 8 6 2 2 2" xfId="24274"/>
    <cellStyle name="Normal 33 2 8 6 2 2 2 2" xfId="24275"/>
    <cellStyle name="Normal 33 2 8 6 2 2 3" xfId="24276"/>
    <cellStyle name="Normal 33 2 8 6 2 3" xfId="24277"/>
    <cellStyle name="Normal 33 2 8 6 2 3 2" xfId="24278"/>
    <cellStyle name="Normal 33 2 8 6 2 4" xfId="24279"/>
    <cellStyle name="Normal 33 2 8 6 3" xfId="24280"/>
    <cellStyle name="Normal 33 2 8 6 3 2" xfId="24281"/>
    <cellStyle name="Normal 33 2 8 6 3 2 2" xfId="24282"/>
    <cellStyle name="Normal 33 2 8 6 3 2 2 2" xfId="24283"/>
    <cellStyle name="Normal 33 2 8 6 3 2 3" xfId="24284"/>
    <cellStyle name="Normal 33 2 8 6 3 3" xfId="24285"/>
    <cellStyle name="Normal 33 2 8 6 3 3 2" xfId="24286"/>
    <cellStyle name="Normal 33 2 8 6 3 4" xfId="24287"/>
    <cellStyle name="Normal 33 2 8 6 4" xfId="24288"/>
    <cellStyle name="Normal 33 2 8 6 4 2" xfId="24289"/>
    <cellStyle name="Normal 33 2 8 6 4 2 2" xfId="24290"/>
    <cellStyle name="Normal 33 2 8 6 4 3" xfId="24291"/>
    <cellStyle name="Normal 33 2 8 6 5" xfId="24292"/>
    <cellStyle name="Normal 33 2 8 6 5 2" xfId="24293"/>
    <cellStyle name="Normal 33 2 8 6 6" xfId="24294"/>
    <cellStyle name="Normal 33 2 8 7" xfId="24295"/>
    <cellStyle name="Normal 33 2 8 7 2" xfId="24296"/>
    <cellStyle name="Normal 33 2 8 7 2 2" xfId="24297"/>
    <cellStyle name="Normal 33 2 8 7 2 2 2" xfId="24298"/>
    <cellStyle name="Normal 33 2 8 7 2 2 2 2" xfId="24299"/>
    <cellStyle name="Normal 33 2 8 7 2 2 3" xfId="24300"/>
    <cellStyle name="Normal 33 2 8 7 2 3" xfId="24301"/>
    <cellStyle name="Normal 33 2 8 7 2 3 2" xfId="24302"/>
    <cellStyle name="Normal 33 2 8 7 2 4" xfId="24303"/>
    <cellStyle name="Normal 33 2 8 7 3" xfId="24304"/>
    <cellStyle name="Normal 33 2 8 7 3 2" xfId="24305"/>
    <cellStyle name="Normal 33 2 8 7 3 2 2" xfId="24306"/>
    <cellStyle name="Normal 33 2 8 7 3 2 2 2" xfId="24307"/>
    <cellStyle name="Normal 33 2 8 7 3 2 3" xfId="24308"/>
    <cellStyle name="Normal 33 2 8 7 3 3" xfId="24309"/>
    <cellStyle name="Normal 33 2 8 7 3 3 2" xfId="24310"/>
    <cellStyle name="Normal 33 2 8 7 3 4" xfId="24311"/>
    <cellStyle name="Normal 33 2 8 7 4" xfId="24312"/>
    <cellStyle name="Normal 33 2 8 7 4 2" xfId="24313"/>
    <cellStyle name="Normal 33 2 8 7 4 2 2" xfId="24314"/>
    <cellStyle name="Normal 33 2 8 7 4 3" xfId="24315"/>
    <cellStyle name="Normal 33 2 8 7 5" xfId="24316"/>
    <cellStyle name="Normal 33 2 8 7 5 2" xfId="24317"/>
    <cellStyle name="Normal 33 2 8 7 6" xfId="24318"/>
    <cellStyle name="Normal 33 2 8 8" xfId="24319"/>
    <cellStyle name="Normal 33 2 8 8 2" xfId="24320"/>
    <cellStyle name="Normal 33 2 8 8 2 2" xfId="24321"/>
    <cellStyle name="Normal 33 2 8 8 2 2 2" xfId="24322"/>
    <cellStyle name="Normal 33 2 8 8 2 2 2 2" xfId="24323"/>
    <cellStyle name="Normal 33 2 8 8 2 2 3" xfId="24324"/>
    <cellStyle name="Normal 33 2 8 8 2 3" xfId="24325"/>
    <cellStyle name="Normal 33 2 8 8 2 3 2" xfId="24326"/>
    <cellStyle name="Normal 33 2 8 8 2 4" xfId="24327"/>
    <cellStyle name="Normal 33 2 8 8 3" xfId="24328"/>
    <cellStyle name="Normal 33 2 8 8 3 2" xfId="24329"/>
    <cellStyle name="Normal 33 2 8 8 3 2 2" xfId="24330"/>
    <cellStyle name="Normal 33 2 8 8 3 2 2 2" xfId="24331"/>
    <cellStyle name="Normal 33 2 8 8 3 2 3" xfId="24332"/>
    <cellStyle name="Normal 33 2 8 8 3 3" xfId="24333"/>
    <cellStyle name="Normal 33 2 8 8 3 3 2" xfId="24334"/>
    <cellStyle name="Normal 33 2 8 8 3 4" xfId="24335"/>
    <cellStyle name="Normal 33 2 8 8 4" xfId="24336"/>
    <cellStyle name="Normal 33 2 8 8 4 2" xfId="24337"/>
    <cellStyle name="Normal 33 2 8 8 4 2 2" xfId="24338"/>
    <cellStyle name="Normal 33 2 8 8 4 3" xfId="24339"/>
    <cellStyle name="Normal 33 2 8 8 5" xfId="24340"/>
    <cellStyle name="Normal 33 2 8 8 5 2" xfId="24341"/>
    <cellStyle name="Normal 33 2 8 8 6" xfId="24342"/>
    <cellStyle name="Normal 33 2 8 9" xfId="24343"/>
    <cellStyle name="Normal 33 2 8 9 2" xfId="24344"/>
    <cellStyle name="Normal 33 2 8 9 2 2" xfId="24345"/>
    <cellStyle name="Normal 33 2 8 9 2 2 2" xfId="24346"/>
    <cellStyle name="Normal 33 2 8 9 2 2 2 2" xfId="24347"/>
    <cellStyle name="Normal 33 2 8 9 2 2 3" xfId="24348"/>
    <cellStyle name="Normal 33 2 8 9 2 3" xfId="24349"/>
    <cellStyle name="Normal 33 2 8 9 2 3 2" xfId="24350"/>
    <cellStyle name="Normal 33 2 8 9 2 4" xfId="24351"/>
    <cellStyle name="Normal 33 2 8 9 3" xfId="24352"/>
    <cellStyle name="Normal 33 2 8 9 3 2" xfId="24353"/>
    <cellStyle name="Normal 33 2 8 9 3 2 2" xfId="24354"/>
    <cellStyle name="Normal 33 2 8 9 3 2 2 2" xfId="24355"/>
    <cellStyle name="Normal 33 2 8 9 3 2 3" xfId="24356"/>
    <cellStyle name="Normal 33 2 8 9 3 3" xfId="24357"/>
    <cellStyle name="Normal 33 2 8 9 3 3 2" xfId="24358"/>
    <cellStyle name="Normal 33 2 8 9 3 4" xfId="24359"/>
    <cellStyle name="Normal 33 2 8 9 4" xfId="24360"/>
    <cellStyle name="Normal 33 2 8 9 4 2" xfId="24361"/>
    <cellStyle name="Normal 33 2 8 9 4 2 2" xfId="24362"/>
    <cellStyle name="Normal 33 2 8 9 4 3" xfId="24363"/>
    <cellStyle name="Normal 33 2 8 9 5" xfId="24364"/>
    <cellStyle name="Normal 33 2 8 9 5 2" xfId="24365"/>
    <cellStyle name="Normal 33 2 8 9 6" xfId="24366"/>
    <cellStyle name="Normal 33 2 9" xfId="24367"/>
    <cellStyle name="Normal 33 2 9 10" xfId="24368"/>
    <cellStyle name="Normal 33 2 9 10 2" xfId="24369"/>
    <cellStyle name="Normal 33 2 9 10 2 2" xfId="24370"/>
    <cellStyle name="Normal 33 2 9 10 2 2 2" xfId="24371"/>
    <cellStyle name="Normal 33 2 9 10 2 2 2 2" xfId="24372"/>
    <cellStyle name="Normal 33 2 9 10 2 2 3" xfId="24373"/>
    <cellStyle name="Normal 33 2 9 10 2 3" xfId="24374"/>
    <cellStyle name="Normal 33 2 9 10 2 3 2" xfId="24375"/>
    <cellStyle name="Normal 33 2 9 10 2 4" xfId="24376"/>
    <cellStyle name="Normal 33 2 9 10 3" xfId="24377"/>
    <cellStyle name="Normal 33 2 9 10 3 2" xfId="24378"/>
    <cellStyle name="Normal 33 2 9 10 3 2 2" xfId="24379"/>
    <cellStyle name="Normal 33 2 9 10 3 2 2 2" xfId="24380"/>
    <cellStyle name="Normal 33 2 9 10 3 2 3" xfId="24381"/>
    <cellStyle name="Normal 33 2 9 10 3 3" xfId="24382"/>
    <cellStyle name="Normal 33 2 9 10 3 3 2" xfId="24383"/>
    <cellStyle name="Normal 33 2 9 10 3 4" xfId="24384"/>
    <cellStyle name="Normal 33 2 9 10 4" xfId="24385"/>
    <cellStyle name="Normal 33 2 9 10 4 2" xfId="24386"/>
    <cellStyle name="Normal 33 2 9 10 4 2 2" xfId="24387"/>
    <cellStyle name="Normal 33 2 9 10 4 3" xfId="24388"/>
    <cellStyle name="Normal 33 2 9 10 5" xfId="24389"/>
    <cellStyle name="Normal 33 2 9 10 5 2" xfId="24390"/>
    <cellStyle name="Normal 33 2 9 10 6" xfId="24391"/>
    <cellStyle name="Normal 33 2 9 11" xfId="24392"/>
    <cellStyle name="Normal 33 2 9 11 2" xfId="24393"/>
    <cellStyle name="Normal 33 2 9 11 2 2" xfId="24394"/>
    <cellStyle name="Normal 33 2 9 11 2 2 2" xfId="24395"/>
    <cellStyle name="Normal 33 2 9 11 2 2 2 2" xfId="24396"/>
    <cellStyle name="Normal 33 2 9 11 2 2 3" xfId="24397"/>
    <cellStyle name="Normal 33 2 9 11 2 3" xfId="24398"/>
    <cellStyle name="Normal 33 2 9 11 2 3 2" xfId="24399"/>
    <cellStyle name="Normal 33 2 9 11 2 4" xfId="24400"/>
    <cellStyle name="Normal 33 2 9 11 3" xfId="24401"/>
    <cellStyle name="Normal 33 2 9 11 3 2" xfId="24402"/>
    <cellStyle name="Normal 33 2 9 11 3 2 2" xfId="24403"/>
    <cellStyle name="Normal 33 2 9 11 3 2 2 2" xfId="24404"/>
    <cellStyle name="Normal 33 2 9 11 3 2 3" xfId="24405"/>
    <cellStyle name="Normal 33 2 9 11 3 3" xfId="24406"/>
    <cellStyle name="Normal 33 2 9 11 3 3 2" xfId="24407"/>
    <cellStyle name="Normal 33 2 9 11 3 4" xfId="24408"/>
    <cellStyle name="Normal 33 2 9 11 4" xfId="24409"/>
    <cellStyle name="Normal 33 2 9 11 4 2" xfId="24410"/>
    <cellStyle name="Normal 33 2 9 11 4 2 2" xfId="24411"/>
    <cellStyle name="Normal 33 2 9 11 4 3" xfId="24412"/>
    <cellStyle name="Normal 33 2 9 11 5" xfId="24413"/>
    <cellStyle name="Normal 33 2 9 11 5 2" xfId="24414"/>
    <cellStyle name="Normal 33 2 9 11 6" xfId="24415"/>
    <cellStyle name="Normal 33 2 9 12" xfId="24416"/>
    <cellStyle name="Normal 33 2 9 12 2" xfId="24417"/>
    <cellStyle name="Normal 33 2 9 12 2 2" xfId="24418"/>
    <cellStyle name="Normal 33 2 9 12 2 2 2" xfId="24419"/>
    <cellStyle name="Normal 33 2 9 12 2 2 2 2" xfId="24420"/>
    <cellStyle name="Normal 33 2 9 12 2 2 3" xfId="24421"/>
    <cellStyle name="Normal 33 2 9 12 2 3" xfId="24422"/>
    <cellStyle name="Normal 33 2 9 12 2 3 2" xfId="24423"/>
    <cellStyle name="Normal 33 2 9 12 2 4" xfId="24424"/>
    <cellStyle name="Normal 33 2 9 12 3" xfId="24425"/>
    <cellStyle name="Normal 33 2 9 12 3 2" xfId="24426"/>
    <cellStyle name="Normal 33 2 9 12 3 2 2" xfId="24427"/>
    <cellStyle name="Normal 33 2 9 12 3 2 2 2" xfId="24428"/>
    <cellStyle name="Normal 33 2 9 12 3 2 3" xfId="24429"/>
    <cellStyle name="Normal 33 2 9 12 3 3" xfId="24430"/>
    <cellStyle name="Normal 33 2 9 12 3 3 2" xfId="24431"/>
    <cellStyle name="Normal 33 2 9 12 3 4" xfId="24432"/>
    <cellStyle name="Normal 33 2 9 12 4" xfId="24433"/>
    <cellStyle name="Normal 33 2 9 12 4 2" xfId="24434"/>
    <cellStyle name="Normal 33 2 9 12 4 2 2" xfId="24435"/>
    <cellStyle name="Normal 33 2 9 12 4 3" xfId="24436"/>
    <cellStyle name="Normal 33 2 9 12 5" xfId="24437"/>
    <cellStyle name="Normal 33 2 9 12 5 2" xfId="24438"/>
    <cellStyle name="Normal 33 2 9 12 6" xfId="24439"/>
    <cellStyle name="Normal 33 2 9 13" xfId="24440"/>
    <cellStyle name="Normal 33 2 9 13 2" xfId="24441"/>
    <cellStyle name="Normal 33 2 9 13 2 2" xfId="24442"/>
    <cellStyle name="Normal 33 2 9 13 2 2 2" xfId="24443"/>
    <cellStyle name="Normal 33 2 9 13 2 2 2 2" xfId="24444"/>
    <cellStyle name="Normal 33 2 9 13 2 2 3" xfId="24445"/>
    <cellStyle name="Normal 33 2 9 13 2 3" xfId="24446"/>
    <cellStyle name="Normal 33 2 9 13 2 3 2" xfId="24447"/>
    <cellStyle name="Normal 33 2 9 13 2 4" xfId="24448"/>
    <cellStyle name="Normal 33 2 9 13 3" xfId="24449"/>
    <cellStyle name="Normal 33 2 9 13 3 2" xfId="24450"/>
    <cellStyle name="Normal 33 2 9 13 3 2 2" xfId="24451"/>
    <cellStyle name="Normal 33 2 9 13 3 2 2 2" xfId="24452"/>
    <cellStyle name="Normal 33 2 9 13 3 2 3" xfId="24453"/>
    <cellStyle name="Normal 33 2 9 13 3 3" xfId="24454"/>
    <cellStyle name="Normal 33 2 9 13 3 3 2" xfId="24455"/>
    <cellStyle name="Normal 33 2 9 13 3 4" xfId="24456"/>
    <cellStyle name="Normal 33 2 9 13 4" xfId="24457"/>
    <cellStyle name="Normal 33 2 9 13 4 2" xfId="24458"/>
    <cellStyle name="Normal 33 2 9 13 4 2 2" xfId="24459"/>
    <cellStyle name="Normal 33 2 9 13 4 3" xfId="24460"/>
    <cellStyle name="Normal 33 2 9 13 5" xfId="24461"/>
    <cellStyle name="Normal 33 2 9 13 5 2" xfId="24462"/>
    <cellStyle name="Normal 33 2 9 13 6" xfId="24463"/>
    <cellStyle name="Normal 33 2 9 14" xfId="24464"/>
    <cellStyle name="Normal 33 2 9 14 2" xfId="24465"/>
    <cellStyle name="Normal 33 2 9 14 2 2" xfId="24466"/>
    <cellStyle name="Normal 33 2 9 14 2 2 2" xfId="24467"/>
    <cellStyle name="Normal 33 2 9 14 2 3" xfId="24468"/>
    <cellStyle name="Normal 33 2 9 14 3" xfId="24469"/>
    <cellStyle name="Normal 33 2 9 14 3 2" xfId="24470"/>
    <cellStyle name="Normal 33 2 9 14 4" xfId="24471"/>
    <cellStyle name="Normal 33 2 9 15" xfId="24472"/>
    <cellStyle name="Normal 33 2 9 15 2" xfId="24473"/>
    <cellStyle name="Normal 33 2 9 15 2 2" xfId="24474"/>
    <cellStyle name="Normal 33 2 9 15 2 2 2" xfId="24475"/>
    <cellStyle name="Normal 33 2 9 15 2 3" xfId="24476"/>
    <cellStyle name="Normal 33 2 9 15 3" xfId="24477"/>
    <cellStyle name="Normal 33 2 9 15 3 2" xfId="24478"/>
    <cellStyle name="Normal 33 2 9 15 4" xfId="24479"/>
    <cellStyle name="Normal 33 2 9 16" xfId="24480"/>
    <cellStyle name="Normal 33 2 9 16 2" xfId="24481"/>
    <cellStyle name="Normal 33 2 9 16 2 2" xfId="24482"/>
    <cellStyle name="Normal 33 2 9 16 3" xfId="24483"/>
    <cellStyle name="Normal 33 2 9 17" xfId="24484"/>
    <cellStyle name="Normal 33 2 9 17 2" xfId="24485"/>
    <cellStyle name="Normal 33 2 9 18" xfId="24486"/>
    <cellStyle name="Normal 33 2 9 2" xfId="24487"/>
    <cellStyle name="Normal 33 2 9 2 2" xfId="24488"/>
    <cellStyle name="Normal 33 2 9 2 2 2" xfId="24489"/>
    <cellStyle name="Normal 33 2 9 2 2 2 2" xfId="24490"/>
    <cellStyle name="Normal 33 2 9 2 2 2 2 2" xfId="24491"/>
    <cellStyle name="Normal 33 2 9 2 2 2 3" xfId="24492"/>
    <cellStyle name="Normal 33 2 9 2 2 3" xfId="24493"/>
    <cellStyle name="Normal 33 2 9 2 2 3 2" xfId="24494"/>
    <cellStyle name="Normal 33 2 9 2 2 4" xfId="24495"/>
    <cellStyle name="Normal 33 2 9 2 3" xfId="24496"/>
    <cellStyle name="Normal 33 2 9 2 3 2" xfId="24497"/>
    <cellStyle name="Normal 33 2 9 2 3 2 2" xfId="24498"/>
    <cellStyle name="Normal 33 2 9 2 3 2 2 2" xfId="24499"/>
    <cellStyle name="Normal 33 2 9 2 3 2 3" xfId="24500"/>
    <cellStyle name="Normal 33 2 9 2 3 3" xfId="24501"/>
    <cellStyle name="Normal 33 2 9 2 3 3 2" xfId="24502"/>
    <cellStyle name="Normal 33 2 9 2 3 4" xfId="24503"/>
    <cellStyle name="Normal 33 2 9 2 4" xfId="24504"/>
    <cellStyle name="Normal 33 2 9 2 4 2" xfId="24505"/>
    <cellStyle name="Normal 33 2 9 2 4 2 2" xfId="24506"/>
    <cellStyle name="Normal 33 2 9 2 4 3" xfId="24507"/>
    <cellStyle name="Normal 33 2 9 2 5" xfId="24508"/>
    <cellStyle name="Normal 33 2 9 2 5 2" xfId="24509"/>
    <cellStyle name="Normal 33 2 9 2 6" xfId="24510"/>
    <cellStyle name="Normal 33 2 9 3" xfId="24511"/>
    <cellStyle name="Normal 33 2 9 3 2" xfId="24512"/>
    <cellStyle name="Normal 33 2 9 3 2 2" xfId="24513"/>
    <cellStyle name="Normal 33 2 9 3 2 2 2" xfId="24514"/>
    <cellStyle name="Normal 33 2 9 3 2 2 2 2" xfId="24515"/>
    <cellStyle name="Normal 33 2 9 3 2 2 3" xfId="24516"/>
    <cellStyle name="Normal 33 2 9 3 2 3" xfId="24517"/>
    <cellStyle name="Normal 33 2 9 3 2 3 2" xfId="24518"/>
    <cellStyle name="Normal 33 2 9 3 2 4" xfId="24519"/>
    <cellStyle name="Normal 33 2 9 3 3" xfId="24520"/>
    <cellStyle name="Normal 33 2 9 3 3 2" xfId="24521"/>
    <cellStyle name="Normal 33 2 9 3 3 2 2" xfId="24522"/>
    <cellStyle name="Normal 33 2 9 3 3 2 2 2" xfId="24523"/>
    <cellStyle name="Normal 33 2 9 3 3 2 3" xfId="24524"/>
    <cellStyle name="Normal 33 2 9 3 3 3" xfId="24525"/>
    <cellStyle name="Normal 33 2 9 3 3 3 2" xfId="24526"/>
    <cellStyle name="Normal 33 2 9 3 3 4" xfId="24527"/>
    <cellStyle name="Normal 33 2 9 3 4" xfId="24528"/>
    <cellStyle name="Normal 33 2 9 3 4 2" xfId="24529"/>
    <cellStyle name="Normal 33 2 9 3 4 2 2" xfId="24530"/>
    <cellStyle name="Normal 33 2 9 3 4 3" xfId="24531"/>
    <cellStyle name="Normal 33 2 9 3 5" xfId="24532"/>
    <cellStyle name="Normal 33 2 9 3 5 2" xfId="24533"/>
    <cellStyle name="Normal 33 2 9 3 6" xfId="24534"/>
    <cellStyle name="Normal 33 2 9 4" xfId="24535"/>
    <cellStyle name="Normal 33 2 9 4 2" xfId="24536"/>
    <cellStyle name="Normal 33 2 9 4 2 2" xfId="24537"/>
    <cellStyle name="Normal 33 2 9 4 2 2 2" xfId="24538"/>
    <cellStyle name="Normal 33 2 9 4 2 2 2 2" xfId="24539"/>
    <cellStyle name="Normal 33 2 9 4 2 2 3" xfId="24540"/>
    <cellStyle name="Normal 33 2 9 4 2 3" xfId="24541"/>
    <cellStyle name="Normal 33 2 9 4 2 3 2" xfId="24542"/>
    <cellStyle name="Normal 33 2 9 4 2 4" xfId="24543"/>
    <cellStyle name="Normal 33 2 9 4 3" xfId="24544"/>
    <cellStyle name="Normal 33 2 9 4 3 2" xfId="24545"/>
    <cellStyle name="Normal 33 2 9 4 3 2 2" xfId="24546"/>
    <cellStyle name="Normal 33 2 9 4 3 2 2 2" xfId="24547"/>
    <cellStyle name="Normal 33 2 9 4 3 2 3" xfId="24548"/>
    <cellStyle name="Normal 33 2 9 4 3 3" xfId="24549"/>
    <cellStyle name="Normal 33 2 9 4 3 3 2" xfId="24550"/>
    <cellStyle name="Normal 33 2 9 4 3 4" xfId="24551"/>
    <cellStyle name="Normal 33 2 9 4 4" xfId="24552"/>
    <cellStyle name="Normal 33 2 9 4 4 2" xfId="24553"/>
    <cellStyle name="Normal 33 2 9 4 4 2 2" xfId="24554"/>
    <cellStyle name="Normal 33 2 9 4 4 3" xfId="24555"/>
    <cellStyle name="Normal 33 2 9 4 5" xfId="24556"/>
    <cellStyle name="Normal 33 2 9 4 5 2" xfId="24557"/>
    <cellStyle name="Normal 33 2 9 4 6" xfId="24558"/>
    <cellStyle name="Normal 33 2 9 5" xfId="24559"/>
    <cellStyle name="Normal 33 2 9 5 2" xfId="24560"/>
    <cellStyle name="Normal 33 2 9 5 2 2" xfId="24561"/>
    <cellStyle name="Normal 33 2 9 5 2 2 2" xfId="24562"/>
    <cellStyle name="Normal 33 2 9 5 2 2 2 2" xfId="24563"/>
    <cellStyle name="Normal 33 2 9 5 2 2 3" xfId="24564"/>
    <cellStyle name="Normal 33 2 9 5 2 3" xfId="24565"/>
    <cellStyle name="Normal 33 2 9 5 2 3 2" xfId="24566"/>
    <cellStyle name="Normal 33 2 9 5 2 4" xfId="24567"/>
    <cellStyle name="Normal 33 2 9 5 3" xfId="24568"/>
    <cellStyle name="Normal 33 2 9 5 3 2" xfId="24569"/>
    <cellStyle name="Normal 33 2 9 5 3 2 2" xfId="24570"/>
    <cellStyle name="Normal 33 2 9 5 3 2 2 2" xfId="24571"/>
    <cellStyle name="Normal 33 2 9 5 3 2 3" xfId="24572"/>
    <cellStyle name="Normal 33 2 9 5 3 3" xfId="24573"/>
    <cellStyle name="Normal 33 2 9 5 3 3 2" xfId="24574"/>
    <cellStyle name="Normal 33 2 9 5 3 4" xfId="24575"/>
    <cellStyle name="Normal 33 2 9 5 4" xfId="24576"/>
    <cellStyle name="Normal 33 2 9 5 4 2" xfId="24577"/>
    <cellStyle name="Normal 33 2 9 5 4 2 2" xfId="24578"/>
    <cellStyle name="Normal 33 2 9 5 4 3" xfId="24579"/>
    <cellStyle name="Normal 33 2 9 5 5" xfId="24580"/>
    <cellStyle name="Normal 33 2 9 5 5 2" xfId="24581"/>
    <cellStyle name="Normal 33 2 9 5 6" xfId="24582"/>
    <cellStyle name="Normal 33 2 9 6" xfId="24583"/>
    <cellStyle name="Normal 33 2 9 6 2" xfId="24584"/>
    <cellStyle name="Normal 33 2 9 6 2 2" xfId="24585"/>
    <cellStyle name="Normal 33 2 9 6 2 2 2" xfId="24586"/>
    <cellStyle name="Normal 33 2 9 6 2 2 2 2" xfId="24587"/>
    <cellStyle name="Normal 33 2 9 6 2 2 3" xfId="24588"/>
    <cellStyle name="Normal 33 2 9 6 2 3" xfId="24589"/>
    <cellStyle name="Normal 33 2 9 6 2 3 2" xfId="24590"/>
    <cellStyle name="Normal 33 2 9 6 2 4" xfId="24591"/>
    <cellStyle name="Normal 33 2 9 6 3" xfId="24592"/>
    <cellStyle name="Normal 33 2 9 6 3 2" xfId="24593"/>
    <cellStyle name="Normal 33 2 9 6 3 2 2" xfId="24594"/>
    <cellStyle name="Normal 33 2 9 6 3 2 2 2" xfId="24595"/>
    <cellStyle name="Normal 33 2 9 6 3 2 3" xfId="24596"/>
    <cellStyle name="Normal 33 2 9 6 3 3" xfId="24597"/>
    <cellStyle name="Normal 33 2 9 6 3 3 2" xfId="24598"/>
    <cellStyle name="Normal 33 2 9 6 3 4" xfId="24599"/>
    <cellStyle name="Normal 33 2 9 6 4" xfId="24600"/>
    <cellStyle name="Normal 33 2 9 6 4 2" xfId="24601"/>
    <cellStyle name="Normal 33 2 9 6 4 2 2" xfId="24602"/>
    <cellStyle name="Normal 33 2 9 6 4 3" xfId="24603"/>
    <cellStyle name="Normal 33 2 9 6 5" xfId="24604"/>
    <cellStyle name="Normal 33 2 9 6 5 2" xfId="24605"/>
    <cellStyle name="Normal 33 2 9 6 6" xfId="24606"/>
    <cellStyle name="Normal 33 2 9 7" xfId="24607"/>
    <cellStyle name="Normal 33 2 9 7 2" xfId="24608"/>
    <cellStyle name="Normal 33 2 9 7 2 2" xfId="24609"/>
    <cellStyle name="Normal 33 2 9 7 2 2 2" xfId="24610"/>
    <cellStyle name="Normal 33 2 9 7 2 2 2 2" xfId="24611"/>
    <cellStyle name="Normal 33 2 9 7 2 2 3" xfId="24612"/>
    <cellStyle name="Normal 33 2 9 7 2 3" xfId="24613"/>
    <cellStyle name="Normal 33 2 9 7 2 3 2" xfId="24614"/>
    <cellStyle name="Normal 33 2 9 7 2 4" xfId="24615"/>
    <cellStyle name="Normal 33 2 9 7 3" xfId="24616"/>
    <cellStyle name="Normal 33 2 9 7 3 2" xfId="24617"/>
    <cellStyle name="Normal 33 2 9 7 3 2 2" xfId="24618"/>
    <cellStyle name="Normal 33 2 9 7 3 2 2 2" xfId="24619"/>
    <cellStyle name="Normal 33 2 9 7 3 2 3" xfId="24620"/>
    <cellStyle name="Normal 33 2 9 7 3 3" xfId="24621"/>
    <cellStyle name="Normal 33 2 9 7 3 3 2" xfId="24622"/>
    <cellStyle name="Normal 33 2 9 7 3 4" xfId="24623"/>
    <cellStyle name="Normal 33 2 9 7 4" xfId="24624"/>
    <cellStyle name="Normal 33 2 9 7 4 2" xfId="24625"/>
    <cellStyle name="Normal 33 2 9 7 4 2 2" xfId="24626"/>
    <cellStyle name="Normal 33 2 9 7 4 3" xfId="24627"/>
    <cellStyle name="Normal 33 2 9 7 5" xfId="24628"/>
    <cellStyle name="Normal 33 2 9 7 5 2" xfId="24629"/>
    <cellStyle name="Normal 33 2 9 7 6" xfId="24630"/>
    <cellStyle name="Normal 33 2 9 8" xfId="24631"/>
    <cellStyle name="Normal 33 2 9 8 2" xfId="24632"/>
    <cellStyle name="Normal 33 2 9 8 2 2" xfId="24633"/>
    <cellStyle name="Normal 33 2 9 8 2 2 2" xfId="24634"/>
    <cellStyle name="Normal 33 2 9 8 2 2 2 2" xfId="24635"/>
    <cellStyle name="Normal 33 2 9 8 2 2 3" xfId="24636"/>
    <cellStyle name="Normal 33 2 9 8 2 3" xfId="24637"/>
    <cellStyle name="Normal 33 2 9 8 2 3 2" xfId="24638"/>
    <cellStyle name="Normal 33 2 9 8 2 4" xfId="24639"/>
    <cellStyle name="Normal 33 2 9 8 3" xfId="24640"/>
    <cellStyle name="Normal 33 2 9 8 3 2" xfId="24641"/>
    <cellStyle name="Normal 33 2 9 8 3 2 2" xfId="24642"/>
    <cellStyle name="Normal 33 2 9 8 3 2 2 2" xfId="24643"/>
    <cellStyle name="Normal 33 2 9 8 3 2 3" xfId="24644"/>
    <cellStyle name="Normal 33 2 9 8 3 3" xfId="24645"/>
    <cellStyle name="Normal 33 2 9 8 3 3 2" xfId="24646"/>
    <cellStyle name="Normal 33 2 9 8 3 4" xfId="24647"/>
    <cellStyle name="Normal 33 2 9 8 4" xfId="24648"/>
    <cellStyle name="Normal 33 2 9 8 4 2" xfId="24649"/>
    <cellStyle name="Normal 33 2 9 8 4 2 2" xfId="24650"/>
    <cellStyle name="Normal 33 2 9 8 4 3" xfId="24651"/>
    <cellStyle name="Normal 33 2 9 8 5" xfId="24652"/>
    <cellStyle name="Normal 33 2 9 8 5 2" xfId="24653"/>
    <cellStyle name="Normal 33 2 9 8 6" xfId="24654"/>
    <cellStyle name="Normal 33 2 9 9" xfId="24655"/>
    <cellStyle name="Normal 33 2 9 9 2" xfId="24656"/>
    <cellStyle name="Normal 33 2 9 9 2 2" xfId="24657"/>
    <cellStyle name="Normal 33 2 9 9 2 2 2" xfId="24658"/>
    <cellStyle name="Normal 33 2 9 9 2 2 2 2" xfId="24659"/>
    <cellStyle name="Normal 33 2 9 9 2 2 3" xfId="24660"/>
    <cellStyle name="Normal 33 2 9 9 2 3" xfId="24661"/>
    <cellStyle name="Normal 33 2 9 9 2 3 2" xfId="24662"/>
    <cellStyle name="Normal 33 2 9 9 2 4" xfId="24663"/>
    <cellStyle name="Normal 33 2 9 9 3" xfId="24664"/>
    <cellStyle name="Normal 33 2 9 9 3 2" xfId="24665"/>
    <cellStyle name="Normal 33 2 9 9 3 2 2" xfId="24666"/>
    <cellStyle name="Normal 33 2 9 9 3 2 2 2" xfId="24667"/>
    <cellStyle name="Normal 33 2 9 9 3 2 3" xfId="24668"/>
    <cellStyle name="Normal 33 2 9 9 3 3" xfId="24669"/>
    <cellStyle name="Normal 33 2 9 9 3 3 2" xfId="24670"/>
    <cellStyle name="Normal 33 2 9 9 3 4" xfId="24671"/>
    <cellStyle name="Normal 33 2 9 9 4" xfId="24672"/>
    <cellStyle name="Normal 33 2 9 9 4 2" xfId="24673"/>
    <cellStyle name="Normal 33 2 9 9 4 2 2" xfId="24674"/>
    <cellStyle name="Normal 33 2 9 9 4 3" xfId="24675"/>
    <cellStyle name="Normal 33 2 9 9 5" xfId="24676"/>
    <cellStyle name="Normal 33 2 9 9 5 2" xfId="24677"/>
    <cellStyle name="Normal 33 2 9 9 6" xfId="24678"/>
    <cellStyle name="Normal 33 20" xfId="24679"/>
    <cellStyle name="Normal 33 20 10" xfId="24680"/>
    <cellStyle name="Normal 33 20 10 2" xfId="24681"/>
    <cellStyle name="Normal 33 20 10 2 2" xfId="24682"/>
    <cellStyle name="Normal 33 20 10 2 2 2" xfId="24683"/>
    <cellStyle name="Normal 33 20 10 2 2 2 2" xfId="24684"/>
    <cellStyle name="Normal 33 20 10 2 2 3" xfId="24685"/>
    <cellStyle name="Normal 33 20 10 2 3" xfId="24686"/>
    <cellStyle name="Normal 33 20 10 2 3 2" xfId="24687"/>
    <cellStyle name="Normal 33 20 10 2 4" xfId="24688"/>
    <cellStyle name="Normal 33 20 10 3" xfId="24689"/>
    <cellStyle name="Normal 33 20 10 3 2" xfId="24690"/>
    <cellStyle name="Normal 33 20 10 3 2 2" xfId="24691"/>
    <cellStyle name="Normal 33 20 10 3 2 2 2" xfId="24692"/>
    <cellStyle name="Normal 33 20 10 3 2 3" xfId="24693"/>
    <cellStyle name="Normal 33 20 10 3 3" xfId="24694"/>
    <cellStyle name="Normal 33 20 10 3 3 2" xfId="24695"/>
    <cellStyle name="Normal 33 20 10 3 4" xfId="24696"/>
    <cellStyle name="Normal 33 20 10 4" xfId="24697"/>
    <cellStyle name="Normal 33 20 10 4 2" xfId="24698"/>
    <cellStyle name="Normal 33 20 10 4 2 2" xfId="24699"/>
    <cellStyle name="Normal 33 20 10 4 3" xfId="24700"/>
    <cellStyle name="Normal 33 20 10 5" xfId="24701"/>
    <cellStyle name="Normal 33 20 10 5 2" xfId="24702"/>
    <cellStyle name="Normal 33 20 10 6" xfId="24703"/>
    <cellStyle name="Normal 33 20 11" xfId="24704"/>
    <cellStyle name="Normal 33 20 11 2" xfId="24705"/>
    <cellStyle name="Normal 33 20 11 2 2" xfId="24706"/>
    <cellStyle name="Normal 33 20 11 2 2 2" xfId="24707"/>
    <cellStyle name="Normal 33 20 11 2 2 2 2" xfId="24708"/>
    <cellStyle name="Normal 33 20 11 2 2 3" xfId="24709"/>
    <cellStyle name="Normal 33 20 11 2 3" xfId="24710"/>
    <cellStyle name="Normal 33 20 11 2 3 2" xfId="24711"/>
    <cellStyle name="Normal 33 20 11 2 4" xfId="24712"/>
    <cellStyle name="Normal 33 20 11 3" xfId="24713"/>
    <cellStyle name="Normal 33 20 11 3 2" xfId="24714"/>
    <cellStyle name="Normal 33 20 11 3 2 2" xfId="24715"/>
    <cellStyle name="Normal 33 20 11 3 2 2 2" xfId="24716"/>
    <cellStyle name="Normal 33 20 11 3 2 3" xfId="24717"/>
    <cellStyle name="Normal 33 20 11 3 3" xfId="24718"/>
    <cellStyle name="Normal 33 20 11 3 3 2" xfId="24719"/>
    <cellStyle name="Normal 33 20 11 3 4" xfId="24720"/>
    <cellStyle name="Normal 33 20 11 4" xfId="24721"/>
    <cellStyle name="Normal 33 20 11 4 2" xfId="24722"/>
    <cellStyle name="Normal 33 20 11 4 2 2" xfId="24723"/>
    <cellStyle name="Normal 33 20 11 4 3" xfId="24724"/>
    <cellStyle name="Normal 33 20 11 5" xfId="24725"/>
    <cellStyle name="Normal 33 20 11 5 2" xfId="24726"/>
    <cellStyle name="Normal 33 20 11 6" xfId="24727"/>
    <cellStyle name="Normal 33 20 12" xfId="24728"/>
    <cellStyle name="Normal 33 20 12 2" xfId="24729"/>
    <cellStyle name="Normal 33 20 12 2 2" xfId="24730"/>
    <cellStyle name="Normal 33 20 12 2 2 2" xfId="24731"/>
    <cellStyle name="Normal 33 20 12 2 2 2 2" xfId="24732"/>
    <cellStyle name="Normal 33 20 12 2 2 3" xfId="24733"/>
    <cellStyle name="Normal 33 20 12 2 3" xfId="24734"/>
    <cellStyle name="Normal 33 20 12 2 3 2" xfId="24735"/>
    <cellStyle name="Normal 33 20 12 2 4" xfId="24736"/>
    <cellStyle name="Normal 33 20 12 3" xfId="24737"/>
    <cellStyle name="Normal 33 20 12 3 2" xfId="24738"/>
    <cellStyle name="Normal 33 20 12 3 2 2" xfId="24739"/>
    <cellStyle name="Normal 33 20 12 3 2 2 2" xfId="24740"/>
    <cellStyle name="Normal 33 20 12 3 2 3" xfId="24741"/>
    <cellStyle name="Normal 33 20 12 3 3" xfId="24742"/>
    <cellStyle name="Normal 33 20 12 3 3 2" xfId="24743"/>
    <cellStyle name="Normal 33 20 12 3 4" xfId="24744"/>
    <cellStyle name="Normal 33 20 12 4" xfId="24745"/>
    <cellStyle name="Normal 33 20 12 4 2" xfId="24746"/>
    <cellStyle name="Normal 33 20 12 4 2 2" xfId="24747"/>
    <cellStyle name="Normal 33 20 12 4 3" xfId="24748"/>
    <cellStyle name="Normal 33 20 12 5" xfId="24749"/>
    <cellStyle name="Normal 33 20 12 5 2" xfId="24750"/>
    <cellStyle name="Normal 33 20 12 6" xfId="24751"/>
    <cellStyle name="Normal 33 20 13" xfId="24752"/>
    <cellStyle name="Normal 33 20 13 2" xfId="24753"/>
    <cellStyle name="Normal 33 20 13 2 2" xfId="24754"/>
    <cellStyle name="Normal 33 20 13 2 2 2" xfId="24755"/>
    <cellStyle name="Normal 33 20 13 2 2 2 2" xfId="24756"/>
    <cellStyle name="Normal 33 20 13 2 2 3" xfId="24757"/>
    <cellStyle name="Normal 33 20 13 2 3" xfId="24758"/>
    <cellStyle name="Normal 33 20 13 2 3 2" xfId="24759"/>
    <cellStyle name="Normal 33 20 13 2 4" xfId="24760"/>
    <cellStyle name="Normal 33 20 13 3" xfId="24761"/>
    <cellStyle name="Normal 33 20 13 3 2" xfId="24762"/>
    <cellStyle name="Normal 33 20 13 3 2 2" xfId="24763"/>
    <cellStyle name="Normal 33 20 13 3 2 2 2" xfId="24764"/>
    <cellStyle name="Normal 33 20 13 3 2 3" xfId="24765"/>
    <cellStyle name="Normal 33 20 13 3 3" xfId="24766"/>
    <cellStyle name="Normal 33 20 13 3 3 2" xfId="24767"/>
    <cellStyle name="Normal 33 20 13 3 4" xfId="24768"/>
    <cellStyle name="Normal 33 20 13 4" xfId="24769"/>
    <cellStyle name="Normal 33 20 13 4 2" xfId="24770"/>
    <cellStyle name="Normal 33 20 13 4 2 2" xfId="24771"/>
    <cellStyle name="Normal 33 20 13 4 3" xfId="24772"/>
    <cellStyle name="Normal 33 20 13 5" xfId="24773"/>
    <cellStyle name="Normal 33 20 13 5 2" xfId="24774"/>
    <cellStyle name="Normal 33 20 13 6" xfId="24775"/>
    <cellStyle name="Normal 33 20 14" xfId="24776"/>
    <cellStyle name="Normal 33 20 14 2" xfId="24777"/>
    <cellStyle name="Normal 33 20 14 2 2" xfId="24778"/>
    <cellStyle name="Normal 33 20 14 2 2 2" xfId="24779"/>
    <cellStyle name="Normal 33 20 14 2 3" xfId="24780"/>
    <cellStyle name="Normal 33 20 14 3" xfId="24781"/>
    <cellStyle name="Normal 33 20 14 3 2" xfId="24782"/>
    <cellStyle name="Normal 33 20 14 4" xfId="24783"/>
    <cellStyle name="Normal 33 20 15" xfId="24784"/>
    <cellStyle name="Normal 33 20 15 2" xfId="24785"/>
    <cellStyle name="Normal 33 20 15 2 2" xfId="24786"/>
    <cellStyle name="Normal 33 20 15 2 2 2" xfId="24787"/>
    <cellStyle name="Normal 33 20 15 2 3" xfId="24788"/>
    <cellStyle name="Normal 33 20 15 3" xfId="24789"/>
    <cellStyle name="Normal 33 20 15 3 2" xfId="24790"/>
    <cellStyle name="Normal 33 20 15 4" xfId="24791"/>
    <cellStyle name="Normal 33 20 16" xfId="24792"/>
    <cellStyle name="Normal 33 20 16 2" xfId="24793"/>
    <cellStyle name="Normal 33 20 16 2 2" xfId="24794"/>
    <cellStyle name="Normal 33 20 16 3" xfId="24795"/>
    <cellStyle name="Normal 33 20 17" xfId="24796"/>
    <cellStyle name="Normal 33 20 17 2" xfId="24797"/>
    <cellStyle name="Normal 33 20 18" xfId="24798"/>
    <cellStyle name="Normal 33 20 2" xfId="24799"/>
    <cellStyle name="Normal 33 20 2 2" xfId="24800"/>
    <cellStyle name="Normal 33 20 2 2 2" xfId="24801"/>
    <cellStyle name="Normal 33 20 2 2 2 2" xfId="24802"/>
    <cellStyle name="Normal 33 20 2 2 2 2 2" xfId="24803"/>
    <cellStyle name="Normal 33 20 2 2 2 3" xfId="24804"/>
    <cellStyle name="Normal 33 20 2 2 3" xfId="24805"/>
    <cellStyle name="Normal 33 20 2 2 3 2" xfId="24806"/>
    <cellStyle name="Normal 33 20 2 2 4" xfId="24807"/>
    <cellStyle name="Normal 33 20 2 3" xfId="24808"/>
    <cellStyle name="Normal 33 20 2 3 2" xfId="24809"/>
    <cellStyle name="Normal 33 20 2 3 2 2" xfId="24810"/>
    <cellStyle name="Normal 33 20 2 3 2 2 2" xfId="24811"/>
    <cellStyle name="Normal 33 20 2 3 2 3" xfId="24812"/>
    <cellStyle name="Normal 33 20 2 3 3" xfId="24813"/>
    <cellStyle name="Normal 33 20 2 3 3 2" xfId="24814"/>
    <cellStyle name="Normal 33 20 2 3 4" xfId="24815"/>
    <cellStyle name="Normal 33 20 2 4" xfId="24816"/>
    <cellStyle name="Normal 33 20 2 4 2" xfId="24817"/>
    <cellStyle name="Normal 33 20 2 4 2 2" xfId="24818"/>
    <cellStyle name="Normal 33 20 2 4 3" xfId="24819"/>
    <cellStyle name="Normal 33 20 2 5" xfId="24820"/>
    <cellStyle name="Normal 33 20 2 5 2" xfId="24821"/>
    <cellStyle name="Normal 33 20 2 6" xfId="24822"/>
    <cellStyle name="Normal 33 20 3" xfId="24823"/>
    <cellStyle name="Normal 33 20 3 2" xfId="24824"/>
    <cellStyle name="Normal 33 20 3 2 2" xfId="24825"/>
    <cellStyle name="Normal 33 20 3 2 2 2" xfId="24826"/>
    <cellStyle name="Normal 33 20 3 2 2 2 2" xfId="24827"/>
    <cellStyle name="Normal 33 20 3 2 2 3" xfId="24828"/>
    <cellStyle name="Normal 33 20 3 2 3" xfId="24829"/>
    <cellStyle name="Normal 33 20 3 2 3 2" xfId="24830"/>
    <cellStyle name="Normal 33 20 3 2 4" xfId="24831"/>
    <cellStyle name="Normal 33 20 3 3" xfId="24832"/>
    <cellStyle name="Normal 33 20 3 3 2" xfId="24833"/>
    <cellStyle name="Normal 33 20 3 3 2 2" xfId="24834"/>
    <cellStyle name="Normal 33 20 3 3 2 2 2" xfId="24835"/>
    <cellStyle name="Normal 33 20 3 3 2 3" xfId="24836"/>
    <cellStyle name="Normal 33 20 3 3 3" xfId="24837"/>
    <cellStyle name="Normal 33 20 3 3 3 2" xfId="24838"/>
    <cellStyle name="Normal 33 20 3 3 4" xfId="24839"/>
    <cellStyle name="Normal 33 20 3 4" xfId="24840"/>
    <cellStyle name="Normal 33 20 3 4 2" xfId="24841"/>
    <cellStyle name="Normal 33 20 3 4 2 2" xfId="24842"/>
    <cellStyle name="Normal 33 20 3 4 3" xfId="24843"/>
    <cellStyle name="Normal 33 20 3 5" xfId="24844"/>
    <cellStyle name="Normal 33 20 3 5 2" xfId="24845"/>
    <cellStyle name="Normal 33 20 3 6" xfId="24846"/>
    <cellStyle name="Normal 33 20 4" xfId="24847"/>
    <cellStyle name="Normal 33 20 4 2" xfId="24848"/>
    <cellStyle name="Normal 33 20 4 2 2" xfId="24849"/>
    <cellStyle name="Normal 33 20 4 2 2 2" xfId="24850"/>
    <cellStyle name="Normal 33 20 4 2 2 2 2" xfId="24851"/>
    <cellStyle name="Normal 33 20 4 2 2 3" xfId="24852"/>
    <cellStyle name="Normal 33 20 4 2 3" xfId="24853"/>
    <cellStyle name="Normal 33 20 4 2 3 2" xfId="24854"/>
    <cellStyle name="Normal 33 20 4 2 4" xfId="24855"/>
    <cellStyle name="Normal 33 20 4 3" xfId="24856"/>
    <cellStyle name="Normal 33 20 4 3 2" xfId="24857"/>
    <cellStyle name="Normal 33 20 4 3 2 2" xfId="24858"/>
    <cellStyle name="Normal 33 20 4 3 2 2 2" xfId="24859"/>
    <cellStyle name="Normal 33 20 4 3 2 3" xfId="24860"/>
    <cellStyle name="Normal 33 20 4 3 3" xfId="24861"/>
    <cellStyle name="Normal 33 20 4 3 3 2" xfId="24862"/>
    <cellStyle name="Normal 33 20 4 3 4" xfId="24863"/>
    <cellStyle name="Normal 33 20 4 4" xfId="24864"/>
    <cellStyle name="Normal 33 20 4 4 2" xfId="24865"/>
    <cellStyle name="Normal 33 20 4 4 2 2" xfId="24866"/>
    <cellStyle name="Normal 33 20 4 4 3" xfId="24867"/>
    <cellStyle name="Normal 33 20 4 5" xfId="24868"/>
    <cellStyle name="Normal 33 20 4 5 2" xfId="24869"/>
    <cellStyle name="Normal 33 20 4 6" xfId="24870"/>
    <cellStyle name="Normal 33 20 5" xfId="24871"/>
    <cellStyle name="Normal 33 20 5 2" xfId="24872"/>
    <cellStyle name="Normal 33 20 5 2 2" xfId="24873"/>
    <cellStyle name="Normal 33 20 5 2 2 2" xfId="24874"/>
    <cellStyle name="Normal 33 20 5 2 2 2 2" xfId="24875"/>
    <cellStyle name="Normal 33 20 5 2 2 3" xfId="24876"/>
    <cellStyle name="Normal 33 20 5 2 3" xfId="24877"/>
    <cellStyle name="Normal 33 20 5 2 3 2" xfId="24878"/>
    <cellStyle name="Normal 33 20 5 2 4" xfId="24879"/>
    <cellStyle name="Normal 33 20 5 3" xfId="24880"/>
    <cellStyle name="Normal 33 20 5 3 2" xfId="24881"/>
    <cellStyle name="Normal 33 20 5 3 2 2" xfId="24882"/>
    <cellStyle name="Normal 33 20 5 3 2 2 2" xfId="24883"/>
    <cellStyle name="Normal 33 20 5 3 2 3" xfId="24884"/>
    <cellStyle name="Normal 33 20 5 3 3" xfId="24885"/>
    <cellStyle name="Normal 33 20 5 3 3 2" xfId="24886"/>
    <cellStyle name="Normal 33 20 5 3 4" xfId="24887"/>
    <cellStyle name="Normal 33 20 5 4" xfId="24888"/>
    <cellStyle name="Normal 33 20 5 4 2" xfId="24889"/>
    <cellStyle name="Normal 33 20 5 4 2 2" xfId="24890"/>
    <cellStyle name="Normal 33 20 5 4 3" xfId="24891"/>
    <cellStyle name="Normal 33 20 5 5" xfId="24892"/>
    <cellStyle name="Normal 33 20 5 5 2" xfId="24893"/>
    <cellStyle name="Normal 33 20 5 6" xfId="24894"/>
    <cellStyle name="Normal 33 20 6" xfId="24895"/>
    <cellStyle name="Normal 33 20 6 2" xfId="24896"/>
    <cellStyle name="Normal 33 20 6 2 2" xfId="24897"/>
    <cellStyle name="Normal 33 20 6 2 2 2" xfId="24898"/>
    <cellStyle name="Normal 33 20 6 2 2 2 2" xfId="24899"/>
    <cellStyle name="Normal 33 20 6 2 2 3" xfId="24900"/>
    <cellStyle name="Normal 33 20 6 2 3" xfId="24901"/>
    <cellStyle name="Normal 33 20 6 2 3 2" xfId="24902"/>
    <cellStyle name="Normal 33 20 6 2 4" xfId="24903"/>
    <cellStyle name="Normal 33 20 6 3" xfId="24904"/>
    <cellStyle name="Normal 33 20 6 3 2" xfId="24905"/>
    <cellStyle name="Normal 33 20 6 3 2 2" xfId="24906"/>
    <cellStyle name="Normal 33 20 6 3 2 2 2" xfId="24907"/>
    <cellStyle name="Normal 33 20 6 3 2 3" xfId="24908"/>
    <cellStyle name="Normal 33 20 6 3 3" xfId="24909"/>
    <cellStyle name="Normal 33 20 6 3 3 2" xfId="24910"/>
    <cellStyle name="Normal 33 20 6 3 4" xfId="24911"/>
    <cellStyle name="Normal 33 20 6 4" xfId="24912"/>
    <cellStyle name="Normal 33 20 6 4 2" xfId="24913"/>
    <cellStyle name="Normal 33 20 6 4 2 2" xfId="24914"/>
    <cellStyle name="Normal 33 20 6 4 3" xfId="24915"/>
    <cellStyle name="Normal 33 20 6 5" xfId="24916"/>
    <cellStyle name="Normal 33 20 6 5 2" xfId="24917"/>
    <cellStyle name="Normal 33 20 6 6" xfId="24918"/>
    <cellStyle name="Normal 33 20 7" xfId="24919"/>
    <cellStyle name="Normal 33 20 7 2" xfId="24920"/>
    <cellStyle name="Normal 33 20 7 2 2" xfId="24921"/>
    <cellStyle name="Normal 33 20 7 2 2 2" xfId="24922"/>
    <cellStyle name="Normal 33 20 7 2 2 2 2" xfId="24923"/>
    <cellStyle name="Normal 33 20 7 2 2 3" xfId="24924"/>
    <cellStyle name="Normal 33 20 7 2 3" xfId="24925"/>
    <cellStyle name="Normal 33 20 7 2 3 2" xfId="24926"/>
    <cellStyle name="Normal 33 20 7 2 4" xfId="24927"/>
    <cellStyle name="Normal 33 20 7 3" xfId="24928"/>
    <cellStyle name="Normal 33 20 7 3 2" xfId="24929"/>
    <cellStyle name="Normal 33 20 7 3 2 2" xfId="24930"/>
    <cellStyle name="Normal 33 20 7 3 2 2 2" xfId="24931"/>
    <cellStyle name="Normal 33 20 7 3 2 3" xfId="24932"/>
    <cellStyle name="Normal 33 20 7 3 3" xfId="24933"/>
    <cellStyle name="Normal 33 20 7 3 3 2" xfId="24934"/>
    <cellStyle name="Normal 33 20 7 3 4" xfId="24935"/>
    <cellStyle name="Normal 33 20 7 4" xfId="24936"/>
    <cellStyle name="Normal 33 20 7 4 2" xfId="24937"/>
    <cellStyle name="Normal 33 20 7 4 2 2" xfId="24938"/>
    <cellStyle name="Normal 33 20 7 4 3" xfId="24939"/>
    <cellStyle name="Normal 33 20 7 5" xfId="24940"/>
    <cellStyle name="Normal 33 20 7 5 2" xfId="24941"/>
    <cellStyle name="Normal 33 20 7 6" xfId="24942"/>
    <cellStyle name="Normal 33 20 8" xfId="24943"/>
    <cellStyle name="Normal 33 20 8 2" xfId="24944"/>
    <cellStyle name="Normal 33 20 8 2 2" xfId="24945"/>
    <cellStyle name="Normal 33 20 8 2 2 2" xfId="24946"/>
    <cellStyle name="Normal 33 20 8 2 2 2 2" xfId="24947"/>
    <cellStyle name="Normal 33 20 8 2 2 3" xfId="24948"/>
    <cellStyle name="Normal 33 20 8 2 3" xfId="24949"/>
    <cellStyle name="Normal 33 20 8 2 3 2" xfId="24950"/>
    <cellStyle name="Normal 33 20 8 2 4" xfId="24951"/>
    <cellStyle name="Normal 33 20 8 3" xfId="24952"/>
    <cellStyle name="Normal 33 20 8 3 2" xfId="24953"/>
    <cellStyle name="Normal 33 20 8 3 2 2" xfId="24954"/>
    <cellStyle name="Normal 33 20 8 3 2 2 2" xfId="24955"/>
    <cellStyle name="Normal 33 20 8 3 2 3" xfId="24956"/>
    <cellStyle name="Normal 33 20 8 3 3" xfId="24957"/>
    <cellStyle name="Normal 33 20 8 3 3 2" xfId="24958"/>
    <cellStyle name="Normal 33 20 8 3 4" xfId="24959"/>
    <cellStyle name="Normal 33 20 8 4" xfId="24960"/>
    <cellStyle name="Normal 33 20 8 4 2" xfId="24961"/>
    <cellStyle name="Normal 33 20 8 4 2 2" xfId="24962"/>
    <cellStyle name="Normal 33 20 8 4 3" xfId="24963"/>
    <cellStyle name="Normal 33 20 8 5" xfId="24964"/>
    <cellStyle name="Normal 33 20 8 5 2" xfId="24965"/>
    <cellStyle name="Normal 33 20 8 6" xfId="24966"/>
    <cellStyle name="Normal 33 20 9" xfId="24967"/>
    <cellStyle name="Normal 33 20 9 2" xfId="24968"/>
    <cellStyle name="Normal 33 20 9 2 2" xfId="24969"/>
    <cellStyle name="Normal 33 20 9 2 2 2" xfId="24970"/>
    <cellStyle name="Normal 33 20 9 2 2 2 2" xfId="24971"/>
    <cellStyle name="Normal 33 20 9 2 2 3" xfId="24972"/>
    <cellStyle name="Normal 33 20 9 2 3" xfId="24973"/>
    <cellStyle name="Normal 33 20 9 2 3 2" xfId="24974"/>
    <cellStyle name="Normal 33 20 9 2 4" xfId="24975"/>
    <cellStyle name="Normal 33 20 9 3" xfId="24976"/>
    <cellStyle name="Normal 33 20 9 3 2" xfId="24977"/>
    <cellStyle name="Normal 33 20 9 3 2 2" xfId="24978"/>
    <cellStyle name="Normal 33 20 9 3 2 2 2" xfId="24979"/>
    <cellStyle name="Normal 33 20 9 3 2 3" xfId="24980"/>
    <cellStyle name="Normal 33 20 9 3 3" xfId="24981"/>
    <cellStyle name="Normal 33 20 9 3 3 2" xfId="24982"/>
    <cellStyle name="Normal 33 20 9 3 4" xfId="24983"/>
    <cellStyle name="Normal 33 20 9 4" xfId="24984"/>
    <cellStyle name="Normal 33 20 9 4 2" xfId="24985"/>
    <cellStyle name="Normal 33 20 9 4 2 2" xfId="24986"/>
    <cellStyle name="Normal 33 20 9 4 3" xfId="24987"/>
    <cellStyle name="Normal 33 20 9 5" xfId="24988"/>
    <cellStyle name="Normal 33 20 9 5 2" xfId="24989"/>
    <cellStyle name="Normal 33 20 9 6" xfId="24990"/>
    <cellStyle name="Normal 33 21" xfId="24991"/>
    <cellStyle name="Normal 33 21 10" xfId="24992"/>
    <cellStyle name="Normal 33 21 10 2" xfId="24993"/>
    <cellStyle name="Normal 33 21 10 2 2" xfId="24994"/>
    <cellStyle name="Normal 33 21 10 2 2 2" xfId="24995"/>
    <cellStyle name="Normal 33 21 10 2 2 2 2" xfId="24996"/>
    <cellStyle name="Normal 33 21 10 2 2 3" xfId="24997"/>
    <cellStyle name="Normal 33 21 10 2 3" xfId="24998"/>
    <cellStyle name="Normal 33 21 10 2 3 2" xfId="24999"/>
    <cellStyle name="Normal 33 21 10 2 4" xfId="25000"/>
    <cellStyle name="Normal 33 21 10 3" xfId="25001"/>
    <cellStyle name="Normal 33 21 10 3 2" xfId="25002"/>
    <cellStyle name="Normal 33 21 10 3 2 2" xfId="25003"/>
    <cellStyle name="Normal 33 21 10 3 2 2 2" xfId="25004"/>
    <cellStyle name="Normal 33 21 10 3 2 3" xfId="25005"/>
    <cellStyle name="Normal 33 21 10 3 3" xfId="25006"/>
    <cellStyle name="Normal 33 21 10 3 3 2" xfId="25007"/>
    <cellStyle name="Normal 33 21 10 3 4" xfId="25008"/>
    <cellStyle name="Normal 33 21 10 4" xfId="25009"/>
    <cellStyle name="Normal 33 21 10 4 2" xfId="25010"/>
    <cellStyle name="Normal 33 21 10 4 2 2" xfId="25011"/>
    <cellStyle name="Normal 33 21 10 4 3" xfId="25012"/>
    <cellStyle name="Normal 33 21 10 5" xfId="25013"/>
    <cellStyle name="Normal 33 21 10 5 2" xfId="25014"/>
    <cellStyle name="Normal 33 21 10 6" xfId="25015"/>
    <cellStyle name="Normal 33 21 11" xfId="25016"/>
    <cellStyle name="Normal 33 21 11 2" xfId="25017"/>
    <cellStyle name="Normal 33 21 11 2 2" xfId="25018"/>
    <cellStyle name="Normal 33 21 11 2 2 2" xfId="25019"/>
    <cellStyle name="Normal 33 21 11 2 2 2 2" xfId="25020"/>
    <cellStyle name="Normal 33 21 11 2 2 3" xfId="25021"/>
    <cellStyle name="Normal 33 21 11 2 3" xfId="25022"/>
    <cellStyle name="Normal 33 21 11 2 3 2" xfId="25023"/>
    <cellStyle name="Normal 33 21 11 2 4" xfId="25024"/>
    <cellStyle name="Normal 33 21 11 3" xfId="25025"/>
    <cellStyle name="Normal 33 21 11 3 2" xfId="25026"/>
    <cellStyle name="Normal 33 21 11 3 2 2" xfId="25027"/>
    <cellStyle name="Normal 33 21 11 3 2 2 2" xfId="25028"/>
    <cellStyle name="Normal 33 21 11 3 2 3" xfId="25029"/>
    <cellStyle name="Normal 33 21 11 3 3" xfId="25030"/>
    <cellStyle name="Normal 33 21 11 3 3 2" xfId="25031"/>
    <cellStyle name="Normal 33 21 11 3 4" xfId="25032"/>
    <cellStyle name="Normal 33 21 11 4" xfId="25033"/>
    <cellStyle name="Normal 33 21 11 4 2" xfId="25034"/>
    <cellStyle name="Normal 33 21 11 4 2 2" xfId="25035"/>
    <cellStyle name="Normal 33 21 11 4 3" xfId="25036"/>
    <cellStyle name="Normal 33 21 11 5" xfId="25037"/>
    <cellStyle name="Normal 33 21 11 5 2" xfId="25038"/>
    <cellStyle name="Normal 33 21 11 6" xfId="25039"/>
    <cellStyle name="Normal 33 21 12" xfId="25040"/>
    <cellStyle name="Normal 33 21 12 2" xfId="25041"/>
    <cellStyle name="Normal 33 21 12 2 2" xfId="25042"/>
    <cellStyle name="Normal 33 21 12 2 2 2" xfId="25043"/>
    <cellStyle name="Normal 33 21 12 2 2 2 2" xfId="25044"/>
    <cellStyle name="Normal 33 21 12 2 2 3" xfId="25045"/>
    <cellStyle name="Normal 33 21 12 2 3" xfId="25046"/>
    <cellStyle name="Normal 33 21 12 2 3 2" xfId="25047"/>
    <cellStyle name="Normal 33 21 12 2 4" xfId="25048"/>
    <cellStyle name="Normal 33 21 12 3" xfId="25049"/>
    <cellStyle name="Normal 33 21 12 3 2" xfId="25050"/>
    <cellStyle name="Normal 33 21 12 3 2 2" xfId="25051"/>
    <cellStyle name="Normal 33 21 12 3 2 2 2" xfId="25052"/>
    <cellStyle name="Normal 33 21 12 3 2 3" xfId="25053"/>
    <cellStyle name="Normal 33 21 12 3 3" xfId="25054"/>
    <cellStyle name="Normal 33 21 12 3 3 2" xfId="25055"/>
    <cellStyle name="Normal 33 21 12 3 4" xfId="25056"/>
    <cellStyle name="Normal 33 21 12 4" xfId="25057"/>
    <cellStyle name="Normal 33 21 12 4 2" xfId="25058"/>
    <cellStyle name="Normal 33 21 12 4 2 2" xfId="25059"/>
    <cellStyle name="Normal 33 21 12 4 3" xfId="25060"/>
    <cellStyle name="Normal 33 21 12 5" xfId="25061"/>
    <cellStyle name="Normal 33 21 12 5 2" xfId="25062"/>
    <cellStyle name="Normal 33 21 12 6" xfId="25063"/>
    <cellStyle name="Normal 33 21 13" xfId="25064"/>
    <cellStyle name="Normal 33 21 13 2" xfId="25065"/>
    <cellStyle name="Normal 33 21 13 2 2" xfId="25066"/>
    <cellStyle name="Normal 33 21 13 2 2 2" xfId="25067"/>
    <cellStyle name="Normal 33 21 13 2 2 2 2" xfId="25068"/>
    <cellStyle name="Normal 33 21 13 2 2 3" xfId="25069"/>
    <cellStyle name="Normal 33 21 13 2 3" xfId="25070"/>
    <cellStyle name="Normal 33 21 13 2 3 2" xfId="25071"/>
    <cellStyle name="Normal 33 21 13 2 4" xfId="25072"/>
    <cellStyle name="Normal 33 21 13 3" xfId="25073"/>
    <cellStyle name="Normal 33 21 13 3 2" xfId="25074"/>
    <cellStyle name="Normal 33 21 13 3 2 2" xfId="25075"/>
    <cellStyle name="Normal 33 21 13 3 2 2 2" xfId="25076"/>
    <cellStyle name="Normal 33 21 13 3 2 3" xfId="25077"/>
    <cellStyle name="Normal 33 21 13 3 3" xfId="25078"/>
    <cellStyle name="Normal 33 21 13 3 3 2" xfId="25079"/>
    <cellStyle name="Normal 33 21 13 3 4" xfId="25080"/>
    <cellStyle name="Normal 33 21 13 4" xfId="25081"/>
    <cellStyle name="Normal 33 21 13 4 2" xfId="25082"/>
    <cellStyle name="Normal 33 21 13 4 2 2" xfId="25083"/>
    <cellStyle name="Normal 33 21 13 4 3" xfId="25084"/>
    <cellStyle name="Normal 33 21 13 5" xfId="25085"/>
    <cellStyle name="Normal 33 21 13 5 2" xfId="25086"/>
    <cellStyle name="Normal 33 21 13 6" xfId="25087"/>
    <cellStyle name="Normal 33 21 14" xfId="25088"/>
    <cellStyle name="Normal 33 21 14 2" xfId="25089"/>
    <cellStyle name="Normal 33 21 14 2 2" xfId="25090"/>
    <cellStyle name="Normal 33 21 14 2 2 2" xfId="25091"/>
    <cellStyle name="Normal 33 21 14 2 3" xfId="25092"/>
    <cellStyle name="Normal 33 21 14 3" xfId="25093"/>
    <cellStyle name="Normal 33 21 14 3 2" xfId="25094"/>
    <cellStyle name="Normal 33 21 14 4" xfId="25095"/>
    <cellStyle name="Normal 33 21 15" xfId="25096"/>
    <cellStyle name="Normal 33 21 15 2" xfId="25097"/>
    <cellStyle name="Normal 33 21 15 2 2" xfId="25098"/>
    <cellStyle name="Normal 33 21 15 2 2 2" xfId="25099"/>
    <cellStyle name="Normal 33 21 15 2 3" xfId="25100"/>
    <cellStyle name="Normal 33 21 15 3" xfId="25101"/>
    <cellStyle name="Normal 33 21 15 3 2" xfId="25102"/>
    <cellStyle name="Normal 33 21 15 4" xfId="25103"/>
    <cellStyle name="Normal 33 21 16" xfId="25104"/>
    <cellStyle name="Normal 33 21 16 2" xfId="25105"/>
    <cellStyle name="Normal 33 21 16 2 2" xfId="25106"/>
    <cellStyle name="Normal 33 21 16 3" xfId="25107"/>
    <cellStyle name="Normal 33 21 17" xfId="25108"/>
    <cellStyle name="Normal 33 21 17 2" xfId="25109"/>
    <cellStyle name="Normal 33 21 18" xfId="25110"/>
    <cellStyle name="Normal 33 21 2" xfId="25111"/>
    <cellStyle name="Normal 33 21 2 2" xfId="25112"/>
    <cellStyle name="Normal 33 21 2 2 2" xfId="25113"/>
    <cellStyle name="Normal 33 21 2 2 2 2" xfId="25114"/>
    <cellStyle name="Normal 33 21 2 2 2 2 2" xfId="25115"/>
    <cellStyle name="Normal 33 21 2 2 2 3" xfId="25116"/>
    <cellStyle name="Normal 33 21 2 2 3" xfId="25117"/>
    <cellStyle name="Normal 33 21 2 2 3 2" xfId="25118"/>
    <cellStyle name="Normal 33 21 2 2 4" xfId="25119"/>
    <cellStyle name="Normal 33 21 2 3" xfId="25120"/>
    <cellStyle name="Normal 33 21 2 3 2" xfId="25121"/>
    <cellStyle name="Normal 33 21 2 3 2 2" xfId="25122"/>
    <cellStyle name="Normal 33 21 2 3 2 2 2" xfId="25123"/>
    <cellStyle name="Normal 33 21 2 3 2 3" xfId="25124"/>
    <cellStyle name="Normal 33 21 2 3 3" xfId="25125"/>
    <cellStyle name="Normal 33 21 2 3 3 2" xfId="25126"/>
    <cellStyle name="Normal 33 21 2 3 4" xfId="25127"/>
    <cellStyle name="Normal 33 21 2 4" xfId="25128"/>
    <cellStyle name="Normal 33 21 2 4 2" xfId="25129"/>
    <cellStyle name="Normal 33 21 2 4 2 2" xfId="25130"/>
    <cellStyle name="Normal 33 21 2 4 3" xfId="25131"/>
    <cellStyle name="Normal 33 21 2 5" xfId="25132"/>
    <cellStyle name="Normal 33 21 2 5 2" xfId="25133"/>
    <cellStyle name="Normal 33 21 2 6" xfId="25134"/>
    <cellStyle name="Normal 33 21 3" xfId="25135"/>
    <cellStyle name="Normal 33 21 3 2" xfId="25136"/>
    <cellStyle name="Normal 33 21 3 2 2" xfId="25137"/>
    <cellStyle name="Normal 33 21 3 2 2 2" xfId="25138"/>
    <cellStyle name="Normal 33 21 3 2 2 2 2" xfId="25139"/>
    <cellStyle name="Normal 33 21 3 2 2 3" xfId="25140"/>
    <cellStyle name="Normal 33 21 3 2 3" xfId="25141"/>
    <cellStyle name="Normal 33 21 3 2 3 2" xfId="25142"/>
    <cellStyle name="Normal 33 21 3 2 4" xfId="25143"/>
    <cellStyle name="Normal 33 21 3 3" xfId="25144"/>
    <cellStyle name="Normal 33 21 3 3 2" xfId="25145"/>
    <cellStyle name="Normal 33 21 3 3 2 2" xfId="25146"/>
    <cellStyle name="Normal 33 21 3 3 2 2 2" xfId="25147"/>
    <cellStyle name="Normal 33 21 3 3 2 3" xfId="25148"/>
    <cellStyle name="Normal 33 21 3 3 3" xfId="25149"/>
    <cellStyle name="Normal 33 21 3 3 3 2" xfId="25150"/>
    <cellStyle name="Normal 33 21 3 3 4" xfId="25151"/>
    <cellStyle name="Normal 33 21 3 4" xfId="25152"/>
    <cellStyle name="Normal 33 21 3 4 2" xfId="25153"/>
    <cellStyle name="Normal 33 21 3 4 2 2" xfId="25154"/>
    <cellStyle name="Normal 33 21 3 4 3" xfId="25155"/>
    <cellStyle name="Normal 33 21 3 5" xfId="25156"/>
    <cellStyle name="Normal 33 21 3 5 2" xfId="25157"/>
    <cellStyle name="Normal 33 21 3 6" xfId="25158"/>
    <cellStyle name="Normal 33 21 4" xfId="25159"/>
    <cellStyle name="Normal 33 21 4 2" xfId="25160"/>
    <cellStyle name="Normal 33 21 4 2 2" xfId="25161"/>
    <cellStyle name="Normal 33 21 4 2 2 2" xfId="25162"/>
    <cellStyle name="Normal 33 21 4 2 2 2 2" xfId="25163"/>
    <cellStyle name="Normal 33 21 4 2 2 3" xfId="25164"/>
    <cellStyle name="Normal 33 21 4 2 3" xfId="25165"/>
    <cellStyle name="Normal 33 21 4 2 3 2" xfId="25166"/>
    <cellStyle name="Normal 33 21 4 2 4" xfId="25167"/>
    <cellStyle name="Normal 33 21 4 3" xfId="25168"/>
    <cellStyle name="Normal 33 21 4 3 2" xfId="25169"/>
    <cellStyle name="Normal 33 21 4 3 2 2" xfId="25170"/>
    <cellStyle name="Normal 33 21 4 3 2 2 2" xfId="25171"/>
    <cellStyle name="Normal 33 21 4 3 2 3" xfId="25172"/>
    <cellStyle name="Normal 33 21 4 3 3" xfId="25173"/>
    <cellStyle name="Normal 33 21 4 3 3 2" xfId="25174"/>
    <cellStyle name="Normal 33 21 4 3 4" xfId="25175"/>
    <cellStyle name="Normal 33 21 4 4" xfId="25176"/>
    <cellStyle name="Normal 33 21 4 4 2" xfId="25177"/>
    <cellStyle name="Normal 33 21 4 4 2 2" xfId="25178"/>
    <cellStyle name="Normal 33 21 4 4 3" xfId="25179"/>
    <cellStyle name="Normal 33 21 4 5" xfId="25180"/>
    <cellStyle name="Normal 33 21 4 5 2" xfId="25181"/>
    <cellStyle name="Normal 33 21 4 6" xfId="25182"/>
    <cellStyle name="Normal 33 21 5" xfId="25183"/>
    <cellStyle name="Normal 33 21 5 2" xfId="25184"/>
    <cellStyle name="Normal 33 21 5 2 2" xfId="25185"/>
    <cellStyle name="Normal 33 21 5 2 2 2" xfId="25186"/>
    <cellStyle name="Normal 33 21 5 2 2 2 2" xfId="25187"/>
    <cellStyle name="Normal 33 21 5 2 2 3" xfId="25188"/>
    <cellStyle name="Normal 33 21 5 2 3" xfId="25189"/>
    <cellStyle name="Normal 33 21 5 2 3 2" xfId="25190"/>
    <cellStyle name="Normal 33 21 5 2 4" xfId="25191"/>
    <cellStyle name="Normal 33 21 5 3" xfId="25192"/>
    <cellStyle name="Normal 33 21 5 3 2" xfId="25193"/>
    <cellStyle name="Normal 33 21 5 3 2 2" xfId="25194"/>
    <cellStyle name="Normal 33 21 5 3 2 2 2" xfId="25195"/>
    <cellStyle name="Normal 33 21 5 3 2 3" xfId="25196"/>
    <cellStyle name="Normal 33 21 5 3 3" xfId="25197"/>
    <cellStyle name="Normal 33 21 5 3 3 2" xfId="25198"/>
    <cellStyle name="Normal 33 21 5 3 4" xfId="25199"/>
    <cellStyle name="Normal 33 21 5 4" xfId="25200"/>
    <cellStyle name="Normal 33 21 5 4 2" xfId="25201"/>
    <cellStyle name="Normal 33 21 5 4 2 2" xfId="25202"/>
    <cellStyle name="Normal 33 21 5 4 3" xfId="25203"/>
    <cellStyle name="Normal 33 21 5 5" xfId="25204"/>
    <cellStyle name="Normal 33 21 5 5 2" xfId="25205"/>
    <cellStyle name="Normal 33 21 5 6" xfId="25206"/>
    <cellStyle name="Normal 33 21 6" xfId="25207"/>
    <cellStyle name="Normal 33 21 6 2" xfId="25208"/>
    <cellStyle name="Normal 33 21 6 2 2" xfId="25209"/>
    <cellStyle name="Normal 33 21 6 2 2 2" xfId="25210"/>
    <cellStyle name="Normal 33 21 6 2 2 2 2" xfId="25211"/>
    <cellStyle name="Normal 33 21 6 2 2 3" xfId="25212"/>
    <cellStyle name="Normal 33 21 6 2 3" xfId="25213"/>
    <cellStyle name="Normal 33 21 6 2 3 2" xfId="25214"/>
    <cellStyle name="Normal 33 21 6 2 4" xfId="25215"/>
    <cellStyle name="Normal 33 21 6 3" xfId="25216"/>
    <cellStyle name="Normal 33 21 6 3 2" xfId="25217"/>
    <cellStyle name="Normal 33 21 6 3 2 2" xfId="25218"/>
    <cellStyle name="Normal 33 21 6 3 2 2 2" xfId="25219"/>
    <cellStyle name="Normal 33 21 6 3 2 3" xfId="25220"/>
    <cellStyle name="Normal 33 21 6 3 3" xfId="25221"/>
    <cellStyle name="Normal 33 21 6 3 3 2" xfId="25222"/>
    <cellStyle name="Normal 33 21 6 3 4" xfId="25223"/>
    <cellStyle name="Normal 33 21 6 4" xfId="25224"/>
    <cellStyle name="Normal 33 21 6 4 2" xfId="25225"/>
    <cellStyle name="Normal 33 21 6 4 2 2" xfId="25226"/>
    <cellStyle name="Normal 33 21 6 4 3" xfId="25227"/>
    <cellStyle name="Normal 33 21 6 5" xfId="25228"/>
    <cellStyle name="Normal 33 21 6 5 2" xfId="25229"/>
    <cellStyle name="Normal 33 21 6 6" xfId="25230"/>
    <cellStyle name="Normal 33 21 7" xfId="25231"/>
    <cellStyle name="Normal 33 21 7 2" xfId="25232"/>
    <cellStyle name="Normal 33 21 7 2 2" xfId="25233"/>
    <cellStyle name="Normal 33 21 7 2 2 2" xfId="25234"/>
    <cellStyle name="Normal 33 21 7 2 2 2 2" xfId="25235"/>
    <cellStyle name="Normal 33 21 7 2 2 3" xfId="25236"/>
    <cellStyle name="Normal 33 21 7 2 3" xfId="25237"/>
    <cellStyle name="Normal 33 21 7 2 3 2" xfId="25238"/>
    <cellStyle name="Normal 33 21 7 2 4" xfId="25239"/>
    <cellStyle name="Normal 33 21 7 3" xfId="25240"/>
    <cellStyle name="Normal 33 21 7 3 2" xfId="25241"/>
    <cellStyle name="Normal 33 21 7 3 2 2" xfId="25242"/>
    <cellStyle name="Normal 33 21 7 3 2 2 2" xfId="25243"/>
    <cellStyle name="Normal 33 21 7 3 2 3" xfId="25244"/>
    <cellStyle name="Normal 33 21 7 3 3" xfId="25245"/>
    <cellStyle name="Normal 33 21 7 3 3 2" xfId="25246"/>
    <cellStyle name="Normal 33 21 7 3 4" xfId="25247"/>
    <cellStyle name="Normal 33 21 7 4" xfId="25248"/>
    <cellStyle name="Normal 33 21 7 4 2" xfId="25249"/>
    <cellStyle name="Normal 33 21 7 4 2 2" xfId="25250"/>
    <cellStyle name="Normal 33 21 7 4 3" xfId="25251"/>
    <cellStyle name="Normal 33 21 7 5" xfId="25252"/>
    <cellStyle name="Normal 33 21 7 5 2" xfId="25253"/>
    <cellStyle name="Normal 33 21 7 6" xfId="25254"/>
    <cellStyle name="Normal 33 21 8" xfId="25255"/>
    <cellStyle name="Normal 33 21 8 2" xfId="25256"/>
    <cellStyle name="Normal 33 21 8 2 2" xfId="25257"/>
    <cellStyle name="Normal 33 21 8 2 2 2" xfId="25258"/>
    <cellStyle name="Normal 33 21 8 2 2 2 2" xfId="25259"/>
    <cellStyle name="Normal 33 21 8 2 2 3" xfId="25260"/>
    <cellStyle name="Normal 33 21 8 2 3" xfId="25261"/>
    <cellStyle name="Normal 33 21 8 2 3 2" xfId="25262"/>
    <cellStyle name="Normal 33 21 8 2 4" xfId="25263"/>
    <cellStyle name="Normal 33 21 8 3" xfId="25264"/>
    <cellStyle name="Normal 33 21 8 3 2" xfId="25265"/>
    <cellStyle name="Normal 33 21 8 3 2 2" xfId="25266"/>
    <cellStyle name="Normal 33 21 8 3 2 2 2" xfId="25267"/>
    <cellStyle name="Normal 33 21 8 3 2 3" xfId="25268"/>
    <cellStyle name="Normal 33 21 8 3 3" xfId="25269"/>
    <cellStyle name="Normal 33 21 8 3 3 2" xfId="25270"/>
    <cellStyle name="Normal 33 21 8 3 4" xfId="25271"/>
    <cellStyle name="Normal 33 21 8 4" xfId="25272"/>
    <cellStyle name="Normal 33 21 8 4 2" xfId="25273"/>
    <cellStyle name="Normal 33 21 8 4 2 2" xfId="25274"/>
    <cellStyle name="Normal 33 21 8 4 3" xfId="25275"/>
    <cellStyle name="Normal 33 21 8 5" xfId="25276"/>
    <cellStyle name="Normal 33 21 8 5 2" xfId="25277"/>
    <cellStyle name="Normal 33 21 8 6" xfId="25278"/>
    <cellStyle name="Normal 33 21 9" xfId="25279"/>
    <cellStyle name="Normal 33 21 9 2" xfId="25280"/>
    <cellStyle name="Normal 33 21 9 2 2" xfId="25281"/>
    <cellStyle name="Normal 33 21 9 2 2 2" xfId="25282"/>
    <cellStyle name="Normal 33 21 9 2 2 2 2" xfId="25283"/>
    <cellStyle name="Normal 33 21 9 2 2 3" xfId="25284"/>
    <cellStyle name="Normal 33 21 9 2 3" xfId="25285"/>
    <cellStyle name="Normal 33 21 9 2 3 2" xfId="25286"/>
    <cellStyle name="Normal 33 21 9 2 4" xfId="25287"/>
    <cellStyle name="Normal 33 21 9 3" xfId="25288"/>
    <cellStyle name="Normal 33 21 9 3 2" xfId="25289"/>
    <cellStyle name="Normal 33 21 9 3 2 2" xfId="25290"/>
    <cellStyle name="Normal 33 21 9 3 2 2 2" xfId="25291"/>
    <cellStyle name="Normal 33 21 9 3 2 3" xfId="25292"/>
    <cellStyle name="Normal 33 21 9 3 3" xfId="25293"/>
    <cellStyle name="Normal 33 21 9 3 3 2" xfId="25294"/>
    <cellStyle name="Normal 33 21 9 3 4" xfId="25295"/>
    <cellStyle name="Normal 33 21 9 4" xfId="25296"/>
    <cellStyle name="Normal 33 21 9 4 2" xfId="25297"/>
    <cellStyle name="Normal 33 21 9 4 2 2" xfId="25298"/>
    <cellStyle name="Normal 33 21 9 4 3" xfId="25299"/>
    <cellStyle name="Normal 33 21 9 5" xfId="25300"/>
    <cellStyle name="Normal 33 21 9 5 2" xfId="25301"/>
    <cellStyle name="Normal 33 21 9 6" xfId="25302"/>
    <cellStyle name="Normal 33 22" xfId="25303"/>
    <cellStyle name="Normal 33 22 10" xfId="25304"/>
    <cellStyle name="Normal 33 22 10 2" xfId="25305"/>
    <cellStyle name="Normal 33 22 10 2 2" xfId="25306"/>
    <cellStyle name="Normal 33 22 10 2 2 2" xfId="25307"/>
    <cellStyle name="Normal 33 22 10 2 2 2 2" xfId="25308"/>
    <cellStyle name="Normal 33 22 10 2 2 3" xfId="25309"/>
    <cellStyle name="Normal 33 22 10 2 3" xfId="25310"/>
    <cellStyle name="Normal 33 22 10 2 3 2" xfId="25311"/>
    <cellStyle name="Normal 33 22 10 2 4" xfId="25312"/>
    <cellStyle name="Normal 33 22 10 3" xfId="25313"/>
    <cellStyle name="Normal 33 22 10 3 2" xfId="25314"/>
    <cellStyle name="Normal 33 22 10 3 2 2" xfId="25315"/>
    <cellStyle name="Normal 33 22 10 3 2 2 2" xfId="25316"/>
    <cellStyle name="Normal 33 22 10 3 2 3" xfId="25317"/>
    <cellStyle name="Normal 33 22 10 3 3" xfId="25318"/>
    <cellStyle name="Normal 33 22 10 3 3 2" xfId="25319"/>
    <cellStyle name="Normal 33 22 10 3 4" xfId="25320"/>
    <cellStyle name="Normal 33 22 10 4" xfId="25321"/>
    <cellStyle name="Normal 33 22 10 4 2" xfId="25322"/>
    <cellStyle name="Normal 33 22 10 4 2 2" xfId="25323"/>
    <cellStyle name="Normal 33 22 10 4 3" xfId="25324"/>
    <cellStyle name="Normal 33 22 10 5" xfId="25325"/>
    <cellStyle name="Normal 33 22 10 5 2" xfId="25326"/>
    <cellStyle name="Normal 33 22 10 6" xfId="25327"/>
    <cellStyle name="Normal 33 22 11" xfId="25328"/>
    <cellStyle name="Normal 33 22 11 2" xfId="25329"/>
    <cellStyle name="Normal 33 22 11 2 2" xfId="25330"/>
    <cellStyle name="Normal 33 22 11 2 2 2" xfId="25331"/>
    <cellStyle name="Normal 33 22 11 2 2 2 2" xfId="25332"/>
    <cellStyle name="Normal 33 22 11 2 2 3" xfId="25333"/>
    <cellStyle name="Normal 33 22 11 2 3" xfId="25334"/>
    <cellStyle name="Normal 33 22 11 2 3 2" xfId="25335"/>
    <cellStyle name="Normal 33 22 11 2 4" xfId="25336"/>
    <cellStyle name="Normal 33 22 11 3" xfId="25337"/>
    <cellStyle name="Normal 33 22 11 3 2" xfId="25338"/>
    <cellStyle name="Normal 33 22 11 3 2 2" xfId="25339"/>
    <cellStyle name="Normal 33 22 11 3 2 2 2" xfId="25340"/>
    <cellStyle name="Normal 33 22 11 3 2 3" xfId="25341"/>
    <cellStyle name="Normal 33 22 11 3 3" xfId="25342"/>
    <cellStyle name="Normal 33 22 11 3 3 2" xfId="25343"/>
    <cellStyle name="Normal 33 22 11 3 4" xfId="25344"/>
    <cellStyle name="Normal 33 22 11 4" xfId="25345"/>
    <cellStyle name="Normal 33 22 11 4 2" xfId="25346"/>
    <cellStyle name="Normal 33 22 11 4 2 2" xfId="25347"/>
    <cellStyle name="Normal 33 22 11 4 3" xfId="25348"/>
    <cellStyle name="Normal 33 22 11 5" xfId="25349"/>
    <cellStyle name="Normal 33 22 11 5 2" xfId="25350"/>
    <cellStyle name="Normal 33 22 11 6" xfId="25351"/>
    <cellStyle name="Normal 33 22 12" xfId="25352"/>
    <cellStyle name="Normal 33 22 12 2" xfId="25353"/>
    <cellStyle name="Normal 33 22 12 2 2" xfId="25354"/>
    <cellStyle name="Normal 33 22 12 2 2 2" xfId="25355"/>
    <cellStyle name="Normal 33 22 12 2 2 2 2" xfId="25356"/>
    <cellStyle name="Normal 33 22 12 2 2 3" xfId="25357"/>
    <cellStyle name="Normal 33 22 12 2 3" xfId="25358"/>
    <cellStyle name="Normal 33 22 12 2 3 2" xfId="25359"/>
    <cellStyle name="Normal 33 22 12 2 4" xfId="25360"/>
    <cellStyle name="Normal 33 22 12 3" xfId="25361"/>
    <cellStyle name="Normal 33 22 12 3 2" xfId="25362"/>
    <cellStyle name="Normal 33 22 12 3 2 2" xfId="25363"/>
    <cellStyle name="Normal 33 22 12 3 2 2 2" xfId="25364"/>
    <cellStyle name="Normal 33 22 12 3 2 3" xfId="25365"/>
    <cellStyle name="Normal 33 22 12 3 3" xfId="25366"/>
    <cellStyle name="Normal 33 22 12 3 3 2" xfId="25367"/>
    <cellStyle name="Normal 33 22 12 3 4" xfId="25368"/>
    <cellStyle name="Normal 33 22 12 4" xfId="25369"/>
    <cellStyle name="Normal 33 22 12 4 2" xfId="25370"/>
    <cellStyle name="Normal 33 22 12 4 2 2" xfId="25371"/>
    <cellStyle name="Normal 33 22 12 4 3" xfId="25372"/>
    <cellStyle name="Normal 33 22 12 5" xfId="25373"/>
    <cellStyle name="Normal 33 22 12 5 2" xfId="25374"/>
    <cellStyle name="Normal 33 22 12 6" xfId="25375"/>
    <cellStyle name="Normal 33 22 13" xfId="25376"/>
    <cellStyle name="Normal 33 22 13 2" xfId="25377"/>
    <cellStyle name="Normal 33 22 13 2 2" xfId="25378"/>
    <cellStyle name="Normal 33 22 13 2 2 2" xfId="25379"/>
    <cellStyle name="Normal 33 22 13 2 2 2 2" xfId="25380"/>
    <cellStyle name="Normal 33 22 13 2 2 3" xfId="25381"/>
    <cellStyle name="Normal 33 22 13 2 3" xfId="25382"/>
    <cellStyle name="Normal 33 22 13 2 3 2" xfId="25383"/>
    <cellStyle name="Normal 33 22 13 2 4" xfId="25384"/>
    <cellStyle name="Normal 33 22 13 3" xfId="25385"/>
    <cellStyle name="Normal 33 22 13 3 2" xfId="25386"/>
    <cellStyle name="Normal 33 22 13 3 2 2" xfId="25387"/>
    <cellStyle name="Normal 33 22 13 3 2 2 2" xfId="25388"/>
    <cellStyle name="Normal 33 22 13 3 2 3" xfId="25389"/>
    <cellStyle name="Normal 33 22 13 3 3" xfId="25390"/>
    <cellStyle name="Normal 33 22 13 3 3 2" xfId="25391"/>
    <cellStyle name="Normal 33 22 13 3 4" xfId="25392"/>
    <cellStyle name="Normal 33 22 13 4" xfId="25393"/>
    <cellStyle name="Normal 33 22 13 4 2" xfId="25394"/>
    <cellStyle name="Normal 33 22 13 4 2 2" xfId="25395"/>
    <cellStyle name="Normal 33 22 13 4 3" xfId="25396"/>
    <cellStyle name="Normal 33 22 13 5" xfId="25397"/>
    <cellStyle name="Normal 33 22 13 5 2" xfId="25398"/>
    <cellStyle name="Normal 33 22 13 6" xfId="25399"/>
    <cellStyle name="Normal 33 22 14" xfId="25400"/>
    <cellStyle name="Normal 33 22 14 2" xfId="25401"/>
    <cellStyle name="Normal 33 22 14 2 2" xfId="25402"/>
    <cellStyle name="Normal 33 22 14 2 2 2" xfId="25403"/>
    <cellStyle name="Normal 33 22 14 2 3" xfId="25404"/>
    <cellStyle name="Normal 33 22 14 3" xfId="25405"/>
    <cellStyle name="Normal 33 22 14 3 2" xfId="25406"/>
    <cellStyle name="Normal 33 22 14 4" xfId="25407"/>
    <cellStyle name="Normal 33 22 15" xfId="25408"/>
    <cellStyle name="Normal 33 22 15 2" xfId="25409"/>
    <cellStyle name="Normal 33 22 15 2 2" xfId="25410"/>
    <cellStyle name="Normal 33 22 15 2 2 2" xfId="25411"/>
    <cellStyle name="Normal 33 22 15 2 3" xfId="25412"/>
    <cellStyle name="Normal 33 22 15 3" xfId="25413"/>
    <cellStyle name="Normal 33 22 15 3 2" xfId="25414"/>
    <cellStyle name="Normal 33 22 15 4" xfId="25415"/>
    <cellStyle name="Normal 33 22 16" xfId="25416"/>
    <cellStyle name="Normal 33 22 16 2" xfId="25417"/>
    <cellStyle name="Normal 33 22 16 2 2" xfId="25418"/>
    <cellStyle name="Normal 33 22 16 3" xfId="25419"/>
    <cellStyle name="Normal 33 22 17" xfId="25420"/>
    <cellStyle name="Normal 33 22 17 2" xfId="25421"/>
    <cellStyle name="Normal 33 22 18" xfId="25422"/>
    <cellStyle name="Normal 33 22 2" xfId="25423"/>
    <cellStyle name="Normal 33 22 2 2" xfId="25424"/>
    <cellStyle name="Normal 33 22 2 2 2" xfId="25425"/>
    <cellStyle name="Normal 33 22 2 2 2 2" xfId="25426"/>
    <cellStyle name="Normal 33 22 2 2 2 2 2" xfId="25427"/>
    <cellStyle name="Normal 33 22 2 2 2 3" xfId="25428"/>
    <cellStyle name="Normal 33 22 2 2 3" xfId="25429"/>
    <cellStyle name="Normal 33 22 2 2 3 2" xfId="25430"/>
    <cellStyle name="Normal 33 22 2 2 4" xfId="25431"/>
    <cellStyle name="Normal 33 22 2 3" xfId="25432"/>
    <cellStyle name="Normal 33 22 2 3 2" xfId="25433"/>
    <cellStyle name="Normal 33 22 2 3 2 2" xfId="25434"/>
    <cellStyle name="Normal 33 22 2 3 2 2 2" xfId="25435"/>
    <cellStyle name="Normal 33 22 2 3 2 3" xfId="25436"/>
    <cellStyle name="Normal 33 22 2 3 3" xfId="25437"/>
    <cellStyle name="Normal 33 22 2 3 3 2" xfId="25438"/>
    <cellStyle name="Normal 33 22 2 3 4" xfId="25439"/>
    <cellStyle name="Normal 33 22 2 4" xfId="25440"/>
    <cellStyle name="Normal 33 22 2 4 2" xfId="25441"/>
    <cellStyle name="Normal 33 22 2 4 2 2" xfId="25442"/>
    <cellStyle name="Normal 33 22 2 4 3" xfId="25443"/>
    <cellStyle name="Normal 33 22 2 5" xfId="25444"/>
    <cellStyle name="Normal 33 22 2 5 2" xfId="25445"/>
    <cellStyle name="Normal 33 22 2 6" xfId="25446"/>
    <cellStyle name="Normal 33 22 3" xfId="25447"/>
    <cellStyle name="Normal 33 22 3 2" xfId="25448"/>
    <cellStyle name="Normal 33 22 3 2 2" xfId="25449"/>
    <cellStyle name="Normal 33 22 3 2 2 2" xfId="25450"/>
    <cellStyle name="Normal 33 22 3 2 2 2 2" xfId="25451"/>
    <cellStyle name="Normal 33 22 3 2 2 3" xfId="25452"/>
    <cellStyle name="Normal 33 22 3 2 3" xfId="25453"/>
    <cellStyle name="Normal 33 22 3 2 3 2" xfId="25454"/>
    <cellStyle name="Normal 33 22 3 2 4" xfId="25455"/>
    <cellStyle name="Normal 33 22 3 3" xfId="25456"/>
    <cellStyle name="Normal 33 22 3 3 2" xfId="25457"/>
    <cellStyle name="Normal 33 22 3 3 2 2" xfId="25458"/>
    <cellStyle name="Normal 33 22 3 3 2 2 2" xfId="25459"/>
    <cellStyle name="Normal 33 22 3 3 2 3" xfId="25460"/>
    <cellStyle name="Normal 33 22 3 3 3" xfId="25461"/>
    <cellStyle name="Normal 33 22 3 3 3 2" xfId="25462"/>
    <cellStyle name="Normal 33 22 3 3 4" xfId="25463"/>
    <cellStyle name="Normal 33 22 3 4" xfId="25464"/>
    <cellStyle name="Normal 33 22 3 4 2" xfId="25465"/>
    <cellStyle name="Normal 33 22 3 4 2 2" xfId="25466"/>
    <cellStyle name="Normal 33 22 3 4 3" xfId="25467"/>
    <cellStyle name="Normal 33 22 3 5" xfId="25468"/>
    <cellStyle name="Normal 33 22 3 5 2" xfId="25469"/>
    <cellStyle name="Normal 33 22 3 6" xfId="25470"/>
    <cellStyle name="Normal 33 22 4" xfId="25471"/>
    <cellStyle name="Normal 33 22 4 2" xfId="25472"/>
    <cellStyle name="Normal 33 22 4 2 2" xfId="25473"/>
    <cellStyle name="Normal 33 22 4 2 2 2" xfId="25474"/>
    <cellStyle name="Normal 33 22 4 2 2 2 2" xfId="25475"/>
    <cellStyle name="Normal 33 22 4 2 2 3" xfId="25476"/>
    <cellStyle name="Normal 33 22 4 2 3" xfId="25477"/>
    <cellStyle name="Normal 33 22 4 2 3 2" xfId="25478"/>
    <cellStyle name="Normal 33 22 4 2 4" xfId="25479"/>
    <cellStyle name="Normal 33 22 4 3" xfId="25480"/>
    <cellStyle name="Normal 33 22 4 3 2" xfId="25481"/>
    <cellStyle name="Normal 33 22 4 3 2 2" xfId="25482"/>
    <cellStyle name="Normal 33 22 4 3 2 2 2" xfId="25483"/>
    <cellStyle name="Normal 33 22 4 3 2 3" xfId="25484"/>
    <cellStyle name="Normal 33 22 4 3 3" xfId="25485"/>
    <cellStyle name="Normal 33 22 4 3 3 2" xfId="25486"/>
    <cellStyle name="Normal 33 22 4 3 4" xfId="25487"/>
    <cellStyle name="Normal 33 22 4 4" xfId="25488"/>
    <cellStyle name="Normal 33 22 4 4 2" xfId="25489"/>
    <cellStyle name="Normal 33 22 4 4 2 2" xfId="25490"/>
    <cellStyle name="Normal 33 22 4 4 3" xfId="25491"/>
    <cellStyle name="Normal 33 22 4 5" xfId="25492"/>
    <cellStyle name="Normal 33 22 4 5 2" xfId="25493"/>
    <cellStyle name="Normal 33 22 4 6" xfId="25494"/>
    <cellStyle name="Normal 33 22 5" xfId="25495"/>
    <cellStyle name="Normal 33 22 5 2" xfId="25496"/>
    <cellStyle name="Normal 33 22 5 2 2" xfId="25497"/>
    <cellStyle name="Normal 33 22 5 2 2 2" xfId="25498"/>
    <cellStyle name="Normal 33 22 5 2 2 2 2" xfId="25499"/>
    <cellStyle name="Normal 33 22 5 2 2 3" xfId="25500"/>
    <cellStyle name="Normal 33 22 5 2 3" xfId="25501"/>
    <cellStyle name="Normal 33 22 5 2 3 2" xfId="25502"/>
    <cellStyle name="Normal 33 22 5 2 4" xfId="25503"/>
    <cellStyle name="Normal 33 22 5 3" xfId="25504"/>
    <cellStyle name="Normal 33 22 5 3 2" xfId="25505"/>
    <cellStyle name="Normal 33 22 5 3 2 2" xfId="25506"/>
    <cellStyle name="Normal 33 22 5 3 2 2 2" xfId="25507"/>
    <cellStyle name="Normal 33 22 5 3 2 3" xfId="25508"/>
    <cellStyle name="Normal 33 22 5 3 3" xfId="25509"/>
    <cellStyle name="Normal 33 22 5 3 3 2" xfId="25510"/>
    <cellStyle name="Normal 33 22 5 3 4" xfId="25511"/>
    <cellStyle name="Normal 33 22 5 4" xfId="25512"/>
    <cellStyle name="Normal 33 22 5 4 2" xfId="25513"/>
    <cellStyle name="Normal 33 22 5 4 2 2" xfId="25514"/>
    <cellStyle name="Normal 33 22 5 4 3" xfId="25515"/>
    <cellStyle name="Normal 33 22 5 5" xfId="25516"/>
    <cellStyle name="Normal 33 22 5 5 2" xfId="25517"/>
    <cellStyle name="Normal 33 22 5 6" xfId="25518"/>
    <cellStyle name="Normal 33 22 6" xfId="25519"/>
    <cellStyle name="Normal 33 22 6 2" xfId="25520"/>
    <cellStyle name="Normal 33 22 6 2 2" xfId="25521"/>
    <cellStyle name="Normal 33 22 6 2 2 2" xfId="25522"/>
    <cellStyle name="Normal 33 22 6 2 2 2 2" xfId="25523"/>
    <cellStyle name="Normal 33 22 6 2 2 3" xfId="25524"/>
    <cellStyle name="Normal 33 22 6 2 3" xfId="25525"/>
    <cellStyle name="Normal 33 22 6 2 3 2" xfId="25526"/>
    <cellStyle name="Normal 33 22 6 2 4" xfId="25527"/>
    <cellStyle name="Normal 33 22 6 3" xfId="25528"/>
    <cellStyle name="Normal 33 22 6 3 2" xfId="25529"/>
    <cellStyle name="Normal 33 22 6 3 2 2" xfId="25530"/>
    <cellStyle name="Normal 33 22 6 3 2 2 2" xfId="25531"/>
    <cellStyle name="Normal 33 22 6 3 2 3" xfId="25532"/>
    <cellStyle name="Normal 33 22 6 3 3" xfId="25533"/>
    <cellStyle name="Normal 33 22 6 3 3 2" xfId="25534"/>
    <cellStyle name="Normal 33 22 6 3 4" xfId="25535"/>
    <cellStyle name="Normal 33 22 6 4" xfId="25536"/>
    <cellStyle name="Normal 33 22 6 4 2" xfId="25537"/>
    <cellStyle name="Normal 33 22 6 4 2 2" xfId="25538"/>
    <cellStyle name="Normal 33 22 6 4 3" xfId="25539"/>
    <cellStyle name="Normal 33 22 6 5" xfId="25540"/>
    <cellStyle name="Normal 33 22 6 5 2" xfId="25541"/>
    <cellStyle name="Normal 33 22 6 6" xfId="25542"/>
    <cellStyle name="Normal 33 22 7" xfId="25543"/>
    <cellStyle name="Normal 33 22 7 2" xfId="25544"/>
    <cellStyle name="Normal 33 22 7 2 2" xfId="25545"/>
    <cellStyle name="Normal 33 22 7 2 2 2" xfId="25546"/>
    <cellStyle name="Normal 33 22 7 2 2 2 2" xfId="25547"/>
    <cellStyle name="Normal 33 22 7 2 2 3" xfId="25548"/>
    <cellStyle name="Normal 33 22 7 2 3" xfId="25549"/>
    <cellStyle name="Normal 33 22 7 2 3 2" xfId="25550"/>
    <cellStyle name="Normal 33 22 7 2 4" xfId="25551"/>
    <cellStyle name="Normal 33 22 7 3" xfId="25552"/>
    <cellStyle name="Normal 33 22 7 3 2" xfId="25553"/>
    <cellStyle name="Normal 33 22 7 3 2 2" xfId="25554"/>
    <cellStyle name="Normal 33 22 7 3 2 2 2" xfId="25555"/>
    <cellStyle name="Normal 33 22 7 3 2 3" xfId="25556"/>
    <cellStyle name="Normal 33 22 7 3 3" xfId="25557"/>
    <cellStyle name="Normal 33 22 7 3 3 2" xfId="25558"/>
    <cellStyle name="Normal 33 22 7 3 4" xfId="25559"/>
    <cellStyle name="Normal 33 22 7 4" xfId="25560"/>
    <cellStyle name="Normal 33 22 7 4 2" xfId="25561"/>
    <cellStyle name="Normal 33 22 7 4 2 2" xfId="25562"/>
    <cellStyle name="Normal 33 22 7 4 3" xfId="25563"/>
    <cellStyle name="Normal 33 22 7 5" xfId="25564"/>
    <cellStyle name="Normal 33 22 7 5 2" xfId="25565"/>
    <cellStyle name="Normal 33 22 7 6" xfId="25566"/>
    <cellStyle name="Normal 33 22 8" xfId="25567"/>
    <cellStyle name="Normal 33 22 8 2" xfId="25568"/>
    <cellStyle name="Normal 33 22 8 2 2" xfId="25569"/>
    <cellStyle name="Normal 33 22 8 2 2 2" xfId="25570"/>
    <cellStyle name="Normal 33 22 8 2 2 2 2" xfId="25571"/>
    <cellStyle name="Normal 33 22 8 2 2 3" xfId="25572"/>
    <cellStyle name="Normal 33 22 8 2 3" xfId="25573"/>
    <cellStyle name="Normal 33 22 8 2 3 2" xfId="25574"/>
    <cellStyle name="Normal 33 22 8 2 4" xfId="25575"/>
    <cellStyle name="Normal 33 22 8 3" xfId="25576"/>
    <cellStyle name="Normal 33 22 8 3 2" xfId="25577"/>
    <cellStyle name="Normal 33 22 8 3 2 2" xfId="25578"/>
    <cellStyle name="Normal 33 22 8 3 2 2 2" xfId="25579"/>
    <cellStyle name="Normal 33 22 8 3 2 3" xfId="25580"/>
    <cellStyle name="Normal 33 22 8 3 3" xfId="25581"/>
    <cellStyle name="Normal 33 22 8 3 3 2" xfId="25582"/>
    <cellStyle name="Normal 33 22 8 3 4" xfId="25583"/>
    <cellStyle name="Normal 33 22 8 4" xfId="25584"/>
    <cellStyle name="Normal 33 22 8 4 2" xfId="25585"/>
    <cellStyle name="Normal 33 22 8 4 2 2" xfId="25586"/>
    <cellStyle name="Normal 33 22 8 4 3" xfId="25587"/>
    <cellStyle name="Normal 33 22 8 5" xfId="25588"/>
    <cellStyle name="Normal 33 22 8 5 2" xfId="25589"/>
    <cellStyle name="Normal 33 22 8 6" xfId="25590"/>
    <cellStyle name="Normal 33 22 9" xfId="25591"/>
    <cellStyle name="Normal 33 22 9 2" xfId="25592"/>
    <cellStyle name="Normal 33 22 9 2 2" xfId="25593"/>
    <cellStyle name="Normal 33 22 9 2 2 2" xfId="25594"/>
    <cellStyle name="Normal 33 22 9 2 2 2 2" xfId="25595"/>
    <cellStyle name="Normal 33 22 9 2 2 3" xfId="25596"/>
    <cellStyle name="Normal 33 22 9 2 3" xfId="25597"/>
    <cellStyle name="Normal 33 22 9 2 3 2" xfId="25598"/>
    <cellStyle name="Normal 33 22 9 2 4" xfId="25599"/>
    <cellStyle name="Normal 33 22 9 3" xfId="25600"/>
    <cellStyle name="Normal 33 22 9 3 2" xfId="25601"/>
    <cellStyle name="Normal 33 22 9 3 2 2" xfId="25602"/>
    <cellStyle name="Normal 33 22 9 3 2 2 2" xfId="25603"/>
    <cellStyle name="Normal 33 22 9 3 2 3" xfId="25604"/>
    <cellStyle name="Normal 33 22 9 3 3" xfId="25605"/>
    <cellStyle name="Normal 33 22 9 3 3 2" xfId="25606"/>
    <cellStyle name="Normal 33 22 9 3 4" xfId="25607"/>
    <cellStyle name="Normal 33 22 9 4" xfId="25608"/>
    <cellStyle name="Normal 33 22 9 4 2" xfId="25609"/>
    <cellStyle name="Normal 33 22 9 4 2 2" xfId="25610"/>
    <cellStyle name="Normal 33 22 9 4 3" xfId="25611"/>
    <cellStyle name="Normal 33 22 9 5" xfId="25612"/>
    <cellStyle name="Normal 33 22 9 5 2" xfId="25613"/>
    <cellStyle name="Normal 33 22 9 6" xfId="25614"/>
    <cellStyle name="Normal 33 23" xfId="25615"/>
    <cellStyle name="Normal 33 23 10" xfId="25616"/>
    <cellStyle name="Normal 33 23 10 2" xfId="25617"/>
    <cellStyle name="Normal 33 23 10 2 2" xfId="25618"/>
    <cellStyle name="Normal 33 23 10 2 2 2" xfId="25619"/>
    <cellStyle name="Normal 33 23 10 2 2 2 2" xfId="25620"/>
    <cellStyle name="Normal 33 23 10 2 2 3" xfId="25621"/>
    <cellStyle name="Normal 33 23 10 2 3" xfId="25622"/>
    <cellStyle name="Normal 33 23 10 2 3 2" xfId="25623"/>
    <cellStyle name="Normal 33 23 10 2 4" xfId="25624"/>
    <cellStyle name="Normal 33 23 10 3" xfId="25625"/>
    <cellStyle name="Normal 33 23 10 3 2" xfId="25626"/>
    <cellStyle name="Normal 33 23 10 3 2 2" xfId="25627"/>
    <cellStyle name="Normal 33 23 10 3 2 2 2" xfId="25628"/>
    <cellStyle name="Normal 33 23 10 3 2 3" xfId="25629"/>
    <cellStyle name="Normal 33 23 10 3 3" xfId="25630"/>
    <cellStyle name="Normal 33 23 10 3 3 2" xfId="25631"/>
    <cellStyle name="Normal 33 23 10 3 4" xfId="25632"/>
    <cellStyle name="Normal 33 23 10 4" xfId="25633"/>
    <cellStyle name="Normal 33 23 10 4 2" xfId="25634"/>
    <cellStyle name="Normal 33 23 10 4 2 2" xfId="25635"/>
    <cellStyle name="Normal 33 23 10 4 3" xfId="25636"/>
    <cellStyle name="Normal 33 23 10 5" xfId="25637"/>
    <cellStyle name="Normal 33 23 10 5 2" xfId="25638"/>
    <cellStyle name="Normal 33 23 10 6" xfId="25639"/>
    <cellStyle name="Normal 33 23 11" xfId="25640"/>
    <cellStyle name="Normal 33 23 11 2" xfId="25641"/>
    <cellStyle name="Normal 33 23 11 2 2" xfId="25642"/>
    <cellStyle name="Normal 33 23 11 2 2 2" xfId="25643"/>
    <cellStyle name="Normal 33 23 11 2 2 2 2" xfId="25644"/>
    <cellStyle name="Normal 33 23 11 2 2 3" xfId="25645"/>
    <cellStyle name="Normal 33 23 11 2 3" xfId="25646"/>
    <cellStyle name="Normal 33 23 11 2 3 2" xfId="25647"/>
    <cellStyle name="Normal 33 23 11 2 4" xfId="25648"/>
    <cellStyle name="Normal 33 23 11 3" xfId="25649"/>
    <cellStyle name="Normal 33 23 11 3 2" xfId="25650"/>
    <cellStyle name="Normal 33 23 11 3 2 2" xfId="25651"/>
    <cellStyle name="Normal 33 23 11 3 2 2 2" xfId="25652"/>
    <cellStyle name="Normal 33 23 11 3 2 3" xfId="25653"/>
    <cellStyle name="Normal 33 23 11 3 3" xfId="25654"/>
    <cellStyle name="Normal 33 23 11 3 3 2" xfId="25655"/>
    <cellStyle name="Normal 33 23 11 3 4" xfId="25656"/>
    <cellStyle name="Normal 33 23 11 4" xfId="25657"/>
    <cellStyle name="Normal 33 23 11 4 2" xfId="25658"/>
    <cellStyle name="Normal 33 23 11 4 2 2" xfId="25659"/>
    <cellStyle name="Normal 33 23 11 4 3" xfId="25660"/>
    <cellStyle name="Normal 33 23 11 5" xfId="25661"/>
    <cellStyle name="Normal 33 23 11 5 2" xfId="25662"/>
    <cellStyle name="Normal 33 23 11 6" xfId="25663"/>
    <cellStyle name="Normal 33 23 12" xfId="25664"/>
    <cellStyle name="Normal 33 23 12 2" xfId="25665"/>
    <cellStyle name="Normal 33 23 12 2 2" xfId="25666"/>
    <cellStyle name="Normal 33 23 12 2 2 2" xfId="25667"/>
    <cellStyle name="Normal 33 23 12 2 2 2 2" xfId="25668"/>
    <cellStyle name="Normal 33 23 12 2 2 3" xfId="25669"/>
    <cellStyle name="Normal 33 23 12 2 3" xfId="25670"/>
    <cellStyle name="Normal 33 23 12 2 3 2" xfId="25671"/>
    <cellStyle name="Normal 33 23 12 2 4" xfId="25672"/>
    <cellStyle name="Normal 33 23 12 3" xfId="25673"/>
    <cellStyle name="Normal 33 23 12 3 2" xfId="25674"/>
    <cellStyle name="Normal 33 23 12 3 2 2" xfId="25675"/>
    <cellStyle name="Normal 33 23 12 3 2 2 2" xfId="25676"/>
    <cellStyle name="Normal 33 23 12 3 2 3" xfId="25677"/>
    <cellStyle name="Normal 33 23 12 3 3" xfId="25678"/>
    <cellStyle name="Normal 33 23 12 3 3 2" xfId="25679"/>
    <cellStyle name="Normal 33 23 12 3 4" xfId="25680"/>
    <cellStyle name="Normal 33 23 12 4" xfId="25681"/>
    <cellStyle name="Normal 33 23 12 4 2" xfId="25682"/>
    <cellStyle name="Normal 33 23 12 4 2 2" xfId="25683"/>
    <cellStyle name="Normal 33 23 12 4 3" xfId="25684"/>
    <cellStyle name="Normal 33 23 12 5" xfId="25685"/>
    <cellStyle name="Normal 33 23 12 5 2" xfId="25686"/>
    <cellStyle name="Normal 33 23 12 6" xfId="25687"/>
    <cellStyle name="Normal 33 23 13" xfId="25688"/>
    <cellStyle name="Normal 33 23 13 2" xfId="25689"/>
    <cellStyle name="Normal 33 23 13 2 2" xfId="25690"/>
    <cellStyle name="Normal 33 23 13 2 2 2" xfId="25691"/>
    <cellStyle name="Normal 33 23 13 2 2 2 2" xfId="25692"/>
    <cellStyle name="Normal 33 23 13 2 2 3" xfId="25693"/>
    <cellStyle name="Normal 33 23 13 2 3" xfId="25694"/>
    <cellStyle name="Normal 33 23 13 2 3 2" xfId="25695"/>
    <cellStyle name="Normal 33 23 13 2 4" xfId="25696"/>
    <cellStyle name="Normal 33 23 13 3" xfId="25697"/>
    <cellStyle name="Normal 33 23 13 3 2" xfId="25698"/>
    <cellStyle name="Normal 33 23 13 3 2 2" xfId="25699"/>
    <cellStyle name="Normal 33 23 13 3 2 2 2" xfId="25700"/>
    <cellStyle name="Normal 33 23 13 3 2 3" xfId="25701"/>
    <cellStyle name="Normal 33 23 13 3 3" xfId="25702"/>
    <cellStyle name="Normal 33 23 13 3 3 2" xfId="25703"/>
    <cellStyle name="Normal 33 23 13 3 4" xfId="25704"/>
    <cellStyle name="Normal 33 23 13 4" xfId="25705"/>
    <cellStyle name="Normal 33 23 13 4 2" xfId="25706"/>
    <cellStyle name="Normal 33 23 13 4 2 2" xfId="25707"/>
    <cellStyle name="Normal 33 23 13 4 3" xfId="25708"/>
    <cellStyle name="Normal 33 23 13 5" xfId="25709"/>
    <cellStyle name="Normal 33 23 13 5 2" xfId="25710"/>
    <cellStyle name="Normal 33 23 13 6" xfId="25711"/>
    <cellStyle name="Normal 33 23 14" xfId="25712"/>
    <cellStyle name="Normal 33 23 14 2" xfId="25713"/>
    <cellStyle name="Normal 33 23 14 2 2" xfId="25714"/>
    <cellStyle name="Normal 33 23 14 2 2 2" xfId="25715"/>
    <cellStyle name="Normal 33 23 14 2 3" xfId="25716"/>
    <cellStyle name="Normal 33 23 14 3" xfId="25717"/>
    <cellStyle name="Normal 33 23 14 3 2" xfId="25718"/>
    <cellStyle name="Normal 33 23 14 4" xfId="25719"/>
    <cellStyle name="Normal 33 23 15" xfId="25720"/>
    <cellStyle name="Normal 33 23 15 2" xfId="25721"/>
    <cellStyle name="Normal 33 23 15 2 2" xfId="25722"/>
    <cellStyle name="Normal 33 23 15 2 2 2" xfId="25723"/>
    <cellStyle name="Normal 33 23 15 2 3" xfId="25724"/>
    <cellStyle name="Normal 33 23 15 3" xfId="25725"/>
    <cellStyle name="Normal 33 23 15 3 2" xfId="25726"/>
    <cellStyle name="Normal 33 23 15 4" xfId="25727"/>
    <cellStyle name="Normal 33 23 16" xfId="25728"/>
    <cellStyle name="Normal 33 23 16 2" xfId="25729"/>
    <cellStyle name="Normal 33 23 16 2 2" xfId="25730"/>
    <cellStyle name="Normal 33 23 16 3" xfId="25731"/>
    <cellStyle name="Normal 33 23 17" xfId="25732"/>
    <cellStyle name="Normal 33 23 17 2" xfId="25733"/>
    <cellStyle name="Normal 33 23 18" xfId="25734"/>
    <cellStyle name="Normal 33 23 2" xfId="25735"/>
    <cellStyle name="Normal 33 23 2 2" xfId="25736"/>
    <cellStyle name="Normal 33 23 2 2 2" xfId="25737"/>
    <cellStyle name="Normal 33 23 2 2 2 2" xfId="25738"/>
    <cellStyle name="Normal 33 23 2 2 2 2 2" xfId="25739"/>
    <cellStyle name="Normal 33 23 2 2 2 3" xfId="25740"/>
    <cellStyle name="Normal 33 23 2 2 3" xfId="25741"/>
    <cellStyle name="Normal 33 23 2 2 3 2" xfId="25742"/>
    <cellStyle name="Normal 33 23 2 2 4" xfId="25743"/>
    <cellStyle name="Normal 33 23 2 3" xfId="25744"/>
    <cellStyle name="Normal 33 23 2 3 2" xfId="25745"/>
    <cellStyle name="Normal 33 23 2 3 2 2" xfId="25746"/>
    <cellStyle name="Normal 33 23 2 3 2 2 2" xfId="25747"/>
    <cellStyle name="Normal 33 23 2 3 2 3" xfId="25748"/>
    <cellStyle name="Normal 33 23 2 3 3" xfId="25749"/>
    <cellStyle name="Normal 33 23 2 3 3 2" xfId="25750"/>
    <cellStyle name="Normal 33 23 2 3 4" xfId="25751"/>
    <cellStyle name="Normal 33 23 2 4" xfId="25752"/>
    <cellStyle name="Normal 33 23 2 4 2" xfId="25753"/>
    <cellStyle name="Normal 33 23 2 4 2 2" xfId="25754"/>
    <cellStyle name="Normal 33 23 2 4 3" xfId="25755"/>
    <cellStyle name="Normal 33 23 2 5" xfId="25756"/>
    <cellStyle name="Normal 33 23 2 5 2" xfId="25757"/>
    <cellStyle name="Normal 33 23 2 6" xfId="25758"/>
    <cellStyle name="Normal 33 23 3" xfId="25759"/>
    <cellStyle name="Normal 33 23 3 2" xfId="25760"/>
    <cellStyle name="Normal 33 23 3 2 2" xfId="25761"/>
    <cellStyle name="Normal 33 23 3 2 2 2" xfId="25762"/>
    <cellStyle name="Normal 33 23 3 2 2 2 2" xfId="25763"/>
    <cellStyle name="Normal 33 23 3 2 2 3" xfId="25764"/>
    <cellStyle name="Normal 33 23 3 2 3" xfId="25765"/>
    <cellStyle name="Normal 33 23 3 2 3 2" xfId="25766"/>
    <cellStyle name="Normal 33 23 3 2 4" xfId="25767"/>
    <cellStyle name="Normal 33 23 3 3" xfId="25768"/>
    <cellStyle name="Normal 33 23 3 3 2" xfId="25769"/>
    <cellStyle name="Normal 33 23 3 3 2 2" xfId="25770"/>
    <cellStyle name="Normal 33 23 3 3 2 2 2" xfId="25771"/>
    <cellStyle name="Normal 33 23 3 3 2 3" xfId="25772"/>
    <cellStyle name="Normal 33 23 3 3 3" xfId="25773"/>
    <cellStyle name="Normal 33 23 3 3 3 2" xfId="25774"/>
    <cellStyle name="Normal 33 23 3 3 4" xfId="25775"/>
    <cellStyle name="Normal 33 23 3 4" xfId="25776"/>
    <cellStyle name="Normal 33 23 3 4 2" xfId="25777"/>
    <cellStyle name="Normal 33 23 3 4 2 2" xfId="25778"/>
    <cellStyle name="Normal 33 23 3 4 3" xfId="25779"/>
    <cellStyle name="Normal 33 23 3 5" xfId="25780"/>
    <cellStyle name="Normal 33 23 3 5 2" xfId="25781"/>
    <cellStyle name="Normal 33 23 3 6" xfId="25782"/>
    <cellStyle name="Normal 33 23 4" xfId="25783"/>
    <cellStyle name="Normal 33 23 4 2" xfId="25784"/>
    <cellStyle name="Normal 33 23 4 2 2" xfId="25785"/>
    <cellStyle name="Normal 33 23 4 2 2 2" xfId="25786"/>
    <cellStyle name="Normal 33 23 4 2 2 2 2" xfId="25787"/>
    <cellStyle name="Normal 33 23 4 2 2 3" xfId="25788"/>
    <cellStyle name="Normal 33 23 4 2 3" xfId="25789"/>
    <cellStyle name="Normal 33 23 4 2 3 2" xfId="25790"/>
    <cellStyle name="Normal 33 23 4 2 4" xfId="25791"/>
    <cellStyle name="Normal 33 23 4 3" xfId="25792"/>
    <cellStyle name="Normal 33 23 4 3 2" xfId="25793"/>
    <cellStyle name="Normal 33 23 4 3 2 2" xfId="25794"/>
    <cellStyle name="Normal 33 23 4 3 2 2 2" xfId="25795"/>
    <cellStyle name="Normal 33 23 4 3 2 3" xfId="25796"/>
    <cellStyle name="Normal 33 23 4 3 3" xfId="25797"/>
    <cellStyle name="Normal 33 23 4 3 3 2" xfId="25798"/>
    <cellStyle name="Normal 33 23 4 3 4" xfId="25799"/>
    <cellStyle name="Normal 33 23 4 4" xfId="25800"/>
    <cellStyle name="Normal 33 23 4 4 2" xfId="25801"/>
    <cellStyle name="Normal 33 23 4 4 2 2" xfId="25802"/>
    <cellStyle name="Normal 33 23 4 4 3" xfId="25803"/>
    <cellStyle name="Normal 33 23 4 5" xfId="25804"/>
    <cellStyle name="Normal 33 23 4 5 2" xfId="25805"/>
    <cellStyle name="Normal 33 23 4 6" xfId="25806"/>
    <cellStyle name="Normal 33 23 5" xfId="25807"/>
    <cellStyle name="Normal 33 23 5 2" xfId="25808"/>
    <cellStyle name="Normal 33 23 5 2 2" xfId="25809"/>
    <cellStyle name="Normal 33 23 5 2 2 2" xfId="25810"/>
    <cellStyle name="Normal 33 23 5 2 2 2 2" xfId="25811"/>
    <cellStyle name="Normal 33 23 5 2 2 3" xfId="25812"/>
    <cellStyle name="Normal 33 23 5 2 3" xfId="25813"/>
    <cellStyle name="Normal 33 23 5 2 3 2" xfId="25814"/>
    <cellStyle name="Normal 33 23 5 2 4" xfId="25815"/>
    <cellStyle name="Normal 33 23 5 3" xfId="25816"/>
    <cellStyle name="Normal 33 23 5 3 2" xfId="25817"/>
    <cellStyle name="Normal 33 23 5 3 2 2" xfId="25818"/>
    <cellStyle name="Normal 33 23 5 3 2 2 2" xfId="25819"/>
    <cellStyle name="Normal 33 23 5 3 2 3" xfId="25820"/>
    <cellStyle name="Normal 33 23 5 3 3" xfId="25821"/>
    <cellStyle name="Normal 33 23 5 3 3 2" xfId="25822"/>
    <cellStyle name="Normal 33 23 5 3 4" xfId="25823"/>
    <cellStyle name="Normal 33 23 5 4" xfId="25824"/>
    <cellStyle name="Normal 33 23 5 4 2" xfId="25825"/>
    <cellStyle name="Normal 33 23 5 4 2 2" xfId="25826"/>
    <cellStyle name="Normal 33 23 5 4 3" xfId="25827"/>
    <cellStyle name="Normal 33 23 5 5" xfId="25828"/>
    <cellStyle name="Normal 33 23 5 5 2" xfId="25829"/>
    <cellStyle name="Normal 33 23 5 6" xfId="25830"/>
    <cellStyle name="Normal 33 23 6" xfId="25831"/>
    <cellStyle name="Normal 33 23 6 2" xfId="25832"/>
    <cellStyle name="Normal 33 23 6 2 2" xfId="25833"/>
    <cellStyle name="Normal 33 23 6 2 2 2" xfId="25834"/>
    <cellStyle name="Normal 33 23 6 2 2 2 2" xfId="25835"/>
    <cellStyle name="Normal 33 23 6 2 2 3" xfId="25836"/>
    <cellStyle name="Normal 33 23 6 2 3" xfId="25837"/>
    <cellStyle name="Normal 33 23 6 2 3 2" xfId="25838"/>
    <cellStyle name="Normal 33 23 6 2 4" xfId="25839"/>
    <cellStyle name="Normal 33 23 6 3" xfId="25840"/>
    <cellStyle name="Normal 33 23 6 3 2" xfId="25841"/>
    <cellStyle name="Normal 33 23 6 3 2 2" xfId="25842"/>
    <cellStyle name="Normal 33 23 6 3 2 2 2" xfId="25843"/>
    <cellStyle name="Normal 33 23 6 3 2 3" xfId="25844"/>
    <cellStyle name="Normal 33 23 6 3 3" xfId="25845"/>
    <cellStyle name="Normal 33 23 6 3 3 2" xfId="25846"/>
    <cellStyle name="Normal 33 23 6 3 4" xfId="25847"/>
    <cellStyle name="Normal 33 23 6 4" xfId="25848"/>
    <cellStyle name="Normal 33 23 6 4 2" xfId="25849"/>
    <cellStyle name="Normal 33 23 6 4 2 2" xfId="25850"/>
    <cellStyle name="Normal 33 23 6 4 3" xfId="25851"/>
    <cellStyle name="Normal 33 23 6 5" xfId="25852"/>
    <cellStyle name="Normal 33 23 6 5 2" xfId="25853"/>
    <cellStyle name="Normal 33 23 6 6" xfId="25854"/>
    <cellStyle name="Normal 33 23 7" xfId="25855"/>
    <cellStyle name="Normal 33 23 7 2" xfId="25856"/>
    <cellStyle name="Normal 33 23 7 2 2" xfId="25857"/>
    <cellStyle name="Normal 33 23 7 2 2 2" xfId="25858"/>
    <cellStyle name="Normal 33 23 7 2 2 2 2" xfId="25859"/>
    <cellStyle name="Normal 33 23 7 2 2 3" xfId="25860"/>
    <cellStyle name="Normal 33 23 7 2 3" xfId="25861"/>
    <cellStyle name="Normal 33 23 7 2 3 2" xfId="25862"/>
    <cellStyle name="Normal 33 23 7 2 4" xfId="25863"/>
    <cellStyle name="Normal 33 23 7 3" xfId="25864"/>
    <cellStyle name="Normal 33 23 7 3 2" xfId="25865"/>
    <cellStyle name="Normal 33 23 7 3 2 2" xfId="25866"/>
    <cellStyle name="Normal 33 23 7 3 2 2 2" xfId="25867"/>
    <cellStyle name="Normal 33 23 7 3 2 3" xfId="25868"/>
    <cellStyle name="Normal 33 23 7 3 3" xfId="25869"/>
    <cellStyle name="Normal 33 23 7 3 3 2" xfId="25870"/>
    <cellStyle name="Normal 33 23 7 3 4" xfId="25871"/>
    <cellStyle name="Normal 33 23 7 4" xfId="25872"/>
    <cellStyle name="Normal 33 23 7 4 2" xfId="25873"/>
    <cellStyle name="Normal 33 23 7 4 2 2" xfId="25874"/>
    <cellStyle name="Normal 33 23 7 4 3" xfId="25875"/>
    <cellStyle name="Normal 33 23 7 5" xfId="25876"/>
    <cellStyle name="Normal 33 23 7 5 2" xfId="25877"/>
    <cellStyle name="Normal 33 23 7 6" xfId="25878"/>
    <cellStyle name="Normal 33 23 8" xfId="25879"/>
    <cellStyle name="Normal 33 23 8 2" xfId="25880"/>
    <cellStyle name="Normal 33 23 8 2 2" xfId="25881"/>
    <cellStyle name="Normal 33 23 8 2 2 2" xfId="25882"/>
    <cellStyle name="Normal 33 23 8 2 2 2 2" xfId="25883"/>
    <cellStyle name="Normal 33 23 8 2 2 3" xfId="25884"/>
    <cellStyle name="Normal 33 23 8 2 3" xfId="25885"/>
    <cellStyle name="Normal 33 23 8 2 3 2" xfId="25886"/>
    <cellStyle name="Normal 33 23 8 2 4" xfId="25887"/>
    <cellStyle name="Normal 33 23 8 3" xfId="25888"/>
    <cellStyle name="Normal 33 23 8 3 2" xfId="25889"/>
    <cellStyle name="Normal 33 23 8 3 2 2" xfId="25890"/>
    <cellStyle name="Normal 33 23 8 3 2 2 2" xfId="25891"/>
    <cellStyle name="Normal 33 23 8 3 2 3" xfId="25892"/>
    <cellStyle name="Normal 33 23 8 3 3" xfId="25893"/>
    <cellStyle name="Normal 33 23 8 3 3 2" xfId="25894"/>
    <cellStyle name="Normal 33 23 8 3 4" xfId="25895"/>
    <cellStyle name="Normal 33 23 8 4" xfId="25896"/>
    <cellStyle name="Normal 33 23 8 4 2" xfId="25897"/>
    <cellStyle name="Normal 33 23 8 4 2 2" xfId="25898"/>
    <cellStyle name="Normal 33 23 8 4 3" xfId="25899"/>
    <cellStyle name="Normal 33 23 8 5" xfId="25900"/>
    <cellStyle name="Normal 33 23 8 5 2" xfId="25901"/>
    <cellStyle name="Normal 33 23 8 6" xfId="25902"/>
    <cellStyle name="Normal 33 23 9" xfId="25903"/>
    <cellStyle name="Normal 33 23 9 2" xfId="25904"/>
    <cellStyle name="Normal 33 23 9 2 2" xfId="25905"/>
    <cellStyle name="Normal 33 23 9 2 2 2" xfId="25906"/>
    <cellStyle name="Normal 33 23 9 2 2 2 2" xfId="25907"/>
    <cellStyle name="Normal 33 23 9 2 2 3" xfId="25908"/>
    <cellStyle name="Normal 33 23 9 2 3" xfId="25909"/>
    <cellStyle name="Normal 33 23 9 2 3 2" xfId="25910"/>
    <cellStyle name="Normal 33 23 9 2 4" xfId="25911"/>
    <cellStyle name="Normal 33 23 9 3" xfId="25912"/>
    <cellStyle name="Normal 33 23 9 3 2" xfId="25913"/>
    <cellStyle name="Normal 33 23 9 3 2 2" xfId="25914"/>
    <cellStyle name="Normal 33 23 9 3 2 2 2" xfId="25915"/>
    <cellStyle name="Normal 33 23 9 3 2 3" xfId="25916"/>
    <cellStyle name="Normal 33 23 9 3 3" xfId="25917"/>
    <cellStyle name="Normal 33 23 9 3 3 2" xfId="25918"/>
    <cellStyle name="Normal 33 23 9 3 4" xfId="25919"/>
    <cellStyle name="Normal 33 23 9 4" xfId="25920"/>
    <cellStyle name="Normal 33 23 9 4 2" xfId="25921"/>
    <cellStyle name="Normal 33 23 9 4 2 2" xfId="25922"/>
    <cellStyle name="Normal 33 23 9 4 3" xfId="25923"/>
    <cellStyle name="Normal 33 23 9 5" xfId="25924"/>
    <cellStyle name="Normal 33 23 9 5 2" xfId="25925"/>
    <cellStyle name="Normal 33 23 9 6" xfId="25926"/>
    <cellStyle name="Normal 33 24" xfId="25927"/>
    <cellStyle name="Normal 33 24 10" xfId="25928"/>
    <cellStyle name="Normal 33 24 10 2" xfId="25929"/>
    <cellStyle name="Normal 33 24 10 2 2" xfId="25930"/>
    <cellStyle name="Normal 33 24 10 2 2 2" xfId="25931"/>
    <cellStyle name="Normal 33 24 10 2 2 2 2" xfId="25932"/>
    <cellStyle name="Normal 33 24 10 2 2 3" xfId="25933"/>
    <cellStyle name="Normal 33 24 10 2 3" xfId="25934"/>
    <cellStyle name="Normal 33 24 10 2 3 2" xfId="25935"/>
    <cellStyle name="Normal 33 24 10 2 4" xfId="25936"/>
    <cellStyle name="Normal 33 24 10 3" xfId="25937"/>
    <cellStyle name="Normal 33 24 10 3 2" xfId="25938"/>
    <cellStyle name="Normal 33 24 10 3 2 2" xfId="25939"/>
    <cellStyle name="Normal 33 24 10 3 2 2 2" xfId="25940"/>
    <cellStyle name="Normal 33 24 10 3 2 3" xfId="25941"/>
    <cellStyle name="Normal 33 24 10 3 3" xfId="25942"/>
    <cellStyle name="Normal 33 24 10 3 3 2" xfId="25943"/>
    <cellStyle name="Normal 33 24 10 3 4" xfId="25944"/>
    <cellStyle name="Normal 33 24 10 4" xfId="25945"/>
    <cellStyle name="Normal 33 24 10 4 2" xfId="25946"/>
    <cellStyle name="Normal 33 24 10 4 2 2" xfId="25947"/>
    <cellStyle name="Normal 33 24 10 4 3" xfId="25948"/>
    <cellStyle name="Normal 33 24 10 5" xfId="25949"/>
    <cellStyle name="Normal 33 24 10 5 2" xfId="25950"/>
    <cellStyle name="Normal 33 24 10 6" xfId="25951"/>
    <cellStyle name="Normal 33 24 11" xfId="25952"/>
    <cellStyle name="Normal 33 24 11 2" xfId="25953"/>
    <cellStyle name="Normal 33 24 11 2 2" xfId="25954"/>
    <cellStyle name="Normal 33 24 11 2 2 2" xfId="25955"/>
    <cellStyle name="Normal 33 24 11 2 2 2 2" xfId="25956"/>
    <cellStyle name="Normal 33 24 11 2 2 3" xfId="25957"/>
    <cellStyle name="Normal 33 24 11 2 3" xfId="25958"/>
    <cellStyle name="Normal 33 24 11 2 3 2" xfId="25959"/>
    <cellStyle name="Normal 33 24 11 2 4" xfId="25960"/>
    <cellStyle name="Normal 33 24 11 3" xfId="25961"/>
    <cellStyle name="Normal 33 24 11 3 2" xfId="25962"/>
    <cellStyle name="Normal 33 24 11 3 2 2" xfId="25963"/>
    <cellStyle name="Normal 33 24 11 3 2 2 2" xfId="25964"/>
    <cellStyle name="Normal 33 24 11 3 2 3" xfId="25965"/>
    <cellStyle name="Normal 33 24 11 3 3" xfId="25966"/>
    <cellStyle name="Normal 33 24 11 3 3 2" xfId="25967"/>
    <cellStyle name="Normal 33 24 11 3 4" xfId="25968"/>
    <cellStyle name="Normal 33 24 11 4" xfId="25969"/>
    <cellStyle name="Normal 33 24 11 4 2" xfId="25970"/>
    <cellStyle name="Normal 33 24 11 4 2 2" xfId="25971"/>
    <cellStyle name="Normal 33 24 11 4 3" xfId="25972"/>
    <cellStyle name="Normal 33 24 11 5" xfId="25973"/>
    <cellStyle name="Normal 33 24 11 5 2" xfId="25974"/>
    <cellStyle name="Normal 33 24 11 6" xfId="25975"/>
    <cellStyle name="Normal 33 24 12" xfId="25976"/>
    <cellStyle name="Normal 33 24 12 2" xfId="25977"/>
    <cellStyle name="Normal 33 24 12 2 2" xfId="25978"/>
    <cellStyle name="Normal 33 24 12 2 2 2" xfId="25979"/>
    <cellStyle name="Normal 33 24 12 2 2 2 2" xfId="25980"/>
    <cellStyle name="Normal 33 24 12 2 2 3" xfId="25981"/>
    <cellStyle name="Normal 33 24 12 2 3" xfId="25982"/>
    <cellStyle name="Normal 33 24 12 2 3 2" xfId="25983"/>
    <cellStyle name="Normal 33 24 12 2 4" xfId="25984"/>
    <cellStyle name="Normal 33 24 12 3" xfId="25985"/>
    <cellStyle name="Normal 33 24 12 3 2" xfId="25986"/>
    <cellStyle name="Normal 33 24 12 3 2 2" xfId="25987"/>
    <cellStyle name="Normal 33 24 12 3 2 2 2" xfId="25988"/>
    <cellStyle name="Normal 33 24 12 3 2 3" xfId="25989"/>
    <cellStyle name="Normal 33 24 12 3 3" xfId="25990"/>
    <cellStyle name="Normal 33 24 12 3 3 2" xfId="25991"/>
    <cellStyle name="Normal 33 24 12 3 4" xfId="25992"/>
    <cellStyle name="Normal 33 24 12 4" xfId="25993"/>
    <cellStyle name="Normal 33 24 12 4 2" xfId="25994"/>
    <cellStyle name="Normal 33 24 12 4 2 2" xfId="25995"/>
    <cellStyle name="Normal 33 24 12 4 3" xfId="25996"/>
    <cellStyle name="Normal 33 24 12 5" xfId="25997"/>
    <cellStyle name="Normal 33 24 12 5 2" xfId="25998"/>
    <cellStyle name="Normal 33 24 12 6" xfId="25999"/>
    <cellStyle name="Normal 33 24 13" xfId="26000"/>
    <cellStyle name="Normal 33 24 13 2" xfId="26001"/>
    <cellStyle name="Normal 33 24 13 2 2" xfId="26002"/>
    <cellStyle name="Normal 33 24 13 2 2 2" xfId="26003"/>
    <cellStyle name="Normal 33 24 13 2 2 2 2" xfId="26004"/>
    <cellStyle name="Normal 33 24 13 2 2 3" xfId="26005"/>
    <cellStyle name="Normal 33 24 13 2 3" xfId="26006"/>
    <cellStyle name="Normal 33 24 13 2 3 2" xfId="26007"/>
    <cellStyle name="Normal 33 24 13 2 4" xfId="26008"/>
    <cellStyle name="Normal 33 24 13 3" xfId="26009"/>
    <cellStyle name="Normal 33 24 13 3 2" xfId="26010"/>
    <cellStyle name="Normal 33 24 13 3 2 2" xfId="26011"/>
    <cellStyle name="Normal 33 24 13 3 2 2 2" xfId="26012"/>
    <cellStyle name="Normal 33 24 13 3 2 3" xfId="26013"/>
    <cellStyle name="Normal 33 24 13 3 3" xfId="26014"/>
    <cellStyle name="Normal 33 24 13 3 3 2" xfId="26015"/>
    <cellStyle name="Normal 33 24 13 3 4" xfId="26016"/>
    <cellStyle name="Normal 33 24 13 4" xfId="26017"/>
    <cellStyle name="Normal 33 24 13 4 2" xfId="26018"/>
    <cellStyle name="Normal 33 24 13 4 2 2" xfId="26019"/>
    <cellStyle name="Normal 33 24 13 4 3" xfId="26020"/>
    <cellStyle name="Normal 33 24 13 5" xfId="26021"/>
    <cellStyle name="Normal 33 24 13 5 2" xfId="26022"/>
    <cellStyle name="Normal 33 24 13 6" xfId="26023"/>
    <cellStyle name="Normal 33 24 14" xfId="26024"/>
    <cellStyle name="Normal 33 24 14 2" xfId="26025"/>
    <cellStyle name="Normal 33 24 14 2 2" xfId="26026"/>
    <cellStyle name="Normal 33 24 14 2 2 2" xfId="26027"/>
    <cellStyle name="Normal 33 24 14 2 3" xfId="26028"/>
    <cellStyle name="Normal 33 24 14 3" xfId="26029"/>
    <cellStyle name="Normal 33 24 14 3 2" xfId="26030"/>
    <cellStyle name="Normal 33 24 14 4" xfId="26031"/>
    <cellStyle name="Normal 33 24 15" xfId="26032"/>
    <cellStyle name="Normal 33 24 15 2" xfId="26033"/>
    <cellStyle name="Normal 33 24 15 2 2" xfId="26034"/>
    <cellStyle name="Normal 33 24 15 2 2 2" xfId="26035"/>
    <cellStyle name="Normal 33 24 15 2 3" xfId="26036"/>
    <cellStyle name="Normal 33 24 15 3" xfId="26037"/>
    <cellStyle name="Normal 33 24 15 3 2" xfId="26038"/>
    <cellStyle name="Normal 33 24 15 4" xfId="26039"/>
    <cellStyle name="Normal 33 24 16" xfId="26040"/>
    <cellStyle name="Normal 33 24 16 2" xfId="26041"/>
    <cellStyle name="Normal 33 24 16 2 2" xfId="26042"/>
    <cellStyle name="Normal 33 24 16 3" xfId="26043"/>
    <cellStyle name="Normal 33 24 17" xfId="26044"/>
    <cellStyle name="Normal 33 24 17 2" xfId="26045"/>
    <cellStyle name="Normal 33 24 18" xfId="26046"/>
    <cellStyle name="Normal 33 24 2" xfId="26047"/>
    <cellStyle name="Normal 33 24 2 2" xfId="26048"/>
    <cellStyle name="Normal 33 24 2 2 2" xfId="26049"/>
    <cellStyle name="Normal 33 24 2 2 2 2" xfId="26050"/>
    <cellStyle name="Normal 33 24 2 2 2 2 2" xfId="26051"/>
    <cellStyle name="Normal 33 24 2 2 2 3" xfId="26052"/>
    <cellStyle name="Normal 33 24 2 2 3" xfId="26053"/>
    <cellStyle name="Normal 33 24 2 2 3 2" xfId="26054"/>
    <cellStyle name="Normal 33 24 2 2 4" xfId="26055"/>
    <cellStyle name="Normal 33 24 2 3" xfId="26056"/>
    <cellStyle name="Normal 33 24 2 3 2" xfId="26057"/>
    <cellStyle name="Normal 33 24 2 3 2 2" xfId="26058"/>
    <cellStyle name="Normal 33 24 2 3 2 2 2" xfId="26059"/>
    <cellStyle name="Normal 33 24 2 3 2 3" xfId="26060"/>
    <cellStyle name="Normal 33 24 2 3 3" xfId="26061"/>
    <cellStyle name="Normal 33 24 2 3 3 2" xfId="26062"/>
    <cellStyle name="Normal 33 24 2 3 4" xfId="26063"/>
    <cellStyle name="Normal 33 24 2 4" xfId="26064"/>
    <cellStyle name="Normal 33 24 2 4 2" xfId="26065"/>
    <cellStyle name="Normal 33 24 2 4 2 2" xfId="26066"/>
    <cellStyle name="Normal 33 24 2 4 3" xfId="26067"/>
    <cellStyle name="Normal 33 24 2 5" xfId="26068"/>
    <cellStyle name="Normal 33 24 2 5 2" xfId="26069"/>
    <cellStyle name="Normal 33 24 2 6" xfId="26070"/>
    <cellStyle name="Normal 33 24 3" xfId="26071"/>
    <cellStyle name="Normal 33 24 3 2" xfId="26072"/>
    <cellStyle name="Normal 33 24 3 2 2" xfId="26073"/>
    <cellStyle name="Normal 33 24 3 2 2 2" xfId="26074"/>
    <cellStyle name="Normal 33 24 3 2 2 2 2" xfId="26075"/>
    <cellStyle name="Normal 33 24 3 2 2 3" xfId="26076"/>
    <cellStyle name="Normal 33 24 3 2 3" xfId="26077"/>
    <cellStyle name="Normal 33 24 3 2 3 2" xfId="26078"/>
    <cellStyle name="Normal 33 24 3 2 4" xfId="26079"/>
    <cellStyle name="Normal 33 24 3 3" xfId="26080"/>
    <cellStyle name="Normal 33 24 3 3 2" xfId="26081"/>
    <cellStyle name="Normal 33 24 3 3 2 2" xfId="26082"/>
    <cellStyle name="Normal 33 24 3 3 2 2 2" xfId="26083"/>
    <cellStyle name="Normal 33 24 3 3 2 3" xfId="26084"/>
    <cellStyle name="Normal 33 24 3 3 3" xfId="26085"/>
    <cellStyle name="Normal 33 24 3 3 3 2" xfId="26086"/>
    <cellStyle name="Normal 33 24 3 3 4" xfId="26087"/>
    <cellStyle name="Normal 33 24 3 4" xfId="26088"/>
    <cellStyle name="Normal 33 24 3 4 2" xfId="26089"/>
    <cellStyle name="Normal 33 24 3 4 2 2" xfId="26090"/>
    <cellStyle name="Normal 33 24 3 4 3" xfId="26091"/>
    <cellStyle name="Normal 33 24 3 5" xfId="26092"/>
    <cellStyle name="Normal 33 24 3 5 2" xfId="26093"/>
    <cellStyle name="Normal 33 24 3 6" xfId="26094"/>
    <cellStyle name="Normal 33 24 4" xfId="26095"/>
    <cellStyle name="Normal 33 24 4 2" xfId="26096"/>
    <cellStyle name="Normal 33 24 4 2 2" xfId="26097"/>
    <cellStyle name="Normal 33 24 4 2 2 2" xfId="26098"/>
    <cellStyle name="Normal 33 24 4 2 2 2 2" xfId="26099"/>
    <cellStyle name="Normal 33 24 4 2 2 3" xfId="26100"/>
    <cellStyle name="Normal 33 24 4 2 3" xfId="26101"/>
    <cellStyle name="Normal 33 24 4 2 3 2" xfId="26102"/>
    <cellStyle name="Normal 33 24 4 2 4" xfId="26103"/>
    <cellStyle name="Normal 33 24 4 3" xfId="26104"/>
    <cellStyle name="Normal 33 24 4 3 2" xfId="26105"/>
    <cellStyle name="Normal 33 24 4 3 2 2" xfId="26106"/>
    <cellStyle name="Normal 33 24 4 3 2 2 2" xfId="26107"/>
    <cellStyle name="Normal 33 24 4 3 2 3" xfId="26108"/>
    <cellStyle name="Normal 33 24 4 3 3" xfId="26109"/>
    <cellStyle name="Normal 33 24 4 3 3 2" xfId="26110"/>
    <cellStyle name="Normal 33 24 4 3 4" xfId="26111"/>
    <cellStyle name="Normal 33 24 4 4" xfId="26112"/>
    <cellStyle name="Normal 33 24 4 4 2" xfId="26113"/>
    <cellStyle name="Normal 33 24 4 4 2 2" xfId="26114"/>
    <cellStyle name="Normal 33 24 4 4 3" xfId="26115"/>
    <cellStyle name="Normal 33 24 4 5" xfId="26116"/>
    <cellStyle name="Normal 33 24 4 5 2" xfId="26117"/>
    <cellStyle name="Normal 33 24 4 6" xfId="26118"/>
    <cellStyle name="Normal 33 24 5" xfId="26119"/>
    <cellStyle name="Normal 33 24 5 2" xfId="26120"/>
    <cellStyle name="Normal 33 24 5 2 2" xfId="26121"/>
    <cellStyle name="Normal 33 24 5 2 2 2" xfId="26122"/>
    <cellStyle name="Normal 33 24 5 2 2 2 2" xfId="26123"/>
    <cellStyle name="Normal 33 24 5 2 2 3" xfId="26124"/>
    <cellStyle name="Normal 33 24 5 2 3" xfId="26125"/>
    <cellStyle name="Normal 33 24 5 2 3 2" xfId="26126"/>
    <cellStyle name="Normal 33 24 5 2 4" xfId="26127"/>
    <cellStyle name="Normal 33 24 5 3" xfId="26128"/>
    <cellStyle name="Normal 33 24 5 3 2" xfId="26129"/>
    <cellStyle name="Normal 33 24 5 3 2 2" xfId="26130"/>
    <cellStyle name="Normal 33 24 5 3 2 2 2" xfId="26131"/>
    <cellStyle name="Normal 33 24 5 3 2 3" xfId="26132"/>
    <cellStyle name="Normal 33 24 5 3 3" xfId="26133"/>
    <cellStyle name="Normal 33 24 5 3 3 2" xfId="26134"/>
    <cellStyle name="Normal 33 24 5 3 4" xfId="26135"/>
    <cellStyle name="Normal 33 24 5 4" xfId="26136"/>
    <cellStyle name="Normal 33 24 5 4 2" xfId="26137"/>
    <cellStyle name="Normal 33 24 5 4 2 2" xfId="26138"/>
    <cellStyle name="Normal 33 24 5 4 3" xfId="26139"/>
    <cellStyle name="Normal 33 24 5 5" xfId="26140"/>
    <cellStyle name="Normal 33 24 5 5 2" xfId="26141"/>
    <cellStyle name="Normal 33 24 5 6" xfId="26142"/>
    <cellStyle name="Normal 33 24 6" xfId="26143"/>
    <cellStyle name="Normal 33 24 6 2" xfId="26144"/>
    <cellStyle name="Normal 33 24 6 2 2" xfId="26145"/>
    <cellStyle name="Normal 33 24 6 2 2 2" xfId="26146"/>
    <cellStyle name="Normal 33 24 6 2 2 2 2" xfId="26147"/>
    <cellStyle name="Normal 33 24 6 2 2 3" xfId="26148"/>
    <cellStyle name="Normal 33 24 6 2 3" xfId="26149"/>
    <cellStyle name="Normal 33 24 6 2 3 2" xfId="26150"/>
    <cellStyle name="Normal 33 24 6 2 4" xfId="26151"/>
    <cellStyle name="Normal 33 24 6 3" xfId="26152"/>
    <cellStyle name="Normal 33 24 6 3 2" xfId="26153"/>
    <cellStyle name="Normal 33 24 6 3 2 2" xfId="26154"/>
    <cellStyle name="Normal 33 24 6 3 2 2 2" xfId="26155"/>
    <cellStyle name="Normal 33 24 6 3 2 3" xfId="26156"/>
    <cellStyle name="Normal 33 24 6 3 3" xfId="26157"/>
    <cellStyle name="Normal 33 24 6 3 3 2" xfId="26158"/>
    <cellStyle name="Normal 33 24 6 3 4" xfId="26159"/>
    <cellStyle name="Normal 33 24 6 4" xfId="26160"/>
    <cellStyle name="Normal 33 24 6 4 2" xfId="26161"/>
    <cellStyle name="Normal 33 24 6 4 2 2" xfId="26162"/>
    <cellStyle name="Normal 33 24 6 4 3" xfId="26163"/>
    <cellStyle name="Normal 33 24 6 5" xfId="26164"/>
    <cellStyle name="Normal 33 24 6 5 2" xfId="26165"/>
    <cellStyle name="Normal 33 24 6 6" xfId="26166"/>
    <cellStyle name="Normal 33 24 7" xfId="26167"/>
    <cellStyle name="Normal 33 24 7 2" xfId="26168"/>
    <cellStyle name="Normal 33 24 7 2 2" xfId="26169"/>
    <cellStyle name="Normal 33 24 7 2 2 2" xfId="26170"/>
    <cellStyle name="Normal 33 24 7 2 2 2 2" xfId="26171"/>
    <cellStyle name="Normal 33 24 7 2 2 3" xfId="26172"/>
    <cellStyle name="Normal 33 24 7 2 3" xfId="26173"/>
    <cellStyle name="Normal 33 24 7 2 3 2" xfId="26174"/>
    <cellStyle name="Normal 33 24 7 2 4" xfId="26175"/>
    <cellStyle name="Normal 33 24 7 3" xfId="26176"/>
    <cellStyle name="Normal 33 24 7 3 2" xfId="26177"/>
    <cellStyle name="Normal 33 24 7 3 2 2" xfId="26178"/>
    <cellStyle name="Normal 33 24 7 3 2 2 2" xfId="26179"/>
    <cellStyle name="Normal 33 24 7 3 2 3" xfId="26180"/>
    <cellStyle name="Normal 33 24 7 3 3" xfId="26181"/>
    <cellStyle name="Normal 33 24 7 3 3 2" xfId="26182"/>
    <cellStyle name="Normal 33 24 7 3 4" xfId="26183"/>
    <cellStyle name="Normal 33 24 7 4" xfId="26184"/>
    <cellStyle name="Normal 33 24 7 4 2" xfId="26185"/>
    <cellStyle name="Normal 33 24 7 4 2 2" xfId="26186"/>
    <cellStyle name="Normal 33 24 7 4 3" xfId="26187"/>
    <cellStyle name="Normal 33 24 7 5" xfId="26188"/>
    <cellStyle name="Normal 33 24 7 5 2" xfId="26189"/>
    <cellStyle name="Normal 33 24 7 6" xfId="26190"/>
    <cellStyle name="Normal 33 24 8" xfId="26191"/>
    <cellStyle name="Normal 33 24 8 2" xfId="26192"/>
    <cellStyle name="Normal 33 24 8 2 2" xfId="26193"/>
    <cellStyle name="Normal 33 24 8 2 2 2" xfId="26194"/>
    <cellStyle name="Normal 33 24 8 2 2 2 2" xfId="26195"/>
    <cellStyle name="Normal 33 24 8 2 2 3" xfId="26196"/>
    <cellStyle name="Normal 33 24 8 2 3" xfId="26197"/>
    <cellStyle name="Normal 33 24 8 2 3 2" xfId="26198"/>
    <cellStyle name="Normal 33 24 8 2 4" xfId="26199"/>
    <cellStyle name="Normal 33 24 8 3" xfId="26200"/>
    <cellStyle name="Normal 33 24 8 3 2" xfId="26201"/>
    <cellStyle name="Normal 33 24 8 3 2 2" xfId="26202"/>
    <cellStyle name="Normal 33 24 8 3 2 2 2" xfId="26203"/>
    <cellStyle name="Normal 33 24 8 3 2 3" xfId="26204"/>
    <cellStyle name="Normal 33 24 8 3 3" xfId="26205"/>
    <cellStyle name="Normal 33 24 8 3 3 2" xfId="26206"/>
    <cellStyle name="Normal 33 24 8 3 4" xfId="26207"/>
    <cellStyle name="Normal 33 24 8 4" xfId="26208"/>
    <cellStyle name="Normal 33 24 8 4 2" xfId="26209"/>
    <cellStyle name="Normal 33 24 8 4 2 2" xfId="26210"/>
    <cellStyle name="Normal 33 24 8 4 3" xfId="26211"/>
    <cellStyle name="Normal 33 24 8 5" xfId="26212"/>
    <cellStyle name="Normal 33 24 8 5 2" xfId="26213"/>
    <cellStyle name="Normal 33 24 8 6" xfId="26214"/>
    <cellStyle name="Normal 33 24 9" xfId="26215"/>
    <cellStyle name="Normal 33 24 9 2" xfId="26216"/>
    <cellStyle name="Normal 33 24 9 2 2" xfId="26217"/>
    <cellStyle name="Normal 33 24 9 2 2 2" xfId="26218"/>
    <cellStyle name="Normal 33 24 9 2 2 2 2" xfId="26219"/>
    <cellStyle name="Normal 33 24 9 2 2 3" xfId="26220"/>
    <cellStyle name="Normal 33 24 9 2 3" xfId="26221"/>
    <cellStyle name="Normal 33 24 9 2 3 2" xfId="26222"/>
    <cellStyle name="Normal 33 24 9 2 4" xfId="26223"/>
    <cellStyle name="Normal 33 24 9 3" xfId="26224"/>
    <cellStyle name="Normal 33 24 9 3 2" xfId="26225"/>
    <cellStyle name="Normal 33 24 9 3 2 2" xfId="26226"/>
    <cellStyle name="Normal 33 24 9 3 2 2 2" xfId="26227"/>
    <cellStyle name="Normal 33 24 9 3 2 3" xfId="26228"/>
    <cellStyle name="Normal 33 24 9 3 3" xfId="26229"/>
    <cellStyle name="Normal 33 24 9 3 3 2" xfId="26230"/>
    <cellStyle name="Normal 33 24 9 3 4" xfId="26231"/>
    <cellStyle name="Normal 33 24 9 4" xfId="26232"/>
    <cellStyle name="Normal 33 24 9 4 2" xfId="26233"/>
    <cellStyle name="Normal 33 24 9 4 2 2" xfId="26234"/>
    <cellStyle name="Normal 33 24 9 4 3" xfId="26235"/>
    <cellStyle name="Normal 33 24 9 5" xfId="26236"/>
    <cellStyle name="Normal 33 24 9 5 2" xfId="26237"/>
    <cellStyle name="Normal 33 24 9 6" xfId="26238"/>
    <cellStyle name="Normal 33 25" xfId="26239"/>
    <cellStyle name="Normal 33 25 10" xfId="26240"/>
    <cellStyle name="Normal 33 25 10 2" xfId="26241"/>
    <cellStyle name="Normal 33 25 10 2 2" xfId="26242"/>
    <cellStyle name="Normal 33 25 10 2 2 2" xfId="26243"/>
    <cellStyle name="Normal 33 25 10 2 2 2 2" xfId="26244"/>
    <cellStyle name="Normal 33 25 10 2 2 3" xfId="26245"/>
    <cellStyle name="Normal 33 25 10 2 3" xfId="26246"/>
    <cellStyle name="Normal 33 25 10 2 3 2" xfId="26247"/>
    <cellStyle name="Normal 33 25 10 2 4" xfId="26248"/>
    <cellStyle name="Normal 33 25 10 3" xfId="26249"/>
    <cellStyle name="Normal 33 25 10 3 2" xfId="26250"/>
    <cellStyle name="Normal 33 25 10 3 2 2" xfId="26251"/>
    <cellStyle name="Normal 33 25 10 3 2 2 2" xfId="26252"/>
    <cellStyle name="Normal 33 25 10 3 2 3" xfId="26253"/>
    <cellStyle name="Normal 33 25 10 3 3" xfId="26254"/>
    <cellStyle name="Normal 33 25 10 3 3 2" xfId="26255"/>
    <cellStyle name="Normal 33 25 10 3 4" xfId="26256"/>
    <cellStyle name="Normal 33 25 10 4" xfId="26257"/>
    <cellStyle name="Normal 33 25 10 4 2" xfId="26258"/>
    <cellStyle name="Normal 33 25 10 4 2 2" xfId="26259"/>
    <cellStyle name="Normal 33 25 10 4 3" xfId="26260"/>
    <cellStyle name="Normal 33 25 10 5" xfId="26261"/>
    <cellStyle name="Normal 33 25 10 5 2" xfId="26262"/>
    <cellStyle name="Normal 33 25 10 6" xfId="26263"/>
    <cellStyle name="Normal 33 25 11" xfId="26264"/>
    <cellStyle name="Normal 33 25 11 2" xfId="26265"/>
    <cellStyle name="Normal 33 25 11 2 2" xfId="26266"/>
    <cellStyle name="Normal 33 25 11 2 2 2" xfId="26267"/>
    <cellStyle name="Normal 33 25 11 2 2 2 2" xfId="26268"/>
    <cellStyle name="Normal 33 25 11 2 2 3" xfId="26269"/>
    <cellStyle name="Normal 33 25 11 2 3" xfId="26270"/>
    <cellStyle name="Normal 33 25 11 2 3 2" xfId="26271"/>
    <cellStyle name="Normal 33 25 11 2 4" xfId="26272"/>
    <cellStyle name="Normal 33 25 11 3" xfId="26273"/>
    <cellStyle name="Normal 33 25 11 3 2" xfId="26274"/>
    <cellStyle name="Normal 33 25 11 3 2 2" xfId="26275"/>
    <cellStyle name="Normal 33 25 11 3 2 2 2" xfId="26276"/>
    <cellStyle name="Normal 33 25 11 3 2 3" xfId="26277"/>
    <cellStyle name="Normal 33 25 11 3 3" xfId="26278"/>
    <cellStyle name="Normal 33 25 11 3 3 2" xfId="26279"/>
    <cellStyle name="Normal 33 25 11 3 4" xfId="26280"/>
    <cellStyle name="Normal 33 25 11 4" xfId="26281"/>
    <cellStyle name="Normal 33 25 11 4 2" xfId="26282"/>
    <cellStyle name="Normal 33 25 11 4 2 2" xfId="26283"/>
    <cellStyle name="Normal 33 25 11 4 3" xfId="26284"/>
    <cellStyle name="Normal 33 25 11 5" xfId="26285"/>
    <cellStyle name="Normal 33 25 11 5 2" xfId="26286"/>
    <cellStyle name="Normal 33 25 11 6" xfId="26287"/>
    <cellStyle name="Normal 33 25 12" xfId="26288"/>
    <cellStyle name="Normal 33 25 12 2" xfId="26289"/>
    <cellStyle name="Normal 33 25 12 2 2" xfId="26290"/>
    <cellStyle name="Normal 33 25 12 2 2 2" xfId="26291"/>
    <cellStyle name="Normal 33 25 12 2 2 2 2" xfId="26292"/>
    <cellStyle name="Normal 33 25 12 2 2 3" xfId="26293"/>
    <cellStyle name="Normal 33 25 12 2 3" xfId="26294"/>
    <cellStyle name="Normal 33 25 12 2 3 2" xfId="26295"/>
    <cellStyle name="Normal 33 25 12 2 4" xfId="26296"/>
    <cellStyle name="Normal 33 25 12 3" xfId="26297"/>
    <cellStyle name="Normal 33 25 12 3 2" xfId="26298"/>
    <cellStyle name="Normal 33 25 12 3 2 2" xfId="26299"/>
    <cellStyle name="Normal 33 25 12 3 2 2 2" xfId="26300"/>
    <cellStyle name="Normal 33 25 12 3 2 3" xfId="26301"/>
    <cellStyle name="Normal 33 25 12 3 3" xfId="26302"/>
    <cellStyle name="Normal 33 25 12 3 3 2" xfId="26303"/>
    <cellStyle name="Normal 33 25 12 3 4" xfId="26304"/>
    <cellStyle name="Normal 33 25 12 4" xfId="26305"/>
    <cellStyle name="Normal 33 25 12 4 2" xfId="26306"/>
    <cellStyle name="Normal 33 25 12 4 2 2" xfId="26307"/>
    <cellStyle name="Normal 33 25 12 4 3" xfId="26308"/>
    <cellStyle name="Normal 33 25 12 5" xfId="26309"/>
    <cellStyle name="Normal 33 25 12 5 2" xfId="26310"/>
    <cellStyle name="Normal 33 25 12 6" xfId="26311"/>
    <cellStyle name="Normal 33 25 13" xfId="26312"/>
    <cellStyle name="Normal 33 25 13 2" xfId="26313"/>
    <cellStyle name="Normal 33 25 13 2 2" xfId="26314"/>
    <cellStyle name="Normal 33 25 13 2 2 2" xfId="26315"/>
    <cellStyle name="Normal 33 25 13 2 2 2 2" xfId="26316"/>
    <cellStyle name="Normal 33 25 13 2 2 3" xfId="26317"/>
    <cellStyle name="Normal 33 25 13 2 3" xfId="26318"/>
    <cellStyle name="Normal 33 25 13 2 3 2" xfId="26319"/>
    <cellStyle name="Normal 33 25 13 2 4" xfId="26320"/>
    <cellStyle name="Normal 33 25 13 3" xfId="26321"/>
    <cellStyle name="Normal 33 25 13 3 2" xfId="26322"/>
    <cellStyle name="Normal 33 25 13 3 2 2" xfId="26323"/>
    <cellStyle name="Normal 33 25 13 3 2 2 2" xfId="26324"/>
    <cellStyle name="Normal 33 25 13 3 2 3" xfId="26325"/>
    <cellStyle name="Normal 33 25 13 3 3" xfId="26326"/>
    <cellStyle name="Normal 33 25 13 3 3 2" xfId="26327"/>
    <cellStyle name="Normal 33 25 13 3 4" xfId="26328"/>
    <cellStyle name="Normal 33 25 13 4" xfId="26329"/>
    <cellStyle name="Normal 33 25 13 4 2" xfId="26330"/>
    <cellStyle name="Normal 33 25 13 4 2 2" xfId="26331"/>
    <cellStyle name="Normal 33 25 13 4 3" xfId="26332"/>
    <cellStyle name="Normal 33 25 13 5" xfId="26333"/>
    <cellStyle name="Normal 33 25 13 5 2" xfId="26334"/>
    <cellStyle name="Normal 33 25 13 6" xfId="26335"/>
    <cellStyle name="Normal 33 25 14" xfId="26336"/>
    <cellStyle name="Normal 33 25 14 2" xfId="26337"/>
    <cellStyle name="Normal 33 25 14 2 2" xfId="26338"/>
    <cellStyle name="Normal 33 25 14 2 2 2" xfId="26339"/>
    <cellStyle name="Normal 33 25 14 2 3" xfId="26340"/>
    <cellStyle name="Normal 33 25 14 3" xfId="26341"/>
    <cellStyle name="Normal 33 25 14 3 2" xfId="26342"/>
    <cellStyle name="Normal 33 25 14 4" xfId="26343"/>
    <cellStyle name="Normal 33 25 15" xfId="26344"/>
    <cellStyle name="Normal 33 25 15 2" xfId="26345"/>
    <cellStyle name="Normal 33 25 15 2 2" xfId="26346"/>
    <cellStyle name="Normal 33 25 15 2 2 2" xfId="26347"/>
    <cellStyle name="Normal 33 25 15 2 3" xfId="26348"/>
    <cellStyle name="Normal 33 25 15 3" xfId="26349"/>
    <cellStyle name="Normal 33 25 15 3 2" xfId="26350"/>
    <cellStyle name="Normal 33 25 15 4" xfId="26351"/>
    <cellStyle name="Normal 33 25 16" xfId="26352"/>
    <cellStyle name="Normal 33 25 16 2" xfId="26353"/>
    <cellStyle name="Normal 33 25 16 2 2" xfId="26354"/>
    <cellStyle name="Normal 33 25 16 3" xfId="26355"/>
    <cellStyle name="Normal 33 25 17" xfId="26356"/>
    <cellStyle name="Normal 33 25 17 2" xfId="26357"/>
    <cellStyle name="Normal 33 25 18" xfId="26358"/>
    <cellStyle name="Normal 33 25 2" xfId="26359"/>
    <cellStyle name="Normal 33 25 2 2" xfId="26360"/>
    <cellStyle name="Normal 33 25 2 2 2" xfId="26361"/>
    <cellStyle name="Normal 33 25 2 2 2 2" xfId="26362"/>
    <cellStyle name="Normal 33 25 2 2 2 2 2" xfId="26363"/>
    <cellStyle name="Normal 33 25 2 2 2 3" xfId="26364"/>
    <cellStyle name="Normal 33 25 2 2 3" xfId="26365"/>
    <cellStyle name="Normal 33 25 2 2 3 2" xfId="26366"/>
    <cellStyle name="Normal 33 25 2 2 4" xfId="26367"/>
    <cellStyle name="Normal 33 25 2 3" xfId="26368"/>
    <cellStyle name="Normal 33 25 2 3 2" xfId="26369"/>
    <cellStyle name="Normal 33 25 2 3 2 2" xfId="26370"/>
    <cellStyle name="Normal 33 25 2 3 2 2 2" xfId="26371"/>
    <cellStyle name="Normal 33 25 2 3 2 3" xfId="26372"/>
    <cellStyle name="Normal 33 25 2 3 3" xfId="26373"/>
    <cellStyle name="Normal 33 25 2 3 3 2" xfId="26374"/>
    <cellStyle name="Normal 33 25 2 3 4" xfId="26375"/>
    <cellStyle name="Normal 33 25 2 4" xfId="26376"/>
    <cellStyle name="Normal 33 25 2 4 2" xfId="26377"/>
    <cellStyle name="Normal 33 25 2 4 2 2" xfId="26378"/>
    <cellStyle name="Normal 33 25 2 4 3" xfId="26379"/>
    <cellStyle name="Normal 33 25 2 5" xfId="26380"/>
    <cellStyle name="Normal 33 25 2 5 2" xfId="26381"/>
    <cellStyle name="Normal 33 25 2 6" xfId="26382"/>
    <cellStyle name="Normal 33 25 3" xfId="26383"/>
    <cellStyle name="Normal 33 25 3 2" xfId="26384"/>
    <cellStyle name="Normal 33 25 3 2 2" xfId="26385"/>
    <cellStyle name="Normal 33 25 3 2 2 2" xfId="26386"/>
    <cellStyle name="Normal 33 25 3 2 2 2 2" xfId="26387"/>
    <cellStyle name="Normal 33 25 3 2 2 3" xfId="26388"/>
    <cellStyle name="Normal 33 25 3 2 3" xfId="26389"/>
    <cellStyle name="Normal 33 25 3 2 3 2" xfId="26390"/>
    <cellStyle name="Normal 33 25 3 2 4" xfId="26391"/>
    <cellStyle name="Normal 33 25 3 3" xfId="26392"/>
    <cellStyle name="Normal 33 25 3 3 2" xfId="26393"/>
    <cellStyle name="Normal 33 25 3 3 2 2" xfId="26394"/>
    <cellStyle name="Normal 33 25 3 3 2 2 2" xfId="26395"/>
    <cellStyle name="Normal 33 25 3 3 2 3" xfId="26396"/>
    <cellStyle name="Normal 33 25 3 3 3" xfId="26397"/>
    <cellStyle name="Normal 33 25 3 3 3 2" xfId="26398"/>
    <cellStyle name="Normal 33 25 3 3 4" xfId="26399"/>
    <cellStyle name="Normal 33 25 3 4" xfId="26400"/>
    <cellStyle name="Normal 33 25 3 4 2" xfId="26401"/>
    <cellStyle name="Normal 33 25 3 4 2 2" xfId="26402"/>
    <cellStyle name="Normal 33 25 3 4 3" xfId="26403"/>
    <cellStyle name="Normal 33 25 3 5" xfId="26404"/>
    <cellStyle name="Normal 33 25 3 5 2" xfId="26405"/>
    <cellStyle name="Normal 33 25 3 6" xfId="26406"/>
    <cellStyle name="Normal 33 25 4" xfId="26407"/>
    <cellStyle name="Normal 33 25 4 2" xfId="26408"/>
    <cellStyle name="Normal 33 25 4 2 2" xfId="26409"/>
    <cellStyle name="Normal 33 25 4 2 2 2" xfId="26410"/>
    <cellStyle name="Normal 33 25 4 2 2 2 2" xfId="26411"/>
    <cellStyle name="Normal 33 25 4 2 2 3" xfId="26412"/>
    <cellStyle name="Normal 33 25 4 2 3" xfId="26413"/>
    <cellStyle name="Normal 33 25 4 2 3 2" xfId="26414"/>
    <cellStyle name="Normal 33 25 4 2 4" xfId="26415"/>
    <cellStyle name="Normal 33 25 4 3" xfId="26416"/>
    <cellStyle name="Normal 33 25 4 3 2" xfId="26417"/>
    <cellStyle name="Normal 33 25 4 3 2 2" xfId="26418"/>
    <cellStyle name="Normal 33 25 4 3 2 2 2" xfId="26419"/>
    <cellStyle name="Normal 33 25 4 3 2 3" xfId="26420"/>
    <cellStyle name="Normal 33 25 4 3 3" xfId="26421"/>
    <cellStyle name="Normal 33 25 4 3 3 2" xfId="26422"/>
    <cellStyle name="Normal 33 25 4 3 4" xfId="26423"/>
    <cellStyle name="Normal 33 25 4 4" xfId="26424"/>
    <cellStyle name="Normal 33 25 4 4 2" xfId="26425"/>
    <cellStyle name="Normal 33 25 4 4 2 2" xfId="26426"/>
    <cellStyle name="Normal 33 25 4 4 3" xfId="26427"/>
    <cellStyle name="Normal 33 25 4 5" xfId="26428"/>
    <cellStyle name="Normal 33 25 4 5 2" xfId="26429"/>
    <cellStyle name="Normal 33 25 4 6" xfId="26430"/>
    <cellStyle name="Normal 33 25 5" xfId="26431"/>
    <cellStyle name="Normal 33 25 5 2" xfId="26432"/>
    <cellStyle name="Normal 33 25 5 2 2" xfId="26433"/>
    <cellStyle name="Normal 33 25 5 2 2 2" xfId="26434"/>
    <cellStyle name="Normal 33 25 5 2 2 2 2" xfId="26435"/>
    <cellStyle name="Normal 33 25 5 2 2 3" xfId="26436"/>
    <cellStyle name="Normal 33 25 5 2 3" xfId="26437"/>
    <cellStyle name="Normal 33 25 5 2 3 2" xfId="26438"/>
    <cellStyle name="Normal 33 25 5 2 4" xfId="26439"/>
    <cellStyle name="Normal 33 25 5 3" xfId="26440"/>
    <cellStyle name="Normal 33 25 5 3 2" xfId="26441"/>
    <cellStyle name="Normal 33 25 5 3 2 2" xfId="26442"/>
    <cellStyle name="Normal 33 25 5 3 2 2 2" xfId="26443"/>
    <cellStyle name="Normal 33 25 5 3 2 3" xfId="26444"/>
    <cellStyle name="Normal 33 25 5 3 3" xfId="26445"/>
    <cellStyle name="Normal 33 25 5 3 3 2" xfId="26446"/>
    <cellStyle name="Normal 33 25 5 3 4" xfId="26447"/>
    <cellStyle name="Normal 33 25 5 4" xfId="26448"/>
    <cellStyle name="Normal 33 25 5 4 2" xfId="26449"/>
    <cellStyle name="Normal 33 25 5 4 2 2" xfId="26450"/>
    <cellStyle name="Normal 33 25 5 4 3" xfId="26451"/>
    <cellStyle name="Normal 33 25 5 5" xfId="26452"/>
    <cellStyle name="Normal 33 25 5 5 2" xfId="26453"/>
    <cellStyle name="Normal 33 25 5 6" xfId="26454"/>
    <cellStyle name="Normal 33 25 6" xfId="26455"/>
    <cellStyle name="Normal 33 25 6 2" xfId="26456"/>
    <cellStyle name="Normal 33 25 6 2 2" xfId="26457"/>
    <cellStyle name="Normal 33 25 6 2 2 2" xfId="26458"/>
    <cellStyle name="Normal 33 25 6 2 2 2 2" xfId="26459"/>
    <cellStyle name="Normal 33 25 6 2 2 3" xfId="26460"/>
    <cellStyle name="Normal 33 25 6 2 3" xfId="26461"/>
    <cellStyle name="Normal 33 25 6 2 3 2" xfId="26462"/>
    <cellStyle name="Normal 33 25 6 2 4" xfId="26463"/>
    <cellStyle name="Normal 33 25 6 3" xfId="26464"/>
    <cellStyle name="Normal 33 25 6 3 2" xfId="26465"/>
    <cellStyle name="Normal 33 25 6 3 2 2" xfId="26466"/>
    <cellStyle name="Normal 33 25 6 3 2 2 2" xfId="26467"/>
    <cellStyle name="Normal 33 25 6 3 2 3" xfId="26468"/>
    <cellStyle name="Normal 33 25 6 3 3" xfId="26469"/>
    <cellStyle name="Normal 33 25 6 3 3 2" xfId="26470"/>
    <cellStyle name="Normal 33 25 6 3 4" xfId="26471"/>
    <cellStyle name="Normal 33 25 6 4" xfId="26472"/>
    <cellStyle name="Normal 33 25 6 4 2" xfId="26473"/>
    <cellStyle name="Normal 33 25 6 4 2 2" xfId="26474"/>
    <cellStyle name="Normal 33 25 6 4 3" xfId="26475"/>
    <cellStyle name="Normal 33 25 6 5" xfId="26476"/>
    <cellStyle name="Normal 33 25 6 5 2" xfId="26477"/>
    <cellStyle name="Normal 33 25 6 6" xfId="26478"/>
    <cellStyle name="Normal 33 25 7" xfId="26479"/>
    <cellStyle name="Normal 33 25 7 2" xfId="26480"/>
    <cellStyle name="Normal 33 25 7 2 2" xfId="26481"/>
    <cellStyle name="Normal 33 25 7 2 2 2" xfId="26482"/>
    <cellStyle name="Normal 33 25 7 2 2 2 2" xfId="26483"/>
    <cellStyle name="Normal 33 25 7 2 2 3" xfId="26484"/>
    <cellStyle name="Normal 33 25 7 2 3" xfId="26485"/>
    <cellStyle name="Normal 33 25 7 2 3 2" xfId="26486"/>
    <cellStyle name="Normal 33 25 7 2 4" xfId="26487"/>
    <cellStyle name="Normal 33 25 7 3" xfId="26488"/>
    <cellStyle name="Normal 33 25 7 3 2" xfId="26489"/>
    <cellStyle name="Normal 33 25 7 3 2 2" xfId="26490"/>
    <cellStyle name="Normal 33 25 7 3 2 2 2" xfId="26491"/>
    <cellStyle name="Normal 33 25 7 3 2 3" xfId="26492"/>
    <cellStyle name="Normal 33 25 7 3 3" xfId="26493"/>
    <cellStyle name="Normal 33 25 7 3 3 2" xfId="26494"/>
    <cellStyle name="Normal 33 25 7 3 4" xfId="26495"/>
    <cellStyle name="Normal 33 25 7 4" xfId="26496"/>
    <cellStyle name="Normal 33 25 7 4 2" xfId="26497"/>
    <cellStyle name="Normal 33 25 7 4 2 2" xfId="26498"/>
    <cellStyle name="Normal 33 25 7 4 3" xfId="26499"/>
    <cellStyle name="Normal 33 25 7 5" xfId="26500"/>
    <cellStyle name="Normal 33 25 7 5 2" xfId="26501"/>
    <cellStyle name="Normal 33 25 7 6" xfId="26502"/>
    <cellStyle name="Normal 33 25 8" xfId="26503"/>
    <cellStyle name="Normal 33 25 8 2" xfId="26504"/>
    <cellStyle name="Normal 33 25 8 2 2" xfId="26505"/>
    <cellStyle name="Normal 33 25 8 2 2 2" xfId="26506"/>
    <cellStyle name="Normal 33 25 8 2 2 2 2" xfId="26507"/>
    <cellStyle name="Normal 33 25 8 2 2 3" xfId="26508"/>
    <cellStyle name="Normal 33 25 8 2 3" xfId="26509"/>
    <cellStyle name="Normal 33 25 8 2 3 2" xfId="26510"/>
    <cellStyle name="Normal 33 25 8 2 4" xfId="26511"/>
    <cellStyle name="Normal 33 25 8 3" xfId="26512"/>
    <cellStyle name="Normal 33 25 8 3 2" xfId="26513"/>
    <cellStyle name="Normal 33 25 8 3 2 2" xfId="26514"/>
    <cellStyle name="Normal 33 25 8 3 2 2 2" xfId="26515"/>
    <cellStyle name="Normal 33 25 8 3 2 3" xfId="26516"/>
    <cellStyle name="Normal 33 25 8 3 3" xfId="26517"/>
    <cellStyle name="Normal 33 25 8 3 3 2" xfId="26518"/>
    <cellStyle name="Normal 33 25 8 3 4" xfId="26519"/>
    <cellStyle name="Normal 33 25 8 4" xfId="26520"/>
    <cellStyle name="Normal 33 25 8 4 2" xfId="26521"/>
    <cellStyle name="Normal 33 25 8 4 2 2" xfId="26522"/>
    <cellStyle name="Normal 33 25 8 4 3" xfId="26523"/>
    <cellStyle name="Normal 33 25 8 5" xfId="26524"/>
    <cellStyle name="Normal 33 25 8 5 2" xfId="26525"/>
    <cellStyle name="Normal 33 25 8 6" xfId="26526"/>
    <cellStyle name="Normal 33 25 9" xfId="26527"/>
    <cellStyle name="Normal 33 25 9 2" xfId="26528"/>
    <cellStyle name="Normal 33 25 9 2 2" xfId="26529"/>
    <cellStyle name="Normal 33 25 9 2 2 2" xfId="26530"/>
    <cellStyle name="Normal 33 25 9 2 2 2 2" xfId="26531"/>
    <cellStyle name="Normal 33 25 9 2 2 3" xfId="26532"/>
    <cellStyle name="Normal 33 25 9 2 3" xfId="26533"/>
    <cellStyle name="Normal 33 25 9 2 3 2" xfId="26534"/>
    <cellStyle name="Normal 33 25 9 2 4" xfId="26535"/>
    <cellStyle name="Normal 33 25 9 3" xfId="26536"/>
    <cellStyle name="Normal 33 25 9 3 2" xfId="26537"/>
    <cellStyle name="Normal 33 25 9 3 2 2" xfId="26538"/>
    <cellStyle name="Normal 33 25 9 3 2 2 2" xfId="26539"/>
    <cellStyle name="Normal 33 25 9 3 2 3" xfId="26540"/>
    <cellStyle name="Normal 33 25 9 3 3" xfId="26541"/>
    <cellStyle name="Normal 33 25 9 3 3 2" xfId="26542"/>
    <cellStyle name="Normal 33 25 9 3 4" xfId="26543"/>
    <cellStyle name="Normal 33 25 9 4" xfId="26544"/>
    <cellStyle name="Normal 33 25 9 4 2" xfId="26545"/>
    <cellStyle name="Normal 33 25 9 4 2 2" xfId="26546"/>
    <cellStyle name="Normal 33 25 9 4 3" xfId="26547"/>
    <cellStyle name="Normal 33 25 9 5" xfId="26548"/>
    <cellStyle name="Normal 33 25 9 5 2" xfId="26549"/>
    <cellStyle name="Normal 33 25 9 6" xfId="26550"/>
    <cellStyle name="Normal 33 26" xfId="26551"/>
    <cellStyle name="Normal 33 26 10" xfId="26552"/>
    <cellStyle name="Normal 33 26 10 2" xfId="26553"/>
    <cellStyle name="Normal 33 26 10 2 2" xfId="26554"/>
    <cellStyle name="Normal 33 26 10 2 2 2" xfId="26555"/>
    <cellStyle name="Normal 33 26 10 2 2 2 2" xfId="26556"/>
    <cellStyle name="Normal 33 26 10 2 2 3" xfId="26557"/>
    <cellStyle name="Normal 33 26 10 2 3" xfId="26558"/>
    <cellStyle name="Normal 33 26 10 2 3 2" xfId="26559"/>
    <cellStyle name="Normal 33 26 10 2 4" xfId="26560"/>
    <cellStyle name="Normal 33 26 10 3" xfId="26561"/>
    <cellStyle name="Normal 33 26 10 3 2" xfId="26562"/>
    <cellStyle name="Normal 33 26 10 3 2 2" xfId="26563"/>
    <cellStyle name="Normal 33 26 10 3 2 2 2" xfId="26564"/>
    <cellStyle name="Normal 33 26 10 3 2 3" xfId="26565"/>
    <cellStyle name="Normal 33 26 10 3 3" xfId="26566"/>
    <cellStyle name="Normal 33 26 10 3 3 2" xfId="26567"/>
    <cellStyle name="Normal 33 26 10 3 4" xfId="26568"/>
    <cellStyle name="Normal 33 26 10 4" xfId="26569"/>
    <cellStyle name="Normal 33 26 10 4 2" xfId="26570"/>
    <cellStyle name="Normal 33 26 10 4 2 2" xfId="26571"/>
    <cellStyle name="Normal 33 26 10 4 3" xfId="26572"/>
    <cellStyle name="Normal 33 26 10 5" xfId="26573"/>
    <cellStyle name="Normal 33 26 10 5 2" xfId="26574"/>
    <cellStyle name="Normal 33 26 10 6" xfId="26575"/>
    <cellStyle name="Normal 33 26 11" xfId="26576"/>
    <cellStyle name="Normal 33 26 11 2" xfId="26577"/>
    <cellStyle name="Normal 33 26 11 2 2" xfId="26578"/>
    <cellStyle name="Normal 33 26 11 2 2 2" xfId="26579"/>
    <cellStyle name="Normal 33 26 11 2 2 2 2" xfId="26580"/>
    <cellStyle name="Normal 33 26 11 2 2 3" xfId="26581"/>
    <cellStyle name="Normal 33 26 11 2 3" xfId="26582"/>
    <cellStyle name="Normal 33 26 11 2 3 2" xfId="26583"/>
    <cellStyle name="Normal 33 26 11 2 4" xfId="26584"/>
    <cellStyle name="Normal 33 26 11 3" xfId="26585"/>
    <cellStyle name="Normal 33 26 11 3 2" xfId="26586"/>
    <cellStyle name="Normal 33 26 11 3 2 2" xfId="26587"/>
    <cellStyle name="Normal 33 26 11 3 2 2 2" xfId="26588"/>
    <cellStyle name="Normal 33 26 11 3 2 3" xfId="26589"/>
    <cellStyle name="Normal 33 26 11 3 3" xfId="26590"/>
    <cellStyle name="Normal 33 26 11 3 3 2" xfId="26591"/>
    <cellStyle name="Normal 33 26 11 3 4" xfId="26592"/>
    <cellStyle name="Normal 33 26 11 4" xfId="26593"/>
    <cellStyle name="Normal 33 26 11 4 2" xfId="26594"/>
    <cellStyle name="Normal 33 26 11 4 2 2" xfId="26595"/>
    <cellStyle name="Normal 33 26 11 4 3" xfId="26596"/>
    <cellStyle name="Normal 33 26 11 5" xfId="26597"/>
    <cellStyle name="Normal 33 26 11 5 2" xfId="26598"/>
    <cellStyle name="Normal 33 26 11 6" xfId="26599"/>
    <cellStyle name="Normal 33 26 12" xfId="26600"/>
    <cellStyle name="Normal 33 26 12 2" xfId="26601"/>
    <cellStyle name="Normal 33 26 12 2 2" xfId="26602"/>
    <cellStyle name="Normal 33 26 12 2 2 2" xfId="26603"/>
    <cellStyle name="Normal 33 26 12 2 2 2 2" xfId="26604"/>
    <cellStyle name="Normal 33 26 12 2 2 3" xfId="26605"/>
    <cellStyle name="Normal 33 26 12 2 3" xfId="26606"/>
    <cellStyle name="Normal 33 26 12 2 3 2" xfId="26607"/>
    <cellStyle name="Normal 33 26 12 2 4" xfId="26608"/>
    <cellStyle name="Normal 33 26 12 3" xfId="26609"/>
    <cellStyle name="Normal 33 26 12 3 2" xfId="26610"/>
    <cellStyle name="Normal 33 26 12 3 2 2" xfId="26611"/>
    <cellStyle name="Normal 33 26 12 3 2 2 2" xfId="26612"/>
    <cellStyle name="Normal 33 26 12 3 2 3" xfId="26613"/>
    <cellStyle name="Normal 33 26 12 3 3" xfId="26614"/>
    <cellStyle name="Normal 33 26 12 3 3 2" xfId="26615"/>
    <cellStyle name="Normal 33 26 12 3 4" xfId="26616"/>
    <cellStyle name="Normal 33 26 12 4" xfId="26617"/>
    <cellStyle name="Normal 33 26 12 4 2" xfId="26618"/>
    <cellStyle name="Normal 33 26 12 4 2 2" xfId="26619"/>
    <cellStyle name="Normal 33 26 12 4 3" xfId="26620"/>
    <cellStyle name="Normal 33 26 12 5" xfId="26621"/>
    <cellStyle name="Normal 33 26 12 5 2" xfId="26622"/>
    <cellStyle name="Normal 33 26 12 6" xfId="26623"/>
    <cellStyle name="Normal 33 26 13" xfId="26624"/>
    <cellStyle name="Normal 33 26 13 2" xfId="26625"/>
    <cellStyle name="Normal 33 26 13 2 2" xfId="26626"/>
    <cellStyle name="Normal 33 26 13 2 2 2" xfId="26627"/>
    <cellStyle name="Normal 33 26 13 2 2 2 2" xfId="26628"/>
    <cellStyle name="Normal 33 26 13 2 2 3" xfId="26629"/>
    <cellStyle name="Normal 33 26 13 2 3" xfId="26630"/>
    <cellStyle name="Normal 33 26 13 2 3 2" xfId="26631"/>
    <cellStyle name="Normal 33 26 13 2 4" xfId="26632"/>
    <cellStyle name="Normal 33 26 13 3" xfId="26633"/>
    <cellStyle name="Normal 33 26 13 3 2" xfId="26634"/>
    <cellStyle name="Normal 33 26 13 3 2 2" xfId="26635"/>
    <cellStyle name="Normal 33 26 13 3 2 2 2" xfId="26636"/>
    <cellStyle name="Normal 33 26 13 3 2 3" xfId="26637"/>
    <cellStyle name="Normal 33 26 13 3 3" xfId="26638"/>
    <cellStyle name="Normal 33 26 13 3 3 2" xfId="26639"/>
    <cellStyle name="Normal 33 26 13 3 4" xfId="26640"/>
    <cellStyle name="Normal 33 26 13 4" xfId="26641"/>
    <cellStyle name="Normal 33 26 13 4 2" xfId="26642"/>
    <cellStyle name="Normal 33 26 13 4 2 2" xfId="26643"/>
    <cellStyle name="Normal 33 26 13 4 3" xfId="26644"/>
    <cellStyle name="Normal 33 26 13 5" xfId="26645"/>
    <cellStyle name="Normal 33 26 13 5 2" xfId="26646"/>
    <cellStyle name="Normal 33 26 13 6" xfId="26647"/>
    <cellStyle name="Normal 33 26 14" xfId="26648"/>
    <cellStyle name="Normal 33 26 14 2" xfId="26649"/>
    <cellStyle name="Normal 33 26 14 2 2" xfId="26650"/>
    <cellStyle name="Normal 33 26 14 2 2 2" xfId="26651"/>
    <cellStyle name="Normal 33 26 14 2 3" xfId="26652"/>
    <cellStyle name="Normal 33 26 14 3" xfId="26653"/>
    <cellStyle name="Normal 33 26 14 3 2" xfId="26654"/>
    <cellStyle name="Normal 33 26 14 4" xfId="26655"/>
    <cellStyle name="Normal 33 26 15" xfId="26656"/>
    <cellStyle name="Normal 33 26 15 2" xfId="26657"/>
    <cellStyle name="Normal 33 26 15 2 2" xfId="26658"/>
    <cellStyle name="Normal 33 26 15 2 2 2" xfId="26659"/>
    <cellStyle name="Normal 33 26 15 2 3" xfId="26660"/>
    <cellStyle name="Normal 33 26 15 3" xfId="26661"/>
    <cellStyle name="Normal 33 26 15 3 2" xfId="26662"/>
    <cellStyle name="Normal 33 26 15 4" xfId="26663"/>
    <cellStyle name="Normal 33 26 16" xfId="26664"/>
    <cellStyle name="Normal 33 26 16 2" xfId="26665"/>
    <cellStyle name="Normal 33 26 16 2 2" xfId="26666"/>
    <cellStyle name="Normal 33 26 16 3" xfId="26667"/>
    <cellStyle name="Normal 33 26 17" xfId="26668"/>
    <cellStyle name="Normal 33 26 17 2" xfId="26669"/>
    <cellStyle name="Normal 33 26 18" xfId="26670"/>
    <cellStyle name="Normal 33 26 2" xfId="26671"/>
    <cellStyle name="Normal 33 26 2 2" xfId="26672"/>
    <cellStyle name="Normal 33 26 2 2 2" xfId="26673"/>
    <cellStyle name="Normal 33 26 2 2 2 2" xfId="26674"/>
    <cellStyle name="Normal 33 26 2 2 2 2 2" xfId="26675"/>
    <cellStyle name="Normal 33 26 2 2 2 3" xfId="26676"/>
    <cellStyle name="Normal 33 26 2 2 3" xfId="26677"/>
    <cellStyle name="Normal 33 26 2 2 3 2" xfId="26678"/>
    <cellStyle name="Normal 33 26 2 2 4" xfId="26679"/>
    <cellStyle name="Normal 33 26 2 3" xfId="26680"/>
    <cellStyle name="Normal 33 26 2 3 2" xfId="26681"/>
    <cellStyle name="Normal 33 26 2 3 2 2" xfId="26682"/>
    <cellStyle name="Normal 33 26 2 3 2 2 2" xfId="26683"/>
    <cellStyle name="Normal 33 26 2 3 2 3" xfId="26684"/>
    <cellStyle name="Normal 33 26 2 3 3" xfId="26685"/>
    <cellStyle name="Normal 33 26 2 3 3 2" xfId="26686"/>
    <cellStyle name="Normal 33 26 2 3 4" xfId="26687"/>
    <cellStyle name="Normal 33 26 2 4" xfId="26688"/>
    <cellStyle name="Normal 33 26 2 4 2" xfId="26689"/>
    <cellStyle name="Normal 33 26 2 4 2 2" xfId="26690"/>
    <cellStyle name="Normal 33 26 2 4 3" xfId="26691"/>
    <cellStyle name="Normal 33 26 2 5" xfId="26692"/>
    <cellStyle name="Normal 33 26 2 5 2" xfId="26693"/>
    <cellStyle name="Normal 33 26 2 6" xfId="26694"/>
    <cellStyle name="Normal 33 26 3" xfId="26695"/>
    <cellStyle name="Normal 33 26 3 2" xfId="26696"/>
    <cellStyle name="Normal 33 26 3 2 2" xfId="26697"/>
    <cellStyle name="Normal 33 26 3 2 2 2" xfId="26698"/>
    <cellStyle name="Normal 33 26 3 2 2 2 2" xfId="26699"/>
    <cellStyle name="Normal 33 26 3 2 2 3" xfId="26700"/>
    <cellStyle name="Normal 33 26 3 2 3" xfId="26701"/>
    <cellStyle name="Normal 33 26 3 2 3 2" xfId="26702"/>
    <cellStyle name="Normal 33 26 3 2 4" xfId="26703"/>
    <cellStyle name="Normal 33 26 3 3" xfId="26704"/>
    <cellStyle name="Normal 33 26 3 3 2" xfId="26705"/>
    <cellStyle name="Normal 33 26 3 3 2 2" xfId="26706"/>
    <cellStyle name="Normal 33 26 3 3 2 2 2" xfId="26707"/>
    <cellStyle name="Normal 33 26 3 3 2 3" xfId="26708"/>
    <cellStyle name="Normal 33 26 3 3 3" xfId="26709"/>
    <cellStyle name="Normal 33 26 3 3 3 2" xfId="26710"/>
    <cellStyle name="Normal 33 26 3 3 4" xfId="26711"/>
    <cellStyle name="Normal 33 26 3 4" xfId="26712"/>
    <cellStyle name="Normal 33 26 3 4 2" xfId="26713"/>
    <cellStyle name="Normal 33 26 3 4 2 2" xfId="26714"/>
    <cellStyle name="Normal 33 26 3 4 3" xfId="26715"/>
    <cellStyle name="Normal 33 26 3 5" xfId="26716"/>
    <cellStyle name="Normal 33 26 3 5 2" xfId="26717"/>
    <cellStyle name="Normal 33 26 3 6" xfId="26718"/>
    <cellStyle name="Normal 33 26 4" xfId="26719"/>
    <cellStyle name="Normal 33 26 4 2" xfId="26720"/>
    <cellStyle name="Normal 33 26 4 2 2" xfId="26721"/>
    <cellStyle name="Normal 33 26 4 2 2 2" xfId="26722"/>
    <cellStyle name="Normal 33 26 4 2 2 2 2" xfId="26723"/>
    <cellStyle name="Normal 33 26 4 2 2 3" xfId="26724"/>
    <cellStyle name="Normal 33 26 4 2 3" xfId="26725"/>
    <cellStyle name="Normal 33 26 4 2 3 2" xfId="26726"/>
    <cellStyle name="Normal 33 26 4 2 4" xfId="26727"/>
    <cellStyle name="Normal 33 26 4 3" xfId="26728"/>
    <cellStyle name="Normal 33 26 4 3 2" xfId="26729"/>
    <cellStyle name="Normal 33 26 4 3 2 2" xfId="26730"/>
    <cellStyle name="Normal 33 26 4 3 2 2 2" xfId="26731"/>
    <cellStyle name="Normal 33 26 4 3 2 3" xfId="26732"/>
    <cellStyle name="Normal 33 26 4 3 3" xfId="26733"/>
    <cellStyle name="Normal 33 26 4 3 3 2" xfId="26734"/>
    <cellStyle name="Normal 33 26 4 3 4" xfId="26735"/>
    <cellStyle name="Normal 33 26 4 4" xfId="26736"/>
    <cellStyle name="Normal 33 26 4 4 2" xfId="26737"/>
    <cellStyle name="Normal 33 26 4 4 2 2" xfId="26738"/>
    <cellStyle name="Normal 33 26 4 4 3" xfId="26739"/>
    <cellStyle name="Normal 33 26 4 5" xfId="26740"/>
    <cellStyle name="Normal 33 26 4 5 2" xfId="26741"/>
    <cellStyle name="Normal 33 26 4 6" xfId="26742"/>
    <cellStyle name="Normal 33 26 5" xfId="26743"/>
    <cellStyle name="Normal 33 26 5 2" xfId="26744"/>
    <cellStyle name="Normal 33 26 5 2 2" xfId="26745"/>
    <cellStyle name="Normal 33 26 5 2 2 2" xfId="26746"/>
    <cellStyle name="Normal 33 26 5 2 2 2 2" xfId="26747"/>
    <cellStyle name="Normal 33 26 5 2 2 3" xfId="26748"/>
    <cellStyle name="Normal 33 26 5 2 3" xfId="26749"/>
    <cellStyle name="Normal 33 26 5 2 3 2" xfId="26750"/>
    <cellStyle name="Normal 33 26 5 2 4" xfId="26751"/>
    <cellStyle name="Normal 33 26 5 3" xfId="26752"/>
    <cellStyle name="Normal 33 26 5 3 2" xfId="26753"/>
    <cellStyle name="Normal 33 26 5 3 2 2" xfId="26754"/>
    <cellStyle name="Normal 33 26 5 3 2 2 2" xfId="26755"/>
    <cellStyle name="Normal 33 26 5 3 2 3" xfId="26756"/>
    <cellStyle name="Normal 33 26 5 3 3" xfId="26757"/>
    <cellStyle name="Normal 33 26 5 3 3 2" xfId="26758"/>
    <cellStyle name="Normal 33 26 5 3 4" xfId="26759"/>
    <cellStyle name="Normal 33 26 5 4" xfId="26760"/>
    <cellStyle name="Normal 33 26 5 4 2" xfId="26761"/>
    <cellStyle name="Normal 33 26 5 4 2 2" xfId="26762"/>
    <cellStyle name="Normal 33 26 5 4 3" xfId="26763"/>
    <cellStyle name="Normal 33 26 5 5" xfId="26764"/>
    <cellStyle name="Normal 33 26 5 5 2" xfId="26765"/>
    <cellStyle name="Normal 33 26 5 6" xfId="26766"/>
    <cellStyle name="Normal 33 26 6" xfId="26767"/>
    <cellStyle name="Normal 33 26 6 2" xfId="26768"/>
    <cellStyle name="Normal 33 26 6 2 2" xfId="26769"/>
    <cellStyle name="Normal 33 26 6 2 2 2" xfId="26770"/>
    <cellStyle name="Normal 33 26 6 2 2 2 2" xfId="26771"/>
    <cellStyle name="Normal 33 26 6 2 2 3" xfId="26772"/>
    <cellStyle name="Normal 33 26 6 2 3" xfId="26773"/>
    <cellStyle name="Normal 33 26 6 2 3 2" xfId="26774"/>
    <cellStyle name="Normal 33 26 6 2 4" xfId="26775"/>
    <cellStyle name="Normal 33 26 6 3" xfId="26776"/>
    <cellStyle name="Normal 33 26 6 3 2" xfId="26777"/>
    <cellStyle name="Normal 33 26 6 3 2 2" xfId="26778"/>
    <cellStyle name="Normal 33 26 6 3 2 2 2" xfId="26779"/>
    <cellStyle name="Normal 33 26 6 3 2 3" xfId="26780"/>
    <cellStyle name="Normal 33 26 6 3 3" xfId="26781"/>
    <cellStyle name="Normal 33 26 6 3 3 2" xfId="26782"/>
    <cellStyle name="Normal 33 26 6 3 4" xfId="26783"/>
    <cellStyle name="Normal 33 26 6 4" xfId="26784"/>
    <cellStyle name="Normal 33 26 6 4 2" xfId="26785"/>
    <cellStyle name="Normal 33 26 6 4 2 2" xfId="26786"/>
    <cellStyle name="Normal 33 26 6 4 3" xfId="26787"/>
    <cellStyle name="Normal 33 26 6 5" xfId="26788"/>
    <cellStyle name="Normal 33 26 6 5 2" xfId="26789"/>
    <cellStyle name="Normal 33 26 6 6" xfId="26790"/>
    <cellStyle name="Normal 33 26 7" xfId="26791"/>
    <cellStyle name="Normal 33 26 7 2" xfId="26792"/>
    <cellStyle name="Normal 33 26 7 2 2" xfId="26793"/>
    <cellStyle name="Normal 33 26 7 2 2 2" xfId="26794"/>
    <cellStyle name="Normal 33 26 7 2 2 2 2" xfId="26795"/>
    <cellStyle name="Normal 33 26 7 2 2 3" xfId="26796"/>
    <cellStyle name="Normal 33 26 7 2 3" xfId="26797"/>
    <cellStyle name="Normal 33 26 7 2 3 2" xfId="26798"/>
    <cellStyle name="Normal 33 26 7 2 4" xfId="26799"/>
    <cellStyle name="Normal 33 26 7 3" xfId="26800"/>
    <cellStyle name="Normal 33 26 7 3 2" xfId="26801"/>
    <cellStyle name="Normal 33 26 7 3 2 2" xfId="26802"/>
    <cellStyle name="Normal 33 26 7 3 2 2 2" xfId="26803"/>
    <cellStyle name="Normal 33 26 7 3 2 3" xfId="26804"/>
    <cellStyle name="Normal 33 26 7 3 3" xfId="26805"/>
    <cellStyle name="Normal 33 26 7 3 3 2" xfId="26806"/>
    <cellStyle name="Normal 33 26 7 3 4" xfId="26807"/>
    <cellStyle name="Normal 33 26 7 4" xfId="26808"/>
    <cellStyle name="Normal 33 26 7 4 2" xfId="26809"/>
    <cellStyle name="Normal 33 26 7 4 2 2" xfId="26810"/>
    <cellStyle name="Normal 33 26 7 4 3" xfId="26811"/>
    <cellStyle name="Normal 33 26 7 5" xfId="26812"/>
    <cellStyle name="Normal 33 26 7 5 2" xfId="26813"/>
    <cellStyle name="Normal 33 26 7 6" xfId="26814"/>
    <cellStyle name="Normal 33 26 8" xfId="26815"/>
    <cellStyle name="Normal 33 26 8 2" xfId="26816"/>
    <cellStyle name="Normal 33 26 8 2 2" xfId="26817"/>
    <cellStyle name="Normal 33 26 8 2 2 2" xfId="26818"/>
    <cellStyle name="Normal 33 26 8 2 2 2 2" xfId="26819"/>
    <cellStyle name="Normal 33 26 8 2 2 3" xfId="26820"/>
    <cellStyle name="Normal 33 26 8 2 3" xfId="26821"/>
    <cellStyle name="Normal 33 26 8 2 3 2" xfId="26822"/>
    <cellStyle name="Normal 33 26 8 2 4" xfId="26823"/>
    <cellStyle name="Normal 33 26 8 3" xfId="26824"/>
    <cellStyle name="Normal 33 26 8 3 2" xfId="26825"/>
    <cellStyle name="Normal 33 26 8 3 2 2" xfId="26826"/>
    <cellStyle name="Normal 33 26 8 3 2 2 2" xfId="26827"/>
    <cellStyle name="Normal 33 26 8 3 2 3" xfId="26828"/>
    <cellStyle name="Normal 33 26 8 3 3" xfId="26829"/>
    <cellStyle name="Normal 33 26 8 3 3 2" xfId="26830"/>
    <cellStyle name="Normal 33 26 8 3 4" xfId="26831"/>
    <cellStyle name="Normal 33 26 8 4" xfId="26832"/>
    <cellStyle name="Normal 33 26 8 4 2" xfId="26833"/>
    <cellStyle name="Normal 33 26 8 4 2 2" xfId="26834"/>
    <cellStyle name="Normal 33 26 8 4 3" xfId="26835"/>
    <cellStyle name="Normal 33 26 8 5" xfId="26836"/>
    <cellStyle name="Normal 33 26 8 5 2" xfId="26837"/>
    <cellStyle name="Normal 33 26 8 6" xfId="26838"/>
    <cellStyle name="Normal 33 26 9" xfId="26839"/>
    <cellStyle name="Normal 33 26 9 2" xfId="26840"/>
    <cellStyle name="Normal 33 26 9 2 2" xfId="26841"/>
    <cellStyle name="Normal 33 26 9 2 2 2" xfId="26842"/>
    <cellStyle name="Normal 33 26 9 2 2 2 2" xfId="26843"/>
    <cellStyle name="Normal 33 26 9 2 2 3" xfId="26844"/>
    <cellStyle name="Normal 33 26 9 2 3" xfId="26845"/>
    <cellStyle name="Normal 33 26 9 2 3 2" xfId="26846"/>
    <cellStyle name="Normal 33 26 9 2 4" xfId="26847"/>
    <cellStyle name="Normal 33 26 9 3" xfId="26848"/>
    <cellStyle name="Normal 33 26 9 3 2" xfId="26849"/>
    <cellStyle name="Normal 33 26 9 3 2 2" xfId="26850"/>
    <cellStyle name="Normal 33 26 9 3 2 2 2" xfId="26851"/>
    <cellStyle name="Normal 33 26 9 3 2 3" xfId="26852"/>
    <cellStyle name="Normal 33 26 9 3 3" xfId="26853"/>
    <cellStyle name="Normal 33 26 9 3 3 2" xfId="26854"/>
    <cellStyle name="Normal 33 26 9 3 4" xfId="26855"/>
    <cellStyle name="Normal 33 26 9 4" xfId="26856"/>
    <cellStyle name="Normal 33 26 9 4 2" xfId="26857"/>
    <cellStyle name="Normal 33 26 9 4 2 2" xfId="26858"/>
    <cellStyle name="Normal 33 26 9 4 3" xfId="26859"/>
    <cellStyle name="Normal 33 26 9 5" xfId="26860"/>
    <cellStyle name="Normal 33 26 9 5 2" xfId="26861"/>
    <cellStyle name="Normal 33 26 9 6" xfId="26862"/>
    <cellStyle name="Normal 33 27" xfId="26863"/>
    <cellStyle name="Normal 33 27 10" xfId="26864"/>
    <cellStyle name="Normal 33 27 10 2" xfId="26865"/>
    <cellStyle name="Normal 33 27 10 2 2" xfId="26866"/>
    <cellStyle name="Normal 33 27 10 2 2 2" xfId="26867"/>
    <cellStyle name="Normal 33 27 10 2 2 2 2" xfId="26868"/>
    <cellStyle name="Normal 33 27 10 2 2 3" xfId="26869"/>
    <cellStyle name="Normal 33 27 10 2 3" xfId="26870"/>
    <cellStyle name="Normal 33 27 10 2 3 2" xfId="26871"/>
    <cellStyle name="Normal 33 27 10 2 4" xfId="26872"/>
    <cellStyle name="Normal 33 27 10 3" xfId="26873"/>
    <cellStyle name="Normal 33 27 10 3 2" xfId="26874"/>
    <cellStyle name="Normal 33 27 10 3 2 2" xfId="26875"/>
    <cellStyle name="Normal 33 27 10 3 2 2 2" xfId="26876"/>
    <cellStyle name="Normal 33 27 10 3 2 3" xfId="26877"/>
    <cellStyle name="Normal 33 27 10 3 3" xfId="26878"/>
    <cellStyle name="Normal 33 27 10 3 3 2" xfId="26879"/>
    <cellStyle name="Normal 33 27 10 3 4" xfId="26880"/>
    <cellStyle name="Normal 33 27 10 4" xfId="26881"/>
    <cellStyle name="Normal 33 27 10 4 2" xfId="26882"/>
    <cellStyle name="Normal 33 27 10 4 2 2" xfId="26883"/>
    <cellStyle name="Normal 33 27 10 4 3" xfId="26884"/>
    <cellStyle name="Normal 33 27 10 5" xfId="26885"/>
    <cellStyle name="Normal 33 27 10 5 2" xfId="26886"/>
    <cellStyle name="Normal 33 27 10 6" xfId="26887"/>
    <cellStyle name="Normal 33 27 11" xfId="26888"/>
    <cellStyle name="Normal 33 27 11 2" xfId="26889"/>
    <cellStyle name="Normal 33 27 11 2 2" xfId="26890"/>
    <cellStyle name="Normal 33 27 11 2 2 2" xfId="26891"/>
    <cellStyle name="Normal 33 27 11 2 2 2 2" xfId="26892"/>
    <cellStyle name="Normal 33 27 11 2 2 3" xfId="26893"/>
    <cellStyle name="Normal 33 27 11 2 3" xfId="26894"/>
    <cellStyle name="Normal 33 27 11 2 3 2" xfId="26895"/>
    <cellStyle name="Normal 33 27 11 2 4" xfId="26896"/>
    <cellStyle name="Normal 33 27 11 3" xfId="26897"/>
    <cellStyle name="Normal 33 27 11 3 2" xfId="26898"/>
    <cellStyle name="Normal 33 27 11 3 2 2" xfId="26899"/>
    <cellStyle name="Normal 33 27 11 3 2 2 2" xfId="26900"/>
    <cellStyle name="Normal 33 27 11 3 2 3" xfId="26901"/>
    <cellStyle name="Normal 33 27 11 3 3" xfId="26902"/>
    <cellStyle name="Normal 33 27 11 3 3 2" xfId="26903"/>
    <cellStyle name="Normal 33 27 11 3 4" xfId="26904"/>
    <cellStyle name="Normal 33 27 11 4" xfId="26905"/>
    <cellStyle name="Normal 33 27 11 4 2" xfId="26906"/>
    <cellStyle name="Normal 33 27 11 4 2 2" xfId="26907"/>
    <cellStyle name="Normal 33 27 11 4 3" xfId="26908"/>
    <cellStyle name="Normal 33 27 11 5" xfId="26909"/>
    <cellStyle name="Normal 33 27 11 5 2" xfId="26910"/>
    <cellStyle name="Normal 33 27 11 6" xfId="26911"/>
    <cellStyle name="Normal 33 27 12" xfId="26912"/>
    <cellStyle name="Normal 33 27 12 2" xfId="26913"/>
    <cellStyle name="Normal 33 27 12 2 2" xfId="26914"/>
    <cellStyle name="Normal 33 27 12 2 2 2" xfId="26915"/>
    <cellStyle name="Normal 33 27 12 2 2 2 2" xfId="26916"/>
    <cellStyle name="Normal 33 27 12 2 2 3" xfId="26917"/>
    <cellStyle name="Normal 33 27 12 2 3" xfId="26918"/>
    <cellStyle name="Normal 33 27 12 2 3 2" xfId="26919"/>
    <cellStyle name="Normal 33 27 12 2 4" xfId="26920"/>
    <cellStyle name="Normal 33 27 12 3" xfId="26921"/>
    <cellStyle name="Normal 33 27 12 3 2" xfId="26922"/>
    <cellStyle name="Normal 33 27 12 3 2 2" xfId="26923"/>
    <cellStyle name="Normal 33 27 12 3 2 2 2" xfId="26924"/>
    <cellStyle name="Normal 33 27 12 3 2 3" xfId="26925"/>
    <cellStyle name="Normal 33 27 12 3 3" xfId="26926"/>
    <cellStyle name="Normal 33 27 12 3 3 2" xfId="26927"/>
    <cellStyle name="Normal 33 27 12 3 4" xfId="26928"/>
    <cellStyle name="Normal 33 27 12 4" xfId="26929"/>
    <cellStyle name="Normal 33 27 12 4 2" xfId="26930"/>
    <cellStyle name="Normal 33 27 12 4 2 2" xfId="26931"/>
    <cellStyle name="Normal 33 27 12 4 3" xfId="26932"/>
    <cellStyle name="Normal 33 27 12 5" xfId="26933"/>
    <cellStyle name="Normal 33 27 12 5 2" xfId="26934"/>
    <cellStyle name="Normal 33 27 12 6" xfId="26935"/>
    <cellStyle name="Normal 33 27 13" xfId="26936"/>
    <cellStyle name="Normal 33 27 13 2" xfId="26937"/>
    <cellStyle name="Normal 33 27 13 2 2" xfId="26938"/>
    <cellStyle name="Normal 33 27 13 2 2 2" xfId="26939"/>
    <cellStyle name="Normal 33 27 13 2 2 2 2" xfId="26940"/>
    <cellStyle name="Normal 33 27 13 2 2 3" xfId="26941"/>
    <cellStyle name="Normal 33 27 13 2 3" xfId="26942"/>
    <cellStyle name="Normal 33 27 13 2 3 2" xfId="26943"/>
    <cellStyle name="Normal 33 27 13 2 4" xfId="26944"/>
    <cellStyle name="Normal 33 27 13 3" xfId="26945"/>
    <cellStyle name="Normal 33 27 13 3 2" xfId="26946"/>
    <cellStyle name="Normal 33 27 13 3 2 2" xfId="26947"/>
    <cellStyle name="Normal 33 27 13 3 2 2 2" xfId="26948"/>
    <cellStyle name="Normal 33 27 13 3 2 3" xfId="26949"/>
    <cellStyle name="Normal 33 27 13 3 3" xfId="26950"/>
    <cellStyle name="Normal 33 27 13 3 3 2" xfId="26951"/>
    <cellStyle name="Normal 33 27 13 3 4" xfId="26952"/>
    <cellStyle name="Normal 33 27 13 4" xfId="26953"/>
    <cellStyle name="Normal 33 27 13 4 2" xfId="26954"/>
    <cellStyle name="Normal 33 27 13 4 2 2" xfId="26955"/>
    <cellStyle name="Normal 33 27 13 4 3" xfId="26956"/>
    <cellStyle name="Normal 33 27 13 5" xfId="26957"/>
    <cellStyle name="Normal 33 27 13 5 2" xfId="26958"/>
    <cellStyle name="Normal 33 27 13 6" xfId="26959"/>
    <cellStyle name="Normal 33 27 14" xfId="26960"/>
    <cellStyle name="Normal 33 27 14 2" xfId="26961"/>
    <cellStyle name="Normal 33 27 14 2 2" xfId="26962"/>
    <cellStyle name="Normal 33 27 14 2 2 2" xfId="26963"/>
    <cellStyle name="Normal 33 27 14 2 3" xfId="26964"/>
    <cellStyle name="Normal 33 27 14 3" xfId="26965"/>
    <cellStyle name="Normal 33 27 14 3 2" xfId="26966"/>
    <cellStyle name="Normal 33 27 14 4" xfId="26967"/>
    <cellStyle name="Normal 33 27 15" xfId="26968"/>
    <cellStyle name="Normal 33 27 15 2" xfId="26969"/>
    <cellStyle name="Normal 33 27 15 2 2" xfId="26970"/>
    <cellStyle name="Normal 33 27 15 2 2 2" xfId="26971"/>
    <cellStyle name="Normal 33 27 15 2 3" xfId="26972"/>
    <cellStyle name="Normal 33 27 15 3" xfId="26973"/>
    <cellStyle name="Normal 33 27 15 3 2" xfId="26974"/>
    <cellStyle name="Normal 33 27 15 4" xfId="26975"/>
    <cellStyle name="Normal 33 27 16" xfId="26976"/>
    <cellStyle name="Normal 33 27 16 2" xfId="26977"/>
    <cellStyle name="Normal 33 27 16 2 2" xfId="26978"/>
    <cellStyle name="Normal 33 27 16 3" xfId="26979"/>
    <cellStyle name="Normal 33 27 17" xfId="26980"/>
    <cellStyle name="Normal 33 27 17 2" xfId="26981"/>
    <cellStyle name="Normal 33 27 18" xfId="26982"/>
    <cellStyle name="Normal 33 27 2" xfId="26983"/>
    <cellStyle name="Normal 33 27 2 2" xfId="26984"/>
    <cellStyle name="Normal 33 27 2 2 2" xfId="26985"/>
    <cellStyle name="Normal 33 27 2 2 2 2" xfId="26986"/>
    <cellStyle name="Normal 33 27 2 2 2 2 2" xfId="26987"/>
    <cellStyle name="Normal 33 27 2 2 2 3" xfId="26988"/>
    <cellStyle name="Normal 33 27 2 2 3" xfId="26989"/>
    <cellStyle name="Normal 33 27 2 2 3 2" xfId="26990"/>
    <cellStyle name="Normal 33 27 2 2 4" xfId="26991"/>
    <cellStyle name="Normal 33 27 2 3" xfId="26992"/>
    <cellStyle name="Normal 33 27 2 3 2" xfId="26993"/>
    <cellStyle name="Normal 33 27 2 3 2 2" xfId="26994"/>
    <cellStyle name="Normal 33 27 2 3 2 2 2" xfId="26995"/>
    <cellStyle name="Normal 33 27 2 3 2 3" xfId="26996"/>
    <cellStyle name="Normal 33 27 2 3 3" xfId="26997"/>
    <cellStyle name="Normal 33 27 2 3 3 2" xfId="26998"/>
    <cellStyle name="Normal 33 27 2 3 4" xfId="26999"/>
    <cellStyle name="Normal 33 27 2 4" xfId="27000"/>
    <cellStyle name="Normal 33 27 2 4 2" xfId="27001"/>
    <cellStyle name="Normal 33 27 2 4 2 2" xfId="27002"/>
    <cellStyle name="Normal 33 27 2 4 3" xfId="27003"/>
    <cellStyle name="Normal 33 27 2 5" xfId="27004"/>
    <cellStyle name="Normal 33 27 2 5 2" xfId="27005"/>
    <cellStyle name="Normal 33 27 2 6" xfId="27006"/>
    <cellStyle name="Normal 33 27 3" xfId="27007"/>
    <cellStyle name="Normal 33 27 3 2" xfId="27008"/>
    <cellStyle name="Normal 33 27 3 2 2" xfId="27009"/>
    <cellStyle name="Normal 33 27 3 2 2 2" xfId="27010"/>
    <cellStyle name="Normal 33 27 3 2 2 2 2" xfId="27011"/>
    <cellStyle name="Normal 33 27 3 2 2 3" xfId="27012"/>
    <cellStyle name="Normal 33 27 3 2 3" xfId="27013"/>
    <cellStyle name="Normal 33 27 3 2 3 2" xfId="27014"/>
    <cellStyle name="Normal 33 27 3 2 4" xfId="27015"/>
    <cellStyle name="Normal 33 27 3 3" xfId="27016"/>
    <cellStyle name="Normal 33 27 3 3 2" xfId="27017"/>
    <cellStyle name="Normal 33 27 3 3 2 2" xfId="27018"/>
    <cellStyle name="Normal 33 27 3 3 2 2 2" xfId="27019"/>
    <cellStyle name="Normal 33 27 3 3 2 3" xfId="27020"/>
    <cellStyle name="Normal 33 27 3 3 3" xfId="27021"/>
    <cellStyle name="Normal 33 27 3 3 3 2" xfId="27022"/>
    <cellStyle name="Normal 33 27 3 3 4" xfId="27023"/>
    <cellStyle name="Normal 33 27 3 4" xfId="27024"/>
    <cellStyle name="Normal 33 27 3 4 2" xfId="27025"/>
    <cellStyle name="Normal 33 27 3 4 2 2" xfId="27026"/>
    <cellStyle name="Normal 33 27 3 4 3" xfId="27027"/>
    <cellStyle name="Normal 33 27 3 5" xfId="27028"/>
    <cellStyle name="Normal 33 27 3 5 2" xfId="27029"/>
    <cellStyle name="Normal 33 27 3 6" xfId="27030"/>
    <cellStyle name="Normal 33 27 4" xfId="27031"/>
    <cellStyle name="Normal 33 27 4 2" xfId="27032"/>
    <cellStyle name="Normal 33 27 4 2 2" xfId="27033"/>
    <cellStyle name="Normal 33 27 4 2 2 2" xfId="27034"/>
    <cellStyle name="Normal 33 27 4 2 2 2 2" xfId="27035"/>
    <cellStyle name="Normal 33 27 4 2 2 3" xfId="27036"/>
    <cellStyle name="Normal 33 27 4 2 3" xfId="27037"/>
    <cellStyle name="Normal 33 27 4 2 3 2" xfId="27038"/>
    <cellStyle name="Normal 33 27 4 2 4" xfId="27039"/>
    <cellStyle name="Normal 33 27 4 3" xfId="27040"/>
    <cellStyle name="Normal 33 27 4 3 2" xfId="27041"/>
    <cellStyle name="Normal 33 27 4 3 2 2" xfId="27042"/>
    <cellStyle name="Normal 33 27 4 3 2 2 2" xfId="27043"/>
    <cellStyle name="Normal 33 27 4 3 2 3" xfId="27044"/>
    <cellStyle name="Normal 33 27 4 3 3" xfId="27045"/>
    <cellStyle name="Normal 33 27 4 3 3 2" xfId="27046"/>
    <cellStyle name="Normal 33 27 4 3 4" xfId="27047"/>
    <cellStyle name="Normal 33 27 4 4" xfId="27048"/>
    <cellStyle name="Normal 33 27 4 4 2" xfId="27049"/>
    <cellStyle name="Normal 33 27 4 4 2 2" xfId="27050"/>
    <cellStyle name="Normal 33 27 4 4 3" xfId="27051"/>
    <cellStyle name="Normal 33 27 4 5" xfId="27052"/>
    <cellStyle name="Normal 33 27 4 5 2" xfId="27053"/>
    <cellStyle name="Normal 33 27 4 6" xfId="27054"/>
    <cellStyle name="Normal 33 27 5" xfId="27055"/>
    <cellStyle name="Normal 33 27 5 2" xfId="27056"/>
    <cellStyle name="Normal 33 27 5 2 2" xfId="27057"/>
    <cellStyle name="Normal 33 27 5 2 2 2" xfId="27058"/>
    <cellStyle name="Normal 33 27 5 2 2 2 2" xfId="27059"/>
    <cellStyle name="Normal 33 27 5 2 2 3" xfId="27060"/>
    <cellStyle name="Normal 33 27 5 2 3" xfId="27061"/>
    <cellStyle name="Normal 33 27 5 2 3 2" xfId="27062"/>
    <cellStyle name="Normal 33 27 5 2 4" xfId="27063"/>
    <cellStyle name="Normal 33 27 5 3" xfId="27064"/>
    <cellStyle name="Normal 33 27 5 3 2" xfId="27065"/>
    <cellStyle name="Normal 33 27 5 3 2 2" xfId="27066"/>
    <cellStyle name="Normal 33 27 5 3 2 2 2" xfId="27067"/>
    <cellStyle name="Normal 33 27 5 3 2 3" xfId="27068"/>
    <cellStyle name="Normal 33 27 5 3 3" xfId="27069"/>
    <cellStyle name="Normal 33 27 5 3 3 2" xfId="27070"/>
    <cellStyle name="Normal 33 27 5 3 4" xfId="27071"/>
    <cellStyle name="Normal 33 27 5 4" xfId="27072"/>
    <cellStyle name="Normal 33 27 5 4 2" xfId="27073"/>
    <cellStyle name="Normal 33 27 5 4 2 2" xfId="27074"/>
    <cellStyle name="Normal 33 27 5 4 3" xfId="27075"/>
    <cellStyle name="Normal 33 27 5 5" xfId="27076"/>
    <cellStyle name="Normal 33 27 5 5 2" xfId="27077"/>
    <cellStyle name="Normal 33 27 5 6" xfId="27078"/>
    <cellStyle name="Normal 33 27 6" xfId="27079"/>
    <cellStyle name="Normal 33 27 6 2" xfId="27080"/>
    <cellStyle name="Normal 33 27 6 2 2" xfId="27081"/>
    <cellStyle name="Normal 33 27 6 2 2 2" xfId="27082"/>
    <cellStyle name="Normal 33 27 6 2 2 2 2" xfId="27083"/>
    <cellStyle name="Normal 33 27 6 2 2 3" xfId="27084"/>
    <cellStyle name="Normal 33 27 6 2 3" xfId="27085"/>
    <cellStyle name="Normal 33 27 6 2 3 2" xfId="27086"/>
    <cellStyle name="Normal 33 27 6 2 4" xfId="27087"/>
    <cellStyle name="Normal 33 27 6 3" xfId="27088"/>
    <cellStyle name="Normal 33 27 6 3 2" xfId="27089"/>
    <cellStyle name="Normal 33 27 6 3 2 2" xfId="27090"/>
    <cellStyle name="Normal 33 27 6 3 2 2 2" xfId="27091"/>
    <cellStyle name="Normal 33 27 6 3 2 3" xfId="27092"/>
    <cellStyle name="Normal 33 27 6 3 3" xfId="27093"/>
    <cellStyle name="Normal 33 27 6 3 3 2" xfId="27094"/>
    <cellStyle name="Normal 33 27 6 3 4" xfId="27095"/>
    <cellStyle name="Normal 33 27 6 4" xfId="27096"/>
    <cellStyle name="Normal 33 27 6 4 2" xfId="27097"/>
    <cellStyle name="Normal 33 27 6 4 2 2" xfId="27098"/>
    <cellStyle name="Normal 33 27 6 4 3" xfId="27099"/>
    <cellStyle name="Normal 33 27 6 5" xfId="27100"/>
    <cellStyle name="Normal 33 27 6 5 2" xfId="27101"/>
    <cellStyle name="Normal 33 27 6 6" xfId="27102"/>
    <cellStyle name="Normal 33 27 7" xfId="27103"/>
    <cellStyle name="Normal 33 27 7 2" xfId="27104"/>
    <cellStyle name="Normal 33 27 7 2 2" xfId="27105"/>
    <cellStyle name="Normal 33 27 7 2 2 2" xfId="27106"/>
    <cellStyle name="Normal 33 27 7 2 2 2 2" xfId="27107"/>
    <cellStyle name="Normal 33 27 7 2 2 3" xfId="27108"/>
    <cellStyle name="Normal 33 27 7 2 3" xfId="27109"/>
    <cellStyle name="Normal 33 27 7 2 3 2" xfId="27110"/>
    <cellStyle name="Normal 33 27 7 2 4" xfId="27111"/>
    <cellStyle name="Normal 33 27 7 3" xfId="27112"/>
    <cellStyle name="Normal 33 27 7 3 2" xfId="27113"/>
    <cellStyle name="Normal 33 27 7 3 2 2" xfId="27114"/>
    <cellStyle name="Normal 33 27 7 3 2 2 2" xfId="27115"/>
    <cellStyle name="Normal 33 27 7 3 2 3" xfId="27116"/>
    <cellStyle name="Normal 33 27 7 3 3" xfId="27117"/>
    <cellStyle name="Normal 33 27 7 3 3 2" xfId="27118"/>
    <cellStyle name="Normal 33 27 7 3 4" xfId="27119"/>
    <cellStyle name="Normal 33 27 7 4" xfId="27120"/>
    <cellStyle name="Normal 33 27 7 4 2" xfId="27121"/>
    <cellStyle name="Normal 33 27 7 4 2 2" xfId="27122"/>
    <cellStyle name="Normal 33 27 7 4 3" xfId="27123"/>
    <cellStyle name="Normal 33 27 7 5" xfId="27124"/>
    <cellStyle name="Normal 33 27 7 5 2" xfId="27125"/>
    <cellStyle name="Normal 33 27 7 6" xfId="27126"/>
    <cellStyle name="Normal 33 27 8" xfId="27127"/>
    <cellStyle name="Normal 33 27 8 2" xfId="27128"/>
    <cellStyle name="Normal 33 27 8 2 2" xfId="27129"/>
    <cellStyle name="Normal 33 27 8 2 2 2" xfId="27130"/>
    <cellStyle name="Normal 33 27 8 2 2 2 2" xfId="27131"/>
    <cellStyle name="Normal 33 27 8 2 2 3" xfId="27132"/>
    <cellStyle name="Normal 33 27 8 2 3" xfId="27133"/>
    <cellStyle name="Normal 33 27 8 2 3 2" xfId="27134"/>
    <cellStyle name="Normal 33 27 8 2 4" xfId="27135"/>
    <cellStyle name="Normal 33 27 8 3" xfId="27136"/>
    <cellStyle name="Normal 33 27 8 3 2" xfId="27137"/>
    <cellStyle name="Normal 33 27 8 3 2 2" xfId="27138"/>
    <cellStyle name="Normal 33 27 8 3 2 2 2" xfId="27139"/>
    <cellStyle name="Normal 33 27 8 3 2 3" xfId="27140"/>
    <cellStyle name="Normal 33 27 8 3 3" xfId="27141"/>
    <cellStyle name="Normal 33 27 8 3 3 2" xfId="27142"/>
    <cellStyle name="Normal 33 27 8 3 4" xfId="27143"/>
    <cellStyle name="Normal 33 27 8 4" xfId="27144"/>
    <cellStyle name="Normal 33 27 8 4 2" xfId="27145"/>
    <cellStyle name="Normal 33 27 8 4 2 2" xfId="27146"/>
    <cellStyle name="Normal 33 27 8 4 3" xfId="27147"/>
    <cellStyle name="Normal 33 27 8 5" xfId="27148"/>
    <cellStyle name="Normal 33 27 8 5 2" xfId="27149"/>
    <cellStyle name="Normal 33 27 8 6" xfId="27150"/>
    <cellStyle name="Normal 33 27 9" xfId="27151"/>
    <cellStyle name="Normal 33 27 9 2" xfId="27152"/>
    <cellStyle name="Normal 33 27 9 2 2" xfId="27153"/>
    <cellStyle name="Normal 33 27 9 2 2 2" xfId="27154"/>
    <cellStyle name="Normal 33 27 9 2 2 2 2" xfId="27155"/>
    <cellStyle name="Normal 33 27 9 2 2 3" xfId="27156"/>
    <cellStyle name="Normal 33 27 9 2 3" xfId="27157"/>
    <cellStyle name="Normal 33 27 9 2 3 2" xfId="27158"/>
    <cellStyle name="Normal 33 27 9 2 4" xfId="27159"/>
    <cellStyle name="Normal 33 27 9 3" xfId="27160"/>
    <cellStyle name="Normal 33 27 9 3 2" xfId="27161"/>
    <cellStyle name="Normal 33 27 9 3 2 2" xfId="27162"/>
    <cellStyle name="Normal 33 27 9 3 2 2 2" xfId="27163"/>
    <cellStyle name="Normal 33 27 9 3 2 3" xfId="27164"/>
    <cellStyle name="Normal 33 27 9 3 3" xfId="27165"/>
    <cellStyle name="Normal 33 27 9 3 3 2" xfId="27166"/>
    <cellStyle name="Normal 33 27 9 3 4" xfId="27167"/>
    <cellStyle name="Normal 33 27 9 4" xfId="27168"/>
    <cellStyle name="Normal 33 27 9 4 2" xfId="27169"/>
    <cellStyle name="Normal 33 27 9 4 2 2" xfId="27170"/>
    <cellStyle name="Normal 33 27 9 4 3" xfId="27171"/>
    <cellStyle name="Normal 33 27 9 5" xfId="27172"/>
    <cellStyle name="Normal 33 27 9 5 2" xfId="27173"/>
    <cellStyle name="Normal 33 27 9 6" xfId="27174"/>
    <cellStyle name="Normal 33 28" xfId="27175"/>
    <cellStyle name="Normal 33 28 10" xfId="27176"/>
    <cellStyle name="Normal 33 28 10 2" xfId="27177"/>
    <cellStyle name="Normal 33 28 10 2 2" xfId="27178"/>
    <cellStyle name="Normal 33 28 10 2 2 2" xfId="27179"/>
    <cellStyle name="Normal 33 28 10 2 2 2 2" xfId="27180"/>
    <cellStyle name="Normal 33 28 10 2 2 3" xfId="27181"/>
    <cellStyle name="Normal 33 28 10 2 3" xfId="27182"/>
    <cellStyle name="Normal 33 28 10 2 3 2" xfId="27183"/>
    <cellStyle name="Normal 33 28 10 2 4" xfId="27184"/>
    <cellStyle name="Normal 33 28 10 3" xfId="27185"/>
    <cellStyle name="Normal 33 28 10 3 2" xfId="27186"/>
    <cellStyle name="Normal 33 28 10 3 2 2" xfId="27187"/>
    <cellStyle name="Normal 33 28 10 3 2 2 2" xfId="27188"/>
    <cellStyle name="Normal 33 28 10 3 2 3" xfId="27189"/>
    <cellStyle name="Normal 33 28 10 3 3" xfId="27190"/>
    <cellStyle name="Normal 33 28 10 3 3 2" xfId="27191"/>
    <cellStyle name="Normal 33 28 10 3 4" xfId="27192"/>
    <cellStyle name="Normal 33 28 10 4" xfId="27193"/>
    <cellStyle name="Normal 33 28 10 4 2" xfId="27194"/>
    <cellStyle name="Normal 33 28 10 4 2 2" xfId="27195"/>
    <cellStyle name="Normal 33 28 10 4 3" xfId="27196"/>
    <cellStyle name="Normal 33 28 10 5" xfId="27197"/>
    <cellStyle name="Normal 33 28 10 5 2" xfId="27198"/>
    <cellStyle name="Normal 33 28 10 6" xfId="27199"/>
    <cellStyle name="Normal 33 28 11" xfId="27200"/>
    <cellStyle name="Normal 33 28 11 2" xfId="27201"/>
    <cellStyle name="Normal 33 28 11 2 2" xfId="27202"/>
    <cellStyle name="Normal 33 28 11 2 2 2" xfId="27203"/>
    <cellStyle name="Normal 33 28 11 2 2 2 2" xfId="27204"/>
    <cellStyle name="Normal 33 28 11 2 2 3" xfId="27205"/>
    <cellStyle name="Normal 33 28 11 2 3" xfId="27206"/>
    <cellStyle name="Normal 33 28 11 2 3 2" xfId="27207"/>
    <cellStyle name="Normal 33 28 11 2 4" xfId="27208"/>
    <cellStyle name="Normal 33 28 11 3" xfId="27209"/>
    <cellStyle name="Normal 33 28 11 3 2" xfId="27210"/>
    <cellStyle name="Normal 33 28 11 3 2 2" xfId="27211"/>
    <cellStyle name="Normal 33 28 11 3 2 2 2" xfId="27212"/>
    <cellStyle name="Normal 33 28 11 3 2 3" xfId="27213"/>
    <cellStyle name="Normal 33 28 11 3 3" xfId="27214"/>
    <cellStyle name="Normal 33 28 11 3 3 2" xfId="27215"/>
    <cellStyle name="Normal 33 28 11 3 4" xfId="27216"/>
    <cellStyle name="Normal 33 28 11 4" xfId="27217"/>
    <cellStyle name="Normal 33 28 11 4 2" xfId="27218"/>
    <cellStyle name="Normal 33 28 11 4 2 2" xfId="27219"/>
    <cellStyle name="Normal 33 28 11 4 3" xfId="27220"/>
    <cellStyle name="Normal 33 28 11 5" xfId="27221"/>
    <cellStyle name="Normal 33 28 11 5 2" xfId="27222"/>
    <cellStyle name="Normal 33 28 11 6" xfId="27223"/>
    <cellStyle name="Normal 33 28 12" xfId="27224"/>
    <cellStyle name="Normal 33 28 12 2" xfId="27225"/>
    <cellStyle name="Normal 33 28 12 2 2" xfId="27226"/>
    <cellStyle name="Normal 33 28 12 2 2 2" xfId="27227"/>
    <cellStyle name="Normal 33 28 12 2 2 2 2" xfId="27228"/>
    <cellStyle name="Normal 33 28 12 2 2 3" xfId="27229"/>
    <cellStyle name="Normal 33 28 12 2 3" xfId="27230"/>
    <cellStyle name="Normal 33 28 12 2 3 2" xfId="27231"/>
    <cellStyle name="Normal 33 28 12 2 4" xfId="27232"/>
    <cellStyle name="Normal 33 28 12 3" xfId="27233"/>
    <cellStyle name="Normal 33 28 12 3 2" xfId="27234"/>
    <cellStyle name="Normal 33 28 12 3 2 2" xfId="27235"/>
    <cellStyle name="Normal 33 28 12 3 2 2 2" xfId="27236"/>
    <cellStyle name="Normal 33 28 12 3 2 3" xfId="27237"/>
    <cellStyle name="Normal 33 28 12 3 3" xfId="27238"/>
    <cellStyle name="Normal 33 28 12 3 3 2" xfId="27239"/>
    <cellStyle name="Normal 33 28 12 3 4" xfId="27240"/>
    <cellStyle name="Normal 33 28 12 4" xfId="27241"/>
    <cellStyle name="Normal 33 28 12 4 2" xfId="27242"/>
    <cellStyle name="Normal 33 28 12 4 2 2" xfId="27243"/>
    <cellStyle name="Normal 33 28 12 4 3" xfId="27244"/>
    <cellStyle name="Normal 33 28 12 5" xfId="27245"/>
    <cellStyle name="Normal 33 28 12 5 2" xfId="27246"/>
    <cellStyle name="Normal 33 28 12 6" xfId="27247"/>
    <cellStyle name="Normal 33 28 13" xfId="27248"/>
    <cellStyle name="Normal 33 28 13 2" xfId="27249"/>
    <cellStyle name="Normal 33 28 13 2 2" xfId="27250"/>
    <cellStyle name="Normal 33 28 13 2 2 2" xfId="27251"/>
    <cellStyle name="Normal 33 28 13 2 2 2 2" xfId="27252"/>
    <cellStyle name="Normal 33 28 13 2 2 3" xfId="27253"/>
    <cellStyle name="Normal 33 28 13 2 3" xfId="27254"/>
    <cellStyle name="Normal 33 28 13 2 3 2" xfId="27255"/>
    <cellStyle name="Normal 33 28 13 2 4" xfId="27256"/>
    <cellStyle name="Normal 33 28 13 3" xfId="27257"/>
    <cellStyle name="Normal 33 28 13 3 2" xfId="27258"/>
    <cellStyle name="Normal 33 28 13 3 2 2" xfId="27259"/>
    <cellStyle name="Normal 33 28 13 3 2 2 2" xfId="27260"/>
    <cellStyle name="Normal 33 28 13 3 2 3" xfId="27261"/>
    <cellStyle name="Normal 33 28 13 3 3" xfId="27262"/>
    <cellStyle name="Normal 33 28 13 3 3 2" xfId="27263"/>
    <cellStyle name="Normal 33 28 13 3 4" xfId="27264"/>
    <cellStyle name="Normal 33 28 13 4" xfId="27265"/>
    <cellStyle name="Normal 33 28 13 4 2" xfId="27266"/>
    <cellStyle name="Normal 33 28 13 4 2 2" xfId="27267"/>
    <cellStyle name="Normal 33 28 13 4 3" xfId="27268"/>
    <cellStyle name="Normal 33 28 13 5" xfId="27269"/>
    <cellStyle name="Normal 33 28 13 5 2" xfId="27270"/>
    <cellStyle name="Normal 33 28 13 6" xfId="27271"/>
    <cellStyle name="Normal 33 28 14" xfId="27272"/>
    <cellStyle name="Normal 33 28 14 2" xfId="27273"/>
    <cellStyle name="Normal 33 28 14 2 2" xfId="27274"/>
    <cellStyle name="Normal 33 28 14 2 2 2" xfId="27275"/>
    <cellStyle name="Normal 33 28 14 2 3" xfId="27276"/>
    <cellStyle name="Normal 33 28 14 3" xfId="27277"/>
    <cellStyle name="Normal 33 28 14 3 2" xfId="27278"/>
    <cellStyle name="Normal 33 28 14 4" xfId="27279"/>
    <cellStyle name="Normal 33 28 15" xfId="27280"/>
    <cellStyle name="Normal 33 28 15 2" xfId="27281"/>
    <cellStyle name="Normal 33 28 15 2 2" xfId="27282"/>
    <cellStyle name="Normal 33 28 15 2 2 2" xfId="27283"/>
    <cellStyle name="Normal 33 28 15 2 3" xfId="27284"/>
    <cellStyle name="Normal 33 28 15 3" xfId="27285"/>
    <cellStyle name="Normal 33 28 15 3 2" xfId="27286"/>
    <cellStyle name="Normal 33 28 15 4" xfId="27287"/>
    <cellStyle name="Normal 33 28 16" xfId="27288"/>
    <cellStyle name="Normal 33 28 16 2" xfId="27289"/>
    <cellStyle name="Normal 33 28 16 2 2" xfId="27290"/>
    <cellStyle name="Normal 33 28 16 3" xfId="27291"/>
    <cellStyle name="Normal 33 28 17" xfId="27292"/>
    <cellStyle name="Normal 33 28 17 2" xfId="27293"/>
    <cellStyle name="Normal 33 28 18" xfId="27294"/>
    <cellStyle name="Normal 33 28 2" xfId="27295"/>
    <cellStyle name="Normal 33 28 2 2" xfId="27296"/>
    <cellStyle name="Normal 33 28 2 2 2" xfId="27297"/>
    <cellStyle name="Normal 33 28 2 2 2 2" xfId="27298"/>
    <cellStyle name="Normal 33 28 2 2 2 2 2" xfId="27299"/>
    <cellStyle name="Normal 33 28 2 2 2 3" xfId="27300"/>
    <cellStyle name="Normal 33 28 2 2 3" xfId="27301"/>
    <cellStyle name="Normal 33 28 2 2 3 2" xfId="27302"/>
    <cellStyle name="Normal 33 28 2 2 4" xfId="27303"/>
    <cellStyle name="Normal 33 28 2 3" xfId="27304"/>
    <cellStyle name="Normal 33 28 2 3 2" xfId="27305"/>
    <cellStyle name="Normal 33 28 2 3 2 2" xfId="27306"/>
    <cellStyle name="Normal 33 28 2 3 2 2 2" xfId="27307"/>
    <cellStyle name="Normal 33 28 2 3 2 3" xfId="27308"/>
    <cellStyle name="Normal 33 28 2 3 3" xfId="27309"/>
    <cellStyle name="Normal 33 28 2 3 3 2" xfId="27310"/>
    <cellStyle name="Normal 33 28 2 3 4" xfId="27311"/>
    <cellStyle name="Normal 33 28 2 4" xfId="27312"/>
    <cellStyle name="Normal 33 28 2 4 2" xfId="27313"/>
    <cellStyle name="Normal 33 28 2 4 2 2" xfId="27314"/>
    <cellStyle name="Normal 33 28 2 4 3" xfId="27315"/>
    <cellStyle name="Normal 33 28 2 5" xfId="27316"/>
    <cellStyle name="Normal 33 28 2 5 2" xfId="27317"/>
    <cellStyle name="Normal 33 28 2 6" xfId="27318"/>
    <cellStyle name="Normal 33 28 3" xfId="27319"/>
    <cellStyle name="Normal 33 28 3 2" xfId="27320"/>
    <cellStyle name="Normal 33 28 3 2 2" xfId="27321"/>
    <cellStyle name="Normal 33 28 3 2 2 2" xfId="27322"/>
    <cellStyle name="Normal 33 28 3 2 2 2 2" xfId="27323"/>
    <cellStyle name="Normal 33 28 3 2 2 3" xfId="27324"/>
    <cellStyle name="Normal 33 28 3 2 3" xfId="27325"/>
    <cellStyle name="Normal 33 28 3 2 3 2" xfId="27326"/>
    <cellStyle name="Normal 33 28 3 2 4" xfId="27327"/>
    <cellStyle name="Normal 33 28 3 3" xfId="27328"/>
    <cellStyle name="Normal 33 28 3 3 2" xfId="27329"/>
    <cellStyle name="Normal 33 28 3 3 2 2" xfId="27330"/>
    <cellStyle name="Normal 33 28 3 3 2 2 2" xfId="27331"/>
    <cellStyle name="Normal 33 28 3 3 2 3" xfId="27332"/>
    <cellStyle name="Normal 33 28 3 3 3" xfId="27333"/>
    <cellStyle name="Normal 33 28 3 3 3 2" xfId="27334"/>
    <cellStyle name="Normal 33 28 3 3 4" xfId="27335"/>
    <cellStyle name="Normal 33 28 3 4" xfId="27336"/>
    <cellStyle name="Normal 33 28 3 4 2" xfId="27337"/>
    <cellStyle name="Normal 33 28 3 4 2 2" xfId="27338"/>
    <cellStyle name="Normal 33 28 3 4 3" xfId="27339"/>
    <cellStyle name="Normal 33 28 3 5" xfId="27340"/>
    <cellStyle name="Normal 33 28 3 5 2" xfId="27341"/>
    <cellStyle name="Normal 33 28 3 6" xfId="27342"/>
    <cellStyle name="Normal 33 28 4" xfId="27343"/>
    <cellStyle name="Normal 33 28 4 2" xfId="27344"/>
    <cellStyle name="Normal 33 28 4 2 2" xfId="27345"/>
    <cellStyle name="Normal 33 28 4 2 2 2" xfId="27346"/>
    <cellStyle name="Normal 33 28 4 2 2 2 2" xfId="27347"/>
    <cellStyle name="Normal 33 28 4 2 2 3" xfId="27348"/>
    <cellStyle name="Normal 33 28 4 2 3" xfId="27349"/>
    <cellStyle name="Normal 33 28 4 2 3 2" xfId="27350"/>
    <cellStyle name="Normal 33 28 4 2 4" xfId="27351"/>
    <cellStyle name="Normal 33 28 4 3" xfId="27352"/>
    <cellStyle name="Normal 33 28 4 3 2" xfId="27353"/>
    <cellStyle name="Normal 33 28 4 3 2 2" xfId="27354"/>
    <cellStyle name="Normal 33 28 4 3 2 2 2" xfId="27355"/>
    <cellStyle name="Normal 33 28 4 3 2 3" xfId="27356"/>
    <cellStyle name="Normal 33 28 4 3 3" xfId="27357"/>
    <cellStyle name="Normal 33 28 4 3 3 2" xfId="27358"/>
    <cellStyle name="Normal 33 28 4 3 4" xfId="27359"/>
    <cellStyle name="Normal 33 28 4 4" xfId="27360"/>
    <cellStyle name="Normal 33 28 4 4 2" xfId="27361"/>
    <cellStyle name="Normal 33 28 4 4 2 2" xfId="27362"/>
    <cellStyle name="Normal 33 28 4 4 3" xfId="27363"/>
    <cellStyle name="Normal 33 28 4 5" xfId="27364"/>
    <cellStyle name="Normal 33 28 4 5 2" xfId="27365"/>
    <cellStyle name="Normal 33 28 4 6" xfId="27366"/>
    <cellStyle name="Normal 33 28 5" xfId="27367"/>
    <cellStyle name="Normal 33 28 5 2" xfId="27368"/>
    <cellStyle name="Normal 33 28 5 2 2" xfId="27369"/>
    <cellStyle name="Normal 33 28 5 2 2 2" xfId="27370"/>
    <cellStyle name="Normal 33 28 5 2 2 2 2" xfId="27371"/>
    <cellStyle name="Normal 33 28 5 2 2 3" xfId="27372"/>
    <cellStyle name="Normal 33 28 5 2 3" xfId="27373"/>
    <cellStyle name="Normal 33 28 5 2 3 2" xfId="27374"/>
    <cellStyle name="Normal 33 28 5 2 4" xfId="27375"/>
    <cellStyle name="Normal 33 28 5 3" xfId="27376"/>
    <cellStyle name="Normal 33 28 5 3 2" xfId="27377"/>
    <cellStyle name="Normal 33 28 5 3 2 2" xfId="27378"/>
    <cellStyle name="Normal 33 28 5 3 2 2 2" xfId="27379"/>
    <cellStyle name="Normal 33 28 5 3 2 3" xfId="27380"/>
    <cellStyle name="Normal 33 28 5 3 3" xfId="27381"/>
    <cellStyle name="Normal 33 28 5 3 3 2" xfId="27382"/>
    <cellStyle name="Normal 33 28 5 3 4" xfId="27383"/>
    <cellStyle name="Normal 33 28 5 4" xfId="27384"/>
    <cellStyle name="Normal 33 28 5 4 2" xfId="27385"/>
    <cellStyle name="Normal 33 28 5 4 2 2" xfId="27386"/>
    <cellStyle name="Normal 33 28 5 4 3" xfId="27387"/>
    <cellStyle name="Normal 33 28 5 5" xfId="27388"/>
    <cellStyle name="Normal 33 28 5 5 2" xfId="27389"/>
    <cellStyle name="Normal 33 28 5 6" xfId="27390"/>
    <cellStyle name="Normal 33 28 6" xfId="27391"/>
    <cellStyle name="Normal 33 28 6 2" xfId="27392"/>
    <cellStyle name="Normal 33 28 6 2 2" xfId="27393"/>
    <cellStyle name="Normal 33 28 6 2 2 2" xfId="27394"/>
    <cellStyle name="Normal 33 28 6 2 2 2 2" xfId="27395"/>
    <cellStyle name="Normal 33 28 6 2 2 3" xfId="27396"/>
    <cellStyle name="Normal 33 28 6 2 3" xfId="27397"/>
    <cellStyle name="Normal 33 28 6 2 3 2" xfId="27398"/>
    <cellStyle name="Normal 33 28 6 2 4" xfId="27399"/>
    <cellStyle name="Normal 33 28 6 3" xfId="27400"/>
    <cellStyle name="Normal 33 28 6 3 2" xfId="27401"/>
    <cellStyle name="Normal 33 28 6 3 2 2" xfId="27402"/>
    <cellStyle name="Normal 33 28 6 3 2 2 2" xfId="27403"/>
    <cellStyle name="Normal 33 28 6 3 2 3" xfId="27404"/>
    <cellStyle name="Normal 33 28 6 3 3" xfId="27405"/>
    <cellStyle name="Normal 33 28 6 3 3 2" xfId="27406"/>
    <cellStyle name="Normal 33 28 6 3 4" xfId="27407"/>
    <cellStyle name="Normal 33 28 6 4" xfId="27408"/>
    <cellStyle name="Normal 33 28 6 4 2" xfId="27409"/>
    <cellStyle name="Normal 33 28 6 4 2 2" xfId="27410"/>
    <cellStyle name="Normal 33 28 6 4 3" xfId="27411"/>
    <cellStyle name="Normal 33 28 6 5" xfId="27412"/>
    <cellStyle name="Normal 33 28 6 5 2" xfId="27413"/>
    <cellStyle name="Normal 33 28 6 6" xfId="27414"/>
    <cellStyle name="Normal 33 28 7" xfId="27415"/>
    <cellStyle name="Normal 33 28 7 2" xfId="27416"/>
    <cellStyle name="Normal 33 28 7 2 2" xfId="27417"/>
    <cellStyle name="Normal 33 28 7 2 2 2" xfId="27418"/>
    <cellStyle name="Normal 33 28 7 2 2 2 2" xfId="27419"/>
    <cellStyle name="Normal 33 28 7 2 2 3" xfId="27420"/>
    <cellStyle name="Normal 33 28 7 2 3" xfId="27421"/>
    <cellStyle name="Normal 33 28 7 2 3 2" xfId="27422"/>
    <cellStyle name="Normal 33 28 7 2 4" xfId="27423"/>
    <cellStyle name="Normal 33 28 7 3" xfId="27424"/>
    <cellStyle name="Normal 33 28 7 3 2" xfId="27425"/>
    <cellStyle name="Normal 33 28 7 3 2 2" xfId="27426"/>
    <cellStyle name="Normal 33 28 7 3 2 2 2" xfId="27427"/>
    <cellStyle name="Normal 33 28 7 3 2 3" xfId="27428"/>
    <cellStyle name="Normal 33 28 7 3 3" xfId="27429"/>
    <cellStyle name="Normal 33 28 7 3 3 2" xfId="27430"/>
    <cellStyle name="Normal 33 28 7 3 4" xfId="27431"/>
    <cellStyle name="Normal 33 28 7 4" xfId="27432"/>
    <cellStyle name="Normal 33 28 7 4 2" xfId="27433"/>
    <cellStyle name="Normal 33 28 7 4 2 2" xfId="27434"/>
    <cellStyle name="Normal 33 28 7 4 3" xfId="27435"/>
    <cellStyle name="Normal 33 28 7 5" xfId="27436"/>
    <cellStyle name="Normal 33 28 7 5 2" xfId="27437"/>
    <cellStyle name="Normal 33 28 7 6" xfId="27438"/>
    <cellStyle name="Normal 33 28 8" xfId="27439"/>
    <cellStyle name="Normal 33 28 8 2" xfId="27440"/>
    <cellStyle name="Normal 33 28 8 2 2" xfId="27441"/>
    <cellStyle name="Normal 33 28 8 2 2 2" xfId="27442"/>
    <cellStyle name="Normal 33 28 8 2 2 2 2" xfId="27443"/>
    <cellStyle name="Normal 33 28 8 2 2 3" xfId="27444"/>
    <cellStyle name="Normal 33 28 8 2 3" xfId="27445"/>
    <cellStyle name="Normal 33 28 8 2 3 2" xfId="27446"/>
    <cellStyle name="Normal 33 28 8 2 4" xfId="27447"/>
    <cellStyle name="Normal 33 28 8 3" xfId="27448"/>
    <cellStyle name="Normal 33 28 8 3 2" xfId="27449"/>
    <cellStyle name="Normal 33 28 8 3 2 2" xfId="27450"/>
    <cellStyle name="Normal 33 28 8 3 2 2 2" xfId="27451"/>
    <cellStyle name="Normal 33 28 8 3 2 3" xfId="27452"/>
    <cellStyle name="Normal 33 28 8 3 3" xfId="27453"/>
    <cellStyle name="Normal 33 28 8 3 3 2" xfId="27454"/>
    <cellStyle name="Normal 33 28 8 3 4" xfId="27455"/>
    <cellStyle name="Normal 33 28 8 4" xfId="27456"/>
    <cellStyle name="Normal 33 28 8 4 2" xfId="27457"/>
    <cellStyle name="Normal 33 28 8 4 2 2" xfId="27458"/>
    <cellStyle name="Normal 33 28 8 4 3" xfId="27459"/>
    <cellStyle name="Normal 33 28 8 5" xfId="27460"/>
    <cellStyle name="Normal 33 28 8 5 2" xfId="27461"/>
    <cellStyle name="Normal 33 28 8 6" xfId="27462"/>
    <cellStyle name="Normal 33 28 9" xfId="27463"/>
    <cellStyle name="Normal 33 28 9 2" xfId="27464"/>
    <cellStyle name="Normal 33 28 9 2 2" xfId="27465"/>
    <cellStyle name="Normal 33 28 9 2 2 2" xfId="27466"/>
    <cellStyle name="Normal 33 28 9 2 2 2 2" xfId="27467"/>
    <cellStyle name="Normal 33 28 9 2 2 3" xfId="27468"/>
    <cellStyle name="Normal 33 28 9 2 3" xfId="27469"/>
    <cellStyle name="Normal 33 28 9 2 3 2" xfId="27470"/>
    <cellStyle name="Normal 33 28 9 2 4" xfId="27471"/>
    <cellStyle name="Normal 33 28 9 3" xfId="27472"/>
    <cellStyle name="Normal 33 28 9 3 2" xfId="27473"/>
    <cellStyle name="Normal 33 28 9 3 2 2" xfId="27474"/>
    <cellStyle name="Normal 33 28 9 3 2 2 2" xfId="27475"/>
    <cellStyle name="Normal 33 28 9 3 2 3" xfId="27476"/>
    <cellStyle name="Normal 33 28 9 3 3" xfId="27477"/>
    <cellStyle name="Normal 33 28 9 3 3 2" xfId="27478"/>
    <cellStyle name="Normal 33 28 9 3 4" xfId="27479"/>
    <cellStyle name="Normal 33 28 9 4" xfId="27480"/>
    <cellStyle name="Normal 33 28 9 4 2" xfId="27481"/>
    <cellStyle name="Normal 33 28 9 4 2 2" xfId="27482"/>
    <cellStyle name="Normal 33 28 9 4 3" xfId="27483"/>
    <cellStyle name="Normal 33 28 9 5" xfId="27484"/>
    <cellStyle name="Normal 33 28 9 5 2" xfId="27485"/>
    <cellStyle name="Normal 33 28 9 6" xfId="27486"/>
    <cellStyle name="Normal 33 29" xfId="27487"/>
    <cellStyle name="Normal 33 29 10" xfId="27488"/>
    <cellStyle name="Normal 33 29 10 2" xfId="27489"/>
    <cellStyle name="Normal 33 29 10 2 2" xfId="27490"/>
    <cellStyle name="Normal 33 29 10 2 2 2" xfId="27491"/>
    <cellStyle name="Normal 33 29 10 2 2 2 2" xfId="27492"/>
    <cellStyle name="Normal 33 29 10 2 2 3" xfId="27493"/>
    <cellStyle name="Normal 33 29 10 2 3" xfId="27494"/>
    <cellStyle name="Normal 33 29 10 2 3 2" xfId="27495"/>
    <cellStyle name="Normal 33 29 10 2 4" xfId="27496"/>
    <cellStyle name="Normal 33 29 10 3" xfId="27497"/>
    <cellStyle name="Normal 33 29 10 3 2" xfId="27498"/>
    <cellStyle name="Normal 33 29 10 3 2 2" xfId="27499"/>
    <cellStyle name="Normal 33 29 10 3 2 2 2" xfId="27500"/>
    <cellStyle name="Normal 33 29 10 3 2 3" xfId="27501"/>
    <cellStyle name="Normal 33 29 10 3 3" xfId="27502"/>
    <cellStyle name="Normal 33 29 10 3 3 2" xfId="27503"/>
    <cellStyle name="Normal 33 29 10 3 4" xfId="27504"/>
    <cellStyle name="Normal 33 29 10 4" xfId="27505"/>
    <cellStyle name="Normal 33 29 10 4 2" xfId="27506"/>
    <cellStyle name="Normal 33 29 10 4 2 2" xfId="27507"/>
    <cellStyle name="Normal 33 29 10 4 3" xfId="27508"/>
    <cellStyle name="Normal 33 29 10 5" xfId="27509"/>
    <cellStyle name="Normal 33 29 10 5 2" xfId="27510"/>
    <cellStyle name="Normal 33 29 10 6" xfId="27511"/>
    <cellStyle name="Normal 33 29 11" xfId="27512"/>
    <cellStyle name="Normal 33 29 11 2" xfId="27513"/>
    <cellStyle name="Normal 33 29 11 2 2" xfId="27514"/>
    <cellStyle name="Normal 33 29 11 2 2 2" xfId="27515"/>
    <cellStyle name="Normal 33 29 11 2 2 2 2" xfId="27516"/>
    <cellStyle name="Normal 33 29 11 2 2 3" xfId="27517"/>
    <cellStyle name="Normal 33 29 11 2 3" xfId="27518"/>
    <cellStyle name="Normal 33 29 11 2 3 2" xfId="27519"/>
    <cellStyle name="Normal 33 29 11 2 4" xfId="27520"/>
    <cellStyle name="Normal 33 29 11 3" xfId="27521"/>
    <cellStyle name="Normal 33 29 11 3 2" xfId="27522"/>
    <cellStyle name="Normal 33 29 11 3 2 2" xfId="27523"/>
    <cellStyle name="Normal 33 29 11 3 2 2 2" xfId="27524"/>
    <cellStyle name="Normal 33 29 11 3 2 3" xfId="27525"/>
    <cellStyle name="Normal 33 29 11 3 3" xfId="27526"/>
    <cellStyle name="Normal 33 29 11 3 3 2" xfId="27527"/>
    <cellStyle name="Normal 33 29 11 3 4" xfId="27528"/>
    <cellStyle name="Normal 33 29 11 4" xfId="27529"/>
    <cellStyle name="Normal 33 29 11 4 2" xfId="27530"/>
    <cellStyle name="Normal 33 29 11 4 2 2" xfId="27531"/>
    <cellStyle name="Normal 33 29 11 4 3" xfId="27532"/>
    <cellStyle name="Normal 33 29 11 5" xfId="27533"/>
    <cellStyle name="Normal 33 29 11 5 2" xfId="27534"/>
    <cellStyle name="Normal 33 29 11 6" xfId="27535"/>
    <cellStyle name="Normal 33 29 12" xfId="27536"/>
    <cellStyle name="Normal 33 29 12 2" xfId="27537"/>
    <cellStyle name="Normal 33 29 12 2 2" xfId="27538"/>
    <cellStyle name="Normal 33 29 12 2 2 2" xfId="27539"/>
    <cellStyle name="Normal 33 29 12 2 2 2 2" xfId="27540"/>
    <cellStyle name="Normal 33 29 12 2 2 3" xfId="27541"/>
    <cellStyle name="Normal 33 29 12 2 3" xfId="27542"/>
    <cellStyle name="Normal 33 29 12 2 3 2" xfId="27543"/>
    <cellStyle name="Normal 33 29 12 2 4" xfId="27544"/>
    <cellStyle name="Normal 33 29 12 3" xfId="27545"/>
    <cellStyle name="Normal 33 29 12 3 2" xfId="27546"/>
    <cellStyle name="Normal 33 29 12 3 2 2" xfId="27547"/>
    <cellStyle name="Normal 33 29 12 3 2 2 2" xfId="27548"/>
    <cellStyle name="Normal 33 29 12 3 2 3" xfId="27549"/>
    <cellStyle name="Normal 33 29 12 3 3" xfId="27550"/>
    <cellStyle name="Normal 33 29 12 3 3 2" xfId="27551"/>
    <cellStyle name="Normal 33 29 12 3 4" xfId="27552"/>
    <cellStyle name="Normal 33 29 12 4" xfId="27553"/>
    <cellStyle name="Normal 33 29 12 4 2" xfId="27554"/>
    <cellStyle name="Normal 33 29 12 4 2 2" xfId="27555"/>
    <cellStyle name="Normal 33 29 12 4 3" xfId="27556"/>
    <cellStyle name="Normal 33 29 12 5" xfId="27557"/>
    <cellStyle name="Normal 33 29 12 5 2" xfId="27558"/>
    <cellStyle name="Normal 33 29 12 6" xfId="27559"/>
    <cellStyle name="Normal 33 29 13" xfId="27560"/>
    <cellStyle name="Normal 33 29 13 2" xfId="27561"/>
    <cellStyle name="Normal 33 29 13 2 2" xfId="27562"/>
    <cellStyle name="Normal 33 29 13 2 2 2" xfId="27563"/>
    <cellStyle name="Normal 33 29 13 2 2 2 2" xfId="27564"/>
    <cellStyle name="Normal 33 29 13 2 2 3" xfId="27565"/>
    <cellStyle name="Normal 33 29 13 2 3" xfId="27566"/>
    <cellStyle name="Normal 33 29 13 2 3 2" xfId="27567"/>
    <cellStyle name="Normal 33 29 13 2 4" xfId="27568"/>
    <cellStyle name="Normal 33 29 13 3" xfId="27569"/>
    <cellStyle name="Normal 33 29 13 3 2" xfId="27570"/>
    <cellStyle name="Normal 33 29 13 3 2 2" xfId="27571"/>
    <cellStyle name="Normal 33 29 13 3 2 2 2" xfId="27572"/>
    <cellStyle name="Normal 33 29 13 3 2 3" xfId="27573"/>
    <cellStyle name="Normal 33 29 13 3 3" xfId="27574"/>
    <cellStyle name="Normal 33 29 13 3 3 2" xfId="27575"/>
    <cellStyle name="Normal 33 29 13 3 4" xfId="27576"/>
    <cellStyle name="Normal 33 29 13 4" xfId="27577"/>
    <cellStyle name="Normal 33 29 13 4 2" xfId="27578"/>
    <cellStyle name="Normal 33 29 13 4 2 2" xfId="27579"/>
    <cellStyle name="Normal 33 29 13 4 3" xfId="27580"/>
    <cellStyle name="Normal 33 29 13 5" xfId="27581"/>
    <cellStyle name="Normal 33 29 13 5 2" xfId="27582"/>
    <cellStyle name="Normal 33 29 13 6" xfId="27583"/>
    <cellStyle name="Normal 33 29 14" xfId="27584"/>
    <cellStyle name="Normal 33 29 14 2" xfId="27585"/>
    <cellStyle name="Normal 33 29 14 2 2" xfId="27586"/>
    <cellStyle name="Normal 33 29 14 2 2 2" xfId="27587"/>
    <cellStyle name="Normal 33 29 14 2 3" xfId="27588"/>
    <cellStyle name="Normal 33 29 14 3" xfId="27589"/>
    <cellStyle name="Normal 33 29 14 3 2" xfId="27590"/>
    <cellStyle name="Normal 33 29 14 4" xfId="27591"/>
    <cellStyle name="Normal 33 29 15" xfId="27592"/>
    <cellStyle name="Normal 33 29 15 2" xfId="27593"/>
    <cellStyle name="Normal 33 29 15 2 2" xfId="27594"/>
    <cellStyle name="Normal 33 29 15 2 2 2" xfId="27595"/>
    <cellStyle name="Normal 33 29 15 2 3" xfId="27596"/>
    <cellStyle name="Normal 33 29 15 3" xfId="27597"/>
    <cellStyle name="Normal 33 29 15 3 2" xfId="27598"/>
    <cellStyle name="Normal 33 29 15 4" xfId="27599"/>
    <cellStyle name="Normal 33 29 16" xfId="27600"/>
    <cellStyle name="Normal 33 29 16 2" xfId="27601"/>
    <cellStyle name="Normal 33 29 16 2 2" xfId="27602"/>
    <cellStyle name="Normal 33 29 16 3" xfId="27603"/>
    <cellStyle name="Normal 33 29 17" xfId="27604"/>
    <cellStyle name="Normal 33 29 17 2" xfId="27605"/>
    <cellStyle name="Normal 33 29 18" xfId="27606"/>
    <cellStyle name="Normal 33 29 2" xfId="27607"/>
    <cellStyle name="Normal 33 29 2 2" xfId="27608"/>
    <cellStyle name="Normal 33 29 2 2 2" xfId="27609"/>
    <cellStyle name="Normal 33 29 2 2 2 2" xfId="27610"/>
    <cellStyle name="Normal 33 29 2 2 2 2 2" xfId="27611"/>
    <cellStyle name="Normal 33 29 2 2 2 3" xfId="27612"/>
    <cellStyle name="Normal 33 29 2 2 3" xfId="27613"/>
    <cellStyle name="Normal 33 29 2 2 3 2" xfId="27614"/>
    <cellStyle name="Normal 33 29 2 2 4" xfId="27615"/>
    <cellStyle name="Normal 33 29 2 3" xfId="27616"/>
    <cellStyle name="Normal 33 29 2 3 2" xfId="27617"/>
    <cellStyle name="Normal 33 29 2 3 2 2" xfId="27618"/>
    <cellStyle name="Normal 33 29 2 3 2 2 2" xfId="27619"/>
    <cellStyle name="Normal 33 29 2 3 2 3" xfId="27620"/>
    <cellStyle name="Normal 33 29 2 3 3" xfId="27621"/>
    <cellStyle name="Normal 33 29 2 3 3 2" xfId="27622"/>
    <cellStyle name="Normal 33 29 2 3 4" xfId="27623"/>
    <cellStyle name="Normal 33 29 2 4" xfId="27624"/>
    <cellStyle name="Normal 33 29 2 4 2" xfId="27625"/>
    <cellStyle name="Normal 33 29 2 4 2 2" xfId="27626"/>
    <cellStyle name="Normal 33 29 2 4 3" xfId="27627"/>
    <cellStyle name="Normal 33 29 2 5" xfId="27628"/>
    <cellStyle name="Normal 33 29 2 5 2" xfId="27629"/>
    <cellStyle name="Normal 33 29 2 6" xfId="27630"/>
    <cellStyle name="Normal 33 29 3" xfId="27631"/>
    <cellStyle name="Normal 33 29 3 2" xfId="27632"/>
    <cellStyle name="Normal 33 29 3 2 2" xfId="27633"/>
    <cellStyle name="Normal 33 29 3 2 2 2" xfId="27634"/>
    <cellStyle name="Normal 33 29 3 2 2 2 2" xfId="27635"/>
    <cellStyle name="Normal 33 29 3 2 2 3" xfId="27636"/>
    <cellStyle name="Normal 33 29 3 2 3" xfId="27637"/>
    <cellStyle name="Normal 33 29 3 2 3 2" xfId="27638"/>
    <cellStyle name="Normal 33 29 3 2 4" xfId="27639"/>
    <cellStyle name="Normal 33 29 3 3" xfId="27640"/>
    <cellStyle name="Normal 33 29 3 3 2" xfId="27641"/>
    <cellStyle name="Normal 33 29 3 3 2 2" xfId="27642"/>
    <cellStyle name="Normal 33 29 3 3 2 2 2" xfId="27643"/>
    <cellStyle name="Normal 33 29 3 3 2 3" xfId="27644"/>
    <cellStyle name="Normal 33 29 3 3 3" xfId="27645"/>
    <cellStyle name="Normal 33 29 3 3 3 2" xfId="27646"/>
    <cellStyle name="Normal 33 29 3 3 4" xfId="27647"/>
    <cellStyle name="Normal 33 29 3 4" xfId="27648"/>
    <cellStyle name="Normal 33 29 3 4 2" xfId="27649"/>
    <cellStyle name="Normal 33 29 3 4 2 2" xfId="27650"/>
    <cellStyle name="Normal 33 29 3 4 3" xfId="27651"/>
    <cellStyle name="Normal 33 29 3 5" xfId="27652"/>
    <cellStyle name="Normal 33 29 3 5 2" xfId="27653"/>
    <cellStyle name="Normal 33 29 3 6" xfId="27654"/>
    <cellStyle name="Normal 33 29 4" xfId="27655"/>
    <cellStyle name="Normal 33 29 4 2" xfId="27656"/>
    <cellStyle name="Normal 33 29 4 2 2" xfId="27657"/>
    <cellStyle name="Normal 33 29 4 2 2 2" xfId="27658"/>
    <cellStyle name="Normal 33 29 4 2 2 2 2" xfId="27659"/>
    <cellStyle name="Normal 33 29 4 2 2 3" xfId="27660"/>
    <cellStyle name="Normal 33 29 4 2 3" xfId="27661"/>
    <cellStyle name="Normal 33 29 4 2 3 2" xfId="27662"/>
    <cellStyle name="Normal 33 29 4 2 4" xfId="27663"/>
    <cellStyle name="Normal 33 29 4 3" xfId="27664"/>
    <cellStyle name="Normal 33 29 4 3 2" xfId="27665"/>
    <cellStyle name="Normal 33 29 4 3 2 2" xfId="27666"/>
    <cellStyle name="Normal 33 29 4 3 2 2 2" xfId="27667"/>
    <cellStyle name="Normal 33 29 4 3 2 3" xfId="27668"/>
    <cellStyle name="Normal 33 29 4 3 3" xfId="27669"/>
    <cellStyle name="Normal 33 29 4 3 3 2" xfId="27670"/>
    <cellStyle name="Normal 33 29 4 3 4" xfId="27671"/>
    <cellStyle name="Normal 33 29 4 4" xfId="27672"/>
    <cellStyle name="Normal 33 29 4 4 2" xfId="27673"/>
    <cellStyle name="Normal 33 29 4 4 2 2" xfId="27674"/>
    <cellStyle name="Normal 33 29 4 4 3" xfId="27675"/>
    <cellStyle name="Normal 33 29 4 5" xfId="27676"/>
    <cellStyle name="Normal 33 29 4 5 2" xfId="27677"/>
    <cellStyle name="Normal 33 29 4 6" xfId="27678"/>
    <cellStyle name="Normal 33 29 5" xfId="27679"/>
    <cellStyle name="Normal 33 29 5 2" xfId="27680"/>
    <cellStyle name="Normal 33 29 5 2 2" xfId="27681"/>
    <cellStyle name="Normal 33 29 5 2 2 2" xfId="27682"/>
    <cellStyle name="Normal 33 29 5 2 2 2 2" xfId="27683"/>
    <cellStyle name="Normal 33 29 5 2 2 3" xfId="27684"/>
    <cellStyle name="Normal 33 29 5 2 3" xfId="27685"/>
    <cellStyle name="Normal 33 29 5 2 3 2" xfId="27686"/>
    <cellStyle name="Normal 33 29 5 2 4" xfId="27687"/>
    <cellStyle name="Normal 33 29 5 3" xfId="27688"/>
    <cellStyle name="Normal 33 29 5 3 2" xfId="27689"/>
    <cellStyle name="Normal 33 29 5 3 2 2" xfId="27690"/>
    <cellStyle name="Normal 33 29 5 3 2 2 2" xfId="27691"/>
    <cellStyle name="Normal 33 29 5 3 2 3" xfId="27692"/>
    <cellStyle name="Normal 33 29 5 3 3" xfId="27693"/>
    <cellStyle name="Normal 33 29 5 3 3 2" xfId="27694"/>
    <cellStyle name="Normal 33 29 5 3 4" xfId="27695"/>
    <cellStyle name="Normal 33 29 5 4" xfId="27696"/>
    <cellStyle name="Normal 33 29 5 4 2" xfId="27697"/>
    <cellStyle name="Normal 33 29 5 4 2 2" xfId="27698"/>
    <cellStyle name="Normal 33 29 5 4 3" xfId="27699"/>
    <cellStyle name="Normal 33 29 5 5" xfId="27700"/>
    <cellStyle name="Normal 33 29 5 5 2" xfId="27701"/>
    <cellStyle name="Normal 33 29 5 6" xfId="27702"/>
    <cellStyle name="Normal 33 29 6" xfId="27703"/>
    <cellStyle name="Normal 33 29 6 2" xfId="27704"/>
    <cellStyle name="Normal 33 29 6 2 2" xfId="27705"/>
    <cellStyle name="Normal 33 29 6 2 2 2" xfId="27706"/>
    <cellStyle name="Normal 33 29 6 2 2 2 2" xfId="27707"/>
    <cellStyle name="Normal 33 29 6 2 2 3" xfId="27708"/>
    <cellStyle name="Normal 33 29 6 2 3" xfId="27709"/>
    <cellStyle name="Normal 33 29 6 2 3 2" xfId="27710"/>
    <cellStyle name="Normal 33 29 6 2 4" xfId="27711"/>
    <cellStyle name="Normal 33 29 6 3" xfId="27712"/>
    <cellStyle name="Normal 33 29 6 3 2" xfId="27713"/>
    <cellStyle name="Normal 33 29 6 3 2 2" xfId="27714"/>
    <cellStyle name="Normal 33 29 6 3 2 2 2" xfId="27715"/>
    <cellStyle name="Normal 33 29 6 3 2 3" xfId="27716"/>
    <cellStyle name="Normal 33 29 6 3 3" xfId="27717"/>
    <cellStyle name="Normal 33 29 6 3 3 2" xfId="27718"/>
    <cellStyle name="Normal 33 29 6 3 4" xfId="27719"/>
    <cellStyle name="Normal 33 29 6 4" xfId="27720"/>
    <cellStyle name="Normal 33 29 6 4 2" xfId="27721"/>
    <cellStyle name="Normal 33 29 6 4 2 2" xfId="27722"/>
    <cellStyle name="Normal 33 29 6 4 3" xfId="27723"/>
    <cellStyle name="Normal 33 29 6 5" xfId="27724"/>
    <cellStyle name="Normal 33 29 6 5 2" xfId="27725"/>
    <cellStyle name="Normal 33 29 6 6" xfId="27726"/>
    <cellStyle name="Normal 33 29 7" xfId="27727"/>
    <cellStyle name="Normal 33 29 7 2" xfId="27728"/>
    <cellStyle name="Normal 33 29 7 2 2" xfId="27729"/>
    <cellStyle name="Normal 33 29 7 2 2 2" xfId="27730"/>
    <cellStyle name="Normal 33 29 7 2 2 2 2" xfId="27731"/>
    <cellStyle name="Normal 33 29 7 2 2 3" xfId="27732"/>
    <cellStyle name="Normal 33 29 7 2 3" xfId="27733"/>
    <cellStyle name="Normal 33 29 7 2 3 2" xfId="27734"/>
    <cellStyle name="Normal 33 29 7 2 4" xfId="27735"/>
    <cellStyle name="Normal 33 29 7 3" xfId="27736"/>
    <cellStyle name="Normal 33 29 7 3 2" xfId="27737"/>
    <cellStyle name="Normal 33 29 7 3 2 2" xfId="27738"/>
    <cellStyle name="Normal 33 29 7 3 2 2 2" xfId="27739"/>
    <cellStyle name="Normal 33 29 7 3 2 3" xfId="27740"/>
    <cellStyle name="Normal 33 29 7 3 3" xfId="27741"/>
    <cellStyle name="Normal 33 29 7 3 3 2" xfId="27742"/>
    <cellStyle name="Normal 33 29 7 3 4" xfId="27743"/>
    <cellStyle name="Normal 33 29 7 4" xfId="27744"/>
    <cellStyle name="Normal 33 29 7 4 2" xfId="27745"/>
    <cellStyle name="Normal 33 29 7 4 2 2" xfId="27746"/>
    <cellStyle name="Normal 33 29 7 4 3" xfId="27747"/>
    <cellStyle name="Normal 33 29 7 5" xfId="27748"/>
    <cellStyle name="Normal 33 29 7 5 2" xfId="27749"/>
    <cellStyle name="Normal 33 29 7 6" xfId="27750"/>
    <cellStyle name="Normal 33 29 8" xfId="27751"/>
    <cellStyle name="Normal 33 29 8 2" xfId="27752"/>
    <cellStyle name="Normal 33 29 8 2 2" xfId="27753"/>
    <cellStyle name="Normal 33 29 8 2 2 2" xfId="27754"/>
    <cellStyle name="Normal 33 29 8 2 2 2 2" xfId="27755"/>
    <cellStyle name="Normal 33 29 8 2 2 3" xfId="27756"/>
    <cellStyle name="Normal 33 29 8 2 3" xfId="27757"/>
    <cellStyle name="Normal 33 29 8 2 3 2" xfId="27758"/>
    <cellStyle name="Normal 33 29 8 2 4" xfId="27759"/>
    <cellStyle name="Normal 33 29 8 3" xfId="27760"/>
    <cellStyle name="Normal 33 29 8 3 2" xfId="27761"/>
    <cellStyle name="Normal 33 29 8 3 2 2" xfId="27762"/>
    <cellStyle name="Normal 33 29 8 3 2 2 2" xfId="27763"/>
    <cellStyle name="Normal 33 29 8 3 2 3" xfId="27764"/>
    <cellStyle name="Normal 33 29 8 3 3" xfId="27765"/>
    <cellStyle name="Normal 33 29 8 3 3 2" xfId="27766"/>
    <cellStyle name="Normal 33 29 8 3 4" xfId="27767"/>
    <cellStyle name="Normal 33 29 8 4" xfId="27768"/>
    <cellStyle name="Normal 33 29 8 4 2" xfId="27769"/>
    <cellStyle name="Normal 33 29 8 4 2 2" xfId="27770"/>
    <cellStyle name="Normal 33 29 8 4 3" xfId="27771"/>
    <cellStyle name="Normal 33 29 8 5" xfId="27772"/>
    <cellStyle name="Normal 33 29 8 5 2" xfId="27773"/>
    <cellStyle name="Normal 33 29 8 6" xfId="27774"/>
    <cellStyle name="Normal 33 29 9" xfId="27775"/>
    <cellStyle name="Normal 33 29 9 2" xfId="27776"/>
    <cellStyle name="Normal 33 29 9 2 2" xfId="27777"/>
    <cellStyle name="Normal 33 29 9 2 2 2" xfId="27778"/>
    <cellStyle name="Normal 33 29 9 2 2 2 2" xfId="27779"/>
    <cellStyle name="Normal 33 29 9 2 2 3" xfId="27780"/>
    <cellStyle name="Normal 33 29 9 2 3" xfId="27781"/>
    <cellStyle name="Normal 33 29 9 2 3 2" xfId="27782"/>
    <cellStyle name="Normal 33 29 9 2 4" xfId="27783"/>
    <cellStyle name="Normal 33 29 9 3" xfId="27784"/>
    <cellStyle name="Normal 33 29 9 3 2" xfId="27785"/>
    <cellStyle name="Normal 33 29 9 3 2 2" xfId="27786"/>
    <cellStyle name="Normal 33 29 9 3 2 2 2" xfId="27787"/>
    <cellStyle name="Normal 33 29 9 3 2 3" xfId="27788"/>
    <cellStyle name="Normal 33 29 9 3 3" xfId="27789"/>
    <cellStyle name="Normal 33 29 9 3 3 2" xfId="27790"/>
    <cellStyle name="Normal 33 29 9 3 4" xfId="27791"/>
    <cellStyle name="Normal 33 29 9 4" xfId="27792"/>
    <cellStyle name="Normal 33 29 9 4 2" xfId="27793"/>
    <cellStyle name="Normal 33 29 9 4 2 2" xfId="27794"/>
    <cellStyle name="Normal 33 29 9 4 3" xfId="27795"/>
    <cellStyle name="Normal 33 29 9 5" xfId="27796"/>
    <cellStyle name="Normal 33 29 9 5 2" xfId="27797"/>
    <cellStyle name="Normal 33 29 9 6" xfId="27798"/>
    <cellStyle name="Normal 33 3" xfId="27799"/>
    <cellStyle name="Normal 33 3 10" xfId="27800"/>
    <cellStyle name="Normal 33 3 10 10" xfId="27801"/>
    <cellStyle name="Normal 33 3 10 10 2" xfId="27802"/>
    <cellStyle name="Normal 33 3 10 10 2 2" xfId="27803"/>
    <cellStyle name="Normal 33 3 10 10 2 2 2" xfId="27804"/>
    <cellStyle name="Normal 33 3 10 10 2 2 2 2" xfId="27805"/>
    <cellStyle name="Normal 33 3 10 10 2 2 3" xfId="27806"/>
    <cellStyle name="Normal 33 3 10 10 2 3" xfId="27807"/>
    <cellStyle name="Normal 33 3 10 10 2 3 2" xfId="27808"/>
    <cellStyle name="Normal 33 3 10 10 2 4" xfId="27809"/>
    <cellStyle name="Normal 33 3 10 10 3" xfId="27810"/>
    <cellStyle name="Normal 33 3 10 10 3 2" xfId="27811"/>
    <cellStyle name="Normal 33 3 10 10 3 2 2" xfId="27812"/>
    <cellStyle name="Normal 33 3 10 10 3 2 2 2" xfId="27813"/>
    <cellStyle name="Normal 33 3 10 10 3 2 3" xfId="27814"/>
    <cellStyle name="Normal 33 3 10 10 3 3" xfId="27815"/>
    <cellStyle name="Normal 33 3 10 10 3 3 2" xfId="27816"/>
    <cellStyle name="Normal 33 3 10 10 3 4" xfId="27817"/>
    <cellStyle name="Normal 33 3 10 10 4" xfId="27818"/>
    <cellStyle name="Normal 33 3 10 10 4 2" xfId="27819"/>
    <cellStyle name="Normal 33 3 10 10 4 2 2" xfId="27820"/>
    <cellStyle name="Normal 33 3 10 10 4 3" xfId="27821"/>
    <cellStyle name="Normal 33 3 10 10 5" xfId="27822"/>
    <cellStyle name="Normal 33 3 10 10 5 2" xfId="27823"/>
    <cellStyle name="Normal 33 3 10 10 6" xfId="27824"/>
    <cellStyle name="Normal 33 3 10 11" xfId="27825"/>
    <cellStyle name="Normal 33 3 10 11 2" xfId="27826"/>
    <cellStyle name="Normal 33 3 10 11 2 2" xfId="27827"/>
    <cellStyle name="Normal 33 3 10 11 2 2 2" xfId="27828"/>
    <cellStyle name="Normal 33 3 10 11 2 2 2 2" xfId="27829"/>
    <cellStyle name="Normal 33 3 10 11 2 2 3" xfId="27830"/>
    <cellStyle name="Normal 33 3 10 11 2 3" xfId="27831"/>
    <cellStyle name="Normal 33 3 10 11 2 3 2" xfId="27832"/>
    <cellStyle name="Normal 33 3 10 11 2 4" xfId="27833"/>
    <cellStyle name="Normal 33 3 10 11 3" xfId="27834"/>
    <cellStyle name="Normal 33 3 10 11 3 2" xfId="27835"/>
    <cellStyle name="Normal 33 3 10 11 3 2 2" xfId="27836"/>
    <cellStyle name="Normal 33 3 10 11 3 2 2 2" xfId="27837"/>
    <cellStyle name="Normal 33 3 10 11 3 2 3" xfId="27838"/>
    <cellStyle name="Normal 33 3 10 11 3 3" xfId="27839"/>
    <cellStyle name="Normal 33 3 10 11 3 3 2" xfId="27840"/>
    <cellStyle name="Normal 33 3 10 11 3 4" xfId="27841"/>
    <cellStyle name="Normal 33 3 10 11 4" xfId="27842"/>
    <cellStyle name="Normal 33 3 10 11 4 2" xfId="27843"/>
    <cellStyle name="Normal 33 3 10 11 4 2 2" xfId="27844"/>
    <cellStyle name="Normal 33 3 10 11 4 3" xfId="27845"/>
    <cellStyle name="Normal 33 3 10 11 5" xfId="27846"/>
    <cellStyle name="Normal 33 3 10 11 5 2" xfId="27847"/>
    <cellStyle name="Normal 33 3 10 11 6" xfId="27848"/>
    <cellStyle name="Normal 33 3 10 12" xfId="27849"/>
    <cellStyle name="Normal 33 3 10 12 2" xfId="27850"/>
    <cellStyle name="Normal 33 3 10 12 2 2" xfId="27851"/>
    <cellStyle name="Normal 33 3 10 12 2 2 2" xfId="27852"/>
    <cellStyle name="Normal 33 3 10 12 2 2 2 2" xfId="27853"/>
    <cellStyle name="Normal 33 3 10 12 2 2 3" xfId="27854"/>
    <cellStyle name="Normal 33 3 10 12 2 3" xfId="27855"/>
    <cellStyle name="Normal 33 3 10 12 2 3 2" xfId="27856"/>
    <cellStyle name="Normal 33 3 10 12 2 4" xfId="27857"/>
    <cellStyle name="Normal 33 3 10 12 3" xfId="27858"/>
    <cellStyle name="Normal 33 3 10 12 3 2" xfId="27859"/>
    <cellStyle name="Normal 33 3 10 12 3 2 2" xfId="27860"/>
    <cellStyle name="Normal 33 3 10 12 3 2 2 2" xfId="27861"/>
    <cellStyle name="Normal 33 3 10 12 3 2 3" xfId="27862"/>
    <cellStyle name="Normal 33 3 10 12 3 3" xfId="27863"/>
    <cellStyle name="Normal 33 3 10 12 3 3 2" xfId="27864"/>
    <cellStyle name="Normal 33 3 10 12 3 4" xfId="27865"/>
    <cellStyle name="Normal 33 3 10 12 4" xfId="27866"/>
    <cellStyle name="Normal 33 3 10 12 4 2" xfId="27867"/>
    <cellStyle name="Normal 33 3 10 12 4 2 2" xfId="27868"/>
    <cellStyle name="Normal 33 3 10 12 4 3" xfId="27869"/>
    <cellStyle name="Normal 33 3 10 12 5" xfId="27870"/>
    <cellStyle name="Normal 33 3 10 12 5 2" xfId="27871"/>
    <cellStyle name="Normal 33 3 10 12 6" xfId="27872"/>
    <cellStyle name="Normal 33 3 10 13" xfId="27873"/>
    <cellStyle name="Normal 33 3 10 13 2" xfId="27874"/>
    <cellStyle name="Normal 33 3 10 13 2 2" xfId="27875"/>
    <cellStyle name="Normal 33 3 10 13 2 2 2" xfId="27876"/>
    <cellStyle name="Normal 33 3 10 13 2 2 2 2" xfId="27877"/>
    <cellStyle name="Normal 33 3 10 13 2 2 3" xfId="27878"/>
    <cellStyle name="Normal 33 3 10 13 2 3" xfId="27879"/>
    <cellStyle name="Normal 33 3 10 13 2 3 2" xfId="27880"/>
    <cellStyle name="Normal 33 3 10 13 2 4" xfId="27881"/>
    <cellStyle name="Normal 33 3 10 13 3" xfId="27882"/>
    <cellStyle name="Normal 33 3 10 13 3 2" xfId="27883"/>
    <cellStyle name="Normal 33 3 10 13 3 2 2" xfId="27884"/>
    <cellStyle name="Normal 33 3 10 13 3 2 2 2" xfId="27885"/>
    <cellStyle name="Normal 33 3 10 13 3 2 3" xfId="27886"/>
    <cellStyle name="Normal 33 3 10 13 3 3" xfId="27887"/>
    <cellStyle name="Normal 33 3 10 13 3 3 2" xfId="27888"/>
    <cellStyle name="Normal 33 3 10 13 3 4" xfId="27889"/>
    <cellStyle name="Normal 33 3 10 13 4" xfId="27890"/>
    <cellStyle name="Normal 33 3 10 13 4 2" xfId="27891"/>
    <cellStyle name="Normal 33 3 10 13 4 2 2" xfId="27892"/>
    <cellStyle name="Normal 33 3 10 13 4 3" xfId="27893"/>
    <cellStyle name="Normal 33 3 10 13 5" xfId="27894"/>
    <cellStyle name="Normal 33 3 10 13 5 2" xfId="27895"/>
    <cellStyle name="Normal 33 3 10 13 6" xfId="27896"/>
    <cellStyle name="Normal 33 3 10 14" xfId="27897"/>
    <cellStyle name="Normal 33 3 10 14 2" xfId="27898"/>
    <cellStyle name="Normal 33 3 10 14 2 2" xfId="27899"/>
    <cellStyle name="Normal 33 3 10 14 2 2 2" xfId="27900"/>
    <cellStyle name="Normal 33 3 10 14 2 3" xfId="27901"/>
    <cellStyle name="Normal 33 3 10 14 3" xfId="27902"/>
    <cellStyle name="Normal 33 3 10 14 3 2" xfId="27903"/>
    <cellStyle name="Normal 33 3 10 14 4" xfId="27904"/>
    <cellStyle name="Normal 33 3 10 15" xfId="27905"/>
    <cellStyle name="Normal 33 3 10 15 2" xfId="27906"/>
    <cellStyle name="Normal 33 3 10 15 2 2" xfId="27907"/>
    <cellStyle name="Normal 33 3 10 15 2 2 2" xfId="27908"/>
    <cellStyle name="Normal 33 3 10 15 2 3" xfId="27909"/>
    <cellStyle name="Normal 33 3 10 15 3" xfId="27910"/>
    <cellStyle name="Normal 33 3 10 15 3 2" xfId="27911"/>
    <cellStyle name="Normal 33 3 10 15 4" xfId="27912"/>
    <cellStyle name="Normal 33 3 10 16" xfId="27913"/>
    <cellStyle name="Normal 33 3 10 16 2" xfId="27914"/>
    <cellStyle name="Normal 33 3 10 16 2 2" xfId="27915"/>
    <cellStyle name="Normal 33 3 10 16 3" xfId="27916"/>
    <cellStyle name="Normal 33 3 10 17" xfId="27917"/>
    <cellStyle name="Normal 33 3 10 17 2" xfId="27918"/>
    <cellStyle name="Normal 33 3 10 18" xfId="27919"/>
    <cellStyle name="Normal 33 3 10 2" xfId="27920"/>
    <cellStyle name="Normal 33 3 10 2 2" xfId="27921"/>
    <cellStyle name="Normal 33 3 10 2 2 2" xfId="27922"/>
    <cellStyle name="Normal 33 3 10 2 2 2 2" xfId="27923"/>
    <cellStyle name="Normal 33 3 10 2 2 2 2 2" xfId="27924"/>
    <cellStyle name="Normal 33 3 10 2 2 2 3" xfId="27925"/>
    <cellStyle name="Normal 33 3 10 2 2 3" xfId="27926"/>
    <cellStyle name="Normal 33 3 10 2 2 3 2" xfId="27927"/>
    <cellStyle name="Normal 33 3 10 2 2 4" xfId="27928"/>
    <cellStyle name="Normal 33 3 10 2 3" xfId="27929"/>
    <cellStyle name="Normal 33 3 10 2 3 2" xfId="27930"/>
    <cellStyle name="Normal 33 3 10 2 3 2 2" xfId="27931"/>
    <cellStyle name="Normal 33 3 10 2 3 2 2 2" xfId="27932"/>
    <cellStyle name="Normal 33 3 10 2 3 2 3" xfId="27933"/>
    <cellStyle name="Normal 33 3 10 2 3 3" xfId="27934"/>
    <cellStyle name="Normal 33 3 10 2 3 3 2" xfId="27935"/>
    <cellStyle name="Normal 33 3 10 2 3 4" xfId="27936"/>
    <cellStyle name="Normal 33 3 10 2 4" xfId="27937"/>
    <cellStyle name="Normal 33 3 10 2 4 2" xfId="27938"/>
    <cellStyle name="Normal 33 3 10 2 4 2 2" xfId="27939"/>
    <cellStyle name="Normal 33 3 10 2 4 3" xfId="27940"/>
    <cellStyle name="Normal 33 3 10 2 5" xfId="27941"/>
    <cellStyle name="Normal 33 3 10 2 5 2" xfId="27942"/>
    <cellStyle name="Normal 33 3 10 2 6" xfId="27943"/>
    <cellStyle name="Normal 33 3 10 3" xfId="27944"/>
    <cellStyle name="Normal 33 3 10 3 2" xfId="27945"/>
    <cellStyle name="Normal 33 3 10 3 2 2" xfId="27946"/>
    <cellStyle name="Normal 33 3 10 3 2 2 2" xfId="27947"/>
    <cellStyle name="Normal 33 3 10 3 2 2 2 2" xfId="27948"/>
    <cellStyle name="Normal 33 3 10 3 2 2 3" xfId="27949"/>
    <cellStyle name="Normal 33 3 10 3 2 3" xfId="27950"/>
    <cellStyle name="Normal 33 3 10 3 2 3 2" xfId="27951"/>
    <cellStyle name="Normal 33 3 10 3 2 4" xfId="27952"/>
    <cellStyle name="Normal 33 3 10 3 3" xfId="27953"/>
    <cellStyle name="Normal 33 3 10 3 3 2" xfId="27954"/>
    <cellStyle name="Normal 33 3 10 3 3 2 2" xfId="27955"/>
    <cellStyle name="Normal 33 3 10 3 3 2 2 2" xfId="27956"/>
    <cellStyle name="Normal 33 3 10 3 3 2 3" xfId="27957"/>
    <cellStyle name="Normal 33 3 10 3 3 3" xfId="27958"/>
    <cellStyle name="Normal 33 3 10 3 3 3 2" xfId="27959"/>
    <cellStyle name="Normal 33 3 10 3 3 4" xfId="27960"/>
    <cellStyle name="Normal 33 3 10 3 4" xfId="27961"/>
    <cellStyle name="Normal 33 3 10 3 4 2" xfId="27962"/>
    <cellStyle name="Normal 33 3 10 3 4 2 2" xfId="27963"/>
    <cellStyle name="Normal 33 3 10 3 4 3" xfId="27964"/>
    <cellStyle name="Normal 33 3 10 3 5" xfId="27965"/>
    <cellStyle name="Normal 33 3 10 3 5 2" xfId="27966"/>
    <cellStyle name="Normal 33 3 10 3 6" xfId="27967"/>
    <cellStyle name="Normal 33 3 10 4" xfId="27968"/>
    <cellStyle name="Normal 33 3 10 4 2" xfId="27969"/>
    <cellStyle name="Normal 33 3 10 4 2 2" xfId="27970"/>
    <cellStyle name="Normal 33 3 10 4 2 2 2" xfId="27971"/>
    <cellStyle name="Normal 33 3 10 4 2 2 2 2" xfId="27972"/>
    <cellStyle name="Normal 33 3 10 4 2 2 3" xfId="27973"/>
    <cellStyle name="Normal 33 3 10 4 2 3" xfId="27974"/>
    <cellStyle name="Normal 33 3 10 4 2 3 2" xfId="27975"/>
    <cellStyle name="Normal 33 3 10 4 2 4" xfId="27976"/>
    <cellStyle name="Normal 33 3 10 4 3" xfId="27977"/>
    <cellStyle name="Normal 33 3 10 4 3 2" xfId="27978"/>
    <cellStyle name="Normal 33 3 10 4 3 2 2" xfId="27979"/>
    <cellStyle name="Normal 33 3 10 4 3 2 2 2" xfId="27980"/>
    <cellStyle name="Normal 33 3 10 4 3 2 3" xfId="27981"/>
    <cellStyle name="Normal 33 3 10 4 3 3" xfId="27982"/>
    <cellStyle name="Normal 33 3 10 4 3 3 2" xfId="27983"/>
    <cellStyle name="Normal 33 3 10 4 3 4" xfId="27984"/>
    <cellStyle name="Normal 33 3 10 4 4" xfId="27985"/>
    <cellStyle name="Normal 33 3 10 4 4 2" xfId="27986"/>
    <cellStyle name="Normal 33 3 10 4 4 2 2" xfId="27987"/>
    <cellStyle name="Normal 33 3 10 4 4 3" xfId="27988"/>
    <cellStyle name="Normal 33 3 10 4 5" xfId="27989"/>
    <cellStyle name="Normal 33 3 10 4 5 2" xfId="27990"/>
    <cellStyle name="Normal 33 3 10 4 6" xfId="27991"/>
    <cellStyle name="Normal 33 3 10 5" xfId="27992"/>
    <cellStyle name="Normal 33 3 10 5 2" xfId="27993"/>
    <cellStyle name="Normal 33 3 10 5 2 2" xfId="27994"/>
    <cellStyle name="Normal 33 3 10 5 2 2 2" xfId="27995"/>
    <cellStyle name="Normal 33 3 10 5 2 2 2 2" xfId="27996"/>
    <cellStyle name="Normal 33 3 10 5 2 2 3" xfId="27997"/>
    <cellStyle name="Normal 33 3 10 5 2 3" xfId="27998"/>
    <cellStyle name="Normal 33 3 10 5 2 3 2" xfId="27999"/>
    <cellStyle name="Normal 33 3 10 5 2 4" xfId="28000"/>
    <cellStyle name="Normal 33 3 10 5 3" xfId="28001"/>
    <cellStyle name="Normal 33 3 10 5 3 2" xfId="28002"/>
    <cellStyle name="Normal 33 3 10 5 3 2 2" xfId="28003"/>
    <cellStyle name="Normal 33 3 10 5 3 2 2 2" xfId="28004"/>
    <cellStyle name="Normal 33 3 10 5 3 2 3" xfId="28005"/>
    <cellStyle name="Normal 33 3 10 5 3 3" xfId="28006"/>
    <cellStyle name="Normal 33 3 10 5 3 3 2" xfId="28007"/>
    <cellStyle name="Normal 33 3 10 5 3 4" xfId="28008"/>
    <cellStyle name="Normal 33 3 10 5 4" xfId="28009"/>
    <cellStyle name="Normal 33 3 10 5 4 2" xfId="28010"/>
    <cellStyle name="Normal 33 3 10 5 4 2 2" xfId="28011"/>
    <cellStyle name="Normal 33 3 10 5 4 3" xfId="28012"/>
    <cellStyle name="Normal 33 3 10 5 5" xfId="28013"/>
    <cellStyle name="Normal 33 3 10 5 5 2" xfId="28014"/>
    <cellStyle name="Normal 33 3 10 5 6" xfId="28015"/>
    <cellStyle name="Normal 33 3 10 6" xfId="28016"/>
    <cellStyle name="Normal 33 3 10 6 2" xfId="28017"/>
    <cellStyle name="Normal 33 3 10 6 2 2" xfId="28018"/>
    <cellStyle name="Normal 33 3 10 6 2 2 2" xfId="28019"/>
    <cellStyle name="Normal 33 3 10 6 2 2 2 2" xfId="28020"/>
    <cellStyle name="Normal 33 3 10 6 2 2 3" xfId="28021"/>
    <cellStyle name="Normal 33 3 10 6 2 3" xfId="28022"/>
    <cellStyle name="Normal 33 3 10 6 2 3 2" xfId="28023"/>
    <cellStyle name="Normal 33 3 10 6 2 4" xfId="28024"/>
    <cellStyle name="Normal 33 3 10 6 3" xfId="28025"/>
    <cellStyle name="Normal 33 3 10 6 3 2" xfId="28026"/>
    <cellStyle name="Normal 33 3 10 6 3 2 2" xfId="28027"/>
    <cellStyle name="Normal 33 3 10 6 3 2 2 2" xfId="28028"/>
    <cellStyle name="Normal 33 3 10 6 3 2 3" xfId="28029"/>
    <cellStyle name="Normal 33 3 10 6 3 3" xfId="28030"/>
    <cellStyle name="Normal 33 3 10 6 3 3 2" xfId="28031"/>
    <cellStyle name="Normal 33 3 10 6 3 4" xfId="28032"/>
    <cellStyle name="Normal 33 3 10 6 4" xfId="28033"/>
    <cellStyle name="Normal 33 3 10 6 4 2" xfId="28034"/>
    <cellStyle name="Normal 33 3 10 6 4 2 2" xfId="28035"/>
    <cellStyle name="Normal 33 3 10 6 4 3" xfId="28036"/>
    <cellStyle name="Normal 33 3 10 6 5" xfId="28037"/>
    <cellStyle name="Normal 33 3 10 6 5 2" xfId="28038"/>
    <cellStyle name="Normal 33 3 10 6 6" xfId="28039"/>
    <cellStyle name="Normal 33 3 10 7" xfId="28040"/>
    <cellStyle name="Normal 33 3 10 7 2" xfId="28041"/>
    <cellStyle name="Normal 33 3 10 7 2 2" xfId="28042"/>
    <cellStyle name="Normal 33 3 10 7 2 2 2" xfId="28043"/>
    <cellStyle name="Normal 33 3 10 7 2 2 2 2" xfId="28044"/>
    <cellStyle name="Normal 33 3 10 7 2 2 3" xfId="28045"/>
    <cellStyle name="Normal 33 3 10 7 2 3" xfId="28046"/>
    <cellStyle name="Normal 33 3 10 7 2 3 2" xfId="28047"/>
    <cellStyle name="Normal 33 3 10 7 2 4" xfId="28048"/>
    <cellStyle name="Normal 33 3 10 7 3" xfId="28049"/>
    <cellStyle name="Normal 33 3 10 7 3 2" xfId="28050"/>
    <cellStyle name="Normal 33 3 10 7 3 2 2" xfId="28051"/>
    <cellStyle name="Normal 33 3 10 7 3 2 2 2" xfId="28052"/>
    <cellStyle name="Normal 33 3 10 7 3 2 3" xfId="28053"/>
    <cellStyle name="Normal 33 3 10 7 3 3" xfId="28054"/>
    <cellStyle name="Normal 33 3 10 7 3 3 2" xfId="28055"/>
    <cellStyle name="Normal 33 3 10 7 3 4" xfId="28056"/>
    <cellStyle name="Normal 33 3 10 7 4" xfId="28057"/>
    <cellStyle name="Normal 33 3 10 7 4 2" xfId="28058"/>
    <cellStyle name="Normal 33 3 10 7 4 2 2" xfId="28059"/>
    <cellStyle name="Normal 33 3 10 7 4 3" xfId="28060"/>
    <cellStyle name="Normal 33 3 10 7 5" xfId="28061"/>
    <cellStyle name="Normal 33 3 10 7 5 2" xfId="28062"/>
    <cellStyle name="Normal 33 3 10 7 6" xfId="28063"/>
    <cellStyle name="Normal 33 3 10 8" xfId="28064"/>
    <cellStyle name="Normal 33 3 10 8 2" xfId="28065"/>
    <cellStyle name="Normal 33 3 10 8 2 2" xfId="28066"/>
    <cellStyle name="Normal 33 3 10 8 2 2 2" xfId="28067"/>
    <cellStyle name="Normal 33 3 10 8 2 2 2 2" xfId="28068"/>
    <cellStyle name="Normal 33 3 10 8 2 2 3" xfId="28069"/>
    <cellStyle name="Normal 33 3 10 8 2 3" xfId="28070"/>
    <cellStyle name="Normal 33 3 10 8 2 3 2" xfId="28071"/>
    <cellStyle name="Normal 33 3 10 8 2 4" xfId="28072"/>
    <cellStyle name="Normal 33 3 10 8 3" xfId="28073"/>
    <cellStyle name="Normal 33 3 10 8 3 2" xfId="28074"/>
    <cellStyle name="Normal 33 3 10 8 3 2 2" xfId="28075"/>
    <cellStyle name="Normal 33 3 10 8 3 2 2 2" xfId="28076"/>
    <cellStyle name="Normal 33 3 10 8 3 2 3" xfId="28077"/>
    <cellStyle name="Normal 33 3 10 8 3 3" xfId="28078"/>
    <cellStyle name="Normal 33 3 10 8 3 3 2" xfId="28079"/>
    <cellStyle name="Normal 33 3 10 8 3 4" xfId="28080"/>
    <cellStyle name="Normal 33 3 10 8 4" xfId="28081"/>
    <cellStyle name="Normal 33 3 10 8 4 2" xfId="28082"/>
    <cellStyle name="Normal 33 3 10 8 4 2 2" xfId="28083"/>
    <cellStyle name="Normal 33 3 10 8 4 3" xfId="28084"/>
    <cellStyle name="Normal 33 3 10 8 5" xfId="28085"/>
    <cellStyle name="Normal 33 3 10 8 5 2" xfId="28086"/>
    <cellStyle name="Normal 33 3 10 8 6" xfId="28087"/>
    <cellStyle name="Normal 33 3 10 9" xfId="28088"/>
    <cellStyle name="Normal 33 3 10 9 2" xfId="28089"/>
    <cellStyle name="Normal 33 3 10 9 2 2" xfId="28090"/>
    <cellStyle name="Normal 33 3 10 9 2 2 2" xfId="28091"/>
    <cellStyle name="Normal 33 3 10 9 2 2 2 2" xfId="28092"/>
    <cellStyle name="Normal 33 3 10 9 2 2 3" xfId="28093"/>
    <cellStyle name="Normal 33 3 10 9 2 3" xfId="28094"/>
    <cellStyle name="Normal 33 3 10 9 2 3 2" xfId="28095"/>
    <cellStyle name="Normal 33 3 10 9 2 4" xfId="28096"/>
    <cellStyle name="Normal 33 3 10 9 3" xfId="28097"/>
    <cellStyle name="Normal 33 3 10 9 3 2" xfId="28098"/>
    <cellStyle name="Normal 33 3 10 9 3 2 2" xfId="28099"/>
    <cellStyle name="Normal 33 3 10 9 3 2 2 2" xfId="28100"/>
    <cellStyle name="Normal 33 3 10 9 3 2 3" xfId="28101"/>
    <cellStyle name="Normal 33 3 10 9 3 3" xfId="28102"/>
    <cellStyle name="Normal 33 3 10 9 3 3 2" xfId="28103"/>
    <cellStyle name="Normal 33 3 10 9 3 4" xfId="28104"/>
    <cellStyle name="Normal 33 3 10 9 4" xfId="28105"/>
    <cellStyle name="Normal 33 3 10 9 4 2" xfId="28106"/>
    <cellStyle name="Normal 33 3 10 9 4 2 2" xfId="28107"/>
    <cellStyle name="Normal 33 3 10 9 4 3" xfId="28108"/>
    <cellStyle name="Normal 33 3 10 9 5" xfId="28109"/>
    <cellStyle name="Normal 33 3 10 9 5 2" xfId="28110"/>
    <cellStyle name="Normal 33 3 10 9 6" xfId="28111"/>
    <cellStyle name="Normal 33 3 11" xfId="28112"/>
    <cellStyle name="Normal 33 3 11 2" xfId="28113"/>
    <cellStyle name="Normal 33 3 11 2 2" xfId="28114"/>
    <cellStyle name="Normal 33 3 11 2 2 2" xfId="28115"/>
    <cellStyle name="Normal 33 3 11 2 2 2 2" xfId="28116"/>
    <cellStyle name="Normal 33 3 11 2 2 3" xfId="28117"/>
    <cellStyle name="Normal 33 3 11 2 3" xfId="28118"/>
    <cellStyle name="Normal 33 3 11 2 3 2" xfId="28119"/>
    <cellStyle name="Normal 33 3 11 2 4" xfId="28120"/>
    <cellStyle name="Normal 33 3 11 3" xfId="28121"/>
    <cellStyle name="Normal 33 3 11 3 2" xfId="28122"/>
    <cellStyle name="Normal 33 3 11 3 2 2" xfId="28123"/>
    <cellStyle name="Normal 33 3 11 3 2 2 2" xfId="28124"/>
    <cellStyle name="Normal 33 3 11 3 2 3" xfId="28125"/>
    <cellStyle name="Normal 33 3 11 3 3" xfId="28126"/>
    <cellStyle name="Normal 33 3 11 3 3 2" xfId="28127"/>
    <cellStyle name="Normal 33 3 11 3 4" xfId="28128"/>
    <cellStyle name="Normal 33 3 11 4" xfId="28129"/>
    <cellStyle name="Normal 33 3 11 4 2" xfId="28130"/>
    <cellStyle name="Normal 33 3 11 4 2 2" xfId="28131"/>
    <cellStyle name="Normal 33 3 11 4 3" xfId="28132"/>
    <cellStyle name="Normal 33 3 11 5" xfId="28133"/>
    <cellStyle name="Normal 33 3 11 5 2" xfId="28134"/>
    <cellStyle name="Normal 33 3 11 6" xfId="28135"/>
    <cellStyle name="Normal 33 3 12" xfId="28136"/>
    <cellStyle name="Normal 33 3 12 2" xfId="28137"/>
    <cellStyle name="Normal 33 3 12 2 2" xfId="28138"/>
    <cellStyle name="Normal 33 3 12 2 2 2" xfId="28139"/>
    <cellStyle name="Normal 33 3 12 2 2 2 2" xfId="28140"/>
    <cellStyle name="Normal 33 3 12 2 2 3" xfId="28141"/>
    <cellStyle name="Normal 33 3 12 2 3" xfId="28142"/>
    <cellStyle name="Normal 33 3 12 2 3 2" xfId="28143"/>
    <cellStyle name="Normal 33 3 12 2 4" xfId="28144"/>
    <cellStyle name="Normal 33 3 12 3" xfId="28145"/>
    <cellStyle name="Normal 33 3 12 3 2" xfId="28146"/>
    <cellStyle name="Normal 33 3 12 3 2 2" xfId="28147"/>
    <cellStyle name="Normal 33 3 12 3 2 2 2" xfId="28148"/>
    <cellStyle name="Normal 33 3 12 3 2 3" xfId="28149"/>
    <cellStyle name="Normal 33 3 12 3 3" xfId="28150"/>
    <cellStyle name="Normal 33 3 12 3 3 2" xfId="28151"/>
    <cellStyle name="Normal 33 3 12 3 4" xfId="28152"/>
    <cellStyle name="Normal 33 3 12 4" xfId="28153"/>
    <cellStyle name="Normal 33 3 12 4 2" xfId="28154"/>
    <cellStyle name="Normal 33 3 12 4 2 2" xfId="28155"/>
    <cellStyle name="Normal 33 3 12 4 3" xfId="28156"/>
    <cellStyle name="Normal 33 3 12 5" xfId="28157"/>
    <cellStyle name="Normal 33 3 12 5 2" xfId="28158"/>
    <cellStyle name="Normal 33 3 12 6" xfId="28159"/>
    <cellStyle name="Normal 33 3 13" xfId="28160"/>
    <cellStyle name="Normal 33 3 13 2" xfId="28161"/>
    <cellStyle name="Normal 33 3 13 2 2" xfId="28162"/>
    <cellStyle name="Normal 33 3 13 2 2 2" xfId="28163"/>
    <cellStyle name="Normal 33 3 13 2 2 2 2" xfId="28164"/>
    <cellStyle name="Normal 33 3 13 2 2 3" xfId="28165"/>
    <cellStyle name="Normal 33 3 13 2 3" xfId="28166"/>
    <cellStyle name="Normal 33 3 13 2 3 2" xfId="28167"/>
    <cellStyle name="Normal 33 3 13 2 4" xfId="28168"/>
    <cellStyle name="Normal 33 3 13 3" xfId="28169"/>
    <cellStyle name="Normal 33 3 13 3 2" xfId="28170"/>
    <cellStyle name="Normal 33 3 13 3 2 2" xfId="28171"/>
    <cellStyle name="Normal 33 3 13 3 2 2 2" xfId="28172"/>
    <cellStyle name="Normal 33 3 13 3 2 3" xfId="28173"/>
    <cellStyle name="Normal 33 3 13 3 3" xfId="28174"/>
    <cellStyle name="Normal 33 3 13 3 3 2" xfId="28175"/>
    <cellStyle name="Normal 33 3 13 3 4" xfId="28176"/>
    <cellStyle name="Normal 33 3 13 4" xfId="28177"/>
    <cellStyle name="Normal 33 3 13 4 2" xfId="28178"/>
    <cellStyle name="Normal 33 3 13 4 2 2" xfId="28179"/>
    <cellStyle name="Normal 33 3 13 4 3" xfId="28180"/>
    <cellStyle name="Normal 33 3 13 5" xfId="28181"/>
    <cellStyle name="Normal 33 3 13 5 2" xfId="28182"/>
    <cellStyle name="Normal 33 3 13 6" xfId="28183"/>
    <cellStyle name="Normal 33 3 14" xfId="28184"/>
    <cellStyle name="Normal 33 3 14 2" xfId="28185"/>
    <cellStyle name="Normal 33 3 14 2 2" xfId="28186"/>
    <cellStyle name="Normal 33 3 14 2 2 2" xfId="28187"/>
    <cellStyle name="Normal 33 3 14 2 2 2 2" xfId="28188"/>
    <cellStyle name="Normal 33 3 14 2 2 3" xfId="28189"/>
    <cellStyle name="Normal 33 3 14 2 3" xfId="28190"/>
    <cellStyle name="Normal 33 3 14 2 3 2" xfId="28191"/>
    <cellStyle name="Normal 33 3 14 2 4" xfId="28192"/>
    <cellStyle name="Normal 33 3 14 3" xfId="28193"/>
    <cellStyle name="Normal 33 3 14 3 2" xfId="28194"/>
    <cellStyle name="Normal 33 3 14 3 2 2" xfId="28195"/>
    <cellStyle name="Normal 33 3 14 3 2 2 2" xfId="28196"/>
    <cellStyle name="Normal 33 3 14 3 2 3" xfId="28197"/>
    <cellStyle name="Normal 33 3 14 3 3" xfId="28198"/>
    <cellStyle name="Normal 33 3 14 3 3 2" xfId="28199"/>
    <cellStyle name="Normal 33 3 14 3 4" xfId="28200"/>
    <cellStyle name="Normal 33 3 14 4" xfId="28201"/>
    <cellStyle name="Normal 33 3 14 4 2" xfId="28202"/>
    <cellStyle name="Normal 33 3 14 4 2 2" xfId="28203"/>
    <cellStyle name="Normal 33 3 14 4 3" xfId="28204"/>
    <cellStyle name="Normal 33 3 14 5" xfId="28205"/>
    <cellStyle name="Normal 33 3 14 5 2" xfId="28206"/>
    <cellStyle name="Normal 33 3 14 6" xfId="28207"/>
    <cellStyle name="Normal 33 3 15" xfId="28208"/>
    <cellStyle name="Normal 33 3 15 2" xfId="28209"/>
    <cellStyle name="Normal 33 3 15 2 2" xfId="28210"/>
    <cellStyle name="Normal 33 3 15 2 2 2" xfId="28211"/>
    <cellStyle name="Normal 33 3 15 2 2 2 2" xfId="28212"/>
    <cellStyle name="Normal 33 3 15 2 2 3" xfId="28213"/>
    <cellStyle name="Normal 33 3 15 2 3" xfId="28214"/>
    <cellStyle name="Normal 33 3 15 2 3 2" xfId="28215"/>
    <cellStyle name="Normal 33 3 15 2 4" xfId="28216"/>
    <cellStyle name="Normal 33 3 15 3" xfId="28217"/>
    <cellStyle name="Normal 33 3 15 3 2" xfId="28218"/>
    <cellStyle name="Normal 33 3 15 3 2 2" xfId="28219"/>
    <cellStyle name="Normal 33 3 15 3 2 2 2" xfId="28220"/>
    <cellStyle name="Normal 33 3 15 3 2 3" xfId="28221"/>
    <cellStyle name="Normal 33 3 15 3 3" xfId="28222"/>
    <cellStyle name="Normal 33 3 15 3 3 2" xfId="28223"/>
    <cellStyle name="Normal 33 3 15 3 4" xfId="28224"/>
    <cellStyle name="Normal 33 3 15 4" xfId="28225"/>
    <cellStyle name="Normal 33 3 15 4 2" xfId="28226"/>
    <cellStyle name="Normal 33 3 15 4 2 2" xfId="28227"/>
    <cellStyle name="Normal 33 3 15 4 3" xfId="28228"/>
    <cellStyle name="Normal 33 3 15 5" xfId="28229"/>
    <cellStyle name="Normal 33 3 15 5 2" xfId="28230"/>
    <cellStyle name="Normal 33 3 15 6" xfId="28231"/>
    <cellStyle name="Normal 33 3 16" xfId="28232"/>
    <cellStyle name="Normal 33 3 16 2" xfId="28233"/>
    <cellStyle name="Normal 33 3 16 2 2" xfId="28234"/>
    <cellStyle name="Normal 33 3 16 2 2 2" xfId="28235"/>
    <cellStyle name="Normal 33 3 16 2 2 2 2" xfId="28236"/>
    <cellStyle name="Normal 33 3 16 2 2 3" xfId="28237"/>
    <cellStyle name="Normal 33 3 16 2 3" xfId="28238"/>
    <cellStyle name="Normal 33 3 16 2 3 2" xfId="28239"/>
    <cellStyle name="Normal 33 3 16 2 4" xfId="28240"/>
    <cellStyle name="Normal 33 3 16 3" xfId="28241"/>
    <cellStyle name="Normal 33 3 16 3 2" xfId="28242"/>
    <cellStyle name="Normal 33 3 16 3 2 2" xfId="28243"/>
    <cellStyle name="Normal 33 3 16 3 2 2 2" xfId="28244"/>
    <cellStyle name="Normal 33 3 16 3 2 3" xfId="28245"/>
    <cellStyle name="Normal 33 3 16 3 3" xfId="28246"/>
    <cellStyle name="Normal 33 3 16 3 3 2" xfId="28247"/>
    <cellStyle name="Normal 33 3 16 3 4" xfId="28248"/>
    <cellStyle name="Normal 33 3 16 4" xfId="28249"/>
    <cellStyle name="Normal 33 3 16 4 2" xfId="28250"/>
    <cellStyle name="Normal 33 3 16 4 2 2" xfId="28251"/>
    <cellStyle name="Normal 33 3 16 4 3" xfId="28252"/>
    <cellStyle name="Normal 33 3 16 5" xfId="28253"/>
    <cellStyle name="Normal 33 3 16 5 2" xfId="28254"/>
    <cellStyle name="Normal 33 3 16 6" xfId="28255"/>
    <cellStyle name="Normal 33 3 17" xfId="28256"/>
    <cellStyle name="Normal 33 3 17 2" xfId="28257"/>
    <cellStyle name="Normal 33 3 17 2 2" xfId="28258"/>
    <cellStyle name="Normal 33 3 17 2 2 2" xfId="28259"/>
    <cellStyle name="Normal 33 3 17 2 2 2 2" xfId="28260"/>
    <cellStyle name="Normal 33 3 17 2 2 3" xfId="28261"/>
    <cellStyle name="Normal 33 3 17 2 3" xfId="28262"/>
    <cellStyle name="Normal 33 3 17 2 3 2" xfId="28263"/>
    <cellStyle name="Normal 33 3 17 2 4" xfId="28264"/>
    <cellStyle name="Normal 33 3 17 3" xfId="28265"/>
    <cellStyle name="Normal 33 3 17 3 2" xfId="28266"/>
    <cellStyle name="Normal 33 3 17 3 2 2" xfId="28267"/>
    <cellStyle name="Normal 33 3 17 3 2 2 2" xfId="28268"/>
    <cellStyle name="Normal 33 3 17 3 2 3" xfId="28269"/>
    <cellStyle name="Normal 33 3 17 3 3" xfId="28270"/>
    <cellStyle name="Normal 33 3 17 3 3 2" xfId="28271"/>
    <cellStyle name="Normal 33 3 17 3 4" xfId="28272"/>
    <cellStyle name="Normal 33 3 17 4" xfId="28273"/>
    <cellStyle name="Normal 33 3 17 4 2" xfId="28274"/>
    <cellStyle name="Normal 33 3 17 4 2 2" xfId="28275"/>
    <cellStyle name="Normal 33 3 17 4 3" xfId="28276"/>
    <cellStyle name="Normal 33 3 17 5" xfId="28277"/>
    <cellStyle name="Normal 33 3 17 5 2" xfId="28278"/>
    <cellStyle name="Normal 33 3 17 6" xfId="28279"/>
    <cellStyle name="Normal 33 3 18" xfId="28280"/>
    <cellStyle name="Normal 33 3 18 2" xfId="28281"/>
    <cellStyle name="Normal 33 3 18 2 2" xfId="28282"/>
    <cellStyle name="Normal 33 3 18 2 2 2" xfId="28283"/>
    <cellStyle name="Normal 33 3 18 2 2 2 2" xfId="28284"/>
    <cellStyle name="Normal 33 3 18 2 2 3" xfId="28285"/>
    <cellStyle name="Normal 33 3 18 2 3" xfId="28286"/>
    <cellStyle name="Normal 33 3 18 2 3 2" xfId="28287"/>
    <cellStyle name="Normal 33 3 18 2 4" xfId="28288"/>
    <cellStyle name="Normal 33 3 18 3" xfId="28289"/>
    <cellStyle name="Normal 33 3 18 3 2" xfId="28290"/>
    <cellStyle name="Normal 33 3 18 3 2 2" xfId="28291"/>
    <cellStyle name="Normal 33 3 18 3 2 2 2" xfId="28292"/>
    <cellStyle name="Normal 33 3 18 3 2 3" xfId="28293"/>
    <cellStyle name="Normal 33 3 18 3 3" xfId="28294"/>
    <cellStyle name="Normal 33 3 18 3 3 2" xfId="28295"/>
    <cellStyle name="Normal 33 3 18 3 4" xfId="28296"/>
    <cellStyle name="Normal 33 3 18 4" xfId="28297"/>
    <cellStyle name="Normal 33 3 18 4 2" xfId="28298"/>
    <cellStyle name="Normal 33 3 18 4 2 2" xfId="28299"/>
    <cellStyle name="Normal 33 3 18 4 3" xfId="28300"/>
    <cellStyle name="Normal 33 3 18 5" xfId="28301"/>
    <cellStyle name="Normal 33 3 18 5 2" xfId="28302"/>
    <cellStyle name="Normal 33 3 18 6" xfId="28303"/>
    <cellStyle name="Normal 33 3 19" xfId="28304"/>
    <cellStyle name="Normal 33 3 19 2" xfId="28305"/>
    <cellStyle name="Normal 33 3 19 2 2" xfId="28306"/>
    <cellStyle name="Normal 33 3 19 2 2 2" xfId="28307"/>
    <cellStyle name="Normal 33 3 19 2 2 2 2" xfId="28308"/>
    <cellStyle name="Normal 33 3 19 2 2 3" xfId="28309"/>
    <cellStyle name="Normal 33 3 19 2 3" xfId="28310"/>
    <cellStyle name="Normal 33 3 19 2 3 2" xfId="28311"/>
    <cellStyle name="Normal 33 3 19 2 4" xfId="28312"/>
    <cellStyle name="Normal 33 3 19 3" xfId="28313"/>
    <cellStyle name="Normal 33 3 19 3 2" xfId="28314"/>
    <cellStyle name="Normal 33 3 19 3 2 2" xfId="28315"/>
    <cellStyle name="Normal 33 3 19 3 2 2 2" xfId="28316"/>
    <cellStyle name="Normal 33 3 19 3 2 3" xfId="28317"/>
    <cellStyle name="Normal 33 3 19 3 3" xfId="28318"/>
    <cellStyle name="Normal 33 3 19 3 3 2" xfId="28319"/>
    <cellStyle name="Normal 33 3 19 3 4" xfId="28320"/>
    <cellStyle name="Normal 33 3 19 4" xfId="28321"/>
    <cellStyle name="Normal 33 3 19 4 2" xfId="28322"/>
    <cellStyle name="Normal 33 3 19 4 2 2" xfId="28323"/>
    <cellStyle name="Normal 33 3 19 4 3" xfId="28324"/>
    <cellStyle name="Normal 33 3 19 5" xfId="28325"/>
    <cellStyle name="Normal 33 3 19 5 2" xfId="28326"/>
    <cellStyle name="Normal 33 3 19 6" xfId="28327"/>
    <cellStyle name="Normal 33 3 2" xfId="28328"/>
    <cellStyle name="Normal 33 3 2 10" xfId="28329"/>
    <cellStyle name="Normal 33 3 2 10 2" xfId="28330"/>
    <cellStyle name="Normal 33 3 2 10 2 2" xfId="28331"/>
    <cellStyle name="Normal 33 3 2 10 2 2 2" xfId="28332"/>
    <cellStyle name="Normal 33 3 2 10 2 2 2 2" xfId="28333"/>
    <cellStyle name="Normal 33 3 2 10 2 2 3" xfId="28334"/>
    <cellStyle name="Normal 33 3 2 10 2 3" xfId="28335"/>
    <cellStyle name="Normal 33 3 2 10 2 3 2" xfId="28336"/>
    <cellStyle name="Normal 33 3 2 10 2 4" xfId="28337"/>
    <cellStyle name="Normal 33 3 2 10 3" xfId="28338"/>
    <cellStyle name="Normal 33 3 2 10 3 2" xfId="28339"/>
    <cellStyle name="Normal 33 3 2 10 3 2 2" xfId="28340"/>
    <cellStyle name="Normal 33 3 2 10 3 2 2 2" xfId="28341"/>
    <cellStyle name="Normal 33 3 2 10 3 2 3" xfId="28342"/>
    <cellStyle name="Normal 33 3 2 10 3 3" xfId="28343"/>
    <cellStyle name="Normal 33 3 2 10 3 3 2" xfId="28344"/>
    <cellStyle name="Normal 33 3 2 10 3 4" xfId="28345"/>
    <cellStyle name="Normal 33 3 2 10 4" xfId="28346"/>
    <cellStyle name="Normal 33 3 2 10 4 2" xfId="28347"/>
    <cellStyle name="Normal 33 3 2 10 4 2 2" xfId="28348"/>
    <cellStyle name="Normal 33 3 2 10 4 3" xfId="28349"/>
    <cellStyle name="Normal 33 3 2 10 5" xfId="28350"/>
    <cellStyle name="Normal 33 3 2 10 5 2" xfId="28351"/>
    <cellStyle name="Normal 33 3 2 10 6" xfId="28352"/>
    <cellStyle name="Normal 33 3 2 11" xfId="28353"/>
    <cellStyle name="Normal 33 3 2 11 2" xfId="28354"/>
    <cellStyle name="Normal 33 3 2 11 2 2" xfId="28355"/>
    <cellStyle name="Normal 33 3 2 11 2 2 2" xfId="28356"/>
    <cellStyle name="Normal 33 3 2 11 2 2 2 2" xfId="28357"/>
    <cellStyle name="Normal 33 3 2 11 2 2 3" xfId="28358"/>
    <cellStyle name="Normal 33 3 2 11 2 3" xfId="28359"/>
    <cellStyle name="Normal 33 3 2 11 2 3 2" xfId="28360"/>
    <cellStyle name="Normal 33 3 2 11 2 4" xfId="28361"/>
    <cellStyle name="Normal 33 3 2 11 3" xfId="28362"/>
    <cellStyle name="Normal 33 3 2 11 3 2" xfId="28363"/>
    <cellStyle name="Normal 33 3 2 11 3 2 2" xfId="28364"/>
    <cellStyle name="Normal 33 3 2 11 3 2 2 2" xfId="28365"/>
    <cellStyle name="Normal 33 3 2 11 3 2 3" xfId="28366"/>
    <cellStyle name="Normal 33 3 2 11 3 3" xfId="28367"/>
    <cellStyle name="Normal 33 3 2 11 3 3 2" xfId="28368"/>
    <cellStyle name="Normal 33 3 2 11 3 4" xfId="28369"/>
    <cellStyle name="Normal 33 3 2 11 4" xfId="28370"/>
    <cellStyle name="Normal 33 3 2 11 4 2" xfId="28371"/>
    <cellStyle name="Normal 33 3 2 11 4 2 2" xfId="28372"/>
    <cellStyle name="Normal 33 3 2 11 4 3" xfId="28373"/>
    <cellStyle name="Normal 33 3 2 11 5" xfId="28374"/>
    <cellStyle name="Normal 33 3 2 11 5 2" xfId="28375"/>
    <cellStyle name="Normal 33 3 2 11 6" xfId="28376"/>
    <cellStyle name="Normal 33 3 2 12" xfId="28377"/>
    <cellStyle name="Normal 33 3 2 12 2" xfId="28378"/>
    <cellStyle name="Normal 33 3 2 12 2 2" xfId="28379"/>
    <cellStyle name="Normal 33 3 2 12 2 2 2" xfId="28380"/>
    <cellStyle name="Normal 33 3 2 12 2 2 2 2" xfId="28381"/>
    <cellStyle name="Normal 33 3 2 12 2 2 3" xfId="28382"/>
    <cellStyle name="Normal 33 3 2 12 2 3" xfId="28383"/>
    <cellStyle name="Normal 33 3 2 12 2 3 2" xfId="28384"/>
    <cellStyle name="Normal 33 3 2 12 2 4" xfId="28385"/>
    <cellStyle name="Normal 33 3 2 12 3" xfId="28386"/>
    <cellStyle name="Normal 33 3 2 12 3 2" xfId="28387"/>
    <cellStyle name="Normal 33 3 2 12 3 2 2" xfId="28388"/>
    <cellStyle name="Normal 33 3 2 12 3 2 2 2" xfId="28389"/>
    <cellStyle name="Normal 33 3 2 12 3 2 3" xfId="28390"/>
    <cellStyle name="Normal 33 3 2 12 3 3" xfId="28391"/>
    <cellStyle name="Normal 33 3 2 12 3 3 2" xfId="28392"/>
    <cellStyle name="Normal 33 3 2 12 3 4" xfId="28393"/>
    <cellStyle name="Normal 33 3 2 12 4" xfId="28394"/>
    <cellStyle name="Normal 33 3 2 12 4 2" xfId="28395"/>
    <cellStyle name="Normal 33 3 2 12 4 2 2" xfId="28396"/>
    <cellStyle name="Normal 33 3 2 12 4 3" xfId="28397"/>
    <cellStyle name="Normal 33 3 2 12 5" xfId="28398"/>
    <cellStyle name="Normal 33 3 2 12 5 2" xfId="28399"/>
    <cellStyle name="Normal 33 3 2 12 6" xfId="28400"/>
    <cellStyle name="Normal 33 3 2 13" xfId="28401"/>
    <cellStyle name="Normal 33 3 2 13 2" xfId="28402"/>
    <cellStyle name="Normal 33 3 2 13 2 2" xfId="28403"/>
    <cellStyle name="Normal 33 3 2 13 2 2 2" xfId="28404"/>
    <cellStyle name="Normal 33 3 2 13 2 2 2 2" xfId="28405"/>
    <cellStyle name="Normal 33 3 2 13 2 2 3" xfId="28406"/>
    <cellStyle name="Normal 33 3 2 13 2 3" xfId="28407"/>
    <cellStyle name="Normal 33 3 2 13 2 3 2" xfId="28408"/>
    <cellStyle name="Normal 33 3 2 13 2 4" xfId="28409"/>
    <cellStyle name="Normal 33 3 2 13 3" xfId="28410"/>
    <cellStyle name="Normal 33 3 2 13 3 2" xfId="28411"/>
    <cellStyle name="Normal 33 3 2 13 3 2 2" xfId="28412"/>
    <cellStyle name="Normal 33 3 2 13 3 2 2 2" xfId="28413"/>
    <cellStyle name="Normal 33 3 2 13 3 2 3" xfId="28414"/>
    <cellStyle name="Normal 33 3 2 13 3 3" xfId="28415"/>
    <cellStyle name="Normal 33 3 2 13 3 3 2" xfId="28416"/>
    <cellStyle name="Normal 33 3 2 13 3 4" xfId="28417"/>
    <cellStyle name="Normal 33 3 2 13 4" xfId="28418"/>
    <cellStyle name="Normal 33 3 2 13 4 2" xfId="28419"/>
    <cellStyle name="Normal 33 3 2 13 4 2 2" xfId="28420"/>
    <cellStyle name="Normal 33 3 2 13 4 3" xfId="28421"/>
    <cellStyle name="Normal 33 3 2 13 5" xfId="28422"/>
    <cellStyle name="Normal 33 3 2 13 5 2" xfId="28423"/>
    <cellStyle name="Normal 33 3 2 13 6" xfId="28424"/>
    <cellStyle name="Normal 33 3 2 14" xfId="28425"/>
    <cellStyle name="Normal 33 3 2 14 2" xfId="28426"/>
    <cellStyle name="Normal 33 3 2 14 2 2" xfId="28427"/>
    <cellStyle name="Normal 33 3 2 14 2 2 2" xfId="28428"/>
    <cellStyle name="Normal 33 3 2 14 2 3" xfId="28429"/>
    <cellStyle name="Normal 33 3 2 14 3" xfId="28430"/>
    <cellStyle name="Normal 33 3 2 14 3 2" xfId="28431"/>
    <cellStyle name="Normal 33 3 2 14 4" xfId="28432"/>
    <cellStyle name="Normal 33 3 2 15" xfId="28433"/>
    <cellStyle name="Normal 33 3 2 15 2" xfId="28434"/>
    <cellStyle name="Normal 33 3 2 15 2 2" xfId="28435"/>
    <cellStyle name="Normal 33 3 2 15 2 2 2" xfId="28436"/>
    <cellStyle name="Normal 33 3 2 15 2 3" xfId="28437"/>
    <cellStyle name="Normal 33 3 2 15 3" xfId="28438"/>
    <cellStyle name="Normal 33 3 2 15 3 2" xfId="28439"/>
    <cellStyle name="Normal 33 3 2 15 4" xfId="28440"/>
    <cellStyle name="Normal 33 3 2 16" xfId="28441"/>
    <cellStyle name="Normal 33 3 2 16 2" xfId="28442"/>
    <cellStyle name="Normal 33 3 2 16 2 2" xfId="28443"/>
    <cellStyle name="Normal 33 3 2 16 3" xfId="28444"/>
    <cellStyle name="Normal 33 3 2 17" xfId="28445"/>
    <cellStyle name="Normal 33 3 2 17 2" xfId="28446"/>
    <cellStyle name="Normal 33 3 2 18" xfId="28447"/>
    <cellStyle name="Normal 33 3 2 2" xfId="28448"/>
    <cellStyle name="Normal 33 3 2 2 2" xfId="28449"/>
    <cellStyle name="Normal 33 3 2 2 2 2" xfId="28450"/>
    <cellStyle name="Normal 33 3 2 2 2 2 2" xfId="28451"/>
    <cellStyle name="Normal 33 3 2 2 2 2 2 2" xfId="28452"/>
    <cellStyle name="Normal 33 3 2 2 2 2 3" xfId="28453"/>
    <cellStyle name="Normal 33 3 2 2 2 3" xfId="28454"/>
    <cellStyle name="Normal 33 3 2 2 2 3 2" xfId="28455"/>
    <cellStyle name="Normal 33 3 2 2 2 4" xfId="28456"/>
    <cellStyle name="Normal 33 3 2 2 3" xfId="28457"/>
    <cellStyle name="Normal 33 3 2 2 3 2" xfId="28458"/>
    <cellStyle name="Normal 33 3 2 2 3 2 2" xfId="28459"/>
    <cellStyle name="Normal 33 3 2 2 3 2 2 2" xfId="28460"/>
    <cellStyle name="Normal 33 3 2 2 3 2 3" xfId="28461"/>
    <cellStyle name="Normal 33 3 2 2 3 3" xfId="28462"/>
    <cellStyle name="Normal 33 3 2 2 3 3 2" xfId="28463"/>
    <cellStyle name="Normal 33 3 2 2 3 4" xfId="28464"/>
    <cellStyle name="Normal 33 3 2 2 4" xfId="28465"/>
    <cellStyle name="Normal 33 3 2 2 4 2" xfId="28466"/>
    <cellStyle name="Normal 33 3 2 2 4 2 2" xfId="28467"/>
    <cellStyle name="Normal 33 3 2 2 4 3" xfId="28468"/>
    <cellStyle name="Normal 33 3 2 2 5" xfId="28469"/>
    <cellStyle name="Normal 33 3 2 2 5 2" xfId="28470"/>
    <cellStyle name="Normal 33 3 2 2 6" xfId="28471"/>
    <cellStyle name="Normal 33 3 2 3" xfId="28472"/>
    <cellStyle name="Normal 33 3 2 3 2" xfId="28473"/>
    <cellStyle name="Normal 33 3 2 3 2 2" xfId="28474"/>
    <cellStyle name="Normal 33 3 2 3 2 2 2" xfId="28475"/>
    <cellStyle name="Normal 33 3 2 3 2 2 2 2" xfId="28476"/>
    <cellStyle name="Normal 33 3 2 3 2 2 3" xfId="28477"/>
    <cellStyle name="Normal 33 3 2 3 2 3" xfId="28478"/>
    <cellStyle name="Normal 33 3 2 3 2 3 2" xfId="28479"/>
    <cellStyle name="Normal 33 3 2 3 2 4" xfId="28480"/>
    <cellStyle name="Normal 33 3 2 3 3" xfId="28481"/>
    <cellStyle name="Normal 33 3 2 3 3 2" xfId="28482"/>
    <cellStyle name="Normal 33 3 2 3 3 2 2" xfId="28483"/>
    <cellStyle name="Normal 33 3 2 3 3 2 2 2" xfId="28484"/>
    <cellStyle name="Normal 33 3 2 3 3 2 3" xfId="28485"/>
    <cellStyle name="Normal 33 3 2 3 3 3" xfId="28486"/>
    <cellStyle name="Normal 33 3 2 3 3 3 2" xfId="28487"/>
    <cellStyle name="Normal 33 3 2 3 3 4" xfId="28488"/>
    <cellStyle name="Normal 33 3 2 3 4" xfId="28489"/>
    <cellStyle name="Normal 33 3 2 3 4 2" xfId="28490"/>
    <cellStyle name="Normal 33 3 2 3 4 2 2" xfId="28491"/>
    <cellStyle name="Normal 33 3 2 3 4 3" xfId="28492"/>
    <cellStyle name="Normal 33 3 2 3 5" xfId="28493"/>
    <cellStyle name="Normal 33 3 2 3 5 2" xfId="28494"/>
    <cellStyle name="Normal 33 3 2 3 6" xfId="28495"/>
    <cellStyle name="Normal 33 3 2 4" xfId="28496"/>
    <cellStyle name="Normal 33 3 2 4 2" xfId="28497"/>
    <cellStyle name="Normal 33 3 2 4 2 2" xfId="28498"/>
    <cellStyle name="Normal 33 3 2 4 2 2 2" xfId="28499"/>
    <cellStyle name="Normal 33 3 2 4 2 2 2 2" xfId="28500"/>
    <cellStyle name="Normal 33 3 2 4 2 2 3" xfId="28501"/>
    <cellStyle name="Normal 33 3 2 4 2 3" xfId="28502"/>
    <cellStyle name="Normal 33 3 2 4 2 3 2" xfId="28503"/>
    <cellStyle name="Normal 33 3 2 4 2 4" xfId="28504"/>
    <cellStyle name="Normal 33 3 2 4 3" xfId="28505"/>
    <cellStyle name="Normal 33 3 2 4 3 2" xfId="28506"/>
    <cellStyle name="Normal 33 3 2 4 3 2 2" xfId="28507"/>
    <cellStyle name="Normal 33 3 2 4 3 2 2 2" xfId="28508"/>
    <cellStyle name="Normal 33 3 2 4 3 2 3" xfId="28509"/>
    <cellStyle name="Normal 33 3 2 4 3 3" xfId="28510"/>
    <cellStyle name="Normal 33 3 2 4 3 3 2" xfId="28511"/>
    <cellStyle name="Normal 33 3 2 4 3 4" xfId="28512"/>
    <cellStyle name="Normal 33 3 2 4 4" xfId="28513"/>
    <cellStyle name="Normal 33 3 2 4 4 2" xfId="28514"/>
    <cellStyle name="Normal 33 3 2 4 4 2 2" xfId="28515"/>
    <cellStyle name="Normal 33 3 2 4 4 3" xfId="28516"/>
    <cellStyle name="Normal 33 3 2 4 5" xfId="28517"/>
    <cellStyle name="Normal 33 3 2 4 5 2" xfId="28518"/>
    <cellStyle name="Normal 33 3 2 4 6" xfId="28519"/>
    <cellStyle name="Normal 33 3 2 5" xfId="28520"/>
    <cellStyle name="Normal 33 3 2 5 2" xfId="28521"/>
    <cellStyle name="Normal 33 3 2 5 2 2" xfId="28522"/>
    <cellStyle name="Normal 33 3 2 5 2 2 2" xfId="28523"/>
    <cellStyle name="Normal 33 3 2 5 2 2 2 2" xfId="28524"/>
    <cellStyle name="Normal 33 3 2 5 2 2 3" xfId="28525"/>
    <cellStyle name="Normal 33 3 2 5 2 3" xfId="28526"/>
    <cellStyle name="Normal 33 3 2 5 2 3 2" xfId="28527"/>
    <cellStyle name="Normal 33 3 2 5 2 4" xfId="28528"/>
    <cellStyle name="Normal 33 3 2 5 3" xfId="28529"/>
    <cellStyle name="Normal 33 3 2 5 3 2" xfId="28530"/>
    <cellStyle name="Normal 33 3 2 5 3 2 2" xfId="28531"/>
    <cellStyle name="Normal 33 3 2 5 3 2 2 2" xfId="28532"/>
    <cellStyle name="Normal 33 3 2 5 3 2 3" xfId="28533"/>
    <cellStyle name="Normal 33 3 2 5 3 3" xfId="28534"/>
    <cellStyle name="Normal 33 3 2 5 3 3 2" xfId="28535"/>
    <cellStyle name="Normal 33 3 2 5 3 4" xfId="28536"/>
    <cellStyle name="Normal 33 3 2 5 4" xfId="28537"/>
    <cellStyle name="Normal 33 3 2 5 4 2" xfId="28538"/>
    <cellStyle name="Normal 33 3 2 5 4 2 2" xfId="28539"/>
    <cellStyle name="Normal 33 3 2 5 4 3" xfId="28540"/>
    <cellStyle name="Normal 33 3 2 5 5" xfId="28541"/>
    <cellStyle name="Normal 33 3 2 5 5 2" xfId="28542"/>
    <cellStyle name="Normal 33 3 2 5 6" xfId="28543"/>
    <cellStyle name="Normal 33 3 2 6" xfId="28544"/>
    <cellStyle name="Normal 33 3 2 6 2" xfId="28545"/>
    <cellStyle name="Normal 33 3 2 6 2 2" xfId="28546"/>
    <cellStyle name="Normal 33 3 2 6 2 2 2" xfId="28547"/>
    <cellStyle name="Normal 33 3 2 6 2 2 2 2" xfId="28548"/>
    <cellStyle name="Normal 33 3 2 6 2 2 3" xfId="28549"/>
    <cellStyle name="Normal 33 3 2 6 2 3" xfId="28550"/>
    <cellStyle name="Normal 33 3 2 6 2 3 2" xfId="28551"/>
    <cellStyle name="Normal 33 3 2 6 2 4" xfId="28552"/>
    <cellStyle name="Normal 33 3 2 6 3" xfId="28553"/>
    <cellStyle name="Normal 33 3 2 6 3 2" xfId="28554"/>
    <cellStyle name="Normal 33 3 2 6 3 2 2" xfId="28555"/>
    <cellStyle name="Normal 33 3 2 6 3 2 2 2" xfId="28556"/>
    <cellStyle name="Normal 33 3 2 6 3 2 3" xfId="28557"/>
    <cellStyle name="Normal 33 3 2 6 3 3" xfId="28558"/>
    <cellStyle name="Normal 33 3 2 6 3 3 2" xfId="28559"/>
    <cellStyle name="Normal 33 3 2 6 3 4" xfId="28560"/>
    <cellStyle name="Normal 33 3 2 6 4" xfId="28561"/>
    <cellStyle name="Normal 33 3 2 6 4 2" xfId="28562"/>
    <cellStyle name="Normal 33 3 2 6 4 2 2" xfId="28563"/>
    <cellStyle name="Normal 33 3 2 6 4 3" xfId="28564"/>
    <cellStyle name="Normal 33 3 2 6 5" xfId="28565"/>
    <cellStyle name="Normal 33 3 2 6 5 2" xfId="28566"/>
    <cellStyle name="Normal 33 3 2 6 6" xfId="28567"/>
    <cellStyle name="Normal 33 3 2 7" xfId="28568"/>
    <cellStyle name="Normal 33 3 2 7 2" xfId="28569"/>
    <cellStyle name="Normal 33 3 2 7 2 2" xfId="28570"/>
    <cellStyle name="Normal 33 3 2 7 2 2 2" xfId="28571"/>
    <cellStyle name="Normal 33 3 2 7 2 2 2 2" xfId="28572"/>
    <cellStyle name="Normal 33 3 2 7 2 2 3" xfId="28573"/>
    <cellStyle name="Normal 33 3 2 7 2 3" xfId="28574"/>
    <cellStyle name="Normal 33 3 2 7 2 3 2" xfId="28575"/>
    <cellStyle name="Normal 33 3 2 7 2 4" xfId="28576"/>
    <cellStyle name="Normal 33 3 2 7 3" xfId="28577"/>
    <cellStyle name="Normal 33 3 2 7 3 2" xfId="28578"/>
    <cellStyle name="Normal 33 3 2 7 3 2 2" xfId="28579"/>
    <cellStyle name="Normal 33 3 2 7 3 2 2 2" xfId="28580"/>
    <cellStyle name="Normal 33 3 2 7 3 2 3" xfId="28581"/>
    <cellStyle name="Normal 33 3 2 7 3 3" xfId="28582"/>
    <cellStyle name="Normal 33 3 2 7 3 3 2" xfId="28583"/>
    <cellStyle name="Normal 33 3 2 7 3 4" xfId="28584"/>
    <cellStyle name="Normal 33 3 2 7 4" xfId="28585"/>
    <cellStyle name="Normal 33 3 2 7 4 2" xfId="28586"/>
    <cellStyle name="Normal 33 3 2 7 4 2 2" xfId="28587"/>
    <cellStyle name="Normal 33 3 2 7 4 3" xfId="28588"/>
    <cellStyle name="Normal 33 3 2 7 5" xfId="28589"/>
    <cellStyle name="Normal 33 3 2 7 5 2" xfId="28590"/>
    <cellStyle name="Normal 33 3 2 7 6" xfId="28591"/>
    <cellStyle name="Normal 33 3 2 8" xfId="28592"/>
    <cellStyle name="Normal 33 3 2 8 2" xfId="28593"/>
    <cellStyle name="Normal 33 3 2 8 2 2" xfId="28594"/>
    <cellStyle name="Normal 33 3 2 8 2 2 2" xfId="28595"/>
    <cellStyle name="Normal 33 3 2 8 2 2 2 2" xfId="28596"/>
    <cellStyle name="Normal 33 3 2 8 2 2 3" xfId="28597"/>
    <cellStyle name="Normal 33 3 2 8 2 3" xfId="28598"/>
    <cellStyle name="Normal 33 3 2 8 2 3 2" xfId="28599"/>
    <cellStyle name="Normal 33 3 2 8 2 4" xfId="28600"/>
    <cellStyle name="Normal 33 3 2 8 3" xfId="28601"/>
    <cellStyle name="Normal 33 3 2 8 3 2" xfId="28602"/>
    <cellStyle name="Normal 33 3 2 8 3 2 2" xfId="28603"/>
    <cellStyle name="Normal 33 3 2 8 3 2 2 2" xfId="28604"/>
    <cellStyle name="Normal 33 3 2 8 3 2 3" xfId="28605"/>
    <cellStyle name="Normal 33 3 2 8 3 3" xfId="28606"/>
    <cellStyle name="Normal 33 3 2 8 3 3 2" xfId="28607"/>
    <cellStyle name="Normal 33 3 2 8 3 4" xfId="28608"/>
    <cellStyle name="Normal 33 3 2 8 4" xfId="28609"/>
    <cellStyle name="Normal 33 3 2 8 4 2" xfId="28610"/>
    <cellStyle name="Normal 33 3 2 8 4 2 2" xfId="28611"/>
    <cellStyle name="Normal 33 3 2 8 4 3" xfId="28612"/>
    <cellStyle name="Normal 33 3 2 8 5" xfId="28613"/>
    <cellStyle name="Normal 33 3 2 8 5 2" xfId="28614"/>
    <cellStyle name="Normal 33 3 2 8 6" xfId="28615"/>
    <cellStyle name="Normal 33 3 2 9" xfId="28616"/>
    <cellStyle name="Normal 33 3 2 9 2" xfId="28617"/>
    <cellStyle name="Normal 33 3 2 9 2 2" xfId="28618"/>
    <cellStyle name="Normal 33 3 2 9 2 2 2" xfId="28619"/>
    <cellStyle name="Normal 33 3 2 9 2 2 2 2" xfId="28620"/>
    <cellStyle name="Normal 33 3 2 9 2 2 3" xfId="28621"/>
    <cellStyle name="Normal 33 3 2 9 2 3" xfId="28622"/>
    <cellStyle name="Normal 33 3 2 9 2 3 2" xfId="28623"/>
    <cellStyle name="Normal 33 3 2 9 2 4" xfId="28624"/>
    <cellStyle name="Normal 33 3 2 9 3" xfId="28625"/>
    <cellStyle name="Normal 33 3 2 9 3 2" xfId="28626"/>
    <cellStyle name="Normal 33 3 2 9 3 2 2" xfId="28627"/>
    <cellStyle name="Normal 33 3 2 9 3 2 2 2" xfId="28628"/>
    <cellStyle name="Normal 33 3 2 9 3 2 3" xfId="28629"/>
    <cellStyle name="Normal 33 3 2 9 3 3" xfId="28630"/>
    <cellStyle name="Normal 33 3 2 9 3 3 2" xfId="28631"/>
    <cellStyle name="Normal 33 3 2 9 3 4" xfId="28632"/>
    <cellStyle name="Normal 33 3 2 9 4" xfId="28633"/>
    <cellStyle name="Normal 33 3 2 9 4 2" xfId="28634"/>
    <cellStyle name="Normal 33 3 2 9 4 2 2" xfId="28635"/>
    <cellStyle name="Normal 33 3 2 9 4 3" xfId="28636"/>
    <cellStyle name="Normal 33 3 2 9 5" xfId="28637"/>
    <cellStyle name="Normal 33 3 2 9 5 2" xfId="28638"/>
    <cellStyle name="Normal 33 3 2 9 6" xfId="28639"/>
    <cellStyle name="Normal 33 3 20" xfId="28640"/>
    <cellStyle name="Normal 33 3 20 2" xfId="28641"/>
    <cellStyle name="Normal 33 3 20 2 2" xfId="28642"/>
    <cellStyle name="Normal 33 3 20 2 2 2" xfId="28643"/>
    <cellStyle name="Normal 33 3 20 2 2 2 2" xfId="28644"/>
    <cellStyle name="Normal 33 3 20 2 2 3" xfId="28645"/>
    <cellStyle name="Normal 33 3 20 2 3" xfId="28646"/>
    <cellStyle name="Normal 33 3 20 2 3 2" xfId="28647"/>
    <cellStyle name="Normal 33 3 20 2 4" xfId="28648"/>
    <cellStyle name="Normal 33 3 20 3" xfId="28649"/>
    <cellStyle name="Normal 33 3 20 3 2" xfId="28650"/>
    <cellStyle name="Normal 33 3 20 3 2 2" xfId="28651"/>
    <cellStyle name="Normal 33 3 20 3 2 2 2" xfId="28652"/>
    <cellStyle name="Normal 33 3 20 3 2 3" xfId="28653"/>
    <cellStyle name="Normal 33 3 20 3 3" xfId="28654"/>
    <cellStyle name="Normal 33 3 20 3 3 2" xfId="28655"/>
    <cellStyle name="Normal 33 3 20 3 4" xfId="28656"/>
    <cellStyle name="Normal 33 3 20 4" xfId="28657"/>
    <cellStyle name="Normal 33 3 20 4 2" xfId="28658"/>
    <cellStyle name="Normal 33 3 20 4 2 2" xfId="28659"/>
    <cellStyle name="Normal 33 3 20 4 3" xfId="28660"/>
    <cellStyle name="Normal 33 3 20 5" xfId="28661"/>
    <cellStyle name="Normal 33 3 20 5 2" xfId="28662"/>
    <cellStyle name="Normal 33 3 20 6" xfId="28663"/>
    <cellStyle name="Normal 33 3 21" xfId="28664"/>
    <cellStyle name="Normal 33 3 21 2" xfId="28665"/>
    <cellStyle name="Normal 33 3 21 2 2" xfId="28666"/>
    <cellStyle name="Normal 33 3 21 2 2 2" xfId="28667"/>
    <cellStyle name="Normal 33 3 21 2 2 2 2" xfId="28668"/>
    <cellStyle name="Normal 33 3 21 2 2 3" xfId="28669"/>
    <cellStyle name="Normal 33 3 21 2 3" xfId="28670"/>
    <cellStyle name="Normal 33 3 21 2 3 2" xfId="28671"/>
    <cellStyle name="Normal 33 3 21 2 4" xfId="28672"/>
    <cellStyle name="Normal 33 3 21 3" xfId="28673"/>
    <cellStyle name="Normal 33 3 21 3 2" xfId="28674"/>
    <cellStyle name="Normal 33 3 21 3 2 2" xfId="28675"/>
    <cellStyle name="Normal 33 3 21 3 2 2 2" xfId="28676"/>
    <cellStyle name="Normal 33 3 21 3 2 3" xfId="28677"/>
    <cellStyle name="Normal 33 3 21 3 3" xfId="28678"/>
    <cellStyle name="Normal 33 3 21 3 3 2" xfId="28679"/>
    <cellStyle name="Normal 33 3 21 3 4" xfId="28680"/>
    <cellStyle name="Normal 33 3 21 4" xfId="28681"/>
    <cellStyle name="Normal 33 3 21 4 2" xfId="28682"/>
    <cellStyle name="Normal 33 3 21 4 2 2" xfId="28683"/>
    <cellStyle name="Normal 33 3 21 4 3" xfId="28684"/>
    <cellStyle name="Normal 33 3 21 5" xfId="28685"/>
    <cellStyle name="Normal 33 3 21 5 2" xfId="28686"/>
    <cellStyle name="Normal 33 3 21 6" xfId="28687"/>
    <cellStyle name="Normal 33 3 22" xfId="28688"/>
    <cellStyle name="Normal 33 3 22 2" xfId="28689"/>
    <cellStyle name="Normal 33 3 22 2 2" xfId="28690"/>
    <cellStyle name="Normal 33 3 22 2 2 2" xfId="28691"/>
    <cellStyle name="Normal 33 3 22 2 2 2 2" xfId="28692"/>
    <cellStyle name="Normal 33 3 22 2 2 3" xfId="28693"/>
    <cellStyle name="Normal 33 3 22 2 3" xfId="28694"/>
    <cellStyle name="Normal 33 3 22 2 3 2" xfId="28695"/>
    <cellStyle name="Normal 33 3 22 2 4" xfId="28696"/>
    <cellStyle name="Normal 33 3 22 3" xfId="28697"/>
    <cellStyle name="Normal 33 3 22 3 2" xfId="28698"/>
    <cellStyle name="Normal 33 3 22 3 2 2" xfId="28699"/>
    <cellStyle name="Normal 33 3 22 3 2 2 2" xfId="28700"/>
    <cellStyle name="Normal 33 3 22 3 2 3" xfId="28701"/>
    <cellStyle name="Normal 33 3 22 3 3" xfId="28702"/>
    <cellStyle name="Normal 33 3 22 3 3 2" xfId="28703"/>
    <cellStyle name="Normal 33 3 22 3 4" xfId="28704"/>
    <cellStyle name="Normal 33 3 22 4" xfId="28705"/>
    <cellStyle name="Normal 33 3 22 4 2" xfId="28706"/>
    <cellStyle name="Normal 33 3 22 4 2 2" xfId="28707"/>
    <cellStyle name="Normal 33 3 22 4 3" xfId="28708"/>
    <cellStyle name="Normal 33 3 22 5" xfId="28709"/>
    <cellStyle name="Normal 33 3 22 5 2" xfId="28710"/>
    <cellStyle name="Normal 33 3 22 6" xfId="28711"/>
    <cellStyle name="Normal 33 3 23" xfId="28712"/>
    <cellStyle name="Normal 33 3 23 2" xfId="28713"/>
    <cellStyle name="Normal 33 3 23 2 2" xfId="28714"/>
    <cellStyle name="Normal 33 3 23 2 2 2" xfId="28715"/>
    <cellStyle name="Normal 33 3 23 2 3" xfId="28716"/>
    <cellStyle name="Normal 33 3 23 3" xfId="28717"/>
    <cellStyle name="Normal 33 3 23 3 2" xfId="28718"/>
    <cellStyle name="Normal 33 3 23 4" xfId="28719"/>
    <cellStyle name="Normal 33 3 24" xfId="28720"/>
    <cellStyle name="Normal 33 3 24 2" xfId="28721"/>
    <cellStyle name="Normal 33 3 24 2 2" xfId="28722"/>
    <cellStyle name="Normal 33 3 24 2 2 2" xfId="28723"/>
    <cellStyle name="Normal 33 3 24 2 3" xfId="28724"/>
    <cellStyle name="Normal 33 3 24 3" xfId="28725"/>
    <cellStyle name="Normal 33 3 24 3 2" xfId="28726"/>
    <cellStyle name="Normal 33 3 24 4" xfId="28727"/>
    <cellStyle name="Normal 33 3 25" xfId="28728"/>
    <cellStyle name="Normal 33 3 25 2" xfId="28729"/>
    <cellStyle name="Normal 33 3 25 2 2" xfId="28730"/>
    <cellStyle name="Normal 33 3 25 3" xfId="28731"/>
    <cellStyle name="Normal 33 3 26" xfId="28732"/>
    <cellStyle name="Normal 33 3 26 2" xfId="28733"/>
    <cellStyle name="Normal 33 3 27" xfId="28734"/>
    <cellStyle name="Normal 33 3 3" xfId="28735"/>
    <cellStyle name="Normal 33 3 3 10" xfId="28736"/>
    <cellStyle name="Normal 33 3 3 10 2" xfId="28737"/>
    <cellStyle name="Normal 33 3 3 10 2 2" xfId="28738"/>
    <cellStyle name="Normal 33 3 3 10 2 2 2" xfId="28739"/>
    <cellStyle name="Normal 33 3 3 10 2 2 2 2" xfId="28740"/>
    <cellStyle name="Normal 33 3 3 10 2 2 3" xfId="28741"/>
    <cellStyle name="Normal 33 3 3 10 2 3" xfId="28742"/>
    <cellStyle name="Normal 33 3 3 10 2 3 2" xfId="28743"/>
    <cellStyle name="Normal 33 3 3 10 2 4" xfId="28744"/>
    <cellStyle name="Normal 33 3 3 10 3" xfId="28745"/>
    <cellStyle name="Normal 33 3 3 10 3 2" xfId="28746"/>
    <cellStyle name="Normal 33 3 3 10 3 2 2" xfId="28747"/>
    <cellStyle name="Normal 33 3 3 10 3 2 2 2" xfId="28748"/>
    <cellStyle name="Normal 33 3 3 10 3 2 3" xfId="28749"/>
    <cellStyle name="Normal 33 3 3 10 3 3" xfId="28750"/>
    <cellStyle name="Normal 33 3 3 10 3 3 2" xfId="28751"/>
    <cellStyle name="Normal 33 3 3 10 3 4" xfId="28752"/>
    <cellStyle name="Normal 33 3 3 10 4" xfId="28753"/>
    <cellStyle name="Normal 33 3 3 10 4 2" xfId="28754"/>
    <cellStyle name="Normal 33 3 3 10 4 2 2" xfId="28755"/>
    <cellStyle name="Normal 33 3 3 10 4 3" xfId="28756"/>
    <cellStyle name="Normal 33 3 3 10 5" xfId="28757"/>
    <cellStyle name="Normal 33 3 3 10 5 2" xfId="28758"/>
    <cellStyle name="Normal 33 3 3 10 6" xfId="28759"/>
    <cellStyle name="Normal 33 3 3 11" xfId="28760"/>
    <cellStyle name="Normal 33 3 3 11 2" xfId="28761"/>
    <cellStyle name="Normal 33 3 3 11 2 2" xfId="28762"/>
    <cellStyle name="Normal 33 3 3 11 2 2 2" xfId="28763"/>
    <cellStyle name="Normal 33 3 3 11 2 2 2 2" xfId="28764"/>
    <cellStyle name="Normal 33 3 3 11 2 2 3" xfId="28765"/>
    <cellStyle name="Normal 33 3 3 11 2 3" xfId="28766"/>
    <cellStyle name="Normal 33 3 3 11 2 3 2" xfId="28767"/>
    <cellStyle name="Normal 33 3 3 11 2 4" xfId="28768"/>
    <cellStyle name="Normal 33 3 3 11 3" xfId="28769"/>
    <cellStyle name="Normal 33 3 3 11 3 2" xfId="28770"/>
    <cellStyle name="Normal 33 3 3 11 3 2 2" xfId="28771"/>
    <cellStyle name="Normal 33 3 3 11 3 2 2 2" xfId="28772"/>
    <cellStyle name="Normal 33 3 3 11 3 2 3" xfId="28773"/>
    <cellStyle name="Normal 33 3 3 11 3 3" xfId="28774"/>
    <cellStyle name="Normal 33 3 3 11 3 3 2" xfId="28775"/>
    <cellStyle name="Normal 33 3 3 11 3 4" xfId="28776"/>
    <cellStyle name="Normal 33 3 3 11 4" xfId="28777"/>
    <cellStyle name="Normal 33 3 3 11 4 2" xfId="28778"/>
    <cellStyle name="Normal 33 3 3 11 4 2 2" xfId="28779"/>
    <cellStyle name="Normal 33 3 3 11 4 3" xfId="28780"/>
    <cellStyle name="Normal 33 3 3 11 5" xfId="28781"/>
    <cellStyle name="Normal 33 3 3 11 5 2" xfId="28782"/>
    <cellStyle name="Normal 33 3 3 11 6" xfId="28783"/>
    <cellStyle name="Normal 33 3 3 12" xfId="28784"/>
    <cellStyle name="Normal 33 3 3 12 2" xfId="28785"/>
    <cellStyle name="Normal 33 3 3 12 2 2" xfId="28786"/>
    <cellStyle name="Normal 33 3 3 12 2 2 2" xfId="28787"/>
    <cellStyle name="Normal 33 3 3 12 2 2 2 2" xfId="28788"/>
    <cellStyle name="Normal 33 3 3 12 2 2 3" xfId="28789"/>
    <cellStyle name="Normal 33 3 3 12 2 3" xfId="28790"/>
    <cellStyle name="Normal 33 3 3 12 2 3 2" xfId="28791"/>
    <cellStyle name="Normal 33 3 3 12 2 4" xfId="28792"/>
    <cellStyle name="Normal 33 3 3 12 3" xfId="28793"/>
    <cellStyle name="Normal 33 3 3 12 3 2" xfId="28794"/>
    <cellStyle name="Normal 33 3 3 12 3 2 2" xfId="28795"/>
    <cellStyle name="Normal 33 3 3 12 3 2 2 2" xfId="28796"/>
    <cellStyle name="Normal 33 3 3 12 3 2 3" xfId="28797"/>
    <cellStyle name="Normal 33 3 3 12 3 3" xfId="28798"/>
    <cellStyle name="Normal 33 3 3 12 3 3 2" xfId="28799"/>
    <cellStyle name="Normal 33 3 3 12 3 4" xfId="28800"/>
    <cellStyle name="Normal 33 3 3 12 4" xfId="28801"/>
    <cellStyle name="Normal 33 3 3 12 4 2" xfId="28802"/>
    <cellStyle name="Normal 33 3 3 12 4 2 2" xfId="28803"/>
    <cellStyle name="Normal 33 3 3 12 4 3" xfId="28804"/>
    <cellStyle name="Normal 33 3 3 12 5" xfId="28805"/>
    <cellStyle name="Normal 33 3 3 12 5 2" xfId="28806"/>
    <cellStyle name="Normal 33 3 3 12 6" xfId="28807"/>
    <cellStyle name="Normal 33 3 3 13" xfId="28808"/>
    <cellStyle name="Normal 33 3 3 13 2" xfId="28809"/>
    <cellStyle name="Normal 33 3 3 13 2 2" xfId="28810"/>
    <cellStyle name="Normal 33 3 3 13 2 2 2" xfId="28811"/>
    <cellStyle name="Normal 33 3 3 13 2 2 2 2" xfId="28812"/>
    <cellStyle name="Normal 33 3 3 13 2 2 3" xfId="28813"/>
    <cellStyle name="Normal 33 3 3 13 2 3" xfId="28814"/>
    <cellStyle name="Normal 33 3 3 13 2 3 2" xfId="28815"/>
    <cellStyle name="Normal 33 3 3 13 2 4" xfId="28816"/>
    <cellStyle name="Normal 33 3 3 13 3" xfId="28817"/>
    <cellStyle name="Normal 33 3 3 13 3 2" xfId="28818"/>
    <cellStyle name="Normal 33 3 3 13 3 2 2" xfId="28819"/>
    <cellStyle name="Normal 33 3 3 13 3 2 2 2" xfId="28820"/>
    <cellStyle name="Normal 33 3 3 13 3 2 3" xfId="28821"/>
    <cellStyle name="Normal 33 3 3 13 3 3" xfId="28822"/>
    <cellStyle name="Normal 33 3 3 13 3 3 2" xfId="28823"/>
    <cellStyle name="Normal 33 3 3 13 3 4" xfId="28824"/>
    <cellStyle name="Normal 33 3 3 13 4" xfId="28825"/>
    <cellStyle name="Normal 33 3 3 13 4 2" xfId="28826"/>
    <cellStyle name="Normal 33 3 3 13 4 2 2" xfId="28827"/>
    <cellStyle name="Normal 33 3 3 13 4 3" xfId="28828"/>
    <cellStyle name="Normal 33 3 3 13 5" xfId="28829"/>
    <cellStyle name="Normal 33 3 3 13 5 2" xfId="28830"/>
    <cellStyle name="Normal 33 3 3 13 6" xfId="28831"/>
    <cellStyle name="Normal 33 3 3 14" xfId="28832"/>
    <cellStyle name="Normal 33 3 3 14 2" xfId="28833"/>
    <cellStyle name="Normal 33 3 3 14 2 2" xfId="28834"/>
    <cellStyle name="Normal 33 3 3 14 2 2 2" xfId="28835"/>
    <cellStyle name="Normal 33 3 3 14 2 3" xfId="28836"/>
    <cellStyle name="Normal 33 3 3 14 3" xfId="28837"/>
    <cellStyle name="Normal 33 3 3 14 3 2" xfId="28838"/>
    <cellStyle name="Normal 33 3 3 14 4" xfId="28839"/>
    <cellStyle name="Normal 33 3 3 15" xfId="28840"/>
    <cellStyle name="Normal 33 3 3 15 2" xfId="28841"/>
    <cellStyle name="Normal 33 3 3 15 2 2" xfId="28842"/>
    <cellStyle name="Normal 33 3 3 15 2 2 2" xfId="28843"/>
    <cellStyle name="Normal 33 3 3 15 2 3" xfId="28844"/>
    <cellStyle name="Normal 33 3 3 15 3" xfId="28845"/>
    <cellStyle name="Normal 33 3 3 15 3 2" xfId="28846"/>
    <cellStyle name="Normal 33 3 3 15 4" xfId="28847"/>
    <cellStyle name="Normal 33 3 3 16" xfId="28848"/>
    <cellStyle name="Normal 33 3 3 16 2" xfId="28849"/>
    <cellStyle name="Normal 33 3 3 16 2 2" xfId="28850"/>
    <cellStyle name="Normal 33 3 3 16 3" xfId="28851"/>
    <cellStyle name="Normal 33 3 3 17" xfId="28852"/>
    <cellStyle name="Normal 33 3 3 17 2" xfId="28853"/>
    <cellStyle name="Normal 33 3 3 18" xfId="28854"/>
    <cellStyle name="Normal 33 3 3 2" xfId="28855"/>
    <cellStyle name="Normal 33 3 3 2 2" xfId="28856"/>
    <cellStyle name="Normal 33 3 3 2 2 2" xfId="28857"/>
    <cellStyle name="Normal 33 3 3 2 2 2 2" xfId="28858"/>
    <cellStyle name="Normal 33 3 3 2 2 2 2 2" xfId="28859"/>
    <cellStyle name="Normal 33 3 3 2 2 2 3" xfId="28860"/>
    <cellStyle name="Normal 33 3 3 2 2 3" xfId="28861"/>
    <cellStyle name="Normal 33 3 3 2 2 3 2" xfId="28862"/>
    <cellStyle name="Normal 33 3 3 2 2 4" xfId="28863"/>
    <cellStyle name="Normal 33 3 3 2 3" xfId="28864"/>
    <cellStyle name="Normal 33 3 3 2 3 2" xfId="28865"/>
    <cellStyle name="Normal 33 3 3 2 3 2 2" xfId="28866"/>
    <cellStyle name="Normal 33 3 3 2 3 2 2 2" xfId="28867"/>
    <cellStyle name="Normal 33 3 3 2 3 2 3" xfId="28868"/>
    <cellStyle name="Normal 33 3 3 2 3 3" xfId="28869"/>
    <cellStyle name="Normal 33 3 3 2 3 3 2" xfId="28870"/>
    <cellStyle name="Normal 33 3 3 2 3 4" xfId="28871"/>
    <cellStyle name="Normal 33 3 3 2 4" xfId="28872"/>
    <cellStyle name="Normal 33 3 3 2 4 2" xfId="28873"/>
    <cellStyle name="Normal 33 3 3 2 4 2 2" xfId="28874"/>
    <cellStyle name="Normal 33 3 3 2 4 3" xfId="28875"/>
    <cellStyle name="Normal 33 3 3 2 5" xfId="28876"/>
    <cellStyle name="Normal 33 3 3 2 5 2" xfId="28877"/>
    <cellStyle name="Normal 33 3 3 2 6" xfId="28878"/>
    <cellStyle name="Normal 33 3 3 3" xfId="28879"/>
    <cellStyle name="Normal 33 3 3 3 2" xfId="28880"/>
    <cellStyle name="Normal 33 3 3 3 2 2" xfId="28881"/>
    <cellStyle name="Normal 33 3 3 3 2 2 2" xfId="28882"/>
    <cellStyle name="Normal 33 3 3 3 2 2 2 2" xfId="28883"/>
    <cellStyle name="Normal 33 3 3 3 2 2 3" xfId="28884"/>
    <cellStyle name="Normal 33 3 3 3 2 3" xfId="28885"/>
    <cellStyle name="Normal 33 3 3 3 2 3 2" xfId="28886"/>
    <cellStyle name="Normal 33 3 3 3 2 4" xfId="28887"/>
    <cellStyle name="Normal 33 3 3 3 3" xfId="28888"/>
    <cellStyle name="Normal 33 3 3 3 3 2" xfId="28889"/>
    <cellStyle name="Normal 33 3 3 3 3 2 2" xfId="28890"/>
    <cellStyle name="Normal 33 3 3 3 3 2 2 2" xfId="28891"/>
    <cellStyle name="Normal 33 3 3 3 3 2 3" xfId="28892"/>
    <cellStyle name="Normal 33 3 3 3 3 3" xfId="28893"/>
    <cellStyle name="Normal 33 3 3 3 3 3 2" xfId="28894"/>
    <cellStyle name="Normal 33 3 3 3 3 4" xfId="28895"/>
    <cellStyle name="Normal 33 3 3 3 4" xfId="28896"/>
    <cellStyle name="Normal 33 3 3 3 4 2" xfId="28897"/>
    <cellStyle name="Normal 33 3 3 3 4 2 2" xfId="28898"/>
    <cellStyle name="Normal 33 3 3 3 4 3" xfId="28899"/>
    <cellStyle name="Normal 33 3 3 3 5" xfId="28900"/>
    <cellStyle name="Normal 33 3 3 3 5 2" xfId="28901"/>
    <cellStyle name="Normal 33 3 3 3 6" xfId="28902"/>
    <cellStyle name="Normal 33 3 3 4" xfId="28903"/>
    <cellStyle name="Normal 33 3 3 4 2" xfId="28904"/>
    <cellStyle name="Normal 33 3 3 4 2 2" xfId="28905"/>
    <cellStyle name="Normal 33 3 3 4 2 2 2" xfId="28906"/>
    <cellStyle name="Normal 33 3 3 4 2 2 2 2" xfId="28907"/>
    <cellStyle name="Normal 33 3 3 4 2 2 3" xfId="28908"/>
    <cellStyle name="Normal 33 3 3 4 2 3" xfId="28909"/>
    <cellStyle name="Normal 33 3 3 4 2 3 2" xfId="28910"/>
    <cellStyle name="Normal 33 3 3 4 2 4" xfId="28911"/>
    <cellStyle name="Normal 33 3 3 4 3" xfId="28912"/>
    <cellStyle name="Normal 33 3 3 4 3 2" xfId="28913"/>
    <cellStyle name="Normal 33 3 3 4 3 2 2" xfId="28914"/>
    <cellStyle name="Normal 33 3 3 4 3 2 2 2" xfId="28915"/>
    <cellStyle name="Normal 33 3 3 4 3 2 3" xfId="28916"/>
    <cellStyle name="Normal 33 3 3 4 3 3" xfId="28917"/>
    <cellStyle name="Normal 33 3 3 4 3 3 2" xfId="28918"/>
    <cellStyle name="Normal 33 3 3 4 3 4" xfId="28919"/>
    <cellStyle name="Normal 33 3 3 4 4" xfId="28920"/>
    <cellStyle name="Normal 33 3 3 4 4 2" xfId="28921"/>
    <cellStyle name="Normal 33 3 3 4 4 2 2" xfId="28922"/>
    <cellStyle name="Normal 33 3 3 4 4 3" xfId="28923"/>
    <cellStyle name="Normal 33 3 3 4 5" xfId="28924"/>
    <cellStyle name="Normal 33 3 3 4 5 2" xfId="28925"/>
    <cellStyle name="Normal 33 3 3 4 6" xfId="28926"/>
    <cellStyle name="Normal 33 3 3 5" xfId="28927"/>
    <cellStyle name="Normal 33 3 3 5 2" xfId="28928"/>
    <cellStyle name="Normal 33 3 3 5 2 2" xfId="28929"/>
    <cellStyle name="Normal 33 3 3 5 2 2 2" xfId="28930"/>
    <cellStyle name="Normal 33 3 3 5 2 2 2 2" xfId="28931"/>
    <cellStyle name="Normal 33 3 3 5 2 2 3" xfId="28932"/>
    <cellStyle name="Normal 33 3 3 5 2 3" xfId="28933"/>
    <cellStyle name="Normal 33 3 3 5 2 3 2" xfId="28934"/>
    <cellStyle name="Normal 33 3 3 5 2 4" xfId="28935"/>
    <cellStyle name="Normal 33 3 3 5 3" xfId="28936"/>
    <cellStyle name="Normal 33 3 3 5 3 2" xfId="28937"/>
    <cellStyle name="Normal 33 3 3 5 3 2 2" xfId="28938"/>
    <cellStyle name="Normal 33 3 3 5 3 2 2 2" xfId="28939"/>
    <cellStyle name="Normal 33 3 3 5 3 2 3" xfId="28940"/>
    <cellStyle name="Normal 33 3 3 5 3 3" xfId="28941"/>
    <cellStyle name="Normal 33 3 3 5 3 3 2" xfId="28942"/>
    <cellStyle name="Normal 33 3 3 5 3 4" xfId="28943"/>
    <cellStyle name="Normal 33 3 3 5 4" xfId="28944"/>
    <cellStyle name="Normal 33 3 3 5 4 2" xfId="28945"/>
    <cellStyle name="Normal 33 3 3 5 4 2 2" xfId="28946"/>
    <cellStyle name="Normal 33 3 3 5 4 3" xfId="28947"/>
    <cellStyle name="Normal 33 3 3 5 5" xfId="28948"/>
    <cellStyle name="Normal 33 3 3 5 5 2" xfId="28949"/>
    <cellStyle name="Normal 33 3 3 5 6" xfId="28950"/>
    <cellStyle name="Normal 33 3 3 6" xfId="28951"/>
    <cellStyle name="Normal 33 3 3 6 2" xfId="28952"/>
    <cellStyle name="Normal 33 3 3 6 2 2" xfId="28953"/>
    <cellStyle name="Normal 33 3 3 6 2 2 2" xfId="28954"/>
    <cellStyle name="Normal 33 3 3 6 2 2 2 2" xfId="28955"/>
    <cellStyle name="Normal 33 3 3 6 2 2 3" xfId="28956"/>
    <cellStyle name="Normal 33 3 3 6 2 3" xfId="28957"/>
    <cellStyle name="Normal 33 3 3 6 2 3 2" xfId="28958"/>
    <cellStyle name="Normal 33 3 3 6 2 4" xfId="28959"/>
    <cellStyle name="Normal 33 3 3 6 3" xfId="28960"/>
    <cellStyle name="Normal 33 3 3 6 3 2" xfId="28961"/>
    <cellStyle name="Normal 33 3 3 6 3 2 2" xfId="28962"/>
    <cellStyle name="Normal 33 3 3 6 3 2 2 2" xfId="28963"/>
    <cellStyle name="Normal 33 3 3 6 3 2 3" xfId="28964"/>
    <cellStyle name="Normal 33 3 3 6 3 3" xfId="28965"/>
    <cellStyle name="Normal 33 3 3 6 3 3 2" xfId="28966"/>
    <cellStyle name="Normal 33 3 3 6 3 4" xfId="28967"/>
    <cellStyle name="Normal 33 3 3 6 4" xfId="28968"/>
    <cellStyle name="Normal 33 3 3 6 4 2" xfId="28969"/>
    <cellStyle name="Normal 33 3 3 6 4 2 2" xfId="28970"/>
    <cellStyle name="Normal 33 3 3 6 4 3" xfId="28971"/>
    <cellStyle name="Normal 33 3 3 6 5" xfId="28972"/>
    <cellStyle name="Normal 33 3 3 6 5 2" xfId="28973"/>
    <cellStyle name="Normal 33 3 3 6 6" xfId="28974"/>
    <cellStyle name="Normal 33 3 3 7" xfId="28975"/>
    <cellStyle name="Normal 33 3 3 7 2" xfId="28976"/>
    <cellStyle name="Normal 33 3 3 7 2 2" xfId="28977"/>
    <cellStyle name="Normal 33 3 3 7 2 2 2" xfId="28978"/>
    <cellStyle name="Normal 33 3 3 7 2 2 2 2" xfId="28979"/>
    <cellStyle name="Normal 33 3 3 7 2 2 3" xfId="28980"/>
    <cellStyle name="Normal 33 3 3 7 2 3" xfId="28981"/>
    <cellStyle name="Normal 33 3 3 7 2 3 2" xfId="28982"/>
    <cellStyle name="Normal 33 3 3 7 2 4" xfId="28983"/>
    <cellStyle name="Normal 33 3 3 7 3" xfId="28984"/>
    <cellStyle name="Normal 33 3 3 7 3 2" xfId="28985"/>
    <cellStyle name="Normal 33 3 3 7 3 2 2" xfId="28986"/>
    <cellStyle name="Normal 33 3 3 7 3 2 2 2" xfId="28987"/>
    <cellStyle name="Normal 33 3 3 7 3 2 3" xfId="28988"/>
    <cellStyle name="Normal 33 3 3 7 3 3" xfId="28989"/>
    <cellStyle name="Normal 33 3 3 7 3 3 2" xfId="28990"/>
    <cellStyle name="Normal 33 3 3 7 3 4" xfId="28991"/>
    <cellStyle name="Normal 33 3 3 7 4" xfId="28992"/>
    <cellStyle name="Normal 33 3 3 7 4 2" xfId="28993"/>
    <cellStyle name="Normal 33 3 3 7 4 2 2" xfId="28994"/>
    <cellStyle name="Normal 33 3 3 7 4 3" xfId="28995"/>
    <cellStyle name="Normal 33 3 3 7 5" xfId="28996"/>
    <cellStyle name="Normal 33 3 3 7 5 2" xfId="28997"/>
    <cellStyle name="Normal 33 3 3 7 6" xfId="28998"/>
    <cellStyle name="Normal 33 3 3 8" xfId="28999"/>
    <cellStyle name="Normal 33 3 3 8 2" xfId="29000"/>
    <cellStyle name="Normal 33 3 3 8 2 2" xfId="29001"/>
    <cellStyle name="Normal 33 3 3 8 2 2 2" xfId="29002"/>
    <cellStyle name="Normal 33 3 3 8 2 2 2 2" xfId="29003"/>
    <cellStyle name="Normal 33 3 3 8 2 2 3" xfId="29004"/>
    <cellStyle name="Normal 33 3 3 8 2 3" xfId="29005"/>
    <cellStyle name="Normal 33 3 3 8 2 3 2" xfId="29006"/>
    <cellStyle name="Normal 33 3 3 8 2 4" xfId="29007"/>
    <cellStyle name="Normal 33 3 3 8 3" xfId="29008"/>
    <cellStyle name="Normal 33 3 3 8 3 2" xfId="29009"/>
    <cellStyle name="Normal 33 3 3 8 3 2 2" xfId="29010"/>
    <cellStyle name="Normal 33 3 3 8 3 2 2 2" xfId="29011"/>
    <cellStyle name="Normal 33 3 3 8 3 2 3" xfId="29012"/>
    <cellStyle name="Normal 33 3 3 8 3 3" xfId="29013"/>
    <cellStyle name="Normal 33 3 3 8 3 3 2" xfId="29014"/>
    <cellStyle name="Normal 33 3 3 8 3 4" xfId="29015"/>
    <cellStyle name="Normal 33 3 3 8 4" xfId="29016"/>
    <cellStyle name="Normal 33 3 3 8 4 2" xfId="29017"/>
    <cellStyle name="Normal 33 3 3 8 4 2 2" xfId="29018"/>
    <cellStyle name="Normal 33 3 3 8 4 3" xfId="29019"/>
    <cellStyle name="Normal 33 3 3 8 5" xfId="29020"/>
    <cellStyle name="Normal 33 3 3 8 5 2" xfId="29021"/>
    <cellStyle name="Normal 33 3 3 8 6" xfId="29022"/>
    <cellStyle name="Normal 33 3 3 9" xfId="29023"/>
    <cellStyle name="Normal 33 3 3 9 2" xfId="29024"/>
    <cellStyle name="Normal 33 3 3 9 2 2" xfId="29025"/>
    <cellStyle name="Normal 33 3 3 9 2 2 2" xfId="29026"/>
    <cellStyle name="Normal 33 3 3 9 2 2 2 2" xfId="29027"/>
    <cellStyle name="Normal 33 3 3 9 2 2 3" xfId="29028"/>
    <cellStyle name="Normal 33 3 3 9 2 3" xfId="29029"/>
    <cellStyle name="Normal 33 3 3 9 2 3 2" xfId="29030"/>
    <cellStyle name="Normal 33 3 3 9 2 4" xfId="29031"/>
    <cellStyle name="Normal 33 3 3 9 3" xfId="29032"/>
    <cellStyle name="Normal 33 3 3 9 3 2" xfId="29033"/>
    <cellStyle name="Normal 33 3 3 9 3 2 2" xfId="29034"/>
    <cellStyle name="Normal 33 3 3 9 3 2 2 2" xfId="29035"/>
    <cellStyle name="Normal 33 3 3 9 3 2 3" xfId="29036"/>
    <cellStyle name="Normal 33 3 3 9 3 3" xfId="29037"/>
    <cellStyle name="Normal 33 3 3 9 3 3 2" xfId="29038"/>
    <cellStyle name="Normal 33 3 3 9 3 4" xfId="29039"/>
    <cellStyle name="Normal 33 3 3 9 4" xfId="29040"/>
    <cellStyle name="Normal 33 3 3 9 4 2" xfId="29041"/>
    <cellStyle name="Normal 33 3 3 9 4 2 2" xfId="29042"/>
    <cellStyle name="Normal 33 3 3 9 4 3" xfId="29043"/>
    <cellStyle name="Normal 33 3 3 9 5" xfId="29044"/>
    <cellStyle name="Normal 33 3 3 9 5 2" xfId="29045"/>
    <cellStyle name="Normal 33 3 3 9 6" xfId="29046"/>
    <cellStyle name="Normal 33 3 4" xfId="29047"/>
    <cellStyle name="Normal 33 3 4 10" xfId="29048"/>
    <cellStyle name="Normal 33 3 4 10 2" xfId="29049"/>
    <cellStyle name="Normal 33 3 4 10 2 2" xfId="29050"/>
    <cellStyle name="Normal 33 3 4 10 2 2 2" xfId="29051"/>
    <cellStyle name="Normal 33 3 4 10 2 2 2 2" xfId="29052"/>
    <cellStyle name="Normal 33 3 4 10 2 2 3" xfId="29053"/>
    <cellStyle name="Normal 33 3 4 10 2 3" xfId="29054"/>
    <cellStyle name="Normal 33 3 4 10 2 3 2" xfId="29055"/>
    <cellStyle name="Normal 33 3 4 10 2 4" xfId="29056"/>
    <cellStyle name="Normal 33 3 4 10 3" xfId="29057"/>
    <cellStyle name="Normal 33 3 4 10 3 2" xfId="29058"/>
    <cellStyle name="Normal 33 3 4 10 3 2 2" xfId="29059"/>
    <cellStyle name="Normal 33 3 4 10 3 2 2 2" xfId="29060"/>
    <cellStyle name="Normal 33 3 4 10 3 2 3" xfId="29061"/>
    <cellStyle name="Normal 33 3 4 10 3 3" xfId="29062"/>
    <cellStyle name="Normal 33 3 4 10 3 3 2" xfId="29063"/>
    <cellStyle name="Normal 33 3 4 10 3 4" xfId="29064"/>
    <cellStyle name="Normal 33 3 4 10 4" xfId="29065"/>
    <cellStyle name="Normal 33 3 4 10 4 2" xfId="29066"/>
    <cellStyle name="Normal 33 3 4 10 4 2 2" xfId="29067"/>
    <cellStyle name="Normal 33 3 4 10 4 3" xfId="29068"/>
    <cellStyle name="Normal 33 3 4 10 5" xfId="29069"/>
    <cellStyle name="Normal 33 3 4 10 5 2" xfId="29070"/>
    <cellStyle name="Normal 33 3 4 10 6" xfId="29071"/>
    <cellStyle name="Normal 33 3 4 11" xfId="29072"/>
    <cellStyle name="Normal 33 3 4 11 2" xfId="29073"/>
    <cellStyle name="Normal 33 3 4 11 2 2" xfId="29074"/>
    <cellStyle name="Normal 33 3 4 11 2 2 2" xfId="29075"/>
    <cellStyle name="Normal 33 3 4 11 2 2 2 2" xfId="29076"/>
    <cellStyle name="Normal 33 3 4 11 2 2 3" xfId="29077"/>
    <cellStyle name="Normal 33 3 4 11 2 3" xfId="29078"/>
    <cellStyle name="Normal 33 3 4 11 2 3 2" xfId="29079"/>
    <cellStyle name="Normal 33 3 4 11 2 4" xfId="29080"/>
    <cellStyle name="Normal 33 3 4 11 3" xfId="29081"/>
    <cellStyle name="Normal 33 3 4 11 3 2" xfId="29082"/>
    <cellStyle name="Normal 33 3 4 11 3 2 2" xfId="29083"/>
    <cellStyle name="Normal 33 3 4 11 3 2 2 2" xfId="29084"/>
    <cellStyle name="Normal 33 3 4 11 3 2 3" xfId="29085"/>
    <cellStyle name="Normal 33 3 4 11 3 3" xfId="29086"/>
    <cellStyle name="Normal 33 3 4 11 3 3 2" xfId="29087"/>
    <cellStyle name="Normal 33 3 4 11 3 4" xfId="29088"/>
    <cellStyle name="Normal 33 3 4 11 4" xfId="29089"/>
    <cellStyle name="Normal 33 3 4 11 4 2" xfId="29090"/>
    <cellStyle name="Normal 33 3 4 11 4 2 2" xfId="29091"/>
    <cellStyle name="Normal 33 3 4 11 4 3" xfId="29092"/>
    <cellStyle name="Normal 33 3 4 11 5" xfId="29093"/>
    <cellStyle name="Normal 33 3 4 11 5 2" xfId="29094"/>
    <cellStyle name="Normal 33 3 4 11 6" xfId="29095"/>
    <cellStyle name="Normal 33 3 4 12" xfId="29096"/>
    <cellStyle name="Normal 33 3 4 12 2" xfId="29097"/>
    <cellStyle name="Normal 33 3 4 12 2 2" xfId="29098"/>
    <cellStyle name="Normal 33 3 4 12 2 2 2" xfId="29099"/>
    <cellStyle name="Normal 33 3 4 12 2 2 2 2" xfId="29100"/>
    <cellStyle name="Normal 33 3 4 12 2 2 3" xfId="29101"/>
    <cellStyle name="Normal 33 3 4 12 2 3" xfId="29102"/>
    <cellStyle name="Normal 33 3 4 12 2 3 2" xfId="29103"/>
    <cellStyle name="Normal 33 3 4 12 2 4" xfId="29104"/>
    <cellStyle name="Normal 33 3 4 12 3" xfId="29105"/>
    <cellStyle name="Normal 33 3 4 12 3 2" xfId="29106"/>
    <cellStyle name="Normal 33 3 4 12 3 2 2" xfId="29107"/>
    <cellStyle name="Normal 33 3 4 12 3 2 2 2" xfId="29108"/>
    <cellStyle name="Normal 33 3 4 12 3 2 3" xfId="29109"/>
    <cellStyle name="Normal 33 3 4 12 3 3" xfId="29110"/>
    <cellStyle name="Normal 33 3 4 12 3 3 2" xfId="29111"/>
    <cellStyle name="Normal 33 3 4 12 3 4" xfId="29112"/>
    <cellStyle name="Normal 33 3 4 12 4" xfId="29113"/>
    <cellStyle name="Normal 33 3 4 12 4 2" xfId="29114"/>
    <cellStyle name="Normal 33 3 4 12 4 2 2" xfId="29115"/>
    <cellStyle name="Normal 33 3 4 12 4 3" xfId="29116"/>
    <cellStyle name="Normal 33 3 4 12 5" xfId="29117"/>
    <cellStyle name="Normal 33 3 4 12 5 2" xfId="29118"/>
    <cellStyle name="Normal 33 3 4 12 6" xfId="29119"/>
    <cellStyle name="Normal 33 3 4 13" xfId="29120"/>
    <cellStyle name="Normal 33 3 4 13 2" xfId="29121"/>
    <cellStyle name="Normal 33 3 4 13 2 2" xfId="29122"/>
    <cellStyle name="Normal 33 3 4 13 2 2 2" xfId="29123"/>
    <cellStyle name="Normal 33 3 4 13 2 2 2 2" xfId="29124"/>
    <cellStyle name="Normal 33 3 4 13 2 2 3" xfId="29125"/>
    <cellStyle name="Normal 33 3 4 13 2 3" xfId="29126"/>
    <cellStyle name="Normal 33 3 4 13 2 3 2" xfId="29127"/>
    <cellStyle name="Normal 33 3 4 13 2 4" xfId="29128"/>
    <cellStyle name="Normal 33 3 4 13 3" xfId="29129"/>
    <cellStyle name="Normal 33 3 4 13 3 2" xfId="29130"/>
    <cellStyle name="Normal 33 3 4 13 3 2 2" xfId="29131"/>
    <cellStyle name="Normal 33 3 4 13 3 2 2 2" xfId="29132"/>
    <cellStyle name="Normal 33 3 4 13 3 2 3" xfId="29133"/>
    <cellStyle name="Normal 33 3 4 13 3 3" xfId="29134"/>
    <cellStyle name="Normal 33 3 4 13 3 3 2" xfId="29135"/>
    <cellStyle name="Normal 33 3 4 13 3 4" xfId="29136"/>
    <cellStyle name="Normal 33 3 4 13 4" xfId="29137"/>
    <cellStyle name="Normal 33 3 4 13 4 2" xfId="29138"/>
    <cellStyle name="Normal 33 3 4 13 4 2 2" xfId="29139"/>
    <cellStyle name="Normal 33 3 4 13 4 3" xfId="29140"/>
    <cellStyle name="Normal 33 3 4 13 5" xfId="29141"/>
    <cellStyle name="Normal 33 3 4 13 5 2" xfId="29142"/>
    <cellStyle name="Normal 33 3 4 13 6" xfId="29143"/>
    <cellStyle name="Normal 33 3 4 14" xfId="29144"/>
    <cellStyle name="Normal 33 3 4 14 2" xfId="29145"/>
    <cellStyle name="Normal 33 3 4 14 2 2" xfId="29146"/>
    <cellStyle name="Normal 33 3 4 14 2 2 2" xfId="29147"/>
    <cellStyle name="Normal 33 3 4 14 2 3" xfId="29148"/>
    <cellStyle name="Normal 33 3 4 14 3" xfId="29149"/>
    <cellStyle name="Normal 33 3 4 14 3 2" xfId="29150"/>
    <cellStyle name="Normal 33 3 4 14 4" xfId="29151"/>
    <cellStyle name="Normal 33 3 4 15" xfId="29152"/>
    <cellStyle name="Normal 33 3 4 15 2" xfId="29153"/>
    <cellStyle name="Normal 33 3 4 15 2 2" xfId="29154"/>
    <cellStyle name="Normal 33 3 4 15 2 2 2" xfId="29155"/>
    <cellStyle name="Normal 33 3 4 15 2 3" xfId="29156"/>
    <cellStyle name="Normal 33 3 4 15 3" xfId="29157"/>
    <cellStyle name="Normal 33 3 4 15 3 2" xfId="29158"/>
    <cellStyle name="Normal 33 3 4 15 4" xfId="29159"/>
    <cellStyle name="Normal 33 3 4 16" xfId="29160"/>
    <cellStyle name="Normal 33 3 4 16 2" xfId="29161"/>
    <cellStyle name="Normal 33 3 4 16 2 2" xfId="29162"/>
    <cellStyle name="Normal 33 3 4 16 3" xfId="29163"/>
    <cellStyle name="Normal 33 3 4 17" xfId="29164"/>
    <cellStyle name="Normal 33 3 4 17 2" xfId="29165"/>
    <cellStyle name="Normal 33 3 4 18" xfId="29166"/>
    <cellStyle name="Normal 33 3 4 2" xfId="29167"/>
    <cellStyle name="Normal 33 3 4 2 2" xfId="29168"/>
    <cellStyle name="Normal 33 3 4 2 2 2" xfId="29169"/>
    <cellStyle name="Normal 33 3 4 2 2 2 2" xfId="29170"/>
    <cellStyle name="Normal 33 3 4 2 2 2 2 2" xfId="29171"/>
    <cellStyle name="Normal 33 3 4 2 2 2 3" xfId="29172"/>
    <cellStyle name="Normal 33 3 4 2 2 3" xfId="29173"/>
    <cellStyle name="Normal 33 3 4 2 2 3 2" xfId="29174"/>
    <cellStyle name="Normal 33 3 4 2 2 4" xfId="29175"/>
    <cellStyle name="Normal 33 3 4 2 3" xfId="29176"/>
    <cellStyle name="Normal 33 3 4 2 3 2" xfId="29177"/>
    <cellStyle name="Normal 33 3 4 2 3 2 2" xfId="29178"/>
    <cellStyle name="Normal 33 3 4 2 3 2 2 2" xfId="29179"/>
    <cellStyle name="Normal 33 3 4 2 3 2 3" xfId="29180"/>
    <cellStyle name="Normal 33 3 4 2 3 3" xfId="29181"/>
    <cellStyle name="Normal 33 3 4 2 3 3 2" xfId="29182"/>
    <cellStyle name="Normal 33 3 4 2 3 4" xfId="29183"/>
    <cellStyle name="Normal 33 3 4 2 4" xfId="29184"/>
    <cellStyle name="Normal 33 3 4 2 4 2" xfId="29185"/>
    <cellStyle name="Normal 33 3 4 2 4 2 2" xfId="29186"/>
    <cellStyle name="Normal 33 3 4 2 4 3" xfId="29187"/>
    <cellStyle name="Normal 33 3 4 2 5" xfId="29188"/>
    <cellStyle name="Normal 33 3 4 2 5 2" xfId="29189"/>
    <cellStyle name="Normal 33 3 4 2 6" xfId="29190"/>
    <cellStyle name="Normal 33 3 4 3" xfId="29191"/>
    <cellStyle name="Normal 33 3 4 3 2" xfId="29192"/>
    <cellStyle name="Normal 33 3 4 3 2 2" xfId="29193"/>
    <cellStyle name="Normal 33 3 4 3 2 2 2" xfId="29194"/>
    <cellStyle name="Normal 33 3 4 3 2 2 2 2" xfId="29195"/>
    <cellStyle name="Normal 33 3 4 3 2 2 3" xfId="29196"/>
    <cellStyle name="Normal 33 3 4 3 2 3" xfId="29197"/>
    <cellStyle name="Normal 33 3 4 3 2 3 2" xfId="29198"/>
    <cellStyle name="Normal 33 3 4 3 2 4" xfId="29199"/>
    <cellStyle name="Normal 33 3 4 3 3" xfId="29200"/>
    <cellStyle name="Normal 33 3 4 3 3 2" xfId="29201"/>
    <cellStyle name="Normal 33 3 4 3 3 2 2" xfId="29202"/>
    <cellStyle name="Normal 33 3 4 3 3 2 2 2" xfId="29203"/>
    <cellStyle name="Normal 33 3 4 3 3 2 3" xfId="29204"/>
    <cellStyle name="Normal 33 3 4 3 3 3" xfId="29205"/>
    <cellStyle name="Normal 33 3 4 3 3 3 2" xfId="29206"/>
    <cellStyle name="Normal 33 3 4 3 3 4" xfId="29207"/>
    <cellStyle name="Normal 33 3 4 3 4" xfId="29208"/>
    <cellStyle name="Normal 33 3 4 3 4 2" xfId="29209"/>
    <cellStyle name="Normal 33 3 4 3 4 2 2" xfId="29210"/>
    <cellStyle name="Normal 33 3 4 3 4 3" xfId="29211"/>
    <cellStyle name="Normal 33 3 4 3 5" xfId="29212"/>
    <cellStyle name="Normal 33 3 4 3 5 2" xfId="29213"/>
    <cellStyle name="Normal 33 3 4 3 6" xfId="29214"/>
    <cellStyle name="Normal 33 3 4 4" xfId="29215"/>
    <cellStyle name="Normal 33 3 4 4 2" xfId="29216"/>
    <cellStyle name="Normal 33 3 4 4 2 2" xfId="29217"/>
    <cellStyle name="Normal 33 3 4 4 2 2 2" xfId="29218"/>
    <cellStyle name="Normal 33 3 4 4 2 2 2 2" xfId="29219"/>
    <cellStyle name="Normal 33 3 4 4 2 2 3" xfId="29220"/>
    <cellStyle name="Normal 33 3 4 4 2 3" xfId="29221"/>
    <cellStyle name="Normal 33 3 4 4 2 3 2" xfId="29222"/>
    <cellStyle name="Normal 33 3 4 4 2 4" xfId="29223"/>
    <cellStyle name="Normal 33 3 4 4 3" xfId="29224"/>
    <cellStyle name="Normal 33 3 4 4 3 2" xfId="29225"/>
    <cellStyle name="Normal 33 3 4 4 3 2 2" xfId="29226"/>
    <cellStyle name="Normal 33 3 4 4 3 2 2 2" xfId="29227"/>
    <cellStyle name="Normal 33 3 4 4 3 2 3" xfId="29228"/>
    <cellStyle name="Normal 33 3 4 4 3 3" xfId="29229"/>
    <cellStyle name="Normal 33 3 4 4 3 3 2" xfId="29230"/>
    <cellStyle name="Normal 33 3 4 4 3 4" xfId="29231"/>
    <cellStyle name="Normal 33 3 4 4 4" xfId="29232"/>
    <cellStyle name="Normal 33 3 4 4 4 2" xfId="29233"/>
    <cellStyle name="Normal 33 3 4 4 4 2 2" xfId="29234"/>
    <cellStyle name="Normal 33 3 4 4 4 3" xfId="29235"/>
    <cellStyle name="Normal 33 3 4 4 5" xfId="29236"/>
    <cellStyle name="Normal 33 3 4 4 5 2" xfId="29237"/>
    <cellStyle name="Normal 33 3 4 4 6" xfId="29238"/>
    <cellStyle name="Normal 33 3 4 5" xfId="29239"/>
    <cellStyle name="Normal 33 3 4 5 2" xfId="29240"/>
    <cellStyle name="Normal 33 3 4 5 2 2" xfId="29241"/>
    <cellStyle name="Normal 33 3 4 5 2 2 2" xfId="29242"/>
    <cellStyle name="Normal 33 3 4 5 2 2 2 2" xfId="29243"/>
    <cellStyle name="Normal 33 3 4 5 2 2 3" xfId="29244"/>
    <cellStyle name="Normal 33 3 4 5 2 3" xfId="29245"/>
    <cellStyle name="Normal 33 3 4 5 2 3 2" xfId="29246"/>
    <cellStyle name="Normal 33 3 4 5 2 4" xfId="29247"/>
    <cellStyle name="Normal 33 3 4 5 3" xfId="29248"/>
    <cellStyle name="Normal 33 3 4 5 3 2" xfId="29249"/>
    <cellStyle name="Normal 33 3 4 5 3 2 2" xfId="29250"/>
    <cellStyle name="Normal 33 3 4 5 3 2 2 2" xfId="29251"/>
    <cellStyle name="Normal 33 3 4 5 3 2 3" xfId="29252"/>
    <cellStyle name="Normal 33 3 4 5 3 3" xfId="29253"/>
    <cellStyle name="Normal 33 3 4 5 3 3 2" xfId="29254"/>
    <cellStyle name="Normal 33 3 4 5 3 4" xfId="29255"/>
    <cellStyle name="Normal 33 3 4 5 4" xfId="29256"/>
    <cellStyle name="Normal 33 3 4 5 4 2" xfId="29257"/>
    <cellStyle name="Normal 33 3 4 5 4 2 2" xfId="29258"/>
    <cellStyle name="Normal 33 3 4 5 4 3" xfId="29259"/>
    <cellStyle name="Normal 33 3 4 5 5" xfId="29260"/>
    <cellStyle name="Normal 33 3 4 5 5 2" xfId="29261"/>
    <cellStyle name="Normal 33 3 4 5 6" xfId="29262"/>
    <cellStyle name="Normal 33 3 4 6" xfId="29263"/>
    <cellStyle name="Normal 33 3 4 6 2" xfId="29264"/>
    <cellStyle name="Normal 33 3 4 6 2 2" xfId="29265"/>
    <cellStyle name="Normal 33 3 4 6 2 2 2" xfId="29266"/>
    <cellStyle name="Normal 33 3 4 6 2 2 2 2" xfId="29267"/>
    <cellStyle name="Normal 33 3 4 6 2 2 3" xfId="29268"/>
    <cellStyle name="Normal 33 3 4 6 2 3" xfId="29269"/>
    <cellStyle name="Normal 33 3 4 6 2 3 2" xfId="29270"/>
    <cellStyle name="Normal 33 3 4 6 2 4" xfId="29271"/>
    <cellStyle name="Normal 33 3 4 6 3" xfId="29272"/>
    <cellStyle name="Normal 33 3 4 6 3 2" xfId="29273"/>
    <cellStyle name="Normal 33 3 4 6 3 2 2" xfId="29274"/>
    <cellStyle name="Normal 33 3 4 6 3 2 2 2" xfId="29275"/>
    <cellStyle name="Normal 33 3 4 6 3 2 3" xfId="29276"/>
    <cellStyle name="Normal 33 3 4 6 3 3" xfId="29277"/>
    <cellStyle name="Normal 33 3 4 6 3 3 2" xfId="29278"/>
    <cellStyle name="Normal 33 3 4 6 3 4" xfId="29279"/>
    <cellStyle name="Normal 33 3 4 6 4" xfId="29280"/>
    <cellStyle name="Normal 33 3 4 6 4 2" xfId="29281"/>
    <cellStyle name="Normal 33 3 4 6 4 2 2" xfId="29282"/>
    <cellStyle name="Normal 33 3 4 6 4 3" xfId="29283"/>
    <cellStyle name="Normal 33 3 4 6 5" xfId="29284"/>
    <cellStyle name="Normal 33 3 4 6 5 2" xfId="29285"/>
    <cellStyle name="Normal 33 3 4 6 6" xfId="29286"/>
    <cellStyle name="Normal 33 3 4 7" xfId="29287"/>
    <cellStyle name="Normal 33 3 4 7 2" xfId="29288"/>
    <cellStyle name="Normal 33 3 4 7 2 2" xfId="29289"/>
    <cellStyle name="Normal 33 3 4 7 2 2 2" xfId="29290"/>
    <cellStyle name="Normal 33 3 4 7 2 2 2 2" xfId="29291"/>
    <cellStyle name="Normal 33 3 4 7 2 2 3" xfId="29292"/>
    <cellStyle name="Normal 33 3 4 7 2 3" xfId="29293"/>
    <cellStyle name="Normal 33 3 4 7 2 3 2" xfId="29294"/>
    <cellStyle name="Normal 33 3 4 7 2 4" xfId="29295"/>
    <cellStyle name="Normal 33 3 4 7 3" xfId="29296"/>
    <cellStyle name="Normal 33 3 4 7 3 2" xfId="29297"/>
    <cellStyle name="Normal 33 3 4 7 3 2 2" xfId="29298"/>
    <cellStyle name="Normal 33 3 4 7 3 2 2 2" xfId="29299"/>
    <cellStyle name="Normal 33 3 4 7 3 2 3" xfId="29300"/>
    <cellStyle name="Normal 33 3 4 7 3 3" xfId="29301"/>
    <cellStyle name="Normal 33 3 4 7 3 3 2" xfId="29302"/>
    <cellStyle name="Normal 33 3 4 7 3 4" xfId="29303"/>
    <cellStyle name="Normal 33 3 4 7 4" xfId="29304"/>
    <cellStyle name="Normal 33 3 4 7 4 2" xfId="29305"/>
    <cellStyle name="Normal 33 3 4 7 4 2 2" xfId="29306"/>
    <cellStyle name="Normal 33 3 4 7 4 3" xfId="29307"/>
    <cellStyle name="Normal 33 3 4 7 5" xfId="29308"/>
    <cellStyle name="Normal 33 3 4 7 5 2" xfId="29309"/>
    <cellStyle name="Normal 33 3 4 7 6" xfId="29310"/>
    <cellStyle name="Normal 33 3 4 8" xfId="29311"/>
    <cellStyle name="Normal 33 3 4 8 2" xfId="29312"/>
    <cellStyle name="Normal 33 3 4 8 2 2" xfId="29313"/>
    <cellStyle name="Normal 33 3 4 8 2 2 2" xfId="29314"/>
    <cellStyle name="Normal 33 3 4 8 2 2 2 2" xfId="29315"/>
    <cellStyle name="Normal 33 3 4 8 2 2 3" xfId="29316"/>
    <cellStyle name="Normal 33 3 4 8 2 3" xfId="29317"/>
    <cellStyle name="Normal 33 3 4 8 2 3 2" xfId="29318"/>
    <cellStyle name="Normal 33 3 4 8 2 4" xfId="29319"/>
    <cellStyle name="Normal 33 3 4 8 3" xfId="29320"/>
    <cellStyle name="Normal 33 3 4 8 3 2" xfId="29321"/>
    <cellStyle name="Normal 33 3 4 8 3 2 2" xfId="29322"/>
    <cellStyle name="Normal 33 3 4 8 3 2 2 2" xfId="29323"/>
    <cellStyle name="Normal 33 3 4 8 3 2 3" xfId="29324"/>
    <cellStyle name="Normal 33 3 4 8 3 3" xfId="29325"/>
    <cellStyle name="Normal 33 3 4 8 3 3 2" xfId="29326"/>
    <cellStyle name="Normal 33 3 4 8 3 4" xfId="29327"/>
    <cellStyle name="Normal 33 3 4 8 4" xfId="29328"/>
    <cellStyle name="Normal 33 3 4 8 4 2" xfId="29329"/>
    <cellStyle name="Normal 33 3 4 8 4 2 2" xfId="29330"/>
    <cellStyle name="Normal 33 3 4 8 4 3" xfId="29331"/>
    <cellStyle name="Normal 33 3 4 8 5" xfId="29332"/>
    <cellStyle name="Normal 33 3 4 8 5 2" xfId="29333"/>
    <cellStyle name="Normal 33 3 4 8 6" xfId="29334"/>
    <cellStyle name="Normal 33 3 4 9" xfId="29335"/>
    <cellStyle name="Normal 33 3 4 9 2" xfId="29336"/>
    <cellStyle name="Normal 33 3 4 9 2 2" xfId="29337"/>
    <cellStyle name="Normal 33 3 4 9 2 2 2" xfId="29338"/>
    <cellStyle name="Normal 33 3 4 9 2 2 2 2" xfId="29339"/>
    <cellStyle name="Normal 33 3 4 9 2 2 3" xfId="29340"/>
    <cellStyle name="Normal 33 3 4 9 2 3" xfId="29341"/>
    <cellStyle name="Normal 33 3 4 9 2 3 2" xfId="29342"/>
    <cellStyle name="Normal 33 3 4 9 2 4" xfId="29343"/>
    <cellStyle name="Normal 33 3 4 9 3" xfId="29344"/>
    <cellStyle name="Normal 33 3 4 9 3 2" xfId="29345"/>
    <cellStyle name="Normal 33 3 4 9 3 2 2" xfId="29346"/>
    <cellStyle name="Normal 33 3 4 9 3 2 2 2" xfId="29347"/>
    <cellStyle name="Normal 33 3 4 9 3 2 3" xfId="29348"/>
    <cellStyle name="Normal 33 3 4 9 3 3" xfId="29349"/>
    <cellStyle name="Normal 33 3 4 9 3 3 2" xfId="29350"/>
    <cellStyle name="Normal 33 3 4 9 3 4" xfId="29351"/>
    <cellStyle name="Normal 33 3 4 9 4" xfId="29352"/>
    <cellStyle name="Normal 33 3 4 9 4 2" xfId="29353"/>
    <cellStyle name="Normal 33 3 4 9 4 2 2" xfId="29354"/>
    <cellStyle name="Normal 33 3 4 9 4 3" xfId="29355"/>
    <cellStyle name="Normal 33 3 4 9 5" xfId="29356"/>
    <cellStyle name="Normal 33 3 4 9 5 2" xfId="29357"/>
    <cellStyle name="Normal 33 3 4 9 6" xfId="29358"/>
    <cellStyle name="Normal 33 3 5" xfId="29359"/>
    <cellStyle name="Normal 33 3 5 10" xfId="29360"/>
    <cellStyle name="Normal 33 3 5 10 2" xfId="29361"/>
    <cellStyle name="Normal 33 3 5 10 2 2" xfId="29362"/>
    <cellStyle name="Normal 33 3 5 10 2 2 2" xfId="29363"/>
    <cellStyle name="Normal 33 3 5 10 2 2 2 2" xfId="29364"/>
    <cellStyle name="Normal 33 3 5 10 2 2 3" xfId="29365"/>
    <cellStyle name="Normal 33 3 5 10 2 3" xfId="29366"/>
    <cellStyle name="Normal 33 3 5 10 2 3 2" xfId="29367"/>
    <cellStyle name="Normal 33 3 5 10 2 4" xfId="29368"/>
    <cellStyle name="Normal 33 3 5 10 3" xfId="29369"/>
    <cellStyle name="Normal 33 3 5 10 3 2" xfId="29370"/>
    <cellStyle name="Normal 33 3 5 10 3 2 2" xfId="29371"/>
    <cellStyle name="Normal 33 3 5 10 3 2 2 2" xfId="29372"/>
    <cellStyle name="Normal 33 3 5 10 3 2 3" xfId="29373"/>
    <cellStyle name="Normal 33 3 5 10 3 3" xfId="29374"/>
    <cellStyle name="Normal 33 3 5 10 3 3 2" xfId="29375"/>
    <cellStyle name="Normal 33 3 5 10 3 4" xfId="29376"/>
    <cellStyle name="Normal 33 3 5 10 4" xfId="29377"/>
    <cellStyle name="Normal 33 3 5 10 4 2" xfId="29378"/>
    <cellStyle name="Normal 33 3 5 10 4 2 2" xfId="29379"/>
    <cellStyle name="Normal 33 3 5 10 4 3" xfId="29380"/>
    <cellStyle name="Normal 33 3 5 10 5" xfId="29381"/>
    <cellStyle name="Normal 33 3 5 10 5 2" xfId="29382"/>
    <cellStyle name="Normal 33 3 5 10 6" xfId="29383"/>
    <cellStyle name="Normal 33 3 5 11" xfId="29384"/>
    <cellStyle name="Normal 33 3 5 11 2" xfId="29385"/>
    <cellStyle name="Normal 33 3 5 11 2 2" xfId="29386"/>
    <cellStyle name="Normal 33 3 5 11 2 2 2" xfId="29387"/>
    <cellStyle name="Normal 33 3 5 11 2 2 2 2" xfId="29388"/>
    <cellStyle name="Normal 33 3 5 11 2 2 3" xfId="29389"/>
    <cellStyle name="Normal 33 3 5 11 2 3" xfId="29390"/>
    <cellStyle name="Normal 33 3 5 11 2 3 2" xfId="29391"/>
    <cellStyle name="Normal 33 3 5 11 2 4" xfId="29392"/>
    <cellStyle name="Normal 33 3 5 11 3" xfId="29393"/>
    <cellStyle name="Normal 33 3 5 11 3 2" xfId="29394"/>
    <cellStyle name="Normal 33 3 5 11 3 2 2" xfId="29395"/>
    <cellStyle name="Normal 33 3 5 11 3 2 2 2" xfId="29396"/>
    <cellStyle name="Normal 33 3 5 11 3 2 3" xfId="29397"/>
    <cellStyle name="Normal 33 3 5 11 3 3" xfId="29398"/>
    <cellStyle name="Normal 33 3 5 11 3 3 2" xfId="29399"/>
    <cellStyle name="Normal 33 3 5 11 3 4" xfId="29400"/>
    <cellStyle name="Normal 33 3 5 11 4" xfId="29401"/>
    <cellStyle name="Normal 33 3 5 11 4 2" xfId="29402"/>
    <cellStyle name="Normal 33 3 5 11 4 2 2" xfId="29403"/>
    <cellStyle name="Normal 33 3 5 11 4 3" xfId="29404"/>
    <cellStyle name="Normal 33 3 5 11 5" xfId="29405"/>
    <cellStyle name="Normal 33 3 5 11 5 2" xfId="29406"/>
    <cellStyle name="Normal 33 3 5 11 6" xfId="29407"/>
    <cellStyle name="Normal 33 3 5 12" xfId="29408"/>
    <cellStyle name="Normal 33 3 5 12 2" xfId="29409"/>
    <cellStyle name="Normal 33 3 5 12 2 2" xfId="29410"/>
    <cellStyle name="Normal 33 3 5 12 2 2 2" xfId="29411"/>
    <cellStyle name="Normal 33 3 5 12 2 2 2 2" xfId="29412"/>
    <cellStyle name="Normal 33 3 5 12 2 2 3" xfId="29413"/>
    <cellStyle name="Normal 33 3 5 12 2 3" xfId="29414"/>
    <cellStyle name="Normal 33 3 5 12 2 3 2" xfId="29415"/>
    <cellStyle name="Normal 33 3 5 12 2 4" xfId="29416"/>
    <cellStyle name="Normal 33 3 5 12 3" xfId="29417"/>
    <cellStyle name="Normal 33 3 5 12 3 2" xfId="29418"/>
    <cellStyle name="Normal 33 3 5 12 3 2 2" xfId="29419"/>
    <cellStyle name="Normal 33 3 5 12 3 2 2 2" xfId="29420"/>
    <cellStyle name="Normal 33 3 5 12 3 2 3" xfId="29421"/>
    <cellStyle name="Normal 33 3 5 12 3 3" xfId="29422"/>
    <cellStyle name="Normal 33 3 5 12 3 3 2" xfId="29423"/>
    <cellStyle name="Normal 33 3 5 12 3 4" xfId="29424"/>
    <cellStyle name="Normal 33 3 5 12 4" xfId="29425"/>
    <cellStyle name="Normal 33 3 5 12 4 2" xfId="29426"/>
    <cellStyle name="Normal 33 3 5 12 4 2 2" xfId="29427"/>
    <cellStyle name="Normal 33 3 5 12 4 3" xfId="29428"/>
    <cellStyle name="Normal 33 3 5 12 5" xfId="29429"/>
    <cellStyle name="Normal 33 3 5 12 5 2" xfId="29430"/>
    <cellStyle name="Normal 33 3 5 12 6" xfId="29431"/>
    <cellStyle name="Normal 33 3 5 13" xfId="29432"/>
    <cellStyle name="Normal 33 3 5 13 2" xfId="29433"/>
    <cellStyle name="Normal 33 3 5 13 2 2" xfId="29434"/>
    <cellStyle name="Normal 33 3 5 13 2 2 2" xfId="29435"/>
    <cellStyle name="Normal 33 3 5 13 2 2 2 2" xfId="29436"/>
    <cellStyle name="Normal 33 3 5 13 2 2 3" xfId="29437"/>
    <cellStyle name="Normal 33 3 5 13 2 3" xfId="29438"/>
    <cellStyle name="Normal 33 3 5 13 2 3 2" xfId="29439"/>
    <cellStyle name="Normal 33 3 5 13 2 4" xfId="29440"/>
    <cellStyle name="Normal 33 3 5 13 3" xfId="29441"/>
    <cellStyle name="Normal 33 3 5 13 3 2" xfId="29442"/>
    <cellStyle name="Normal 33 3 5 13 3 2 2" xfId="29443"/>
    <cellStyle name="Normal 33 3 5 13 3 2 2 2" xfId="29444"/>
    <cellStyle name="Normal 33 3 5 13 3 2 3" xfId="29445"/>
    <cellStyle name="Normal 33 3 5 13 3 3" xfId="29446"/>
    <cellStyle name="Normal 33 3 5 13 3 3 2" xfId="29447"/>
    <cellStyle name="Normal 33 3 5 13 3 4" xfId="29448"/>
    <cellStyle name="Normal 33 3 5 13 4" xfId="29449"/>
    <cellStyle name="Normal 33 3 5 13 4 2" xfId="29450"/>
    <cellStyle name="Normal 33 3 5 13 4 2 2" xfId="29451"/>
    <cellStyle name="Normal 33 3 5 13 4 3" xfId="29452"/>
    <cellStyle name="Normal 33 3 5 13 5" xfId="29453"/>
    <cellStyle name="Normal 33 3 5 13 5 2" xfId="29454"/>
    <cellStyle name="Normal 33 3 5 13 6" xfId="29455"/>
    <cellStyle name="Normal 33 3 5 14" xfId="29456"/>
    <cellStyle name="Normal 33 3 5 14 2" xfId="29457"/>
    <cellStyle name="Normal 33 3 5 14 2 2" xfId="29458"/>
    <cellStyle name="Normal 33 3 5 14 2 2 2" xfId="29459"/>
    <cellStyle name="Normal 33 3 5 14 2 3" xfId="29460"/>
    <cellStyle name="Normal 33 3 5 14 3" xfId="29461"/>
    <cellStyle name="Normal 33 3 5 14 3 2" xfId="29462"/>
    <cellStyle name="Normal 33 3 5 14 4" xfId="29463"/>
    <cellStyle name="Normal 33 3 5 15" xfId="29464"/>
    <cellStyle name="Normal 33 3 5 15 2" xfId="29465"/>
    <cellStyle name="Normal 33 3 5 15 2 2" xfId="29466"/>
    <cellStyle name="Normal 33 3 5 15 2 2 2" xfId="29467"/>
    <cellStyle name="Normal 33 3 5 15 2 3" xfId="29468"/>
    <cellStyle name="Normal 33 3 5 15 3" xfId="29469"/>
    <cellStyle name="Normal 33 3 5 15 3 2" xfId="29470"/>
    <cellStyle name="Normal 33 3 5 15 4" xfId="29471"/>
    <cellStyle name="Normal 33 3 5 16" xfId="29472"/>
    <cellStyle name="Normal 33 3 5 16 2" xfId="29473"/>
    <cellStyle name="Normal 33 3 5 16 2 2" xfId="29474"/>
    <cellStyle name="Normal 33 3 5 16 3" xfId="29475"/>
    <cellStyle name="Normal 33 3 5 17" xfId="29476"/>
    <cellStyle name="Normal 33 3 5 17 2" xfId="29477"/>
    <cellStyle name="Normal 33 3 5 18" xfId="29478"/>
    <cellStyle name="Normal 33 3 5 2" xfId="29479"/>
    <cellStyle name="Normal 33 3 5 2 2" xfId="29480"/>
    <cellStyle name="Normal 33 3 5 2 2 2" xfId="29481"/>
    <cellStyle name="Normal 33 3 5 2 2 2 2" xfId="29482"/>
    <cellStyle name="Normal 33 3 5 2 2 2 2 2" xfId="29483"/>
    <cellStyle name="Normal 33 3 5 2 2 2 3" xfId="29484"/>
    <cellStyle name="Normal 33 3 5 2 2 3" xfId="29485"/>
    <cellStyle name="Normal 33 3 5 2 2 3 2" xfId="29486"/>
    <cellStyle name="Normal 33 3 5 2 2 4" xfId="29487"/>
    <cellStyle name="Normal 33 3 5 2 3" xfId="29488"/>
    <cellStyle name="Normal 33 3 5 2 3 2" xfId="29489"/>
    <cellStyle name="Normal 33 3 5 2 3 2 2" xfId="29490"/>
    <cellStyle name="Normal 33 3 5 2 3 2 2 2" xfId="29491"/>
    <cellStyle name="Normal 33 3 5 2 3 2 3" xfId="29492"/>
    <cellStyle name="Normal 33 3 5 2 3 3" xfId="29493"/>
    <cellStyle name="Normal 33 3 5 2 3 3 2" xfId="29494"/>
    <cellStyle name="Normal 33 3 5 2 3 4" xfId="29495"/>
    <cellStyle name="Normal 33 3 5 2 4" xfId="29496"/>
    <cellStyle name="Normal 33 3 5 2 4 2" xfId="29497"/>
    <cellStyle name="Normal 33 3 5 2 4 2 2" xfId="29498"/>
    <cellStyle name="Normal 33 3 5 2 4 3" xfId="29499"/>
    <cellStyle name="Normal 33 3 5 2 5" xfId="29500"/>
    <cellStyle name="Normal 33 3 5 2 5 2" xfId="29501"/>
    <cellStyle name="Normal 33 3 5 2 6" xfId="29502"/>
    <cellStyle name="Normal 33 3 5 3" xfId="29503"/>
    <cellStyle name="Normal 33 3 5 3 2" xfId="29504"/>
    <cellStyle name="Normal 33 3 5 3 2 2" xfId="29505"/>
    <cellStyle name="Normal 33 3 5 3 2 2 2" xfId="29506"/>
    <cellStyle name="Normal 33 3 5 3 2 2 2 2" xfId="29507"/>
    <cellStyle name="Normal 33 3 5 3 2 2 3" xfId="29508"/>
    <cellStyle name="Normal 33 3 5 3 2 3" xfId="29509"/>
    <cellStyle name="Normal 33 3 5 3 2 3 2" xfId="29510"/>
    <cellStyle name="Normal 33 3 5 3 2 4" xfId="29511"/>
    <cellStyle name="Normal 33 3 5 3 3" xfId="29512"/>
    <cellStyle name="Normal 33 3 5 3 3 2" xfId="29513"/>
    <cellStyle name="Normal 33 3 5 3 3 2 2" xfId="29514"/>
    <cellStyle name="Normal 33 3 5 3 3 2 2 2" xfId="29515"/>
    <cellStyle name="Normal 33 3 5 3 3 2 3" xfId="29516"/>
    <cellStyle name="Normal 33 3 5 3 3 3" xfId="29517"/>
    <cellStyle name="Normal 33 3 5 3 3 3 2" xfId="29518"/>
    <cellStyle name="Normal 33 3 5 3 3 4" xfId="29519"/>
    <cellStyle name="Normal 33 3 5 3 4" xfId="29520"/>
    <cellStyle name="Normal 33 3 5 3 4 2" xfId="29521"/>
    <cellStyle name="Normal 33 3 5 3 4 2 2" xfId="29522"/>
    <cellStyle name="Normal 33 3 5 3 4 3" xfId="29523"/>
    <cellStyle name="Normal 33 3 5 3 5" xfId="29524"/>
    <cellStyle name="Normal 33 3 5 3 5 2" xfId="29525"/>
    <cellStyle name="Normal 33 3 5 3 6" xfId="29526"/>
    <cellStyle name="Normal 33 3 5 4" xfId="29527"/>
    <cellStyle name="Normal 33 3 5 4 2" xfId="29528"/>
    <cellStyle name="Normal 33 3 5 4 2 2" xfId="29529"/>
    <cellStyle name="Normal 33 3 5 4 2 2 2" xfId="29530"/>
    <cellStyle name="Normal 33 3 5 4 2 2 2 2" xfId="29531"/>
    <cellStyle name="Normal 33 3 5 4 2 2 3" xfId="29532"/>
    <cellStyle name="Normal 33 3 5 4 2 3" xfId="29533"/>
    <cellStyle name="Normal 33 3 5 4 2 3 2" xfId="29534"/>
    <cellStyle name="Normal 33 3 5 4 2 4" xfId="29535"/>
    <cellStyle name="Normal 33 3 5 4 3" xfId="29536"/>
    <cellStyle name="Normal 33 3 5 4 3 2" xfId="29537"/>
    <cellStyle name="Normal 33 3 5 4 3 2 2" xfId="29538"/>
    <cellStyle name="Normal 33 3 5 4 3 2 2 2" xfId="29539"/>
    <cellStyle name="Normal 33 3 5 4 3 2 3" xfId="29540"/>
    <cellStyle name="Normal 33 3 5 4 3 3" xfId="29541"/>
    <cellStyle name="Normal 33 3 5 4 3 3 2" xfId="29542"/>
    <cellStyle name="Normal 33 3 5 4 3 4" xfId="29543"/>
    <cellStyle name="Normal 33 3 5 4 4" xfId="29544"/>
    <cellStyle name="Normal 33 3 5 4 4 2" xfId="29545"/>
    <cellStyle name="Normal 33 3 5 4 4 2 2" xfId="29546"/>
    <cellStyle name="Normal 33 3 5 4 4 3" xfId="29547"/>
    <cellStyle name="Normal 33 3 5 4 5" xfId="29548"/>
    <cellStyle name="Normal 33 3 5 4 5 2" xfId="29549"/>
    <cellStyle name="Normal 33 3 5 4 6" xfId="29550"/>
    <cellStyle name="Normal 33 3 5 5" xfId="29551"/>
    <cellStyle name="Normal 33 3 5 5 2" xfId="29552"/>
    <cellStyle name="Normal 33 3 5 5 2 2" xfId="29553"/>
    <cellStyle name="Normal 33 3 5 5 2 2 2" xfId="29554"/>
    <cellStyle name="Normal 33 3 5 5 2 2 2 2" xfId="29555"/>
    <cellStyle name="Normal 33 3 5 5 2 2 3" xfId="29556"/>
    <cellStyle name="Normal 33 3 5 5 2 3" xfId="29557"/>
    <cellStyle name="Normal 33 3 5 5 2 3 2" xfId="29558"/>
    <cellStyle name="Normal 33 3 5 5 2 4" xfId="29559"/>
    <cellStyle name="Normal 33 3 5 5 3" xfId="29560"/>
    <cellStyle name="Normal 33 3 5 5 3 2" xfId="29561"/>
    <cellStyle name="Normal 33 3 5 5 3 2 2" xfId="29562"/>
    <cellStyle name="Normal 33 3 5 5 3 2 2 2" xfId="29563"/>
    <cellStyle name="Normal 33 3 5 5 3 2 3" xfId="29564"/>
    <cellStyle name="Normal 33 3 5 5 3 3" xfId="29565"/>
    <cellStyle name="Normal 33 3 5 5 3 3 2" xfId="29566"/>
    <cellStyle name="Normal 33 3 5 5 3 4" xfId="29567"/>
    <cellStyle name="Normal 33 3 5 5 4" xfId="29568"/>
    <cellStyle name="Normal 33 3 5 5 4 2" xfId="29569"/>
    <cellStyle name="Normal 33 3 5 5 4 2 2" xfId="29570"/>
    <cellStyle name="Normal 33 3 5 5 4 3" xfId="29571"/>
    <cellStyle name="Normal 33 3 5 5 5" xfId="29572"/>
    <cellStyle name="Normal 33 3 5 5 5 2" xfId="29573"/>
    <cellStyle name="Normal 33 3 5 5 6" xfId="29574"/>
    <cellStyle name="Normal 33 3 5 6" xfId="29575"/>
    <cellStyle name="Normal 33 3 5 6 2" xfId="29576"/>
    <cellStyle name="Normal 33 3 5 6 2 2" xfId="29577"/>
    <cellStyle name="Normal 33 3 5 6 2 2 2" xfId="29578"/>
    <cellStyle name="Normal 33 3 5 6 2 2 2 2" xfId="29579"/>
    <cellStyle name="Normal 33 3 5 6 2 2 3" xfId="29580"/>
    <cellStyle name="Normal 33 3 5 6 2 3" xfId="29581"/>
    <cellStyle name="Normal 33 3 5 6 2 3 2" xfId="29582"/>
    <cellStyle name="Normal 33 3 5 6 2 4" xfId="29583"/>
    <cellStyle name="Normal 33 3 5 6 3" xfId="29584"/>
    <cellStyle name="Normal 33 3 5 6 3 2" xfId="29585"/>
    <cellStyle name="Normal 33 3 5 6 3 2 2" xfId="29586"/>
    <cellStyle name="Normal 33 3 5 6 3 2 2 2" xfId="29587"/>
    <cellStyle name="Normal 33 3 5 6 3 2 3" xfId="29588"/>
    <cellStyle name="Normal 33 3 5 6 3 3" xfId="29589"/>
    <cellStyle name="Normal 33 3 5 6 3 3 2" xfId="29590"/>
    <cellStyle name="Normal 33 3 5 6 3 4" xfId="29591"/>
    <cellStyle name="Normal 33 3 5 6 4" xfId="29592"/>
    <cellStyle name="Normal 33 3 5 6 4 2" xfId="29593"/>
    <cellStyle name="Normal 33 3 5 6 4 2 2" xfId="29594"/>
    <cellStyle name="Normal 33 3 5 6 4 3" xfId="29595"/>
    <cellStyle name="Normal 33 3 5 6 5" xfId="29596"/>
    <cellStyle name="Normal 33 3 5 6 5 2" xfId="29597"/>
    <cellStyle name="Normal 33 3 5 6 6" xfId="29598"/>
    <cellStyle name="Normal 33 3 5 7" xfId="29599"/>
    <cellStyle name="Normal 33 3 5 7 2" xfId="29600"/>
    <cellStyle name="Normal 33 3 5 7 2 2" xfId="29601"/>
    <cellStyle name="Normal 33 3 5 7 2 2 2" xfId="29602"/>
    <cellStyle name="Normal 33 3 5 7 2 2 2 2" xfId="29603"/>
    <cellStyle name="Normal 33 3 5 7 2 2 3" xfId="29604"/>
    <cellStyle name="Normal 33 3 5 7 2 3" xfId="29605"/>
    <cellStyle name="Normal 33 3 5 7 2 3 2" xfId="29606"/>
    <cellStyle name="Normal 33 3 5 7 2 4" xfId="29607"/>
    <cellStyle name="Normal 33 3 5 7 3" xfId="29608"/>
    <cellStyle name="Normal 33 3 5 7 3 2" xfId="29609"/>
    <cellStyle name="Normal 33 3 5 7 3 2 2" xfId="29610"/>
    <cellStyle name="Normal 33 3 5 7 3 2 2 2" xfId="29611"/>
    <cellStyle name="Normal 33 3 5 7 3 2 3" xfId="29612"/>
    <cellStyle name="Normal 33 3 5 7 3 3" xfId="29613"/>
    <cellStyle name="Normal 33 3 5 7 3 3 2" xfId="29614"/>
    <cellStyle name="Normal 33 3 5 7 3 4" xfId="29615"/>
    <cellStyle name="Normal 33 3 5 7 4" xfId="29616"/>
    <cellStyle name="Normal 33 3 5 7 4 2" xfId="29617"/>
    <cellStyle name="Normal 33 3 5 7 4 2 2" xfId="29618"/>
    <cellStyle name="Normal 33 3 5 7 4 3" xfId="29619"/>
    <cellStyle name="Normal 33 3 5 7 5" xfId="29620"/>
    <cellStyle name="Normal 33 3 5 7 5 2" xfId="29621"/>
    <cellStyle name="Normal 33 3 5 7 6" xfId="29622"/>
    <cellStyle name="Normal 33 3 5 8" xfId="29623"/>
    <cellStyle name="Normal 33 3 5 8 2" xfId="29624"/>
    <cellStyle name="Normal 33 3 5 8 2 2" xfId="29625"/>
    <cellStyle name="Normal 33 3 5 8 2 2 2" xfId="29626"/>
    <cellStyle name="Normal 33 3 5 8 2 2 2 2" xfId="29627"/>
    <cellStyle name="Normal 33 3 5 8 2 2 3" xfId="29628"/>
    <cellStyle name="Normal 33 3 5 8 2 3" xfId="29629"/>
    <cellStyle name="Normal 33 3 5 8 2 3 2" xfId="29630"/>
    <cellStyle name="Normal 33 3 5 8 2 4" xfId="29631"/>
    <cellStyle name="Normal 33 3 5 8 3" xfId="29632"/>
    <cellStyle name="Normal 33 3 5 8 3 2" xfId="29633"/>
    <cellStyle name="Normal 33 3 5 8 3 2 2" xfId="29634"/>
    <cellStyle name="Normal 33 3 5 8 3 2 2 2" xfId="29635"/>
    <cellStyle name="Normal 33 3 5 8 3 2 3" xfId="29636"/>
    <cellStyle name="Normal 33 3 5 8 3 3" xfId="29637"/>
    <cellStyle name="Normal 33 3 5 8 3 3 2" xfId="29638"/>
    <cellStyle name="Normal 33 3 5 8 3 4" xfId="29639"/>
    <cellStyle name="Normal 33 3 5 8 4" xfId="29640"/>
    <cellStyle name="Normal 33 3 5 8 4 2" xfId="29641"/>
    <cellStyle name="Normal 33 3 5 8 4 2 2" xfId="29642"/>
    <cellStyle name="Normal 33 3 5 8 4 3" xfId="29643"/>
    <cellStyle name="Normal 33 3 5 8 5" xfId="29644"/>
    <cellStyle name="Normal 33 3 5 8 5 2" xfId="29645"/>
    <cellStyle name="Normal 33 3 5 8 6" xfId="29646"/>
    <cellStyle name="Normal 33 3 5 9" xfId="29647"/>
    <cellStyle name="Normal 33 3 5 9 2" xfId="29648"/>
    <cellStyle name="Normal 33 3 5 9 2 2" xfId="29649"/>
    <cellStyle name="Normal 33 3 5 9 2 2 2" xfId="29650"/>
    <cellStyle name="Normal 33 3 5 9 2 2 2 2" xfId="29651"/>
    <cellStyle name="Normal 33 3 5 9 2 2 3" xfId="29652"/>
    <cellStyle name="Normal 33 3 5 9 2 3" xfId="29653"/>
    <cellStyle name="Normal 33 3 5 9 2 3 2" xfId="29654"/>
    <cellStyle name="Normal 33 3 5 9 2 4" xfId="29655"/>
    <cellStyle name="Normal 33 3 5 9 3" xfId="29656"/>
    <cellStyle name="Normal 33 3 5 9 3 2" xfId="29657"/>
    <cellStyle name="Normal 33 3 5 9 3 2 2" xfId="29658"/>
    <cellStyle name="Normal 33 3 5 9 3 2 2 2" xfId="29659"/>
    <cellStyle name="Normal 33 3 5 9 3 2 3" xfId="29660"/>
    <cellStyle name="Normal 33 3 5 9 3 3" xfId="29661"/>
    <cellStyle name="Normal 33 3 5 9 3 3 2" xfId="29662"/>
    <cellStyle name="Normal 33 3 5 9 3 4" xfId="29663"/>
    <cellStyle name="Normal 33 3 5 9 4" xfId="29664"/>
    <cellStyle name="Normal 33 3 5 9 4 2" xfId="29665"/>
    <cellStyle name="Normal 33 3 5 9 4 2 2" xfId="29666"/>
    <cellStyle name="Normal 33 3 5 9 4 3" xfId="29667"/>
    <cellStyle name="Normal 33 3 5 9 5" xfId="29668"/>
    <cellStyle name="Normal 33 3 5 9 5 2" xfId="29669"/>
    <cellStyle name="Normal 33 3 5 9 6" xfId="29670"/>
    <cellStyle name="Normal 33 3 6" xfId="29671"/>
    <cellStyle name="Normal 33 3 6 10" xfId="29672"/>
    <cellStyle name="Normal 33 3 6 10 2" xfId="29673"/>
    <cellStyle name="Normal 33 3 6 10 2 2" xfId="29674"/>
    <cellStyle name="Normal 33 3 6 10 2 2 2" xfId="29675"/>
    <cellStyle name="Normal 33 3 6 10 2 2 2 2" xfId="29676"/>
    <cellStyle name="Normal 33 3 6 10 2 2 3" xfId="29677"/>
    <cellStyle name="Normal 33 3 6 10 2 3" xfId="29678"/>
    <cellStyle name="Normal 33 3 6 10 2 3 2" xfId="29679"/>
    <cellStyle name="Normal 33 3 6 10 2 4" xfId="29680"/>
    <cellStyle name="Normal 33 3 6 10 3" xfId="29681"/>
    <cellStyle name="Normal 33 3 6 10 3 2" xfId="29682"/>
    <cellStyle name="Normal 33 3 6 10 3 2 2" xfId="29683"/>
    <cellStyle name="Normal 33 3 6 10 3 2 2 2" xfId="29684"/>
    <cellStyle name="Normal 33 3 6 10 3 2 3" xfId="29685"/>
    <cellStyle name="Normal 33 3 6 10 3 3" xfId="29686"/>
    <cellStyle name="Normal 33 3 6 10 3 3 2" xfId="29687"/>
    <cellStyle name="Normal 33 3 6 10 3 4" xfId="29688"/>
    <cellStyle name="Normal 33 3 6 10 4" xfId="29689"/>
    <cellStyle name="Normal 33 3 6 10 4 2" xfId="29690"/>
    <cellStyle name="Normal 33 3 6 10 4 2 2" xfId="29691"/>
    <cellStyle name="Normal 33 3 6 10 4 3" xfId="29692"/>
    <cellStyle name="Normal 33 3 6 10 5" xfId="29693"/>
    <cellStyle name="Normal 33 3 6 10 5 2" xfId="29694"/>
    <cellStyle name="Normal 33 3 6 10 6" xfId="29695"/>
    <cellStyle name="Normal 33 3 6 11" xfId="29696"/>
    <cellStyle name="Normal 33 3 6 11 2" xfId="29697"/>
    <cellStyle name="Normal 33 3 6 11 2 2" xfId="29698"/>
    <cellStyle name="Normal 33 3 6 11 2 2 2" xfId="29699"/>
    <cellStyle name="Normal 33 3 6 11 2 2 2 2" xfId="29700"/>
    <cellStyle name="Normal 33 3 6 11 2 2 3" xfId="29701"/>
    <cellStyle name="Normal 33 3 6 11 2 3" xfId="29702"/>
    <cellStyle name="Normal 33 3 6 11 2 3 2" xfId="29703"/>
    <cellStyle name="Normal 33 3 6 11 2 4" xfId="29704"/>
    <cellStyle name="Normal 33 3 6 11 3" xfId="29705"/>
    <cellStyle name="Normal 33 3 6 11 3 2" xfId="29706"/>
    <cellStyle name="Normal 33 3 6 11 3 2 2" xfId="29707"/>
    <cellStyle name="Normal 33 3 6 11 3 2 2 2" xfId="29708"/>
    <cellStyle name="Normal 33 3 6 11 3 2 3" xfId="29709"/>
    <cellStyle name="Normal 33 3 6 11 3 3" xfId="29710"/>
    <cellStyle name="Normal 33 3 6 11 3 3 2" xfId="29711"/>
    <cellStyle name="Normal 33 3 6 11 3 4" xfId="29712"/>
    <cellStyle name="Normal 33 3 6 11 4" xfId="29713"/>
    <cellStyle name="Normal 33 3 6 11 4 2" xfId="29714"/>
    <cellStyle name="Normal 33 3 6 11 4 2 2" xfId="29715"/>
    <cellStyle name="Normal 33 3 6 11 4 3" xfId="29716"/>
    <cellStyle name="Normal 33 3 6 11 5" xfId="29717"/>
    <cellStyle name="Normal 33 3 6 11 5 2" xfId="29718"/>
    <cellStyle name="Normal 33 3 6 11 6" xfId="29719"/>
    <cellStyle name="Normal 33 3 6 12" xfId="29720"/>
    <cellStyle name="Normal 33 3 6 12 2" xfId="29721"/>
    <cellStyle name="Normal 33 3 6 12 2 2" xfId="29722"/>
    <cellStyle name="Normal 33 3 6 12 2 2 2" xfId="29723"/>
    <cellStyle name="Normal 33 3 6 12 2 2 2 2" xfId="29724"/>
    <cellStyle name="Normal 33 3 6 12 2 2 3" xfId="29725"/>
    <cellStyle name="Normal 33 3 6 12 2 3" xfId="29726"/>
    <cellStyle name="Normal 33 3 6 12 2 3 2" xfId="29727"/>
    <cellStyle name="Normal 33 3 6 12 2 4" xfId="29728"/>
    <cellStyle name="Normal 33 3 6 12 3" xfId="29729"/>
    <cellStyle name="Normal 33 3 6 12 3 2" xfId="29730"/>
    <cellStyle name="Normal 33 3 6 12 3 2 2" xfId="29731"/>
    <cellStyle name="Normal 33 3 6 12 3 2 2 2" xfId="29732"/>
    <cellStyle name="Normal 33 3 6 12 3 2 3" xfId="29733"/>
    <cellStyle name="Normal 33 3 6 12 3 3" xfId="29734"/>
    <cellStyle name="Normal 33 3 6 12 3 3 2" xfId="29735"/>
    <cellStyle name="Normal 33 3 6 12 3 4" xfId="29736"/>
    <cellStyle name="Normal 33 3 6 12 4" xfId="29737"/>
    <cellStyle name="Normal 33 3 6 12 4 2" xfId="29738"/>
    <cellStyle name="Normal 33 3 6 12 4 2 2" xfId="29739"/>
    <cellStyle name="Normal 33 3 6 12 4 3" xfId="29740"/>
    <cellStyle name="Normal 33 3 6 12 5" xfId="29741"/>
    <cellStyle name="Normal 33 3 6 12 5 2" xfId="29742"/>
    <cellStyle name="Normal 33 3 6 12 6" xfId="29743"/>
    <cellStyle name="Normal 33 3 6 13" xfId="29744"/>
    <cellStyle name="Normal 33 3 6 13 2" xfId="29745"/>
    <cellStyle name="Normal 33 3 6 13 2 2" xfId="29746"/>
    <cellStyle name="Normal 33 3 6 13 2 2 2" xfId="29747"/>
    <cellStyle name="Normal 33 3 6 13 2 2 2 2" xfId="29748"/>
    <cellStyle name="Normal 33 3 6 13 2 2 3" xfId="29749"/>
    <cellStyle name="Normal 33 3 6 13 2 3" xfId="29750"/>
    <cellStyle name="Normal 33 3 6 13 2 3 2" xfId="29751"/>
    <cellStyle name="Normal 33 3 6 13 2 4" xfId="29752"/>
    <cellStyle name="Normal 33 3 6 13 3" xfId="29753"/>
    <cellStyle name="Normal 33 3 6 13 3 2" xfId="29754"/>
    <cellStyle name="Normal 33 3 6 13 3 2 2" xfId="29755"/>
    <cellStyle name="Normal 33 3 6 13 3 2 2 2" xfId="29756"/>
    <cellStyle name="Normal 33 3 6 13 3 2 3" xfId="29757"/>
    <cellStyle name="Normal 33 3 6 13 3 3" xfId="29758"/>
    <cellStyle name="Normal 33 3 6 13 3 3 2" xfId="29759"/>
    <cellStyle name="Normal 33 3 6 13 3 4" xfId="29760"/>
    <cellStyle name="Normal 33 3 6 13 4" xfId="29761"/>
    <cellStyle name="Normal 33 3 6 13 4 2" xfId="29762"/>
    <cellStyle name="Normal 33 3 6 13 4 2 2" xfId="29763"/>
    <cellStyle name="Normal 33 3 6 13 4 3" xfId="29764"/>
    <cellStyle name="Normal 33 3 6 13 5" xfId="29765"/>
    <cellStyle name="Normal 33 3 6 13 5 2" xfId="29766"/>
    <cellStyle name="Normal 33 3 6 13 6" xfId="29767"/>
    <cellStyle name="Normal 33 3 6 14" xfId="29768"/>
    <cellStyle name="Normal 33 3 6 14 2" xfId="29769"/>
    <cellStyle name="Normal 33 3 6 14 2 2" xfId="29770"/>
    <cellStyle name="Normal 33 3 6 14 2 2 2" xfId="29771"/>
    <cellStyle name="Normal 33 3 6 14 2 3" xfId="29772"/>
    <cellStyle name="Normal 33 3 6 14 3" xfId="29773"/>
    <cellStyle name="Normal 33 3 6 14 3 2" xfId="29774"/>
    <cellStyle name="Normal 33 3 6 14 4" xfId="29775"/>
    <cellStyle name="Normal 33 3 6 15" xfId="29776"/>
    <cellStyle name="Normal 33 3 6 15 2" xfId="29777"/>
    <cellStyle name="Normal 33 3 6 15 2 2" xfId="29778"/>
    <cellStyle name="Normal 33 3 6 15 2 2 2" xfId="29779"/>
    <cellStyle name="Normal 33 3 6 15 2 3" xfId="29780"/>
    <cellStyle name="Normal 33 3 6 15 3" xfId="29781"/>
    <cellStyle name="Normal 33 3 6 15 3 2" xfId="29782"/>
    <cellStyle name="Normal 33 3 6 15 4" xfId="29783"/>
    <cellStyle name="Normal 33 3 6 16" xfId="29784"/>
    <cellStyle name="Normal 33 3 6 16 2" xfId="29785"/>
    <cellStyle name="Normal 33 3 6 16 2 2" xfId="29786"/>
    <cellStyle name="Normal 33 3 6 16 3" xfId="29787"/>
    <cellStyle name="Normal 33 3 6 17" xfId="29788"/>
    <cellStyle name="Normal 33 3 6 17 2" xfId="29789"/>
    <cellStyle name="Normal 33 3 6 18" xfId="29790"/>
    <cellStyle name="Normal 33 3 6 2" xfId="29791"/>
    <cellStyle name="Normal 33 3 6 2 2" xfId="29792"/>
    <cellStyle name="Normal 33 3 6 2 2 2" xfId="29793"/>
    <cellStyle name="Normal 33 3 6 2 2 2 2" xfId="29794"/>
    <cellStyle name="Normal 33 3 6 2 2 2 2 2" xfId="29795"/>
    <cellStyle name="Normal 33 3 6 2 2 2 3" xfId="29796"/>
    <cellStyle name="Normal 33 3 6 2 2 3" xfId="29797"/>
    <cellStyle name="Normal 33 3 6 2 2 3 2" xfId="29798"/>
    <cellStyle name="Normal 33 3 6 2 2 4" xfId="29799"/>
    <cellStyle name="Normal 33 3 6 2 3" xfId="29800"/>
    <cellStyle name="Normal 33 3 6 2 3 2" xfId="29801"/>
    <cellStyle name="Normal 33 3 6 2 3 2 2" xfId="29802"/>
    <cellStyle name="Normal 33 3 6 2 3 2 2 2" xfId="29803"/>
    <cellStyle name="Normal 33 3 6 2 3 2 3" xfId="29804"/>
    <cellStyle name="Normal 33 3 6 2 3 3" xfId="29805"/>
    <cellStyle name="Normal 33 3 6 2 3 3 2" xfId="29806"/>
    <cellStyle name="Normal 33 3 6 2 3 4" xfId="29807"/>
    <cellStyle name="Normal 33 3 6 2 4" xfId="29808"/>
    <cellStyle name="Normal 33 3 6 2 4 2" xfId="29809"/>
    <cellStyle name="Normal 33 3 6 2 4 2 2" xfId="29810"/>
    <cellStyle name="Normal 33 3 6 2 4 3" xfId="29811"/>
    <cellStyle name="Normal 33 3 6 2 5" xfId="29812"/>
    <cellStyle name="Normal 33 3 6 2 5 2" xfId="29813"/>
    <cellStyle name="Normal 33 3 6 2 6" xfId="29814"/>
    <cellStyle name="Normal 33 3 6 3" xfId="29815"/>
    <cellStyle name="Normal 33 3 6 3 2" xfId="29816"/>
    <cellStyle name="Normal 33 3 6 3 2 2" xfId="29817"/>
    <cellStyle name="Normal 33 3 6 3 2 2 2" xfId="29818"/>
    <cellStyle name="Normal 33 3 6 3 2 2 2 2" xfId="29819"/>
    <cellStyle name="Normal 33 3 6 3 2 2 3" xfId="29820"/>
    <cellStyle name="Normal 33 3 6 3 2 3" xfId="29821"/>
    <cellStyle name="Normal 33 3 6 3 2 3 2" xfId="29822"/>
    <cellStyle name="Normal 33 3 6 3 2 4" xfId="29823"/>
    <cellStyle name="Normal 33 3 6 3 3" xfId="29824"/>
    <cellStyle name="Normal 33 3 6 3 3 2" xfId="29825"/>
    <cellStyle name="Normal 33 3 6 3 3 2 2" xfId="29826"/>
    <cellStyle name="Normal 33 3 6 3 3 2 2 2" xfId="29827"/>
    <cellStyle name="Normal 33 3 6 3 3 2 3" xfId="29828"/>
    <cellStyle name="Normal 33 3 6 3 3 3" xfId="29829"/>
    <cellStyle name="Normal 33 3 6 3 3 3 2" xfId="29830"/>
    <cellStyle name="Normal 33 3 6 3 3 4" xfId="29831"/>
    <cellStyle name="Normal 33 3 6 3 4" xfId="29832"/>
    <cellStyle name="Normal 33 3 6 3 4 2" xfId="29833"/>
    <cellStyle name="Normal 33 3 6 3 4 2 2" xfId="29834"/>
    <cellStyle name="Normal 33 3 6 3 4 3" xfId="29835"/>
    <cellStyle name="Normal 33 3 6 3 5" xfId="29836"/>
    <cellStyle name="Normal 33 3 6 3 5 2" xfId="29837"/>
    <cellStyle name="Normal 33 3 6 3 6" xfId="29838"/>
    <cellStyle name="Normal 33 3 6 4" xfId="29839"/>
    <cellStyle name="Normal 33 3 6 4 2" xfId="29840"/>
    <cellStyle name="Normal 33 3 6 4 2 2" xfId="29841"/>
    <cellStyle name="Normal 33 3 6 4 2 2 2" xfId="29842"/>
    <cellStyle name="Normal 33 3 6 4 2 2 2 2" xfId="29843"/>
    <cellStyle name="Normal 33 3 6 4 2 2 3" xfId="29844"/>
    <cellStyle name="Normal 33 3 6 4 2 3" xfId="29845"/>
    <cellStyle name="Normal 33 3 6 4 2 3 2" xfId="29846"/>
    <cellStyle name="Normal 33 3 6 4 2 4" xfId="29847"/>
    <cellStyle name="Normal 33 3 6 4 3" xfId="29848"/>
    <cellStyle name="Normal 33 3 6 4 3 2" xfId="29849"/>
    <cellStyle name="Normal 33 3 6 4 3 2 2" xfId="29850"/>
    <cellStyle name="Normal 33 3 6 4 3 2 2 2" xfId="29851"/>
    <cellStyle name="Normal 33 3 6 4 3 2 3" xfId="29852"/>
    <cellStyle name="Normal 33 3 6 4 3 3" xfId="29853"/>
    <cellStyle name="Normal 33 3 6 4 3 3 2" xfId="29854"/>
    <cellStyle name="Normal 33 3 6 4 3 4" xfId="29855"/>
    <cellStyle name="Normal 33 3 6 4 4" xfId="29856"/>
    <cellStyle name="Normal 33 3 6 4 4 2" xfId="29857"/>
    <cellStyle name="Normal 33 3 6 4 4 2 2" xfId="29858"/>
    <cellStyle name="Normal 33 3 6 4 4 3" xfId="29859"/>
    <cellStyle name="Normal 33 3 6 4 5" xfId="29860"/>
    <cellStyle name="Normal 33 3 6 4 5 2" xfId="29861"/>
    <cellStyle name="Normal 33 3 6 4 6" xfId="29862"/>
    <cellStyle name="Normal 33 3 6 5" xfId="29863"/>
    <cellStyle name="Normal 33 3 6 5 2" xfId="29864"/>
    <cellStyle name="Normal 33 3 6 5 2 2" xfId="29865"/>
    <cellStyle name="Normal 33 3 6 5 2 2 2" xfId="29866"/>
    <cellStyle name="Normal 33 3 6 5 2 2 2 2" xfId="29867"/>
    <cellStyle name="Normal 33 3 6 5 2 2 3" xfId="29868"/>
    <cellStyle name="Normal 33 3 6 5 2 3" xfId="29869"/>
    <cellStyle name="Normal 33 3 6 5 2 3 2" xfId="29870"/>
    <cellStyle name="Normal 33 3 6 5 2 4" xfId="29871"/>
    <cellStyle name="Normal 33 3 6 5 3" xfId="29872"/>
    <cellStyle name="Normal 33 3 6 5 3 2" xfId="29873"/>
    <cellStyle name="Normal 33 3 6 5 3 2 2" xfId="29874"/>
    <cellStyle name="Normal 33 3 6 5 3 2 2 2" xfId="29875"/>
    <cellStyle name="Normal 33 3 6 5 3 2 3" xfId="29876"/>
    <cellStyle name="Normal 33 3 6 5 3 3" xfId="29877"/>
    <cellStyle name="Normal 33 3 6 5 3 3 2" xfId="29878"/>
    <cellStyle name="Normal 33 3 6 5 3 4" xfId="29879"/>
    <cellStyle name="Normal 33 3 6 5 4" xfId="29880"/>
    <cellStyle name="Normal 33 3 6 5 4 2" xfId="29881"/>
    <cellStyle name="Normal 33 3 6 5 4 2 2" xfId="29882"/>
    <cellStyle name="Normal 33 3 6 5 4 3" xfId="29883"/>
    <cellStyle name="Normal 33 3 6 5 5" xfId="29884"/>
    <cellStyle name="Normal 33 3 6 5 5 2" xfId="29885"/>
    <cellStyle name="Normal 33 3 6 5 6" xfId="29886"/>
    <cellStyle name="Normal 33 3 6 6" xfId="29887"/>
    <cellStyle name="Normal 33 3 6 6 2" xfId="29888"/>
    <cellStyle name="Normal 33 3 6 6 2 2" xfId="29889"/>
    <cellStyle name="Normal 33 3 6 6 2 2 2" xfId="29890"/>
    <cellStyle name="Normal 33 3 6 6 2 2 2 2" xfId="29891"/>
    <cellStyle name="Normal 33 3 6 6 2 2 3" xfId="29892"/>
    <cellStyle name="Normal 33 3 6 6 2 3" xfId="29893"/>
    <cellStyle name="Normal 33 3 6 6 2 3 2" xfId="29894"/>
    <cellStyle name="Normal 33 3 6 6 2 4" xfId="29895"/>
    <cellStyle name="Normal 33 3 6 6 3" xfId="29896"/>
    <cellStyle name="Normal 33 3 6 6 3 2" xfId="29897"/>
    <cellStyle name="Normal 33 3 6 6 3 2 2" xfId="29898"/>
    <cellStyle name="Normal 33 3 6 6 3 2 2 2" xfId="29899"/>
    <cellStyle name="Normal 33 3 6 6 3 2 3" xfId="29900"/>
    <cellStyle name="Normal 33 3 6 6 3 3" xfId="29901"/>
    <cellStyle name="Normal 33 3 6 6 3 3 2" xfId="29902"/>
    <cellStyle name="Normal 33 3 6 6 3 4" xfId="29903"/>
    <cellStyle name="Normal 33 3 6 6 4" xfId="29904"/>
    <cellStyle name="Normal 33 3 6 6 4 2" xfId="29905"/>
    <cellStyle name="Normal 33 3 6 6 4 2 2" xfId="29906"/>
    <cellStyle name="Normal 33 3 6 6 4 3" xfId="29907"/>
    <cellStyle name="Normal 33 3 6 6 5" xfId="29908"/>
    <cellStyle name="Normal 33 3 6 6 5 2" xfId="29909"/>
    <cellStyle name="Normal 33 3 6 6 6" xfId="29910"/>
    <cellStyle name="Normal 33 3 6 7" xfId="29911"/>
    <cellStyle name="Normal 33 3 6 7 2" xfId="29912"/>
    <cellStyle name="Normal 33 3 6 7 2 2" xfId="29913"/>
    <cellStyle name="Normal 33 3 6 7 2 2 2" xfId="29914"/>
    <cellStyle name="Normal 33 3 6 7 2 2 2 2" xfId="29915"/>
    <cellStyle name="Normal 33 3 6 7 2 2 3" xfId="29916"/>
    <cellStyle name="Normal 33 3 6 7 2 3" xfId="29917"/>
    <cellStyle name="Normal 33 3 6 7 2 3 2" xfId="29918"/>
    <cellStyle name="Normal 33 3 6 7 2 4" xfId="29919"/>
    <cellStyle name="Normal 33 3 6 7 3" xfId="29920"/>
    <cellStyle name="Normal 33 3 6 7 3 2" xfId="29921"/>
    <cellStyle name="Normal 33 3 6 7 3 2 2" xfId="29922"/>
    <cellStyle name="Normal 33 3 6 7 3 2 2 2" xfId="29923"/>
    <cellStyle name="Normal 33 3 6 7 3 2 3" xfId="29924"/>
    <cellStyle name="Normal 33 3 6 7 3 3" xfId="29925"/>
    <cellStyle name="Normal 33 3 6 7 3 3 2" xfId="29926"/>
    <cellStyle name="Normal 33 3 6 7 3 4" xfId="29927"/>
    <cellStyle name="Normal 33 3 6 7 4" xfId="29928"/>
    <cellStyle name="Normal 33 3 6 7 4 2" xfId="29929"/>
    <cellStyle name="Normal 33 3 6 7 4 2 2" xfId="29930"/>
    <cellStyle name="Normal 33 3 6 7 4 3" xfId="29931"/>
    <cellStyle name="Normal 33 3 6 7 5" xfId="29932"/>
    <cellStyle name="Normal 33 3 6 7 5 2" xfId="29933"/>
    <cellStyle name="Normal 33 3 6 7 6" xfId="29934"/>
    <cellStyle name="Normal 33 3 6 8" xfId="29935"/>
    <cellStyle name="Normal 33 3 6 8 2" xfId="29936"/>
    <cellStyle name="Normal 33 3 6 8 2 2" xfId="29937"/>
    <cellStyle name="Normal 33 3 6 8 2 2 2" xfId="29938"/>
    <cellStyle name="Normal 33 3 6 8 2 2 2 2" xfId="29939"/>
    <cellStyle name="Normal 33 3 6 8 2 2 3" xfId="29940"/>
    <cellStyle name="Normal 33 3 6 8 2 3" xfId="29941"/>
    <cellStyle name="Normal 33 3 6 8 2 3 2" xfId="29942"/>
    <cellStyle name="Normal 33 3 6 8 2 4" xfId="29943"/>
    <cellStyle name="Normal 33 3 6 8 3" xfId="29944"/>
    <cellStyle name="Normal 33 3 6 8 3 2" xfId="29945"/>
    <cellStyle name="Normal 33 3 6 8 3 2 2" xfId="29946"/>
    <cellStyle name="Normal 33 3 6 8 3 2 2 2" xfId="29947"/>
    <cellStyle name="Normal 33 3 6 8 3 2 3" xfId="29948"/>
    <cellStyle name="Normal 33 3 6 8 3 3" xfId="29949"/>
    <cellStyle name="Normal 33 3 6 8 3 3 2" xfId="29950"/>
    <cellStyle name="Normal 33 3 6 8 3 4" xfId="29951"/>
    <cellStyle name="Normal 33 3 6 8 4" xfId="29952"/>
    <cellStyle name="Normal 33 3 6 8 4 2" xfId="29953"/>
    <cellStyle name="Normal 33 3 6 8 4 2 2" xfId="29954"/>
    <cellStyle name="Normal 33 3 6 8 4 3" xfId="29955"/>
    <cellStyle name="Normal 33 3 6 8 5" xfId="29956"/>
    <cellStyle name="Normal 33 3 6 8 5 2" xfId="29957"/>
    <cellStyle name="Normal 33 3 6 8 6" xfId="29958"/>
    <cellStyle name="Normal 33 3 6 9" xfId="29959"/>
    <cellStyle name="Normal 33 3 6 9 2" xfId="29960"/>
    <cellStyle name="Normal 33 3 6 9 2 2" xfId="29961"/>
    <cellStyle name="Normal 33 3 6 9 2 2 2" xfId="29962"/>
    <cellStyle name="Normal 33 3 6 9 2 2 2 2" xfId="29963"/>
    <cellStyle name="Normal 33 3 6 9 2 2 3" xfId="29964"/>
    <cellStyle name="Normal 33 3 6 9 2 3" xfId="29965"/>
    <cellStyle name="Normal 33 3 6 9 2 3 2" xfId="29966"/>
    <cellStyle name="Normal 33 3 6 9 2 4" xfId="29967"/>
    <cellStyle name="Normal 33 3 6 9 3" xfId="29968"/>
    <cellStyle name="Normal 33 3 6 9 3 2" xfId="29969"/>
    <cellStyle name="Normal 33 3 6 9 3 2 2" xfId="29970"/>
    <cellStyle name="Normal 33 3 6 9 3 2 2 2" xfId="29971"/>
    <cellStyle name="Normal 33 3 6 9 3 2 3" xfId="29972"/>
    <cellStyle name="Normal 33 3 6 9 3 3" xfId="29973"/>
    <cellStyle name="Normal 33 3 6 9 3 3 2" xfId="29974"/>
    <cellStyle name="Normal 33 3 6 9 3 4" xfId="29975"/>
    <cellStyle name="Normal 33 3 6 9 4" xfId="29976"/>
    <cellStyle name="Normal 33 3 6 9 4 2" xfId="29977"/>
    <cellStyle name="Normal 33 3 6 9 4 2 2" xfId="29978"/>
    <cellStyle name="Normal 33 3 6 9 4 3" xfId="29979"/>
    <cellStyle name="Normal 33 3 6 9 5" xfId="29980"/>
    <cellStyle name="Normal 33 3 6 9 5 2" xfId="29981"/>
    <cellStyle name="Normal 33 3 6 9 6" xfId="29982"/>
    <cellStyle name="Normal 33 3 7" xfId="29983"/>
    <cellStyle name="Normal 33 3 7 10" xfId="29984"/>
    <cellStyle name="Normal 33 3 7 10 2" xfId="29985"/>
    <cellStyle name="Normal 33 3 7 10 2 2" xfId="29986"/>
    <cellStyle name="Normal 33 3 7 10 2 2 2" xfId="29987"/>
    <cellStyle name="Normal 33 3 7 10 2 2 2 2" xfId="29988"/>
    <cellStyle name="Normal 33 3 7 10 2 2 3" xfId="29989"/>
    <cellStyle name="Normal 33 3 7 10 2 3" xfId="29990"/>
    <cellStyle name="Normal 33 3 7 10 2 3 2" xfId="29991"/>
    <cellStyle name="Normal 33 3 7 10 2 4" xfId="29992"/>
    <cellStyle name="Normal 33 3 7 10 3" xfId="29993"/>
    <cellStyle name="Normal 33 3 7 10 3 2" xfId="29994"/>
    <cellStyle name="Normal 33 3 7 10 3 2 2" xfId="29995"/>
    <cellStyle name="Normal 33 3 7 10 3 2 2 2" xfId="29996"/>
    <cellStyle name="Normal 33 3 7 10 3 2 3" xfId="29997"/>
    <cellStyle name="Normal 33 3 7 10 3 3" xfId="29998"/>
    <cellStyle name="Normal 33 3 7 10 3 3 2" xfId="29999"/>
    <cellStyle name="Normal 33 3 7 10 3 4" xfId="30000"/>
    <cellStyle name="Normal 33 3 7 10 4" xfId="30001"/>
    <cellStyle name="Normal 33 3 7 10 4 2" xfId="30002"/>
    <cellStyle name="Normal 33 3 7 10 4 2 2" xfId="30003"/>
    <cellStyle name="Normal 33 3 7 10 4 3" xfId="30004"/>
    <cellStyle name="Normal 33 3 7 10 5" xfId="30005"/>
    <cellStyle name="Normal 33 3 7 10 5 2" xfId="30006"/>
    <cellStyle name="Normal 33 3 7 10 6" xfId="30007"/>
    <cellStyle name="Normal 33 3 7 11" xfId="30008"/>
    <cellStyle name="Normal 33 3 7 11 2" xfId="30009"/>
    <cellStyle name="Normal 33 3 7 11 2 2" xfId="30010"/>
    <cellStyle name="Normal 33 3 7 11 2 2 2" xfId="30011"/>
    <cellStyle name="Normal 33 3 7 11 2 2 2 2" xfId="30012"/>
    <cellStyle name="Normal 33 3 7 11 2 2 3" xfId="30013"/>
    <cellStyle name="Normal 33 3 7 11 2 3" xfId="30014"/>
    <cellStyle name="Normal 33 3 7 11 2 3 2" xfId="30015"/>
    <cellStyle name="Normal 33 3 7 11 2 4" xfId="30016"/>
    <cellStyle name="Normal 33 3 7 11 3" xfId="30017"/>
    <cellStyle name="Normal 33 3 7 11 3 2" xfId="30018"/>
    <cellStyle name="Normal 33 3 7 11 3 2 2" xfId="30019"/>
    <cellStyle name="Normal 33 3 7 11 3 2 2 2" xfId="30020"/>
    <cellStyle name="Normal 33 3 7 11 3 2 3" xfId="30021"/>
    <cellStyle name="Normal 33 3 7 11 3 3" xfId="30022"/>
    <cellStyle name="Normal 33 3 7 11 3 3 2" xfId="30023"/>
    <cellStyle name="Normal 33 3 7 11 3 4" xfId="30024"/>
    <cellStyle name="Normal 33 3 7 11 4" xfId="30025"/>
    <cellStyle name="Normal 33 3 7 11 4 2" xfId="30026"/>
    <cellStyle name="Normal 33 3 7 11 4 2 2" xfId="30027"/>
    <cellStyle name="Normal 33 3 7 11 4 3" xfId="30028"/>
    <cellStyle name="Normal 33 3 7 11 5" xfId="30029"/>
    <cellStyle name="Normal 33 3 7 11 5 2" xfId="30030"/>
    <cellStyle name="Normal 33 3 7 11 6" xfId="30031"/>
    <cellStyle name="Normal 33 3 7 12" xfId="30032"/>
    <cellStyle name="Normal 33 3 7 12 2" xfId="30033"/>
    <cellStyle name="Normal 33 3 7 12 2 2" xfId="30034"/>
    <cellStyle name="Normal 33 3 7 12 2 2 2" xfId="30035"/>
    <cellStyle name="Normal 33 3 7 12 2 2 2 2" xfId="30036"/>
    <cellStyle name="Normal 33 3 7 12 2 2 3" xfId="30037"/>
    <cellStyle name="Normal 33 3 7 12 2 3" xfId="30038"/>
    <cellStyle name="Normal 33 3 7 12 2 3 2" xfId="30039"/>
    <cellStyle name="Normal 33 3 7 12 2 4" xfId="30040"/>
    <cellStyle name="Normal 33 3 7 12 3" xfId="30041"/>
    <cellStyle name="Normal 33 3 7 12 3 2" xfId="30042"/>
    <cellStyle name="Normal 33 3 7 12 3 2 2" xfId="30043"/>
    <cellStyle name="Normal 33 3 7 12 3 2 2 2" xfId="30044"/>
    <cellStyle name="Normal 33 3 7 12 3 2 3" xfId="30045"/>
    <cellStyle name="Normal 33 3 7 12 3 3" xfId="30046"/>
    <cellStyle name="Normal 33 3 7 12 3 3 2" xfId="30047"/>
    <cellStyle name="Normal 33 3 7 12 3 4" xfId="30048"/>
    <cellStyle name="Normal 33 3 7 12 4" xfId="30049"/>
    <cellStyle name="Normal 33 3 7 12 4 2" xfId="30050"/>
    <cellStyle name="Normal 33 3 7 12 4 2 2" xfId="30051"/>
    <cellStyle name="Normal 33 3 7 12 4 3" xfId="30052"/>
    <cellStyle name="Normal 33 3 7 12 5" xfId="30053"/>
    <cellStyle name="Normal 33 3 7 12 5 2" xfId="30054"/>
    <cellStyle name="Normal 33 3 7 12 6" xfId="30055"/>
    <cellStyle name="Normal 33 3 7 13" xfId="30056"/>
    <cellStyle name="Normal 33 3 7 13 2" xfId="30057"/>
    <cellStyle name="Normal 33 3 7 13 2 2" xfId="30058"/>
    <cellStyle name="Normal 33 3 7 13 2 2 2" xfId="30059"/>
    <cellStyle name="Normal 33 3 7 13 2 2 2 2" xfId="30060"/>
    <cellStyle name="Normal 33 3 7 13 2 2 3" xfId="30061"/>
    <cellStyle name="Normal 33 3 7 13 2 3" xfId="30062"/>
    <cellStyle name="Normal 33 3 7 13 2 3 2" xfId="30063"/>
    <cellStyle name="Normal 33 3 7 13 2 4" xfId="30064"/>
    <cellStyle name="Normal 33 3 7 13 3" xfId="30065"/>
    <cellStyle name="Normal 33 3 7 13 3 2" xfId="30066"/>
    <cellStyle name="Normal 33 3 7 13 3 2 2" xfId="30067"/>
    <cellStyle name="Normal 33 3 7 13 3 2 2 2" xfId="30068"/>
    <cellStyle name="Normal 33 3 7 13 3 2 3" xfId="30069"/>
    <cellStyle name="Normal 33 3 7 13 3 3" xfId="30070"/>
    <cellStyle name="Normal 33 3 7 13 3 3 2" xfId="30071"/>
    <cellStyle name="Normal 33 3 7 13 3 4" xfId="30072"/>
    <cellStyle name="Normal 33 3 7 13 4" xfId="30073"/>
    <cellStyle name="Normal 33 3 7 13 4 2" xfId="30074"/>
    <cellStyle name="Normal 33 3 7 13 4 2 2" xfId="30075"/>
    <cellStyle name="Normal 33 3 7 13 4 3" xfId="30076"/>
    <cellStyle name="Normal 33 3 7 13 5" xfId="30077"/>
    <cellStyle name="Normal 33 3 7 13 5 2" xfId="30078"/>
    <cellStyle name="Normal 33 3 7 13 6" xfId="30079"/>
    <cellStyle name="Normal 33 3 7 14" xfId="30080"/>
    <cellStyle name="Normal 33 3 7 14 2" xfId="30081"/>
    <cellStyle name="Normal 33 3 7 14 2 2" xfId="30082"/>
    <cellStyle name="Normal 33 3 7 14 2 2 2" xfId="30083"/>
    <cellStyle name="Normal 33 3 7 14 2 3" xfId="30084"/>
    <cellStyle name="Normal 33 3 7 14 3" xfId="30085"/>
    <cellStyle name="Normal 33 3 7 14 3 2" xfId="30086"/>
    <cellStyle name="Normal 33 3 7 14 4" xfId="30087"/>
    <cellStyle name="Normal 33 3 7 15" xfId="30088"/>
    <cellStyle name="Normal 33 3 7 15 2" xfId="30089"/>
    <cellStyle name="Normal 33 3 7 15 2 2" xfId="30090"/>
    <cellStyle name="Normal 33 3 7 15 2 2 2" xfId="30091"/>
    <cellStyle name="Normal 33 3 7 15 2 3" xfId="30092"/>
    <cellStyle name="Normal 33 3 7 15 3" xfId="30093"/>
    <cellStyle name="Normal 33 3 7 15 3 2" xfId="30094"/>
    <cellStyle name="Normal 33 3 7 15 4" xfId="30095"/>
    <cellStyle name="Normal 33 3 7 16" xfId="30096"/>
    <cellStyle name="Normal 33 3 7 16 2" xfId="30097"/>
    <cellStyle name="Normal 33 3 7 16 2 2" xfId="30098"/>
    <cellStyle name="Normal 33 3 7 16 3" xfId="30099"/>
    <cellStyle name="Normal 33 3 7 17" xfId="30100"/>
    <cellStyle name="Normal 33 3 7 17 2" xfId="30101"/>
    <cellStyle name="Normal 33 3 7 18" xfId="30102"/>
    <cellStyle name="Normal 33 3 7 2" xfId="30103"/>
    <cellStyle name="Normal 33 3 7 2 2" xfId="30104"/>
    <cellStyle name="Normal 33 3 7 2 2 2" xfId="30105"/>
    <cellStyle name="Normal 33 3 7 2 2 2 2" xfId="30106"/>
    <cellStyle name="Normal 33 3 7 2 2 2 2 2" xfId="30107"/>
    <cellStyle name="Normal 33 3 7 2 2 2 3" xfId="30108"/>
    <cellStyle name="Normal 33 3 7 2 2 3" xfId="30109"/>
    <cellStyle name="Normal 33 3 7 2 2 3 2" xfId="30110"/>
    <cellStyle name="Normal 33 3 7 2 2 4" xfId="30111"/>
    <cellStyle name="Normal 33 3 7 2 3" xfId="30112"/>
    <cellStyle name="Normal 33 3 7 2 3 2" xfId="30113"/>
    <cellStyle name="Normal 33 3 7 2 3 2 2" xfId="30114"/>
    <cellStyle name="Normal 33 3 7 2 3 2 2 2" xfId="30115"/>
    <cellStyle name="Normal 33 3 7 2 3 2 3" xfId="30116"/>
    <cellStyle name="Normal 33 3 7 2 3 3" xfId="30117"/>
    <cellStyle name="Normal 33 3 7 2 3 3 2" xfId="30118"/>
    <cellStyle name="Normal 33 3 7 2 3 4" xfId="30119"/>
    <cellStyle name="Normal 33 3 7 2 4" xfId="30120"/>
    <cellStyle name="Normal 33 3 7 2 4 2" xfId="30121"/>
    <cellStyle name="Normal 33 3 7 2 4 2 2" xfId="30122"/>
    <cellStyle name="Normal 33 3 7 2 4 3" xfId="30123"/>
    <cellStyle name="Normal 33 3 7 2 5" xfId="30124"/>
    <cellStyle name="Normal 33 3 7 2 5 2" xfId="30125"/>
    <cellStyle name="Normal 33 3 7 2 6" xfId="30126"/>
    <cellStyle name="Normal 33 3 7 3" xfId="30127"/>
    <cellStyle name="Normal 33 3 7 3 2" xfId="30128"/>
    <cellStyle name="Normal 33 3 7 3 2 2" xfId="30129"/>
    <cellStyle name="Normal 33 3 7 3 2 2 2" xfId="30130"/>
    <cellStyle name="Normal 33 3 7 3 2 2 2 2" xfId="30131"/>
    <cellStyle name="Normal 33 3 7 3 2 2 3" xfId="30132"/>
    <cellStyle name="Normal 33 3 7 3 2 3" xfId="30133"/>
    <cellStyle name="Normal 33 3 7 3 2 3 2" xfId="30134"/>
    <cellStyle name="Normal 33 3 7 3 2 4" xfId="30135"/>
    <cellStyle name="Normal 33 3 7 3 3" xfId="30136"/>
    <cellStyle name="Normal 33 3 7 3 3 2" xfId="30137"/>
    <cellStyle name="Normal 33 3 7 3 3 2 2" xfId="30138"/>
    <cellStyle name="Normal 33 3 7 3 3 2 2 2" xfId="30139"/>
    <cellStyle name="Normal 33 3 7 3 3 2 3" xfId="30140"/>
    <cellStyle name="Normal 33 3 7 3 3 3" xfId="30141"/>
    <cellStyle name="Normal 33 3 7 3 3 3 2" xfId="30142"/>
    <cellStyle name="Normal 33 3 7 3 3 4" xfId="30143"/>
    <cellStyle name="Normal 33 3 7 3 4" xfId="30144"/>
    <cellStyle name="Normal 33 3 7 3 4 2" xfId="30145"/>
    <cellStyle name="Normal 33 3 7 3 4 2 2" xfId="30146"/>
    <cellStyle name="Normal 33 3 7 3 4 3" xfId="30147"/>
    <cellStyle name="Normal 33 3 7 3 5" xfId="30148"/>
    <cellStyle name="Normal 33 3 7 3 5 2" xfId="30149"/>
    <cellStyle name="Normal 33 3 7 3 6" xfId="30150"/>
    <cellStyle name="Normal 33 3 7 4" xfId="30151"/>
    <cellStyle name="Normal 33 3 7 4 2" xfId="30152"/>
    <cellStyle name="Normal 33 3 7 4 2 2" xfId="30153"/>
    <cellStyle name="Normal 33 3 7 4 2 2 2" xfId="30154"/>
    <cellStyle name="Normal 33 3 7 4 2 2 2 2" xfId="30155"/>
    <cellStyle name="Normal 33 3 7 4 2 2 3" xfId="30156"/>
    <cellStyle name="Normal 33 3 7 4 2 3" xfId="30157"/>
    <cellStyle name="Normal 33 3 7 4 2 3 2" xfId="30158"/>
    <cellStyle name="Normal 33 3 7 4 2 4" xfId="30159"/>
    <cellStyle name="Normal 33 3 7 4 3" xfId="30160"/>
    <cellStyle name="Normal 33 3 7 4 3 2" xfId="30161"/>
    <cellStyle name="Normal 33 3 7 4 3 2 2" xfId="30162"/>
    <cellStyle name="Normal 33 3 7 4 3 2 2 2" xfId="30163"/>
    <cellStyle name="Normal 33 3 7 4 3 2 3" xfId="30164"/>
    <cellStyle name="Normal 33 3 7 4 3 3" xfId="30165"/>
    <cellStyle name="Normal 33 3 7 4 3 3 2" xfId="30166"/>
    <cellStyle name="Normal 33 3 7 4 3 4" xfId="30167"/>
    <cellStyle name="Normal 33 3 7 4 4" xfId="30168"/>
    <cellStyle name="Normal 33 3 7 4 4 2" xfId="30169"/>
    <cellStyle name="Normal 33 3 7 4 4 2 2" xfId="30170"/>
    <cellStyle name="Normal 33 3 7 4 4 3" xfId="30171"/>
    <cellStyle name="Normal 33 3 7 4 5" xfId="30172"/>
    <cellStyle name="Normal 33 3 7 4 5 2" xfId="30173"/>
    <cellStyle name="Normal 33 3 7 4 6" xfId="30174"/>
    <cellStyle name="Normal 33 3 7 5" xfId="30175"/>
    <cellStyle name="Normal 33 3 7 5 2" xfId="30176"/>
    <cellStyle name="Normal 33 3 7 5 2 2" xfId="30177"/>
    <cellStyle name="Normal 33 3 7 5 2 2 2" xfId="30178"/>
    <cellStyle name="Normal 33 3 7 5 2 2 2 2" xfId="30179"/>
    <cellStyle name="Normal 33 3 7 5 2 2 3" xfId="30180"/>
    <cellStyle name="Normal 33 3 7 5 2 3" xfId="30181"/>
    <cellStyle name="Normal 33 3 7 5 2 3 2" xfId="30182"/>
    <cellStyle name="Normal 33 3 7 5 2 4" xfId="30183"/>
    <cellStyle name="Normal 33 3 7 5 3" xfId="30184"/>
    <cellStyle name="Normal 33 3 7 5 3 2" xfId="30185"/>
    <cellStyle name="Normal 33 3 7 5 3 2 2" xfId="30186"/>
    <cellStyle name="Normal 33 3 7 5 3 2 2 2" xfId="30187"/>
    <cellStyle name="Normal 33 3 7 5 3 2 3" xfId="30188"/>
    <cellStyle name="Normal 33 3 7 5 3 3" xfId="30189"/>
    <cellStyle name="Normal 33 3 7 5 3 3 2" xfId="30190"/>
    <cellStyle name="Normal 33 3 7 5 3 4" xfId="30191"/>
    <cellStyle name="Normal 33 3 7 5 4" xfId="30192"/>
    <cellStyle name="Normal 33 3 7 5 4 2" xfId="30193"/>
    <cellStyle name="Normal 33 3 7 5 4 2 2" xfId="30194"/>
    <cellStyle name="Normal 33 3 7 5 4 3" xfId="30195"/>
    <cellStyle name="Normal 33 3 7 5 5" xfId="30196"/>
    <cellStyle name="Normal 33 3 7 5 5 2" xfId="30197"/>
    <cellStyle name="Normal 33 3 7 5 6" xfId="30198"/>
    <cellStyle name="Normal 33 3 7 6" xfId="30199"/>
    <cellStyle name="Normal 33 3 7 6 2" xfId="30200"/>
    <cellStyle name="Normal 33 3 7 6 2 2" xfId="30201"/>
    <cellStyle name="Normal 33 3 7 6 2 2 2" xfId="30202"/>
    <cellStyle name="Normal 33 3 7 6 2 2 2 2" xfId="30203"/>
    <cellStyle name="Normal 33 3 7 6 2 2 3" xfId="30204"/>
    <cellStyle name="Normal 33 3 7 6 2 3" xfId="30205"/>
    <cellStyle name="Normal 33 3 7 6 2 3 2" xfId="30206"/>
    <cellStyle name="Normal 33 3 7 6 2 4" xfId="30207"/>
    <cellStyle name="Normal 33 3 7 6 3" xfId="30208"/>
    <cellStyle name="Normal 33 3 7 6 3 2" xfId="30209"/>
    <cellStyle name="Normal 33 3 7 6 3 2 2" xfId="30210"/>
    <cellStyle name="Normal 33 3 7 6 3 2 2 2" xfId="30211"/>
    <cellStyle name="Normal 33 3 7 6 3 2 3" xfId="30212"/>
    <cellStyle name="Normal 33 3 7 6 3 3" xfId="30213"/>
    <cellStyle name="Normal 33 3 7 6 3 3 2" xfId="30214"/>
    <cellStyle name="Normal 33 3 7 6 3 4" xfId="30215"/>
    <cellStyle name="Normal 33 3 7 6 4" xfId="30216"/>
    <cellStyle name="Normal 33 3 7 6 4 2" xfId="30217"/>
    <cellStyle name="Normal 33 3 7 6 4 2 2" xfId="30218"/>
    <cellStyle name="Normal 33 3 7 6 4 3" xfId="30219"/>
    <cellStyle name="Normal 33 3 7 6 5" xfId="30220"/>
    <cellStyle name="Normal 33 3 7 6 5 2" xfId="30221"/>
    <cellStyle name="Normal 33 3 7 6 6" xfId="30222"/>
    <cellStyle name="Normal 33 3 7 7" xfId="30223"/>
    <cellStyle name="Normal 33 3 7 7 2" xfId="30224"/>
    <cellStyle name="Normal 33 3 7 7 2 2" xfId="30225"/>
    <cellStyle name="Normal 33 3 7 7 2 2 2" xfId="30226"/>
    <cellStyle name="Normal 33 3 7 7 2 2 2 2" xfId="30227"/>
    <cellStyle name="Normal 33 3 7 7 2 2 3" xfId="30228"/>
    <cellStyle name="Normal 33 3 7 7 2 3" xfId="30229"/>
    <cellStyle name="Normal 33 3 7 7 2 3 2" xfId="30230"/>
    <cellStyle name="Normal 33 3 7 7 2 4" xfId="30231"/>
    <cellStyle name="Normal 33 3 7 7 3" xfId="30232"/>
    <cellStyle name="Normal 33 3 7 7 3 2" xfId="30233"/>
    <cellStyle name="Normal 33 3 7 7 3 2 2" xfId="30234"/>
    <cellStyle name="Normal 33 3 7 7 3 2 2 2" xfId="30235"/>
    <cellStyle name="Normal 33 3 7 7 3 2 3" xfId="30236"/>
    <cellStyle name="Normal 33 3 7 7 3 3" xfId="30237"/>
    <cellStyle name="Normal 33 3 7 7 3 3 2" xfId="30238"/>
    <cellStyle name="Normal 33 3 7 7 3 4" xfId="30239"/>
    <cellStyle name="Normal 33 3 7 7 4" xfId="30240"/>
    <cellStyle name="Normal 33 3 7 7 4 2" xfId="30241"/>
    <cellStyle name="Normal 33 3 7 7 4 2 2" xfId="30242"/>
    <cellStyle name="Normal 33 3 7 7 4 3" xfId="30243"/>
    <cellStyle name="Normal 33 3 7 7 5" xfId="30244"/>
    <cellStyle name="Normal 33 3 7 7 5 2" xfId="30245"/>
    <cellStyle name="Normal 33 3 7 7 6" xfId="30246"/>
    <cellStyle name="Normal 33 3 7 8" xfId="30247"/>
    <cellStyle name="Normal 33 3 7 8 2" xfId="30248"/>
    <cellStyle name="Normal 33 3 7 8 2 2" xfId="30249"/>
    <cellStyle name="Normal 33 3 7 8 2 2 2" xfId="30250"/>
    <cellStyle name="Normal 33 3 7 8 2 2 2 2" xfId="30251"/>
    <cellStyle name="Normal 33 3 7 8 2 2 3" xfId="30252"/>
    <cellStyle name="Normal 33 3 7 8 2 3" xfId="30253"/>
    <cellStyle name="Normal 33 3 7 8 2 3 2" xfId="30254"/>
    <cellStyle name="Normal 33 3 7 8 2 4" xfId="30255"/>
    <cellStyle name="Normal 33 3 7 8 3" xfId="30256"/>
    <cellStyle name="Normal 33 3 7 8 3 2" xfId="30257"/>
    <cellStyle name="Normal 33 3 7 8 3 2 2" xfId="30258"/>
    <cellStyle name="Normal 33 3 7 8 3 2 2 2" xfId="30259"/>
    <cellStyle name="Normal 33 3 7 8 3 2 3" xfId="30260"/>
    <cellStyle name="Normal 33 3 7 8 3 3" xfId="30261"/>
    <cellStyle name="Normal 33 3 7 8 3 3 2" xfId="30262"/>
    <cellStyle name="Normal 33 3 7 8 3 4" xfId="30263"/>
    <cellStyle name="Normal 33 3 7 8 4" xfId="30264"/>
    <cellStyle name="Normal 33 3 7 8 4 2" xfId="30265"/>
    <cellStyle name="Normal 33 3 7 8 4 2 2" xfId="30266"/>
    <cellStyle name="Normal 33 3 7 8 4 3" xfId="30267"/>
    <cellStyle name="Normal 33 3 7 8 5" xfId="30268"/>
    <cellStyle name="Normal 33 3 7 8 5 2" xfId="30269"/>
    <cellStyle name="Normal 33 3 7 8 6" xfId="30270"/>
    <cellStyle name="Normal 33 3 7 9" xfId="30271"/>
    <cellStyle name="Normal 33 3 7 9 2" xfId="30272"/>
    <cellStyle name="Normal 33 3 7 9 2 2" xfId="30273"/>
    <cellStyle name="Normal 33 3 7 9 2 2 2" xfId="30274"/>
    <cellStyle name="Normal 33 3 7 9 2 2 2 2" xfId="30275"/>
    <cellStyle name="Normal 33 3 7 9 2 2 3" xfId="30276"/>
    <cellStyle name="Normal 33 3 7 9 2 3" xfId="30277"/>
    <cellStyle name="Normal 33 3 7 9 2 3 2" xfId="30278"/>
    <cellStyle name="Normal 33 3 7 9 2 4" xfId="30279"/>
    <cellStyle name="Normal 33 3 7 9 3" xfId="30280"/>
    <cellStyle name="Normal 33 3 7 9 3 2" xfId="30281"/>
    <cellStyle name="Normal 33 3 7 9 3 2 2" xfId="30282"/>
    <cellStyle name="Normal 33 3 7 9 3 2 2 2" xfId="30283"/>
    <cellStyle name="Normal 33 3 7 9 3 2 3" xfId="30284"/>
    <cellStyle name="Normal 33 3 7 9 3 3" xfId="30285"/>
    <cellStyle name="Normal 33 3 7 9 3 3 2" xfId="30286"/>
    <cellStyle name="Normal 33 3 7 9 3 4" xfId="30287"/>
    <cellStyle name="Normal 33 3 7 9 4" xfId="30288"/>
    <cellStyle name="Normal 33 3 7 9 4 2" xfId="30289"/>
    <cellStyle name="Normal 33 3 7 9 4 2 2" xfId="30290"/>
    <cellStyle name="Normal 33 3 7 9 4 3" xfId="30291"/>
    <cellStyle name="Normal 33 3 7 9 5" xfId="30292"/>
    <cellStyle name="Normal 33 3 7 9 5 2" xfId="30293"/>
    <cellStyle name="Normal 33 3 7 9 6" xfId="30294"/>
    <cellStyle name="Normal 33 3 8" xfId="30295"/>
    <cellStyle name="Normal 33 3 8 10" xfId="30296"/>
    <cellStyle name="Normal 33 3 8 10 2" xfId="30297"/>
    <cellStyle name="Normal 33 3 8 10 2 2" xfId="30298"/>
    <cellStyle name="Normal 33 3 8 10 2 2 2" xfId="30299"/>
    <cellStyle name="Normal 33 3 8 10 2 2 2 2" xfId="30300"/>
    <cellStyle name="Normal 33 3 8 10 2 2 3" xfId="30301"/>
    <cellStyle name="Normal 33 3 8 10 2 3" xfId="30302"/>
    <cellStyle name="Normal 33 3 8 10 2 3 2" xfId="30303"/>
    <cellStyle name="Normal 33 3 8 10 2 4" xfId="30304"/>
    <cellStyle name="Normal 33 3 8 10 3" xfId="30305"/>
    <cellStyle name="Normal 33 3 8 10 3 2" xfId="30306"/>
    <cellStyle name="Normal 33 3 8 10 3 2 2" xfId="30307"/>
    <cellStyle name="Normal 33 3 8 10 3 2 2 2" xfId="30308"/>
    <cellStyle name="Normal 33 3 8 10 3 2 3" xfId="30309"/>
    <cellStyle name="Normal 33 3 8 10 3 3" xfId="30310"/>
    <cellStyle name="Normal 33 3 8 10 3 3 2" xfId="30311"/>
    <cellStyle name="Normal 33 3 8 10 3 4" xfId="30312"/>
    <cellStyle name="Normal 33 3 8 10 4" xfId="30313"/>
    <cellStyle name="Normal 33 3 8 10 4 2" xfId="30314"/>
    <cellStyle name="Normal 33 3 8 10 4 2 2" xfId="30315"/>
    <cellStyle name="Normal 33 3 8 10 4 3" xfId="30316"/>
    <cellStyle name="Normal 33 3 8 10 5" xfId="30317"/>
    <cellStyle name="Normal 33 3 8 10 5 2" xfId="30318"/>
    <cellStyle name="Normal 33 3 8 10 6" xfId="30319"/>
    <cellStyle name="Normal 33 3 8 11" xfId="30320"/>
    <cellStyle name="Normal 33 3 8 11 2" xfId="30321"/>
    <cellStyle name="Normal 33 3 8 11 2 2" xfId="30322"/>
    <cellStyle name="Normal 33 3 8 11 2 2 2" xfId="30323"/>
    <cellStyle name="Normal 33 3 8 11 2 2 2 2" xfId="30324"/>
    <cellStyle name="Normal 33 3 8 11 2 2 3" xfId="30325"/>
    <cellStyle name="Normal 33 3 8 11 2 3" xfId="30326"/>
    <cellStyle name="Normal 33 3 8 11 2 3 2" xfId="30327"/>
    <cellStyle name="Normal 33 3 8 11 2 4" xfId="30328"/>
    <cellStyle name="Normal 33 3 8 11 3" xfId="30329"/>
    <cellStyle name="Normal 33 3 8 11 3 2" xfId="30330"/>
    <cellStyle name="Normal 33 3 8 11 3 2 2" xfId="30331"/>
    <cellStyle name="Normal 33 3 8 11 3 2 2 2" xfId="30332"/>
    <cellStyle name="Normal 33 3 8 11 3 2 3" xfId="30333"/>
    <cellStyle name="Normal 33 3 8 11 3 3" xfId="30334"/>
    <cellStyle name="Normal 33 3 8 11 3 3 2" xfId="30335"/>
    <cellStyle name="Normal 33 3 8 11 3 4" xfId="30336"/>
    <cellStyle name="Normal 33 3 8 11 4" xfId="30337"/>
    <cellStyle name="Normal 33 3 8 11 4 2" xfId="30338"/>
    <cellStyle name="Normal 33 3 8 11 4 2 2" xfId="30339"/>
    <cellStyle name="Normal 33 3 8 11 4 3" xfId="30340"/>
    <cellStyle name="Normal 33 3 8 11 5" xfId="30341"/>
    <cellStyle name="Normal 33 3 8 11 5 2" xfId="30342"/>
    <cellStyle name="Normal 33 3 8 11 6" xfId="30343"/>
    <cellStyle name="Normal 33 3 8 12" xfId="30344"/>
    <cellStyle name="Normal 33 3 8 12 2" xfId="30345"/>
    <cellStyle name="Normal 33 3 8 12 2 2" xfId="30346"/>
    <cellStyle name="Normal 33 3 8 12 2 2 2" xfId="30347"/>
    <cellStyle name="Normal 33 3 8 12 2 2 2 2" xfId="30348"/>
    <cellStyle name="Normal 33 3 8 12 2 2 3" xfId="30349"/>
    <cellStyle name="Normal 33 3 8 12 2 3" xfId="30350"/>
    <cellStyle name="Normal 33 3 8 12 2 3 2" xfId="30351"/>
    <cellStyle name="Normal 33 3 8 12 2 4" xfId="30352"/>
    <cellStyle name="Normal 33 3 8 12 3" xfId="30353"/>
    <cellStyle name="Normal 33 3 8 12 3 2" xfId="30354"/>
    <cellStyle name="Normal 33 3 8 12 3 2 2" xfId="30355"/>
    <cellStyle name="Normal 33 3 8 12 3 2 2 2" xfId="30356"/>
    <cellStyle name="Normal 33 3 8 12 3 2 3" xfId="30357"/>
    <cellStyle name="Normal 33 3 8 12 3 3" xfId="30358"/>
    <cellStyle name="Normal 33 3 8 12 3 3 2" xfId="30359"/>
    <cellStyle name="Normal 33 3 8 12 3 4" xfId="30360"/>
    <cellStyle name="Normal 33 3 8 12 4" xfId="30361"/>
    <cellStyle name="Normal 33 3 8 12 4 2" xfId="30362"/>
    <cellStyle name="Normal 33 3 8 12 4 2 2" xfId="30363"/>
    <cellStyle name="Normal 33 3 8 12 4 3" xfId="30364"/>
    <cellStyle name="Normal 33 3 8 12 5" xfId="30365"/>
    <cellStyle name="Normal 33 3 8 12 5 2" xfId="30366"/>
    <cellStyle name="Normal 33 3 8 12 6" xfId="30367"/>
    <cellStyle name="Normal 33 3 8 13" xfId="30368"/>
    <cellStyle name="Normal 33 3 8 13 2" xfId="30369"/>
    <cellStyle name="Normal 33 3 8 13 2 2" xfId="30370"/>
    <cellStyle name="Normal 33 3 8 13 2 2 2" xfId="30371"/>
    <cellStyle name="Normal 33 3 8 13 2 2 2 2" xfId="30372"/>
    <cellStyle name="Normal 33 3 8 13 2 2 3" xfId="30373"/>
    <cellStyle name="Normal 33 3 8 13 2 3" xfId="30374"/>
    <cellStyle name="Normal 33 3 8 13 2 3 2" xfId="30375"/>
    <cellStyle name="Normal 33 3 8 13 2 4" xfId="30376"/>
    <cellStyle name="Normal 33 3 8 13 3" xfId="30377"/>
    <cellStyle name="Normal 33 3 8 13 3 2" xfId="30378"/>
    <cellStyle name="Normal 33 3 8 13 3 2 2" xfId="30379"/>
    <cellStyle name="Normal 33 3 8 13 3 2 2 2" xfId="30380"/>
    <cellStyle name="Normal 33 3 8 13 3 2 3" xfId="30381"/>
    <cellStyle name="Normal 33 3 8 13 3 3" xfId="30382"/>
    <cellStyle name="Normal 33 3 8 13 3 3 2" xfId="30383"/>
    <cellStyle name="Normal 33 3 8 13 3 4" xfId="30384"/>
    <cellStyle name="Normal 33 3 8 13 4" xfId="30385"/>
    <cellStyle name="Normal 33 3 8 13 4 2" xfId="30386"/>
    <cellStyle name="Normal 33 3 8 13 4 2 2" xfId="30387"/>
    <cellStyle name="Normal 33 3 8 13 4 3" xfId="30388"/>
    <cellStyle name="Normal 33 3 8 13 5" xfId="30389"/>
    <cellStyle name="Normal 33 3 8 13 5 2" xfId="30390"/>
    <cellStyle name="Normal 33 3 8 13 6" xfId="30391"/>
    <cellStyle name="Normal 33 3 8 14" xfId="30392"/>
    <cellStyle name="Normal 33 3 8 14 2" xfId="30393"/>
    <cellStyle name="Normal 33 3 8 14 2 2" xfId="30394"/>
    <cellStyle name="Normal 33 3 8 14 2 2 2" xfId="30395"/>
    <cellStyle name="Normal 33 3 8 14 2 3" xfId="30396"/>
    <cellStyle name="Normal 33 3 8 14 3" xfId="30397"/>
    <cellStyle name="Normal 33 3 8 14 3 2" xfId="30398"/>
    <cellStyle name="Normal 33 3 8 14 4" xfId="30399"/>
    <cellStyle name="Normal 33 3 8 15" xfId="30400"/>
    <cellStyle name="Normal 33 3 8 15 2" xfId="30401"/>
    <cellStyle name="Normal 33 3 8 15 2 2" xfId="30402"/>
    <cellStyle name="Normal 33 3 8 15 2 2 2" xfId="30403"/>
    <cellStyle name="Normal 33 3 8 15 2 3" xfId="30404"/>
    <cellStyle name="Normal 33 3 8 15 3" xfId="30405"/>
    <cellStyle name="Normal 33 3 8 15 3 2" xfId="30406"/>
    <cellStyle name="Normal 33 3 8 15 4" xfId="30407"/>
    <cellStyle name="Normal 33 3 8 16" xfId="30408"/>
    <cellStyle name="Normal 33 3 8 16 2" xfId="30409"/>
    <cellStyle name="Normal 33 3 8 16 2 2" xfId="30410"/>
    <cellStyle name="Normal 33 3 8 16 3" xfId="30411"/>
    <cellStyle name="Normal 33 3 8 17" xfId="30412"/>
    <cellStyle name="Normal 33 3 8 17 2" xfId="30413"/>
    <cellStyle name="Normal 33 3 8 18" xfId="30414"/>
    <cellStyle name="Normal 33 3 8 2" xfId="30415"/>
    <cellStyle name="Normal 33 3 8 2 2" xfId="30416"/>
    <cellStyle name="Normal 33 3 8 2 2 2" xfId="30417"/>
    <cellStyle name="Normal 33 3 8 2 2 2 2" xfId="30418"/>
    <cellStyle name="Normal 33 3 8 2 2 2 2 2" xfId="30419"/>
    <cellStyle name="Normal 33 3 8 2 2 2 3" xfId="30420"/>
    <cellStyle name="Normal 33 3 8 2 2 3" xfId="30421"/>
    <cellStyle name="Normal 33 3 8 2 2 3 2" xfId="30422"/>
    <cellStyle name="Normal 33 3 8 2 2 4" xfId="30423"/>
    <cellStyle name="Normal 33 3 8 2 3" xfId="30424"/>
    <cellStyle name="Normal 33 3 8 2 3 2" xfId="30425"/>
    <cellStyle name="Normal 33 3 8 2 3 2 2" xfId="30426"/>
    <cellStyle name="Normal 33 3 8 2 3 2 2 2" xfId="30427"/>
    <cellStyle name="Normal 33 3 8 2 3 2 3" xfId="30428"/>
    <cellStyle name="Normal 33 3 8 2 3 3" xfId="30429"/>
    <cellStyle name="Normal 33 3 8 2 3 3 2" xfId="30430"/>
    <cellStyle name="Normal 33 3 8 2 3 4" xfId="30431"/>
    <cellStyle name="Normal 33 3 8 2 4" xfId="30432"/>
    <cellStyle name="Normal 33 3 8 2 4 2" xfId="30433"/>
    <cellStyle name="Normal 33 3 8 2 4 2 2" xfId="30434"/>
    <cellStyle name="Normal 33 3 8 2 4 3" xfId="30435"/>
    <cellStyle name="Normal 33 3 8 2 5" xfId="30436"/>
    <cellStyle name="Normal 33 3 8 2 5 2" xfId="30437"/>
    <cellStyle name="Normal 33 3 8 2 6" xfId="30438"/>
    <cellStyle name="Normal 33 3 8 3" xfId="30439"/>
    <cellStyle name="Normal 33 3 8 3 2" xfId="30440"/>
    <cellStyle name="Normal 33 3 8 3 2 2" xfId="30441"/>
    <cellStyle name="Normal 33 3 8 3 2 2 2" xfId="30442"/>
    <cellStyle name="Normal 33 3 8 3 2 2 2 2" xfId="30443"/>
    <cellStyle name="Normal 33 3 8 3 2 2 3" xfId="30444"/>
    <cellStyle name="Normal 33 3 8 3 2 3" xfId="30445"/>
    <cellStyle name="Normal 33 3 8 3 2 3 2" xfId="30446"/>
    <cellStyle name="Normal 33 3 8 3 2 4" xfId="30447"/>
    <cellStyle name="Normal 33 3 8 3 3" xfId="30448"/>
    <cellStyle name="Normal 33 3 8 3 3 2" xfId="30449"/>
    <cellStyle name="Normal 33 3 8 3 3 2 2" xfId="30450"/>
    <cellStyle name="Normal 33 3 8 3 3 2 2 2" xfId="30451"/>
    <cellStyle name="Normal 33 3 8 3 3 2 3" xfId="30452"/>
    <cellStyle name="Normal 33 3 8 3 3 3" xfId="30453"/>
    <cellStyle name="Normal 33 3 8 3 3 3 2" xfId="30454"/>
    <cellStyle name="Normal 33 3 8 3 3 4" xfId="30455"/>
    <cellStyle name="Normal 33 3 8 3 4" xfId="30456"/>
    <cellStyle name="Normal 33 3 8 3 4 2" xfId="30457"/>
    <cellStyle name="Normal 33 3 8 3 4 2 2" xfId="30458"/>
    <cellStyle name="Normal 33 3 8 3 4 3" xfId="30459"/>
    <cellStyle name="Normal 33 3 8 3 5" xfId="30460"/>
    <cellStyle name="Normal 33 3 8 3 5 2" xfId="30461"/>
    <cellStyle name="Normal 33 3 8 3 6" xfId="30462"/>
    <cellStyle name="Normal 33 3 8 4" xfId="30463"/>
    <cellStyle name="Normal 33 3 8 4 2" xfId="30464"/>
    <cellStyle name="Normal 33 3 8 4 2 2" xfId="30465"/>
    <cellStyle name="Normal 33 3 8 4 2 2 2" xfId="30466"/>
    <cellStyle name="Normal 33 3 8 4 2 2 2 2" xfId="30467"/>
    <cellStyle name="Normal 33 3 8 4 2 2 3" xfId="30468"/>
    <cellStyle name="Normal 33 3 8 4 2 3" xfId="30469"/>
    <cellStyle name="Normal 33 3 8 4 2 3 2" xfId="30470"/>
    <cellStyle name="Normal 33 3 8 4 2 4" xfId="30471"/>
    <cellStyle name="Normal 33 3 8 4 3" xfId="30472"/>
    <cellStyle name="Normal 33 3 8 4 3 2" xfId="30473"/>
    <cellStyle name="Normal 33 3 8 4 3 2 2" xfId="30474"/>
    <cellStyle name="Normal 33 3 8 4 3 2 2 2" xfId="30475"/>
    <cellStyle name="Normal 33 3 8 4 3 2 3" xfId="30476"/>
    <cellStyle name="Normal 33 3 8 4 3 3" xfId="30477"/>
    <cellStyle name="Normal 33 3 8 4 3 3 2" xfId="30478"/>
    <cellStyle name="Normal 33 3 8 4 3 4" xfId="30479"/>
    <cellStyle name="Normal 33 3 8 4 4" xfId="30480"/>
    <cellStyle name="Normal 33 3 8 4 4 2" xfId="30481"/>
    <cellStyle name="Normal 33 3 8 4 4 2 2" xfId="30482"/>
    <cellStyle name="Normal 33 3 8 4 4 3" xfId="30483"/>
    <cellStyle name="Normal 33 3 8 4 5" xfId="30484"/>
    <cellStyle name="Normal 33 3 8 4 5 2" xfId="30485"/>
    <cellStyle name="Normal 33 3 8 4 6" xfId="30486"/>
    <cellStyle name="Normal 33 3 8 5" xfId="30487"/>
    <cellStyle name="Normal 33 3 8 5 2" xfId="30488"/>
    <cellStyle name="Normal 33 3 8 5 2 2" xfId="30489"/>
    <cellStyle name="Normal 33 3 8 5 2 2 2" xfId="30490"/>
    <cellStyle name="Normal 33 3 8 5 2 2 2 2" xfId="30491"/>
    <cellStyle name="Normal 33 3 8 5 2 2 3" xfId="30492"/>
    <cellStyle name="Normal 33 3 8 5 2 3" xfId="30493"/>
    <cellStyle name="Normal 33 3 8 5 2 3 2" xfId="30494"/>
    <cellStyle name="Normal 33 3 8 5 2 4" xfId="30495"/>
    <cellStyle name="Normal 33 3 8 5 3" xfId="30496"/>
    <cellStyle name="Normal 33 3 8 5 3 2" xfId="30497"/>
    <cellStyle name="Normal 33 3 8 5 3 2 2" xfId="30498"/>
    <cellStyle name="Normal 33 3 8 5 3 2 2 2" xfId="30499"/>
    <cellStyle name="Normal 33 3 8 5 3 2 3" xfId="30500"/>
    <cellStyle name="Normal 33 3 8 5 3 3" xfId="30501"/>
    <cellStyle name="Normal 33 3 8 5 3 3 2" xfId="30502"/>
    <cellStyle name="Normal 33 3 8 5 3 4" xfId="30503"/>
    <cellStyle name="Normal 33 3 8 5 4" xfId="30504"/>
    <cellStyle name="Normal 33 3 8 5 4 2" xfId="30505"/>
    <cellStyle name="Normal 33 3 8 5 4 2 2" xfId="30506"/>
    <cellStyle name="Normal 33 3 8 5 4 3" xfId="30507"/>
    <cellStyle name="Normal 33 3 8 5 5" xfId="30508"/>
    <cellStyle name="Normal 33 3 8 5 5 2" xfId="30509"/>
    <cellStyle name="Normal 33 3 8 5 6" xfId="30510"/>
    <cellStyle name="Normal 33 3 8 6" xfId="30511"/>
    <cellStyle name="Normal 33 3 8 6 2" xfId="30512"/>
    <cellStyle name="Normal 33 3 8 6 2 2" xfId="30513"/>
    <cellStyle name="Normal 33 3 8 6 2 2 2" xfId="30514"/>
    <cellStyle name="Normal 33 3 8 6 2 2 2 2" xfId="30515"/>
    <cellStyle name="Normal 33 3 8 6 2 2 3" xfId="30516"/>
    <cellStyle name="Normal 33 3 8 6 2 3" xfId="30517"/>
    <cellStyle name="Normal 33 3 8 6 2 3 2" xfId="30518"/>
    <cellStyle name="Normal 33 3 8 6 2 4" xfId="30519"/>
    <cellStyle name="Normal 33 3 8 6 3" xfId="30520"/>
    <cellStyle name="Normal 33 3 8 6 3 2" xfId="30521"/>
    <cellStyle name="Normal 33 3 8 6 3 2 2" xfId="30522"/>
    <cellStyle name="Normal 33 3 8 6 3 2 2 2" xfId="30523"/>
    <cellStyle name="Normal 33 3 8 6 3 2 3" xfId="30524"/>
    <cellStyle name="Normal 33 3 8 6 3 3" xfId="30525"/>
    <cellStyle name="Normal 33 3 8 6 3 3 2" xfId="30526"/>
    <cellStyle name="Normal 33 3 8 6 3 4" xfId="30527"/>
    <cellStyle name="Normal 33 3 8 6 4" xfId="30528"/>
    <cellStyle name="Normal 33 3 8 6 4 2" xfId="30529"/>
    <cellStyle name="Normal 33 3 8 6 4 2 2" xfId="30530"/>
    <cellStyle name="Normal 33 3 8 6 4 3" xfId="30531"/>
    <cellStyle name="Normal 33 3 8 6 5" xfId="30532"/>
    <cellStyle name="Normal 33 3 8 6 5 2" xfId="30533"/>
    <cellStyle name="Normal 33 3 8 6 6" xfId="30534"/>
    <cellStyle name="Normal 33 3 8 7" xfId="30535"/>
    <cellStyle name="Normal 33 3 8 7 2" xfId="30536"/>
    <cellStyle name="Normal 33 3 8 7 2 2" xfId="30537"/>
    <cellStyle name="Normal 33 3 8 7 2 2 2" xfId="30538"/>
    <cellStyle name="Normal 33 3 8 7 2 2 2 2" xfId="30539"/>
    <cellStyle name="Normal 33 3 8 7 2 2 3" xfId="30540"/>
    <cellStyle name="Normal 33 3 8 7 2 3" xfId="30541"/>
    <cellStyle name="Normal 33 3 8 7 2 3 2" xfId="30542"/>
    <cellStyle name="Normal 33 3 8 7 2 4" xfId="30543"/>
    <cellStyle name="Normal 33 3 8 7 3" xfId="30544"/>
    <cellStyle name="Normal 33 3 8 7 3 2" xfId="30545"/>
    <cellStyle name="Normal 33 3 8 7 3 2 2" xfId="30546"/>
    <cellStyle name="Normal 33 3 8 7 3 2 2 2" xfId="30547"/>
    <cellStyle name="Normal 33 3 8 7 3 2 3" xfId="30548"/>
    <cellStyle name="Normal 33 3 8 7 3 3" xfId="30549"/>
    <cellStyle name="Normal 33 3 8 7 3 3 2" xfId="30550"/>
    <cellStyle name="Normal 33 3 8 7 3 4" xfId="30551"/>
    <cellStyle name="Normal 33 3 8 7 4" xfId="30552"/>
    <cellStyle name="Normal 33 3 8 7 4 2" xfId="30553"/>
    <cellStyle name="Normal 33 3 8 7 4 2 2" xfId="30554"/>
    <cellStyle name="Normal 33 3 8 7 4 3" xfId="30555"/>
    <cellStyle name="Normal 33 3 8 7 5" xfId="30556"/>
    <cellStyle name="Normal 33 3 8 7 5 2" xfId="30557"/>
    <cellStyle name="Normal 33 3 8 7 6" xfId="30558"/>
    <cellStyle name="Normal 33 3 8 8" xfId="30559"/>
    <cellStyle name="Normal 33 3 8 8 2" xfId="30560"/>
    <cellStyle name="Normal 33 3 8 8 2 2" xfId="30561"/>
    <cellStyle name="Normal 33 3 8 8 2 2 2" xfId="30562"/>
    <cellStyle name="Normal 33 3 8 8 2 2 2 2" xfId="30563"/>
    <cellStyle name="Normal 33 3 8 8 2 2 3" xfId="30564"/>
    <cellStyle name="Normal 33 3 8 8 2 3" xfId="30565"/>
    <cellStyle name="Normal 33 3 8 8 2 3 2" xfId="30566"/>
    <cellStyle name="Normal 33 3 8 8 2 4" xfId="30567"/>
    <cellStyle name="Normal 33 3 8 8 3" xfId="30568"/>
    <cellStyle name="Normal 33 3 8 8 3 2" xfId="30569"/>
    <cellStyle name="Normal 33 3 8 8 3 2 2" xfId="30570"/>
    <cellStyle name="Normal 33 3 8 8 3 2 2 2" xfId="30571"/>
    <cellStyle name="Normal 33 3 8 8 3 2 3" xfId="30572"/>
    <cellStyle name="Normal 33 3 8 8 3 3" xfId="30573"/>
    <cellStyle name="Normal 33 3 8 8 3 3 2" xfId="30574"/>
    <cellStyle name="Normal 33 3 8 8 3 4" xfId="30575"/>
    <cellStyle name="Normal 33 3 8 8 4" xfId="30576"/>
    <cellStyle name="Normal 33 3 8 8 4 2" xfId="30577"/>
    <cellStyle name="Normal 33 3 8 8 4 2 2" xfId="30578"/>
    <cellStyle name="Normal 33 3 8 8 4 3" xfId="30579"/>
    <cellStyle name="Normal 33 3 8 8 5" xfId="30580"/>
    <cellStyle name="Normal 33 3 8 8 5 2" xfId="30581"/>
    <cellStyle name="Normal 33 3 8 8 6" xfId="30582"/>
    <cellStyle name="Normal 33 3 8 9" xfId="30583"/>
    <cellStyle name="Normal 33 3 8 9 2" xfId="30584"/>
    <cellStyle name="Normal 33 3 8 9 2 2" xfId="30585"/>
    <cellStyle name="Normal 33 3 8 9 2 2 2" xfId="30586"/>
    <cellStyle name="Normal 33 3 8 9 2 2 2 2" xfId="30587"/>
    <cellStyle name="Normal 33 3 8 9 2 2 3" xfId="30588"/>
    <cellStyle name="Normal 33 3 8 9 2 3" xfId="30589"/>
    <cellStyle name="Normal 33 3 8 9 2 3 2" xfId="30590"/>
    <cellStyle name="Normal 33 3 8 9 2 4" xfId="30591"/>
    <cellStyle name="Normal 33 3 8 9 3" xfId="30592"/>
    <cellStyle name="Normal 33 3 8 9 3 2" xfId="30593"/>
    <cellStyle name="Normal 33 3 8 9 3 2 2" xfId="30594"/>
    <cellStyle name="Normal 33 3 8 9 3 2 2 2" xfId="30595"/>
    <cellStyle name="Normal 33 3 8 9 3 2 3" xfId="30596"/>
    <cellStyle name="Normal 33 3 8 9 3 3" xfId="30597"/>
    <cellStyle name="Normal 33 3 8 9 3 3 2" xfId="30598"/>
    <cellStyle name="Normal 33 3 8 9 3 4" xfId="30599"/>
    <cellStyle name="Normal 33 3 8 9 4" xfId="30600"/>
    <cellStyle name="Normal 33 3 8 9 4 2" xfId="30601"/>
    <cellStyle name="Normal 33 3 8 9 4 2 2" xfId="30602"/>
    <cellStyle name="Normal 33 3 8 9 4 3" xfId="30603"/>
    <cellStyle name="Normal 33 3 8 9 5" xfId="30604"/>
    <cellStyle name="Normal 33 3 8 9 5 2" xfId="30605"/>
    <cellStyle name="Normal 33 3 8 9 6" xfId="30606"/>
    <cellStyle name="Normal 33 3 9" xfId="30607"/>
    <cellStyle name="Normal 33 3 9 10" xfId="30608"/>
    <cellStyle name="Normal 33 3 9 10 2" xfId="30609"/>
    <cellStyle name="Normal 33 3 9 10 2 2" xfId="30610"/>
    <cellStyle name="Normal 33 3 9 10 2 2 2" xfId="30611"/>
    <cellStyle name="Normal 33 3 9 10 2 2 2 2" xfId="30612"/>
    <cellStyle name="Normal 33 3 9 10 2 2 3" xfId="30613"/>
    <cellStyle name="Normal 33 3 9 10 2 3" xfId="30614"/>
    <cellStyle name="Normal 33 3 9 10 2 3 2" xfId="30615"/>
    <cellStyle name="Normal 33 3 9 10 2 4" xfId="30616"/>
    <cellStyle name="Normal 33 3 9 10 3" xfId="30617"/>
    <cellStyle name="Normal 33 3 9 10 3 2" xfId="30618"/>
    <cellStyle name="Normal 33 3 9 10 3 2 2" xfId="30619"/>
    <cellStyle name="Normal 33 3 9 10 3 2 2 2" xfId="30620"/>
    <cellStyle name="Normal 33 3 9 10 3 2 3" xfId="30621"/>
    <cellStyle name="Normal 33 3 9 10 3 3" xfId="30622"/>
    <cellStyle name="Normal 33 3 9 10 3 3 2" xfId="30623"/>
    <cellStyle name="Normal 33 3 9 10 3 4" xfId="30624"/>
    <cellStyle name="Normal 33 3 9 10 4" xfId="30625"/>
    <cellStyle name="Normal 33 3 9 10 4 2" xfId="30626"/>
    <cellStyle name="Normal 33 3 9 10 4 2 2" xfId="30627"/>
    <cellStyle name="Normal 33 3 9 10 4 3" xfId="30628"/>
    <cellStyle name="Normal 33 3 9 10 5" xfId="30629"/>
    <cellStyle name="Normal 33 3 9 10 5 2" xfId="30630"/>
    <cellStyle name="Normal 33 3 9 10 6" xfId="30631"/>
    <cellStyle name="Normal 33 3 9 11" xfId="30632"/>
    <cellStyle name="Normal 33 3 9 11 2" xfId="30633"/>
    <cellStyle name="Normal 33 3 9 11 2 2" xfId="30634"/>
    <cellStyle name="Normal 33 3 9 11 2 2 2" xfId="30635"/>
    <cellStyle name="Normal 33 3 9 11 2 2 2 2" xfId="30636"/>
    <cellStyle name="Normal 33 3 9 11 2 2 3" xfId="30637"/>
    <cellStyle name="Normal 33 3 9 11 2 3" xfId="30638"/>
    <cellStyle name="Normal 33 3 9 11 2 3 2" xfId="30639"/>
    <cellStyle name="Normal 33 3 9 11 2 4" xfId="30640"/>
    <cellStyle name="Normal 33 3 9 11 3" xfId="30641"/>
    <cellStyle name="Normal 33 3 9 11 3 2" xfId="30642"/>
    <cellStyle name="Normal 33 3 9 11 3 2 2" xfId="30643"/>
    <cellStyle name="Normal 33 3 9 11 3 2 2 2" xfId="30644"/>
    <cellStyle name="Normal 33 3 9 11 3 2 3" xfId="30645"/>
    <cellStyle name="Normal 33 3 9 11 3 3" xfId="30646"/>
    <cellStyle name="Normal 33 3 9 11 3 3 2" xfId="30647"/>
    <cellStyle name="Normal 33 3 9 11 3 4" xfId="30648"/>
    <cellStyle name="Normal 33 3 9 11 4" xfId="30649"/>
    <cellStyle name="Normal 33 3 9 11 4 2" xfId="30650"/>
    <cellStyle name="Normal 33 3 9 11 4 2 2" xfId="30651"/>
    <cellStyle name="Normal 33 3 9 11 4 3" xfId="30652"/>
    <cellStyle name="Normal 33 3 9 11 5" xfId="30653"/>
    <cellStyle name="Normal 33 3 9 11 5 2" xfId="30654"/>
    <cellStyle name="Normal 33 3 9 11 6" xfId="30655"/>
    <cellStyle name="Normal 33 3 9 12" xfId="30656"/>
    <cellStyle name="Normal 33 3 9 12 2" xfId="30657"/>
    <cellStyle name="Normal 33 3 9 12 2 2" xfId="30658"/>
    <cellStyle name="Normal 33 3 9 12 2 2 2" xfId="30659"/>
    <cellStyle name="Normal 33 3 9 12 2 2 2 2" xfId="30660"/>
    <cellStyle name="Normal 33 3 9 12 2 2 3" xfId="30661"/>
    <cellStyle name="Normal 33 3 9 12 2 3" xfId="30662"/>
    <cellStyle name="Normal 33 3 9 12 2 3 2" xfId="30663"/>
    <cellStyle name="Normal 33 3 9 12 2 4" xfId="30664"/>
    <cellStyle name="Normal 33 3 9 12 3" xfId="30665"/>
    <cellStyle name="Normal 33 3 9 12 3 2" xfId="30666"/>
    <cellStyle name="Normal 33 3 9 12 3 2 2" xfId="30667"/>
    <cellStyle name="Normal 33 3 9 12 3 2 2 2" xfId="30668"/>
    <cellStyle name="Normal 33 3 9 12 3 2 3" xfId="30669"/>
    <cellStyle name="Normal 33 3 9 12 3 3" xfId="30670"/>
    <cellStyle name="Normal 33 3 9 12 3 3 2" xfId="30671"/>
    <cellStyle name="Normal 33 3 9 12 3 4" xfId="30672"/>
    <cellStyle name="Normal 33 3 9 12 4" xfId="30673"/>
    <cellStyle name="Normal 33 3 9 12 4 2" xfId="30674"/>
    <cellStyle name="Normal 33 3 9 12 4 2 2" xfId="30675"/>
    <cellStyle name="Normal 33 3 9 12 4 3" xfId="30676"/>
    <cellStyle name="Normal 33 3 9 12 5" xfId="30677"/>
    <cellStyle name="Normal 33 3 9 12 5 2" xfId="30678"/>
    <cellStyle name="Normal 33 3 9 12 6" xfId="30679"/>
    <cellStyle name="Normal 33 3 9 13" xfId="30680"/>
    <cellStyle name="Normal 33 3 9 13 2" xfId="30681"/>
    <cellStyle name="Normal 33 3 9 13 2 2" xfId="30682"/>
    <cellStyle name="Normal 33 3 9 13 2 2 2" xfId="30683"/>
    <cellStyle name="Normal 33 3 9 13 2 2 2 2" xfId="30684"/>
    <cellStyle name="Normal 33 3 9 13 2 2 3" xfId="30685"/>
    <cellStyle name="Normal 33 3 9 13 2 3" xfId="30686"/>
    <cellStyle name="Normal 33 3 9 13 2 3 2" xfId="30687"/>
    <cellStyle name="Normal 33 3 9 13 2 4" xfId="30688"/>
    <cellStyle name="Normal 33 3 9 13 3" xfId="30689"/>
    <cellStyle name="Normal 33 3 9 13 3 2" xfId="30690"/>
    <cellStyle name="Normal 33 3 9 13 3 2 2" xfId="30691"/>
    <cellStyle name="Normal 33 3 9 13 3 2 2 2" xfId="30692"/>
    <cellStyle name="Normal 33 3 9 13 3 2 3" xfId="30693"/>
    <cellStyle name="Normal 33 3 9 13 3 3" xfId="30694"/>
    <cellStyle name="Normal 33 3 9 13 3 3 2" xfId="30695"/>
    <cellStyle name="Normal 33 3 9 13 3 4" xfId="30696"/>
    <cellStyle name="Normal 33 3 9 13 4" xfId="30697"/>
    <cellStyle name="Normal 33 3 9 13 4 2" xfId="30698"/>
    <cellStyle name="Normal 33 3 9 13 4 2 2" xfId="30699"/>
    <cellStyle name="Normal 33 3 9 13 4 3" xfId="30700"/>
    <cellStyle name="Normal 33 3 9 13 5" xfId="30701"/>
    <cellStyle name="Normal 33 3 9 13 5 2" xfId="30702"/>
    <cellStyle name="Normal 33 3 9 13 6" xfId="30703"/>
    <cellStyle name="Normal 33 3 9 14" xfId="30704"/>
    <cellStyle name="Normal 33 3 9 14 2" xfId="30705"/>
    <cellStyle name="Normal 33 3 9 14 2 2" xfId="30706"/>
    <cellStyle name="Normal 33 3 9 14 2 2 2" xfId="30707"/>
    <cellStyle name="Normal 33 3 9 14 2 3" xfId="30708"/>
    <cellStyle name="Normal 33 3 9 14 3" xfId="30709"/>
    <cellStyle name="Normal 33 3 9 14 3 2" xfId="30710"/>
    <cellStyle name="Normal 33 3 9 14 4" xfId="30711"/>
    <cellStyle name="Normal 33 3 9 15" xfId="30712"/>
    <cellStyle name="Normal 33 3 9 15 2" xfId="30713"/>
    <cellStyle name="Normal 33 3 9 15 2 2" xfId="30714"/>
    <cellStyle name="Normal 33 3 9 15 2 2 2" xfId="30715"/>
    <cellStyle name="Normal 33 3 9 15 2 3" xfId="30716"/>
    <cellStyle name="Normal 33 3 9 15 3" xfId="30717"/>
    <cellStyle name="Normal 33 3 9 15 3 2" xfId="30718"/>
    <cellStyle name="Normal 33 3 9 15 4" xfId="30719"/>
    <cellStyle name="Normal 33 3 9 16" xfId="30720"/>
    <cellStyle name="Normal 33 3 9 16 2" xfId="30721"/>
    <cellStyle name="Normal 33 3 9 16 2 2" xfId="30722"/>
    <cellStyle name="Normal 33 3 9 16 3" xfId="30723"/>
    <cellStyle name="Normal 33 3 9 17" xfId="30724"/>
    <cellStyle name="Normal 33 3 9 17 2" xfId="30725"/>
    <cellStyle name="Normal 33 3 9 18" xfId="30726"/>
    <cellStyle name="Normal 33 3 9 2" xfId="30727"/>
    <cellStyle name="Normal 33 3 9 2 2" xfId="30728"/>
    <cellStyle name="Normal 33 3 9 2 2 2" xfId="30729"/>
    <cellStyle name="Normal 33 3 9 2 2 2 2" xfId="30730"/>
    <cellStyle name="Normal 33 3 9 2 2 2 2 2" xfId="30731"/>
    <cellStyle name="Normal 33 3 9 2 2 2 3" xfId="30732"/>
    <cellStyle name="Normal 33 3 9 2 2 3" xfId="30733"/>
    <cellStyle name="Normal 33 3 9 2 2 3 2" xfId="30734"/>
    <cellStyle name="Normal 33 3 9 2 2 4" xfId="30735"/>
    <cellStyle name="Normal 33 3 9 2 3" xfId="30736"/>
    <cellStyle name="Normal 33 3 9 2 3 2" xfId="30737"/>
    <cellStyle name="Normal 33 3 9 2 3 2 2" xfId="30738"/>
    <cellStyle name="Normal 33 3 9 2 3 2 2 2" xfId="30739"/>
    <cellStyle name="Normal 33 3 9 2 3 2 3" xfId="30740"/>
    <cellStyle name="Normal 33 3 9 2 3 3" xfId="30741"/>
    <cellStyle name="Normal 33 3 9 2 3 3 2" xfId="30742"/>
    <cellStyle name="Normal 33 3 9 2 3 4" xfId="30743"/>
    <cellStyle name="Normal 33 3 9 2 4" xfId="30744"/>
    <cellStyle name="Normal 33 3 9 2 4 2" xfId="30745"/>
    <cellStyle name="Normal 33 3 9 2 4 2 2" xfId="30746"/>
    <cellStyle name="Normal 33 3 9 2 4 3" xfId="30747"/>
    <cellStyle name="Normal 33 3 9 2 5" xfId="30748"/>
    <cellStyle name="Normal 33 3 9 2 5 2" xfId="30749"/>
    <cellStyle name="Normal 33 3 9 2 6" xfId="30750"/>
    <cellStyle name="Normal 33 3 9 3" xfId="30751"/>
    <cellStyle name="Normal 33 3 9 3 2" xfId="30752"/>
    <cellStyle name="Normal 33 3 9 3 2 2" xfId="30753"/>
    <cellStyle name="Normal 33 3 9 3 2 2 2" xfId="30754"/>
    <cellStyle name="Normal 33 3 9 3 2 2 2 2" xfId="30755"/>
    <cellStyle name="Normal 33 3 9 3 2 2 3" xfId="30756"/>
    <cellStyle name="Normal 33 3 9 3 2 3" xfId="30757"/>
    <cellStyle name="Normal 33 3 9 3 2 3 2" xfId="30758"/>
    <cellStyle name="Normal 33 3 9 3 2 4" xfId="30759"/>
    <cellStyle name="Normal 33 3 9 3 3" xfId="30760"/>
    <cellStyle name="Normal 33 3 9 3 3 2" xfId="30761"/>
    <cellStyle name="Normal 33 3 9 3 3 2 2" xfId="30762"/>
    <cellStyle name="Normal 33 3 9 3 3 2 2 2" xfId="30763"/>
    <cellStyle name="Normal 33 3 9 3 3 2 3" xfId="30764"/>
    <cellStyle name="Normal 33 3 9 3 3 3" xfId="30765"/>
    <cellStyle name="Normal 33 3 9 3 3 3 2" xfId="30766"/>
    <cellStyle name="Normal 33 3 9 3 3 4" xfId="30767"/>
    <cellStyle name="Normal 33 3 9 3 4" xfId="30768"/>
    <cellStyle name="Normal 33 3 9 3 4 2" xfId="30769"/>
    <cellStyle name="Normal 33 3 9 3 4 2 2" xfId="30770"/>
    <cellStyle name="Normal 33 3 9 3 4 3" xfId="30771"/>
    <cellStyle name="Normal 33 3 9 3 5" xfId="30772"/>
    <cellStyle name="Normal 33 3 9 3 5 2" xfId="30773"/>
    <cellStyle name="Normal 33 3 9 3 6" xfId="30774"/>
    <cellStyle name="Normal 33 3 9 4" xfId="30775"/>
    <cellStyle name="Normal 33 3 9 4 2" xfId="30776"/>
    <cellStyle name="Normal 33 3 9 4 2 2" xfId="30777"/>
    <cellStyle name="Normal 33 3 9 4 2 2 2" xfId="30778"/>
    <cellStyle name="Normal 33 3 9 4 2 2 2 2" xfId="30779"/>
    <cellStyle name="Normal 33 3 9 4 2 2 3" xfId="30780"/>
    <cellStyle name="Normal 33 3 9 4 2 3" xfId="30781"/>
    <cellStyle name="Normal 33 3 9 4 2 3 2" xfId="30782"/>
    <cellStyle name="Normal 33 3 9 4 2 4" xfId="30783"/>
    <cellStyle name="Normal 33 3 9 4 3" xfId="30784"/>
    <cellStyle name="Normal 33 3 9 4 3 2" xfId="30785"/>
    <cellStyle name="Normal 33 3 9 4 3 2 2" xfId="30786"/>
    <cellStyle name="Normal 33 3 9 4 3 2 2 2" xfId="30787"/>
    <cellStyle name="Normal 33 3 9 4 3 2 3" xfId="30788"/>
    <cellStyle name="Normal 33 3 9 4 3 3" xfId="30789"/>
    <cellStyle name="Normal 33 3 9 4 3 3 2" xfId="30790"/>
    <cellStyle name="Normal 33 3 9 4 3 4" xfId="30791"/>
    <cellStyle name="Normal 33 3 9 4 4" xfId="30792"/>
    <cellStyle name="Normal 33 3 9 4 4 2" xfId="30793"/>
    <cellStyle name="Normal 33 3 9 4 4 2 2" xfId="30794"/>
    <cellStyle name="Normal 33 3 9 4 4 3" xfId="30795"/>
    <cellStyle name="Normal 33 3 9 4 5" xfId="30796"/>
    <cellStyle name="Normal 33 3 9 4 5 2" xfId="30797"/>
    <cellStyle name="Normal 33 3 9 4 6" xfId="30798"/>
    <cellStyle name="Normal 33 3 9 5" xfId="30799"/>
    <cellStyle name="Normal 33 3 9 5 2" xfId="30800"/>
    <cellStyle name="Normal 33 3 9 5 2 2" xfId="30801"/>
    <cellStyle name="Normal 33 3 9 5 2 2 2" xfId="30802"/>
    <cellStyle name="Normal 33 3 9 5 2 2 2 2" xfId="30803"/>
    <cellStyle name="Normal 33 3 9 5 2 2 3" xfId="30804"/>
    <cellStyle name="Normal 33 3 9 5 2 3" xfId="30805"/>
    <cellStyle name="Normal 33 3 9 5 2 3 2" xfId="30806"/>
    <cellStyle name="Normal 33 3 9 5 2 4" xfId="30807"/>
    <cellStyle name="Normal 33 3 9 5 3" xfId="30808"/>
    <cellStyle name="Normal 33 3 9 5 3 2" xfId="30809"/>
    <cellStyle name="Normal 33 3 9 5 3 2 2" xfId="30810"/>
    <cellStyle name="Normal 33 3 9 5 3 2 2 2" xfId="30811"/>
    <cellStyle name="Normal 33 3 9 5 3 2 3" xfId="30812"/>
    <cellStyle name="Normal 33 3 9 5 3 3" xfId="30813"/>
    <cellStyle name="Normal 33 3 9 5 3 3 2" xfId="30814"/>
    <cellStyle name="Normal 33 3 9 5 3 4" xfId="30815"/>
    <cellStyle name="Normal 33 3 9 5 4" xfId="30816"/>
    <cellStyle name="Normal 33 3 9 5 4 2" xfId="30817"/>
    <cellStyle name="Normal 33 3 9 5 4 2 2" xfId="30818"/>
    <cellStyle name="Normal 33 3 9 5 4 3" xfId="30819"/>
    <cellStyle name="Normal 33 3 9 5 5" xfId="30820"/>
    <cellStyle name="Normal 33 3 9 5 5 2" xfId="30821"/>
    <cellStyle name="Normal 33 3 9 5 6" xfId="30822"/>
    <cellStyle name="Normal 33 3 9 6" xfId="30823"/>
    <cellStyle name="Normal 33 3 9 6 2" xfId="30824"/>
    <cellStyle name="Normal 33 3 9 6 2 2" xfId="30825"/>
    <cellStyle name="Normal 33 3 9 6 2 2 2" xfId="30826"/>
    <cellStyle name="Normal 33 3 9 6 2 2 2 2" xfId="30827"/>
    <cellStyle name="Normal 33 3 9 6 2 2 3" xfId="30828"/>
    <cellStyle name="Normal 33 3 9 6 2 3" xfId="30829"/>
    <cellStyle name="Normal 33 3 9 6 2 3 2" xfId="30830"/>
    <cellStyle name="Normal 33 3 9 6 2 4" xfId="30831"/>
    <cellStyle name="Normal 33 3 9 6 3" xfId="30832"/>
    <cellStyle name="Normal 33 3 9 6 3 2" xfId="30833"/>
    <cellStyle name="Normal 33 3 9 6 3 2 2" xfId="30834"/>
    <cellStyle name="Normal 33 3 9 6 3 2 2 2" xfId="30835"/>
    <cellStyle name="Normal 33 3 9 6 3 2 3" xfId="30836"/>
    <cellStyle name="Normal 33 3 9 6 3 3" xfId="30837"/>
    <cellStyle name="Normal 33 3 9 6 3 3 2" xfId="30838"/>
    <cellStyle name="Normal 33 3 9 6 3 4" xfId="30839"/>
    <cellStyle name="Normal 33 3 9 6 4" xfId="30840"/>
    <cellStyle name="Normal 33 3 9 6 4 2" xfId="30841"/>
    <cellStyle name="Normal 33 3 9 6 4 2 2" xfId="30842"/>
    <cellStyle name="Normal 33 3 9 6 4 3" xfId="30843"/>
    <cellStyle name="Normal 33 3 9 6 5" xfId="30844"/>
    <cellStyle name="Normal 33 3 9 6 5 2" xfId="30845"/>
    <cellStyle name="Normal 33 3 9 6 6" xfId="30846"/>
    <cellStyle name="Normal 33 3 9 7" xfId="30847"/>
    <cellStyle name="Normal 33 3 9 7 2" xfId="30848"/>
    <cellStyle name="Normal 33 3 9 7 2 2" xfId="30849"/>
    <cellStyle name="Normal 33 3 9 7 2 2 2" xfId="30850"/>
    <cellStyle name="Normal 33 3 9 7 2 2 2 2" xfId="30851"/>
    <cellStyle name="Normal 33 3 9 7 2 2 3" xfId="30852"/>
    <cellStyle name="Normal 33 3 9 7 2 3" xfId="30853"/>
    <cellStyle name="Normal 33 3 9 7 2 3 2" xfId="30854"/>
    <cellStyle name="Normal 33 3 9 7 2 4" xfId="30855"/>
    <cellStyle name="Normal 33 3 9 7 3" xfId="30856"/>
    <cellStyle name="Normal 33 3 9 7 3 2" xfId="30857"/>
    <cellStyle name="Normal 33 3 9 7 3 2 2" xfId="30858"/>
    <cellStyle name="Normal 33 3 9 7 3 2 2 2" xfId="30859"/>
    <cellStyle name="Normal 33 3 9 7 3 2 3" xfId="30860"/>
    <cellStyle name="Normal 33 3 9 7 3 3" xfId="30861"/>
    <cellStyle name="Normal 33 3 9 7 3 3 2" xfId="30862"/>
    <cellStyle name="Normal 33 3 9 7 3 4" xfId="30863"/>
    <cellStyle name="Normal 33 3 9 7 4" xfId="30864"/>
    <cellStyle name="Normal 33 3 9 7 4 2" xfId="30865"/>
    <cellStyle name="Normal 33 3 9 7 4 2 2" xfId="30866"/>
    <cellStyle name="Normal 33 3 9 7 4 3" xfId="30867"/>
    <cellStyle name="Normal 33 3 9 7 5" xfId="30868"/>
    <cellStyle name="Normal 33 3 9 7 5 2" xfId="30869"/>
    <cellStyle name="Normal 33 3 9 7 6" xfId="30870"/>
    <cellStyle name="Normal 33 3 9 8" xfId="30871"/>
    <cellStyle name="Normal 33 3 9 8 2" xfId="30872"/>
    <cellStyle name="Normal 33 3 9 8 2 2" xfId="30873"/>
    <cellStyle name="Normal 33 3 9 8 2 2 2" xfId="30874"/>
    <cellStyle name="Normal 33 3 9 8 2 2 2 2" xfId="30875"/>
    <cellStyle name="Normal 33 3 9 8 2 2 3" xfId="30876"/>
    <cellStyle name="Normal 33 3 9 8 2 3" xfId="30877"/>
    <cellStyle name="Normal 33 3 9 8 2 3 2" xfId="30878"/>
    <cellStyle name="Normal 33 3 9 8 2 4" xfId="30879"/>
    <cellStyle name="Normal 33 3 9 8 3" xfId="30880"/>
    <cellStyle name="Normal 33 3 9 8 3 2" xfId="30881"/>
    <cellStyle name="Normal 33 3 9 8 3 2 2" xfId="30882"/>
    <cellStyle name="Normal 33 3 9 8 3 2 2 2" xfId="30883"/>
    <cellStyle name="Normal 33 3 9 8 3 2 3" xfId="30884"/>
    <cellStyle name="Normal 33 3 9 8 3 3" xfId="30885"/>
    <cellStyle name="Normal 33 3 9 8 3 3 2" xfId="30886"/>
    <cellStyle name="Normal 33 3 9 8 3 4" xfId="30887"/>
    <cellStyle name="Normal 33 3 9 8 4" xfId="30888"/>
    <cellStyle name="Normal 33 3 9 8 4 2" xfId="30889"/>
    <cellStyle name="Normal 33 3 9 8 4 2 2" xfId="30890"/>
    <cellStyle name="Normal 33 3 9 8 4 3" xfId="30891"/>
    <cellStyle name="Normal 33 3 9 8 5" xfId="30892"/>
    <cellStyle name="Normal 33 3 9 8 5 2" xfId="30893"/>
    <cellStyle name="Normal 33 3 9 8 6" xfId="30894"/>
    <cellStyle name="Normal 33 3 9 9" xfId="30895"/>
    <cellStyle name="Normal 33 3 9 9 2" xfId="30896"/>
    <cellStyle name="Normal 33 3 9 9 2 2" xfId="30897"/>
    <cellStyle name="Normal 33 3 9 9 2 2 2" xfId="30898"/>
    <cellStyle name="Normal 33 3 9 9 2 2 2 2" xfId="30899"/>
    <cellStyle name="Normal 33 3 9 9 2 2 3" xfId="30900"/>
    <cellStyle name="Normal 33 3 9 9 2 3" xfId="30901"/>
    <cellStyle name="Normal 33 3 9 9 2 3 2" xfId="30902"/>
    <cellStyle name="Normal 33 3 9 9 2 4" xfId="30903"/>
    <cellStyle name="Normal 33 3 9 9 3" xfId="30904"/>
    <cellStyle name="Normal 33 3 9 9 3 2" xfId="30905"/>
    <cellStyle name="Normal 33 3 9 9 3 2 2" xfId="30906"/>
    <cellStyle name="Normal 33 3 9 9 3 2 2 2" xfId="30907"/>
    <cellStyle name="Normal 33 3 9 9 3 2 3" xfId="30908"/>
    <cellStyle name="Normal 33 3 9 9 3 3" xfId="30909"/>
    <cellStyle name="Normal 33 3 9 9 3 3 2" xfId="30910"/>
    <cellStyle name="Normal 33 3 9 9 3 4" xfId="30911"/>
    <cellStyle name="Normal 33 3 9 9 4" xfId="30912"/>
    <cellStyle name="Normal 33 3 9 9 4 2" xfId="30913"/>
    <cellStyle name="Normal 33 3 9 9 4 2 2" xfId="30914"/>
    <cellStyle name="Normal 33 3 9 9 4 3" xfId="30915"/>
    <cellStyle name="Normal 33 3 9 9 5" xfId="30916"/>
    <cellStyle name="Normal 33 3 9 9 5 2" xfId="30917"/>
    <cellStyle name="Normal 33 3 9 9 6" xfId="30918"/>
    <cellStyle name="Normal 33 30" xfId="30919"/>
    <cellStyle name="Normal 33 30 2" xfId="30920"/>
    <cellStyle name="Normal 33 30 2 2" xfId="30921"/>
    <cellStyle name="Normal 33 30 2 2 2" xfId="30922"/>
    <cellStyle name="Normal 33 30 2 2 2 2" xfId="30923"/>
    <cellStyle name="Normal 33 30 2 2 3" xfId="30924"/>
    <cellStyle name="Normal 33 30 2 3" xfId="30925"/>
    <cellStyle name="Normal 33 30 2 3 2" xfId="30926"/>
    <cellStyle name="Normal 33 30 2 4" xfId="30927"/>
    <cellStyle name="Normal 33 30 3" xfId="30928"/>
    <cellStyle name="Normal 33 30 3 2" xfId="30929"/>
    <cellStyle name="Normal 33 30 3 2 2" xfId="30930"/>
    <cellStyle name="Normal 33 30 3 2 2 2" xfId="30931"/>
    <cellStyle name="Normal 33 30 3 2 3" xfId="30932"/>
    <cellStyle name="Normal 33 30 3 3" xfId="30933"/>
    <cellStyle name="Normal 33 30 3 3 2" xfId="30934"/>
    <cellStyle name="Normal 33 30 3 4" xfId="30935"/>
    <cellStyle name="Normal 33 30 4" xfId="30936"/>
    <cellStyle name="Normal 33 30 4 2" xfId="30937"/>
    <cellStyle name="Normal 33 30 4 2 2" xfId="30938"/>
    <cellStyle name="Normal 33 30 4 3" xfId="30939"/>
    <cellStyle name="Normal 33 30 5" xfId="30940"/>
    <cellStyle name="Normal 33 30 5 2" xfId="30941"/>
    <cellStyle name="Normal 33 30 6" xfId="30942"/>
    <cellStyle name="Normal 33 31" xfId="30943"/>
    <cellStyle name="Normal 33 31 2" xfId="30944"/>
    <cellStyle name="Normal 33 31 2 2" xfId="30945"/>
    <cellStyle name="Normal 33 31 2 2 2" xfId="30946"/>
    <cellStyle name="Normal 33 31 2 2 2 2" xfId="30947"/>
    <cellStyle name="Normal 33 31 2 2 3" xfId="30948"/>
    <cellStyle name="Normal 33 31 2 3" xfId="30949"/>
    <cellStyle name="Normal 33 31 2 3 2" xfId="30950"/>
    <cellStyle name="Normal 33 31 2 4" xfId="30951"/>
    <cellStyle name="Normal 33 31 3" xfId="30952"/>
    <cellStyle name="Normal 33 31 3 2" xfId="30953"/>
    <cellStyle name="Normal 33 31 3 2 2" xfId="30954"/>
    <cellStyle name="Normal 33 31 3 2 2 2" xfId="30955"/>
    <cellStyle name="Normal 33 31 3 2 3" xfId="30956"/>
    <cellStyle name="Normal 33 31 3 3" xfId="30957"/>
    <cellStyle name="Normal 33 31 3 3 2" xfId="30958"/>
    <cellStyle name="Normal 33 31 3 4" xfId="30959"/>
    <cellStyle name="Normal 33 31 4" xfId="30960"/>
    <cellStyle name="Normal 33 31 4 2" xfId="30961"/>
    <cellStyle name="Normal 33 31 4 2 2" xfId="30962"/>
    <cellStyle name="Normal 33 31 4 3" xfId="30963"/>
    <cellStyle name="Normal 33 31 5" xfId="30964"/>
    <cellStyle name="Normal 33 31 5 2" xfId="30965"/>
    <cellStyle name="Normal 33 31 6" xfId="30966"/>
    <cellStyle name="Normal 33 32" xfId="30967"/>
    <cellStyle name="Normal 33 32 2" xfId="30968"/>
    <cellStyle name="Normal 33 32 2 2" xfId="30969"/>
    <cellStyle name="Normal 33 32 2 2 2" xfId="30970"/>
    <cellStyle name="Normal 33 32 2 2 2 2" xfId="30971"/>
    <cellStyle name="Normal 33 32 2 2 3" xfId="30972"/>
    <cellStyle name="Normal 33 32 2 3" xfId="30973"/>
    <cellStyle name="Normal 33 32 2 3 2" xfId="30974"/>
    <cellStyle name="Normal 33 32 2 4" xfId="30975"/>
    <cellStyle name="Normal 33 32 3" xfId="30976"/>
    <cellStyle name="Normal 33 32 3 2" xfId="30977"/>
    <cellStyle name="Normal 33 32 3 2 2" xfId="30978"/>
    <cellStyle name="Normal 33 32 3 2 2 2" xfId="30979"/>
    <cellStyle name="Normal 33 32 3 2 3" xfId="30980"/>
    <cellStyle name="Normal 33 32 3 3" xfId="30981"/>
    <cellStyle name="Normal 33 32 3 3 2" xfId="30982"/>
    <cellStyle name="Normal 33 32 3 4" xfId="30983"/>
    <cellStyle name="Normal 33 32 4" xfId="30984"/>
    <cellStyle name="Normal 33 32 4 2" xfId="30985"/>
    <cellStyle name="Normal 33 32 4 2 2" xfId="30986"/>
    <cellStyle name="Normal 33 32 4 3" xfId="30987"/>
    <cellStyle name="Normal 33 32 5" xfId="30988"/>
    <cellStyle name="Normal 33 32 5 2" xfId="30989"/>
    <cellStyle name="Normal 33 32 6" xfId="30990"/>
    <cellStyle name="Normal 33 33" xfId="30991"/>
    <cellStyle name="Normal 33 33 2" xfId="30992"/>
    <cellStyle name="Normal 33 33 2 2" xfId="30993"/>
    <cellStyle name="Normal 33 33 2 2 2" xfId="30994"/>
    <cellStyle name="Normal 33 33 2 2 2 2" xfId="30995"/>
    <cellStyle name="Normal 33 33 2 2 3" xfId="30996"/>
    <cellStyle name="Normal 33 33 2 3" xfId="30997"/>
    <cellStyle name="Normal 33 33 2 3 2" xfId="30998"/>
    <cellStyle name="Normal 33 33 2 4" xfId="30999"/>
    <cellStyle name="Normal 33 33 3" xfId="31000"/>
    <cellStyle name="Normal 33 33 3 2" xfId="31001"/>
    <cellStyle name="Normal 33 33 3 2 2" xfId="31002"/>
    <cellStyle name="Normal 33 33 3 2 2 2" xfId="31003"/>
    <cellStyle name="Normal 33 33 3 2 3" xfId="31004"/>
    <cellStyle name="Normal 33 33 3 3" xfId="31005"/>
    <cellStyle name="Normal 33 33 3 3 2" xfId="31006"/>
    <cellStyle name="Normal 33 33 3 4" xfId="31007"/>
    <cellStyle name="Normal 33 33 4" xfId="31008"/>
    <cellStyle name="Normal 33 33 4 2" xfId="31009"/>
    <cellStyle name="Normal 33 33 4 2 2" xfId="31010"/>
    <cellStyle name="Normal 33 33 4 3" xfId="31011"/>
    <cellStyle name="Normal 33 33 5" xfId="31012"/>
    <cellStyle name="Normal 33 33 5 2" xfId="31013"/>
    <cellStyle name="Normal 33 33 6" xfId="31014"/>
    <cellStyle name="Normal 33 34" xfId="31015"/>
    <cellStyle name="Normal 33 34 2" xfId="31016"/>
    <cellStyle name="Normal 33 34 2 2" xfId="31017"/>
    <cellStyle name="Normal 33 34 2 2 2" xfId="31018"/>
    <cellStyle name="Normal 33 34 2 2 2 2" xfId="31019"/>
    <cellStyle name="Normal 33 34 2 2 3" xfId="31020"/>
    <cellStyle name="Normal 33 34 2 3" xfId="31021"/>
    <cellStyle name="Normal 33 34 2 3 2" xfId="31022"/>
    <cellStyle name="Normal 33 34 2 4" xfId="31023"/>
    <cellStyle name="Normal 33 34 3" xfId="31024"/>
    <cellStyle name="Normal 33 34 3 2" xfId="31025"/>
    <cellStyle name="Normal 33 34 3 2 2" xfId="31026"/>
    <cellStyle name="Normal 33 34 3 2 2 2" xfId="31027"/>
    <cellStyle name="Normal 33 34 3 2 3" xfId="31028"/>
    <cellStyle name="Normal 33 34 3 3" xfId="31029"/>
    <cellStyle name="Normal 33 34 3 3 2" xfId="31030"/>
    <cellStyle name="Normal 33 34 3 4" xfId="31031"/>
    <cellStyle name="Normal 33 34 4" xfId="31032"/>
    <cellStyle name="Normal 33 34 4 2" xfId="31033"/>
    <cellStyle name="Normal 33 34 4 2 2" xfId="31034"/>
    <cellStyle name="Normal 33 34 4 3" xfId="31035"/>
    <cellStyle name="Normal 33 34 5" xfId="31036"/>
    <cellStyle name="Normal 33 34 5 2" xfId="31037"/>
    <cellStyle name="Normal 33 34 6" xfId="31038"/>
    <cellStyle name="Normal 33 35" xfId="31039"/>
    <cellStyle name="Normal 33 35 2" xfId="31040"/>
    <cellStyle name="Normal 33 35 2 2" xfId="31041"/>
    <cellStyle name="Normal 33 35 2 2 2" xfId="31042"/>
    <cellStyle name="Normal 33 35 2 2 2 2" xfId="31043"/>
    <cellStyle name="Normal 33 35 2 2 3" xfId="31044"/>
    <cellStyle name="Normal 33 35 2 3" xfId="31045"/>
    <cellStyle name="Normal 33 35 2 3 2" xfId="31046"/>
    <cellStyle name="Normal 33 35 2 4" xfId="31047"/>
    <cellStyle name="Normal 33 35 3" xfId="31048"/>
    <cellStyle name="Normal 33 35 3 2" xfId="31049"/>
    <cellStyle name="Normal 33 35 3 2 2" xfId="31050"/>
    <cellStyle name="Normal 33 35 3 2 2 2" xfId="31051"/>
    <cellStyle name="Normal 33 35 3 2 3" xfId="31052"/>
    <cellStyle name="Normal 33 35 3 3" xfId="31053"/>
    <cellStyle name="Normal 33 35 3 3 2" xfId="31054"/>
    <cellStyle name="Normal 33 35 3 4" xfId="31055"/>
    <cellStyle name="Normal 33 35 4" xfId="31056"/>
    <cellStyle name="Normal 33 35 4 2" xfId="31057"/>
    <cellStyle name="Normal 33 35 4 2 2" xfId="31058"/>
    <cellStyle name="Normal 33 35 4 3" xfId="31059"/>
    <cellStyle name="Normal 33 35 5" xfId="31060"/>
    <cellStyle name="Normal 33 35 5 2" xfId="31061"/>
    <cellStyle name="Normal 33 35 6" xfId="31062"/>
    <cellStyle name="Normal 33 36" xfId="31063"/>
    <cellStyle name="Normal 33 36 2" xfId="31064"/>
    <cellStyle name="Normal 33 36 2 2" xfId="31065"/>
    <cellStyle name="Normal 33 36 2 2 2" xfId="31066"/>
    <cellStyle name="Normal 33 36 2 2 2 2" xfId="31067"/>
    <cellStyle name="Normal 33 36 2 2 3" xfId="31068"/>
    <cellStyle name="Normal 33 36 2 3" xfId="31069"/>
    <cellStyle name="Normal 33 36 2 3 2" xfId="31070"/>
    <cellStyle name="Normal 33 36 2 4" xfId="31071"/>
    <cellStyle name="Normal 33 36 3" xfId="31072"/>
    <cellStyle name="Normal 33 36 3 2" xfId="31073"/>
    <cellStyle name="Normal 33 36 3 2 2" xfId="31074"/>
    <cellStyle name="Normal 33 36 3 2 2 2" xfId="31075"/>
    <cellStyle name="Normal 33 36 3 2 3" xfId="31076"/>
    <cellStyle name="Normal 33 36 3 3" xfId="31077"/>
    <cellStyle name="Normal 33 36 3 3 2" xfId="31078"/>
    <cellStyle name="Normal 33 36 3 4" xfId="31079"/>
    <cellStyle name="Normal 33 36 4" xfId="31080"/>
    <cellStyle name="Normal 33 36 4 2" xfId="31081"/>
    <cellStyle name="Normal 33 36 4 2 2" xfId="31082"/>
    <cellStyle name="Normal 33 36 4 3" xfId="31083"/>
    <cellStyle name="Normal 33 36 5" xfId="31084"/>
    <cellStyle name="Normal 33 36 5 2" xfId="31085"/>
    <cellStyle name="Normal 33 36 6" xfId="31086"/>
    <cellStyle name="Normal 33 37" xfId="31087"/>
    <cellStyle name="Normal 33 37 2" xfId="31088"/>
    <cellStyle name="Normal 33 37 2 2" xfId="31089"/>
    <cellStyle name="Normal 33 37 2 2 2" xfId="31090"/>
    <cellStyle name="Normal 33 37 2 2 2 2" xfId="31091"/>
    <cellStyle name="Normal 33 37 2 2 3" xfId="31092"/>
    <cellStyle name="Normal 33 37 2 3" xfId="31093"/>
    <cellStyle name="Normal 33 37 2 3 2" xfId="31094"/>
    <cellStyle name="Normal 33 37 2 4" xfId="31095"/>
    <cellStyle name="Normal 33 37 3" xfId="31096"/>
    <cellStyle name="Normal 33 37 3 2" xfId="31097"/>
    <cellStyle name="Normal 33 37 3 2 2" xfId="31098"/>
    <cellStyle name="Normal 33 37 3 2 2 2" xfId="31099"/>
    <cellStyle name="Normal 33 37 3 2 3" xfId="31100"/>
    <cellStyle name="Normal 33 37 3 3" xfId="31101"/>
    <cellStyle name="Normal 33 37 3 3 2" xfId="31102"/>
    <cellStyle name="Normal 33 37 3 4" xfId="31103"/>
    <cellStyle name="Normal 33 37 4" xfId="31104"/>
    <cellStyle name="Normal 33 37 4 2" xfId="31105"/>
    <cellStyle name="Normal 33 37 4 2 2" xfId="31106"/>
    <cellStyle name="Normal 33 37 4 3" xfId="31107"/>
    <cellStyle name="Normal 33 37 5" xfId="31108"/>
    <cellStyle name="Normal 33 37 5 2" xfId="31109"/>
    <cellStyle name="Normal 33 37 6" xfId="31110"/>
    <cellStyle name="Normal 33 38" xfId="31111"/>
    <cellStyle name="Normal 33 38 2" xfId="31112"/>
    <cellStyle name="Normal 33 38 2 2" xfId="31113"/>
    <cellStyle name="Normal 33 38 2 2 2" xfId="31114"/>
    <cellStyle name="Normal 33 38 2 2 2 2" xfId="31115"/>
    <cellStyle name="Normal 33 38 2 2 3" xfId="31116"/>
    <cellStyle name="Normal 33 38 2 3" xfId="31117"/>
    <cellStyle name="Normal 33 38 2 3 2" xfId="31118"/>
    <cellStyle name="Normal 33 38 2 4" xfId="31119"/>
    <cellStyle name="Normal 33 38 3" xfId="31120"/>
    <cellStyle name="Normal 33 38 3 2" xfId="31121"/>
    <cellStyle name="Normal 33 38 3 2 2" xfId="31122"/>
    <cellStyle name="Normal 33 38 3 2 2 2" xfId="31123"/>
    <cellStyle name="Normal 33 38 3 2 3" xfId="31124"/>
    <cellStyle name="Normal 33 38 3 3" xfId="31125"/>
    <cellStyle name="Normal 33 38 3 3 2" xfId="31126"/>
    <cellStyle name="Normal 33 38 3 4" xfId="31127"/>
    <cellStyle name="Normal 33 38 4" xfId="31128"/>
    <cellStyle name="Normal 33 38 4 2" xfId="31129"/>
    <cellStyle name="Normal 33 38 4 2 2" xfId="31130"/>
    <cellStyle name="Normal 33 38 4 3" xfId="31131"/>
    <cellStyle name="Normal 33 38 5" xfId="31132"/>
    <cellStyle name="Normal 33 38 5 2" xfId="31133"/>
    <cellStyle name="Normal 33 38 6" xfId="31134"/>
    <cellStyle name="Normal 33 39" xfId="31135"/>
    <cellStyle name="Normal 33 39 2" xfId="31136"/>
    <cellStyle name="Normal 33 39 2 2" xfId="31137"/>
    <cellStyle name="Normal 33 39 2 2 2" xfId="31138"/>
    <cellStyle name="Normal 33 39 2 2 2 2" xfId="31139"/>
    <cellStyle name="Normal 33 39 2 2 3" xfId="31140"/>
    <cellStyle name="Normal 33 39 2 3" xfId="31141"/>
    <cellStyle name="Normal 33 39 2 3 2" xfId="31142"/>
    <cellStyle name="Normal 33 39 2 4" xfId="31143"/>
    <cellStyle name="Normal 33 39 3" xfId="31144"/>
    <cellStyle name="Normal 33 39 3 2" xfId="31145"/>
    <cellStyle name="Normal 33 39 3 2 2" xfId="31146"/>
    <cellStyle name="Normal 33 39 3 2 2 2" xfId="31147"/>
    <cellStyle name="Normal 33 39 3 2 3" xfId="31148"/>
    <cellStyle name="Normal 33 39 3 3" xfId="31149"/>
    <cellStyle name="Normal 33 39 3 3 2" xfId="31150"/>
    <cellStyle name="Normal 33 39 3 4" xfId="31151"/>
    <cellStyle name="Normal 33 39 4" xfId="31152"/>
    <cellStyle name="Normal 33 39 4 2" xfId="31153"/>
    <cellStyle name="Normal 33 39 4 2 2" xfId="31154"/>
    <cellStyle name="Normal 33 39 4 3" xfId="31155"/>
    <cellStyle name="Normal 33 39 5" xfId="31156"/>
    <cellStyle name="Normal 33 39 5 2" xfId="31157"/>
    <cellStyle name="Normal 33 39 6" xfId="31158"/>
    <cellStyle name="Normal 33 4" xfId="31159"/>
    <cellStyle name="Normal 33 4 10" xfId="31160"/>
    <cellStyle name="Normal 33 4 10 10" xfId="31161"/>
    <cellStyle name="Normal 33 4 10 10 2" xfId="31162"/>
    <cellStyle name="Normal 33 4 10 10 2 2" xfId="31163"/>
    <cellStyle name="Normal 33 4 10 10 2 2 2" xfId="31164"/>
    <cellStyle name="Normal 33 4 10 10 2 2 2 2" xfId="31165"/>
    <cellStyle name="Normal 33 4 10 10 2 2 3" xfId="31166"/>
    <cellStyle name="Normal 33 4 10 10 2 3" xfId="31167"/>
    <cellStyle name="Normal 33 4 10 10 2 3 2" xfId="31168"/>
    <cellStyle name="Normal 33 4 10 10 2 4" xfId="31169"/>
    <cellStyle name="Normal 33 4 10 10 3" xfId="31170"/>
    <cellStyle name="Normal 33 4 10 10 3 2" xfId="31171"/>
    <cellStyle name="Normal 33 4 10 10 3 2 2" xfId="31172"/>
    <cellStyle name="Normal 33 4 10 10 3 2 2 2" xfId="31173"/>
    <cellStyle name="Normal 33 4 10 10 3 2 3" xfId="31174"/>
    <cellStyle name="Normal 33 4 10 10 3 3" xfId="31175"/>
    <cellStyle name="Normal 33 4 10 10 3 3 2" xfId="31176"/>
    <cellStyle name="Normal 33 4 10 10 3 4" xfId="31177"/>
    <cellStyle name="Normal 33 4 10 10 4" xfId="31178"/>
    <cellStyle name="Normal 33 4 10 10 4 2" xfId="31179"/>
    <cellStyle name="Normal 33 4 10 10 4 2 2" xfId="31180"/>
    <cellStyle name="Normal 33 4 10 10 4 3" xfId="31181"/>
    <cellStyle name="Normal 33 4 10 10 5" xfId="31182"/>
    <cellStyle name="Normal 33 4 10 10 5 2" xfId="31183"/>
    <cellStyle name="Normal 33 4 10 10 6" xfId="31184"/>
    <cellStyle name="Normal 33 4 10 11" xfId="31185"/>
    <cellStyle name="Normal 33 4 10 11 2" xfId="31186"/>
    <cellStyle name="Normal 33 4 10 11 2 2" xfId="31187"/>
    <cellStyle name="Normal 33 4 10 11 2 2 2" xfId="31188"/>
    <cellStyle name="Normal 33 4 10 11 2 2 2 2" xfId="31189"/>
    <cellStyle name="Normal 33 4 10 11 2 2 3" xfId="31190"/>
    <cellStyle name="Normal 33 4 10 11 2 3" xfId="31191"/>
    <cellStyle name="Normal 33 4 10 11 2 3 2" xfId="31192"/>
    <cellStyle name="Normal 33 4 10 11 2 4" xfId="31193"/>
    <cellStyle name="Normal 33 4 10 11 3" xfId="31194"/>
    <cellStyle name="Normal 33 4 10 11 3 2" xfId="31195"/>
    <cellStyle name="Normal 33 4 10 11 3 2 2" xfId="31196"/>
    <cellStyle name="Normal 33 4 10 11 3 2 2 2" xfId="31197"/>
    <cellStyle name="Normal 33 4 10 11 3 2 3" xfId="31198"/>
    <cellStyle name="Normal 33 4 10 11 3 3" xfId="31199"/>
    <cellStyle name="Normal 33 4 10 11 3 3 2" xfId="31200"/>
    <cellStyle name="Normal 33 4 10 11 3 4" xfId="31201"/>
    <cellStyle name="Normal 33 4 10 11 4" xfId="31202"/>
    <cellStyle name="Normal 33 4 10 11 4 2" xfId="31203"/>
    <cellStyle name="Normal 33 4 10 11 4 2 2" xfId="31204"/>
    <cellStyle name="Normal 33 4 10 11 4 3" xfId="31205"/>
    <cellStyle name="Normal 33 4 10 11 5" xfId="31206"/>
    <cellStyle name="Normal 33 4 10 11 5 2" xfId="31207"/>
    <cellStyle name="Normal 33 4 10 11 6" xfId="31208"/>
    <cellStyle name="Normal 33 4 10 12" xfId="31209"/>
    <cellStyle name="Normal 33 4 10 12 2" xfId="31210"/>
    <cellStyle name="Normal 33 4 10 12 2 2" xfId="31211"/>
    <cellStyle name="Normal 33 4 10 12 2 2 2" xfId="31212"/>
    <cellStyle name="Normal 33 4 10 12 2 2 2 2" xfId="31213"/>
    <cellStyle name="Normal 33 4 10 12 2 2 3" xfId="31214"/>
    <cellStyle name="Normal 33 4 10 12 2 3" xfId="31215"/>
    <cellStyle name="Normal 33 4 10 12 2 3 2" xfId="31216"/>
    <cellStyle name="Normal 33 4 10 12 2 4" xfId="31217"/>
    <cellStyle name="Normal 33 4 10 12 3" xfId="31218"/>
    <cellStyle name="Normal 33 4 10 12 3 2" xfId="31219"/>
    <cellStyle name="Normal 33 4 10 12 3 2 2" xfId="31220"/>
    <cellStyle name="Normal 33 4 10 12 3 2 2 2" xfId="31221"/>
    <cellStyle name="Normal 33 4 10 12 3 2 3" xfId="31222"/>
    <cellStyle name="Normal 33 4 10 12 3 3" xfId="31223"/>
    <cellStyle name="Normal 33 4 10 12 3 3 2" xfId="31224"/>
    <cellStyle name="Normal 33 4 10 12 3 4" xfId="31225"/>
    <cellStyle name="Normal 33 4 10 12 4" xfId="31226"/>
    <cellStyle name="Normal 33 4 10 12 4 2" xfId="31227"/>
    <cellStyle name="Normal 33 4 10 12 4 2 2" xfId="31228"/>
    <cellStyle name="Normal 33 4 10 12 4 3" xfId="31229"/>
    <cellStyle name="Normal 33 4 10 12 5" xfId="31230"/>
    <cellStyle name="Normal 33 4 10 12 5 2" xfId="31231"/>
    <cellStyle name="Normal 33 4 10 12 6" xfId="31232"/>
    <cellStyle name="Normal 33 4 10 13" xfId="31233"/>
    <cellStyle name="Normal 33 4 10 13 2" xfId="31234"/>
    <cellStyle name="Normal 33 4 10 13 2 2" xfId="31235"/>
    <cellStyle name="Normal 33 4 10 13 2 2 2" xfId="31236"/>
    <cellStyle name="Normal 33 4 10 13 2 2 2 2" xfId="31237"/>
    <cellStyle name="Normal 33 4 10 13 2 2 3" xfId="31238"/>
    <cellStyle name="Normal 33 4 10 13 2 3" xfId="31239"/>
    <cellStyle name="Normal 33 4 10 13 2 3 2" xfId="31240"/>
    <cellStyle name="Normal 33 4 10 13 2 4" xfId="31241"/>
    <cellStyle name="Normal 33 4 10 13 3" xfId="31242"/>
    <cellStyle name="Normal 33 4 10 13 3 2" xfId="31243"/>
    <cellStyle name="Normal 33 4 10 13 3 2 2" xfId="31244"/>
    <cellStyle name="Normal 33 4 10 13 3 2 2 2" xfId="31245"/>
    <cellStyle name="Normal 33 4 10 13 3 2 3" xfId="31246"/>
    <cellStyle name="Normal 33 4 10 13 3 3" xfId="31247"/>
    <cellStyle name="Normal 33 4 10 13 3 3 2" xfId="31248"/>
    <cellStyle name="Normal 33 4 10 13 3 4" xfId="31249"/>
    <cellStyle name="Normal 33 4 10 13 4" xfId="31250"/>
    <cellStyle name="Normal 33 4 10 13 4 2" xfId="31251"/>
    <cellStyle name="Normal 33 4 10 13 4 2 2" xfId="31252"/>
    <cellStyle name="Normal 33 4 10 13 4 3" xfId="31253"/>
    <cellStyle name="Normal 33 4 10 13 5" xfId="31254"/>
    <cellStyle name="Normal 33 4 10 13 5 2" xfId="31255"/>
    <cellStyle name="Normal 33 4 10 13 6" xfId="31256"/>
    <cellStyle name="Normal 33 4 10 14" xfId="31257"/>
    <cellStyle name="Normal 33 4 10 14 2" xfId="31258"/>
    <cellStyle name="Normal 33 4 10 14 2 2" xfId="31259"/>
    <cellStyle name="Normal 33 4 10 14 2 2 2" xfId="31260"/>
    <cellStyle name="Normal 33 4 10 14 2 3" xfId="31261"/>
    <cellStyle name="Normal 33 4 10 14 3" xfId="31262"/>
    <cellStyle name="Normal 33 4 10 14 3 2" xfId="31263"/>
    <cellStyle name="Normal 33 4 10 14 4" xfId="31264"/>
    <cellStyle name="Normal 33 4 10 15" xfId="31265"/>
    <cellStyle name="Normal 33 4 10 15 2" xfId="31266"/>
    <cellStyle name="Normal 33 4 10 15 2 2" xfId="31267"/>
    <cellStyle name="Normal 33 4 10 15 2 2 2" xfId="31268"/>
    <cellStyle name="Normal 33 4 10 15 2 3" xfId="31269"/>
    <cellStyle name="Normal 33 4 10 15 3" xfId="31270"/>
    <cellStyle name="Normal 33 4 10 15 3 2" xfId="31271"/>
    <cellStyle name="Normal 33 4 10 15 4" xfId="31272"/>
    <cellStyle name="Normal 33 4 10 16" xfId="31273"/>
    <cellStyle name="Normal 33 4 10 16 2" xfId="31274"/>
    <cellStyle name="Normal 33 4 10 16 2 2" xfId="31275"/>
    <cellStyle name="Normal 33 4 10 16 3" xfId="31276"/>
    <cellStyle name="Normal 33 4 10 17" xfId="31277"/>
    <cellStyle name="Normal 33 4 10 17 2" xfId="31278"/>
    <cellStyle name="Normal 33 4 10 18" xfId="31279"/>
    <cellStyle name="Normal 33 4 10 2" xfId="31280"/>
    <cellStyle name="Normal 33 4 10 2 2" xfId="31281"/>
    <cellStyle name="Normal 33 4 10 2 2 2" xfId="31282"/>
    <cellStyle name="Normal 33 4 10 2 2 2 2" xfId="31283"/>
    <cellStyle name="Normal 33 4 10 2 2 2 2 2" xfId="31284"/>
    <cellStyle name="Normal 33 4 10 2 2 2 3" xfId="31285"/>
    <cellStyle name="Normal 33 4 10 2 2 3" xfId="31286"/>
    <cellStyle name="Normal 33 4 10 2 2 3 2" xfId="31287"/>
    <cellStyle name="Normal 33 4 10 2 2 4" xfId="31288"/>
    <cellStyle name="Normal 33 4 10 2 3" xfId="31289"/>
    <cellStyle name="Normal 33 4 10 2 3 2" xfId="31290"/>
    <cellStyle name="Normal 33 4 10 2 3 2 2" xfId="31291"/>
    <cellStyle name="Normal 33 4 10 2 3 2 2 2" xfId="31292"/>
    <cellStyle name="Normal 33 4 10 2 3 2 3" xfId="31293"/>
    <cellStyle name="Normal 33 4 10 2 3 3" xfId="31294"/>
    <cellStyle name="Normal 33 4 10 2 3 3 2" xfId="31295"/>
    <cellStyle name="Normal 33 4 10 2 3 4" xfId="31296"/>
    <cellStyle name="Normal 33 4 10 2 4" xfId="31297"/>
    <cellStyle name="Normal 33 4 10 2 4 2" xfId="31298"/>
    <cellStyle name="Normal 33 4 10 2 4 2 2" xfId="31299"/>
    <cellStyle name="Normal 33 4 10 2 4 3" xfId="31300"/>
    <cellStyle name="Normal 33 4 10 2 5" xfId="31301"/>
    <cellStyle name="Normal 33 4 10 2 5 2" xfId="31302"/>
    <cellStyle name="Normal 33 4 10 2 6" xfId="31303"/>
    <cellStyle name="Normal 33 4 10 3" xfId="31304"/>
    <cellStyle name="Normal 33 4 10 3 2" xfId="31305"/>
    <cellStyle name="Normal 33 4 10 3 2 2" xfId="31306"/>
    <cellStyle name="Normal 33 4 10 3 2 2 2" xfId="31307"/>
    <cellStyle name="Normal 33 4 10 3 2 2 2 2" xfId="31308"/>
    <cellStyle name="Normal 33 4 10 3 2 2 3" xfId="31309"/>
    <cellStyle name="Normal 33 4 10 3 2 3" xfId="31310"/>
    <cellStyle name="Normal 33 4 10 3 2 3 2" xfId="31311"/>
    <cellStyle name="Normal 33 4 10 3 2 4" xfId="31312"/>
    <cellStyle name="Normal 33 4 10 3 3" xfId="31313"/>
    <cellStyle name="Normal 33 4 10 3 3 2" xfId="31314"/>
    <cellStyle name="Normal 33 4 10 3 3 2 2" xfId="31315"/>
    <cellStyle name="Normal 33 4 10 3 3 2 2 2" xfId="31316"/>
    <cellStyle name="Normal 33 4 10 3 3 2 3" xfId="31317"/>
    <cellStyle name="Normal 33 4 10 3 3 3" xfId="31318"/>
    <cellStyle name="Normal 33 4 10 3 3 3 2" xfId="31319"/>
    <cellStyle name="Normal 33 4 10 3 3 4" xfId="31320"/>
    <cellStyle name="Normal 33 4 10 3 4" xfId="31321"/>
    <cellStyle name="Normal 33 4 10 3 4 2" xfId="31322"/>
    <cellStyle name="Normal 33 4 10 3 4 2 2" xfId="31323"/>
    <cellStyle name="Normal 33 4 10 3 4 3" xfId="31324"/>
    <cellStyle name="Normal 33 4 10 3 5" xfId="31325"/>
    <cellStyle name="Normal 33 4 10 3 5 2" xfId="31326"/>
    <cellStyle name="Normal 33 4 10 3 6" xfId="31327"/>
    <cellStyle name="Normal 33 4 10 4" xfId="31328"/>
    <cellStyle name="Normal 33 4 10 4 2" xfId="31329"/>
    <cellStyle name="Normal 33 4 10 4 2 2" xfId="31330"/>
    <cellStyle name="Normal 33 4 10 4 2 2 2" xfId="31331"/>
    <cellStyle name="Normal 33 4 10 4 2 2 2 2" xfId="31332"/>
    <cellStyle name="Normal 33 4 10 4 2 2 3" xfId="31333"/>
    <cellStyle name="Normal 33 4 10 4 2 3" xfId="31334"/>
    <cellStyle name="Normal 33 4 10 4 2 3 2" xfId="31335"/>
    <cellStyle name="Normal 33 4 10 4 2 4" xfId="31336"/>
    <cellStyle name="Normal 33 4 10 4 3" xfId="31337"/>
    <cellStyle name="Normal 33 4 10 4 3 2" xfId="31338"/>
    <cellStyle name="Normal 33 4 10 4 3 2 2" xfId="31339"/>
    <cellStyle name="Normal 33 4 10 4 3 2 2 2" xfId="31340"/>
    <cellStyle name="Normal 33 4 10 4 3 2 3" xfId="31341"/>
    <cellStyle name="Normal 33 4 10 4 3 3" xfId="31342"/>
    <cellStyle name="Normal 33 4 10 4 3 3 2" xfId="31343"/>
    <cellStyle name="Normal 33 4 10 4 3 4" xfId="31344"/>
    <cellStyle name="Normal 33 4 10 4 4" xfId="31345"/>
    <cellStyle name="Normal 33 4 10 4 4 2" xfId="31346"/>
    <cellStyle name="Normal 33 4 10 4 4 2 2" xfId="31347"/>
    <cellStyle name="Normal 33 4 10 4 4 3" xfId="31348"/>
    <cellStyle name="Normal 33 4 10 4 5" xfId="31349"/>
    <cellStyle name="Normal 33 4 10 4 5 2" xfId="31350"/>
    <cellStyle name="Normal 33 4 10 4 6" xfId="31351"/>
    <cellStyle name="Normal 33 4 10 5" xfId="31352"/>
    <cellStyle name="Normal 33 4 10 5 2" xfId="31353"/>
    <cellStyle name="Normal 33 4 10 5 2 2" xfId="31354"/>
    <cellStyle name="Normal 33 4 10 5 2 2 2" xfId="31355"/>
    <cellStyle name="Normal 33 4 10 5 2 2 2 2" xfId="31356"/>
    <cellStyle name="Normal 33 4 10 5 2 2 3" xfId="31357"/>
    <cellStyle name="Normal 33 4 10 5 2 3" xfId="31358"/>
    <cellStyle name="Normal 33 4 10 5 2 3 2" xfId="31359"/>
    <cellStyle name="Normal 33 4 10 5 2 4" xfId="31360"/>
    <cellStyle name="Normal 33 4 10 5 3" xfId="31361"/>
    <cellStyle name="Normal 33 4 10 5 3 2" xfId="31362"/>
    <cellStyle name="Normal 33 4 10 5 3 2 2" xfId="31363"/>
    <cellStyle name="Normal 33 4 10 5 3 2 2 2" xfId="31364"/>
    <cellStyle name="Normal 33 4 10 5 3 2 3" xfId="31365"/>
    <cellStyle name="Normal 33 4 10 5 3 3" xfId="31366"/>
    <cellStyle name="Normal 33 4 10 5 3 3 2" xfId="31367"/>
    <cellStyle name="Normal 33 4 10 5 3 4" xfId="31368"/>
    <cellStyle name="Normal 33 4 10 5 4" xfId="31369"/>
    <cellStyle name="Normal 33 4 10 5 4 2" xfId="31370"/>
    <cellStyle name="Normal 33 4 10 5 4 2 2" xfId="31371"/>
    <cellStyle name="Normal 33 4 10 5 4 3" xfId="31372"/>
    <cellStyle name="Normal 33 4 10 5 5" xfId="31373"/>
    <cellStyle name="Normal 33 4 10 5 5 2" xfId="31374"/>
    <cellStyle name="Normal 33 4 10 5 6" xfId="31375"/>
    <cellStyle name="Normal 33 4 10 6" xfId="31376"/>
    <cellStyle name="Normal 33 4 10 6 2" xfId="31377"/>
    <cellStyle name="Normal 33 4 10 6 2 2" xfId="31378"/>
    <cellStyle name="Normal 33 4 10 6 2 2 2" xfId="31379"/>
    <cellStyle name="Normal 33 4 10 6 2 2 2 2" xfId="31380"/>
    <cellStyle name="Normal 33 4 10 6 2 2 3" xfId="31381"/>
    <cellStyle name="Normal 33 4 10 6 2 3" xfId="31382"/>
    <cellStyle name="Normal 33 4 10 6 2 3 2" xfId="31383"/>
    <cellStyle name="Normal 33 4 10 6 2 4" xfId="31384"/>
    <cellStyle name="Normal 33 4 10 6 3" xfId="31385"/>
    <cellStyle name="Normal 33 4 10 6 3 2" xfId="31386"/>
    <cellStyle name="Normal 33 4 10 6 3 2 2" xfId="31387"/>
    <cellStyle name="Normal 33 4 10 6 3 2 2 2" xfId="31388"/>
    <cellStyle name="Normal 33 4 10 6 3 2 3" xfId="31389"/>
    <cellStyle name="Normal 33 4 10 6 3 3" xfId="31390"/>
    <cellStyle name="Normal 33 4 10 6 3 3 2" xfId="31391"/>
    <cellStyle name="Normal 33 4 10 6 3 4" xfId="31392"/>
    <cellStyle name="Normal 33 4 10 6 4" xfId="31393"/>
    <cellStyle name="Normal 33 4 10 6 4 2" xfId="31394"/>
    <cellStyle name="Normal 33 4 10 6 4 2 2" xfId="31395"/>
    <cellStyle name="Normal 33 4 10 6 4 3" xfId="31396"/>
    <cellStyle name="Normal 33 4 10 6 5" xfId="31397"/>
    <cellStyle name="Normal 33 4 10 6 5 2" xfId="31398"/>
    <cellStyle name="Normal 33 4 10 6 6" xfId="31399"/>
    <cellStyle name="Normal 33 4 10 7" xfId="31400"/>
    <cellStyle name="Normal 33 4 10 7 2" xfId="31401"/>
    <cellStyle name="Normal 33 4 10 7 2 2" xfId="31402"/>
    <cellStyle name="Normal 33 4 10 7 2 2 2" xfId="31403"/>
    <cellStyle name="Normal 33 4 10 7 2 2 2 2" xfId="31404"/>
    <cellStyle name="Normal 33 4 10 7 2 2 3" xfId="31405"/>
    <cellStyle name="Normal 33 4 10 7 2 3" xfId="31406"/>
    <cellStyle name="Normal 33 4 10 7 2 3 2" xfId="31407"/>
    <cellStyle name="Normal 33 4 10 7 2 4" xfId="31408"/>
    <cellStyle name="Normal 33 4 10 7 3" xfId="31409"/>
    <cellStyle name="Normal 33 4 10 7 3 2" xfId="31410"/>
    <cellStyle name="Normal 33 4 10 7 3 2 2" xfId="31411"/>
    <cellStyle name="Normal 33 4 10 7 3 2 2 2" xfId="31412"/>
    <cellStyle name="Normal 33 4 10 7 3 2 3" xfId="31413"/>
    <cellStyle name="Normal 33 4 10 7 3 3" xfId="31414"/>
    <cellStyle name="Normal 33 4 10 7 3 3 2" xfId="31415"/>
    <cellStyle name="Normal 33 4 10 7 3 4" xfId="31416"/>
    <cellStyle name="Normal 33 4 10 7 4" xfId="31417"/>
    <cellStyle name="Normal 33 4 10 7 4 2" xfId="31418"/>
    <cellStyle name="Normal 33 4 10 7 4 2 2" xfId="31419"/>
    <cellStyle name="Normal 33 4 10 7 4 3" xfId="31420"/>
    <cellStyle name="Normal 33 4 10 7 5" xfId="31421"/>
    <cellStyle name="Normal 33 4 10 7 5 2" xfId="31422"/>
    <cellStyle name="Normal 33 4 10 7 6" xfId="31423"/>
    <cellStyle name="Normal 33 4 10 8" xfId="31424"/>
    <cellStyle name="Normal 33 4 10 8 2" xfId="31425"/>
    <cellStyle name="Normal 33 4 10 8 2 2" xfId="31426"/>
    <cellStyle name="Normal 33 4 10 8 2 2 2" xfId="31427"/>
    <cellStyle name="Normal 33 4 10 8 2 2 2 2" xfId="31428"/>
    <cellStyle name="Normal 33 4 10 8 2 2 3" xfId="31429"/>
    <cellStyle name="Normal 33 4 10 8 2 3" xfId="31430"/>
    <cellStyle name="Normal 33 4 10 8 2 3 2" xfId="31431"/>
    <cellStyle name="Normal 33 4 10 8 2 4" xfId="31432"/>
    <cellStyle name="Normal 33 4 10 8 3" xfId="31433"/>
    <cellStyle name="Normal 33 4 10 8 3 2" xfId="31434"/>
    <cellStyle name="Normal 33 4 10 8 3 2 2" xfId="31435"/>
    <cellStyle name="Normal 33 4 10 8 3 2 2 2" xfId="31436"/>
    <cellStyle name="Normal 33 4 10 8 3 2 3" xfId="31437"/>
    <cellStyle name="Normal 33 4 10 8 3 3" xfId="31438"/>
    <cellStyle name="Normal 33 4 10 8 3 3 2" xfId="31439"/>
    <cellStyle name="Normal 33 4 10 8 3 4" xfId="31440"/>
    <cellStyle name="Normal 33 4 10 8 4" xfId="31441"/>
    <cellStyle name="Normal 33 4 10 8 4 2" xfId="31442"/>
    <cellStyle name="Normal 33 4 10 8 4 2 2" xfId="31443"/>
    <cellStyle name="Normal 33 4 10 8 4 3" xfId="31444"/>
    <cellStyle name="Normal 33 4 10 8 5" xfId="31445"/>
    <cellStyle name="Normal 33 4 10 8 5 2" xfId="31446"/>
    <cellStyle name="Normal 33 4 10 8 6" xfId="31447"/>
    <cellStyle name="Normal 33 4 10 9" xfId="31448"/>
    <cellStyle name="Normal 33 4 10 9 2" xfId="31449"/>
    <cellStyle name="Normal 33 4 10 9 2 2" xfId="31450"/>
    <cellStyle name="Normal 33 4 10 9 2 2 2" xfId="31451"/>
    <cellStyle name="Normal 33 4 10 9 2 2 2 2" xfId="31452"/>
    <cellStyle name="Normal 33 4 10 9 2 2 3" xfId="31453"/>
    <cellStyle name="Normal 33 4 10 9 2 3" xfId="31454"/>
    <cellStyle name="Normal 33 4 10 9 2 3 2" xfId="31455"/>
    <cellStyle name="Normal 33 4 10 9 2 4" xfId="31456"/>
    <cellStyle name="Normal 33 4 10 9 3" xfId="31457"/>
    <cellStyle name="Normal 33 4 10 9 3 2" xfId="31458"/>
    <cellStyle name="Normal 33 4 10 9 3 2 2" xfId="31459"/>
    <cellStyle name="Normal 33 4 10 9 3 2 2 2" xfId="31460"/>
    <cellStyle name="Normal 33 4 10 9 3 2 3" xfId="31461"/>
    <cellStyle name="Normal 33 4 10 9 3 3" xfId="31462"/>
    <cellStyle name="Normal 33 4 10 9 3 3 2" xfId="31463"/>
    <cellStyle name="Normal 33 4 10 9 3 4" xfId="31464"/>
    <cellStyle name="Normal 33 4 10 9 4" xfId="31465"/>
    <cellStyle name="Normal 33 4 10 9 4 2" xfId="31466"/>
    <cellStyle name="Normal 33 4 10 9 4 2 2" xfId="31467"/>
    <cellStyle name="Normal 33 4 10 9 4 3" xfId="31468"/>
    <cellStyle name="Normal 33 4 10 9 5" xfId="31469"/>
    <cellStyle name="Normal 33 4 10 9 5 2" xfId="31470"/>
    <cellStyle name="Normal 33 4 10 9 6" xfId="31471"/>
    <cellStyle name="Normal 33 4 11" xfId="31472"/>
    <cellStyle name="Normal 33 4 11 2" xfId="31473"/>
    <cellStyle name="Normal 33 4 11 2 2" xfId="31474"/>
    <cellStyle name="Normal 33 4 11 2 2 2" xfId="31475"/>
    <cellStyle name="Normal 33 4 11 2 2 2 2" xfId="31476"/>
    <cellStyle name="Normal 33 4 11 2 2 3" xfId="31477"/>
    <cellStyle name="Normal 33 4 11 2 3" xfId="31478"/>
    <cellStyle name="Normal 33 4 11 2 3 2" xfId="31479"/>
    <cellStyle name="Normal 33 4 11 2 4" xfId="31480"/>
    <cellStyle name="Normal 33 4 11 3" xfId="31481"/>
    <cellStyle name="Normal 33 4 11 3 2" xfId="31482"/>
    <cellStyle name="Normal 33 4 11 3 2 2" xfId="31483"/>
    <cellStyle name="Normal 33 4 11 3 2 2 2" xfId="31484"/>
    <cellStyle name="Normal 33 4 11 3 2 3" xfId="31485"/>
    <cellStyle name="Normal 33 4 11 3 3" xfId="31486"/>
    <cellStyle name="Normal 33 4 11 3 3 2" xfId="31487"/>
    <cellStyle name="Normal 33 4 11 3 4" xfId="31488"/>
    <cellStyle name="Normal 33 4 11 4" xfId="31489"/>
    <cellStyle name="Normal 33 4 11 4 2" xfId="31490"/>
    <cellStyle name="Normal 33 4 11 4 2 2" xfId="31491"/>
    <cellStyle name="Normal 33 4 11 4 3" xfId="31492"/>
    <cellStyle name="Normal 33 4 11 5" xfId="31493"/>
    <cellStyle name="Normal 33 4 11 5 2" xfId="31494"/>
    <cellStyle name="Normal 33 4 11 6" xfId="31495"/>
    <cellStyle name="Normal 33 4 12" xfId="31496"/>
    <cellStyle name="Normal 33 4 12 2" xfId="31497"/>
    <cellStyle name="Normal 33 4 12 2 2" xfId="31498"/>
    <cellStyle name="Normal 33 4 12 2 2 2" xfId="31499"/>
    <cellStyle name="Normal 33 4 12 2 2 2 2" xfId="31500"/>
    <cellStyle name="Normal 33 4 12 2 2 3" xfId="31501"/>
    <cellStyle name="Normal 33 4 12 2 3" xfId="31502"/>
    <cellStyle name="Normal 33 4 12 2 3 2" xfId="31503"/>
    <cellStyle name="Normal 33 4 12 2 4" xfId="31504"/>
    <cellStyle name="Normal 33 4 12 3" xfId="31505"/>
    <cellStyle name="Normal 33 4 12 3 2" xfId="31506"/>
    <cellStyle name="Normal 33 4 12 3 2 2" xfId="31507"/>
    <cellStyle name="Normal 33 4 12 3 2 2 2" xfId="31508"/>
    <cellStyle name="Normal 33 4 12 3 2 3" xfId="31509"/>
    <cellStyle name="Normal 33 4 12 3 3" xfId="31510"/>
    <cellStyle name="Normal 33 4 12 3 3 2" xfId="31511"/>
    <cellStyle name="Normal 33 4 12 3 4" xfId="31512"/>
    <cellStyle name="Normal 33 4 12 4" xfId="31513"/>
    <cellStyle name="Normal 33 4 12 4 2" xfId="31514"/>
    <cellStyle name="Normal 33 4 12 4 2 2" xfId="31515"/>
    <cellStyle name="Normal 33 4 12 4 3" xfId="31516"/>
    <cellStyle name="Normal 33 4 12 5" xfId="31517"/>
    <cellStyle name="Normal 33 4 12 5 2" xfId="31518"/>
    <cellStyle name="Normal 33 4 12 6" xfId="31519"/>
    <cellStyle name="Normal 33 4 13" xfId="31520"/>
    <cellStyle name="Normal 33 4 13 2" xfId="31521"/>
    <cellStyle name="Normal 33 4 13 2 2" xfId="31522"/>
    <cellStyle name="Normal 33 4 13 2 2 2" xfId="31523"/>
    <cellStyle name="Normal 33 4 13 2 2 2 2" xfId="31524"/>
    <cellStyle name="Normal 33 4 13 2 2 3" xfId="31525"/>
    <cellStyle name="Normal 33 4 13 2 3" xfId="31526"/>
    <cellStyle name="Normal 33 4 13 2 3 2" xfId="31527"/>
    <cellStyle name="Normal 33 4 13 2 4" xfId="31528"/>
    <cellStyle name="Normal 33 4 13 3" xfId="31529"/>
    <cellStyle name="Normal 33 4 13 3 2" xfId="31530"/>
    <cellStyle name="Normal 33 4 13 3 2 2" xfId="31531"/>
    <cellStyle name="Normal 33 4 13 3 2 2 2" xfId="31532"/>
    <cellStyle name="Normal 33 4 13 3 2 3" xfId="31533"/>
    <cellStyle name="Normal 33 4 13 3 3" xfId="31534"/>
    <cellStyle name="Normal 33 4 13 3 3 2" xfId="31535"/>
    <cellStyle name="Normal 33 4 13 3 4" xfId="31536"/>
    <cellStyle name="Normal 33 4 13 4" xfId="31537"/>
    <cellStyle name="Normal 33 4 13 4 2" xfId="31538"/>
    <cellStyle name="Normal 33 4 13 4 2 2" xfId="31539"/>
    <cellStyle name="Normal 33 4 13 4 3" xfId="31540"/>
    <cellStyle name="Normal 33 4 13 5" xfId="31541"/>
    <cellStyle name="Normal 33 4 13 5 2" xfId="31542"/>
    <cellStyle name="Normal 33 4 13 6" xfId="31543"/>
    <cellStyle name="Normal 33 4 14" xfId="31544"/>
    <cellStyle name="Normal 33 4 14 2" xfId="31545"/>
    <cellStyle name="Normal 33 4 14 2 2" xfId="31546"/>
    <cellStyle name="Normal 33 4 14 2 2 2" xfId="31547"/>
    <cellStyle name="Normal 33 4 14 2 2 2 2" xfId="31548"/>
    <cellStyle name="Normal 33 4 14 2 2 3" xfId="31549"/>
    <cellStyle name="Normal 33 4 14 2 3" xfId="31550"/>
    <cellStyle name="Normal 33 4 14 2 3 2" xfId="31551"/>
    <cellStyle name="Normal 33 4 14 2 4" xfId="31552"/>
    <cellStyle name="Normal 33 4 14 3" xfId="31553"/>
    <cellStyle name="Normal 33 4 14 3 2" xfId="31554"/>
    <cellStyle name="Normal 33 4 14 3 2 2" xfId="31555"/>
    <cellStyle name="Normal 33 4 14 3 2 2 2" xfId="31556"/>
    <cellStyle name="Normal 33 4 14 3 2 3" xfId="31557"/>
    <cellStyle name="Normal 33 4 14 3 3" xfId="31558"/>
    <cellStyle name="Normal 33 4 14 3 3 2" xfId="31559"/>
    <cellStyle name="Normal 33 4 14 3 4" xfId="31560"/>
    <cellStyle name="Normal 33 4 14 4" xfId="31561"/>
    <cellStyle name="Normal 33 4 14 4 2" xfId="31562"/>
    <cellStyle name="Normal 33 4 14 4 2 2" xfId="31563"/>
    <cellStyle name="Normal 33 4 14 4 3" xfId="31564"/>
    <cellStyle name="Normal 33 4 14 5" xfId="31565"/>
    <cellStyle name="Normal 33 4 14 5 2" xfId="31566"/>
    <cellStyle name="Normal 33 4 14 6" xfId="31567"/>
    <cellStyle name="Normal 33 4 15" xfId="31568"/>
    <cellStyle name="Normal 33 4 15 2" xfId="31569"/>
    <cellStyle name="Normal 33 4 15 2 2" xfId="31570"/>
    <cellStyle name="Normal 33 4 15 2 2 2" xfId="31571"/>
    <cellStyle name="Normal 33 4 15 2 2 2 2" xfId="31572"/>
    <cellStyle name="Normal 33 4 15 2 2 3" xfId="31573"/>
    <cellStyle name="Normal 33 4 15 2 3" xfId="31574"/>
    <cellStyle name="Normal 33 4 15 2 3 2" xfId="31575"/>
    <cellStyle name="Normal 33 4 15 2 4" xfId="31576"/>
    <cellStyle name="Normal 33 4 15 3" xfId="31577"/>
    <cellStyle name="Normal 33 4 15 3 2" xfId="31578"/>
    <cellStyle name="Normal 33 4 15 3 2 2" xfId="31579"/>
    <cellStyle name="Normal 33 4 15 3 2 2 2" xfId="31580"/>
    <cellStyle name="Normal 33 4 15 3 2 3" xfId="31581"/>
    <cellStyle name="Normal 33 4 15 3 3" xfId="31582"/>
    <cellStyle name="Normal 33 4 15 3 3 2" xfId="31583"/>
    <cellStyle name="Normal 33 4 15 3 4" xfId="31584"/>
    <cellStyle name="Normal 33 4 15 4" xfId="31585"/>
    <cellStyle name="Normal 33 4 15 4 2" xfId="31586"/>
    <cellStyle name="Normal 33 4 15 4 2 2" xfId="31587"/>
    <cellStyle name="Normal 33 4 15 4 3" xfId="31588"/>
    <cellStyle name="Normal 33 4 15 5" xfId="31589"/>
    <cellStyle name="Normal 33 4 15 5 2" xfId="31590"/>
    <cellStyle name="Normal 33 4 15 6" xfId="31591"/>
    <cellStyle name="Normal 33 4 16" xfId="31592"/>
    <cellStyle name="Normal 33 4 16 2" xfId="31593"/>
    <cellStyle name="Normal 33 4 16 2 2" xfId="31594"/>
    <cellStyle name="Normal 33 4 16 2 2 2" xfId="31595"/>
    <cellStyle name="Normal 33 4 16 2 2 2 2" xfId="31596"/>
    <cellStyle name="Normal 33 4 16 2 2 3" xfId="31597"/>
    <cellStyle name="Normal 33 4 16 2 3" xfId="31598"/>
    <cellStyle name="Normal 33 4 16 2 3 2" xfId="31599"/>
    <cellStyle name="Normal 33 4 16 2 4" xfId="31600"/>
    <cellStyle name="Normal 33 4 16 3" xfId="31601"/>
    <cellStyle name="Normal 33 4 16 3 2" xfId="31602"/>
    <cellStyle name="Normal 33 4 16 3 2 2" xfId="31603"/>
    <cellStyle name="Normal 33 4 16 3 2 2 2" xfId="31604"/>
    <cellStyle name="Normal 33 4 16 3 2 3" xfId="31605"/>
    <cellStyle name="Normal 33 4 16 3 3" xfId="31606"/>
    <cellStyle name="Normal 33 4 16 3 3 2" xfId="31607"/>
    <cellStyle name="Normal 33 4 16 3 4" xfId="31608"/>
    <cellStyle name="Normal 33 4 16 4" xfId="31609"/>
    <cellStyle name="Normal 33 4 16 4 2" xfId="31610"/>
    <cellStyle name="Normal 33 4 16 4 2 2" xfId="31611"/>
    <cellStyle name="Normal 33 4 16 4 3" xfId="31612"/>
    <cellStyle name="Normal 33 4 16 5" xfId="31613"/>
    <cellStyle name="Normal 33 4 16 5 2" xfId="31614"/>
    <cellStyle name="Normal 33 4 16 6" xfId="31615"/>
    <cellStyle name="Normal 33 4 17" xfId="31616"/>
    <cellStyle name="Normal 33 4 17 2" xfId="31617"/>
    <cellStyle name="Normal 33 4 17 2 2" xfId="31618"/>
    <cellStyle name="Normal 33 4 17 2 2 2" xfId="31619"/>
    <cellStyle name="Normal 33 4 17 2 2 2 2" xfId="31620"/>
    <cellStyle name="Normal 33 4 17 2 2 3" xfId="31621"/>
    <cellStyle name="Normal 33 4 17 2 3" xfId="31622"/>
    <cellStyle name="Normal 33 4 17 2 3 2" xfId="31623"/>
    <cellStyle name="Normal 33 4 17 2 4" xfId="31624"/>
    <cellStyle name="Normal 33 4 17 3" xfId="31625"/>
    <cellStyle name="Normal 33 4 17 3 2" xfId="31626"/>
    <cellStyle name="Normal 33 4 17 3 2 2" xfId="31627"/>
    <cellStyle name="Normal 33 4 17 3 2 2 2" xfId="31628"/>
    <cellStyle name="Normal 33 4 17 3 2 3" xfId="31629"/>
    <cellStyle name="Normal 33 4 17 3 3" xfId="31630"/>
    <cellStyle name="Normal 33 4 17 3 3 2" xfId="31631"/>
    <cellStyle name="Normal 33 4 17 3 4" xfId="31632"/>
    <cellStyle name="Normal 33 4 17 4" xfId="31633"/>
    <cellStyle name="Normal 33 4 17 4 2" xfId="31634"/>
    <cellStyle name="Normal 33 4 17 4 2 2" xfId="31635"/>
    <cellStyle name="Normal 33 4 17 4 3" xfId="31636"/>
    <cellStyle name="Normal 33 4 17 5" xfId="31637"/>
    <cellStyle name="Normal 33 4 17 5 2" xfId="31638"/>
    <cellStyle name="Normal 33 4 17 6" xfId="31639"/>
    <cellStyle name="Normal 33 4 18" xfId="31640"/>
    <cellStyle name="Normal 33 4 18 2" xfId="31641"/>
    <cellStyle name="Normal 33 4 18 2 2" xfId="31642"/>
    <cellStyle name="Normal 33 4 18 2 2 2" xfId="31643"/>
    <cellStyle name="Normal 33 4 18 2 2 2 2" xfId="31644"/>
    <cellStyle name="Normal 33 4 18 2 2 3" xfId="31645"/>
    <cellStyle name="Normal 33 4 18 2 3" xfId="31646"/>
    <cellStyle name="Normal 33 4 18 2 3 2" xfId="31647"/>
    <cellStyle name="Normal 33 4 18 2 4" xfId="31648"/>
    <cellStyle name="Normal 33 4 18 3" xfId="31649"/>
    <cellStyle name="Normal 33 4 18 3 2" xfId="31650"/>
    <cellStyle name="Normal 33 4 18 3 2 2" xfId="31651"/>
    <cellStyle name="Normal 33 4 18 3 2 2 2" xfId="31652"/>
    <cellStyle name="Normal 33 4 18 3 2 3" xfId="31653"/>
    <cellStyle name="Normal 33 4 18 3 3" xfId="31654"/>
    <cellStyle name="Normal 33 4 18 3 3 2" xfId="31655"/>
    <cellStyle name="Normal 33 4 18 3 4" xfId="31656"/>
    <cellStyle name="Normal 33 4 18 4" xfId="31657"/>
    <cellStyle name="Normal 33 4 18 4 2" xfId="31658"/>
    <cellStyle name="Normal 33 4 18 4 2 2" xfId="31659"/>
    <cellStyle name="Normal 33 4 18 4 3" xfId="31660"/>
    <cellStyle name="Normal 33 4 18 5" xfId="31661"/>
    <cellStyle name="Normal 33 4 18 5 2" xfId="31662"/>
    <cellStyle name="Normal 33 4 18 6" xfId="31663"/>
    <cellStyle name="Normal 33 4 19" xfId="31664"/>
    <cellStyle name="Normal 33 4 19 2" xfId="31665"/>
    <cellStyle name="Normal 33 4 19 2 2" xfId="31666"/>
    <cellStyle name="Normal 33 4 19 2 2 2" xfId="31667"/>
    <cellStyle name="Normal 33 4 19 2 2 2 2" xfId="31668"/>
    <cellStyle name="Normal 33 4 19 2 2 3" xfId="31669"/>
    <cellStyle name="Normal 33 4 19 2 3" xfId="31670"/>
    <cellStyle name="Normal 33 4 19 2 3 2" xfId="31671"/>
    <cellStyle name="Normal 33 4 19 2 4" xfId="31672"/>
    <cellStyle name="Normal 33 4 19 3" xfId="31673"/>
    <cellStyle name="Normal 33 4 19 3 2" xfId="31674"/>
    <cellStyle name="Normal 33 4 19 3 2 2" xfId="31675"/>
    <cellStyle name="Normal 33 4 19 3 2 2 2" xfId="31676"/>
    <cellStyle name="Normal 33 4 19 3 2 3" xfId="31677"/>
    <cellStyle name="Normal 33 4 19 3 3" xfId="31678"/>
    <cellStyle name="Normal 33 4 19 3 3 2" xfId="31679"/>
    <cellStyle name="Normal 33 4 19 3 4" xfId="31680"/>
    <cellStyle name="Normal 33 4 19 4" xfId="31681"/>
    <cellStyle name="Normal 33 4 19 4 2" xfId="31682"/>
    <cellStyle name="Normal 33 4 19 4 2 2" xfId="31683"/>
    <cellStyle name="Normal 33 4 19 4 3" xfId="31684"/>
    <cellStyle name="Normal 33 4 19 5" xfId="31685"/>
    <cellStyle name="Normal 33 4 19 5 2" xfId="31686"/>
    <cellStyle name="Normal 33 4 19 6" xfId="31687"/>
    <cellStyle name="Normal 33 4 2" xfId="31688"/>
    <cellStyle name="Normal 33 4 2 10" xfId="31689"/>
    <cellStyle name="Normal 33 4 2 10 2" xfId="31690"/>
    <cellStyle name="Normal 33 4 2 10 2 2" xfId="31691"/>
    <cellStyle name="Normal 33 4 2 10 2 2 2" xfId="31692"/>
    <cellStyle name="Normal 33 4 2 10 2 2 2 2" xfId="31693"/>
    <cellStyle name="Normal 33 4 2 10 2 2 3" xfId="31694"/>
    <cellStyle name="Normal 33 4 2 10 2 3" xfId="31695"/>
    <cellStyle name="Normal 33 4 2 10 2 3 2" xfId="31696"/>
    <cellStyle name="Normal 33 4 2 10 2 4" xfId="31697"/>
    <cellStyle name="Normal 33 4 2 10 3" xfId="31698"/>
    <cellStyle name="Normal 33 4 2 10 3 2" xfId="31699"/>
    <cellStyle name="Normal 33 4 2 10 3 2 2" xfId="31700"/>
    <cellStyle name="Normal 33 4 2 10 3 2 2 2" xfId="31701"/>
    <cellStyle name="Normal 33 4 2 10 3 2 3" xfId="31702"/>
    <cellStyle name="Normal 33 4 2 10 3 3" xfId="31703"/>
    <cellStyle name="Normal 33 4 2 10 3 3 2" xfId="31704"/>
    <cellStyle name="Normal 33 4 2 10 3 4" xfId="31705"/>
    <cellStyle name="Normal 33 4 2 10 4" xfId="31706"/>
    <cellStyle name="Normal 33 4 2 10 4 2" xfId="31707"/>
    <cellStyle name="Normal 33 4 2 10 4 2 2" xfId="31708"/>
    <cellStyle name="Normal 33 4 2 10 4 3" xfId="31709"/>
    <cellStyle name="Normal 33 4 2 10 5" xfId="31710"/>
    <cellStyle name="Normal 33 4 2 10 5 2" xfId="31711"/>
    <cellStyle name="Normal 33 4 2 10 6" xfId="31712"/>
    <cellStyle name="Normal 33 4 2 11" xfId="31713"/>
    <cellStyle name="Normal 33 4 2 11 2" xfId="31714"/>
    <cellStyle name="Normal 33 4 2 11 2 2" xfId="31715"/>
    <cellStyle name="Normal 33 4 2 11 2 2 2" xfId="31716"/>
    <cellStyle name="Normal 33 4 2 11 2 2 2 2" xfId="31717"/>
    <cellStyle name="Normal 33 4 2 11 2 2 3" xfId="31718"/>
    <cellStyle name="Normal 33 4 2 11 2 3" xfId="31719"/>
    <cellStyle name="Normal 33 4 2 11 2 3 2" xfId="31720"/>
    <cellStyle name="Normal 33 4 2 11 2 4" xfId="31721"/>
    <cellStyle name="Normal 33 4 2 11 3" xfId="31722"/>
    <cellStyle name="Normal 33 4 2 11 3 2" xfId="31723"/>
    <cellStyle name="Normal 33 4 2 11 3 2 2" xfId="31724"/>
    <cellStyle name="Normal 33 4 2 11 3 2 2 2" xfId="31725"/>
    <cellStyle name="Normal 33 4 2 11 3 2 3" xfId="31726"/>
    <cellStyle name="Normal 33 4 2 11 3 3" xfId="31727"/>
    <cellStyle name="Normal 33 4 2 11 3 3 2" xfId="31728"/>
    <cellStyle name="Normal 33 4 2 11 3 4" xfId="31729"/>
    <cellStyle name="Normal 33 4 2 11 4" xfId="31730"/>
    <cellStyle name="Normal 33 4 2 11 4 2" xfId="31731"/>
    <cellStyle name="Normal 33 4 2 11 4 2 2" xfId="31732"/>
    <cellStyle name="Normal 33 4 2 11 4 3" xfId="31733"/>
    <cellStyle name="Normal 33 4 2 11 5" xfId="31734"/>
    <cellStyle name="Normal 33 4 2 11 5 2" xfId="31735"/>
    <cellStyle name="Normal 33 4 2 11 6" xfId="31736"/>
    <cellStyle name="Normal 33 4 2 12" xfId="31737"/>
    <cellStyle name="Normal 33 4 2 12 2" xfId="31738"/>
    <cellStyle name="Normal 33 4 2 12 2 2" xfId="31739"/>
    <cellStyle name="Normal 33 4 2 12 2 2 2" xfId="31740"/>
    <cellStyle name="Normal 33 4 2 12 2 2 2 2" xfId="31741"/>
    <cellStyle name="Normal 33 4 2 12 2 2 3" xfId="31742"/>
    <cellStyle name="Normal 33 4 2 12 2 3" xfId="31743"/>
    <cellStyle name="Normal 33 4 2 12 2 3 2" xfId="31744"/>
    <cellStyle name="Normal 33 4 2 12 2 4" xfId="31745"/>
    <cellStyle name="Normal 33 4 2 12 3" xfId="31746"/>
    <cellStyle name="Normal 33 4 2 12 3 2" xfId="31747"/>
    <cellStyle name="Normal 33 4 2 12 3 2 2" xfId="31748"/>
    <cellStyle name="Normal 33 4 2 12 3 2 2 2" xfId="31749"/>
    <cellStyle name="Normal 33 4 2 12 3 2 3" xfId="31750"/>
    <cellStyle name="Normal 33 4 2 12 3 3" xfId="31751"/>
    <cellStyle name="Normal 33 4 2 12 3 3 2" xfId="31752"/>
    <cellStyle name="Normal 33 4 2 12 3 4" xfId="31753"/>
    <cellStyle name="Normal 33 4 2 12 4" xfId="31754"/>
    <cellStyle name="Normal 33 4 2 12 4 2" xfId="31755"/>
    <cellStyle name="Normal 33 4 2 12 4 2 2" xfId="31756"/>
    <cellStyle name="Normal 33 4 2 12 4 3" xfId="31757"/>
    <cellStyle name="Normal 33 4 2 12 5" xfId="31758"/>
    <cellStyle name="Normal 33 4 2 12 5 2" xfId="31759"/>
    <cellStyle name="Normal 33 4 2 12 6" xfId="31760"/>
    <cellStyle name="Normal 33 4 2 13" xfId="31761"/>
    <cellStyle name="Normal 33 4 2 13 2" xfId="31762"/>
    <cellStyle name="Normal 33 4 2 13 2 2" xfId="31763"/>
    <cellStyle name="Normal 33 4 2 13 2 2 2" xfId="31764"/>
    <cellStyle name="Normal 33 4 2 13 2 2 2 2" xfId="31765"/>
    <cellStyle name="Normal 33 4 2 13 2 2 3" xfId="31766"/>
    <cellStyle name="Normal 33 4 2 13 2 3" xfId="31767"/>
    <cellStyle name="Normal 33 4 2 13 2 3 2" xfId="31768"/>
    <cellStyle name="Normal 33 4 2 13 2 4" xfId="31769"/>
    <cellStyle name="Normal 33 4 2 13 3" xfId="31770"/>
    <cellStyle name="Normal 33 4 2 13 3 2" xfId="31771"/>
    <cellStyle name="Normal 33 4 2 13 3 2 2" xfId="31772"/>
    <cellStyle name="Normal 33 4 2 13 3 2 2 2" xfId="31773"/>
    <cellStyle name="Normal 33 4 2 13 3 2 3" xfId="31774"/>
    <cellStyle name="Normal 33 4 2 13 3 3" xfId="31775"/>
    <cellStyle name="Normal 33 4 2 13 3 3 2" xfId="31776"/>
    <cellStyle name="Normal 33 4 2 13 3 4" xfId="31777"/>
    <cellStyle name="Normal 33 4 2 13 4" xfId="31778"/>
    <cellStyle name="Normal 33 4 2 13 4 2" xfId="31779"/>
    <cellStyle name="Normal 33 4 2 13 4 2 2" xfId="31780"/>
    <cellStyle name="Normal 33 4 2 13 4 3" xfId="31781"/>
    <cellStyle name="Normal 33 4 2 13 5" xfId="31782"/>
    <cellStyle name="Normal 33 4 2 13 5 2" xfId="31783"/>
    <cellStyle name="Normal 33 4 2 13 6" xfId="31784"/>
    <cellStyle name="Normal 33 4 2 14" xfId="31785"/>
    <cellStyle name="Normal 33 4 2 14 2" xfId="31786"/>
    <cellStyle name="Normal 33 4 2 14 2 2" xfId="31787"/>
    <cellStyle name="Normal 33 4 2 14 2 2 2" xfId="31788"/>
    <cellStyle name="Normal 33 4 2 14 2 3" xfId="31789"/>
    <cellStyle name="Normal 33 4 2 14 3" xfId="31790"/>
    <cellStyle name="Normal 33 4 2 14 3 2" xfId="31791"/>
    <cellStyle name="Normal 33 4 2 14 4" xfId="31792"/>
    <cellStyle name="Normal 33 4 2 15" xfId="31793"/>
    <cellStyle name="Normal 33 4 2 15 2" xfId="31794"/>
    <cellStyle name="Normal 33 4 2 15 2 2" xfId="31795"/>
    <cellStyle name="Normal 33 4 2 15 2 2 2" xfId="31796"/>
    <cellStyle name="Normal 33 4 2 15 2 3" xfId="31797"/>
    <cellStyle name="Normal 33 4 2 15 3" xfId="31798"/>
    <cellStyle name="Normal 33 4 2 15 3 2" xfId="31799"/>
    <cellStyle name="Normal 33 4 2 15 4" xfId="31800"/>
    <cellStyle name="Normal 33 4 2 16" xfId="31801"/>
    <cellStyle name="Normal 33 4 2 16 2" xfId="31802"/>
    <cellStyle name="Normal 33 4 2 16 2 2" xfId="31803"/>
    <cellStyle name="Normal 33 4 2 16 3" xfId="31804"/>
    <cellStyle name="Normal 33 4 2 17" xfId="31805"/>
    <cellStyle name="Normal 33 4 2 17 2" xfId="31806"/>
    <cellStyle name="Normal 33 4 2 18" xfId="31807"/>
    <cellStyle name="Normal 33 4 2 2" xfId="31808"/>
    <cellStyle name="Normal 33 4 2 2 2" xfId="31809"/>
    <cellStyle name="Normal 33 4 2 2 2 2" xfId="31810"/>
    <cellStyle name="Normal 33 4 2 2 2 2 2" xfId="31811"/>
    <cellStyle name="Normal 33 4 2 2 2 2 2 2" xfId="31812"/>
    <cellStyle name="Normal 33 4 2 2 2 2 3" xfId="31813"/>
    <cellStyle name="Normal 33 4 2 2 2 3" xfId="31814"/>
    <cellStyle name="Normal 33 4 2 2 2 3 2" xfId="31815"/>
    <cellStyle name="Normal 33 4 2 2 2 4" xfId="31816"/>
    <cellStyle name="Normal 33 4 2 2 3" xfId="31817"/>
    <cellStyle name="Normal 33 4 2 2 3 2" xfId="31818"/>
    <cellStyle name="Normal 33 4 2 2 3 2 2" xfId="31819"/>
    <cellStyle name="Normal 33 4 2 2 3 2 2 2" xfId="31820"/>
    <cellStyle name="Normal 33 4 2 2 3 2 3" xfId="31821"/>
    <cellStyle name="Normal 33 4 2 2 3 3" xfId="31822"/>
    <cellStyle name="Normal 33 4 2 2 3 3 2" xfId="31823"/>
    <cellStyle name="Normal 33 4 2 2 3 4" xfId="31824"/>
    <cellStyle name="Normal 33 4 2 2 4" xfId="31825"/>
    <cellStyle name="Normal 33 4 2 2 4 2" xfId="31826"/>
    <cellStyle name="Normal 33 4 2 2 4 2 2" xfId="31827"/>
    <cellStyle name="Normal 33 4 2 2 4 3" xfId="31828"/>
    <cellStyle name="Normal 33 4 2 2 5" xfId="31829"/>
    <cellStyle name="Normal 33 4 2 2 5 2" xfId="31830"/>
    <cellStyle name="Normal 33 4 2 2 6" xfId="31831"/>
    <cellStyle name="Normal 33 4 2 3" xfId="31832"/>
    <cellStyle name="Normal 33 4 2 3 2" xfId="31833"/>
    <cellStyle name="Normal 33 4 2 3 2 2" xfId="31834"/>
    <cellStyle name="Normal 33 4 2 3 2 2 2" xfId="31835"/>
    <cellStyle name="Normal 33 4 2 3 2 2 2 2" xfId="31836"/>
    <cellStyle name="Normal 33 4 2 3 2 2 3" xfId="31837"/>
    <cellStyle name="Normal 33 4 2 3 2 3" xfId="31838"/>
    <cellStyle name="Normal 33 4 2 3 2 3 2" xfId="31839"/>
    <cellStyle name="Normal 33 4 2 3 2 4" xfId="31840"/>
    <cellStyle name="Normal 33 4 2 3 3" xfId="31841"/>
    <cellStyle name="Normal 33 4 2 3 3 2" xfId="31842"/>
    <cellStyle name="Normal 33 4 2 3 3 2 2" xfId="31843"/>
    <cellStyle name="Normal 33 4 2 3 3 2 2 2" xfId="31844"/>
    <cellStyle name="Normal 33 4 2 3 3 2 3" xfId="31845"/>
    <cellStyle name="Normal 33 4 2 3 3 3" xfId="31846"/>
    <cellStyle name="Normal 33 4 2 3 3 3 2" xfId="31847"/>
    <cellStyle name="Normal 33 4 2 3 3 4" xfId="31848"/>
    <cellStyle name="Normal 33 4 2 3 4" xfId="31849"/>
    <cellStyle name="Normal 33 4 2 3 4 2" xfId="31850"/>
    <cellStyle name="Normal 33 4 2 3 4 2 2" xfId="31851"/>
    <cellStyle name="Normal 33 4 2 3 4 3" xfId="31852"/>
    <cellStyle name="Normal 33 4 2 3 5" xfId="31853"/>
    <cellStyle name="Normal 33 4 2 3 5 2" xfId="31854"/>
    <cellStyle name="Normal 33 4 2 3 6" xfId="31855"/>
    <cellStyle name="Normal 33 4 2 4" xfId="31856"/>
    <cellStyle name="Normal 33 4 2 4 2" xfId="31857"/>
    <cellStyle name="Normal 33 4 2 4 2 2" xfId="31858"/>
    <cellStyle name="Normal 33 4 2 4 2 2 2" xfId="31859"/>
    <cellStyle name="Normal 33 4 2 4 2 2 2 2" xfId="31860"/>
    <cellStyle name="Normal 33 4 2 4 2 2 3" xfId="31861"/>
    <cellStyle name="Normal 33 4 2 4 2 3" xfId="31862"/>
    <cellStyle name="Normal 33 4 2 4 2 3 2" xfId="31863"/>
    <cellStyle name="Normal 33 4 2 4 2 4" xfId="31864"/>
    <cellStyle name="Normal 33 4 2 4 3" xfId="31865"/>
    <cellStyle name="Normal 33 4 2 4 3 2" xfId="31866"/>
    <cellStyle name="Normal 33 4 2 4 3 2 2" xfId="31867"/>
    <cellStyle name="Normal 33 4 2 4 3 2 2 2" xfId="31868"/>
    <cellStyle name="Normal 33 4 2 4 3 2 3" xfId="31869"/>
    <cellStyle name="Normal 33 4 2 4 3 3" xfId="31870"/>
    <cellStyle name="Normal 33 4 2 4 3 3 2" xfId="31871"/>
    <cellStyle name="Normal 33 4 2 4 3 4" xfId="31872"/>
    <cellStyle name="Normal 33 4 2 4 4" xfId="31873"/>
    <cellStyle name="Normal 33 4 2 4 4 2" xfId="31874"/>
    <cellStyle name="Normal 33 4 2 4 4 2 2" xfId="31875"/>
    <cellStyle name="Normal 33 4 2 4 4 3" xfId="31876"/>
    <cellStyle name="Normal 33 4 2 4 5" xfId="31877"/>
    <cellStyle name="Normal 33 4 2 4 5 2" xfId="31878"/>
    <cellStyle name="Normal 33 4 2 4 6" xfId="31879"/>
    <cellStyle name="Normal 33 4 2 5" xfId="31880"/>
    <cellStyle name="Normal 33 4 2 5 2" xfId="31881"/>
    <cellStyle name="Normal 33 4 2 5 2 2" xfId="31882"/>
    <cellStyle name="Normal 33 4 2 5 2 2 2" xfId="31883"/>
    <cellStyle name="Normal 33 4 2 5 2 2 2 2" xfId="31884"/>
    <cellStyle name="Normal 33 4 2 5 2 2 3" xfId="31885"/>
    <cellStyle name="Normal 33 4 2 5 2 3" xfId="31886"/>
    <cellStyle name="Normal 33 4 2 5 2 3 2" xfId="31887"/>
    <cellStyle name="Normal 33 4 2 5 2 4" xfId="31888"/>
    <cellStyle name="Normal 33 4 2 5 3" xfId="31889"/>
    <cellStyle name="Normal 33 4 2 5 3 2" xfId="31890"/>
    <cellStyle name="Normal 33 4 2 5 3 2 2" xfId="31891"/>
    <cellStyle name="Normal 33 4 2 5 3 2 2 2" xfId="31892"/>
    <cellStyle name="Normal 33 4 2 5 3 2 3" xfId="31893"/>
    <cellStyle name="Normal 33 4 2 5 3 3" xfId="31894"/>
    <cellStyle name="Normal 33 4 2 5 3 3 2" xfId="31895"/>
    <cellStyle name="Normal 33 4 2 5 3 4" xfId="31896"/>
    <cellStyle name="Normal 33 4 2 5 4" xfId="31897"/>
    <cellStyle name="Normal 33 4 2 5 4 2" xfId="31898"/>
    <cellStyle name="Normal 33 4 2 5 4 2 2" xfId="31899"/>
    <cellStyle name="Normal 33 4 2 5 4 3" xfId="31900"/>
    <cellStyle name="Normal 33 4 2 5 5" xfId="31901"/>
    <cellStyle name="Normal 33 4 2 5 5 2" xfId="31902"/>
    <cellStyle name="Normal 33 4 2 5 6" xfId="31903"/>
    <cellStyle name="Normal 33 4 2 6" xfId="31904"/>
    <cellStyle name="Normal 33 4 2 6 2" xfId="31905"/>
    <cellStyle name="Normal 33 4 2 6 2 2" xfId="31906"/>
    <cellStyle name="Normal 33 4 2 6 2 2 2" xfId="31907"/>
    <cellStyle name="Normal 33 4 2 6 2 2 2 2" xfId="31908"/>
    <cellStyle name="Normal 33 4 2 6 2 2 3" xfId="31909"/>
    <cellStyle name="Normal 33 4 2 6 2 3" xfId="31910"/>
    <cellStyle name="Normal 33 4 2 6 2 3 2" xfId="31911"/>
    <cellStyle name="Normal 33 4 2 6 2 4" xfId="31912"/>
    <cellStyle name="Normal 33 4 2 6 3" xfId="31913"/>
    <cellStyle name="Normal 33 4 2 6 3 2" xfId="31914"/>
    <cellStyle name="Normal 33 4 2 6 3 2 2" xfId="31915"/>
    <cellStyle name="Normal 33 4 2 6 3 2 2 2" xfId="31916"/>
    <cellStyle name="Normal 33 4 2 6 3 2 3" xfId="31917"/>
    <cellStyle name="Normal 33 4 2 6 3 3" xfId="31918"/>
    <cellStyle name="Normal 33 4 2 6 3 3 2" xfId="31919"/>
    <cellStyle name="Normal 33 4 2 6 3 4" xfId="31920"/>
    <cellStyle name="Normal 33 4 2 6 4" xfId="31921"/>
    <cellStyle name="Normal 33 4 2 6 4 2" xfId="31922"/>
    <cellStyle name="Normal 33 4 2 6 4 2 2" xfId="31923"/>
    <cellStyle name="Normal 33 4 2 6 4 3" xfId="31924"/>
    <cellStyle name="Normal 33 4 2 6 5" xfId="31925"/>
    <cellStyle name="Normal 33 4 2 6 5 2" xfId="31926"/>
    <cellStyle name="Normal 33 4 2 6 6" xfId="31927"/>
    <cellStyle name="Normal 33 4 2 7" xfId="31928"/>
    <cellStyle name="Normal 33 4 2 7 2" xfId="31929"/>
    <cellStyle name="Normal 33 4 2 7 2 2" xfId="31930"/>
    <cellStyle name="Normal 33 4 2 7 2 2 2" xfId="31931"/>
    <cellStyle name="Normal 33 4 2 7 2 2 2 2" xfId="31932"/>
    <cellStyle name="Normal 33 4 2 7 2 2 3" xfId="31933"/>
    <cellStyle name="Normal 33 4 2 7 2 3" xfId="31934"/>
    <cellStyle name="Normal 33 4 2 7 2 3 2" xfId="31935"/>
    <cellStyle name="Normal 33 4 2 7 2 4" xfId="31936"/>
    <cellStyle name="Normal 33 4 2 7 3" xfId="31937"/>
    <cellStyle name="Normal 33 4 2 7 3 2" xfId="31938"/>
    <cellStyle name="Normal 33 4 2 7 3 2 2" xfId="31939"/>
    <cellStyle name="Normal 33 4 2 7 3 2 2 2" xfId="31940"/>
    <cellStyle name="Normal 33 4 2 7 3 2 3" xfId="31941"/>
    <cellStyle name="Normal 33 4 2 7 3 3" xfId="31942"/>
    <cellStyle name="Normal 33 4 2 7 3 3 2" xfId="31943"/>
    <cellStyle name="Normal 33 4 2 7 3 4" xfId="31944"/>
    <cellStyle name="Normal 33 4 2 7 4" xfId="31945"/>
    <cellStyle name="Normal 33 4 2 7 4 2" xfId="31946"/>
    <cellStyle name="Normal 33 4 2 7 4 2 2" xfId="31947"/>
    <cellStyle name="Normal 33 4 2 7 4 3" xfId="31948"/>
    <cellStyle name="Normal 33 4 2 7 5" xfId="31949"/>
    <cellStyle name="Normal 33 4 2 7 5 2" xfId="31950"/>
    <cellStyle name="Normal 33 4 2 7 6" xfId="31951"/>
    <cellStyle name="Normal 33 4 2 8" xfId="31952"/>
    <cellStyle name="Normal 33 4 2 8 2" xfId="31953"/>
    <cellStyle name="Normal 33 4 2 8 2 2" xfId="31954"/>
    <cellStyle name="Normal 33 4 2 8 2 2 2" xfId="31955"/>
    <cellStyle name="Normal 33 4 2 8 2 2 2 2" xfId="31956"/>
    <cellStyle name="Normal 33 4 2 8 2 2 3" xfId="31957"/>
    <cellStyle name="Normal 33 4 2 8 2 3" xfId="31958"/>
    <cellStyle name="Normal 33 4 2 8 2 3 2" xfId="31959"/>
    <cellStyle name="Normal 33 4 2 8 2 4" xfId="31960"/>
    <cellStyle name="Normal 33 4 2 8 3" xfId="31961"/>
    <cellStyle name="Normal 33 4 2 8 3 2" xfId="31962"/>
    <cellStyle name="Normal 33 4 2 8 3 2 2" xfId="31963"/>
    <cellStyle name="Normal 33 4 2 8 3 2 2 2" xfId="31964"/>
    <cellStyle name="Normal 33 4 2 8 3 2 3" xfId="31965"/>
    <cellStyle name="Normal 33 4 2 8 3 3" xfId="31966"/>
    <cellStyle name="Normal 33 4 2 8 3 3 2" xfId="31967"/>
    <cellStyle name="Normal 33 4 2 8 3 4" xfId="31968"/>
    <cellStyle name="Normal 33 4 2 8 4" xfId="31969"/>
    <cellStyle name="Normal 33 4 2 8 4 2" xfId="31970"/>
    <cellStyle name="Normal 33 4 2 8 4 2 2" xfId="31971"/>
    <cellStyle name="Normal 33 4 2 8 4 3" xfId="31972"/>
    <cellStyle name="Normal 33 4 2 8 5" xfId="31973"/>
    <cellStyle name="Normal 33 4 2 8 5 2" xfId="31974"/>
    <cellStyle name="Normal 33 4 2 8 6" xfId="31975"/>
    <cellStyle name="Normal 33 4 2 9" xfId="31976"/>
    <cellStyle name="Normal 33 4 2 9 2" xfId="31977"/>
    <cellStyle name="Normal 33 4 2 9 2 2" xfId="31978"/>
    <cellStyle name="Normal 33 4 2 9 2 2 2" xfId="31979"/>
    <cellStyle name="Normal 33 4 2 9 2 2 2 2" xfId="31980"/>
    <cellStyle name="Normal 33 4 2 9 2 2 3" xfId="31981"/>
    <cellStyle name="Normal 33 4 2 9 2 3" xfId="31982"/>
    <cellStyle name="Normal 33 4 2 9 2 3 2" xfId="31983"/>
    <cellStyle name="Normal 33 4 2 9 2 4" xfId="31984"/>
    <cellStyle name="Normal 33 4 2 9 3" xfId="31985"/>
    <cellStyle name="Normal 33 4 2 9 3 2" xfId="31986"/>
    <cellStyle name="Normal 33 4 2 9 3 2 2" xfId="31987"/>
    <cellStyle name="Normal 33 4 2 9 3 2 2 2" xfId="31988"/>
    <cellStyle name="Normal 33 4 2 9 3 2 3" xfId="31989"/>
    <cellStyle name="Normal 33 4 2 9 3 3" xfId="31990"/>
    <cellStyle name="Normal 33 4 2 9 3 3 2" xfId="31991"/>
    <cellStyle name="Normal 33 4 2 9 3 4" xfId="31992"/>
    <cellStyle name="Normal 33 4 2 9 4" xfId="31993"/>
    <cellStyle name="Normal 33 4 2 9 4 2" xfId="31994"/>
    <cellStyle name="Normal 33 4 2 9 4 2 2" xfId="31995"/>
    <cellStyle name="Normal 33 4 2 9 4 3" xfId="31996"/>
    <cellStyle name="Normal 33 4 2 9 5" xfId="31997"/>
    <cellStyle name="Normal 33 4 2 9 5 2" xfId="31998"/>
    <cellStyle name="Normal 33 4 2 9 6" xfId="31999"/>
    <cellStyle name="Normal 33 4 20" xfId="32000"/>
    <cellStyle name="Normal 33 4 20 2" xfId="32001"/>
    <cellStyle name="Normal 33 4 20 2 2" xfId="32002"/>
    <cellStyle name="Normal 33 4 20 2 2 2" xfId="32003"/>
    <cellStyle name="Normal 33 4 20 2 2 2 2" xfId="32004"/>
    <cellStyle name="Normal 33 4 20 2 2 3" xfId="32005"/>
    <cellStyle name="Normal 33 4 20 2 3" xfId="32006"/>
    <cellStyle name="Normal 33 4 20 2 3 2" xfId="32007"/>
    <cellStyle name="Normal 33 4 20 2 4" xfId="32008"/>
    <cellStyle name="Normal 33 4 20 3" xfId="32009"/>
    <cellStyle name="Normal 33 4 20 3 2" xfId="32010"/>
    <cellStyle name="Normal 33 4 20 3 2 2" xfId="32011"/>
    <cellStyle name="Normal 33 4 20 3 2 2 2" xfId="32012"/>
    <cellStyle name="Normal 33 4 20 3 2 3" xfId="32013"/>
    <cellStyle name="Normal 33 4 20 3 3" xfId="32014"/>
    <cellStyle name="Normal 33 4 20 3 3 2" xfId="32015"/>
    <cellStyle name="Normal 33 4 20 3 4" xfId="32016"/>
    <cellStyle name="Normal 33 4 20 4" xfId="32017"/>
    <cellStyle name="Normal 33 4 20 4 2" xfId="32018"/>
    <cellStyle name="Normal 33 4 20 4 2 2" xfId="32019"/>
    <cellStyle name="Normal 33 4 20 4 3" xfId="32020"/>
    <cellStyle name="Normal 33 4 20 5" xfId="32021"/>
    <cellStyle name="Normal 33 4 20 5 2" xfId="32022"/>
    <cellStyle name="Normal 33 4 20 6" xfId="32023"/>
    <cellStyle name="Normal 33 4 21" xfId="32024"/>
    <cellStyle name="Normal 33 4 21 2" xfId="32025"/>
    <cellStyle name="Normal 33 4 21 2 2" xfId="32026"/>
    <cellStyle name="Normal 33 4 21 2 2 2" xfId="32027"/>
    <cellStyle name="Normal 33 4 21 2 2 2 2" xfId="32028"/>
    <cellStyle name="Normal 33 4 21 2 2 3" xfId="32029"/>
    <cellStyle name="Normal 33 4 21 2 3" xfId="32030"/>
    <cellStyle name="Normal 33 4 21 2 3 2" xfId="32031"/>
    <cellStyle name="Normal 33 4 21 2 4" xfId="32032"/>
    <cellStyle name="Normal 33 4 21 3" xfId="32033"/>
    <cellStyle name="Normal 33 4 21 3 2" xfId="32034"/>
    <cellStyle name="Normal 33 4 21 3 2 2" xfId="32035"/>
    <cellStyle name="Normal 33 4 21 3 2 2 2" xfId="32036"/>
    <cellStyle name="Normal 33 4 21 3 2 3" xfId="32037"/>
    <cellStyle name="Normal 33 4 21 3 3" xfId="32038"/>
    <cellStyle name="Normal 33 4 21 3 3 2" xfId="32039"/>
    <cellStyle name="Normal 33 4 21 3 4" xfId="32040"/>
    <cellStyle name="Normal 33 4 21 4" xfId="32041"/>
    <cellStyle name="Normal 33 4 21 4 2" xfId="32042"/>
    <cellStyle name="Normal 33 4 21 4 2 2" xfId="32043"/>
    <cellStyle name="Normal 33 4 21 4 3" xfId="32044"/>
    <cellStyle name="Normal 33 4 21 5" xfId="32045"/>
    <cellStyle name="Normal 33 4 21 5 2" xfId="32046"/>
    <cellStyle name="Normal 33 4 21 6" xfId="32047"/>
    <cellStyle name="Normal 33 4 22" xfId="32048"/>
    <cellStyle name="Normal 33 4 22 2" xfId="32049"/>
    <cellStyle name="Normal 33 4 22 2 2" xfId="32050"/>
    <cellStyle name="Normal 33 4 22 2 2 2" xfId="32051"/>
    <cellStyle name="Normal 33 4 22 2 2 2 2" xfId="32052"/>
    <cellStyle name="Normal 33 4 22 2 2 3" xfId="32053"/>
    <cellStyle name="Normal 33 4 22 2 3" xfId="32054"/>
    <cellStyle name="Normal 33 4 22 2 3 2" xfId="32055"/>
    <cellStyle name="Normal 33 4 22 2 4" xfId="32056"/>
    <cellStyle name="Normal 33 4 22 3" xfId="32057"/>
    <cellStyle name="Normal 33 4 22 3 2" xfId="32058"/>
    <cellStyle name="Normal 33 4 22 3 2 2" xfId="32059"/>
    <cellStyle name="Normal 33 4 22 3 2 2 2" xfId="32060"/>
    <cellStyle name="Normal 33 4 22 3 2 3" xfId="32061"/>
    <cellStyle name="Normal 33 4 22 3 3" xfId="32062"/>
    <cellStyle name="Normal 33 4 22 3 3 2" xfId="32063"/>
    <cellStyle name="Normal 33 4 22 3 4" xfId="32064"/>
    <cellStyle name="Normal 33 4 22 4" xfId="32065"/>
    <cellStyle name="Normal 33 4 22 4 2" xfId="32066"/>
    <cellStyle name="Normal 33 4 22 4 2 2" xfId="32067"/>
    <cellStyle name="Normal 33 4 22 4 3" xfId="32068"/>
    <cellStyle name="Normal 33 4 22 5" xfId="32069"/>
    <cellStyle name="Normal 33 4 22 5 2" xfId="32070"/>
    <cellStyle name="Normal 33 4 22 6" xfId="32071"/>
    <cellStyle name="Normal 33 4 23" xfId="32072"/>
    <cellStyle name="Normal 33 4 23 2" xfId="32073"/>
    <cellStyle name="Normal 33 4 23 2 2" xfId="32074"/>
    <cellStyle name="Normal 33 4 23 2 2 2" xfId="32075"/>
    <cellStyle name="Normal 33 4 23 2 3" xfId="32076"/>
    <cellStyle name="Normal 33 4 23 3" xfId="32077"/>
    <cellStyle name="Normal 33 4 23 3 2" xfId="32078"/>
    <cellStyle name="Normal 33 4 23 4" xfId="32079"/>
    <cellStyle name="Normal 33 4 24" xfId="32080"/>
    <cellStyle name="Normal 33 4 24 2" xfId="32081"/>
    <cellStyle name="Normal 33 4 24 2 2" xfId="32082"/>
    <cellStyle name="Normal 33 4 24 2 2 2" xfId="32083"/>
    <cellStyle name="Normal 33 4 24 2 3" xfId="32084"/>
    <cellStyle name="Normal 33 4 24 3" xfId="32085"/>
    <cellStyle name="Normal 33 4 24 3 2" xfId="32086"/>
    <cellStyle name="Normal 33 4 24 4" xfId="32087"/>
    <cellStyle name="Normal 33 4 25" xfId="32088"/>
    <cellStyle name="Normal 33 4 25 2" xfId="32089"/>
    <cellStyle name="Normal 33 4 25 2 2" xfId="32090"/>
    <cellStyle name="Normal 33 4 25 3" xfId="32091"/>
    <cellStyle name="Normal 33 4 26" xfId="32092"/>
    <cellStyle name="Normal 33 4 26 2" xfId="32093"/>
    <cellStyle name="Normal 33 4 27" xfId="32094"/>
    <cellStyle name="Normal 33 4 3" xfId="32095"/>
    <cellStyle name="Normal 33 4 3 10" xfId="32096"/>
    <cellStyle name="Normal 33 4 3 10 2" xfId="32097"/>
    <cellStyle name="Normal 33 4 3 10 2 2" xfId="32098"/>
    <cellStyle name="Normal 33 4 3 10 2 2 2" xfId="32099"/>
    <cellStyle name="Normal 33 4 3 10 2 2 2 2" xfId="32100"/>
    <cellStyle name="Normal 33 4 3 10 2 2 3" xfId="32101"/>
    <cellStyle name="Normal 33 4 3 10 2 3" xfId="32102"/>
    <cellStyle name="Normal 33 4 3 10 2 3 2" xfId="32103"/>
    <cellStyle name="Normal 33 4 3 10 2 4" xfId="32104"/>
    <cellStyle name="Normal 33 4 3 10 3" xfId="32105"/>
    <cellStyle name="Normal 33 4 3 10 3 2" xfId="32106"/>
    <cellStyle name="Normal 33 4 3 10 3 2 2" xfId="32107"/>
    <cellStyle name="Normal 33 4 3 10 3 2 2 2" xfId="32108"/>
    <cellStyle name="Normal 33 4 3 10 3 2 3" xfId="32109"/>
    <cellStyle name="Normal 33 4 3 10 3 3" xfId="32110"/>
    <cellStyle name="Normal 33 4 3 10 3 3 2" xfId="32111"/>
    <cellStyle name="Normal 33 4 3 10 3 4" xfId="32112"/>
    <cellStyle name="Normal 33 4 3 10 4" xfId="32113"/>
    <cellStyle name="Normal 33 4 3 10 4 2" xfId="32114"/>
    <cellStyle name="Normal 33 4 3 10 4 2 2" xfId="32115"/>
    <cellStyle name="Normal 33 4 3 10 4 3" xfId="32116"/>
    <cellStyle name="Normal 33 4 3 10 5" xfId="32117"/>
    <cellStyle name="Normal 33 4 3 10 5 2" xfId="32118"/>
    <cellStyle name="Normal 33 4 3 10 6" xfId="32119"/>
    <cellStyle name="Normal 33 4 3 11" xfId="32120"/>
    <cellStyle name="Normal 33 4 3 11 2" xfId="32121"/>
    <cellStyle name="Normal 33 4 3 11 2 2" xfId="32122"/>
    <cellStyle name="Normal 33 4 3 11 2 2 2" xfId="32123"/>
    <cellStyle name="Normal 33 4 3 11 2 2 2 2" xfId="32124"/>
    <cellStyle name="Normal 33 4 3 11 2 2 3" xfId="32125"/>
    <cellStyle name="Normal 33 4 3 11 2 3" xfId="32126"/>
    <cellStyle name="Normal 33 4 3 11 2 3 2" xfId="32127"/>
    <cellStyle name="Normal 33 4 3 11 2 4" xfId="32128"/>
    <cellStyle name="Normal 33 4 3 11 3" xfId="32129"/>
    <cellStyle name="Normal 33 4 3 11 3 2" xfId="32130"/>
    <cellStyle name="Normal 33 4 3 11 3 2 2" xfId="32131"/>
    <cellStyle name="Normal 33 4 3 11 3 2 2 2" xfId="32132"/>
    <cellStyle name="Normal 33 4 3 11 3 2 3" xfId="32133"/>
    <cellStyle name="Normal 33 4 3 11 3 3" xfId="32134"/>
    <cellStyle name="Normal 33 4 3 11 3 3 2" xfId="32135"/>
    <cellStyle name="Normal 33 4 3 11 3 4" xfId="32136"/>
    <cellStyle name="Normal 33 4 3 11 4" xfId="32137"/>
    <cellStyle name="Normal 33 4 3 11 4 2" xfId="32138"/>
    <cellStyle name="Normal 33 4 3 11 4 2 2" xfId="32139"/>
    <cellStyle name="Normal 33 4 3 11 4 3" xfId="32140"/>
    <cellStyle name="Normal 33 4 3 11 5" xfId="32141"/>
    <cellStyle name="Normal 33 4 3 11 5 2" xfId="32142"/>
    <cellStyle name="Normal 33 4 3 11 6" xfId="32143"/>
    <cellStyle name="Normal 33 4 3 12" xfId="32144"/>
    <cellStyle name="Normal 33 4 3 12 2" xfId="32145"/>
    <cellStyle name="Normal 33 4 3 12 2 2" xfId="32146"/>
    <cellStyle name="Normal 33 4 3 12 2 2 2" xfId="32147"/>
    <cellStyle name="Normal 33 4 3 12 2 2 2 2" xfId="32148"/>
    <cellStyle name="Normal 33 4 3 12 2 2 3" xfId="32149"/>
    <cellStyle name="Normal 33 4 3 12 2 3" xfId="32150"/>
    <cellStyle name="Normal 33 4 3 12 2 3 2" xfId="32151"/>
    <cellStyle name="Normal 33 4 3 12 2 4" xfId="32152"/>
    <cellStyle name="Normal 33 4 3 12 3" xfId="32153"/>
    <cellStyle name="Normal 33 4 3 12 3 2" xfId="32154"/>
    <cellStyle name="Normal 33 4 3 12 3 2 2" xfId="32155"/>
    <cellStyle name="Normal 33 4 3 12 3 2 2 2" xfId="32156"/>
    <cellStyle name="Normal 33 4 3 12 3 2 3" xfId="32157"/>
    <cellStyle name="Normal 33 4 3 12 3 3" xfId="32158"/>
    <cellStyle name="Normal 33 4 3 12 3 3 2" xfId="32159"/>
    <cellStyle name="Normal 33 4 3 12 3 4" xfId="32160"/>
    <cellStyle name="Normal 33 4 3 12 4" xfId="32161"/>
    <cellStyle name="Normal 33 4 3 12 4 2" xfId="32162"/>
    <cellStyle name="Normal 33 4 3 12 4 2 2" xfId="32163"/>
    <cellStyle name="Normal 33 4 3 12 4 3" xfId="32164"/>
    <cellStyle name="Normal 33 4 3 12 5" xfId="32165"/>
    <cellStyle name="Normal 33 4 3 12 5 2" xfId="32166"/>
    <cellStyle name="Normal 33 4 3 12 6" xfId="32167"/>
    <cellStyle name="Normal 33 4 3 13" xfId="32168"/>
    <cellStyle name="Normal 33 4 3 13 2" xfId="32169"/>
    <cellStyle name="Normal 33 4 3 13 2 2" xfId="32170"/>
    <cellStyle name="Normal 33 4 3 13 2 2 2" xfId="32171"/>
    <cellStyle name="Normal 33 4 3 13 2 2 2 2" xfId="32172"/>
    <cellStyle name="Normal 33 4 3 13 2 2 3" xfId="32173"/>
    <cellStyle name="Normal 33 4 3 13 2 3" xfId="32174"/>
    <cellStyle name="Normal 33 4 3 13 2 3 2" xfId="32175"/>
    <cellStyle name="Normal 33 4 3 13 2 4" xfId="32176"/>
    <cellStyle name="Normal 33 4 3 13 3" xfId="32177"/>
    <cellStyle name="Normal 33 4 3 13 3 2" xfId="32178"/>
    <cellStyle name="Normal 33 4 3 13 3 2 2" xfId="32179"/>
    <cellStyle name="Normal 33 4 3 13 3 2 2 2" xfId="32180"/>
    <cellStyle name="Normal 33 4 3 13 3 2 3" xfId="32181"/>
    <cellStyle name="Normal 33 4 3 13 3 3" xfId="32182"/>
    <cellStyle name="Normal 33 4 3 13 3 3 2" xfId="32183"/>
    <cellStyle name="Normal 33 4 3 13 3 4" xfId="32184"/>
    <cellStyle name="Normal 33 4 3 13 4" xfId="32185"/>
    <cellStyle name="Normal 33 4 3 13 4 2" xfId="32186"/>
    <cellStyle name="Normal 33 4 3 13 4 2 2" xfId="32187"/>
    <cellStyle name="Normal 33 4 3 13 4 3" xfId="32188"/>
    <cellStyle name="Normal 33 4 3 13 5" xfId="32189"/>
    <cellStyle name="Normal 33 4 3 13 5 2" xfId="32190"/>
    <cellStyle name="Normal 33 4 3 13 6" xfId="32191"/>
    <cellStyle name="Normal 33 4 3 14" xfId="32192"/>
    <cellStyle name="Normal 33 4 3 14 2" xfId="32193"/>
    <cellStyle name="Normal 33 4 3 14 2 2" xfId="32194"/>
    <cellStyle name="Normal 33 4 3 14 2 2 2" xfId="32195"/>
    <cellStyle name="Normal 33 4 3 14 2 3" xfId="32196"/>
    <cellStyle name="Normal 33 4 3 14 3" xfId="32197"/>
    <cellStyle name="Normal 33 4 3 14 3 2" xfId="32198"/>
    <cellStyle name="Normal 33 4 3 14 4" xfId="32199"/>
    <cellStyle name="Normal 33 4 3 15" xfId="32200"/>
    <cellStyle name="Normal 33 4 3 15 2" xfId="32201"/>
    <cellStyle name="Normal 33 4 3 15 2 2" xfId="32202"/>
    <cellStyle name="Normal 33 4 3 15 2 2 2" xfId="32203"/>
    <cellStyle name="Normal 33 4 3 15 2 3" xfId="32204"/>
    <cellStyle name="Normal 33 4 3 15 3" xfId="32205"/>
    <cellStyle name="Normal 33 4 3 15 3 2" xfId="32206"/>
    <cellStyle name="Normal 33 4 3 15 4" xfId="32207"/>
    <cellStyle name="Normal 33 4 3 16" xfId="32208"/>
    <cellStyle name="Normal 33 4 3 16 2" xfId="32209"/>
    <cellStyle name="Normal 33 4 3 16 2 2" xfId="32210"/>
    <cellStyle name="Normal 33 4 3 16 3" xfId="32211"/>
    <cellStyle name="Normal 33 4 3 17" xfId="32212"/>
    <cellStyle name="Normal 33 4 3 17 2" xfId="32213"/>
    <cellStyle name="Normal 33 4 3 18" xfId="32214"/>
    <cellStyle name="Normal 33 4 3 2" xfId="32215"/>
    <cellStyle name="Normal 33 4 3 2 2" xfId="32216"/>
    <cellStyle name="Normal 33 4 3 2 2 2" xfId="32217"/>
    <cellStyle name="Normal 33 4 3 2 2 2 2" xfId="32218"/>
    <cellStyle name="Normal 33 4 3 2 2 2 2 2" xfId="32219"/>
    <cellStyle name="Normal 33 4 3 2 2 2 3" xfId="32220"/>
    <cellStyle name="Normal 33 4 3 2 2 3" xfId="32221"/>
    <cellStyle name="Normal 33 4 3 2 2 3 2" xfId="32222"/>
    <cellStyle name="Normal 33 4 3 2 2 4" xfId="32223"/>
    <cellStyle name="Normal 33 4 3 2 3" xfId="32224"/>
    <cellStyle name="Normal 33 4 3 2 3 2" xfId="32225"/>
    <cellStyle name="Normal 33 4 3 2 3 2 2" xfId="32226"/>
    <cellStyle name="Normal 33 4 3 2 3 2 2 2" xfId="32227"/>
    <cellStyle name="Normal 33 4 3 2 3 2 3" xfId="32228"/>
    <cellStyle name="Normal 33 4 3 2 3 3" xfId="32229"/>
    <cellStyle name="Normal 33 4 3 2 3 3 2" xfId="32230"/>
    <cellStyle name="Normal 33 4 3 2 3 4" xfId="32231"/>
    <cellStyle name="Normal 33 4 3 2 4" xfId="32232"/>
    <cellStyle name="Normal 33 4 3 2 4 2" xfId="32233"/>
    <cellStyle name="Normal 33 4 3 2 4 2 2" xfId="32234"/>
    <cellStyle name="Normal 33 4 3 2 4 3" xfId="32235"/>
    <cellStyle name="Normal 33 4 3 2 5" xfId="32236"/>
    <cellStyle name="Normal 33 4 3 2 5 2" xfId="32237"/>
    <cellStyle name="Normal 33 4 3 2 6" xfId="32238"/>
    <cellStyle name="Normal 33 4 3 3" xfId="32239"/>
    <cellStyle name="Normal 33 4 3 3 2" xfId="32240"/>
    <cellStyle name="Normal 33 4 3 3 2 2" xfId="32241"/>
    <cellStyle name="Normal 33 4 3 3 2 2 2" xfId="32242"/>
    <cellStyle name="Normal 33 4 3 3 2 2 2 2" xfId="32243"/>
    <cellStyle name="Normal 33 4 3 3 2 2 3" xfId="32244"/>
    <cellStyle name="Normal 33 4 3 3 2 3" xfId="32245"/>
    <cellStyle name="Normal 33 4 3 3 2 3 2" xfId="32246"/>
    <cellStyle name="Normal 33 4 3 3 2 4" xfId="32247"/>
    <cellStyle name="Normal 33 4 3 3 3" xfId="32248"/>
    <cellStyle name="Normal 33 4 3 3 3 2" xfId="32249"/>
    <cellStyle name="Normal 33 4 3 3 3 2 2" xfId="32250"/>
    <cellStyle name="Normal 33 4 3 3 3 2 2 2" xfId="32251"/>
    <cellStyle name="Normal 33 4 3 3 3 2 3" xfId="32252"/>
    <cellStyle name="Normal 33 4 3 3 3 3" xfId="32253"/>
    <cellStyle name="Normal 33 4 3 3 3 3 2" xfId="32254"/>
    <cellStyle name="Normal 33 4 3 3 3 4" xfId="32255"/>
    <cellStyle name="Normal 33 4 3 3 4" xfId="32256"/>
    <cellStyle name="Normal 33 4 3 3 4 2" xfId="32257"/>
    <cellStyle name="Normal 33 4 3 3 4 2 2" xfId="32258"/>
    <cellStyle name="Normal 33 4 3 3 4 3" xfId="32259"/>
    <cellStyle name="Normal 33 4 3 3 5" xfId="32260"/>
    <cellStyle name="Normal 33 4 3 3 5 2" xfId="32261"/>
    <cellStyle name="Normal 33 4 3 3 6" xfId="32262"/>
    <cellStyle name="Normal 33 4 3 4" xfId="32263"/>
    <cellStyle name="Normal 33 4 3 4 2" xfId="32264"/>
    <cellStyle name="Normal 33 4 3 4 2 2" xfId="32265"/>
    <cellStyle name="Normal 33 4 3 4 2 2 2" xfId="32266"/>
    <cellStyle name="Normal 33 4 3 4 2 2 2 2" xfId="32267"/>
    <cellStyle name="Normal 33 4 3 4 2 2 3" xfId="32268"/>
    <cellStyle name="Normal 33 4 3 4 2 3" xfId="32269"/>
    <cellStyle name="Normal 33 4 3 4 2 3 2" xfId="32270"/>
    <cellStyle name="Normal 33 4 3 4 2 4" xfId="32271"/>
    <cellStyle name="Normal 33 4 3 4 3" xfId="32272"/>
    <cellStyle name="Normal 33 4 3 4 3 2" xfId="32273"/>
    <cellStyle name="Normal 33 4 3 4 3 2 2" xfId="32274"/>
    <cellStyle name="Normal 33 4 3 4 3 2 2 2" xfId="32275"/>
    <cellStyle name="Normal 33 4 3 4 3 2 3" xfId="32276"/>
    <cellStyle name="Normal 33 4 3 4 3 3" xfId="32277"/>
    <cellStyle name="Normal 33 4 3 4 3 3 2" xfId="32278"/>
    <cellStyle name="Normal 33 4 3 4 3 4" xfId="32279"/>
    <cellStyle name="Normal 33 4 3 4 4" xfId="32280"/>
    <cellStyle name="Normal 33 4 3 4 4 2" xfId="32281"/>
    <cellStyle name="Normal 33 4 3 4 4 2 2" xfId="32282"/>
    <cellStyle name="Normal 33 4 3 4 4 3" xfId="32283"/>
    <cellStyle name="Normal 33 4 3 4 5" xfId="32284"/>
    <cellStyle name="Normal 33 4 3 4 5 2" xfId="32285"/>
    <cellStyle name="Normal 33 4 3 4 6" xfId="32286"/>
    <cellStyle name="Normal 33 4 3 5" xfId="32287"/>
    <cellStyle name="Normal 33 4 3 5 2" xfId="32288"/>
    <cellStyle name="Normal 33 4 3 5 2 2" xfId="32289"/>
    <cellStyle name="Normal 33 4 3 5 2 2 2" xfId="32290"/>
    <cellStyle name="Normal 33 4 3 5 2 2 2 2" xfId="32291"/>
    <cellStyle name="Normal 33 4 3 5 2 2 3" xfId="32292"/>
    <cellStyle name="Normal 33 4 3 5 2 3" xfId="32293"/>
    <cellStyle name="Normal 33 4 3 5 2 3 2" xfId="32294"/>
    <cellStyle name="Normal 33 4 3 5 2 4" xfId="32295"/>
    <cellStyle name="Normal 33 4 3 5 3" xfId="32296"/>
    <cellStyle name="Normal 33 4 3 5 3 2" xfId="32297"/>
    <cellStyle name="Normal 33 4 3 5 3 2 2" xfId="32298"/>
    <cellStyle name="Normal 33 4 3 5 3 2 2 2" xfId="32299"/>
    <cellStyle name="Normal 33 4 3 5 3 2 3" xfId="32300"/>
    <cellStyle name="Normal 33 4 3 5 3 3" xfId="32301"/>
    <cellStyle name="Normal 33 4 3 5 3 3 2" xfId="32302"/>
    <cellStyle name="Normal 33 4 3 5 3 4" xfId="32303"/>
    <cellStyle name="Normal 33 4 3 5 4" xfId="32304"/>
    <cellStyle name="Normal 33 4 3 5 4 2" xfId="32305"/>
    <cellStyle name="Normal 33 4 3 5 4 2 2" xfId="32306"/>
    <cellStyle name="Normal 33 4 3 5 4 3" xfId="32307"/>
    <cellStyle name="Normal 33 4 3 5 5" xfId="32308"/>
    <cellStyle name="Normal 33 4 3 5 5 2" xfId="32309"/>
    <cellStyle name="Normal 33 4 3 5 6" xfId="32310"/>
    <cellStyle name="Normal 33 4 3 6" xfId="32311"/>
    <cellStyle name="Normal 33 4 3 6 2" xfId="32312"/>
    <cellStyle name="Normal 33 4 3 6 2 2" xfId="32313"/>
    <cellStyle name="Normal 33 4 3 6 2 2 2" xfId="32314"/>
    <cellStyle name="Normal 33 4 3 6 2 2 2 2" xfId="32315"/>
    <cellStyle name="Normal 33 4 3 6 2 2 3" xfId="32316"/>
    <cellStyle name="Normal 33 4 3 6 2 3" xfId="32317"/>
    <cellStyle name="Normal 33 4 3 6 2 3 2" xfId="32318"/>
    <cellStyle name="Normal 33 4 3 6 2 4" xfId="32319"/>
    <cellStyle name="Normal 33 4 3 6 3" xfId="32320"/>
    <cellStyle name="Normal 33 4 3 6 3 2" xfId="32321"/>
    <cellStyle name="Normal 33 4 3 6 3 2 2" xfId="32322"/>
    <cellStyle name="Normal 33 4 3 6 3 2 2 2" xfId="32323"/>
    <cellStyle name="Normal 33 4 3 6 3 2 3" xfId="32324"/>
    <cellStyle name="Normal 33 4 3 6 3 3" xfId="32325"/>
    <cellStyle name="Normal 33 4 3 6 3 3 2" xfId="32326"/>
    <cellStyle name="Normal 33 4 3 6 3 4" xfId="32327"/>
    <cellStyle name="Normal 33 4 3 6 4" xfId="32328"/>
    <cellStyle name="Normal 33 4 3 6 4 2" xfId="32329"/>
    <cellStyle name="Normal 33 4 3 6 4 2 2" xfId="32330"/>
    <cellStyle name="Normal 33 4 3 6 4 3" xfId="32331"/>
    <cellStyle name="Normal 33 4 3 6 5" xfId="32332"/>
    <cellStyle name="Normal 33 4 3 6 5 2" xfId="32333"/>
    <cellStyle name="Normal 33 4 3 6 6" xfId="32334"/>
    <cellStyle name="Normal 33 4 3 7" xfId="32335"/>
    <cellStyle name="Normal 33 4 3 7 2" xfId="32336"/>
    <cellStyle name="Normal 33 4 3 7 2 2" xfId="32337"/>
    <cellStyle name="Normal 33 4 3 7 2 2 2" xfId="32338"/>
    <cellStyle name="Normal 33 4 3 7 2 2 2 2" xfId="32339"/>
    <cellStyle name="Normal 33 4 3 7 2 2 3" xfId="32340"/>
    <cellStyle name="Normal 33 4 3 7 2 3" xfId="32341"/>
    <cellStyle name="Normal 33 4 3 7 2 3 2" xfId="32342"/>
    <cellStyle name="Normal 33 4 3 7 2 4" xfId="32343"/>
    <cellStyle name="Normal 33 4 3 7 3" xfId="32344"/>
    <cellStyle name="Normal 33 4 3 7 3 2" xfId="32345"/>
    <cellStyle name="Normal 33 4 3 7 3 2 2" xfId="32346"/>
    <cellStyle name="Normal 33 4 3 7 3 2 2 2" xfId="32347"/>
    <cellStyle name="Normal 33 4 3 7 3 2 3" xfId="32348"/>
    <cellStyle name="Normal 33 4 3 7 3 3" xfId="32349"/>
    <cellStyle name="Normal 33 4 3 7 3 3 2" xfId="32350"/>
    <cellStyle name="Normal 33 4 3 7 3 4" xfId="32351"/>
    <cellStyle name="Normal 33 4 3 7 4" xfId="32352"/>
    <cellStyle name="Normal 33 4 3 7 4 2" xfId="32353"/>
    <cellStyle name="Normal 33 4 3 7 4 2 2" xfId="32354"/>
    <cellStyle name="Normal 33 4 3 7 4 3" xfId="32355"/>
    <cellStyle name="Normal 33 4 3 7 5" xfId="32356"/>
    <cellStyle name="Normal 33 4 3 7 5 2" xfId="32357"/>
    <cellStyle name="Normal 33 4 3 7 6" xfId="32358"/>
    <cellStyle name="Normal 33 4 3 8" xfId="32359"/>
    <cellStyle name="Normal 33 4 3 8 2" xfId="32360"/>
    <cellStyle name="Normal 33 4 3 8 2 2" xfId="32361"/>
    <cellStyle name="Normal 33 4 3 8 2 2 2" xfId="32362"/>
    <cellStyle name="Normal 33 4 3 8 2 2 2 2" xfId="32363"/>
    <cellStyle name="Normal 33 4 3 8 2 2 3" xfId="32364"/>
    <cellStyle name="Normal 33 4 3 8 2 3" xfId="32365"/>
    <cellStyle name="Normal 33 4 3 8 2 3 2" xfId="32366"/>
    <cellStyle name="Normal 33 4 3 8 2 4" xfId="32367"/>
    <cellStyle name="Normal 33 4 3 8 3" xfId="32368"/>
    <cellStyle name="Normal 33 4 3 8 3 2" xfId="32369"/>
    <cellStyle name="Normal 33 4 3 8 3 2 2" xfId="32370"/>
    <cellStyle name="Normal 33 4 3 8 3 2 2 2" xfId="32371"/>
    <cellStyle name="Normal 33 4 3 8 3 2 3" xfId="32372"/>
    <cellStyle name="Normal 33 4 3 8 3 3" xfId="32373"/>
    <cellStyle name="Normal 33 4 3 8 3 3 2" xfId="32374"/>
    <cellStyle name="Normal 33 4 3 8 3 4" xfId="32375"/>
    <cellStyle name="Normal 33 4 3 8 4" xfId="32376"/>
    <cellStyle name="Normal 33 4 3 8 4 2" xfId="32377"/>
    <cellStyle name="Normal 33 4 3 8 4 2 2" xfId="32378"/>
    <cellStyle name="Normal 33 4 3 8 4 3" xfId="32379"/>
    <cellStyle name="Normal 33 4 3 8 5" xfId="32380"/>
    <cellStyle name="Normal 33 4 3 8 5 2" xfId="32381"/>
    <cellStyle name="Normal 33 4 3 8 6" xfId="32382"/>
    <cellStyle name="Normal 33 4 3 9" xfId="32383"/>
    <cellStyle name="Normal 33 4 3 9 2" xfId="32384"/>
    <cellStyle name="Normal 33 4 3 9 2 2" xfId="32385"/>
    <cellStyle name="Normal 33 4 3 9 2 2 2" xfId="32386"/>
    <cellStyle name="Normal 33 4 3 9 2 2 2 2" xfId="32387"/>
    <cellStyle name="Normal 33 4 3 9 2 2 3" xfId="32388"/>
    <cellStyle name="Normal 33 4 3 9 2 3" xfId="32389"/>
    <cellStyle name="Normal 33 4 3 9 2 3 2" xfId="32390"/>
    <cellStyle name="Normal 33 4 3 9 2 4" xfId="32391"/>
    <cellStyle name="Normal 33 4 3 9 3" xfId="32392"/>
    <cellStyle name="Normal 33 4 3 9 3 2" xfId="32393"/>
    <cellStyle name="Normal 33 4 3 9 3 2 2" xfId="32394"/>
    <cellStyle name="Normal 33 4 3 9 3 2 2 2" xfId="32395"/>
    <cellStyle name="Normal 33 4 3 9 3 2 3" xfId="32396"/>
    <cellStyle name="Normal 33 4 3 9 3 3" xfId="32397"/>
    <cellStyle name="Normal 33 4 3 9 3 3 2" xfId="32398"/>
    <cellStyle name="Normal 33 4 3 9 3 4" xfId="32399"/>
    <cellStyle name="Normal 33 4 3 9 4" xfId="32400"/>
    <cellStyle name="Normal 33 4 3 9 4 2" xfId="32401"/>
    <cellStyle name="Normal 33 4 3 9 4 2 2" xfId="32402"/>
    <cellStyle name="Normal 33 4 3 9 4 3" xfId="32403"/>
    <cellStyle name="Normal 33 4 3 9 5" xfId="32404"/>
    <cellStyle name="Normal 33 4 3 9 5 2" xfId="32405"/>
    <cellStyle name="Normal 33 4 3 9 6" xfId="32406"/>
    <cellStyle name="Normal 33 4 4" xfId="32407"/>
    <cellStyle name="Normal 33 4 4 10" xfId="32408"/>
    <cellStyle name="Normal 33 4 4 10 2" xfId="32409"/>
    <cellStyle name="Normal 33 4 4 10 2 2" xfId="32410"/>
    <cellStyle name="Normal 33 4 4 10 2 2 2" xfId="32411"/>
    <cellStyle name="Normal 33 4 4 10 2 2 2 2" xfId="32412"/>
    <cellStyle name="Normal 33 4 4 10 2 2 3" xfId="32413"/>
    <cellStyle name="Normal 33 4 4 10 2 3" xfId="32414"/>
    <cellStyle name="Normal 33 4 4 10 2 3 2" xfId="32415"/>
    <cellStyle name="Normal 33 4 4 10 2 4" xfId="32416"/>
    <cellStyle name="Normal 33 4 4 10 3" xfId="32417"/>
    <cellStyle name="Normal 33 4 4 10 3 2" xfId="32418"/>
    <cellStyle name="Normal 33 4 4 10 3 2 2" xfId="32419"/>
    <cellStyle name="Normal 33 4 4 10 3 2 2 2" xfId="32420"/>
    <cellStyle name="Normal 33 4 4 10 3 2 3" xfId="32421"/>
    <cellStyle name="Normal 33 4 4 10 3 3" xfId="32422"/>
    <cellStyle name="Normal 33 4 4 10 3 3 2" xfId="32423"/>
    <cellStyle name="Normal 33 4 4 10 3 4" xfId="32424"/>
    <cellStyle name="Normal 33 4 4 10 4" xfId="32425"/>
    <cellStyle name="Normal 33 4 4 10 4 2" xfId="32426"/>
    <cellStyle name="Normal 33 4 4 10 4 2 2" xfId="32427"/>
    <cellStyle name="Normal 33 4 4 10 4 3" xfId="32428"/>
    <cellStyle name="Normal 33 4 4 10 5" xfId="32429"/>
    <cellStyle name="Normal 33 4 4 10 5 2" xfId="32430"/>
    <cellStyle name="Normal 33 4 4 10 6" xfId="32431"/>
    <cellStyle name="Normal 33 4 4 11" xfId="32432"/>
    <cellStyle name="Normal 33 4 4 11 2" xfId="32433"/>
    <cellStyle name="Normal 33 4 4 11 2 2" xfId="32434"/>
    <cellStyle name="Normal 33 4 4 11 2 2 2" xfId="32435"/>
    <cellStyle name="Normal 33 4 4 11 2 2 2 2" xfId="32436"/>
    <cellStyle name="Normal 33 4 4 11 2 2 3" xfId="32437"/>
    <cellStyle name="Normal 33 4 4 11 2 3" xfId="32438"/>
    <cellStyle name="Normal 33 4 4 11 2 3 2" xfId="32439"/>
    <cellStyle name="Normal 33 4 4 11 2 4" xfId="32440"/>
    <cellStyle name="Normal 33 4 4 11 3" xfId="32441"/>
    <cellStyle name="Normal 33 4 4 11 3 2" xfId="32442"/>
    <cellStyle name="Normal 33 4 4 11 3 2 2" xfId="32443"/>
    <cellStyle name="Normal 33 4 4 11 3 2 2 2" xfId="32444"/>
    <cellStyle name="Normal 33 4 4 11 3 2 3" xfId="32445"/>
    <cellStyle name="Normal 33 4 4 11 3 3" xfId="32446"/>
    <cellStyle name="Normal 33 4 4 11 3 3 2" xfId="32447"/>
    <cellStyle name="Normal 33 4 4 11 3 4" xfId="32448"/>
    <cellStyle name="Normal 33 4 4 11 4" xfId="32449"/>
    <cellStyle name="Normal 33 4 4 11 4 2" xfId="32450"/>
    <cellStyle name="Normal 33 4 4 11 4 2 2" xfId="32451"/>
    <cellStyle name="Normal 33 4 4 11 4 3" xfId="32452"/>
    <cellStyle name="Normal 33 4 4 11 5" xfId="32453"/>
    <cellStyle name="Normal 33 4 4 11 5 2" xfId="32454"/>
    <cellStyle name="Normal 33 4 4 11 6" xfId="32455"/>
    <cellStyle name="Normal 33 4 4 12" xfId="32456"/>
    <cellStyle name="Normal 33 4 4 12 2" xfId="32457"/>
    <cellStyle name="Normal 33 4 4 12 2 2" xfId="32458"/>
    <cellStyle name="Normal 33 4 4 12 2 2 2" xfId="32459"/>
    <cellStyle name="Normal 33 4 4 12 2 2 2 2" xfId="32460"/>
    <cellStyle name="Normal 33 4 4 12 2 2 3" xfId="32461"/>
    <cellStyle name="Normal 33 4 4 12 2 3" xfId="32462"/>
    <cellStyle name="Normal 33 4 4 12 2 3 2" xfId="32463"/>
    <cellStyle name="Normal 33 4 4 12 2 4" xfId="32464"/>
    <cellStyle name="Normal 33 4 4 12 3" xfId="32465"/>
    <cellStyle name="Normal 33 4 4 12 3 2" xfId="32466"/>
    <cellStyle name="Normal 33 4 4 12 3 2 2" xfId="32467"/>
    <cellStyle name="Normal 33 4 4 12 3 2 2 2" xfId="32468"/>
    <cellStyle name="Normal 33 4 4 12 3 2 3" xfId="32469"/>
    <cellStyle name="Normal 33 4 4 12 3 3" xfId="32470"/>
    <cellStyle name="Normal 33 4 4 12 3 3 2" xfId="32471"/>
    <cellStyle name="Normal 33 4 4 12 3 4" xfId="32472"/>
    <cellStyle name="Normal 33 4 4 12 4" xfId="32473"/>
    <cellStyle name="Normal 33 4 4 12 4 2" xfId="32474"/>
    <cellStyle name="Normal 33 4 4 12 4 2 2" xfId="32475"/>
    <cellStyle name="Normal 33 4 4 12 4 3" xfId="32476"/>
    <cellStyle name="Normal 33 4 4 12 5" xfId="32477"/>
    <cellStyle name="Normal 33 4 4 12 5 2" xfId="32478"/>
    <cellStyle name="Normal 33 4 4 12 6" xfId="32479"/>
    <cellStyle name="Normal 33 4 4 13" xfId="32480"/>
    <cellStyle name="Normal 33 4 4 13 2" xfId="32481"/>
    <cellStyle name="Normal 33 4 4 13 2 2" xfId="32482"/>
    <cellStyle name="Normal 33 4 4 13 2 2 2" xfId="32483"/>
    <cellStyle name="Normal 33 4 4 13 2 2 2 2" xfId="32484"/>
    <cellStyle name="Normal 33 4 4 13 2 2 3" xfId="32485"/>
    <cellStyle name="Normal 33 4 4 13 2 3" xfId="32486"/>
    <cellStyle name="Normal 33 4 4 13 2 3 2" xfId="32487"/>
    <cellStyle name="Normal 33 4 4 13 2 4" xfId="32488"/>
    <cellStyle name="Normal 33 4 4 13 3" xfId="32489"/>
    <cellStyle name="Normal 33 4 4 13 3 2" xfId="32490"/>
    <cellStyle name="Normal 33 4 4 13 3 2 2" xfId="32491"/>
    <cellStyle name="Normal 33 4 4 13 3 2 2 2" xfId="32492"/>
    <cellStyle name="Normal 33 4 4 13 3 2 3" xfId="32493"/>
    <cellStyle name="Normal 33 4 4 13 3 3" xfId="32494"/>
    <cellStyle name="Normal 33 4 4 13 3 3 2" xfId="32495"/>
    <cellStyle name="Normal 33 4 4 13 3 4" xfId="32496"/>
    <cellStyle name="Normal 33 4 4 13 4" xfId="32497"/>
    <cellStyle name="Normal 33 4 4 13 4 2" xfId="32498"/>
    <cellStyle name="Normal 33 4 4 13 4 2 2" xfId="32499"/>
    <cellStyle name="Normal 33 4 4 13 4 3" xfId="32500"/>
    <cellStyle name="Normal 33 4 4 13 5" xfId="32501"/>
    <cellStyle name="Normal 33 4 4 13 5 2" xfId="32502"/>
    <cellStyle name="Normal 33 4 4 13 6" xfId="32503"/>
    <cellStyle name="Normal 33 4 4 14" xfId="32504"/>
    <cellStyle name="Normal 33 4 4 14 2" xfId="32505"/>
    <cellStyle name="Normal 33 4 4 14 2 2" xfId="32506"/>
    <cellStyle name="Normal 33 4 4 14 2 2 2" xfId="32507"/>
    <cellStyle name="Normal 33 4 4 14 2 3" xfId="32508"/>
    <cellStyle name="Normal 33 4 4 14 3" xfId="32509"/>
    <cellStyle name="Normal 33 4 4 14 3 2" xfId="32510"/>
    <cellStyle name="Normal 33 4 4 14 4" xfId="32511"/>
    <cellStyle name="Normal 33 4 4 15" xfId="32512"/>
    <cellStyle name="Normal 33 4 4 15 2" xfId="32513"/>
    <cellStyle name="Normal 33 4 4 15 2 2" xfId="32514"/>
    <cellStyle name="Normal 33 4 4 15 2 2 2" xfId="32515"/>
    <cellStyle name="Normal 33 4 4 15 2 3" xfId="32516"/>
    <cellStyle name="Normal 33 4 4 15 3" xfId="32517"/>
    <cellStyle name="Normal 33 4 4 15 3 2" xfId="32518"/>
    <cellStyle name="Normal 33 4 4 15 4" xfId="32519"/>
    <cellStyle name="Normal 33 4 4 16" xfId="32520"/>
    <cellStyle name="Normal 33 4 4 16 2" xfId="32521"/>
    <cellStyle name="Normal 33 4 4 16 2 2" xfId="32522"/>
    <cellStyle name="Normal 33 4 4 16 3" xfId="32523"/>
    <cellStyle name="Normal 33 4 4 17" xfId="32524"/>
    <cellStyle name="Normal 33 4 4 17 2" xfId="32525"/>
    <cellStyle name="Normal 33 4 4 18" xfId="32526"/>
    <cellStyle name="Normal 33 4 4 2" xfId="32527"/>
    <cellStyle name="Normal 33 4 4 2 2" xfId="32528"/>
    <cellStyle name="Normal 33 4 4 2 2 2" xfId="32529"/>
    <cellStyle name="Normal 33 4 4 2 2 2 2" xfId="32530"/>
    <cellStyle name="Normal 33 4 4 2 2 2 2 2" xfId="32531"/>
    <cellStyle name="Normal 33 4 4 2 2 2 3" xfId="32532"/>
    <cellStyle name="Normal 33 4 4 2 2 3" xfId="32533"/>
    <cellStyle name="Normal 33 4 4 2 2 3 2" xfId="32534"/>
    <cellStyle name="Normal 33 4 4 2 2 4" xfId="32535"/>
    <cellStyle name="Normal 33 4 4 2 3" xfId="32536"/>
    <cellStyle name="Normal 33 4 4 2 3 2" xfId="32537"/>
    <cellStyle name="Normal 33 4 4 2 3 2 2" xfId="32538"/>
    <cellStyle name="Normal 33 4 4 2 3 2 2 2" xfId="32539"/>
    <cellStyle name="Normal 33 4 4 2 3 2 3" xfId="32540"/>
    <cellStyle name="Normal 33 4 4 2 3 3" xfId="32541"/>
    <cellStyle name="Normal 33 4 4 2 3 3 2" xfId="32542"/>
    <cellStyle name="Normal 33 4 4 2 3 4" xfId="32543"/>
    <cellStyle name="Normal 33 4 4 2 4" xfId="32544"/>
    <cellStyle name="Normal 33 4 4 2 4 2" xfId="32545"/>
    <cellStyle name="Normal 33 4 4 2 4 2 2" xfId="32546"/>
    <cellStyle name="Normal 33 4 4 2 4 3" xfId="32547"/>
    <cellStyle name="Normal 33 4 4 2 5" xfId="32548"/>
    <cellStyle name="Normal 33 4 4 2 5 2" xfId="32549"/>
    <cellStyle name="Normal 33 4 4 2 6" xfId="32550"/>
    <cellStyle name="Normal 33 4 4 3" xfId="32551"/>
    <cellStyle name="Normal 33 4 4 3 2" xfId="32552"/>
    <cellStyle name="Normal 33 4 4 3 2 2" xfId="32553"/>
    <cellStyle name="Normal 33 4 4 3 2 2 2" xfId="32554"/>
    <cellStyle name="Normal 33 4 4 3 2 2 2 2" xfId="32555"/>
    <cellStyle name="Normal 33 4 4 3 2 2 3" xfId="32556"/>
    <cellStyle name="Normal 33 4 4 3 2 3" xfId="32557"/>
    <cellStyle name="Normal 33 4 4 3 2 3 2" xfId="32558"/>
    <cellStyle name="Normal 33 4 4 3 2 4" xfId="32559"/>
    <cellStyle name="Normal 33 4 4 3 3" xfId="32560"/>
    <cellStyle name="Normal 33 4 4 3 3 2" xfId="32561"/>
    <cellStyle name="Normal 33 4 4 3 3 2 2" xfId="32562"/>
    <cellStyle name="Normal 33 4 4 3 3 2 2 2" xfId="32563"/>
    <cellStyle name="Normal 33 4 4 3 3 2 3" xfId="32564"/>
    <cellStyle name="Normal 33 4 4 3 3 3" xfId="32565"/>
    <cellStyle name="Normal 33 4 4 3 3 3 2" xfId="32566"/>
    <cellStyle name="Normal 33 4 4 3 3 4" xfId="32567"/>
    <cellStyle name="Normal 33 4 4 3 4" xfId="32568"/>
    <cellStyle name="Normal 33 4 4 3 4 2" xfId="32569"/>
    <cellStyle name="Normal 33 4 4 3 4 2 2" xfId="32570"/>
    <cellStyle name="Normal 33 4 4 3 4 3" xfId="32571"/>
    <cellStyle name="Normal 33 4 4 3 5" xfId="32572"/>
    <cellStyle name="Normal 33 4 4 3 5 2" xfId="32573"/>
    <cellStyle name="Normal 33 4 4 3 6" xfId="32574"/>
    <cellStyle name="Normal 33 4 4 4" xfId="32575"/>
    <cellStyle name="Normal 33 4 4 4 2" xfId="32576"/>
    <cellStyle name="Normal 33 4 4 4 2 2" xfId="32577"/>
    <cellStyle name="Normal 33 4 4 4 2 2 2" xfId="32578"/>
    <cellStyle name="Normal 33 4 4 4 2 2 2 2" xfId="32579"/>
    <cellStyle name="Normal 33 4 4 4 2 2 3" xfId="32580"/>
    <cellStyle name="Normal 33 4 4 4 2 3" xfId="32581"/>
    <cellStyle name="Normal 33 4 4 4 2 3 2" xfId="32582"/>
    <cellStyle name="Normal 33 4 4 4 2 4" xfId="32583"/>
    <cellStyle name="Normal 33 4 4 4 3" xfId="32584"/>
    <cellStyle name="Normal 33 4 4 4 3 2" xfId="32585"/>
    <cellStyle name="Normal 33 4 4 4 3 2 2" xfId="32586"/>
    <cellStyle name="Normal 33 4 4 4 3 2 2 2" xfId="32587"/>
    <cellStyle name="Normal 33 4 4 4 3 2 3" xfId="32588"/>
    <cellStyle name="Normal 33 4 4 4 3 3" xfId="32589"/>
    <cellStyle name="Normal 33 4 4 4 3 3 2" xfId="32590"/>
    <cellStyle name="Normal 33 4 4 4 3 4" xfId="32591"/>
    <cellStyle name="Normal 33 4 4 4 4" xfId="32592"/>
    <cellStyle name="Normal 33 4 4 4 4 2" xfId="32593"/>
    <cellStyle name="Normal 33 4 4 4 4 2 2" xfId="32594"/>
    <cellStyle name="Normal 33 4 4 4 4 3" xfId="32595"/>
    <cellStyle name="Normal 33 4 4 4 5" xfId="32596"/>
    <cellStyle name="Normal 33 4 4 4 5 2" xfId="32597"/>
    <cellStyle name="Normal 33 4 4 4 6" xfId="32598"/>
    <cellStyle name="Normal 33 4 4 5" xfId="32599"/>
    <cellStyle name="Normal 33 4 4 5 2" xfId="32600"/>
    <cellStyle name="Normal 33 4 4 5 2 2" xfId="32601"/>
    <cellStyle name="Normal 33 4 4 5 2 2 2" xfId="32602"/>
    <cellStyle name="Normal 33 4 4 5 2 2 2 2" xfId="32603"/>
    <cellStyle name="Normal 33 4 4 5 2 2 3" xfId="32604"/>
    <cellStyle name="Normal 33 4 4 5 2 3" xfId="32605"/>
    <cellStyle name="Normal 33 4 4 5 2 3 2" xfId="32606"/>
    <cellStyle name="Normal 33 4 4 5 2 4" xfId="32607"/>
    <cellStyle name="Normal 33 4 4 5 3" xfId="32608"/>
    <cellStyle name="Normal 33 4 4 5 3 2" xfId="32609"/>
    <cellStyle name="Normal 33 4 4 5 3 2 2" xfId="32610"/>
    <cellStyle name="Normal 33 4 4 5 3 2 2 2" xfId="32611"/>
    <cellStyle name="Normal 33 4 4 5 3 2 3" xfId="32612"/>
    <cellStyle name="Normal 33 4 4 5 3 3" xfId="32613"/>
    <cellStyle name="Normal 33 4 4 5 3 3 2" xfId="32614"/>
    <cellStyle name="Normal 33 4 4 5 3 4" xfId="32615"/>
    <cellStyle name="Normal 33 4 4 5 4" xfId="32616"/>
    <cellStyle name="Normal 33 4 4 5 4 2" xfId="32617"/>
    <cellStyle name="Normal 33 4 4 5 4 2 2" xfId="32618"/>
    <cellStyle name="Normal 33 4 4 5 4 3" xfId="32619"/>
    <cellStyle name="Normal 33 4 4 5 5" xfId="32620"/>
    <cellStyle name="Normal 33 4 4 5 5 2" xfId="32621"/>
    <cellStyle name="Normal 33 4 4 5 6" xfId="32622"/>
    <cellStyle name="Normal 33 4 4 6" xfId="32623"/>
    <cellStyle name="Normal 33 4 4 6 2" xfId="32624"/>
    <cellStyle name="Normal 33 4 4 6 2 2" xfId="32625"/>
    <cellStyle name="Normal 33 4 4 6 2 2 2" xfId="32626"/>
    <cellStyle name="Normal 33 4 4 6 2 2 2 2" xfId="32627"/>
    <cellStyle name="Normal 33 4 4 6 2 2 3" xfId="32628"/>
    <cellStyle name="Normal 33 4 4 6 2 3" xfId="32629"/>
    <cellStyle name="Normal 33 4 4 6 2 3 2" xfId="32630"/>
    <cellStyle name="Normal 33 4 4 6 2 4" xfId="32631"/>
    <cellStyle name="Normal 33 4 4 6 3" xfId="32632"/>
    <cellStyle name="Normal 33 4 4 6 3 2" xfId="32633"/>
    <cellStyle name="Normal 33 4 4 6 3 2 2" xfId="32634"/>
    <cellStyle name="Normal 33 4 4 6 3 2 2 2" xfId="32635"/>
    <cellStyle name="Normal 33 4 4 6 3 2 3" xfId="32636"/>
    <cellStyle name="Normal 33 4 4 6 3 3" xfId="32637"/>
    <cellStyle name="Normal 33 4 4 6 3 3 2" xfId="32638"/>
    <cellStyle name="Normal 33 4 4 6 3 4" xfId="32639"/>
    <cellStyle name="Normal 33 4 4 6 4" xfId="32640"/>
    <cellStyle name="Normal 33 4 4 6 4 2" xfId="32641"/>
    <cellStyle name="Normal 33 4 4 6 4 2 2" xfId="32642"/>
    <cellStyle name="Normal 33 4 4 6 4 3" xfId="32643"/>
    <cellStyle name="Normal 33 4 4 6 5" xfId="32644"/>
    <cellStyle name="Normal 33 4 4 6 5 2" xfId="32645"/>
    <cellStyle name="Normal 33 4 4 6 6" xfId="32646"/>
    <cellStyle name="Normal 33 4 4 7" xfId="32647"/>
    <cellStyle name="Normal 33 4 4 7 2" xfId="32648"/>
    <cellStyle name="Normal 33 4 4 7 2 2" xfId="32649"/>
    <cellStyle name="Normal 33 4 4 7 2 2 2" xfId="32650"/>
    <cellStyle name="Normal 33 4 4 7 2 2 2 2" xfId="32651"/>
    <cellStyle name="Normal 33 4 4 7 2 2 3" xfId="32652"/>
    <cellStyle name="Normal 33 4 4 7 2 3" xfId="32653"/>
    <cellStyle name="Normal 33 4 4 7 2 3 2" xfId="32654"/>
    <cellStyle name="Normal 33 4 4 7 2 4" xfId="32655"/>
    <cellStyle name="Normal 33 4 4 7 3" xfId="32656"/>
    <cellStyle name="Normal 33 4 4 7 3 2" xfId="32657"/>
    <cellStyle name="Normal 33 4 4 7 3 2 2" xfId="32658"/>
    <cellStyle name="Normal 33 4 4 7 3 2 2 2" xfId="32659"/>
    <cellStyle name="Normal 33 4 4 7 3 2 3" xfId="32660"/>
    <cellStyle name="Normal 33 4 4 7 3 3" xfId="32661"/>
    <cellStyle name="Normal 33 4 4 7 3 3 2" xfId="32662"/>
    <cellStyle name="Normal 33 4 4 7 3 4" xfId="32663"/>
    <cellStyle name="Normal 33 4 4 7 4" xfId="32664"/>
    <cellStyle name="Normal 33 4 4 7 4 2" xfId="32665"/>
    <cellStyle name="Normal 33 4 4 7 4 2 2" xfId="32666"/>
    <cellStyle name="Normal 33 4 4 7 4 3" xfId="32667"/>
    <cellStyle name="Normal 33 4 4 7 5" xfId="32668"/>
    <cellStyle name="Normal 33 4 4 7 5 2" xfId="32669"/>
    <cellStyle name="Normal 33 4 4 7 6" xfId="32670"/>
    <cellStyle name="Normal 33 4 4 8" xfId="32671"/>
    <cellStyle name="Normal 33 4 4 8 2" xfId="32672"/>
    <cellStyle name="Normal 33 4 4 8 2 2" xfId="32673"/>
    <cellStyle name="Normal 33 4 4 8 2 2 2" xfId="32674"/>
    <cellStyle name="Normal 33 4 4 8 2 2 2 2" xfId="32675"/>
    <cellStyle name="Normal 33 4 4 8 2 2 3" xfId="32676"/>
    <cellStyle name="Normal 33 4 4 8 2 3" xfId="32677"/>
    <cellStyle name="Normal 33 4 4 8 2 3 2" xfId="32678"/>
    <cellStyle name="Normal 33 4 4 8 2 4" xfId="32679"/>
    <cellStyle name="Normal 33 4 4 8 3" xfId="32680"/>
    <cellStyle name="Normal 33 4 4 8 3 2" xfId="32681"/>
    <cellStyle name="Normal 33 4 4 8 3 2 2" xfId="32682"/>
    <cellStyle name="Normal 33 4 4 8 3 2 2 2" xfId="32683"/>
    <cellStyle name="Normal 33 4 4 8 3 2 3" xfId="32684"/>
    <cellStyle name="Normal 33 4 4 8 3 3" xfId="32685"/>
    <cellStyle name="Normal 33 4 4 8 3 3 2" xfId="32686"/>
    <cellStyle name="Normal 33 4 4 8 3 4" xfId="32687"/>
    <cellStyle name="Normal 33 4 4 8 4" xfId="32688"/>
    <cellStyle name="Normal 33 4 4 8 4 2" xfId="32689"/>
    <cellStyle name="Normal 33 4 4 8 4 2 2" xfId="32690"/>
    <cellStyle name="Normal 33 4 4 8 4 3" xfId="32691"/>
    <cellStyle name="Normal 33 4 4 8 5" xfId="32692"/>
    <cellStyle name="Normal 33 4 4 8 5 2" xfId="32693"/>
    <cellStyle name="Normal 33 4 4 8 6" xfId="32694"/>
    <cellStyle name="Normal 33 4 4 9" xfId="32695"/>
    <cellStyle name="Normal 33 4 4 9 2" xfId="32696"/>
    <cellStyle name="Normal 33 4 4 9 2 2" xfId="32697"/>
    <cellStyle name="Normal 33 4 4 9 2 2 2" xfId="32698"/>
    <cellStyle name="Normal 33 4 4 9 2 2 2 2" xfId="32699"/>
    <cellStyle name="Normal 33 4 4 9 2 2 3" xfId="32700"/>
    <cellStyle name="Normal 33 4 4 9 2 3" xfId="32701"/>
    <cellStyle name="Normal 33 4 4 9 2 3 2" xfId="32702"/>
    <cellStyle name="Normal 33 4 4 9 2 4" xfId="32703"/>
    <cellStyle name="Normal 33 4 4 9 3" xfId="32704"/>
    <cellStyle name="Normal 33 4 4 9 3 2" xfId="32705"/>
    <cellStyle name="Normal 33 4 4 9 3 2 2" xfId="32706"/>
    <cellStyle name="Normal 33 4 4 9 3 2 2 2" xfId="32707"/>
    <cellStyle name="Normal 33 4 4 9 3 2 3" xfId="32708"/>
    <cellStyle name="Normal 33 4 4 9 3 3" xfId="32709"/>
    <cellStyle name="Normal 33 4 4 9 3 3 2" xfId="32710"/>
    <cellStyle name="Normal 33 4 4 9 3 4" xfId="32711"/>
    <cellStyle name="Normal 33 4 4 9 4" xfId="32712"/>
    <cellStyle name="Normal 33 4 4 9 4 2" xfId="32713"/>
    <cellStyle name="Normal 33 4 4 9 4 2 2" xfId="32714"/>
    <cellStyle name="Normal 33 4 4 9 4 3" xfId="32715"/>
    <cellStyle name="Normal 33 4 4 9 5" xfId="32716"/>
    <cellStyle name="Normal 33 4 4 9 5 2" xfId="32717"/>
    <cellStyle name="Normal 33 4 4 9 6" xfId="32718"/>
    <cellStyle name="Normal 33 4 5" xfId="32719"/>
    <cellStyle name="Normal 33 4 5 10" xfId="32720"/>
    <cellStyle name="Normal 33 4 5 10 2" xfId="32721"/>
    <cellStyle name="Normal 33 4 5 10 2 2" xfId="32722"/>
    <cellStyle name="Normal 33 4 5 10 2 2 2" xfId="32723"/>
    <cellStyle name="Normal 33 4 5 10 2 2 2 2" xfId="32724"/>
    <cellStyle name="Normal 33 4 5 10 2 2 3" xfId="32725"/>
    <cellStyle name="Normal 33 4 5 10 2 3" xfId="32726"/>
    <cellStyle name="Normal 33 4 5 10 2 3 2" xfId="32727"/>
    <cellStyle name="Normal 33 4 5 10 2 4" xfId="32728"/>
    <cellStyle name="Normal 33 4 5 10 3" xfId="32729"/>
    <cellStyle name="Normal 33 4 5 10 3 2" xfId="32730"/>
    <cellStyle name="Normal 33 4 5 10 3 2 2" xfId="32731"/>
    <cellStyle name="Normal 33 4 5 10 3 2 2 2" xfId="32732"/>
    <cellStyle name="Normal 33 4 5 10 3 2 3" xfId="32733"/>
    <cellStyle name="Normal 33 4 5 10 3 3" xfId="32734"/>
    <cellStyle name="Normal 33 4 5 10 3 3 2" xfId="32735"/>
    <cellStyle name="Normal 33 4 5 10 3 4" xfId="32736"/>
    <cellStyle name="Normal 33 4 5 10 4" xfId="32737"/>
    <cellStyle name="Normal 33 4 5 10 4 2" xfId="32738"/>
    <cellStyle name="Normal 33 4 5 10 4 2 2" xfId="32739"/>
    <cellStyle name="Normal 33 4 5 10 4 3" xfId="32740"/>
    <cellStyle name="Normal 33 4 5 10 5" xfId="32741"/>
    <cellStyle name="Normal 33 4 5 10 5 2" xfId="32742"/>
    <cellStyle name="Normal 33 4 5 10 6" xfId="32743"/>
    <cellStyle name="Normal 33 4 5 11" xfId="32744"/>
    <cellStyle name="Normal 33 4 5 11 2" xfId="32745"/>
    <cellStyle name="Normal 33 4 5 11 2 2" xfId="32746"/>
    <cellStyle name="Normal 33 4 5 11 2 2 2" xfId="32747"/>
    <cellStyle name="Normal 33 4 5 11 2 2 2 2" xfId="32748"/>
    <cellStyle name="Normal 33 4 5 11 2 2 3" xfId="32749"/>
    <cellStyle name="Normal 33 4 5 11 2 3" xfId="32750"/>
    <cellStyle name="Normal 33 4 5 11 2 3 2" xfId="32751"/>
    <cellStyle name="Normal 33 4 5 11 2 4" xfId="32752"/>
    <cellStyle name="Normal 33 4 5 11 3" xfId="32753"/>
    <cellStyle name="Normal 33 4 5 11 3 2" xfId="32754"/>
    <cellStyle name="Normal 33 4 5 11 3 2 2" xfId="32755"/>
    <cellStyle name="Normal 33 4 5 11 3 2 2 2" xfId="32756"/>
    <cellStyle name="Normal 33 4 5 11 3 2 3" xfId="32757"/>
    <cellStyle name="Normal 33 4 5 11 3 3" xfId="32758"/>
    <cellStyle name="Normal 33 4 5 11 3 3 2" xfId="32759"/>
    <cellStyle name="Normal 33 4 5 11 3 4" xfId="32760"/>
    <cellStyle name="Normal 33 4 5 11 4" xfId="32761"/>
    <cellStyle name="Normal 33 4 5 11 4 2" xfId="32762"/>
    <cellStyle name="Normal 33 4 5 11 4 2 2" xfId="32763"/>
    <cellStyle name="Normal 33 4 5 11 4 3" xfId="32764"/>
    <cellStyle name="Normal 33 4 5 11 5" xfId="32765"/>
    <cellStyle name="Normal 33 4 5 11 5 2" xfId="32766"/>
    <cellStyle name="Normal 33 4 5 11 6" xfId="32767"/>
    <cellStyle name="Normal 33 4 5 12" xfId="32768"/>
    <cellStyle name="Normal 33 4 5 12 2" xfId="32769"/>
    <cellStyle name="Normal 33 4 5 12 2 2" xfId="32770"/>
    <cellStyle name="Normal 33 4 5 12 2 2 2" xfId="32771"/>
    <cellStyle name="Normal 33 4 5 12 2 2 2 2" xfId="32772"/>
    <cellStyle name="Normal 33 4 5 12 2 2 3" xfId="32773"/>
    <cellStyle name="Normal 33 4 5 12 2 3" xfId="32774"/>
    <cellStyle name="Normal 33 4 5 12 2 3 2" xfId="32775"/>
    <cellStyle name="Normal 33 4 5 12 2 4" xfId="32776"/>
    <cellStyle name="Normal 33 4 5 12 3" xfId="32777"/>
    <cellStyle name="Normal 33 4 5 12 3 2" xfId="32778"/>
    <cellStyle name="Normal 33 4 5 12 3 2 2" xfId="32779"/>
    <cellStyle name="Normal 33 4 5 12 3 2 2 2" xfId="32780"/>
    <cellStyle name="Normal 33 4 5 12 3 2 3" xfId="32781"/>
    <cellStyle name="Normal 33 4 5 12 3 3" xfId="32782"/>
    <cellStyle name="Normal 33 4 5 12 3 3 2" xfId="32783"/>
    <cellStyle name="Normal 33 4 5 12 3 4" xfId="32784"/>
    <cellStyle name="Normal 33 4 5 12 4" xfId="32785"/>
    <cellStyle name="Normal 33 4 5 12 4 2" xfId="32786"/>
    <cellStyle name="Normal 33 4 5 12 4 2 2" xfId="32787"/>
    <cellStyle name="Normal 33 4 5 12 4 3" xfId="32788"/>
    <cellStyle name="Normal 33 4 5 12 5" xfId="32789"/>
    <cellStyle name="Normal 33 4 5 12 5 2" xfId="32790"/>
    <cellStyle name="Normal 33 4 5 12 6" xfId="32791"/>
    <cellStyle name="Normal 33 4 5 13" xfId="32792"/>
    <cellStyle name="Normal 33 4 5 13 2" xfId="32793"/>
    <cellStyle name="Normal 33 4 5 13 2 2" xfId="32794"/>
    <cellStyle name="Normal 33 4 5 13 2 2 2" xfId="32795"/>
    <cellStyle name="Normal 33 4 5 13 2 2 2 2" xfId="32796"/>
    <cellStyle name="Normal 33 4 5 13 2 2 3" xfId="32797"/>
    <cellStyle name="Normal 33 4 5 13 2 3" xfId="32798"/>
    <cellStyle name="Normal 33 4 5 13 2 3 2" xfId="32799"/>
    <cellStyle name="Normal 33 4 5 13 2 4" xfId="32800"/>
    <cellStyle name="Normal 33 4 5 13 3" xfId="32801"/>
    <cellStyle name="Normal 33 4 5 13 3 2" xfId="32802"/>
    <cellStyle name="Normal 33 4 5 13 3 2 2" xfId="32803"/>
    <cellStyle name="Normal 33 4 5 13 3 2 2 2" xfId="32804"/>
    <cellStyle name="Normal 33 4 5 13 3 2 3" xfId="32805"/>
    <cellStyle name="Normal 33 4 5 13 3 3" xfId="32806"/>
    <cellStyle name="Normal 33 4 5 13 3 3 2" xfId="32807"/>
    <cellStyle name="Normal 33 4 5 13 3 4" xfId="32808"/>
    <cellStyle name="Normal 33 4 5 13 4" xfId="32809"/>
    <cellStyle name="Normal 33 4 5 13 4 2" xfId="32810"/>
    <cellStyle name="Normal 33 4 5 13 4 2 2" xfId="32811"/>
    <cellStyle name="Normal 33 4 5 13 4 3" xfId="32812"/>
    <cellStyle name="Normal 33 4 5 13 5" xfId="32813"/>
    <cellStyle name="Normal 33 4 5 13 5 2" xfId="32814"/>
    <cellStyle name="Normal 33 4 5 13 6" xfId="32815"/>
    <cellStyle name="Normal 33 4 5 14" xfId="32816"/>
    <cellStyle name="Normal 33 4 5 14 2" xfId="32817"/>
    <cellStyle name="Normal 33 4 5 14 2 2" xfId="32818"/>
    <cellStyle name="Normal 33 4 5 14 2 2 2" xfId="32819"/>
    <cellStyle name="Normal 33 4 5 14 2 3" xfId="32820"/>
    <cellStyle name="Normal 33 4 5 14 3" xfId="32821"/>
    <cellStyle name="Normal 33 4 5 14 3 2" xfId="32822"/>
    <cellStyle name="Normal 33 4 5 14 4" xfId="32823"/>
    <cellStyle name="Normal 33 4 5 15" xfId="32824"/>
    <cellStyle name="Normal 33 4 5 15 2" xfId="32825"/>
    <cellStyle name="Normal 33 4 5 15 2 2" xfId="32826"/>
    <cellStyle name="Normal 33 4 5 15 2 2 2" xfId="32827"/>
    <cellStyle name="Normal 33 4 5 15 2 3" xfId="32828"/>
    <cellStyle name="Normal 33 4 5 15 3" xfId="32829"/>
    <cellStyle name="Normal 33 4 5 15 3 2" xfId="32830"/>
    <cellStyle name="Normal 33 4 5 15 4" xfId="32831"/>
    <cellStyle name="Normal 33 4 5 16" xfId="32832"/>
    <cellStyle name="Normal 33 4 5 16 2" xfId="32833"/>
    <cellStyle name="Normal 33 4 5 16 2 2" xfId="32834"/>
    <cellStyle name="Normal 33 4 5 16 3" xfId="32835"/>
    <cellStyle name="Normal 33 4 5 17" xfId="32836"/>
    <cellStyle name="Normal 33 4 5 17 2" xfId="32837"/>
    <cellStyle name="Normal 33 4 5 18" xfId="32838"/>
    <cellStyle name="Normal 33 4 5 2" xfId="32839"/>
    <cellStyle name="Normal 33 4 5 2 2" xfId="32840"/>
    <cellStyle name="Normal 33 4 5 2 2 2" xfId="32841"/>
    <cellStyle name="Normal 33 4 5 2 2 2 2" xfId="32842"/>
    <cellStyle name="Normal 33 4 5 2 2 2 2 2" xfId="32843"/>
    <cellStyle name="Normal 33 4 5 2 2 2 3" xfId="32844"/>
    <cellStyle name="Normal 33 4 5 2 2 3" xfId="32845"/>
    <cellStyle name="Normal 33 4 5 2 2 3 2" xfId="32846"/>
    <cellStyle name="Normal 33 4 5 2 2 4" xfId="32847"/>
    <cellStyle name="Normal 33 4 5 2 3" xfId="32848"/>
    <cellStyle name="Normal 33 4 5 2 3 2" xfId="32849"/>
    <cellStyle name="Normal 33 4 5 2 3 2 2" xfId="32850"/>
    <cellStyle name="Normal 33 4 5 2 3 2 2 2" xfId="32851"/>
    <cellStyle name="Normal 33 4 5 2 3 2 3" xfId="32852"/>
    <cellStyle name="Normal 33 4 5 2 3 3" xfId="32853"/>
    <cellStyle name="Normal 33 4 5 2 3 3 2" xfId="32854"/>
    <cellStyle name="Normal 33 4 5 2 3 4" xfId="32855"/>
    <cellStyle name="Normal 33 4 5 2 4" xfId="32856"/>
    <cellStyle name="Normal 33 4 5 2 4 2" xfId="32857"/>
    <cellStyle name="Normal 33 4 5 2 4 2 2" xfId="32858"/>
    <cellStyle name="Normal 33 4 5 2 4 3" xfId="32859"/>
    <cellStyle name="Normal 33 4 5 2 5" xfId="32860"/>
    <cellStyle name="Normal 33 4 5 2 5 2" xfId="32861"/>
    <cellStyle name="Normal 33 4 5 2 6" xfId="32862"/>
    <cellStyle name="Normal 33 4 5 3" xfId="32863"/>
    <cellStyle name="Normal 33 4 5 3 2" xfId="32864"/>
    <cellStyle name="Normal 33 4 5 3 2 2" xfId="32865"/>
    <cellStyle name="Normal 33 4 5 3 2 2 2" xfId="32866"/>
    <cellStyle name="Normal 33 4 5 3 2 2 2 2" xfId="32867"/>
    <cellStyle name="Normal 33 4 5 3 2 2 3" xfId="32868"/>
    <cellStyle name="Normal 33 4 5 3 2 3" xfId="32869"/>
    <cellStyle name="Normal 33 4 5 3 2 3 2" xfId="32870"/>
    <cellStyle name="Normal 33 4 5 3 2 4" xfId="32871"/>
    <cellStyle name="Normal 33 4 5 3 3" xfId="32872"/>
    <cellStyle name="Normal 33 4 5 3 3 2" xfId="32873"/>
    <cellStyle name="Normal 33 4 5 3 3 2 2" xfId="32874"/>
    <cellStyle name="Normal 33 4 5 3 3 2 2 2" xfId="32875"/>
    <cellStyle name="Normal 33 4 5 3 3 2 3" xfId="32876"/>
    <cellStyle name="Normal 33 4 5 3 3 3" xfId="32877"/>
    <cellStyle name="Normal 33 4 5 3 3 3 2" xfId="32878"/>
    <cellStyle name="Normal 33 4 5 3 3 4" xfId="32879"/>
    <cellStyle name="Normal 33 4 5 3 4" xfId="32880"/>
    <cellStyle name="Normal 33 4 5 3 4 2" xfId="32881"/>
    <cellStyle name="Normal 33 4 5 3 4 2 2" xfId="32882"/>
    <cellStyle name="Normal 33 4 5 3 4 3" xfId="32883"/>
    <cellStyle name="Normal 33 4 5 3 5" xfId="32884"/>
    <cellStyle name="Normal 33 4 5 3 5 2" xfId="32885"/>
    <cellStyle name="Normal 33 4 5 3 6" xfId="32886"/>
    <cellStyle name="Normal 33 4 5 4" xfId="32887"/>
    <cellStyle name="Normal 33 4 5 4 2" xfId="32888"/>
    <cellStyle name="Normal 33 4 5 4 2 2" xfId="32889"/>
    <cellStyle name="Normal 33 4 5 4 2 2 2" xfId="32890"/>
    <cellStyle name="Normal 33 4 5 4 2 2 2 2" xfId="32891"/>
    <cellStyle name="Normal 33 4 5 4 2 2 3" xfId="32892"/>
    <cellStyle name="Normal 33 4 5 4 2 3" xfId="32893"/>
    <cellStyle name="Normal 33 4 5 4 2 3 2" xfId="32894"/>
    <cellStyle name="Normal 33 4 5 4 2 4" xfId="32895"/>
    <cellStyle name="Normal 33 4 5 4 3" xfId="32896"/>
    <cellStyle name="Normal 33 4 5 4 3 2" xfId="32897"/>
    <cellStyle name="Normal 33 4 5 4 3 2 2" xfId="32898"/>
    <cellStyle name="Normal 33 4 5 4 3 2 2 2" xfId="32899"/>
    <cellStyle name="Normal 33 4 5 4 3 2 3" xfId="32900"/>
    <cellStyle name="Normal 33 4 5 4 3 3" xfId="32901"/>
    <cellStyle name="Normal 33 4 5 4 3 3 2" xfId="32902"/>
    <cellStyle name="Normal 33 4 5 4 3 4" xfId="32903"/>
    <cellStyle name="Normal 33 4 5 4 4" xfId="32904"/>
    <cellStyle name="Normal 33 4 5 4 4 2" xfId="32905"/>
    <cellStyle name="Normal 33 4 5 4 4 2 2" xfId="32906"/>
    <cellStyle name="Normal 33 4 5 4 4 3" xfId="32907"/>
    <cellStyle name="Normal 33 4 5 4 5" xfId="32908"/>
    <cellStyle name="Normal 33 4 5 4 5 2" xfId="32909"/>
    <cellStyle name="Normal 33 4 5 4 6" xfId="32910"/>
    <cellStyle name="Normal 33 4 5 5" xfId="32911"/>
    <cellStyle name="Normal 33 4 5 5 2" xfId="32912"/>
    <cellStyle name="Normal 33 4 5 5 2 2" xfId="32913"/>
    <cellStyle name="Normal 33 4 5 5 2 2 2" xfId="32914"/>
    <cellStyle name="Normal 33 4 5 5 2 2 2 2" xfId="32915"/>
    <cellStyle name="Normal 33 4 5 5 2 2 3" xfId="32916"/>
    <cellStyle name="Normal 33 4 5 5 2 3" xfId="32917"/>
    <cellStyle name="Normal 33 4 5 5 2 3 2" xfId="32918"/>
    <cellStyle name="Normal 33 4 5 5 2 4" xfId="32919"/>
    <cellStyle name="Normal 33 4 5 5 3" xfId="32920"/>
    <cellStyle name="Normal 33 4 5 5 3 2" xfId="32921"/>
    <cellStyle name="Normal 33 4 5 5 3 2 2" xfId="32922"/>
    <cellStyle name="Normal 33 4 5 5 3 2 2 2" xfId="32923"/>
    <cellStyle name="Normal 33 4 5 5 3 2 3" xfId="32924"/>
    <cellStyle name="Normal 33 4 5 5 3 3" xfId="32925"/>
    <cellStyle name="Normal 33 4 5 5 3 3 2" xfId="32926"/>
    <cellStyle name="Normal 33 4 5 5 3 4" xfId="32927"/>
    <cellStyle name="Normal 33 4 5 5 4" xfId="32928"/>
    <cellStyle name="Normal 33 4 5 5 4 2" xfId="32929"/>
    <cellStyle name="Normal 33 4 5 5 4 2 2" xfId="32930"/>
    <cellStyle name="Normal 33 4 5 5 4 3" xfId="32931"/>
    <cellStyle name="Normal 33 4 5 5 5" xfId="32932"/>
    <cellStyle name="Normal 33 4 5 5 5 2" xfId="32933"/>
    <cellStyle name="Normal 33 4 5 5 6" xfId="32934"/>
    <cellStyle name="Normal 33 4 5 6" xfId="32935"/>
    <cellStyle name="Normal 33 4 5 6 2" xfId="32936"/>
    <cellStyle name="Normal 33 4 5 6 2 2" xfId="32937"/>
    <cellStyle name="Normal 33 4 5 6 2 2 2" xfId="32938"/>
    <cellStyle name="Normal 33 4 5 6 2 2 2 2" xfId="32939"/>
    <cellStyle name="Normal 33 4 5 6 2 2 3" xfId="32940"/>
    <cellStyle name="Normal 33 4 5 6 2 3" xfId="32941"/>
    <cellStyle name="Normal 33 4 5 6 2 3 2" xfId="32942"/>
    <cellStyle name="Normal 33 4 5 6 2 4" xfId="32943"/>
    <cellStyle name="Normal 33 4 5 6 3" xfId="32944"/>
    <cellStyle name="Normal 33 4 5 6 3 2" xfId="32945"/>
    <cellStyle name="Normal 33 4 5 6 3 2 2" xfId="32946"/>
    <cellStyle name="Normal 33 4 5 6 3 2 2 2" xfId="32947"/>
    <cellStyle name="Normal 33 4 5 6 3 2 3" xfId="32948"/>
    <cellStyle name="Normal 33 4 5 6 3 3" xfId="32949"/>
    <cellStyle name="Normal 33 4 5 6 3 3 2" xfId="32950"/>
    <cellStyle name="Normal 33 4 5 6 3 4" xfId="32951"/>
    <cellStyle name="Normal 33 4 5 6 4" xfId="32952"/>
    <cellStyle name="Normal 33 4 5 6 4 2" xfId="32953"/>
    <cellStyle name="Normal 33 4 5 6 4 2 2" xfId="32954"/>
    <cellStyle name="Normal 33 4 5 6 4 3" xfId="32955"/>
    <cellStyle name="Normal 33 4 5 6 5" xfId="32956"/>
    <cellStyle name="Normal 33 4 5 6 5 2" xfId="32957"/>
    <cellStyle name="Normal 33 4 5 6 6" xfId="32958"/>
    <cellStyle name="Normal 33 4 5 7" xfId="32959"/>
    <cellStyle name="Normal 33 4 5 7 2" xfId="32960"/>
    <cellStyle name="Normal 33 4 5 7 2 2" xfId="32961"/>
    <cellStyle name="Normal 33 4 5 7 2 2 2" xfId="32962"/>
    <cellStyle name="Normal 33 4 5 7 2 2 2 2" xfId="32963"/>
    <cellStyle name="Normal 33 4 5 7 2 2 3" xfId="32964"/>
    <cellStyle name="Normal 33 4 5 7 2 3" xfId="32965"/>
    <cellStyle name="Normal 33 4 5 7 2 3 2" xfId="32966"/>
    <cellStyle name="Normal 33 4 5 7 2 4" xfId="32967"/>
    <cellStyle name="Normal 33 4 5 7 3" xfId="32968"/>
    <cellStyle name="Normal 33 4 5 7 3 2" xfId="32969"/>
    <cellStyle name="Normal 33 4 5 7 3 2 2" xfId="32970"/>
    <cellStyle name="Normal 33 4 5 7 3 2 2 2" xfId="32971"/>
    <cellStyle name="Normal 33 4 5 7 3 2 3" xfId="32972"/>
    <cellStyle name="Normal 33 4 5 7 3 3" xfId="32973"/>
    <cellStyle name="Normal 33 4 5 7 3 3 2" xfId="32974"/>
    <cellStyle name="Normal 33 4 5 7 3 4" xfId="32975"/>
    <cellStyle name="Normal 33 4 5 7 4" xfId="32976"/>
    <cellStyle name="Normal 33 4 5 7 4 2" xfId="32977"/>
    <cellStyle name="Normal 33 4 5 7 4 2 2" xfId="32978"/>
    <cellStyle name="Normal 33 4 5 7 4 3" xfId="32979"/>
    <cellStyle name="Normal 33 4 5 7 5" xfId="32980"/>
    <cellStyle name="Normal 33 4 5 7 5 2" xfId="32981"/>
    <cellStyle name="Normal 33 4 5 7 6" xfId="32982"/>
    <cellStyle name="Normal 33 4 5 8" xfId="32983"/>
    <cellStyle name="Normal 33 4 5 8 2" xfId="32984"/>
    <cellStyle name="Normal 33 4 5 8 2 2" xfId="32985"/>
    <cellStyle name="Normal 33 4 5 8 2 2 2" xfId="32986"/>
    <cellStyle name="Normal 33 4 5 8 2 2 2 2" xfId="32987"/>
    <cellStyle name="Normal 33 4 5 8 2 2 3" xfId="32988"/>
    <cellStyle name="Normal 33 4 5 8 2 3" xfId="32989"/>
    <cellStyle name="Normal 33 4 5 8 2 3 2" xfId="32990"/>
    <cellStyle name="Normal 33 4 5 8 2 4" xfId="32991"/>
    <cellStyle name="Normal 33 4 5 8 3" xfId="32992"/>
    <cellStyle name="Normal 33 4 5 8 3 2" xfId="32993"/>
    <cellStyle name="Normal 33 4 5 8 3 2 2" xfId="32994"/>
    <cellStyle name="Normal 33 4 5 8 3 2 2 2" xfId="32995"/>
    <cellStyle name="Normal 33 4 5 8 3 2 3" xfId="32996"/>
    <cellStyle name="Normal 33 4 5 8 3 3" xfId="32997"/>
    <cellStyle name="Normal 33 4 5 8 3 3 2" xfId="32998"/>
    <cellStyle name="Normal 33 4 5 8 3 4" xfId="32999"/>
    <cellStyle name="Normal 33 4 5 8 4" xfId="33000"/>
    <cellStyle name="Normal 33 4 5 8 4 2" xfId="33001"/>
    <cellStyle name="Normal 33 4 5 8 4 2 2" xfId="33002"/>
    <cellStyle name="Normal 33 4 5 8 4 3" xfId="33003"/>
    <cellStyle name="Normal 33 4 5 8 5" xfId="33004"/>
    <cellStyle name="Normal 33 4 5 8 5 2" xfId="33005"/>
    <cellStyle name="Normal 33 4 5 8 6" xfId="33006"/>
    <cellStyle name="Normal 33 4 5 9" xfId="33007"/>
    <cellStyle name="Normal 33 4 5 9 2" xfId="33008"/>
    <cellStyle name="Normal 33 4 5 9 2 2" xfId="33009"/>
    <cellStyle name="Normal 33 4 5 9 2 2 2" xfId="33010"/>
    <cellStyle name="Normal 33 4 5 9 2 2 2 2" xfId="33011"/>
    <cellStyle name="Normal 33 4 5 9 2 2 3" xfId="33012"/>
    <cellStyle name="Normal 33 4 5 9 2 3" xfId="33013"/>
    <cellStyle name="Normal 33 4 5 9 2 3 2" xfId="33014"/>
    <cellStyle name="Normal 33 4 5 9 2 4" xfId="33015"/>
    <cellStyle name="Normal 33 4 5 9 3" xfId="33016"/>
    <cellStyle name="Normal 33 4 5 9 3 2" xfId="33017"/>
    <cellStyle name="Normal 33 4 5 9 3 2 2" xfId="33018"/>
    <cellStyle name="Normal 33 4 5 9 3 2 2 2" xfId="33019"/>
    <cellStyle name="Normal 33 4 5 9 3 2 3" xfId="33020"/>
    <cellStyle name="Normal 33 4 5 9 3 3" xfId="33021"/>
    <cellStyle name="Normal 33 4 5 9 3 3 2" xfId="33022"/>
    <cellStyle name="Normal 33 4 5 9 3 4" xfId="33023"/>
    <cellStyle name="Normal 33 4 5 9 4" xfId="33024"/>
    <cellStyle name="Normal 33 4 5 9 4 2" xfId="33025"/>
    <cellStyle name="Normal 33 4 5 9 4 2 2" xfId="33026"/>
    <cellStyle name="Normal 33 4 5 9 4 3" xfId="33027"/>
    <cellStyle name="Normal 33 4 5 9 5" xfId="33028"/>
    <cellStyle name="Normal 33 4 5 9 5 2" xfId="33029"/>
    <cellStyle name="Normal 33 4 5 9 6" xfId="33030"/>
    <cellStyle name="Normal 33 4 6" xfId="33031"/>
    <cellStyle name="Normal 33 4 6 10" xfId="33032"/>
    <cellStyle name="Normal 33 4 6 10 2" xfId="33033"/>
    <cellStyle name="Normal 33 4 6 10 2 2" xfId="33034"/>
    <cellStyle name="Normal 33 4 6 10 2 2 2" xfId="33035"/>
    <cellStyle name="Normal 33 4 6 10 2 2 2 2" xfId="33036"/>
    <cellStyle name="Normal 33 4 6 10 2 2 3" xfId="33037"/>
    <cellStyle name="Normal 33 4 6 10 2 3" xfId="33038"/>
    <cellStyle name="Normal 33 4 6 10 2 3 2" xfId="33039"/>
    <cellStyle name="Normal 33 4 6 10 2 4" xfId="33040"/>
    <cellStyle name="Normal 33 4 6 10 3" xfId="33041"/>
    <cellStyle name="Normal 33 4 6 10 3 2" xfId="33042"/>
    <cellStyle name="Normal 33 4 6 10 3 2 2" xfId="33043"/>
    <cellStyle name="Normal 33 4 6 10 3 2 2 2" xfId="33044"/>
    <cellStyle name="Normal 33 4 6 10 3 2 3" xfId="33045"/>
    <cellStyle name="Normal 33 4 6 10 3 3" xfId="33046"/>
    <cellStyle name="Normal 33 4 6 10 3 3 2" xfId="33047"/>
    <cellStyle name="Normal 33 4 6 10 3 4" xfId="33048"/>
    <cellStyle name="Normal 33 4 6 10 4" xfId="33049"/>
    <cellStyle name="Normal 33 4 6 10 4 2" xfId="33050"/>
    <cellStyle name="Normal 33 4 6 10 4 2 2" xfId="33051"/>
    <cellStyle name="Normal 33 4 6 10 4 3" xfId="33052"/>
    <cellStyle name="Normal 33 4 6 10 5" xfId="33053"/>
    <cellStyle name="Normal 33 4 6 10 5 2" xfId="33054"/>
    <cellStyle name="Normal 33 4 6 10 6" xfId="33055"/>
    <cellStyle name="Normal 33 4 6 11" xfId="33056"/>
    <cellStyle name="Normal 33 4 6 11 2" xfId="33057"/>
    <cellStyle name="Normal 33 4 6 11 2 2" xfId="33058"/>
    <cellStyle name="Normal 33 4 6 11 2 2 2" xfId="33059"/>
    <cellStyle name="Normal 33 4 6 11 2 2 2 2" xfId="33060"/>
    <cellStyle name="Normal 33 4 6 11 2 2 3" xfId="33061"/>
    <cellStyle name="Normal 33 4 6 11 2 3" xfId="33062"/>
    <cellStyle name="Normal 33 4 6 11 2 3 2" xfId="33063"/>
    <cellStyle name="Normal 33 4 6 11 2 4" xfId="33064"/>
    <cellStyle name="Normal 33 4 6 11 3" xfId="33065"/>
    <cellStyle name="Normal 33 4 6 11 3 2" xfId="33066"/>
    <cellStyle name="Normal 33 4 6 11 3 2 2" xfId="33067"/>
    <cellStyle name="Normal 33 4 6 11 3 2 2 2" xfId="33068"/>
    <cellStyle name="Normal 33 4 6 11 3 2 3" xfId="33069"/>
    <cellStyle name="Normal 33 4 6 11 3 3" xfId="33070"/>
    <cellStyle name="Normal 33 4 6 11 3 3 2" xfId="33071"/>
    <cellStyle name="Normal 33 4 6 11 3 4" xfId="33072"/>
    <cellStyle name="Normal 33 4 6 11 4" xfId="33073"/>
    <cellStyle name="Normal 33 4 6 11 4 2" xfId="33074"/>
    <cellStyle name="Normal 33 4 6 11 4 2 2" xfId="33075"/>
    <cellStyle name="Normal 33 4 6 11 4 3" xfId="33076"/>
    <cellStyle name="Normal 33 4 6 11 5" xfId="33077"/>
    <cellStyle name="Normal 33 4 6 11 5 2" xfId="33078"/>
    <cellStyle name="Normal 33 4 6 11 6" xfId="33079"/>
    <cellStyle name="Normal 33 4 6 12" xfId="33080"/>
    <cellStyle name="Normal 33 4 6 12 2" xfId="33081"/>
    <cellStyle name="Normal 33 4 6 12 2 2" xfId="33082"/>
    <cellStyle name="Normal 33 4 6 12 2 2 2" xfId="33083"/>
    <cellStyle name="Normal 33 4 6 12 2 2 2 2" xfId="33084"/>
    <cellStyle name="Normal 33 4 6 12 2 2 3" xfId="33085"/>
    <cellStyle name="Normal 33 4 6 12 2 3" xfId="33086"/>
    <cellStyle name="Normal 33 4 6 12 2 3 2" xfId="33087"/>
    <cellStyle name="Normal 33 4 6 12 2 4" xfId="33088"/>
    <cellStyle name="Normal 33 4 6 12 3" xfId="33089"/>
    <cellStyle name="Normal 33 4 6 12 3 2" xfId="33090"/>
    <cellStyle name="Normal 33 4 6 12 3 2 2" xfId="33091"/>
    <cellStyle name="Normal 33 4 6 12 3 2 2 2" xfId="33092"/>
    <cellStyle name="Normal 33 4 6 12 3 2 3" xfId="33093"/>
    <cellStyle name="Normal 33 4 6 12 3 3" xfId="33094"/>
    <cellStyle name="Normal 33 4 6 12 3 3 2" xfId="33095"/>
    <cellStyle name="Normal 33 4 6 12 3 4" xfId="33096"/>
    <cellStyle name="Normal 33 4 6 12 4" xfId="33097"/>
    <cellStyle name="Normal 33 4 6 12 4 2" xfId="33098"/>
    <cellStyle name="Normal 33 4 6 12 4 2 2" xfId="33099"/>
    <cellStyle name="Normal 33 4 6 12 4 3" xfId="33100"/>
    <cellStyle name="Normal 33 4 6 12 5" xfId="33101"/>
    <cellStyle name="Normal 33 4 6 12 5 2" xfId="33102"/>
    <cellStyle name="Normal 33 4 6 12 6" xfId="33103"/>
    <cellStyle name="Normal 33 4 6 13" xfId="33104"/>
    <cellStyle name="Normal 33 4 6 13 2" xfId="33105"/>
    <cellStyle name="Normal 33 4 6 13 2 2" xfId="33106"/>
    <cellStyle name="Normal 33 4 6 13 2 2 2" xfId="33107"/>
    <cellStyle name="Normal 33 4 6 13 2 2 2 2" xfId="33108"/>
    <cellStyle name="Normal 33 4 6 13 2 2 3" xfId="33109"/>
    <cellStyle name="Normal 33 4 6 13 2 3" xfId="33110"/>
    <cellStyle name="Normal 33 4 6 13 2 3 2" xfId="33111"/>
    <cellStyle name="Normal 33 4 6 13 2 4" xfId="33112"/>
    <cellStyle name="Normal 33 4 6 13 3" xfId="33113"/>
    <cellStyle name="Normal 33 4 6 13 3 2" xfId="33114"/>
    <cellStyle name="Normal 33 4 6 13 3 2 2" xfId="33115"/>
    <cellStyle name="Normal 33 4 6 13 3 2 2 2" xfId="33116"/>
    <cellStyle name="Normal 33 4 6 13 3 2 3" xfId="33117"/>
    <cellStyle name="Normal 33 4 6 13 3 3" xfId="33118"/>
    <cellStyle name="Normal 33 4 6 13 3 3 2" xfId="33119"/>
    <cellStyle name="Normal 33 4 6 13 3 4" xfId="33120"/>
    <cellStyle name="Normal 33 4 6 13 4" xfId="33121"/>
    <cellStyle name="Normal 33 4 6 13 4 2" xfId="33122"/>
    <cellStyle name="Normal 33 4 6 13 4 2 2" xfId="33123"/>
    <cellStyle name="Normal 33 4 6 13 4 3" xfId="33124"/>
    <cellStyle name="Normal 33 4 6 13 5" xfId="33125"/>
    <cellStyle name="Normal 33 4 6 13 5 2" xfId="33126"/>
    <cellStyle name="Normal 33 4 6 13 6" xfId="33127"/>
    <cellStyle name="Normal 33 4 6 14" xfId="33128"/>
    <cellStyle name="Normal 33 4 6 14 2" xfId="33129"/>
    <cellStyle name="Normal 33 4 6 14 2 2" xfId="33130"/>
    <cellStyle name="Normal 33 4 6 14 2 2 2" xfId="33131"/>
    <cellStyle name="Normal 33 4 6 14 2 3" xfId="33132"/>
    <cellStyle name="Normal 33 4 6 14 3" xfId="33133"/>
    <cellStyle name="Normal 33 4 6 14 3 2" xfId="33134"/>
    <cellStyle name="Normal 33 4 6 14 4" xfId="33135"/>
    <cellStyle name="Normal 33 4 6 15" xfId="33136"/>
    <cellStyle name="Normal 33 4 6 15 2" xfId="33137"/>
    <cellStyle name="Normal 33 4 6 15 2 2" xfId="33138"/>
    <cellStyle name="Normal 33 4 6 15 2 2 2" xfId="33139"/>
    <cellStyle name="Normal 33 4 6 15 2 3" xfId="33140"/>
    <cellStyle name="Normal 33 4 6 15 3" xfId="33141"/>
    <cellStyle name="Normal 33 4 6 15 3 2" xfId="33142"/>
    <cellStyle name="Normal 33 4 6 15 4" xfId="33143"/>
    <cellStyle name="Normal 33 4 6 16" xfId="33144"/>
    <cellStyle name="Normal 33 4 6 16 2" xfId="33145"/>
    <cellStyle name="Normal 33 4 6 16 2 2" xfId="33146"/>
    <cellStyle name="Normal 33 4 6 16 3" xfId="33147"/>
    <cellStyle name="Normal 33 4 6 17" xfId="33148"/>
    <cellStyle name="Normal 33 4 6 17 2" xfId="33149"/>
    <cellStyle name="Normal 33 4 6 18" xfId="33150"/>
    <cellStyle name="Normal 33 4 6 2" xfId="33151"/>
    <cellStyle name="Normal 33 4 6 2 2" xfId="33152"/>
    <cellStyle name="Normal 33 4 6 2 2 2" xfId="33153"/>
    <cellStyle name="Normal 33 4 6 2 2 2 2" xfId="33154"/>
    <cellStyle name="Normal 33 4 6 2 2 2 2 2" xfId="33155"/>
    <cellStyle name="Normal 33 4 6 2 2 2 3" xfId="33156"/>
    <cellStyle name="Normal 33 4 6 2 2 3" xfId="33157"/>
    <cellStyle name="Normal 33 4 6 2 2 3 2" xfId="33158"/>
    <cellStyle name="Normal 33 4 6 2 2 4" xfId="33159"/>
    <cellStyle name="Normal 33 4 6 2 3" xfId="33160"/>
    <cellStyle name="Normal 33 4 6 2 3 2" xfId="33161"/>
    <cellStyle name="Normal 33 4 6 2 3 2 2" xfId="33162"/>
    <cellStyle name="Normal 33 4 6 2 3 2 2 2" xfId="33163"/>
    <cellStyle name="Normal 33 4 6 2 3 2 3" xfId="33164"/>
    <cellStyle name="Normal 33 4 6 2 3 3" xfId="33165"/>
    <cellStyle name="Normal 33 4 6 2 3 3 2" xfId="33166"/>
    <cellStyle name="Normal 33 4 6 2 3 4" xfId="33167"/>
    <cellStyle name="Normal 33 4 6 2 4" xfId="33168"/>
    <cellStyle name="Normal 33 4 6 2 4 2" xfId="33169"/>
    <cellStyle name="Normal 33 4 6 2 4 2 2" xfId="33170"/>
    <cellStyle name="Normal 33 4 6 2 4 3" xfId="33171"/>
    <cellStyle name="Normal 33 4 6 2 5" xfId="33172"/>
    <cellStyle name="Normal 33 4 6 2 5 2" xfId="33173"/>
    <cellStyle name="Normal 33 4 6 2 6" xfId="33174"/>
    <cellStyle name="Normal 33 4 6 3" xfId="33175"/>
    <cellStyle name="Normal 33 4 6 3 2" xfId="33176"/>
    <cellStyle name="Normal 33 4 6 3 2 2" xfId="33177"/>
    <cellStyle name="Normal 33 4 6 3 2 2 2" xfId="33178"/>
    <cellStyle name="Normal 33 4 6 3 2 2 2 2" xfId="33179"/>
    <cellStyle name="Normal 33 4 6 3 2 2 3" xfId="33180"/>
    <cellStyle name="Normal 33 4 6 3 2 3" xfId="33181"/>
    <cellStyle name="Normal 33 4 6 3 2 3 2" xfId="33182"/>
    <cellStyle name="Normal 33 4 6 3 2 4" xfId="33183"/>
    <cellStyle name="Normal 33 4 6 3 3" xfId="33184"/>
    <cellStyle name="Normal 33 4 6 3 3 2" xfId="33185"/>
    <cellStyle name="Normal 33 4 6 3 3 2 2" xfId="33186"/>
    <cellStyle name="Normal 33 4 6 3 3 2 2 2" xfId="33187"/>
    <cellStyle name="Normal 33 4 6 3 3 2 3" xfId="33188"/>
    <cellStyle name="Normal 33 4 6 3 3 3" xfId="33189"/>
    <cellStyle name="Normal 33 4 6 3 3 3 2" xfId="33190"/>
    <cellStyle name="Normal 33 4 6 3 3 4" xfId="33191"/>
    <cellStyle name="Normal 33 4 6 3 4" xfId="33192"/>
    <cellStyle name="Normal 33 4 6 3 4 2" xfId="33193"/>
    <cellStyle name="Normal 33 4 6 3 4 2 2" xfId="33194"/>
    <cellStyle name="Normal 33 4 6 3 4 3" xfId="33195"/>
    <cellStyle name="Normal 33 4 6 3 5" xfId="33196"/>
    <cellStyle name="Normal 33 4 6 3 5 2" xfId="33197"/>
    <cellStyle name="Normal 33 4 6 3 6" xfId="33198"/>
    <cellStyle name="Normal 33 4 6 4" xfId="33199"/>
    <cellStyle name="Normal 33 4 6 4 2" xfId="33200"/>
    <cellStyle name="Normal 33 4 6 4 2 2" xfId="33201"/>
    <cellStyle name="Normal 33 4 6 4 2 2 2" xfId="33202"/>
    <cellStyle name="Normal 33 4 6 4 2 2 2 2" xfId="33203"/>
    <cellStyle name="Normal 33 4 6 4 2 2 3" xfId="33204"/>
    <cellStyle name="Normal 33 4 6 4 2 3" xfId="33205"/>
    <cellStyle name="Normal 33 4 6 4 2 3 2" xfId="33206"/>
    <cellStyle name="Normal 33 4 6 4 2 4" xfId="33207"/>
    <cellStyle name="Normal 33 4 6 4 3" xfId="33208"/>
    <cellStyle name="Normal 33 4 6 4 3 2" xfId="33209"/>
    <cellStyle name="Normal 33 4 6 4 3 2 2" xfId="33210"/>
    <cellStyle name="Normal 33 4 6 4 3 2 2 2" xfId="33211"/>
    <cellStyle name="Normal 33 4 6 4 3 2 3" xfId="33212"/>
    <cellStyle name="Normal 33 4 6 4 3 3" xfId="33213"/>
    <cellStyle name="Normal 33 4 6 4 3 3 2" xfId="33214"/>
    <cellStyle name="Normal 33 4 6 4 3 4" xfId="33215"/>
    <cellStyle name="Normal 33 4 6 4 4" xfId="33216"/>
    <cellStyle name="Normal 33 4 6 4 4 2" xfId="33217"/>
    <cellStyle name="Normal 33 4 6 4 4 2 2" xfId="33218"/>
    <cellStyle name="Normal 33 4 6 4 4 3" xfId="33219"/>
    <cellStyle name="Normal 33 4 6 4 5" xfId="33220"/>
    <cellStyle name="Normal 33 4 6 4 5 2" xfId="33221"/>
    <cellStyle name="Normal 33 4 6 4 6" xfId="33222"/>
    <cellStyle name="Normal 33 4 6 5" xfId="33223"/>
    <cellStyle name="Normal 33 4 6 5 2" xfId="33224"/>
    <cellStyle name="Normal 33 4 6 5 2 2" xfId="33225"/>
    <cellStyle name="Normal 33 4 6 5 2 2 2" xfId="33226"/>
    <cellStyle name="Normal 33 4 6 5 2 2 2 2" xfId="33227"/>
    <cellStyle name="Normal 33 4 6 5 2 2 3" xfId="33228"/>
    <cellStyle name="Normal 33 4 6 5 2 3" xfId="33229"/>
    <cellStyle name="Normal 33 4 6 5 2 3 2" xfId="33230"/>
    <cellStyle name="Normal 33 4 6 5 2 4" xfId="33231"/>
    <cellStyle name="Normal 33 4 6 5 3" xfId="33232"/>
    <cellStyle name="Normal 33 4 6 5 3 2" xfId="33233"/>
    <cellStyle name="Normal 33 4 6 5 3 2 2" xfId="33234"/>
    <cellStyle name="Normal 33 4 6 5 3 2 2 2" xfId="33235"/>
    <cellStyle name="Normal 33 4 6 5 3 2 3" xfId="33236"/>
    <cellStyle name="Normal 33 4 6 5 3 3" xfId="33237"/>
    <cellStyle name="Normal 33 4 6 5 3 3 2" xfId="33238"/>
    <cellStyle name="Normal 33 4 6 5 3 4" xfId="33239"/>
    <cellStyle name="Normal 33 4 6 5 4" xfId="33240"/>
    <cellStyle name="Normal 33 4 6 5 4 2" xfId="33241"/>
    <cellStyle name="Normal 33 4 6 5 4 2 2" xfId="33242"/>
    <cellStyle name="Normal 33 4 6 5 4 3" xfId="33243"/>
    <cellStyle name="Normal 33 4 6 5 5" xfId="33244"/>
    <cellStyle name="Normal 33 4 6 5 5 2" xfId="33245"/>
    <cellStyle name="Normal 33 4 6 5 6" xfId="33246"/>
    <cellStyle name="Normal 33 4 6 6" xfId="33247"/>
    <cellStyle name="Normal 33 4 6 6 2" xfId="33248"/>
    <cellStyle name="Normal 33 4 6 6 2 2" xfId="33249"/>
    <cellStyle name="Normal 33 4 6 6 2 2 2" xfId="33250"/>
    <cellStyle name="Normal 33 4 6 6 2 2 2 2" xfId="33251"/>
    <cellStyle name="Normal 33 4 6 6 2 2 3" xfId="33252"/>
    <cellStyle name="Normal 33 4 6 6 2 3" xfId="33253"/>
    <cellStyle name="Normal 33 4 6 6 2 3 2" xfId="33254"/>
    <cellStyle name="Normal 33 4 6 6 2 4" xfId="33255"/>
    <cellStyle name="Normal 33 4 6 6 3" xfId="33256"/>
    <cellStyle name="Normal 33 4 6 6 3 2" xfId="33257"/>
    <cellStyle name="Normal 33 4 6 6 3 2 2" xfId="33258"/>
    <cellStyle name="Normal 33 4 6 6 3 2 2 2" xfId="33259"/>
    <cellStyle name="Normal 33 4 6 6 3 2 3" xfId="33260"/>
    <cellStyle name="Normal 33 4 6 6 3 3" xfId="33261"/>
    <cellStyle name="Normal 33 4 6 6 3 3 2" xfId="33262"/>
    <cellStyle name="Normal 33 4 6 6 3 4" xfId="33263"/>
    <cellStyle name="Normal 33 4 6 6 4" xfId="33264"/>
    <cellStyle name="Normal 33 4 6 6 4 2" xfId="33265"/>
    <cellStyle name="Normal 33 4 6 6 4 2 2" xfId="33266"/>
    <cellStyle name="Normal 33 4 6 6 4 3" xfId="33267"/>
    <cellStyle name="Normal 33 4 6 6 5" xfId="33268"/>
    <cellStyle name="Normal 33 4 6 6 5 2" xfId="33269"/>
    <cellStyle name="Normal 33 4 6 6 6" xfId="33270"/>
    <cellStyle name="Normal 33 4 6 7" xfId="33271"/>
    <cellStyle name="Normal 33 4 6 7 2" xfId="33272"/>
    <cellStyle name="Normal 33 4 6 7 2 2" xfId="33273"/>
    <cellStyle name="Normal 33 4 6 7 2 2 2" xfId="33274"/>
    <cellStyle name="Normal 33 4 6 7 2 2 2 2" xfId="33275"/>
    <cellStyle name="Normal 33 4 6 7 2 2 3" xfId="33276"/>
    <cellStyle name="Normal 33 4 6 7 2 3" xfId="33277"/>
    <cellStyle name="Normal 33 4 6 7 2 3 2" xfId="33278"/>
    <cellStyle name="Normal 33 4 6 7 2 4" xfId="33279"/>
    <cellStyle name="Normal 33 4 6 7 3" xfId="33280"/>
    <cellStyle name="Normal 33 4 6 7 3 2" xfId="33281"/>
    <cellStyle name="Normal 33 4 6 7 3 2 2" xfId="33282"/>
    <cellStyle name="Normal 33 4 6 7 3 2 2 2" xfId="33283"/>
    <cellStyle name="Normal 33 4 6 7 3 2 3" xfId="33284"/>
    <cellStyle name="Normal 33 4 6 7 3 3" xfId="33285"/>
    <cellStyle name="Normal 33 4 6 7 3 3 2" xfId="33286"/>
    <cellStyle name="Normal 33 4 6 7 3 4" xfId="33287"/>
    <cellStyle name="Normal 33 4 6 7 4" xfId="33288"/>
    <cellStyle name="Normal 33 4 6 7 4 2" xfId="33289"/>
    <cellStyle name="Normal 33 4 6 7 4 2 2" xfId="33290"/>
    <cellStyle name="Normal 33 4 6 7 4 3" xfId="33291"/>
    <cellStyle name="Normal 33 4 6 7 5" xfId="33292"/>
    <cellStyle name="Normal 33 4 6 7 5 2" xfId="33293"/>
    <cellStyle name="Normal 33 4 6 7 6" xfId="33294"/>
    <cellStyle name="Normal 33 4 6 8" xfId="33295"/>
    <cellStyle name="Normal 33 4 6 8 2" xfId="33296"/>
    <cellStyle name="Normal 33 4 6 8 2 2" xfId="33297"/>
    <cellStyle name="Normal 33 4 6 8 2 2 2" xfId="33298"/>
    <cellStyle name="Normal 33 4 6 8 2 2 2 2" xfId="33299"/>
    <cellStyle name="Normal 33 4 6 8 2 2 3" xfId="33300"/>
    <cellStyle name="Normal 33 4 6 8 2 3" xfId="33301"/>
    <cellStyle name="Normal 33 4 6 8 2 3 2" xfId="33302"/>
    <cellStyle name="Normal 33 4 6 8 2 4" xfId="33303"/>
    <cellStyle name="Normal 33 4 6 8 3" xfId="33304"/>
    <cellStyle name="Normal 33 4 6 8 3 2" xfId="33305"/>
    <cellStyle name="Normal 33 4 6 8 3 2 2" xfId="33306"/>
    <cellStyle name="Normal 33 4 6 8 3 2 2 2" xfId="33307"/>
    <cellStyle name="Normal 33 4 6 8 3 2 3" xfId="33308"/>
    <cellStyle name="Normal 33 4 6 8 3 3" xfId="33309"/>
    <cellStyle name="Normal 33 4 6 8 3 3 2" xfId="33310"/>
    <cellStyle name="Normal 33 4 6 8 3 4" xfId="33311"/>
    <cellStyle name="Normal 33 4 6 8 4" xfId="33312"/>
    <cellStyle name="Normal 33 4 6 8 4 2" xfId="33313"/>
    <cellStyle name="Normal 33 4 6 8 4 2 2" xfId="33314"/>
    <cellStyle name="Normal 33 4 6 8 4 3" xfId="33315"/>
    <cellStyle name="Normal 33 4 6 8 5" xfId="33316"/>
    <cellStyle name="Normal 33 4 6 8 5 2" xfId="33317"/>
    <cellStyle name="Normal 33 4 6 8 6" xfId="33318"/>
    <cellStyle name="Normal 33 4 6 9" xfId="33319"/>
    <cellStyle name="Normal 33 4 6 9 2" xfId="33320"/>
    <cellStyle name="Normal 33 4 6 9 2 2" xfId="33321"/>
    <cellStyle name="Normal 33 4 6 9 2 2 2" xfId="33322"/>
    <cellStyle name="Normal 33 4 6 9 2 2 2 2" xfId="33323"/>
    <cellStyle name="Normal 33 4 6 9 2 2 3" xfId="33324"/>
    <cellStyle name="Normal 33 4 6 9 2 3" xfId="33325"/>
    <cellStyle name="Normal 33 4 6 9 2 3 2" xfId="33326"/>
    <cellStyle name="Normal 33 4 6 9 2 4" xfId="33327"/>
    <cellStyle name="Normal 33 4 6 9 3" xfId="33328"/>
    <cellStyle name="Normal 33 4 6 9 3 2" xfId="33329"/>
    <cellStyle name="Normal 33 4 6 9 3 2 2" xfId="33330"/>
    <cellStyle name="Normal 33 4 6 9 3 2 2 2" xfId="33331"/>
    <cellStyle name="Normal 33 4 6 9 3 2 3" xfId="33332"/>
    <cellStyle name="Normal 33 4 6 9 3 3" xfId="33333"/>
    <cellStyle name="Normal 33 4 6 9 3 3 2" xfId="33334"/>
    <cellStyle name="Normal 33 4 6 9 3 4" xfId="33335"/>
    <cellStyle name="Normal 33 4 6 9 4" xfId="33336"/>
    <cellStyle name="Normal 33 4 6 9 4 2" xfId="33337"/>
    <cellStyle name="Normal 33 4 6 9 4 2 2" xfId="33338"/>
    <cellStyle name="Normal 33 4 6 9 4 3" xfId="33339"/>
    <cellStyle name="Normal 33 4 6 9 5" xfId="33340"/>
    <cellStyle name="Normal 33 4 6 9 5 2" xfId="33341"/>
    <cellStyle name="Normal 33 4 6 9 6" xfId="33342"/>
    <cellStyle name="Normal 33 4 7" xfId="33343"/>
    <cellStyle name="Normal 33 4 7 10" xfId="33344"/>
    <cellStyle name="Normal 33 4 7 10 2" xfId="33345"/>
    <cellStyle name="Normal 33 4 7 10 2 2" xfId="33346"/>
    <cellStyle name="Normal 33 4 7 10 2 2 2" xfId="33347"/>
    <cellStyle name="Normal 33 4 7 10 2 2 2 2" xfId="33348"/>
    <cellStyle name="Normal 33 4 7 10 2 2 3" xfId="33349"/>
    <cellStyle name="Normal 33 4 7 10 2 3" xfId="33350"/>
    <cellStyle name="Normal 33 4 7 10 2 3 2" xfId="33351"/>
    <cellStyle name="Normal 33 4 7 10 2 4" xfId="33352"/>
    <cellStyle name="Normal 33 4 7 10 3" xfId="33353"/>
    <cellStyle name="Normal 33 4 7 10 3 2" xfId="33354"/>
    <cellStyle name="Normal 33 4 7 10 3 2 2" xfId="33355"/>
    <cellStyle name="Normal 33 4 7 10 3 2 2 2" xfId="33356"/>
    <cellStyle name="Normal 33 4 7 10 3 2 3" xfId="33357"/>
    <cellStyle name="Normal 33 4 7 10 3 3" xfId="33358"/>
    <cellStyle name="Normal 33 4 7 10 3 3 2" xfId="33359"/>
    <cellStyle name="Normal 33 4 7 10 3 4" xfId="33360"/>
    <cellStyle name="Normal 33 4 7 10 4" xfId="33361"/>
    <cellStyle name="Normal 33 4 7 10 4 2" xfId="33362"/>
    <cellStyle name="Normal 33 4 7 10 4 2 2" xfId="33363"/>
    <cellStyle name="Normal 33 4 7 10 4 3" xfId="33364"/>
    <cellStyle name="Normal 33 4 7 10 5" xfId="33365"/>
    <cellStyle name="Normal 33 4 7 10 5 2" xfId="33366"/>
    <cellStyle name="Normal 33 4 7 10 6" xfId="33367"/>
    <cellStyle name="Normal 33 4 7 11" xfId="33368"/>
    <cellStyle name="Normal 33 4 7 11 2" xfId="33369"/>
    <cellStyle name="Normal 33 4 7 11 2 2" xfId="33370"/>
    <cellStyle name="Normal 33 4 7 11 2 2 2" xfId="33371"/>
    <cellStyle name="Normal 33 4 7 11 2 2 2 2" xfId="33372"/>
    <cellStyle name="Normal 33 4 7 11 2 2 3" xfId="33373"/>
    <cellStyle name="Normal 33 4 7 11 2 3" xfId="33374"/>
    <cellStyle name="Normal 33 4 7 11 2 3 2" xfId="33375"/>
    <cellStyle name="Normal 33 4 7 11 2 4" xfId="33376"/>
    <cellStyle name="Normal 33 4 7 11 3" xfId="33377"/>
    <cellStyle name="Normal 33 4 7 11 3 2" xfId="33378"/>
    <cellStyle name="Normal 33 4 7 11 3 2 2" xfId="33379"/>
    <cellStyle name="Normal 33 4 7 11 3 2 2 2" xfId="33380"/>
    <cellStyle name="Normal 33 4 7 11 3 2 3" xfId="33381"/>
    <cellStyle name="Normal 33 4 7 11 3 3" xfId="33382"/>
    <cellStyle name="Normal 33 4 7 11 3 3 2" xfId="33383"/>
    <cellStyle name="Normal 33 4 7 11 3 4" xfId="33384"/>
    <cellStyle name="Normal 33 4 7 11 4" xfId="33385"/>
    <cellStyle name="Normal 33 4 7 11 4 2" xfId="33386"/>
    <cellStyle name="Normal 33 4 7 11 4 2 2" xfId="33387"/>
    <cellStyle name="Normal 33 4 7 11 4 3" xfId="33388"/>
    <cellStyle name="Normal 33 4 7 11 5" xfId="33389"/>
    <cellStyle name="Normal 33 4 7 11 5 2" xfId="33390"/>
    <cellStyle name="Normal 33 4 7 11 6" xfId="33391"/>
    <cellStyle name="Normal 33 4 7 12" xfId="33392"/>
    <cellStyle name="Normal 33 4 7 12 2" xfId="33393"/>
    <cellStyle name="Normal 33 4 7 12 2 2" xfId="33394"/>
    <cellStyle name="Normal 33 4 7 12 2 2 2" xfId="33395"/>
    <cellStyle name="Normal 33 4 7 12 2 2 2 2" xfId="33396"/>
    <cellStyle name="Normal 33 4 7 12 2 2 3" xfId="33397"/>
    <cellStyle name="Normal 33 4 7 12 2 3" xfId="33398"/>
    <cellStyle name="Normal 33 4 7 12 2 3 2" xfId="33399"/>
    <cellStyle name="Normal 33 4 7 12 2 4" xfId="33400"/>
    <cellStyle name="Normal 33 4 7 12 3" xfId="33401"/>
    <cellStyle name="Normal 33 4 7 12 3 2" xfId="33402"/>
    <cellStyle name="Normal 33 4 7 12 3 2 2" xfId="33403"/>
    <cellStyle name="Normal 33 4 7 12 3 2 2 2" xfId="33404"/>
    <cellStyle name="Normal 33 4 7 12 3 2 3" xfId="33405"/>
    <cellStyle name="Normal 33 4 7 12 3 3" xfId="33406"/>
    <cellStyle name="Normal 33 4 7 12 3 3 2" xfId="33407"/>
    <cellStyle name="Normal 33 4 7 12 3 4" xfId="33408"/>
    <cellStyle name="Normal 33 4 7 12 4" xfId="33409"/>
    <cellStyle name="Normal 33 4 7 12 4 2" xfId="33410"/>
    <cellStyle name="Normal 33 4 7 12 4 2 2" xfId="33411"/>
    <cellStyle name="Normal 33 4 7 12 4 3" xfId="33412"/>
    <cellStyle name="Normal 33 4 7 12 5" xfId="33413"/>
    <cellStyle name="Normal 33 4 7 12 5 2" xfId="33414"/>
    <cellStyle name="Normal 33 4 7 12 6" xfId="33415"/>
    <cellStyle name="Normal 33 4 7 13" xfId="33416"/>
    <cellStyle name="Normal 33 4 7 13 2" xfId="33417"/>
    <cellStyle name="Normal 33 4 7 13 2 2" xfId="33418"/>
    <cellStyle name="Normal 33 4 7 13 2 2 2" xfId="33419"/>
    <cellStyle name="Normal 33 4 7 13 2 2 2 2" xfId="33420"/>
    <cellStyle name="Normal 33 4 7 13 2 2 3" xfId="33421"/>
    <cellStyle name="Normal 33 4 7 13 2 3" xfId="33422"/>
    <cellStyle name="Normal 33 4 7 13 2 3 2" xfId="33423"/>
    <cellStyle name="Normal 33 4 7 13 2 4" xfId="33424"/>
    <cellStyle name="Normal 33 4 7 13 3" xfId="33425"/>
    <cellStyle name="Normal 33 4 7 13 3 2" xfId="33426"/>
    <cellStyle name="Normal 33 4 7 13 3 2 2" xfId="33427"/>
    <cellStyle name="Normal 33 4 7 13 3 2 2 2" xfId="33428"/>
    <cellStyle name="Normal 33 4 7 13 3 2 3" xfId="33429"/>
    <cellStyle name="Normal 33 4 7 13 3 3" xfId="33430"/>
    <cellStyle name="Normal 33 4 7 13 3 3 2" xfId="33431"/>
    <cellStyle name="Normal 33 4 7 13 3 4" xfId="33432"/>
    <cellStyle name="Normal 33 4 7 13 4" xfId="33433"/>
    <cellStyle name="Normal 33 4 7 13 4 2" xfId="33434"/>
    <cellStyle name="Normal 33 4 7 13 4 2 2" xfId="33435"/>
    <cellStyle name="Normal 33 4 7 13 4 3" xfId="33436"/>
    <cellStyle name="Normal 33 4 7 13 5" xfId="33437"/>
    <cellStyle name="Normal 33 4 7 13 5 2" xfId="33438"/>
    <cellStyle name="Normal 33 4 7 13 6" xfId="33439"/>
    <cellStyle name="Normal 33 4 7 14" xfId="33440"/>
    <cellStyle name="Normal 33 4 7 14 2" xfId="33441"/>
    <cellStyle name="Normal 33 4 7 14 2 2" xfId="33442"/>
    <cellStyle name="Normal 33 4 7 14 2 2 2" xfId="33443"/>
    <cellStyle name="Normal 33 4 7 14 2 3" xfId="33444"/>
    <cellStyle name="Normal 33 4 7 14 3" xfId="33445"/>
    <cellStyle name="Normal 33 4 7 14 3 2" xfId="33446"/>
    <cellStyle name="Normal 33 4 7 14 4" xfId="33447"/>
    <cellStyle name="Normal 33 4 7 15" xfId="33448"/>
    <cellStyle name="Normal 33 4 7 15 2" xfId="33449"/>
    <cellStyle name="Normal 33 4 7 15 2 2" xfId="33450"/>
    <cellStyle name="Normal 33 4 7 15 2 2 2" xfId="33451"/>
    <cellStyle name="Normal 33 4 7 15 2 3" xfId="33452"/>
    <cellStyle name="Normal 33 4 7 15 3" xfId="33453"/>
    <cellStyle name="Normal 33 4 7 15 3 2" xfId="33454"/>
    <cellStyle name="Normal 33 4 7 15 4" xfId="33455"/>
    <cellStyle name="Normal 33 4 7 16" xfId="33456"/>
    <cellStyle name="Normal 33 4 7 16 2" xfId="33457"/>
    <cellStyle name="Normal 33 4 7 16 2 2" xfId="33458"/>
    <cellStyle name="Normal 33 4 7 16 3" xfId="33459"/>
    <cellStyle name="Normal 33 4 7 17" xfId="33460"/>
    <cellStyle name="Normal 33 4 7 17 2" xfId="33461"/>
    <cellStyle name="Normal 33 4 7 18" xfId="33462"/>
    <cellStyle name="Normal 33 4 7 2" xfId="33463"/>
    <cellStyle name="Normal 33 4 7 2 2" xfId="33464"/>
    <cellStyle name="Normal 33 4 7 2 2 2" xfId="33465"/>
    <cellStyle name="Normal 33 4 7 2 2 2 2" xfId="33466"/>
    <cellStyle name="Normal 33 4 7 2 2 2 2 2" xfId="33467"/>
    <cellStyle name="Normal 33 4 7 2 2 2 3" xfId="33468"/>
    <cellStyle name="Normal 33 4 7 2 2 3" xfId="33469"/>
    <cellStyle name="Normal 33 4 7 2 2 3 2" xfId="33470"/>
    <cellStyle name="Normal 33 4 7 2 2 4" xfId="33471"/>
    <cellStyle name="Normal 33 4 7 2 3" xfId="33472"/>
    <cellStyle name="Normal 33 4 7 2 3 2" xfId="33473"/>
    <cellStyle name="Normal 33 4 7 2 3 2 2" xfId="33474"/>
    <cellStyle name="Normal 33 4 7 2 3 2 2 2" xfId="33475"/>
    <cellStyle name="Normal 33 4 7 2 3 2 3" xfId="33476"/>
    <cellStyle name="Normal 33 4 7 2 3 3" xfId="33477"/>
    <cellStyle name="Normal 33 4 7 2 3 3 2" xfId="33478"/>
    <cellStyle name="Normal 33 4 7 2 3 4" xfId="33479"/>
    <cellStyle name="Normal 33 4 7 2 4" xfId="33480"/>
    <cellStyle name="Normal 33 4 7 2 4 2" xfId="33481"/>
    <cellStyle name="Normal 33 4 7 2 4 2 2" xfId="33482"/>
    <cellStyle name="Normal 33 4 7 2 4 3" xfId="33483"/>
    <cellStyle name="Normal 33 4 7 2 5" xfId="33484"/>
    <cellStyle name="Normal 33 4 7 2 5 2" xfId="33485"/>
    <cellStyle name="Normal 33 4 7 2 6" xfId="33486"/>
    <cellStyle name="Normal 33 4 7 3" xfId="33487"/>
    <cellStyle name="Normal 33 4 7 3 2" xfId="33488"/>
    <cellStyle name="Normal 33 4 7 3 2 2" xfId="33489"/>
    <cellStyle name="Normal 33 4 7 3 2 2 2" xfId="33490"/>
    <cellStyle name="Normal 33 4 7 3 2 2 2 2" xfId="33491"/>
    <cellStyle name="Normal 33 4 7 3 2 2 3" xfId="33492"/>
    <cellStyle name="Normal 33 4 7 3 2 3" xfId="33493"/>
    <cellStyle name="Normal 33 4 7 3 2 3 2" xfId="33494"/>
    <cellStyle name="Normal 33 4 7 3 2 4" xfId="33495"/>
    <cellStyle name="Normal 33 4 7 3 3" xfId="33496"/>
    <cellStyle name="Normal 33 4 7 3 3 2" xfId="33497"/>
    <cellStyle name="Normal 33 4 7 3 3 2 2" xfId="33498"/>
    <cellStyle name="Normal 33 4 7 3 3 2 2 2" xfId="33499"/>
    <cellStyle name="Normal 33 4 7 3 3 2 3" xfId="33500"/>
    <cellStyle name="Normal 33 4 7 3 3 3" xfId="33501"/>
    <cellStyle name="Normal 33 4 7 3 3 3 2" xfId="33502"/>
    <cellStyle name="Normal 33 4 7 3 3 4" xfId="33503"/>
    <cellStyle name="Normal 33 4 7 3 4" xfId="33504"/>
    <cellStyle name="Normal 33 4 7 3 4 2" xfId="33505"/>
    <cellStyle name="Normal 33 4 7 3 4 2 2" xfId="33506"/>
    <cellStyle name="Normal 33 4 7 3 4 3" xfId="33507"/>
    <cellStyle name="Normal 33 4 7 3 5" xfId="33508"/>
    <cellStyle name="Normal 33 4 7 3 5 2" xfId="33509"/>
    <cellStyle name="Normal 33 4 7 3 6" xfId="33510"/>
    <cellStyle name="Normal 33 4 7 4" xfId="33511"/>
    <cellStyle name="Normal 33 4 7 4 2" xfId="33512"/>
    <cellStyle name="Normal 33 4 7 4 2 2" xfId="33513"/>
    <cellStyle name="Normal 33 4 7 4 2 2 2" xfId="33514"/>
    <cellStyle name="Normal 33 4 7 4 2 2 2 2" xfId="33515"/>
    <cellStyle name="Normal 33 4 7 4 2 2 3" xfId="33516"/>
    <cellStyle name="Normal 33 4 7 4 2 3" xfId="33517"/>
    <cellStyle name="Normal 33 4 7 4 2 3 2" xfId="33518"/>
    <cellStyle name="Normal 33 4 7 4 2 4" xfId="33519"/>
    <cellStyle name="Normal 33 4 7 4 3" xfId="33520"/>
    <cellStyle name="Normal 33 4 7 4 3 2" xfId="33521"/>
    <cellStyle name="Normal 33 4 7 4 3 2 2" xfId="33522"/>
    <cellStyle name="Normal 33 4 7 4 3 2 2 2" xfId="33523"/>
    <cellStyle name="Normal 33 4 7 4 3 2 3" xfId="33524"/>
    <cellStyle name="Normal 33 4 7 4 3 3" xfId="33525"/>
    <cellStyle name="Normal 33 4 7 4 3 3 2" xfId="33526"/>
    <cellStyle name="Normal 33 4 7 4 3 4" xfId="33527"/>
    <cellStyle name="Normal 33 4 7 4 4" xfId="33528"/>
    <cellStyle name="Normal 33 4 7 4 4 2" xfId="33529"/>
    <cellStyle name="Normal 33 4 7 4 4 2 2" xfId="33530"/>
    <cellStyle name="Normal 33 4 7 4 4 3" xfId="33531"/>
    <cellStyle name="Normal 33 4 7 4 5" xfId="33532"/>
    <cellStyle name="Normal 33 4 7 4 5 2" xfId="33533"/>
    <cellStyle name="Normal 33 4 7 4 6" xfId="33534"/>
    <cellStyle name="Normal 33 4 7 5" xfId="33535"/>
    <cellStyle name="Normal 33 4 7 5 2" xfId="33536"/>
    <cellStyle name="Normal 33 4 7 5 2 2" xfId="33537"/>
    <cellStyle name="Normal 33 4 7 5 2 2 2" xfId="33538"/>
    <cellStyle name="Normal 33 4 7 5 2 2 2 2" xfId="33539"/>
    <cellStyle name="Normal 33 4 7 5 2 2 3" xfId="33540"/>
    <cellStyle name="Normal 33 4 7 5 2 3" xfId="33541"/>
    <cellStyle name="Normal 33 4 7 5 2 3 2" xfId="33542"/>
    <cellStyle name="Normal 33 4 7 5 2 4" xfId="33543"/>
    <cellStyle name="Normal 33 4 7 5 3" xfId="33544"/>
    <cellStyle name="Normal 33 4 7 5 3 2" xfId="33545"/>
    <cellStyle name="Normal 33 4 7 5 3 2 2" xfId="33546"/>
    <cellStyle name="Normal 33 4 7 5 3 2 2 2" xfId="33547"/>
    <cellStyle name="Normal 33 4 7 5 3 2 3" xfId="33548"/>
    <cellStyle name="Normal 33 4 7 5 3 3" xfId="33549"/>
    <cellStyle name="Normal 33 4 7 5 3 3 2" xfId="33550"/>
    <cellStyle name="Normal 33 4 7 5 3 4" xfId="33551"/>
    <cellStyle name="Normal 33 4 7 5 4" xfId="33552"/>
    <cellStyle name="Normal 33 4 7 5 4 2" xfId="33553"/>
    <cellStyle name="Normal 33 4 7 5 4 2 2" xfId="33554"/>
    <cellStyle name="Normal 33 4 7 5 4 3" xfId="33555"/>
    <cellStyle name="Normal 33 4 7 5 5" xfId="33556"/>
    <cellStyle name="Normal 33 4 7 5 5 2" xfId="33557"/>
    <cellStyle name="Normal 33 4 7 5 6" xfId="33558"/>
    <cellStyle name="Normal 33 4 7 6" xfId="33559"/>
    <cellStyle name="Normal 33 4 7 6 2" xfId="33560"/>
    <cellStyle name="Normal 33 4 7 6 2 2" xfId="33561"/>
    <cellStyle name="Normal 33 4 7 6 2 2 2" xfId="33562"/>
    <cellStyle name="Normal 33 4 7 6 2 2 2 2" xfId="33563"/>
    <cellStyle name="Normal 33 4 7 6 2 2 3" xfId="33564"/>
    <cellStyle name="Normal 33 4 7 6 2 3" xfId="33565"/>
    <cellStyle name="Normal 33 4 7 6 2 3 2" xfId="33566"/>
    <cellStyle name="Normal 33 4 7 6 2 4" xfId="33567"/>
    <cellStyle name="Normal 33 4 7 6 3" xfId="33568"/>
    <cellStyle name="Normal 33 4 7 6 3 2" xfId="33569"/>
    <cellStyle name="Normal 33 4 7 6 3 2 2" xfId="33570"/>
    <cellStyle name="Normal 33 4 7 6 3 2 2 2" xfId="33571"/>
    <cellStyle name="Normal 33 4 7 6 3 2 3" xfId="33572"/>
    <cellStyle name="Normal 33 4 7 6 3 3" xfId="33573"/>
    <cellStyle name="Normal 33 4 7 6 3 3 2" xfId="33574"/>
    <cellStyle name="Normal 33 4 7 6 3 4" xfId="33575"/>
    <cellStyle name="Normal 33 4 7 6 4" xfId="33576"/>
    <cellStyle name="Normal 33 4 7 6 4 2" xfId="33577"/>
    <cellStyle name="Normal 33 4 7 6 4 2 2" xfId="33578"/>
    <cellStyle name="Normal 33 4 7 6 4 3" xfId="33579"/>
    <cellStyle name="Normal 33 4 7 6 5" xfId="33580"/>
    <cellStyle name="Normal 33 4 7 6 5 2" xfId="33581"/>
    <cellStyle name="Normal 33 4 7 6 6" xfId="33582"/>
    <cellStyle name="Normal 33 4 7 7" xfId="33583"/>
    <cellStyle name="Normal 33 4 7 7 2" xfId="33584"/>
    <cellStyle name="Normal 33 4 7 7 2 2" xfId="33585"/>
    <cellStyle name="Normal 33 4 7 7 2 2 2" xfId="33586"/>
    <cellStyle name="Normal 33 4 7 7 2 2 2 2" xfId="33587"/>
    <cellStyle name="Normal 33 4 7 7 2 2 3" xfId="33588"/>
    <cellStyle name="Normal 33 4 7 7 2 3" xfId="33589"/>
    <cellStyle name="Normal 33 4 7 7 2 3 2" xfId="33590"/>
    <cellStyle name="Normal 33 4 7 7 2 4" xfId="33591"/>
    <cellStyle name="Normal 33 4 7 7 3" xfId="33592"/>
    <cellStyle name="Normal 33 4 7 7 3 2" xfId="33593"/>
    <cellStyle name="Normal 33 4 7 7 3 2 2" xfId="33594"/>
    <cellStyle name="Normal 33 4 7 7 3 2 2 2" xfId="33595"/>
    <cellStyle name="Normal 33 4 7 7 3 2 3" xfId="33596"/>
    <cellStyle name="Normal 33 4 7 7 3 3" xfId="33597"/>
    <cellStyle name="Normal 33 4 7 7 3 3 2" xfId="33598"/>
    <cellStyle name="Normal 33 4 7 7 3 4" xfId="33599"/>
    <cellStyle name="Normal 33 4 7 7 4" xfId="33600"/>
    <cellStyle name="Normal 33 4 7 7 4 2" xfId="33601"/>
    <cellStyle name="Normal 33 4 7 7 4 2 2" xfId="33602"/>
    <cellStyle name="Normal 33 4 7 7 4 3" xfId="33603"/>
    <cellStyle name="Normal 33 4 7 7 5" xfId="33604"/>
    <cellStyle name="Normal 33 4 7 7 5 2" xfId="33605"/>
    <cellStyle name="Normal 33 4 7 7 6" xfId="33606"/>
    <cellStyle name="Normal 33 4 7 8" xfId="33607"/>
    <cellStyle name="Normal 33 4 7 8 2" xfId="33608"/>
    <cellStyle name="Normal 33 4 7 8 2 2" xfId="33609"/>
    <cellStyle name="Normal 33 4 7 8 2 2 2" xfId="33610"/>
    <cellStyle name="Normal 33 4 7 8 2 2 2 2" xfId="33611"/>
    <cellStyle name="Normal 33 4 7 8 2 2 3" xfId="33612"/>
    <cellStyle name="Normal 33 4 7 8 2 3" xfId="33613"/>
    <cellStyle name="Normal 33 4 7 8 2 3 2" xfId="33614"/>
    <cellStyle name="Normal 33 4 7 8 2 4" xfId="33615"/>
    <cellStyle name="Normal 33 4 7 8 3" xfId="33616"/>
    <cellStyle name="Normal 33 4 7 8 3 2" xfId="33617"/>
    <cellStyle name="Normal 33 4 7 8 3 2 2" xfId="33618"/>
    <cellStyle name="Normal 33 4 7 8 3 2 2 2" xfId="33619"/>
    <cellStyle name="Normal 33 4 7 8 3 2 3" xfId="33620"/>
    <cellStyle name="Normal 33 4 7 8 3 3" xfId="33621"/>
    <cellStyle name="Normal 33 4 7 8 3 3 2" xfId="33622"/>
    <cellStyle name="Normal 33 4 7 8 3 4" xfId="33623"/>
    <cellStyle name="Normal 33 4 7 8 4" xfId="33624"/>
    <cellStyle name="Normal 33 4 7 8 4 2" xfId="33625"/>
    <cellStyle name="Normal 33 4 7 8 4 2 2" xfId="33626"/>
    <cellStyle name="Normal 33 4 7 8 4 3" xfId="33627"/>
    <cellStyle name="Normal 33 4 7 8 5" xfId="33628"/>
    <cellStyle name="Normal 33 4 7 8 5 2" xfId="33629"/>
    <cellStyle name="Normal 33 4 7 8 6" xfId="33630"/>
    <cellStyle name="Normal 33 4 7 9" xfId="33631"/>
    <cellStyle name="Normal 33 4 7 9 2" xfId="33632"/>
    <cellStyle name="Normal 33 4 7 9 2 2" xfId="33633"/>
    <cellStyle name="Normal 33 4 7 9 2 2 2" xfId="33634"/>
    <cellStyle name="Normal 33 4 7 9 2 2 2 2" xfId="33635"/>
    <cellStyle name="Normal 33 4 7 9 2 2 3" xfId="33636"/>
    <cellStyle name="Normal 33 4 7 9 2 3" xfId="33637"/>
    <cellStyle name="Normal 33 4 7 9 2 3 2" xfId="33638"/>
    <cellStyle name="Normal 33 4 7 9 2 4" xfId="33639"/>
    <cellStyle name="Normal 33 4 7 9 3" xfId="33640"/>
    <cellStyle name="Normal 33 4 7 9 3 2" xfId="33641"/>
    <cellStyle name="Normal 33 4 7 9 3 2 2" xfId="33642"/>
    <cellStyle name="Normal 33 4 7 9 3 2 2 2" xfId="33643"/>
    <cellStyle name="Normal 33 4 7 9 3 2 3" xfId="33644"/>
    <cellStyle name="Normal 33 4 7 9 3 3" xfId="33645"/>
    <cellStyle name="Normal 33 4 7 9 3 3 2" xfId="33646"/>
    <cellStyle name="Normal 33 4 7 9 3 4" xfId="33647"/>
    <cellStyle name="Normal 33 4 7 9 4" xfId="33648"/>
    <cellStyle name="Normal 33 4 7 9 4 2" xfId="33649"/>
    <cellStyle name="Normal 33 4 7 9 4 2 2" xfId="33650"/>
    <cellStyle name="Normal 33 4 7 9 4 3" xfId="33651"/>
    <cellStyle name="Normal 33 4 7 9 5" xfId="33652"/>
    <cellStyle name="Normal 33 4 7 9 5 2" xfId="33653"/>
    <cellStyle name="Normal 33 4 7 9 6" xfId="33654"/>
    <cellStyle name="Normal 33 4 8" xfId="33655"/>
    <cellStyle name="Normal 33 4 8 10" xfId="33656"/>
    <cellStyle name="Normal 33 4 8 10 2" xfId="33657"/>
    <cellStyle name="Normal 33 4 8 10 2 2" xfId="33658"/>
    <cellStyle name="Normal 33 4 8 10 2 2 2" xfId="33659"/>
    <cellStyle name="Normal 33 4 8 10 2 2 2 2" xfId="33660"/>
    <cellStyle name="Normal 33 4 8 10 2 2 3" xfId="33661"/>
    <cellStyle name="Normal 33 4 8 10 2 3" xfId="33662"/>
    <cellStyle name="Normal 33 4 8 10 2 3 2" xfId="33663"/>
    <cellStyle name="Normal 33 4 8 10 2 4" xfId="33664"/>
    <cellStyle name="Normal 33 4 8 10 3" xfId="33665"/>
    <cellStyle name="Normal 33 4 8 10 3 2" xfId="33666"/>
    <cellStyle name="Normal 33 4 8 10 3 2 2" xfId="33667"/>
    <cellStyle name="Normal 33 4 8 10 3 2 2 2" xfId="33668"/>
    <cellStyle name="Normal 33 4 8 10 3 2 3" xfId="33669"/>
    <cellStyle name="Normal 33 4 8 10 3 3" xfId="33670"/>
    <cellStyle name="Normal 33 4 8 10 3 3 2" xfId="33671"/>
    <cellStyle name="Normal 33 4 8 10 3 4" xfId="33672"/>
    <cellStyle name="Normal 33 4 8 10 4" xfId="33673"/>
    <cellStyle name="Normal 33 4 8 10 4 2" xfId="33674"/>
    <cellStyle name="Normal 33 4 8 10 4 2 2" xfId="33675"/>
    <cellStyle name="Normal 33 4 8 10 4 3" xfId="33676"/>
    <cellStyle name="Normal 33 4 8 10 5" xfId="33677"/>
    <cellStyle name="Normal 33 4 8 10 5 2" xfId="33678"/>
    <cellStyle name="Normal 33 4 8 10 6" xfId="33679"/>
    <cellStyle name="Normal 33 4 8 11" xfId="33680"/>
    <cellStyle name="Normal 33 4 8 11 2" xfId="33681"/>
    <cellStyle name="Normal 33 4 8 11 2 2" xfId="33682"/>
    <cellStyle name="Normal 33 4 8 11 2 2 2" xfId="33683"/>
    <cellStyle name="Normal 33 4 8 11 2 2 2 2" xfId="33684"/>
    <cellStyle name="Normal 33 4 8 11 2 2 3" xfId="33685"/>
    <cellStyle name="Normal 33 4 8 11 2 3" xfId="33686"/>
    <cellStyle name="Normal 33 4 8 11 2 3 2" xfId="33687"/>
    <cellStyle name="Normal 33 4 8 11 2 4" xfId="33688"/>
    <cellStyle name="Normal 33 4 8 11 3" xfId="33689"/>
    <cellStyle name="Normal 33 4 8 11 3 2" xfId="33690"/>
    <cellStyle name="Normal 33 4 8 11 3 2 2" xfId="33691"/>
    <cellStyle name="Normal 33 4 8 11 3 2 2 2" xfId="33692"/>
    <cellStyle name="Normal 33 4 8 11 3 2 3" xfId="33693"/>
    <cellStyle name="Normal 33 4 8 11 3 3" xfId="33694"/>
    <cellStyle name="Normal 33 4 8 11 3 3 2" xfId="33695"/>
    <cellStyle name="Normal 33 4 8 11 3 4" xfId="33696"/>
    <cellStyle name="Normal 33 4 8 11 4" xfId="33697"/>
    <cellStyle name="Normal 33 4 8 11 4 2" xfId="33698"/>
    <cellStyle name="Normal 33 4 8 11 4 2 2" xfId="33699"/>
    <cellStyle name="Normal 33 4 8 11 4 3" xfId="33700"/>
    <cellStyle name="Normal 33 4 8 11 5" xfId="33701"/>
    <cellStyle name="Normal 33 4 8 11 5 2" xfId="33702"/>
    <cellStyle name="Normal 33 4 8 11 6" xfId="33703"/>
    <cellStyle name="Normal 33 4 8 12" xfId="33704"/>
    <cellStyle name="Normal 33 4 8 12 2" xfId="33705"/>
    <cellStyle name="Normal 33 4 8 12 2 2" xfId="33706"/>
    <cellStyle name="Normal 33 4 8 12 2 2 2" xfId="33707"/>
    <cellStyle name="Normal 33 4 8 12 2 2 2 2" xfId="33708"/>
    <cellStyle name="Normal 33 4 8 12 2 2 3" xfId="33709"/>
    <cellStyle name="Normal 33 4 8 12 2 3" xfId="33710"/>
    <cellStyle name="Normal 33 4 8 12 2 3 2" xfId="33711"/>
    <cellStyle name="Normal 33 4 8 12 2 4" xfId="33712"/>
    <cellStyle name="Normal 33 4 8 12 3" xfId="33713"/>
    <cellStyle name="Normal 33 4 8 12 3 2" xfId="33714"/>
    <cellStyle name="Normal 33 4 8 12 3 2 2" xfId="33715"/>
    <cellStyle name="Normal 33 4 8 12 3 2 2 2" xfId="33716"/>
    <cellStyle name="Normal 33 4 8 12 3 2 3" xfId="33717"/>
    <cellStyle name="Normal 33 4 8 12 3 3" xfId="33718"/>
    <cellStyle name="Normal 33 4 8 12 3 3 2" xfId="33719"/>
    <cellStyle name="Normal 33 4 8 12 3 4" xfId="33720"/>
    <cellStyle name="Normal 33 4 8 12 4" xfId="33721"/>
    <cellStyle name="Normal 33 4 8 12 4 2" xfId="33722"/>
    <cellStyle name="Normal 33 4 8 12 4 2 2" xfId="33723"/>
    <cellStyle name="Normal 33 4 8 12 4 3" xfId="33724"/>
    <cellStyle name="Normal 33 4 8 12 5" xfId="33725"/>
    <cellStyle name="Normal 33 4 8 12 5 2" xfId="33726"/>
    <cellStyle name="Normal 33 4 8 12 6" xfId="33727"/>
    <cellStyle name="Normal 33 4 8 13" xfId="33728"/>
    <cellStyle name="Normal 33 4 8 13 2" xfId="33729"/>
    <cellStyle name="Normal 33 4 8 13 2 2" xfId="33730"/>
    <cellStyle name="Normal 33 4 8 13 2 2 2" xfId="33731"/>
    <cellStyle name="Normal 33 4 8 13 2 2 2 2" xfId="33732"/>
    <cellStyle name="Normal 33 4 8 13 2 2 3" xfId="33733"/>
    <cellStyle name="Normal 33 4 8 13 2 3" xfId="33734"/>
    <cellStyle name="Normal 33 4 8 13 2 3 2" xfId="33735"/>
    <cellStyle name="Normal 33 4 8 13 2 4" xfId="33736"/>
    <cellStyle name="Normal 33 4 8 13 3" xfId="33737"/>
    <cellStyle name="Normal 33 4 8 13 3 2" xfId="33738"/>
    <cellStyle name="Normal 33 4 8 13 3 2 2" xfId="33739"/>
    <cellStyle name="Normal 33 4 8 13 3 2 2 2" xfId="33740"/>
    <cellStyle name="Normal 33 4 8 13 3 2 3" xfId="33741"/>
    <cellStyle name="Normal 33 4 8 13 3 3" xfId="33742"/>
    <cellStyle name="Normal 33 4 8 13 3 3 2" xfId="33743"/>
    <cellStyle name="Normal 33 4 8 13 3 4" xfId="33744"/>
    <cellStyle name="Normal 33 4 8 13 4" xfId="33745"/>
    <cellStyle name="Normal 33 4 8 13 4 2" xfId="33746"/>
    <cellStyle name="Normal 33 4 8 13 4 2 2" xfId="33747"/>
    <cellStyle name="Normal 33 4 8 13 4 3" xfId="33748"/>
    <cellStyle name="Normal 33 4 8 13 5" xfId="33749"/>
    <cellStyle name="Normal 33 4 8 13 5 2" xfId="33750"/>
    <cellStyle name="Normal 33 4 8 13 6" xfId="33751"/>
    <cellStyle name="Normal 33 4 8 14" xfId="33752"/>
    <cellStyle name="Normal 33 4 8 14 2" xfId="33753"/>
    <cellStyle name="Normal 33 4 8 14 2 2" xfId="33754"/>
    <cellStyle name="Normal 33 4 8 14 2 2 2" xfId="33755"/>
    <cellStyle name="Normal 33 4 8 14 2 3" xfId="33756"/>
    <cellStyle name="Normal 33 4 8 14 3" xfId="33757"/>
    <cellStyle name="Normal 33 4 8 14 3 2" xfId="33758"/>
    <cellStyle name="Normal 33 4 8 14 4" xfId="33759"/>
    <cellStyle name="Normal 33 4 8 15" xfId="33760"/>
    <cellStyle name="Normal 33 4 8 15 2" xfId="33761"/>
    <cellStyle name="Normal 33 4 8 15 2 2" xfId="33762"/>
    <cellStyle name="Normal 33 4 8 15 2 2 2" xfId="33763"/>
    <cellStyle name="Normal 33 4 8 15 2 3" xfId="33764"/>
    <cellStyle name="Normal 33 4 8 15 3" xfId="33765"/>
    <cellStyle name="Normal 33 4 8 15 3 2" xfId="33766"/>
    <cellStyle name="Normal 33 4 8 15 4" xfId="33767"/>
    <cellStyle name="Normal 33 4 8 16" xfId="33768"/>
    <cellStyle name="Normal 33 4 8 16 2" xfId="33769"/>
    <cellStyle name="Normal 33 4 8 16 2 2" xfId="33770"/>
    <cellStyle name="Normal 33 4 8 16 3" xfId="33771"/>
    <cellStyle name="Normal 33 4 8 17" xfId="33772"/>
    <cellStyle name="Normal 33 4 8 17 2" xfId="33773"/>
    <cellStyle name="Normal 33 4 8 18" xfId="33774"/>
    <cellStyle name="Normal 33 4 8 2" xfId="33775"/>
    <cellStyle name="Normal 33 4 8 2 2" xfId="33776"/>
    <cellStyle name="Normal 33 4 8 2 2 2" xfId="33777"/>
    <cellStyle name="Normal 33 4 8 2 2 2 2" xfId="33778"/>
    <cellStyle name="Normal 33 4 8 2 2 2 2 2" xfId="33779"/>
    <cellStyle name="Normal 33 4 8 2 2 2 3" xfId="33780"/>
    <cellStyle name="Normal 33 4 8 2 2 3" xfId="33781"/>
    <cellStyle name="Normal 33 4 8 2 2 3 2" xfId="33782"/>
    <cellStyle name="Normal 33 4 8 2 2 4" xfId="33783"/>
    <cellStyle name="Normal 33 4 8 2 3" xfId="33784"/>
    <cellStyle name="Normal 33 4 8 2 3 2" xfId="33785"/>
    <cellStyle name="Normal 33 4 8 2 3 2 2" xfId="33786"/>
    <cellStyle name="Normal 33 4 8 2 3 2 2 2" xfId="33787"/>
    <cellStyle name="Normal 33 4 8 2 3 2 3" xfId="33788"/>
    <cellStyle name="Normal 33 4 8 2 3 3" xfId="33789"/>
    <cellStyle name="Normal 33 4 8 2 3 3 2" xfId="33790"/>
    <cellStyle name="Normal 33 4 8 2 3 4" xfId="33791"/>
    <cellStyle name="Normal 33 4 8 2 4" xfId="33792"/>
    <cellStyle name="Normal 33 4 8 2 4 2" xfId="33793"/>
    <cellStyle name="Normal 33 4 8 2 4 2 2" xfId="33794"/>
    <cellStyle name="Normal 33 4 8 2 4 3" xfId="33795"/>
    <cellStyle name="Normal 33 4 8 2 5" xfId="33796"/>
    <cellStyle name="Normal 33 4 8 2 5 2" xfId="33797"/>
    <cellStyle name="Normal 33 4 8 2 6" xfId="33798"/>
    <cellStyle name="Normal 33 4 8 3" xfId="33799"/>
    <cellStyle name="Normal 33 4 8 3 2" xfId="33800"/>
    <cellStyle name="Normal 33 4 8 3 2 2" xfId="33801"/>
    <cellStyle name="Normal 33 4 8 3 2 2 2" xfId="33802"/>
    <cellStyle name="Normal 33 4 8 3 2 2 2 2" xfId="33803"/>
    <cellStyle name="Normal 33 4 8 3 2 2 3" xfId="33804"/>
    <cellStyle name="Normal 33 4 8 3 2 3" xfId="33805"/>
    <cellStyle name="Normal 33 4 8 3 2 3 2" xfId="33806"/>
    <cellStyle name="Normal 33 4 8 3 2 4" xfId="33807"/>
    <cellStyle name="Normal 33 4 8 3 3" xfId="33808"/>
    <cellStyle name="Normal 33 4 8 3 3 2" xfId="33809"/>
    <cellStyle name="Normal 33 4 8 3 3 2 2" xfId="33810"/>
    <cellStyle name="Normal 33 4 8 3 3 2 2 2" xfId="33811"/>
    <cellStyle name="Normal 33 4 8 3 3 2 3" xfId="33812"/>
    <cellStyle name="Normal 33 4 8 3 3 3" xfId="33813"/>
    <cellStyle name="Normal 33 4 8 3 3 3 2" xfId="33814"/>
    <cellStyle name="Normal 33 4 8 3 3 4" xfId="33815"/>
    <cellStyle name="Normal 33 4 8 3 4" xfId="33816"/>
    <cellStyle name="Normal 33 4 8 3 4 2" xfId="33817"/>
    <cellStyle name="Normal 33 4 8 3 4 2 2" xfId="33818"/>
    <cellStyle name="Normal 33 4 8 3 4 3" xfId="33819"/>
    <cellStyle name="Normal 33 4 8 3 5" xfId="33820"/>
    <cellStyle name="Normal 33 4 8 3 5 2" xfId="33821"/>
    <cellStyle name="Normal 33 4 8 3 6" xfId="33822"/>
    <cellStyle name="Normal 33 4 8 4" xfId="33823"/>
    <cellStyle name="Normal 33 4 8 4 2" xfId="33824"/>
    <cellStyle name="Normal 33 4 8 4 2 2" xfId="33825"/>
    <cellStyle name="Normal 33 4 8 4 2 2 2" xfId="33826"/>
    <cellStyle name="Normal 33 4 8 4 2 2 2 2" xfId="33827"/>
    <cellStyle name="Normal 33 4 8 4 2 2 3" xfId="33828"/>
    <cellStyle name="Normal 33 4 8 4 2 3" xfId="33829"/>
    <cellStyle name="Normal 33 4 8 4 2 3 2" xfId="33830"/>
    <cellStyle name="Normal 33 4 8 4 2 4" xfId="33831"/>
    <cellStyle name="Normal 33 4 8 4 3" xfId="33832"/>
    <cellStyle name="Normal 33 4 8 4 3 2" xfId="33833"/>
    <cellStyle name="Normal 33 4 8 4 3 2 2" xfId="33834"/>
    <cellStyle name="Normal 33 4 8 4 3 2 2 2" xfId="33835"/>
    <cellStyle name="Normal 33 4 8 4 3 2 3" xfId="33836"/>
    <cellStyle name="Normal 33 4 8 4 3 3" xfId="33837"/>
    <cellStyle name="Normal 33 4 8 4 3 3 2" xfId="33838"/>
    <cellStyle name="Normal 33 4 8 4 3 4" xfId="33839"/>
    <cellStyle name="Normal 33 4 8 4 4" xfId="33840"/>
    <cellStyle name="Normal 33 4 8 4 4 2" xfId="33841"/>
    <cellStyle name="Normal 33 4 8 4 4 2 2" xfId="33842"/>
    <cellStyle name="Normal 33 4 8 4 4 3" xfId="33843"/>
    <cellStyle name="Normal 33 4 8 4 5" xfId="33844"/>
    <cellStyle name="Normal 33 4 8 4 5 2" xfId="33845"/>
    <cellStyle name="Normal 33 4 8 4 6" xfId="33846"/>
    <cellStyle name="Normal 33 4 8 5" xfId="33847"/>
    <cellStyle name="Normal 33 4 8 5 2" xfId="33848"/>
    <cellStyle name="Normal 33 4 8 5 2 2" xfId="33849"/>
    <cellStyle name="Normal 33 4 8 5 2 2 2" xfId="33850"/>
    <cellStyle name="Normal 33 4 8 5 2 2 2 2" xfId="33851"/>
    <cellStyle name="Normal 33 4 8 5 2 2 3" xfId="33852"/>
    <cellStyle name="Normal 33 4 8 5 2 3" xfId="33853"/>
    <cellStyle name="Normal 33 4 8 5 2 3 2" xfId="33854"/>
    <cellStyle name="Normal 33 4 8 5 2 4" xfId="33855"/>
    <cellStyle name="Normal 33 4 8 5 3" xfId="33856"/>
    <cellStyle name="Normal 33 4 8 5 3 2" xfId="33857"/>
    <cellStyle name="Normal 33 4 8 5 3 2 2" xfId="33858"/>
    <cellStyle name="Normal 33 4 8 5 3 2 2 2" xfId="33859"/>
    <cellStyle name="Normal 33 4 8 5 3 2 3" xfId="33860"/>
    <cellStyle name="Normal 33 4 8 5 3 3" xfId="33861"/>
    <cellStyle name="Normal 33 4 8 5 3 3 2" xfId="33862"/>
    <cellStyle name="Normal 33 4 8 5 3 4" xfId="33863"/>
    <cellStyle name="Normal 33 4 8 5 4" xfId="33864"/>
    <cellStyle name="Normal 33 4 8 5 4 2" xfId="33865"/>
    <cellStyle name="Normal 33 4 8 5 4 2 2" xfId="33866"/>
    <cellStyle name="Normal 33 4 8 5 4 3" xfId="33867"/>
    <cellStyle name="Normal 33 4 8 5 5" xfId="33868"/>
    <cellStyle name="Normal 33 4 8 5 5 2" xfId="33869"/>
    <cellStyle name="Normal 33 4 8 5 6" xfId="33870"/>
    <cellStyle name="Normal 33 4 8 6" xfId="33871"/>
    <cellStyle name="Normal 33 4 8 6 2" xfId="33872"/>
    <cellStyle name="Normal 33 4 8 6 2 2" xfId="33873"/>
    <cellStyle name="Normal 33 4 8 6 2 2 2" xfId="33874"/>
    <cellStyle name="Normal 33 4 8 6 2 2 2 2" xfId="33875"/>
    <cellStyle name="Normal 33 4 8 6 2 2 3" xfId="33876"/>
    <cellStyle name="Normal 33 4 8 6 2 3" xfId="33877"/>
    <cellStyle name="Normal 33 4 8 6 2 3 2" xfId="33878"/>
    <cellStyle name="Normal 33 4 8 6 2 4" xfId="33879"/>
    <cellStyle name="Normal 33 4 8 6 3" xfId="33880"/>
    <cellStyle name="Normal 33 4 8 6 3 2" xfId="33881"/>
    <cellStyle name="Normal 33 4 8 6 3 2 2" xfId="33882"/>
    <cellStyle name="Normal 33 4 8 6 3 2 2 2" xfId="33883"/>
    <cellStyle name="Normal 33 4 8 6 3 2 3" xfId="33884"/>
    <cellStyle name="Normal 33 4 8 6 3 3" xfId="33885"/>
    <cellStyle name="Normal 33 4 8 6 3 3 2" xfId="33886"/>
    <cellStyle name="Normal 33 4 8 6 3 4" xfId="33887"/>
    <cellStyle name="Normal 33 4 8 6 4" xfId="33888"/>
    <cellStyle name="Normal 33 4 8 6 4 2" xfId="33889"/>
    <cellStyle name="Normal 33 4 8 6 4 2 2" xfId="33890"/>
    <cellStyle name="Normal 33 4 8 6 4 3" xfId="33891"/>
    <cellStyle name="Normal 33 4 8 6 5" xfId="33892"/>
    <cellStyle name="Normal 33 4 8 6 5 2" xfId="33893"/>
    <cellStyle name="Normal 33 4 8 6 6" xfId="33894"/>
    <cellStyle name="Normal 33 4 8 7" xfId="33895"/>
    <cellStyle name="Normal 33 4 8 7 2" xfId="33896"/>
    <cellStyle name="Normal 33 4 8 7 2 2" xfId="33897"/>
    <cellStyle name="Normal 33 4 8 7 2 2 2" xfId="33898"/>
    <cellStyle name="Normal 33 4 8 7 2 2 2 2" xfId="33899"/>
    <cellStyle name="Normal 33 4 8 7 2 2 3" xfId="33900"/>
    <cellStyle name="Normal 33 4 8 7 2 3" xfId="33901"/>
    <cellStyle name="Normal 33 4 8 7 2 3 2" xfId="33902"/>
    <cellStyle name="Normal 33 4 8 7 2 4" xfId="33903"/>
    <cellStyle name="Normal 33 4 8 7 3" xfId="33904"/>
    <cellStyle name="Normal 33 4 8 7 3 2" xfId="33905"/>
    <cellStyle name="Normal 33 4 8 7 3 2 2" xfId="33906"/>
    <cellStyle name="Normal 33 4 8 7 3 2 2 2" xfId="33907"/>
    <cellStyle name="Normal 33 4 8 7 3 2 3" xfId="33908"/>
    <cellStyle name="Normal 33 4 8 7 3 3" xfId="33909"/>
    <cellStyle name="Normal 33 4 8 7 3 3 2" xfId="33910"/>
    <cellStyle name="Normal 33 4 8 7 3 4" xfId="33911"/>
    <cellStyle name="Normal 33 4 8 7 4" xfId="33912"/>
    <cellStyle name="Normal 33 4 8 7 4 2" xfId="33913"/>
    <cellStyle name="Normal 33 4 8 7 4 2 2" xfId="33914"/>
    <cellStyle name="Normal 33 4 8 7 4 3" xfId="33915"/>
    <cellStyle name="Normal 33 4 8 7 5" xfId="33916"/>
    <cellStyle name="Normal 33 4 8 7 5 2" xfId="33917"/>
    <cellStyle name="Normal 33 4 8 7 6" xfId="33918"/>
    <cellStyle name="Normal 33 4 8 8" xfId="33919"/>
    <cellStyle name="Normal 33 4 8 8 2" xfId="33920"/>
    <cellStyle name="Normal 33 4 8 8 2 2" xfId="33921"/>
    <cellStyle name="Normal 33 4 8 8 2 2 2" xfId="33922"/>
    <cellStyle name="Normal 33 4 8 8 2 2 2 2" xfId="33923"/>
    <cellStyle name="Normal 33 4 8 8 2 2 3" xfId="33924"/>
    <cellStyle name="Normal 33 4 8 8 2 3" xfId="33925"/>
    <cellStyle name="Normal 33 4 8 8 2 3 2" xfId="33926"/>
    <cellStyle name="Normal 33 4 8 8 2 4" xfId="33927"/>
    <cellStyle name="Normal 33 4 8 8 3" xfId="33928"/>
    <cellStyle name="Normal 33 4 8 8 3 2" xfId="33929"/>
    <cellStyle name="Normal 33 4 8 8 3 2 2" xfId="33930"/>
    <cellStyle name="Normal 33 4 8 8 3 2 2 2" xfId="33931"/>
    <cellStyle name="Normal 33 4 8 8 3 2 3" xfId="33932"/>
    <cellStyle name="Normal 33 4 8 8 3 3" xfId="33933"/>
    <cellStyle name="Normal 33 4 8 8 3 3 2" xfId="33934"/>
    <cellStyle name="Normal 33 4 8 8 3 4" xfId="33935"/>
    <cellStyle name="Normal 33 4 8 8 4" xfId="33936"/>
    <cellStyle name="Normal 33 4 8 8 4 2" xfId="33937"/>
    <cellStyle name="Normal 33 4 8 8 4 2 2" xfId="33938"/>
    <cellStyle name="Normal 33 4 8 8 4 3" xfId="33939"/>
    <cellStyle name="Normal 33 4 8 8 5" xfId="33940"/>
    <cellStyle name="Normal 33 4 8 8 5 2" xfId="33941"/>
    <cellStyle name="Normal 33 4 8 8 6" xfId="33942"/>
    <cellStyle name="Normal 33 4 8 9" xfId="33943"/>
    <cellStyle name="Normal 33 4 8 9 2" xfId="33944"/>
    <cellStyle name="Normal 33 4 8 9 2 2" xfId="33945"/>
    <cellStyle name="Normal 33 4 8 9 2 2 2" xfId="33946"/>
    <cellStyle name="Normal 33 4 8 9 2 2 2 2" xfId="33947"/>
    <cellStyle name="Normal 33 4 8 9 2 2 3" xfId="33948"/>
    <cellStyle name="Normal 33 4 8 9 2 3" xfId="33949"/>
    <cellStyle name="Normal 33 4 8 9 2 3 2" xfId="33950"/>
    <cellStyle name="Normal 33 4 8 9 2 4" xfId="33951"/>
    <cellStyle name="Normal 33 4 8 9 3" xfId="33952"/>
    <cellStyle name="Normal 33 4 8 9 3 2" xfId="33953"/>
    <cellStyle name="Normal 33 4 8 9 3 2 2" xfId="33954"/>
    <cellStyle name="Normal 33 4 8 9 3 2 2 2" xfId="33955"/>
    <cellStyle name="Normal 33 4 8 9 3 2 3" xfId="33956"/>
    <cellStyle name="Normal 33 4 8 9 3 3" xfId="33957"/>
    <cellStyle name="Normal 33 4 8 9 3 3 2" xfId="33958"/>
    <cellStyle name="Normal 33 4 8 9 3 4" xfId="33959"/>
    <cellStyle name="Normal 33 4 8 9 4" xfId="33960"/>
    <cellStyle name="Normal 33 4 8 9 4 2" xfId="33961"/>
    <cellStyle name="Normal 33 4 8 9 4 2 2" xfId="33962"/>
    <cellStyle name="Normal 33 4 8 9 4 3" xfId="33963"/>
    <cellStyle name="Normal 33 4 8 9 5" xfId="33964"/>
    <cellStyle name="Normal 33 4 8 9 5 2" xfId="33965"/>
    <cellStyle name="Normal 33 4 8 9 6" xfId="33966"/>
    <cellStyle name="Normal 33 4 9" xfId="33967"/>
    <cellStyle name="Normal 33 4 9 10" xfId="33968"/>
    <cellStyle name="Normal 33 4 9 10 2" xfId="33969"/>
    <cellStyle name="Normal 33 4 9 10 2 2" xfId="33970"/>
    <cellStyle name="Normal 33 4 9 10 2 2 2" xfId="33971"/>
    <cellStyle name="Normal 33 4 9 10 2 2 2 2" xfId="33972"/>
    <cellStyle name="Normal 33 4 9 10 2 2 3" xfId="33973"/>
    <cellStyle name="Normal 33 4 9 10 2 3" xfId="33974"/>
    <cellStyle name="Normal 33 4 9 10 2 3 2" xfId="33975"/>
    <cellStyle name="Normal 33 4 9 10 2 4" xfId="33976"/>
    <cellStyle name="Normal 33 4 9 10 3" xfId="33977"/>
    <cellStyle name="Normal 33 4 9 10 3 2" xfId="33978"/>
    <cellStyle name="Normal 33 4 9 10 3 2 2" xfId="33979"/>
    <cellStyle name="Normal 33 4 9 10 3 2 2 2" xfId="33980"/>
    <cellStyle name="Normal 33 4 9 10 3 2 3" xfId="33981"/>
    <cellStyle name="Normal 33 4 9 10 3 3" xfId="33982"/>
    <cellStyle name="Normal 33 4 9 10 3 3 2" xfId="33983"/>
    <cellStyle name="Normal 33 4 9 10 3 4" xfId="33984"/>
    <cellStyle name="Normal 33 4 9 10 4" xfId="33985"/>
    <cellStyle name="Normal 33 4 9 10 4 2" xfId="33986"/>
    <cellStyle name="Normal 33 4 9 10 4 2 2" xfId="33987"/>
    <cellStyle name="Normal 33 4 9 10 4 3" xfId="33988"/>
    <cellStyle name="Normal 33 4 9 10 5" xfId="33989"/>
    <cellStyle name="Normal 33 4 9 10 5 2" xfId="33990"/>
    <cellStyle name="Normal 33 4 9 10 6" xfId="33991"/>
    <cellStyle name="Normal 33 4 9 11" xfId="33992"/>
    <cellStyle name="Normal 33 4 9 11 2" xfId="33993"/>
    <cellStyle name="Normal 33 4 9 11 2 2" xfId="33994"/>
    <cellStyle name="Normal 33 4 9 11 2 2 2" xfId="33995"/>
    <cellStyle name="Normal 33 4 9 11 2 2 2 2" xfId="33996"/>
    <cellStyle name="Normal 33 4 9 11 2 2 3" xfId="33997"/>
    <cellStyle name="Normal 33 4 9 11 2 3" xfId="33998"/>
    <cellStyle name="Normal 33 4 9 11 2 3 2" xfId="33999"/>
    <cellStyle name="Normal 33 4 9 11 2 4" xfId="34000"/>
    <cellStyle name="Normal 33 4 9 11 3" xfId="34001"/>
    <cellStyle name="Normal 33 4 9 11 3 2" xfId="34002"/>
    <cellStyle name="Normal 33 4 9 11 3 2 2" xfId="34003"/>
    <cellStyle name="Normal 33 4 9 11 3 2 2 2" xfId="34004"/>
    <cellStyle name="Normal 33 4 9 11 3 2 3" xfId="34005"/>
    <cellStyle name="Normal 33 4 9 11 3 3" xfId="34006"/>
    <cellStyle name="Normal 33 4 9 11 3 3 2" xfId="34007"/>
    <cellStyle name="Normal 33 4 9 11 3 4" xfId="34008"/>
    <cellStyle name="Normal 33 4 9 11 4" xfId="34009"/>
    <cellStyle name="Normal 33 4 9 11 4 2" xfId="34010"/>
    <cellStyle name="Normal 33 4 9 11 4 2 2" xfId="34011"/>
    <cellStyle name="Normal 33 4 9 11 4 3" xfId="34012"/>
    <cellStyle name="Normal 33 4 9 11 5" xfId="34013"/>
    <cellStyle name="Normal 33 4 9 11 5 2" xfId="34014"/>
    <cellStyle name="Normal 33 4 9 11 6" xfId="34015"/>
    <cellStyle name="Normal 33 4 9 12" xfId="34016"/>
    <cellStyle name="Normal 33 4 9 12 2" xfId="34017"/>
    <cellStyle name="Normal 33 4 9 12 2 2" xfId="34018"/>
    <cellStyle name="Normal 33 4 9 12 2 2 2" xfId="34019"/>
    <cellStyle name="Normal 33 4 9 12 2 2 2 2" xfId="34020"/>
    <cellStyle name="Normal 33 4 9 12 2 2 3" xfId="34021"/>
    <cellStyle name="Normal 33 4 9 12 2 3" xfId="34022"/>
    <cellStyle name="Normal 33 4 9 12 2 3 2" xfId="34023"/>
    <cellStyle name="Normal 33 4 9 12 2 4" xfId="34024"/>
    <cellStyle name="Normal 33 4 9 12 3" xfId="34025"/>
    <cellStyle name="Normal 33 4 9 12 3 2" xfId="34026"/>
    <cellStyle name="Normal 33 4 9 12 3 2 2" xfId="34027"/>
    <cellStyle name="Normal 33 4 9 12 3 2 2 2" xfId="34028"/>
    <cellStyle name="Normal 33 4 9 12 3 2 3" xfId="34029"/>
    <cellStyle name="Normal 33 4 9 12 3 3" xfId="34030"/>
    <cellStyle name="Normal 33 4 9 12 3 3 2" xfId="34031"/>
    <cellStyle name="Normal 33 4 9 12 3 4" xfId="34032"/>
    <cellStyle name="Normal 33 4 9 12 4" xfId="34033"/>
    <cellStyle name="Normal 33 4 9 12 4 2" xfId="34034"/>
    <cellStyle name="Normal 33 4 9 12 4 2 2" xfId="34035"/>
    <cellStyle name="Normal 33 4 9 12 4 3" xfId="34036"/>
    <cellStyle name="Normal 33 4 9 12 5" xfId="34037"/>
    <cellStyle name="Normal 33 4 9 12 5 2" xfId="34038"/>
    <cellStyle name="Normal 33 4 9 12 6" xfId="34039"/>
    <cellStyle name="Normal 33 4 9 13" xfId="34040"/>
    <cellStyle name="Normal 33 4 9 13 2" xfId="34041"/>
    <cellStyle name="Normal 33 4 9 13 2 2" xfId="34042"/>
    <cellStyle name="Normal 33 4 9 13 2 2 2" xfId="34043"/>
    <cellStyle name="Normal 33 4 9 13 2 2 2 2" xfId="34044"/>
    <cellStyle name="Normal 33 4 9 13 2 2 3" xfId="34045"/>
    <cellStyle name="Normal 33 4 9 13 2 3" xfId="34046"/>
    <cellStyle name="Normal 33 4 9 13 2 3 2" xfId="34047"/>
    <cellStyle name="Normal 33 4 9 13 2 4" xfId="34048"/>
    <cellStyle name="Normal 33 4 9 13 3" xfId="34049"/>
    <cellStyle name="Normal 33 4 9 13 3 2" xfId="34050"/>
    <cellStyle name="Normal 33 4 9 13 3 2 2" xfId="34051"/>
    <cellStyle name="Normal 33 4 9 13 3 2 2 2" xfId="34052"/>
    <cellStyle name="Normal 33 4 9 13 3 2 3" xfId="34053"/>
    <cellStyle name="Normal 33 4 9 13 3 3" xfId="34054"/>
    <cellStyle name="Normal 33 4 9 13 3 3 2" xfId="34055"/>
    <cellStyle name="Normal 33 4 9 13 3 4" xfId="34056"/>
    <cellStyle name="Normal 33 4 9 13 4" xfId="34057"/>
    <cellStyle name="Normal 33 4 9 13 4 2" xfId="34058"/>
    <cellStyle name="Normal 33 4 9 13 4 2 2" xfId="34059"/>
    <cellStyle name="Normal 33 4 9 13 4 3" xfId="34060"/>
    <cellStyle name="Normal 33 4 9 13 5" xfId="34061"/>
    <cellStyle name="Normal 33 4 9 13 5 2" xfId="34062"/>
    <cellStyle name="Normal 33 4 9 13 6" xfId="34063"/>
    <cellStyle name="Normal 33 4 9 14" xfId="34064"/>
    <cellStyle name="Normal 33 4 9 14 2" xfId="34065"/>
    <cellStyle name="Normal 33 4 9 14 2 2" xfId="34066"/>
    <cellStyle name="Normal 33 4 9 14 2 2 2" xfId="34067"/>
    <cellStyle name="Normal 33 4 9 14 2 3" xfId="34068"/>
    <cellStyle name="Normal 33 4 9 14 3" xfId="34069"/>
    <cellStyle name="Normal 33 4 9 14 3 2" xfId="34070"/>
    <cellStyle name="Normal 33 4 9 14 4" xfId="34071"/>
    <cellStyle name="Normal 33 4 9 15" xfId="34072"/>
    <cellStyle name="Normal 33 4 9 15 2" xfId="34073"/>
    <cellStyle name="Normal 33 4 9 15 2 2" xfId="34074"/>
    <cellStyle name="Normal 33 4 9 15 2 2 2" xfId="34075"/>
    <cellStyle name="Normal 33 4 9 15 2 3" xfId="34076"/>
    <cellStyle name="Normal 33 4 9 15 3" xfId="34077"/>
    <cellStyle name="Normal 33 4 9 15 3 2" xfId="34078"/>
    <cellStyle name="Normal 33 4 9 15 4" xfId="34079"/>
    <cellStyle name="Normal 33 4 9 16" xfId="34080"/>
    <cellStyle name="Normal 33 4 9 16 2" xfId="34081"/>
    <cellStyle name="Normal 33 4 9 16 2 2" xfId="34082"/>
    <cellStyle name="Normal 33 4 9 16 3" xfId="34083"/>
    <cellStyle name="Normal 33 4 9 17" xfId="34084"/>
    <cellStyle name="Normal 33 4 9 17 2" xfId="34085"/>
    <cellStyle name="Normal 33 4 9 18" xfId="34086"/>
    <cellStyle name="Normal 33 4 9 2" xfId="34087"/>
    <cellStyle name="Normal 33 4 9 2 2" xfId="34088"/>
    <cellStyle name="Normal 33 4 9 2 2 2" xfId="34089"/>
    <cellStyle name="Normal 33 4 9 2 2 2 2" xfId="34090"/>
    <cellStyle name="Normal 33 4 9 2 2 2 2 2" xfId="34091"/>
    <cellStyle name="Normal 33 4 9 2 2 2 3" xfId="34092"/>
    <cellStyle name="Normal 33 4 9 2 2 3" xfId="34093"/>
    <cellStyle name="Normal 33 4 9 2 2 3 2" xfId="34094"/>
    <cellStyle name="Normal 33 4 9 2 2 4" xfId="34095"/>
    <cellStyle name="Normal 33 4 9 2 3" xfId="34096"/>
    <cellStyle name="Normal 33 4 9 2 3 2" xfId="34097"/>
    <cellStyle name="Normal 33 4 9 2 3 2 2" xfId="34098"/>
    <cellStyle name="Normal 33 4 9 2 3 2 2 2" xfId="34099"/>
    <cellStyle name="Normal 33 4 9 2 3 2 3" xfId="34100"/>
    <cellStyle name="Normal 33 4 9 2 3 3" xfId="34101"/>
    <cellStyle name="Normal 33 4 9 2 3 3 2" xfId="34102"/>
    <cellStyle name="Normal 33 4 9 2 3 4" xfId="34103"/>
    <cellStyle name="Normal 33 4 9 2 4" xfId="34104"/>
    <cellStyle name="Normal 33 4 9 2 4 2" xfId="34105"/>
    <cellStyle name="Normal 33 4 9 2 4 2 2" xfId="34106"/>
    <cellStyle name="Normal 33 4 9 2 4 3" xfId="34107"/>
    <cellStyle name="Normal 33 4 9 2 5" xfId="34108"/>
    <cellStyle name="Normal 33 4 9 2 5 2" xfId="34109"/>
    <cellStyle name="Normal 33 4 9 2 6" xfId="34110"/>
    <cellStyle name="Normal 33 4 9 3" xfId="34111"/>
    <cellStyle name="Normal 33 4 9 3 2" xfId="34112"/>
    <cellStyle name="Normal 33 4 9 3 2 2" xfId="34113"/>
    <cellStyle name="Normal 33 4 9 3 2 2 2" xfId="34114"/>
    <cellStyle name="Normal 33 4 9 3 2 2 2 2" xfId="34115"/>
    <cellStyle name="Normal 33 4 9 3 2 2 3" xfId="34116"/>
    <cellStyle name="Normal 33 4 9 3 2 3" xfId="34117"/>
    <cellStyle name="Normal 33 4 9 3 2 3 2" xfId="34118"/>
    <cellStyle name="Normal 33 4 9 3 2 4" xfId="34119"/>
    <cellStyle name="Normal 33 4 9 3 3" xfId="34120"/>
    <cellStyle name="Normal 33 4 9 3 3 2" xfId="34121"/>
    <cellStyle name="Normal 33 4 9 3 3 2 2" xfId="34122"/>
    <cellStyle name="Normal 33 4 9 3 3 2 2 2" xfId="34123"/>
    <cellStyle name="Normal 33 4 9 3 3 2 3" xfId="34124"/>
    <cellStyle name="Normal 33 4 9 3 3 3" xfId="34125"/>
    <cellStyle name="Normal 33 4 9 3 3 3 2" xfId="34126"/>
    <cellStyle name="Normal 33 4 9 3 3 4" xfId="34127"/>
    <cellStyle name="Normal 33 4 9 3 4" xfId="34128"/>
    <cellStyle name="Normal 33 4 9 3 4 2" xfId="34129"/>
    <cellStyle name="Normal 33 4 9 3 4 2 2" xfId="34130"/>
    <cellStyle name="Normal 33 4 9 3 4 3" xfId="34131"/>
    <cellStyle name="Normal 33 4 9 3 5" xfId="34132"/>
    <cellStyle name="Normal 33 4 9 3 5 2" xfId="34133"/>
    <cellStyle name="Normal 33 4 9 3 6" xfId="34134"/>
    <cellStyle name="Normal 33 4 9 4" xfId="34135"/>
    <cellStyle name="Normal 33 4 9 4 2" xfId="34136"/>
    <cellStyle name="Normal 33 4 9 4 2 2" xfId="34137"/>
    <cellStyle name="Normal 33 4 9 4 2 2 2" xfId="34138"/>
    <cellStyle name="Normal 33 4 9 4 2 2 2 2" xfId="34139"/>
    <cellStyle name="Normal 33 4 9 4 2 2 3" xfId="34140"/>
    <cellStyle name="Normal 33 4 9 4 2 3" xfId="34141"/>
    <cellStyle name="Normal 33 4 9 4 2 3 2" xfId="34142"/>
    <cellStyle name="Normal 33 4 9 4 2 4" xfId="34143"/>
    <cellStyle name="Normal 33 4 9 4 3" xfId="34144"/>
    <cellStyle name="Normal 33 4 9 4 3 2" xfId="34145"/>
    <cellStyle name="Normal 33 4 9 4 3 2 2" xfId="34146"/>
    <cellStyle name="Normal 33 4 9 4 3 2 2 2" xfId="34147"/>
    <cellStyle name="Normal 33 4 9 4 3 2 3" xfId="34148"/>
    <cellStyle name="Normal 33 4 9 4 3 3" xfId="34149"/>
    <cellStyle name="Normal 33 4 9 4 3 3 2" xfId="34150"/>
    <cellStyle name="Normal 33 4 9 4 3 4" xfId="34151"/>
    <cellStyle name="Normal 33 4 9 4 4" xfId="34152"/>
    <cellStyle name="Normal 33 4 9 4 4 2" xfId="34153"/>
    <cellStyle name="Normal 33 4 9 4 4 2 2" xfId="34154"/>
    <cellStyle name="Normal 33 4 9 4 4 3" xfId="34155"/>
    <cellStyle name="Normal 33 4 9 4 5" xfId="34156"/>
    <cellStyle name="Normal 33 4 9 4 5 2" xfId="34157"/>
    <cellStyle name="Normal 33 4 9 4 6" xfId="34158"/>
    <cellStyle name="Normal 33 4 9 5" xfId="34159"/>
    <cellStyle name="Normal 33 4 9 5 2" xfId="34160"/>
    <cellStyle name="Normal 33 4 9 5 2 2" xfId="34161"/>
    <cellStyle name="Normal 33 4 9 5 2 2 2" xfId="34162"/>
    <cellStyle name="Normal 33 4 9 5 2 2 2 2" xfId="34163"/>
    <cellStyle name="Normal 33 4 9 5 2 2 3" xfId="34164"/>
    <cellStyle name="Normal 33 4 9 5 2 3" xfId="34165"/>
    <cellStyle name="Normal 33 4 9 5 2 3 2" xfId="34166"/>
    <cellStyle name="Normal 33 4 9 5 2 4" xfId="34167"/>
    <cellStyle name="Normal 33 4 9 5 3" xfId="34168"/>
    <cellStyle name="Normal 33 4 9 5 3 2" xfId="34169"/>
    <cellStyle name="Normal 33 4 9 5 3 2 2" xfId="34170"/>
    <cellStyle name="Normal 33 4 9 5 3 2 2 2" xfId="34171"/>
    <cellStyle name="Normal 33 4 9 5 3 2 3" xfId="34172"/>
    <cellStyle name="Normal 33 4 9 5 3 3" xfId="34173"/>
    <cellStyle name="Normal 33 4 9 5 3 3 2" xfId="34174"/>
    <cellStyle name="Normal 33 4 9 5 3 4" xfId="34175"/>
    <cellStyle name="Normal 33 4 9 5 4" xfId="34176"/>
    <cellStyle name="Normal 33 4 9 5 4 2" xfId="34177"/>
    <cellStyle name="Normal 33 4 9 5 4 2 2" xfId="34178"/>
    <cellStyle name="Normal 33 4 9 5 4 3" xfId="34179"/>
    <cellStyle name="Normal 33 4 9 5 5" xfId="34180"/>
    <cellStyle name="Normal 33 4 9 5 5 2" xfId="34181"/>
    <cellStyle name="Normal 33 4 9 5 6" xfId="34182"/>
    <cellStyle name="Normal 33 4 9 6" xfId="34183"/>
    <cellStyle name="Normal 33 4 9 6 2" xfId="34184"/>
    <cellStyle name="Normal 33 4 9 6 2 2" xfId="34185"/>
    <cellStyle name="Normal 33 4 9 6 2 2 2" xfId="34186"/>
    <cellStyle name="Normal 33 4 9 6 2 2 2 2" xfId="34187"/>
    <cellStyle name="Normal 33 4 9 6 2 2 3" xfId="34188"/>
    <cellStyle name="Normal 33 4 9 6 2 3" xfId="34189"/>
    <cellStyle name="Normal 33 4 9 6 2 3 2" xfId="34190"/>
    <cellStyle name="Normal 33 4 9 6 2 4" xfId="34191"/>
    <cellStyle name="Normal 33 4 9 6 3" xfId="34192"/>
    <cellStyle name="Normal 33 4 9 6 3 2" xfId="34193"/>
    <cellStyle name="Normal 33 4 9 6 3 2 2" xfId="34194"/>
    <cellStyle name="Normal 33 4 9 6 3 2 2 2" xfId="34195"/>
    <cellStyle name="Normal 33 4 9 6 3 2 3" xfId="34196"/>
    <cellStyle name="Normal 33 4 9 6 3 3" xfId="34197"/>
    <cellStyle name="Normal 33 4 9 6 3 3 2" xfId="34198"/>
    <cellStyle name="Normal 33 4 9 6 3 4" xfId="34199"/>
    <cellStyle name="Normal 33 4 9 6 4" xfId="34200"/>
    <cellStyle name="Normal 33 4 9 6 4 2" xfId="34201"/>
    <cellStyle name="Normal 33 4 9 6 4 2 2" xfId="34202"/>
    <cellStyle name="Normal 33 4 9 6 4 3" xfId="34203"/>
    <cellStyle name="Normal 33 4 9 6 5" xfId="34204"/>
    <cellStyle name="Normal 33 4 9 6 5 2" xfId="34205"/>
    <cellStyle name="Normal 33 4 9 6 6" xfId="34206"/>
    <cellStyle name="Normal 33 4 9 7" xfId="34207"/>
    <cellStyle name="Normal 33 4 9 7 2" xfId="34208"/>
    <cellStyle name="Normal 33 4 9 7 2 2" xfId="34209"/>
    <cellStyle name="Normal 33 4 9 7 2 2 2" xfId="34210"/>
    <cellStyle name="Normal 33 4 9 7 2 2 2 2" xfId="34211"/>
    <cellStyle name="Normal 33 4 9 7 2 2 3" xfId="34212"/>
    <cellStyle name="Normal 33 4 9 7 2 3" xfId="34213"/>
    <cellStyle name="Normal 33 4 9 7 2 3 2" xfId="34214"/>
    <cellStyle name="Normal 33 4 9 7 2 4" xfId="34215"/>
    <cellStyle name="Normal 33 4 9 7 3" xfId="34216"/>
    <cellStyle name="Normal 33 4 9 7 3 2" xfId="34217"/>
    <cellStyle name="Normal 33 4 9 7 3 2 2" xfId="34218"/>
    <cellStyle name="Normal 33 4 9 7 3 2 2 2" xfId="34219"/>
    <cellStyle name="Normal 33 4 9 7 3 2 3" xfId="34220"/>
    <cellStyle name="Normal 33 4 9 7 3 3" xfId="34221"/>
    <cellStyle name="Normal 33 4 9 7 3 3 2" xfId="34222"/>
    <cellStyle name="Normal 33 4 9 7 3 4" xfId="34223"/>
    <cellStyle name="Normal 33 4 9 7 4" xfId="34224"/>
    <cellStyle name="Normal 33 4 9 7 4 2" xfId="34225"/>
    <cellStyle name="Normal 33 4 9 7 4 2 2" xfId="34226"/>
    <cellStyle name="Normal 33 4 9 7 4 3" xfId="34227"/>
    <cellStyle name="Normal 33 4 9 7 5" xfId="34228"/>
    <cellStyle name="Normal 33 4 9 7 5 2" xfId="34229"/>
    <cellStyle name="Normal 33 4 9 7 6" xfId="34230"/>
    <cellStyle name="Normal 33 4 9 8" xfId="34231"/>
    <cellStyle name="Normal 33 4 9 8 2" xfId="34232"/>
    <cellStyle name="Normal 33 4 9 8 2 2" xfId="34233"/>
    <cellStyle name="Normal 33 4 9 8 2 2 2" xfId="34234"/>
    <cellStyle name="Normal 33 4 9 8 2 2 2 2" xfId="34235"/>
    <cellStyle name="Normal 33 4 9 8 2 2 3" xfId="34236"/>
    <cellStyle name="Normal 33 4 9 8 2 3" xfId="34237"/>
    <cellStyle name="Normal 33 4 9 8 2 3 2" xfId="34238"/>
    <cellStyle name="Normal 33 4 9 8 2 4" xfId="34239"/>
    <cellStyle name="Normal 33 4 9 8 3" xfId="34240"/>
    <cellStyle name="Normal 33 4 9 8 3 2" xfId="34241"/>
    <cellStyle name="Normal 33 4 9 8 3 2 2" xfId="34242"/>
    <cellStyle name="Normal 33 4 9 8 3 2 2 2" xfId="34243"/>
    <cellStyle name="Normal 33 4 9 8 3 2 3" xfId="34244"/>
    <cellStyle name="Normal 33 4 9 8 3 3" xfId="34245"/>
    <cellStyle name="Normal 33 4 9 8 3 3 2" xfId="34246"/>
    <cellStyle name="Normal 33 4 9 8 3 4" xfId="34247"/>
    <cellStyle name="Normal 33 4 9 8 4" xfId="34248"/>
    <cellStyle name="Normal 33 4 9 8 4 2" xfId="34249"/>
    <cellStyle name="Normal 33 4 9 8 4 2 2" xfId="34250"/>
    <cellStyle name="Normal 33 4 9 8 4 3" xfId="34251"/>
    <cellStyle name="Normal 33 4 9 8 5" xfId="34252"/>
    <cellStyle name="Normal 33 4 9 8 5 2" xfId="34253"/>
    <cellStyle name="Normal 33 4 9 8 6" xfId="34254"/>
    <cellStyle name="Normal 33 4 9 9" xfId="34255"/>
    <cellStyle name="Normal 33 4 9 9 2" xfId="34256"/>
    <cellStyle name="Normal 33 4 9 9 2 2" xfId="34257"/>
    <cellStyle name="Normal 33 4 9 9 2 2 2" xfId="34258"/>
    <cellStyle name="Normal 33 4 9 9 2 2 2 2" xfId="34259"/>
    <cellStyle name="Normal 33 4 9 9 2 2 3" xfId="34260"/>
    <cellStyle name="Normal 33 4 9 9 2 3" xfId="34261"/>
    <cellStyle name="Normal 33 4 9 9 2 3 2" xfId="34262"/>
    <cellStyle name="Normal 33 4 9 9 2 4" xfId="34263"/>
    <cellStyle name="Normal 33 4 9 9 3" xfId="34264"/>
    <cellStyle name="Normal 33 4 9 9 3 2" xfId="34265"/>
    <cellStyle name="Normal 33 4 9 9 3 2 2" xfId="34266"/>
    <cellStyle name="Normal 33 4 9 9 3 2 2 2" xfId="34267"/>
    <cellStyle name="Normal 33 4 9 9 3 2 3" xfId="34268"/>
    <cellStyle name="Normal 33 4 9 9 3 3" xfId="34269"/>
    <cellStyle name="Normal 33 4 9 9 3 3 2" xfId="34270"/>
    <cellStyle name="Normal 33 4 9 9 3 4" xfId="34271"/>
    <cellStyle name="Normal 33 4 9 9 4" xfId="34272"/>
    <cellStyle name="Normal 33 4 9 9 4 2" xfId="34273"/>
    <cellStyle name="Normal 33 4 9 9 4 2 2" xfId="34274"/>
    <cellStyle name="Normal 33 4 9 9 4 3" xfId="34275"/>
    <cellStyle name="Normal 33 4 9 9 5" xfId="34276"/>
    <cellStyle name="Normal 33 4 9 9 5 2" xfId="34277"/>
    <cellStyle name="Normal 33 4 9 9 6" xfId="34278"/>
    <cellStyle name="Normal 33 40" xfId="34279"/>
    <cellStyle name="Normal 33 40 2" xfId="34280"/>
    <cellStyle name="Normal 33 40 2 2" xfId="34281"/>
    <cellStyle name="Normal 33 40 2 2 2" xfId="34282"/>
    <cellStyle name="Normal 33 40 2 2 2 2" xfId="34283"/>
    <cellStyle name="Normal 33 40 2 2 3" xfId="34284"/>
    <cellStyle name="Normal 33 40 2 3" xfId="34285"/>
    <cellStyle name="Normal 33 40 2 3 2" xfId="34286"/>
    <cellStyle name="Normal 33 40 2 4" xfId="34287"/>
    <cellStyle name="Normal 33 40 3" xfId="34288"/>
    <cellStyle name="Normal 33 40 3 2" xfId="34289"/>
    <cellStyle name="Normal 33 40 3 2 2" xfId="34290"/>
    <cellStyle name="Normal 33 40 3 2 2 2" xfId="34291"/>
    <cellStyle name="Normal 33 40 3 2 3" xfId="34292"/>
    <cellStyle name="Normal 33 40 3 3" xfId="34293"/>
    <cellStyle name="Normal 33 40 3 3 2" xfId="34294"/>
    <cellStyle name="Normal 33 40 3 4" xfId="34295"/>
    <cellStyle name="Normal 33 40 4" xfId="34296"/>
    <cellStyle name="Normal 33 40 4 2" xfId="34297"/>
    <cellStyle name="Normal 33 40 4 2 2" xfId="34298"/>
    <cellStyle name="Normal 33 40 4 3" xfId="34299"/>
    <cellStyle name="Normal 33 40 5" xfId="34300"/>
    <cellStyle name="Normal 33 40 5 2" xfId="34301"/>
    <cellStyle name="Normal 33 40 6" xfId="34302"/>
    <cellStyle name="Normal 33 41" xfId="34303"/>
    <cellStyle name="Normal 33 41 2" xfId="34304"/>
    <cellStyle name="Normal 33 41 2 2" xfId="34305"/>
    <cellStyle name="Normal 33 41 2 2 2" xfId="34306"/>
    <cellStyle name="Normal 33 41 2 2 2 2" xfId="34307"/>
    <cellStyle name="Normal 33 41 2 2 3" xfId="34308"/>
    <cellStyle name="Normal 33 41 2 3" xfId="34309"/>
    <cellStyle name="Normal 33 41 2 3 2" xfId="34310"/>
    <cellStyle name="Normal 33 41 2 4" xfId="34311"/>
    <cellStyle name="Normal 33 41 3" xfId="34312"/>
    <cellStyle name="Normal 33 41 3 2" xfId="34313"/>
    <cellStyle name="Normal 33 41 3 2 2" xfId="34314"/>
    <cellStyle name="Normal 33 41 3 2 2 2" xfId="34315"/>
    <cellStyle name="Normal 33 41 3 2 3" xfId="34316"/>
    <cellStyle name="Normal 33 41 3 3" xfId="34317"/>
    <cellStyle name="Normal 33 41 3 3 2" xfId="34318"/>
    <cellStyle name="Normal 33 41 3 4" xfId="34319"/>
    <cellStyle name="Normal 33 41 4" xfId="34320"/>
    <cellStyle name="Normal 33 41 4 2" xfId="34321"/>
    <cellStyle name="Normal 33 41 4 2 2" xfId="34322"/>
    <cellStyle name="Normal 33 41 4 3" xfId="34323"/>
    <cellStyle name="Normal 33 41 5" xfId="34324"/>
    <cellStyle name="Normal 33 41 5 2" xfId="34325"/>
    <cellStyle name="Normal 33 41 6" xfId="34326"/>
    <cellStyle name="Normal 33 42" xfId="34327"/>
    <cellStyle name="Normal 33 42 2" xfId="34328"/>
    <cellStyle name="Normal 33 42 2 2" xfId="34329"/>
    <cellStyle name="Normal 33 42 2 2 2" xfId="34330"/>
    <cellStyle name="Normal 33 42 2 2 2 2" xfId="34331"/>
    <cellStyle name="Normal 33 42 2 2 3" xfId="34332"/>
    <cellStyle name="Normal 33 42 2 3" xfId="34333"/>
    <cellStyle name="Normal 33 42 2 3 2" xfId="34334"/>
    <cellStyle name="Normal 33 42 2 4" xfId="34335"/>
    <cellStyle name="Normal 33 42 3" xfId="34336"/>
    <cellStyle name="Normal 33 42 3 2" xfId="34337"/>
    <cellStyle name="Normal 33 42 3 2 2" xfId="34338"/>
    <cellStyle name="Normal 33 42 3 2 2 2" xfId="34339"/>
    <cellStyle name="Normal 33 42 3 2 3" xfId="34340"/>
    <cellStyle name="Normal 33 42 3 3" xfId="34341"/>
    <cellStyle name="Normal 33 42 3 3 2" xfId="34342"/>
    <cellStyle name="Normal 33 42 3 4" xfId="34343"/>
    <cellStyle name="Normal 33 42 4" xfId="34344"/>
    <cellStyle name="Normal 33 42 4 2" xfId="34345"/>
    <cellStyle name="Normal 33 42 4 2 2" xfId="34346"/>
    <cellStyle name="Normal 33 42 4 3" xfId="34347"/>
    <cellStyle name="Normal 33 42 5" xfId="34348"/>
    <cellStyle name="Normal 33 42 5 2" xfId="34349"/>
    <cellStyle name="Normal 33 42 6" xfId="34350"/>
    <cellStyle name="Normal 33 43" xfId="34351"/>
    <cellStyle name="Normal 33 43 2" xfId="34352"/>
    <cellStyle name="Normal 33 43 2 2" xfId="34353"/>
    <cellStyle name="Normal 33 43 2 2 2" xfId="34354"/>
    <cellStyle name="Normal 33 43 2 2 2 2" xfId="34355"/>
    <cellStyle name="Normal 33 43 2 2 3" xfId="34356"/>
    <cellStyle name="Normal 33 43 2 3" xfId="34357"/>
    <cellStyle name="Normal 33 43 2 3 2" xfId="34358"/>
    <cellStyle name="Normal 33 43 2 4" xfId="34359"/>
    <cellStyle name="Normal 33 43 3" xfId="34360"/>
    <cellStyle name="Normal 33 43 3 2" xfId="34361"/>
    <cellStyle name="Normal 33 43 3 2 2" xfId="34362"/>
    <cellStyle name="Normal 33 43 3 2 2 2" xfId="34363"/>
    <cellStyle name="Normal 33 43 3 2 3" xfId="34364"/>
    <cellStyle name="Normal 33 43 3 3" xfId="34365"/>
    <cellStyle name="Normal 33 43 3 3 2" xfId="34366"/>
    <cellStyle name="Normal 33 43 3 4" xfId="34367"/>
    <cellStyle name="Normal 33 43 4" xfId="34368"/>
    <cellStyle name="Normal 33 43 4 2" xfId="34369"/>
    <cellStyle name="Normal 33 43 4 2 2" xfId="34370"/>
    <cellStyle name="Normal 33 43 4 3" xfId="34371"/>
    <cellStyle name="Normal 33 43 5" xfId="34372"/>
    <cellStyle name="Normal 33 43 5 2" xfId="34373"/>
    <cellStyle name="Normal 33 43 6" xfId="34374"/>
    <cellStyle name="Normal 33 44" xfId="34375"/>
    <cellStyle name="Normal 33 44 2" xfId="34376"/>
    <cellStyle name="Normal 33 44 2 2" xfId="34377"/>
    <cellStyle name="Normal 33 44 2 2 2" xfId="34378"/>
    <cellStyle name="Normal 33 44 2 3" xfId="34379"/>
    <cellStyle name="Normal 33 44 3" xfId="34380"/>
    <cellStyle name="Normal 33 44 3 2" xfId="34381"/>
    <cellStyle name="Normal 33 44 4" xfId="34382"/>
    <cellStyle name="Normal 33 45" xfId="34383"/>
    <cellStyle name="Normal 33 45 2" xfId="34384"/>
    <cellStyle name="Normal 33 45 2 2" xfId="34385"/>
    <cellStyle name="Normal 33 45 2 2 2" xfId="34386"/>
    <cellStyle name="Normal 33 45 2 3" xfId="34387"/>
    <cellStyle name="Normal 33 45 3" xfId="34388"/>
    <cellStyle name="Normal 33 45 3 2" xfId="34389"/>
    <cellStyle name="Normal 33 45 4" xfId="34390"/>
    <cellStyle name="Normal 33 46" xfId="34391"/>
    <cellStyle name="Normal 33 46 2" xfId="34392"/>
    <cellStyle name="Normal 33 46 2 2" xfId="34393"/>
    <cellStyle name="Normal 33 46 3" xfId="34394"/>
    <cellStyle name="Normal 33 47" xfId="34395"/>
    <cellStyle name="Normal 33 47 2" xfId="34396"/>
    <cellStyle name="Normal 33 47 2 2" xfId="34397"/>
    <cellStyle name="Normal 33 47 3" xfId="34398"/>
    <cellStyle name="Normal 33 48" xfId="34399"/>
    <cellStyle name="Normal 33 48 2" xfId="34400"/>
    <cellStyle name="Normal 33 48 2 2" xfId="34401"/>
    <cellStyle name="Normal 33 48 3" xfId="34402"/>
    <cellStyle name="Normal 33 49" xfId="34403"/>
    <cellStyle name="Normal 33 49 2" xfId="34404"/>
    <cellStyle name="Normal 33 49 2 2" xfId="34405"/>
    <cellStyle name="Normal 33 49 3" xfId="34406"/>
    <cellStyle name="Normal 33 5" xfId="34407"/>
    <cellStyle name="Normal 33 5 10" xfId="34408"/>
    <cellStyle name="Normal 33 5 10 2" xfId="34409"/>
    <cellStyle name="Normal 33 5 10 2 2" xfId="34410"/>
    <cellStyle name="Normal 33 5 10 2 2 2" xfId="34411"/>
    <cellStyle name="Normal 33 5 10 2 2 2 2" xfId="34412"/>
    <cellStyle name="Normal 33 5 10 2 2 3" xfId="34413"/>
    <cellStyle name="Normal 33 5 10 2 3" xfId="34414"/>
    <cellStyle name="Normal 33 5 10 2 3 2" xfId="34415"/>
    <cellStyle name="Normal 33 5 10 2 4" xfId="34416"/>
    <cellStyle name="Normal 33 5 10 3" xfId="34417"/>
    <cellStyle name="Normal 33 5 10 3 2" xfId="34418"/>
    <cellStyle name="Normal 33 5 10 3 2 2" xfId="34419"/>
    <cellStyle name="Normal 33 5 10 3 2 2 2" xfId="34420"/>
    <cellStyle name="Normal 33 5 10 3 2 3" xfId="34421"/>
    <cellStyle name="Normal 33 5 10 3 3" xfId="34422"/>
    <cellStyle name="Normal 33 5 10 3 3 2" xfId="34423"/>
    <cellStyle name="Normal 33 5 10 3 4" xfId="34424"/>
    <cellStyle name="Normal 33 5 10 4" xfId="34425"/>
    <cellStyle name="Normal 33 5 10 4 2" xfId="34426"/>
    <cellStyle name="Normal 33 5 10 4 2 2" xfId="34427"/>
    <cellStyle name="Normal 33 5 10 4 3" xfId="34428"/>
    <cellStyle name="Normal 33 5 10 5" xfId="34429"/>
    <cellStyle name="Normal 33 5 10 5 2" xfId="34430"/>
    <cellStyle name="Normal 33 5 10 6" xfId="34431"/>
    <cellStyle name="Normal 33 5 11" xfId="34432"/>
    <cellStyle name="Normal 33 5 11 2" xfId="34433"/>
    <cellStyle name="Normal 33 5 11 2 2" xfId="34434"/>
    <cellStyle name="Normal 33 5 11 2 2 2" xfId="34435"/>
    <cellStyle name="Normal 33 5 11 2 2 2 2" xfId="34436"/>
    <cellStyle name="Normal 33 5 11 2 2 3" xfId="34437"/>
    <cellStyle name="Normal 33 5 11 2 3" xfId="34438"/>
    <cellStyle name="Normal 33 5 11 2 3 2" xfId="34439"/>
    <cellStyle name="Normal 33 5 11 2 4" xfId="34440"/>
    <cellStyle name="Normal 33 5 11 3" xfId="34441"/>
    <cellStyle name="Normal 33 5 11 3 2" xfId="34442"/>
    <cellStyle name="Normal 33 5 11 3 2 2" xfId="34443"/>
    <cellStyle name="Normal 33 5 11 3 2 2 2" xfId="34444"/>
    <cellStyle name="Normal 33 5 11 3 2 3" xfId="34445"/>
    <cellStyle name="Normal 33 5 11 3 3" xfId="34446"/>
    <cellStyle name="Normal 33 5 11 3 3 2" xfId="34447"/>
    <cellStyle name="Normal 33 5 11 3 4" xfId="34448"/>
    <cellStyle name="Normal 33 5 11 4" xfId="34449"/>
    <cellStyle name="Normal 33 5 11 4 2" xfId="34450"/>
    <cellStyle name="Normal 33 5 11 4 2 2" xfId="34451"/>
    <cellStyle name="Normal 33 5 11 4 3" xfId="34452"/>
    <cellStyle name="Normal 33 5 11 5" xfId="34453"/>
    <cellStyle name="Normal 33 5 11 5 2" xfId="34454"/>
    <cellStyle name="Normal 33 5 11 6" xfId="34455"/>
    <cellStyle name="Normal 33 5 12" xfId="34456"/>
    <cellStyle name="Normal 33 5 12 2" xfId="34457"/>
    <cellStyle name="Normal 33 5 12 2 2" xfId="34458"/>
    <cellStyle name="Normal 33 5 12 2 2 2" xfId="34459"/>
    <cellStyle name="Normal 33 5 12 2 2 2 2" xfId="34460"/>
    <cellStyle name="Normal 33 5 12 2 2 3" xfId="34461"/>
    <cellStyle name="Normal 33 5 12 2 3" xfId="34462"/>
    <cellStyle name="Normal 33 5 12 2 3 2" xfId="34463"/>
    <cellStyle name="Normal 33 5 12 2 4" xfId="34464"/>
    <cellStyle name="Normal 33 5 12 3" xfId="34465"/>
    <cellStyle name="Normal 33 5 12 3 2" xfId="34466"/>
    <cellStyle name="Normal 33 5 12 3 2 2" xfId="34467"/>
    <cellStyle name="Normal 33 5 12 3 2 2 2" xfId="34468"/>
    <cellStyle name="Normal 33 5 12 3 2 3" xfId="34469"/>
    <cellStyle name="Normal 33 5 12 3 3" xfId="34470"/>
    <cellStyle name="Normal 33 5 12 3 3 2" xfId="34471"/>
    <cellStyle name="Normal 33 5 12 3 4" xfId="34472"/>
    <cellStyle name="Normal 33 5 12 4" xfId="34473"/>
    <cellStyle name="Normal 33 5 12 4 2" xfId="34474"/>
    <cellStyle name="Normal 33 5 12 4 2 2" xfId="34475"/>
    <cellStyle name="Normal 33 5 12 4 3" xfId="34476"/>
    <cellStyle name="Normal 33 5 12 5" xfId="34477"/>
    <cellStyle name="Normal 33 5 12 5 2" xfId="34478"/>
    <cellStyle name="Normal 33 5 12 6" xfId="34479"/>
    <cellStyle name="Normal 33 5 13" xfId="34480"/>
    <cellStyle name="Normal 33 5 13 2" xfId="34481"/>
    <cellStyle name="Normal 33 5 13 2 2" xfId="34482"/>
    <cellStyle name="Normal 33 5 13 2 2 2" xfId="34483"/>
    <cellStyle name="Normal 33 5 13 2 2 2 2" xfId="34484"/>
    <cellStyle name="Normal 33 5 13 2 2 3" xfId="34485"/>
    <cellStyle name="Normal 33 5 13 2 3" xfId="34486"/>
    <cellStyle name="Normal 33 5 13 2 3 2" xfId="34487"/>
    <cellStyle name="Normal 33 5 13 2 4" xfId="34488"/>
    <cellStyle name="Normal 33 5 13 3" xfId="34489"/>
    <cellStyle name="Normal 33 5 13 3 2" xfId="34490"/>
    <cellStyle name="Normal 33 5 13 3 2 2" xfId="34491"/>
    <cellStyle name="Normal 33 5 13 3 2 2 2" xfId="34492"/>
    <cellStyle name="Normal 33 5 13 3 2 3" xfId="34493"/>
    <cellStyle name="Normal 33 5 13 3 3" xfId="34494"/>
    <cellStyle name="Normal 33 5 13 3 3 2" xfId="34495"/>
    <cellStyle name="Normal 33 5 13 3 4" xfId="34496"/>
    <cellStyle name="Normal 33 5 13 4" xfId="34497"/>
    <cellStyle name="Normal 33 5 13 4 2" xfId="34498"/>
    <cellStyle name="Normal 33 5 13 4 2 2" xfId="34499"/>
    <cellStyle name="Normal 33 5 13 4 3" xfId="34500"/>
    <cellStyle name="Normal 33 5 13 5" xfId="34501"/>
    <cellStyle name="Normal 33 5 13 5 2" xfId="34502"/>
    <cellStyle name="Normal 33 5 13 6" xfId="34503"/>
    <cellStyle name="Normal 33 5 14" xfId="34504"/>
    <cellStyle name="Normal 33 5 14 2" xfId="34505"/>
    <cellStyle name="Normal 33 5 14 2 2" xfId="34506"/>
    <cellStyle name="Normal 33 5 14 2 2 2" xfId="34507"/>
    <cellStyle name="Normal 33 5 14 2 3" xfId="34508"/>
    <cellStyle name="Normal 33 5 14 3" xfId="34509"/>
    <cellStyle name="Normal 33 5 14 3 2" xfId="34510"/>
    <cellStyle name="Normal 33 5 14 4" xfId="34511"/>
    <cellStyle name="Normal 33 5 15" xfId="34512"/>
    <cellStyle name="Normal 33 5 15 2" xfId="34513"/>
    <cellStyle name="Normal 33 5 15 2 2" xfId="34514"/>
    <cellStyle name="Normal 33 5 15 2 2 2" xfId="34515"/>
    <cellStyle name="Normal 33 5 15 2 3" xfId="34516"/>
    <cellStyle name="Normal 33 5 15 3" xfId="34517"/>
    <cellStyle name="Normal 33 5 15 3 2" xfId="34518"/>
    <cellStyle name="Normal 33 5 15 4" xfId="34519"/>
    <cellStyle name="Normal 33 5 16" xfId="34520"/>
    <cellStyle name="Normal 33 5 16 2" xfId="34521"/>
    <cellStyle name="Normal 33 5 16 2 2" xfId="34522"/>
    <cellStyle name="Normal 33 5 16 3" xfId="34523"/>
    <cellStyle name="Normal 33 5 17" xfId="34524"/>
    <cellStyle name="Normal 33 5 17 2" xfId="34525"/>
    <cellStyle name="Normal 33 5 18" xfId="34526"/>
    <cellStyle name="Normal 33 5 2" xfId="34527"/>
    <cellStyle name="Normal 33 5 2 2" xfId="34528"/>
    <cellStyle name="Normal 33 5 2 2 2" xfId="34529"/>
    <cellStyle name="Normal 33 5 2 2 2 2" xfId="34530"/>
    <cellStyle name="Normal 33 5 2 2 2 2 2" xfId="34531"/>
    <cellStyle name="Normal 33 5 2 2 2 3" xfId="34532"/>
    <cellStyle name="Normal 33 5 2 2 3" xfId="34533"/>
    <cellStyle name="Normal 33 5 2 2 3 2" xfId="34534"/>
    <cellStyle name="Normal 33 5 2 2 4" xfId="34535"/>
    <cellStyle name="Normal 33 5 2 3" xfId="34536"/>
    <cellStyle name="Normal 33 5 2 3 2" xfId="34537"/>
    <cellStyle name="Normal 33 5 2 3 2 2" xfId="34538"/>
    <cellStyle name="Normal 33 5 2 3 2 2 2" xfId="34539"/>
    <cellStyle name="Normal 33 5 2 3 2 3" xfId="34540"/>
    <cellStyle name="Normal 33 5 2 3 3" xfId="34541"/>
    <cellStyle name="Normal 33 5 2 3 3 2" xfId="34542"/>
    <cellStyle name="Normal 33 5 2 3 4" xfId="34543"/>
    <cellStyle name="Normal 33 5 2 4" xfId="34544"/>
    <cellStyle name="Normal 33 5 2 4 2" xfId="34545"/>
    <cellStyle name="Normal 33 5 2 4 2 2" xfId="34546"/>
    <cellStyle name="Normal 33 5 2 4 3" xfId="34547"/>
    <cellStyle name="Normal 33 5 2 5" xfId="34548"/>
    <cellStyle name="Normal 33 5 2 5 2" xfId="34549"/>
    <cellStyle name="Normal 33 5 2 6" xfId="34550"/>
    <cellStyle name="Normal 33 5 3" xfId="34551"/>
    <cellStyle name="Normal 33 5 3 2" xfId="34552"/>
    <cellStyle name="Normal 33 5 3 2 2" xfId="34553"/>
    <cellStyle name="Normal 33 5 3 2 2 2" xfId="34554"/>
    <cellStyle name="Normal 33 5 3 2 2 2 2" xfId="34555"/>
    <cellStyle name="Normal 33 5 3 2 2 3" xfId="34556"/>
    <cellStyle name="Normal 33 5 3 2 3" xfId="34557"/>
    <cellStyle name="Normal 33 5 3 2 3 2" xfId="34558"/>
    <cellStyle name="Normal 33 5 3 2 4" xfId="34559"/>
    <cellStyle name="Normal 33 5 3 3" xfId="34560"/>
    <cellStyle name="Normal 33 5 3 3 2" xfId="34561"/>
    <cellStyle name="Normal 33 5 3 3 2 2" xfId="34562"/>
    <cellStyle name="Normal 33 5 3 3 2 2 2" xfId="34563"/>
    <cellStyle name="Normal 33 5 3 3 2 3" xfId="34564"/>
    <cellStyle name="Normal 33 5 3 3 3" xfId="34565"/>
    <cellStyle name="Normal 33 5 3 3 3 2" xfId="34566"/>
    <cellStyle name="Normal 33 5 3 3 4" xfId="34567"/>
    <cellStyle name="Normal 33 5 3 4" xfId="34568"/>
    <cellStyle name="Normal 33 5 3 4 2" xfId="34569"/>
    <cellStyle name="Normal 33 5 3 4 2 2" xfId="34570"/>
    <cellStyle name="Normal 33 5 3 4 3" xfId="34571"/>
    <cellStyle name="Normal 33 5 3 5" xfId="34572"/>
    <cellStyle name="Normal 33 5 3 5 2" xfId="34573"/>
    <cellStyle name="Normal 33 5 3 6" xfId="34574"/>
    <cellStyle name="Normal 33 5 4" xfId="34575"/>
    <cellStyle name="Normal 33 5 4 2" xfId="34576"/>
    <cellStyle name="Normal 33 5 4 2 2" xfId="34577"/>
    <cellStyle name="Normal 33 5 4 2 2 2" xfId="34578"/>
    <cellStyle name="Normal 33 5 4 2 2 2 2" xfId="34579"/>
    <cellStyle name="Normal 33 5 4 2 2 3" xfId="34580"/>
    <cellStyle name="Normal 33 5 4 2 3" xfId="34581"/>
    <cellStyle name="Normal 33 5 4 2 3 2" xfId="34582"/>
    <cellStyle name="Normal 33 5 4 2 4" xfId="34583"/>
    <cellStyle name="Normal 33 5 4 3" xfId="34584"/>
    <cellStyle name="Normal 33 5 4 3 2" xfId="34585"/>
    <cellStyle name="Normal 33 5 4 3 2 2" xfId="34586"/>
    <cellStyle name="Normal 33 5 4 3 2 2 2" xfId="34587"/>
    <cellStyle name="Normal 33 5 4 3 2 3" xfId="34588"/>
    <cellStyle name="Normal 33 5 4 3 3" xfId="34589"/>
    <cellStyle name="Normal 33 5 4 3 3 2" xfId="34590"/>
    <cellStyle name="Normal 33 5 4 3 4" xfId="34591"/>
    <cellStyle name="Normal 33 5 4 4" xfId="34592"/>
    <cellStyle name="Normal 33 5 4 4 2" xfId="34593"/>
    <cellStyle name="Normal 33 5 4 4 2 2" xfId="34594"/>
    <cellStyle name="Normal 33 5 4 4 3" xfId="34595"/>
    <cellStyle name="Normal 33 5 4 5" xfId="34596"/>
    <cellStyle name="Normal 33 5 4 5 2" xfId="34597"/>
    <cellStyle name="Normal 33 5 4 6" xfId="34598"/>
    <cellStyle name="Normal 33 5 5" xfId="34599"/>
    <cellStyle name="Normal 33 5 5 2" xfId="34600"/>
    <cellStyle name="Normal 33 5 5 2 2" xfId="34601"/>
    <cellStyle name="Normal 33 5 5 2 2 2" xfId="34602"/>
    <cellStyle name="Normal 33 5 5 2 2 2 2" xfId="34603"/>
    <cellStyle name="Normal 33 5 5 2 2 3" xfId="34604"/>
    <cellStyle name="Normal 33 5 5 2 3" xfId="34605"/>
    <cellStyle name="Normal 33 5 5 2 3 2" xfId="34606"/>
    <cellStyle name="Normal 33 5 5 2 4" xfId="34607"/>
    <cellStyle name="Normal 33 5 5 3" xfId="34608"/>
    <cellStyle name="Normal 33 5 5 3 2" xfId="34609"/>
    <cellStyle name="Normal 33 5 5 3 2 2" xfId="34610"/>
    <cellStyle name="Normal 33 5 5 3 2 2 2" xfId="34611"/>
    <cellStyle name="Normal 33 5 5 3 2 3" xfId="34612"/>
    <cellStyle name="Normal 33 5 5 3 3" xfId="34613"/>
    <cellStyle name="Normal 33 5 5 3 3 2" xfId="34614"/>
    <cellStyle name="Normal 33 5 5 3 4" xfId="34615"/>
    <cellStyle name="Normal 33 5 5 4" xfId="34616"/>
    <cellStyle name="Normal 33 5 5 4 2" xfId="34617"/>
    <cellStyle name="Normal 33 5 5 4 2 2" xfId="34618"/>
    <cellStyle name="Normal 33 5 5 4 3" xfId="34619"/>
    <cellStyle name="Normal 33 5 5 5" xfId="34620"/>
    <cellStyle name="Normal 33 5 5 5 2" xfId="34621"/>
    <cellStyle name="Normal 33 5 5 6" xfId="34622"/>
    <cellStyle name="Normal 33 5 6" xfId="34623"/>
    <cellStyle name="Normal 33 5 6 2" xfId="34624"/>
    <cellStyle name="Normal 33 5 6 2 2" xfId="34625"/>
    <cellStyle name="Normal 33 5 6 2 2 2" xfId="34626"/>
    <cellStyle name="Normal 33 5 6 2 2 2 2" xfId="34627"/>
    <cellStyle name="Normal 33 5 6 2 2 3" xfId="34628"/>
    <cellStyle name="Normal 33 5 6 2 3" xfId="34629"/>
    <cellStyle name="Normal 33 5 6 2 3 2" xfId="34630"/>
    <cellStyle name="Normal 33 5 6 2 4" xfId="34631"/>
    <cellStyle name="Normal 33 5 6 3" xfId="34632"/>
    <cellStyle name="Normal 33 5 6 3 2" xfId="34633"/>
    <cellStyle name="Normal 33 5 6 3 2 2" xfId="34634"/>
    <cellStyle name="Normal 33 5 6 3 2 2 2" xfId="34635"/>
    <cellStyle name="Normal 33 5 6 3 2 3" xfId="34636"/>
    <cellStyle name="Normal 33 5 6 3 3" xfId="34637"/>
    <cellStyle name="Normal 33 5 6 3 3 2" xfId="34638"/>
    <cellStyle name="Normal 33 5 6 3 4" xfId="34639"/>
    <cellStyle name="Normal 33 5 6 4" xfId="34640"/>
    <cellStyle name="Normal 33 5 6 4 2" xfId="34641"/>
    <cellStyle name="Normal 33 5 6 4 2 2" xfId="34642"/>
    <cellStyle name="Normal 33 5 6 4 3" xfId="34643"/>
    <cellStyle name="Normal 33 5 6 5" xfId="34644"/>
    <cellStyle name="Normal 33 5 6 5 2" xfId="34645"/>
    <cellStyle name="Normal 33 5 6 6" xfId="34646"/>
    <cellStyle name="Normal 33 5 7" xfId="34647"/>
    <cellStyle name="Normal 33 5 7 2" xfId="34648"/>
    <cellStyle name="Normal 33 5 7 2 2" xfId="34649"/>
    <cellStyle name="Normal 33 5 7 2 2 2" xfId="34650"/>
    <cellStyle name="Normal 33 5 7 2 2 2 2" xfId="34651"/>
    <cellStyle name="Normal 33 5 7 2 2 3" xfId="34652"/>
    <cellStyle name="Normal 33 5 7 2 3" xfId="34653"/>
    <cellStyle name="Normal 33 5 7 2 3 2" xfId="34654"/>
    <cellStyle name="Normal 33 5 7 2 4" xfId="34655"/>
    <cellStyle name="Normal 33 5 7 3" xfId="34656"/>
    <cellStyle name="Normal 33 5 7 3 2" xfId="34657"/>
    <cellStyle name="Normal 33 5 7 3 2 2" xfId="34658"/>
    <cellStyle name="Normal 33 5 7 3 2 2 2" xfId="34659"/>
    <cellStyle name="Normal 33 5 7 3 2 3" xfId="34660"/>
    <cellStyle name="Normal 33 5 7 3 3" xfId="34661"/>
    <cellStyle name="Normal 33 5 7 3 3 2" xfId="34662"/>
    <cellStyle name="Normal 33 5 7 3 4" xfId="34663"/>
    <cellStyle name="Normal 33 5 7 4" xfId="34664"/>
    <cellStyle name="Normal 33 5 7 4 2" xfId="34665"/>
    <cellStyle name="Normal 33 5 7 4 2 2" xfId="34666"/>
    <cellStyle name="Normal 33 5 7 4 3" xfId="34667"/>
    <cellStyle name="Normal 33 5 7 5" xfId="34668"/>
    <cellStyle name="Normal 33 5 7 5 2" xfId="34669"/>
    <cellStyle name="Normal 33 5 7 6" xfId="34670"/>
    <cellStyle name="Normal 33 5 8" xfId="34671"/>
    <cellStyle name="Normal 33 5 8 2" xfId="34672"/>
    <cellStyle name="Normal 33 5 8 2 2" xfId="34673"/>
    <cellStyle name="Normal 33 5 8 2 2 2" xfId="34674"/>
    <cellStyle name="Normal 33 5 8 2 2 2 2" xfId="34675"/>
    <cellStyle name="Normal 33 5 8 2 2 3" xfId="34676"/>
    <cellStyle name="Normal 33 5 8 2 3" xfId="34677"/>
    <cellStyle name="Normal 33 5 8 2 3 2" xfId="34678"/>
    <cellStyle name="Normal 33 5 8 2 4" xfId="34679"/>
    <cellStyle name="Normal 33 5 8 3" xfId="34680"/>
    <cellStyle name="Normal 33 5 8 3 2" xfId="34681"/>
    <cellStyle name="Normal 33 5 8 3 2 2" xfId="34682"/>
    <cellStyle name="Normal 33 5 8 3 2 2 2" xfId="34683"/>
    <cellStyle name="Normal 33 5 8 3 2 3" xfId="34684"/>
    <cellStyle name="Normal 33 5 8 3 3" xfId="34685"/>
    <cellStyle name="Normal 33 5 8 3 3 2" xfId="34686"/>
    <cellStyle name="Normal 33 5 8 3 4" xfId="34687"/>
    <cellStyle name="Normal 33 5 8 4" xfId="34688"/>
    <cellStyle name="Normal 33 5 8 4 2" xfId="34689"/>
    <cellStyle name="Normal 33 5 8 4 2 2" xfId="34690"/>
    <cellStyle name="Normal 33 5 8 4 3" xfId="34691"/>
    <cellStyle name="Normal 33 5 8 5" xfId="34692"/>
    <cellStyle name="Normal 33 5 8 5 2" xfId="34693"/>
    <cellStyle name="Normal 33 5 8 6" xfId="34694"/>
    <cellStyle name="Normal 33 5 9" xfId="34695"/>
    <cellStyle name="Normal 33 5 9 2" xfId="34696"/>
    <cellStyle name="Normal 33 5 9 2 2" xfId="34697"/>
    <cellStyle name="Normal 33 5 9 2 2 2" xfId="34698"/>
    <cellStyle name="Normal 33 5 9 2 2 2 2" xfId="34699"/>
    <cellStyle name="Normal 33 5 9 2 2 3" xfId="34700"/>
    <cellStyle name="Normal 33 5 9 2 3" xfId="34701"/>
    <cellStyle name="Normal 33 5 9 2 3 2" xfId="34702"/>
    <cellStyle name="Normal 33 5 9 2 4" xfId="34703"/>
    <cellStyle name="Normal 33 5 9 3" xfId="34704"/>
    <cellStyle name="Normal 33 5 9 3 2" xfId="34705"/>
    <cellStyle name="Normal 33 5 9 3 2 2" xfId="34706"/>
    <cellStyle name="Normal 33 5 9 3 2 2 2" xfId="34707"/>
    <cellStyle name="Normal 33 5 9 3 2 3" xfId="34708"/>
    <cellStyle name="Normal 33 5 9 3 3" xfId="34709"/>
    <cellStyle name="Normal 33 5 9 3 3 2" xfId="34710"/>
    <cellStyle name="Normal 33 5 9 3 4" xfId="34711"/>
    <cellStyle name="Normal 33 5 9 4" xfId="34712"/>
    <cellStyle name="Normal 33 5 9 4 2" xfId="34713"/>
    <cellStyle name="Normal 33 5 9 4 2 2" xfId="34714"/>
    <cellStyle name="Normal 33 5 9 4 3" xfId="34715"/>
    <cellStyle name="Normal 33 5 9 5" xfId="34716"/>
    <cellStyle name="Normal 33 5 9 5 2" xfId="34717"/>
    <cellStyle name="Normal 33 5 9 6" xfId="34718"/>
    <cellStyle name="Normal 33 50" xfId="34719"/>
    <cellStyle name="Normal 33 50 2" xfId="34720"/>
    <cellStyle name="Normal 33 50 2 2" xfId="34721"/>
    <cellStyle name="Normal 33 50 3" xfId="34722"/>
    <cellStyle name="Normal 33 51" xfId="34723"/>
    <cellStyle name="Normal 33 51 2" xfId="34724"/>
    <cellStyle name="Normal 33 52" xfId="34725"/>
    <cellStyle name="Normal 33 52 2" xfId="34726"/>
    <cellStyle name="Normal 33 53" xfId="34727"/>
    <cellStyle name="Normal 33 53 2" xfId="34728"/>
    <cellStyle name="Normal 33 54" xfId="34729"/>
    <cellStyle name="Normal 33 54 2" xfId="34730"/>
    <cellStyle name="Normal 33 55" xfId="34731"/>
    <cellStyle name="Normal 33 55 2" xfId="34732"/>
    <cellStyle name="Normal 33 56" xfId="34733"/>
    <cellStyle name="Normal 33 56 2" xfId="34734"/>
    <cellStyle name="Normal 33 57" xfId="34735"/>
    <cellStyle name="Normal 33 57 2" xfId="34736"/>
    <cellStyle name="Normal 33 58" xfId="34737"/>
    <cellStyle name="Normal 33 58 2" xfId="34738"/>
    <cellStyle name="Normal 33 59" xfId="34739"/>
    <cellStyle name="Normal 33 6" xfId="34740"/>
    <cellStyle name="Normal 33 6 10" xfId="34741"/>
    <cellStyle name="Normal 33 6 10 2" xfId="34742"/>
    <cellStyle name="Normal 33 6 10 2 2" xfId="34743"/>
    <cellStyle name="Normal 33 6 10 2 2 2" xfId="34744"/>
    <cellStyle name="Normal 33 6 10 2 2 2 2" xfId="34745"/>
    <cellStyle name="Normal 33 6 10 2 2 3" xfId="34746"/>
    <cellStyle name="Normal 33 6 10 2 3" xfId="34747"/>
    <cellStyle name="Normal 33 6 10 2 3 2" xfId="34748"/>
    <cellStyle name="Normal 33 6 10 2 4" xfId="34749"/>
    <cellStyle name="Normal 33 6 10 3" xfId="34750"/>
    <cellStyle name="Normal 33 6 10 3 2" xfId="34751"/>
    <cellStyle name="Normal 33 6 10 3 2 2" xfId="34752"/>
    <cellStyle name="Normal 33 6 10 3 2 2 2" xfId="34753"/>
    <cellStyle name="Normal 33 6 10 3 2 3" xfId="34754"/>
    <cellStyle name="Normal 33 6 10 3 3" xfId="34755"/>
    <cellStyle name="Normal 33 6 10 3 3 2" xfId="34756"/>
    <cellStyle name="Normal 33 6 10 3 4" xfId="34757"/>
    <cellStyle name="Normal 33 6 10 4" xfId="34758"/>
    <cellStyle name="Normal 33 6 10 4 2" xfId="34759"/>
    <cellStyle name="Normal 33 6 10 4 2 2" xfId="34760"/>
    <cellStyle name="Normal 33 6 10 4 3" xfId="34761"/>
    <cellStyle name="Normal 33 6 10 5" xfId="34762"/>
    <cellStyle name="Normal 33 6 10 5 2" xfId="34763"/>
    <cellStyle name="Normal 33 6 10 6" xfId="34764"/>
    <cellStyle name="Normal 33 6 11" xfId="34765"/>
    <cellStyle name="Normal 33 6 11 2" xfId="34766"/>
    <cellStyle name="Normal 33 6 11 2 2" xfId="34767"/>
    <cellStyle name="Normal 33 6 11 2 2 2" xfId="34768"/>
    <cellStyle name="Normal 33 6 11 2 2 2 2" xfId="34769"/>
    <cellStyle name="Normal 33 6 11 2 2 3" xfId="34770"/>
    <cellStyle name="Normal 33 6 11 2 3" xfId="34771"/>
    <cellStyle name="Normal 33 6 11 2 3 2" xfId="34772"/>
    <cellStyle name="Normal 33 6 11 2 4" xfId="34773"/>
    <cellStyle name="Normal 33 6 11 3" xfId="34774"/>
    <cellStyle name="Normal 33 6 11 3 2" xfId="34775"/>
    <cellStyle name="Normal 33 6 11 3 2 2" xfId="34776"/>
    <cellStyle name="Normal 33 6 11 3 2 2 2" xfId="34777"/>
    <cellStyle name="Normal 33 6 11 3 2 3" xfId="34778"/>
    <cellStyle name="Normal 33 6 11 3 3" xfId="34779"/>
    <cellStyle name="Normal 33 6 11 3 3 2" xfId="34780"/>
    <cellStyle name="Normal 33 6 11 3 4" xfId="34781"/>
    <cellStyle name="Normal 33 6 11 4" xfId="34782"/>
    <cellStyle name="Normal 33 6 11 4 2" xfId="34783"/>
    <cellStyle name="Normal 33 6 11 4 2 2" xfId="34784"/>
    <cellStyle name="Normal 33 6 11 4 3" xfId="34785"/>
    <cellStyle name="Normal 33 6 11 5" xfId="34786"/>
    <cellStyle name="Normal 33 6 11 5 2" xfId="34787"/>
    <cellStyle name="Normal 33 6 11 6" xfId="34788"/>
    <cellStyle name="Normal 33 6 12" xfId="34789"/>
    <cellStyle name="Normal 33 6 12 2" xfId="34790"/>
    <cellStyle name="Normal 33 6 12 2 2" xfId="34791"/>
    <cellStyle name="Normal 33 6 12 2 2 2" xfId="34792"/>
    <cellStyle name="Normal 33 6 12 2 2 2 2" xfId="34793"/>
    <cellStyle name="Normal 33 6 12 2 2 3" xfId="34794"/>
    <cellStyle name="Normal 33 6 12 2 3" xfId="34795"/>
    <cellStyle name="Normal 33 6 12 2 3 2" xfId="34796"/>
    <cellStyle name="Normal 33 6 12 2 4" xfId="34797"/>
    <cellStyle name="Normal 33 6 12 3" xfId="34798"/>
    <cellStyle name="Normal 33 6 12 3 2" xfId="34799"/>
    <cellStyle name="Normal 33 6 12 3 2 2" xfId="34800"/>
    <cellStyle name="Normal 33 6 12 3 2 2 2" xfId="34801"/>
    <cellStyle name="Normal 33 6 12 3 2 3" xfId="34802"/>
    <cellStyle name="Normal 33 6 12 3 3" xfId="34803"/>
    <cellStyle name="Normal 33 6 12 3 3 2" xfId="34804"/>
    <cellStyle name="Normal 33 6 12 3 4" xfId="34805"/>
    <cellStyle name="Normal 33 6 12 4" xfId="34806"/>
    <cellStyle name="Normal 33 6 12 4 2" xfId="34807"/>
    <cellStyle name="Normal 33 6 12 4 2 2" xfId="34808"/>
    <cellStyle name="Normal 33 6 12 4 3" xfId="34809"/>
    <cellStyle name="Normal 33 6 12 5" xfId="34810"/>
    <cellStyle name="Normal 33 6 12 5 2" xfId="34811"/>
    <cellStyle name="Normal 33 6 12 6" xfId="34812"/>
    <cellStyle name="Normal 33 6 13" xfId="34813"/>
    <cellStyle name="Normal 33 6 13 2" xfId="34814"/>
    <cellStyle name="Normal 33 6 13 2 2" xfId="34815"/>
    <cellStyle name="Normal 33 6 13 2 2 2" xfId="34816"/>
    <cellStyle name="Normal 33 6 13 2 2 2 2" xfId="34817"/>
    <cellStyle name="Normal 33 6 13 2 2 3" xfId="34818"/>
    <cellStyle name="Normal 33 6 13 2 3" xfId="34819"/>
    <cellStyle name="Normal 33 6 13 2 3 2" xfId="34820"/>
    <cellStyle name="Normal 33 6 13 2 4" xfId="34821"/>
    <cellStyle name="Normal 33 6 13 3" xfId="34822"/>
    <cellStyle name="Normal 33 6 13 3 2" xfId="34823"/>
    <cellStyle name="Normal 33 6 13 3 2 2" xfId="34824"/>
    <cellStyle name="Normal 33 6 13 3 2 2 2" xfId="34825"/>
    <cellStyle name="Normal 33 6 13 3 2 3" xfId="34826"/>
    <cellStyle name="Normal 33 6 13 3 3" xfId="34827"/>
    <cellStyle name="Normal 33 6 13 3 3 2" xfId="34828"/>
    <cellStyle name="Normal 33 6 13 3 4" xfId="34829"/>
    <cellStyle name="Normal 33 6 13 4" xfId="34830"/>
    <cellStyle name="Normal 33 6 13 4 2" xfId="34831"/>
    <cellStyle name="Normal 33 6 13 4 2 2" xfId="34832"/>
    <cellStyle name="Normal 33 6 13 4 3" xfId="34833"/>
    <cellStyle name="Normal 33 6 13 5" xfId="34834"/>
    <cellStyle name="Normal 33 6 13 5 2" xfId="34835"/>
    <cellStyle name="Normal 33 6 13 6" xfId="34836"/>
    <cellStyle name="Normal 33 6 14" xfId="34837"/>
    <cellStyle name="Normal 33 6 14 2" xfId="34838"/>
    <cellStyle name="Normal 33 6 14 2 2" xfId="34839"/>
    <cellStyle name="Normal 33 6 14 2 2 2" xfId="34840"/>
    <cellStyle name="Normal 33 6 14 2 3" xfId="34841"/>
    <cellStyle name="Normal 33 6 14 3" xfId="34842"/>
    <cellStyle name="Normal 33 6 14 3 2" xfId="34843"/>
    <cellStyle name="Normal 33 6 14 4" xfId="34844"/>
    <cellStyle name="Normal 33 6 15" xfId="34845"/>
    <cellStyle name="Normal 33 6 15 2" xfId="34846"/>
    <cellStyle name="Normal 33 6 15 2 2" xfId="34847"/>
    <cellStyle name="Normal 33 6 15 2 2 2" xfId="34848"/>
    <cellStyle name="Normal 33 6 15 2 3" xfId="34849"/>
    <cellStyle name="Normal 33 6 15 3" xfId="34850"/>
    <cellStyle name="Normal 33 6 15 3 2" xfId="34851"/>
    <cellStyle name="Normal 33 6 15 4" xfId="34852"/>
    <cellStyle name="Normal 33 6 16" xfId="34853"/>
    <cellStyle name="Normal 33 6 16 2" xfId="34854"/>
    <cellStyle name="Normal 33 6 16 2 2" xfId="34855"/>
    <cellStyle name="Normal 33 6 16 3" xfId="34856"/>
    <cellStyle name="Normal 33 6 17" xfId="34857"/>
    <cellStyle name="Normal 33 6 17 2" xfId="34858"/>
    <cellStyle name="Normal 33 6 18" xfId="34859"/>
    <cellStyle name="Normal 33 6 2" xfId="34860"/>
    <cellStyle name="Normal 33 6 2 2" xfId="34861"/>
    <cellStyle name="Normal 33 6 2 2 2" xfId="34862"/>
    <cellStyle name="Normal 33 6 2 2 2 2" xfId="34863"/>
    <cellStyle name="Normal 33 6 2 2 2 2 2" xfId="34864"/>
    <cellStyle name="Normal 33 6 2 2 2 3" xfId="34865"/>
    <cellStyle name="Normal 33 6 2 2 3" xfId="34866"/>
    <cellStyle name="Normal 33 6 2 2 3 2" xfId="34867"/>
    <cellStyle name="Normal 33 6 2 2 4" xfId="34868"/>
    <cellStyle name="Normal 33 6 2 3" xfId="34869"/>
    <cellStyle name="Normal 33 6 2 3 2" xfId="34870"/>
    <cellStyle name="Normal 33 6 2 3 2 2" xfId="34871"/>
    <cellStyle name="Normal 33 6 2 3 2 2 2" xfId="34872"/>
    <cellStyle name="Normal 33 6 2 3 2 3" xfId="34873"/>
    <cellStyle name="Normal 33 6 2 3 3" xfId="34874"/>
    <cellStyle name="Normal 33 6 2 3 3 2" xfId="34875"/>
    <cellStyle name="Normal 33 6 2 3 4" xfId="34876"/>
    <cellStyle name="Normal 33 6 2 4" xfId="34877"/>
    <cellStyle name="Normal 33 6 2 4 2" xfId="34878"/>
    <cellStyle name="Normal 33 6 2 4 2 2" xfId="34879"/>
    <cellStyle name="Normal 33 6 2 4 3" xfId="34880"/>
    <cellStyle name="Normal 33 6 2 5" xfId="34881"/>
    <cellStyle name="Normal 33 6 2 5 2" xfId="34882"/>
    <cellStyle name="Normal 33 6 2 6" xfId="34883"/>
    <cellStyle name="Normal 33 6 3" xfId="34884"/>
    <cellStyle name="Normal 33 6 3 2" xfId="34885"/>
    <cellStyle name="Normal 33 6 3 2 2" xfId="34886"/>
    <cellStyle name="Normal 33 6 3 2 2 2" xfId="34887"/>
    <cellStyle name="Normal 33 6 3 2 2 2 2" xfId="34888"/>
    <cellStyle name="Normal 33 6 3 2 2 3" xfId="34889"/>
    <cellStyle name="Normal 33 6 3 2 3" xfId="34890"/>
    <cellStyle name="Normal 33 6 3 2 3 2" xfId="34891"/>
    <cellStyle name="Normal 33 6 3 2 4" xfId="34892"/>
    <cellStyle name="Normal 33 6 3 3" xfId="34893"/>
    <cellStyle name="Normal 33 6 3 3 2" xfId="34894"/>
    <cellStyle name="Normal 33 6 3 3 2 2" xfId="34895"/>
    <cellStyle name="Normal 33 6 3 3 2 2 2" xfId="34896"/>
    <cellStyle name="Normal 33 6 3 3 2 3" xfId="34897"/>
    <cellStyle name="Normal 33 6 3 3 3" xfId="34898"/>
    <cellStyle name="Normal 33 6 3 3 3 2" xfId="34899"/>
    <cellStyle name="Normal 33 6 3 3 4" xfId="34900"/>
    <cellStyle name="Normal 33 6 3 4" xfId="34901"/>
    <cellStyle name="Normal 33 6 3 4 2" xfId="34902"/>
    <cellStyle name="Normal 33 6 3 4 2 2" xfId="34903"/>
    <cellStyle name="Normal 33 6 3 4 3" xfId="34904"/>
    <cellStyle name="Normal 33 6 3 5" xfId="34905"/>
    <cellStyle name="Normal 33 6 3 5 2" xfId="34906"/>
    <cellStyle name="Normal 33 6 3 6" xfId="34907"/>
    <cellStyle name="Normal 33 6 4" xfId="34908"/>
    <cellStyle name="Normal 33 6 4 2" xfId="34909"/>
    <cellStyle name="Normal 33 6 4 2 2" xfId="34910"/>
    <cellStyle name="Normal 33 6 4 2 2 2" xfId="34911"/>
    <cellStyle name="Normal 33 6 4 2 2 2 2" xfId="34912"/>
    <cellStyle name="Normal 33 6 4 2 2 3" xfId="34913"/>
    <cellStyle name="Normal 33 6 4 2 3" xfId="34914"/>
    <cellStyle name="Normal 33 6 4 2 3 2" xfId="34915"/>
    <cellStyle name="Normal 33 6 4 2 4" xfId="34916"/>
    <cellStyle name="Normal 33 6 4 3" xfId="34917"/>
    <cellStyle name="Normal 33 6 4 3 2" xfId="34918"/>
    <cellStyle name="Normal 33 6 4 3 2 2" xfId="34919"/>
    <cellStyle name="Normal 33 6 4 3 2 2 2" xfId="34920"/>
    <cellStyle name="Normal 33 6 4 3 2 3" xfId="34921"/>
    <cellStyle name="Normal 33 6 4 3 3" xfId="34922"/>
    <cellStyle name="Normal 33 6 4 3 3 2" xfId="34923"/>
    <cellStyle name="Normal 33 6 4 3 4" xfId="34924"/>
    <cellStyle name="Normal 33 6 4 4" xfId="34925"/>
    <cellStyle name="Normal 33 6 4 4 2" xfId="34926"/>
    <cellStyle name="Normal 33 6 4 4 2 2" xfId="34927"/>
    <cellStyle name="Normal 33 6 4 4 3" xfId="34928"/>
    <cellStyle name="Normal 33 6 4 5" xfId="34929"/>
    <cellStyle name="Normal 33 6 4 5 2" xfId="34930"/>
    <cellStyle name="Normal 33 6 4 6" xfId="34931"/>
    <cellStyle name="Normal 33 6 5" xfId="34932"/>
    <cellStyle name="Normal 33 6 5 2" xfId="34933"/>
    <cellStyle name="Normal 33 6 5 2 2" xfId="34934"/>
    <cellStyle name="Normal 33 6 5 2 2 2" xfId="34935"/>
    <cellStyle name="Normal 33 6 5 2 2 2 2" xfId="34936"/>
    <cellStyle name="Normal 33 6 5 2 2 3" xfId="34937"/>
    <cellStyle name="Normal 33 6 5 2 3" xfId="34938"/>
    <cellStyle name="Normal 33 6 5 2 3 2" xfId="34939"/>
    <cellStyle name="Normal 33 6 5 2 4" xfId="34940"/>
    <cellStyle name="Normal 33 6 5 3" xfId="34941"/>
    <cellStyle name="Normal 33 6 5 3 2" xfId="34942"/>
    <cellStyle name="Normal 33 6 5 3 2 2" xfId="34943"/>
    <cellStyle name="Normal 33 6 5 3 2 2 2" xfId="34944"/>
    <cellStyle name="Normal 33 6 5 3 2 3" xfId="34945"/>
    <cellStyle name="Normal 33 6 5 3 3" xfId="34946"/>
    <cellStyle name="Normal 33 6 5 3 3 2" xfId="34947"/>
    <cellStyle name="Normal 33 6 5 3 4" xfId="34948"/>
    <cellStyle name="Normal 33 6 5 4" xfId="34949"/>
    <cellStyle name="Normal 33 6 5 4 2" xfId="34950"/>
    <cellStyle name="Normal 33 6 5 4 2 2" xfId="34951"/>
    <cellStyle name="Normal 33 6 5 4 3" xfId="34952"/>
    <cellStyle name="Normal 33 6 5 5" xfId="34953"/>
    <cellStyle name="Normal 33 6 5 5 2" xfId="34954"/>
    <cellStyle name="Normal 33 6 5 6" xfId="34955"/>
    <cellStyle name="Normal 33 6 6" xfId="34956"/>
    <cellStyle name="Normal 33 6 6 2" xfId="34957"/>
    <cellStyle name="Normal 33 6 6 2 2" xfId="34958"/>
    <cellStyle name="Normal 33 6 6 2 2 2" xfId="34959"/>
    <cellStyle name="Normal 33 6 6 2 2 2 2" xfId="34960"/>
    <cellStyle name="Normal 33 6 6 2 2 3" xfId="34961"/>
    <cellStyle name="Normal 33 6 6 2 3" xfId="34962"/>
    <cellStyle name="Normal 33 6 6 2 3 2" xfId="34963"/>
    <cellStyle name="Normal 33 6 6 2 4" xfId="34964"/>
    <cellStyle name="Normal 33 6 6 3" xfId="34965"/>
    <cellStyle name="Normal 33 6 6 3 2" xfId="34966"/>
    <cellStyle name="Normal 33 6 6 3 2 2" xfId="34967"/>
    <cellStyle name="Normal 33 6 6 3 2 2 2" xfId="34968"/>
    <cellStyle name="Normal 33 6 6 3 2 3" xfId="34969"/>
    <cellStyle name="Normal 33 6 6 3 3" xfId="34970"/>
    <cellStyle name="Normal 33 6 6 3 3 2" xfId="34971"/>
    <cellStyle name="Normal 33 6 6 3 4" xfId="34972"/>
    <cellStyle name="Normal 33 6 6 4" xfId="34973"/>
    <cellStyle name="Normal 33 6 6 4 2" xfId="34974"/>
    <cellStyle name="Normal 33 6 6 4 2 2" xfId="34975"/>
    <cellStyle name="Normal 33 6 6 4 3" xfId="34976"/>
    <cellStyle name="Normal 33 6 6 5" xfId="34977"/>
    <cellStyle name="Normal 33 6 6 5 2" xfId="34978"/>
    <cellStyle name="Normal 33 6 6 6" xfId="34979"/>
    <cellStyle name="Normal 33 6 7" xfId="34980"/>
    <cellStyle name="Normal 33 6 7 2" xfId="34981"/>
    <cellStyle name="Normal 33 6 7 2 2" xfId="34982"/>
    <cellStyle name="Normal 33 6 7 2 2 2" xfId="34983"/>
    <cellStyle name="Normal 33 6 7 2 2 2 2" xfId="34984"/>
    <cellStyle name="Normal 33 6 7 2 2 3" xfId="34985"/>
    <cellStyle name="Normal 33 6 7 2 3" xfId="34986"/>
    <cellStyle name="Normal 33 6 7 2 3 2" xfId="34987"/>
    <cellStyle name="Normal 33 6 7 2 4" xfId="34988"/>
    <cellStyle name="Normal 33 6 7 3" xfId="34989"/>
    <cellStyle name="Normal 33 6 7 3 2" xfId="34990"/>
    <cellStyle name="Normal 33 6 7 3 2 2" xfId="34991"/>
    <cellStyle name="Normal 33 6 7 3 2 2 2" xfId="34992"/>
    <cellStyle name="Normal 33 6 7 3 2 3" xfId="34993"/>
    <cellStyle name="Normal 33 6 7 3 3" xfId="34994"/>
    <cellStyle name="Normal 33 6 7 3 3 2" xfId="34995"/>
    <cellStyle name="Normal 33 6 7 3 4" xfId="34996"/>
    <cellStyle name="Normal 33 6 7 4" xfId="34997"/>
    <cellStyle name="Normal 33 6 7 4 2" xfId="34998"/>
    <cellStyle name="Normal 33 6 7 4 2 2" xfId="34999"/>
    <cellStyle name="Normal 33 6 7 4 3" xfId="35000"/>
    <cellStyle name="Normal 33 6 7 5" xfId="35001"/>
    <cellStyle name="Normal 33 6 7 5 2" xfId="35002"/>
    <cellStyle name="Normal 33 6 7 6" xfId="35003"/>
    <cellStyle name="Normal 33 6 8" xfId="35004"/>
    <cellStyle name="Normal 33 6 8 2" xfId="35005"/>
    <cellStyle name="Normal 33 6 8 2 2" xfId="35006"/>
    <cellStyle name="Normal 33 6 8 2 2 2" xfId="35007"/>
    <cellStyle name="Normal 33 6 8 2 2 2 2" xfId="35008"/>
    <cellStyle name="Normal 33 6 8 2 2 3" xfId="35009"/>
    <cellStyle name="Normal 33 6 8 2 3" xfId="35010"/>
    <cellStyle name="Normal 33 6 8 2 3 2" xfId="35011"/>
    <cellStyle name="Normal 33 6 8 2 4" xfId="35012"/>
    <cellStyle name="Normal 33 6 8 3" xfId="35013"/>
    <cellStyle name="Normal 33 6 8 3 2" xfId="35014"/>
    <cellStyle name="Normal 33 6 8 3 2 2" xfId="35015"/>
    <cellStyle name="Normal 33 6 8 3 2 2 2" xfId="35016"/>
    <cellStyle name="Normal 33 6 8 3 2 3" xfId="35017"/>
    <cellStyle name="Normal 33 6 8 3 3" xfId="35018"/>
    <cellStyle name="Normal 33 6 8 3 3 2" xfId="35019"/>
    <cellStyle name="Normal 33 6 8 3 4" xfId="35020"/>
    <cellStyle name="Normal 33 6 8 4" xfId="35021"/>
    <cellStyle name="Normal 33 6 8 4 2" xfId="35022"/>
    <cellStyle name="Normal 33 6 8 4 2 2" xfId="35023"/>
    <cellStyle name="Normal 33 6 8 4 3" xfId="35024"/>
    <cellStyle name="Normal 33 6 8 5" xfId="35025"/>
    <cellStyle name="Normal 33 6 8 5 2" xfId="35026"/>
    <cellStyle name="Normal 33 6 8 6" xfId="35027"/>
    <cellStyle name="Normal 33 6 9" xfId="35028"/>
    <cellStyle name="Normal 33 6 9 2" xfId="35029"/>
    <cellStyle name="Normal 33 6 9 2 2" xfId="35030"/>
    <cellStyle name="Normal 33 6 9 2 2 2" xfId="35031"/>
    <cellStyle name="Normal 33 6 9 2 2 2 2" xfId="35032"/>
    <cellStyle name="Normal 33 6 9 2 2 3" xfId="35033"/>
    <cellStyle name="Normal 33 6 9 2 3" xfId="35034"/>
    <cellStyle name="Normal 33 6 9 2 3 2" xfId="35035"/>
    <cellStyle name="Normal 33 6 9 2 4" xfId="35036"/>
    <cellStyle name="Normal 33 6 9 3" xfId="35037"/>
    <cellStyle name="Normal 33 6 9 3 2" xfId="35038"/>
    <cellStyle name="Normal 33 6 9 3 2 2" xfId="35039"/>
    <cellStyle name="Normal 33 6 9 3 2 2 2" xfId="35040"/>
    <cellStyle name="Normal 33 6 9 3 2 3" xfId="35041"/>
    <cellStyle name="Normal 33 6 9 3 3" xfId="35042"/>
    <cellStyle name="Normal 33 6 9 3 3 2" xfId="35043"/>
    <cellStyle name="Normal 33 6 9 3 4" xfId="35044"/>
    <cellStyle name="Normal 33 6 9 4" xfId="35045"/>
    <cellStyle name="Normal 33 6 9 4 2" xfId="35046"/>
    <cellStyle name="Normal 33 6 9 4 2 2" xfId="35047"/>
    <cellStyle name="Normal 33 6 9 4 3" xfId="35048"/>
    <cellStyle name="Normal 33 6 9 5" xfId="35049"/>
    <cellStyle name="Normal 33 6 9 5 2" xfId="35050"/>
    <cellStyle name="Normal 33 6 9 6" xfId="35051"/>
    <cellStyle name="Normal 33 60" xfId="35052"/>
    <cellStyle name="Normal 33 61" xfId="35053"/>
    <cellStyle name="Normal 33 7" xfId="35054"/>
    <cellStyle name="Normal 33 7 10" xfId="35055"/>
    <cellStyle name="Normal 33 7 10 2" xfId="35056"/>
    <cellStyle name="Normal 33 7 10 2 2" xfId="35057"/>
    <cellStyle name="Normal 33 7 10 2 2 2" xfId="35058"/>
    <cellStyle name="Normal 33 7 10 2 2 2 2" xfId="35059"/>
    <cellStyle name="Normal 33 7 10 2 2 3" xfId="35060"/>
    <cellStyle name="Normal 33 7 10 2 3" xfId="35061"/>
    <cellStyle name="Normal 33 7 10 2 3 2" xfId="35062"/>
    <cellStyle name="Normal 33 7 10 2 4" xfId="35063"/>
    <cellStyle name="Normal 33 7 10 3" xfId="35064"/>
    <cellStyle name="Normal 33 7 10 3 2" xfId="35065"/>
    <cellStyle name="Normal 33 7 10 3 2 2" xfId="35066"/>
    <cellStyle name="Normal 33 7 10 3 2 2 2" xfId="35067"/>
    <cellStyle name="Normal 33 7 10 3 2 3" xfId="35068"/>
    <cellStyle name="Normal 33 7 10 3 3" xfId="35069"/>
    <cellStyle name="Normal 33 7 10 3 3 2" xfId="35070"/>
    <cellStyle name="Normal 33 7 10 3 4" xfId="35071"/>
    <cellStyle name="Normal 33 7 10 4" xfId="35072"/>
    <cellStyle name="Normal 33 7 10 4 2" xfId="35073"/>
    <cellStyle name="Normal 33 7 10 4 2 2" xfId="35074"/>
    <cellStyle name="Normal 33 7 10 4 3" xfId="35075"/>
    <cellStyle name="Normal 33 7 10 5" xfId="35076"/>
    <cellStyle name="Normal 33 7 10 5 2" xfId="35077"/>
    <cellStyle name="Normal 33 7 10 6" xfId="35078"/>
    <cellStyle name="Normal 33 7 11" xfId="35079"/>
    <cellStyle name="Normal 33 7 11 2" xfId="35080"/>
    <cellStyle name="Normal 33 7 11 2 2" xfId="35081"/>
    <cellStyle name="Normal 33 7 11 2 2 2" xfId="35082"/>
    <cellStyle name="Normal 33 7 11 2 2 2 2" xfId="35083"/>
    <cellStyle name="Normal 33 7 11 2 2 3" xfId="35084"/>
    <cellStyle name="Normal 33 7 11 2 3" xfId="35085"/>
    <cellStyle name="Normal 33 7 11 2 3 2" xfId="35086"/>
    <cellStyle name="Normal 33 7 11 2 4" xfId="35087"/>
    <cellStyle name="Normal 33 7 11 3" xfId="35088"/>
    <cellStyle name="Normal 33 7 11 3 2" xfId="35089"/>
    <cellStyle name="Normal 33 7 11 3 2 2" xfId="35090"/>
    <cellStyle name="Normal 33 7 11 3 2 2 2" xfId="35091"/>
    <cellStyle name="Normal 33 7 11 3 2 3" xfId="35092"/>
    <cellStyle name="Normal 33 7 11 3 3" xfId="35093"/>
    <cellStyle name="Normal 33 7 11 3 3 2" xfId="35094"/>
    <cellStyle name="Normal 33 7 11 3 4" xfId="35095"/>
    <cellStyle name="Normal 33 7 11 4" xfId="35096"/>
    <cellStyle name="Normal 33 7 11 4 2" xfId="35097"/>
    <cellStyle name="Normal 33 7 11 4 2 2" xfId="35098"/>
    <cellStyle name="Normal 33 7 11 4 3" xfId="35099"/>
    <cellStyle name="Normal 33 7 11 5" xfId="35100"/>
    <cellStyle name="Normal 33 7 11 5 2" xfId="35101"/>
    <cellStyle name="Normal 33 7 11 6" xfId="35102"/>
    <cellStyle name="Normal 33 7 12" xfId="35103"/>
    <cellStyle name="Normal 33 7 12 2" xfId="35104"/>
    <cellStyle name="Normal 33 7 12 2 2" xfId="35105"/>
    <cellStyle name="Normal 33 7 12 2 2 2" xfId="35106"/>
    <cellStyle name="Normal 33 7 12 2 2 2 2" xfId="35107"/>
    <cellStyle name="Normal 33 7 12 2 2 3" xfId="35108"/>
    <cellStyle name="Normal 33 7 12 2 3" xfId="35109"/>
    <cellStyle name="Normal 33 7 12 2 3 2" xfId="35110"/>
    <cellStyle name="Normal 33 7 12 2 4" xfId="35111"/>
    <cellStyle name="Normal 33 7 12 3" xfId="35112"/>
    <cellStyle name="Normal 33 7 12 3 2" xfId="35113"/>
    <cellStyle name="Normal 33 7 12 3 2 2" xfId="35114"/>
    <cellStyle name="Normal 33 7 12 3 2 2 2" xfId="35115"/>
    <cellStyle name="Normal 33 7 12 3 2 3" xfId="35116"/>
    <cellStyle name="Normal 33 7 12 3 3" xfId="35117"/>
    <cellStyle name="Normal 33 7 12 3 3 2" xfId="35118"/>
    <cellStyle name="Normal 33 7 12 3 4" xfId="35119"/>
    <cellStyle name="Normal 33 7 12 4" xfId="35120"/>
    <cellStyle name="Normal 33 7 12 4 2" xfId="35121"/>
    <cellStyle name="Normal 33 7 12 4 2 2" xfId="35122"/>
    <cellStyle name="Normal 33 7 12 4 3" xfId="35123"/>
    <cellStyle name="Normal 33 7 12 5" xfId="35124"/>
    <cellStyle name="Normal 33 7 12 5 2" xfId="35125"/>
    <cellStyle name="Normal 33 7 12 6" xfId="35126"/>
    <cellStyle name="Normal 33 7 13" xfId="35127"/>
    <cellStyle name="Normal 33 7 13 2" xfId="35128"/>
    <cellStyle name="Normal 33 7 13 2 2" xfId="35129"/>
    <cellStyle name="Normal 33 7 13 2 2 2" xfId="35130"/>
    <cellStyle name="Normal 33 7 13 2 2 2 2" xfId="35131"/>
    <cellStyle name="Normal 33 7 13 2 2 3" xfId="35132"/>
    <cellStyle name="Normal 33 7 13 2 3" xfId="35133"/>
    <cellStyle name="Normal 33 7 13 2 3 2" xfId="35134"/>
    <cellStyle name="Normal 33 7 13 2 4" xfId="35135"/>
    <cellStyle name="Normal 33 7 13 3" xfId="35136"/>
    <cellStyle name="Normal 33 7 13 3 2" xfId="35137"/>
    <cellStyle name="Normal 33 7 13 3 2 2" xfId="35138"/>
    <cellStyle name="Normal 33 7 13 3 2 2 2" xfId="35139"/>
    <cellStyle name="Normal 33 7 13 3 2 3" xfId="35140"/>
    <cellStyle name="Normal 33 7 13 3 3" xfId="35141"/>
    <cellStyle name="Normal 33 7 13 3 3 2" xfId="35142"/>
    <cellStyle name="Normal 33 7 13 3 4" xfId="35143"/>
    <cellStyle name="Normal 33 7 13 4" xfId="35144"/>
    <cellStyle name="Normal 33 7 13 4 2" xfId="35145"/>
    <cellStyle name="Normal 33 7 13 4 2 2" xfId="35146"/>
    <cellStyle name="Normal 33 7 13 4 3" xfId="35147"/>
    <cellStyle name="Normal 33 7 13 5" xfId="35148"/>
    <cellStyle name="Normal 33 7 13 5 2" xfId="35149"/>
    <cellStyle name="Normal 33 7 13 6" xfId="35150"/>
    <cellStyle name="Normal 33 7 14" xfId="35151"/>
    <cellStyle name="Normal 33 7 14 2" xfId="35152"/>
    <cellStyle name="Normal 33 7 14 2 2" xfId="35153"/>
    <cellStyle name="Normal 33 7 14 2 2 2" xfId="35154"/>
    <cellStyle name="Normal 33 7 14 2 3" xfId="35155"/>
    <cellStyle name="Normal 33 7 14 3" xfId="35156"/>
    <cellStyle name="Normal 33 7 14 3 2" xfId="35157"/>
    <cellStyle name="Normal 33 7 14 4" xfId="35158"/>
    <cellStyle name="Normal 33 7 15" xfId="35159"/>
    <cellStyle name="Normal 33 7 15 2" xfId="35160"/>
    <cellStyle name="Normal 33 7 15 2 2" xfId="35161"/>
    <cellStyle name="Normal 33 7 15 2 2 2" xfId="35162"/>
    <cellStyle name="Normal 33 7 15 2 3" xfId="35163"/>
    <cellStyle name="Normal 33 7 15 3" xfId="35164"/>
    <cellStyle name="Normal 33 7 15 3 2" xfId="35165"/>
    <cellStyle name="Normal 33 7 15 4" xfId="35166"/>
    <cellStyle name="Normal 33 7 16" xfId="35167"/>
    <cellStyle name="Normal 33 7 16 2" xfId="35168"/>
    <cellStyle name="Normal 33 7 16 2 2" xfId="35169"/>
    <cellStyle name="Normal 33 7 16 3" xfId="35170"/>
    <cellStyle name="Normal 33 7 17" xfId="35171"/>
    <cellStyle name="Normal 33 7 17 2" xfId="35172"/>
    <cellStyle name="Normal 33 7 18" xfId="35173"/>
    <cellStyle name="Normal 33 7 2" xfId="35174"/>
    <cellStyle name="Normal 33 7 2 2" xfId="35175"/>
    <cellStyle name="Normal 33 7 2 2 2" xfId="35176"/>
    <cellStyle name="Normal 33 7 2 2 2 2" xfId="35177"/>
    <cellStyle name="Normal 33 7 2 2 2 2 2" xfId="35178"/>
    <cellStyle name="Normal 33 7 2 2 2 3" xfId="35179"/>
    <cellStyle name="Normal 33 7 2 2 3" xfId="35180"/>
    <cellStyle name="Normal 33 7 2 2 3 2" xfId="35181"/>
    <cellStyle name="Normal 33 7 2 2 4" xfId="35182"/>
    <cellStyle name="Normal 33 7 2 3" xfId="35183"/>
    <cellStyle name="Normal 33 7 2 3 2" xfId="35184"/>
    <cellStyle name="Normal 33 7 2 3 2 2" xfId="35185"/>
    <cellStyle name="Normal 33 7 2 3 2 2 2" xfId="35186"/>
    <cellStyle name="Normal 33 7 2 3 2 3" xfId="35187"/>
    <cellStyle name="Normal 33 7 2 3 3" xfId="35188"/>
    <cellStyle name="Normal 33 7 2 3 3 2" xfId="35189"/>
    <cellStyle name="Normal 33 7 2 3 4" xfId="35190"/>
    <cellStyle name="Normal 33 7 2 4" xfId="35191"/>
    <cellStyle name="Normal 33 7 2 4 2" xfId="35192"/>
    <cellStyle name="Normal 33 7 2 4 2 2" xfId="35193"/>
    <cellStyle name="Normal 33 7 2 4 3" xfId="35194"/>
    <cellStyle name="Normal 33 7 2 5" xfId="35195"/>
    <cellStyle name="Normal 33 7 2 5 2" xfId="35196"/>
    <cellStyle name="Normal 33 7 2 6" xfId="35197"/>
    <cellStyle name="Normal 33 7 3" xfId="35198"/>
    <cellStyle name="Normal 33 7 3 2" xfId="35199"/>
    <cellStyle name="Normal 33 7 3 2 2" xfId="35200"/>
    <cellStyle name="Normal 33 7 3 2 2 2" xfId="35201"/>
    <cellStyle name="Normal 33 7 3 2 2 2 2" xfId="35202"/>
    <cellStyle name="Normal 33 7 3 2 2 3" xfId="35203"/>
    <cellStyle name="Normal 33 7 3 2 3" xfId="35204"/>
    <cellStyle name="Normal 33 7 3 2 3 2" xfId="35205"/>
    <cellStyle name="Normal 33 7 3 2 4" xfId="35206"/>
    <cellStyle name="Normal 33 7 3 3" xfId="35207"/>
    <cellStyle name="Normal 33 7 3 3 2" xfId="35208"/>
    <cellStyle name="Normal 33 7 3 3 2 2" xfId="35209"/>
    <cellStyle name="Normal 33 7 3 3 2 2 2" xfId="35210"/>
    <cellStyle name="Normal 33 7 3 3 2 3" xfId="35211"/>
    <cellStyle name="Normal 33 7 3 3 3" xfId="35212"/>
    <cellStyle name="Normal 33 7 3 3 3 2" xfId="35213"/>
    <cellStyle name="Normal 33 7 3 3 4" xfId="35214"/>
    <cellStyle name="Normal 33 7 3 4" xfId="35215"/>
    <cellStyle name="Normal 33 7 3 4 2" xfId="35216"/>
    <cellStyle name="Normal 33 7 3 4 2 2" xfId="35217"/>
    <cellStyle name="Normal 33 7 3 4 3" xfId="35218"/>
    <cellStyle name="Normal 33 7 3 5" xfId="35219"/>
    <cellStyle name="Normal 33 7 3 5 2" xfId="35220"/>
    <cellStyle name="Normal 33 7 3 6" xfId="35221"/>
    <cellStyle name="Normal 33 7 4" xfId="35222"/>
    <cellStyle name="Normal 33 7 4 2" xfId="35223"/>
    <cellStyle name="Normal 33 7 4 2 2" xfId="35224"/>
    <cellStyle name="Normal 33 7 4 2 2 2" xfId="35225"/>
    <cellStyle name="Normal 33 7 4 2 2 2 2" xfId="35226"/>
    <cellStyle name="Normal 33 7 4 2 2 3" xfId="35227"/>
    <cellStyle name="Normal 33 7 4 2 3" xfId="35228"/>
    <cellStyle name="Normal 33 7 4 2 3 2" xfId="35229"/>
    <cellStyle name="Normal 33 7 4 2 4" xfId="35230"/>
    <cellStyle name="Normal 33 7 4 3" xfId="35231"/>
    <cellStyle name="Normal 33 7 4 3 2" xfId="35232"/>
    <cellStyle name="Normal 33 7 4 3 2 2" xfId="35233"/>
    <cellStyle name="Normal 33 7 4 3 2 2 2" xfId="35234"/>
    <cellStyle name="Normal 33 7 4 3 2 3" xfId="35235"/>
    <cellStyle name="Normal 33 7 4 3 3" xfId="35236"/>
    <cellStyle name="Normal 33 7 4 3 3 2" xfId="35237"/>
    <cellStyle name="Normal 33 7 4 3 4" xfId="35238"/>
    <cellStyle name="Normal 33 7 4 4" xfId="35239"/>
    <cellStyle name="Normal 33 7 4 4 2" xfId="35240"/>
    <cellStyle name="Normal 33 7 4 4 2 2" xfId="35241"/>
    <cellStyle name="Normal 33 7 4 4 3" xfId="35242"/>
    <cellStyle name="Normal 33 7 4 5" xfId="35243"/>
    <cellStyle name="Normal 33 7 4 5 2" xfId="35244"/>
    <cellStyle name="Normal 33 7 4 6" xfId="35245"/>
    <cellStyle name="Normal 33 7 5" xfId="35246"/>
    <cellStyle name="Normal 33 7 5 2" xfId="35247"/>
    <cellStyle name="Normal 33 7 5 2 2" xfId="35248"/>
    <cellStyle name="Normal 33 7 5 2 2 2" xfId="35249"/>
    <cellStyle name="Normal 33 7 5 2 2 2 2" xfId="35250"/>
    <cellStyle name="Normal 33 7 5 2 2 3" xfId="35251"/>
    <cellStyle name="Normal 33 7 5 2 3" xfId="35252"/>
    <cellStyle name="Normal 33 7 5 2 3 2" xfId="35253"/>
    <cellStyle name="Normal 33 7 5 2 4" xfId="35254"/>
    <cellStyle name="Normal 33 7 5 3" xfId="35255"/>
    <cellStyle name="Normal 33 7 5 3 2" xfId="35256"/>
    <cellStyle name="Normal 33 7 5 3 2 2" xfId="35257"/>
    <cellStyle name="Normal 33 7 5 3 2 2 2" xfId="35258"/>
    <cellStyle name="Normal 33 7 5 3 2 3" xfId="35259"/>
    <cellStyle name="Normal 33 7 5 3 3" xfId="35260"/>
    <cellStyle name="Normal 33 7 5 3 3 2" xfId="35261"/>
    <cellStyle name="Normal 33 7 5 3 4" xfId="35262"/>
    <cellStyle name="Normal 33 7 5 4" xfId="35263"/>
    <cellStyle name="Normal 33 7 5 4 2" xfId="35264"/>
    <cellStyle name="Normal 33 7 5 4 2 2" xfId="35265"/>
    <cellStyle name="Normal 33 7 5 4 3" xfId="35266"/>
    <cellStyle name="Normal 33 7 5 5" xfId="35267"/>
    <cellStyle name="Normal 33 7 5 5 2" xfId="35268"/>
    <cellStyle name="Normal 33 7 5 6" xfId="35269"/>
    <cellStyle name="Normal 33 7 6" xfId="35270"/>
    <cellStyle name="Normal 33 7 6 2" xfId="35271"/>
    <cellStyle name="Normal 33 7 6 2 2" xfId="35272"/>
    <cellStyle name="Normal 33 7 6 2 2 2" xfId="35273"/>
    <cellStyle name="Normal 33 7 6 2 2 2 2" xfId="35274"/>
    <cellStyle name="Normal 33 7 6 2 2 3" xfId="35275"/>
    <cellStyle name="Normal 33 7 6 2 3" xfId="35276"/>
    <cellStyle name="Normal 33 7 6 2 3 2" xfId="35277"/>
    <cellStyle name="Normal 33 7 6 2 4" xfId="35278"/>
    <cellStyle name="Normal 33 7 6 3" xfId="35279"/>
    <cellStyle name="Normal 33 7 6 3 2" xfId="35280"/>
    <cellStyle name="Normal 33 7 6 3 2 2" xfId="35281"/>
    <cellStyle name="Normal 33 7 6 3 2 2 2" xfId="35282"/>
    <cellStyle name="Normal 33 7 6 3 2 3" xfId="35283"/>
    <cellStyle name="Normal 33 7 6 3 3" xfId="35284"/>
    <cellStyle name="Normal 33 7 6 3 3 2" xfId="35285"/>
    <cellStyle name="Normal 33 7 6 3 4" xfId="35286"/>
    <cellStyle name="Normal 33 7 6 4" xfId="35287"/>
    <cellStyle name="Normal 33 7 6 4 2" xfId="35288"/>
    <cellStyle name="Normal 33 7 6 4 2 2" xfId="35289"/>
    <cellStyle name="Normal 33 7 6 4 3" xfId="35290"/>
    <cellStyle name="Normal 33 7 6 5" xfId="35291"/>
    <cellStyle name="Normal 33 7 6 5 2" xfId="35292"/>
    <cellStyle name="Normal 33 7 6 6" xfId="35293"/>
    <cellStyle name="Normal 33 7 7" xfId="35294"/>
    <cellStyle name="Normal 33 7 7 2" xfId="35295"/>
    <cellStyle name="Normal 33 7 7 2 2" xfId="35296"/>
    <cellStyle name="Normal 33 7 7 2 2 2" xfId="35297"/>
    <cellStyle name="Normal 33 7 7 2 2 2 2" xfId="35298"/>
    <cellStyle name="Normal 33 7 7 2 2 3" xfId="35299"/>
    <cellStyle name="Normal 33 7 7 2 3" xfId="35300"/>
    <cellStyle name="Normal 33 7 7 2 3 2" xfId="35301"/>
    <cellStyle name="Normal 33 7 7 2 4" xfId="35302"/>
    <cellStyle name="Normal 33 7 7 3" xfId="35303"/>
    <cellStyle name="Normal 33 7 7 3 2" xfId="35304"/>
    <cellStyle name="Normal 33 7 7 3 2 2" xfId="35305"/>
    <cellStyle name="Normal 33 7 7 3 2 2 2" xfId="35306"/>
    <cellStyle name="Normal 33 7 7 3 2 3" xfId="35307"/>
    <cellStyle name="Normal 33 7 7 3 3" xfId="35308"/>
    <cellStyle name="Normal 33 7 7 3 3 2" xfId="35309"/>
    <cellStyle name="Normal 33 7 7 3 4" xfId="35310"/>
    <cellStyle name="Normal 33 7 7 4" xfId="35311"/>
    <cellStyle name="Normal 33 7 7 4 2" xfId="35312"/>
    <cellStyle name="Normal 33 7 7 4 2 2" xfId="35313"/>
    <cellStyle name="Normal 33 7 7 4 3" xfId="35314"/>
    <cellStyle name="Normal 33 7 7 5" xfId="35315"/>
    <cellStyle name="Normal 33 7 7 5 2" xfId="35316"/>
    <cellStyle name="Normal 33 7 7 6" xfId="35317"/>
    <cellStyle name="Normal 33 7 8" xfId="35318"/>
    <cellStyle name="Normal 33 7 8 2" xfId="35319"/>
    <cellStyle name="Normal 33 7 8 2 2" xfId="35320"/>
    <cellStyle name="Normal 33 7 8 2 2 2" xfId="35321"/>
    <cellStyle name="Normal 33 7 8 2 2 2 2" xfId="35322"/>
    <cellStyle name="Normal 33 7 8 2 2 3" xfId="35323"/>
    <cellStyle name="Normal 33 7 8 2 3" xfId="35324"/>
    <cellStyle name="Normal 33 7 8 2 3 2" xfId="35325"/>
    <cellStyle name="Normal 33 7 8 2 4" xfId="35326"/>
    <cellStyle name="Normal 33 7 8 3" xfId="35327"/>
    <cellStyle name="Normal 33 7 8 3 2" xfId="35328"/>
    <cellStyle name="Normal 33 7 8 3 2 2" xfId="35329"/>
    <cellStyle name="Normal 33 7 8 3 2 2 2" xfId="35330"/>
    <cellStyle name="Normal 33 7 8 3 2 3" xfId="35331"/>
    <cellStyle name="Normal 33 7 8 3 3" xfId="35332"/>
    <cellStyle name="Normal 33 7 8 3 3 2" xfId="35333"/>
    <cellStyle name="Normal 33 7 8 3 4" xfId="35334"/>
    <cellStyle name="Normal 33 7 8 4" xfId="35335"/>
    <cellStyle name="Normal 33 7 8 4 2" xfId="35336"/>
    <cellStyle name="Normal 33 7 8 4 2 2" xfId="35337"/>
    <cellStyle name="Normal 33 7 8 4 3" xfId="35338"/>
    <cellStyle name="Normal 33 7 8 5" xfId="35339"/>
    <cellStyle name="Normal 33 7 8 5 2" xfId="35340"/>
    <cellStyle name="Normal 33 7 8 6" xfId="35341"/>
    <cellStyle name="Normal 33 7 9" xfId="35342"/>
    <cellStyle name="Normal 33 7 9 2" xfId="35343"/>
    <cellStyle name="Normal 33 7 9 2 2" xfId="35344"/>
    <cellStyle name="Normal 33 7 9 2 2 2" xfId="35345"/>
    <cellStyle name="Normal 33 7 9 2 2 2 2" xfId="35346"/>
    <cellStyle name="Normal 33 7 9 2 2 3" xfId="35347"/>
    <cellStyle name="Normal 33 7 9 2 3" xfId="35348"/>
    <cellStyle name="Normal 33 7 9 2 3 2" xfId="35349"/>
    <cellStyle name="Normal 33 7 9 2 4" xfId="35350"/>
    <cellStyle name="Normal 33 7 9 3" xfId="35351"/>
    <cellStyle name="Normal 33 7 9 3 2" xfId="35352"/>
    <cellStyle name="Normal 33 7 9 3 2 2" xfId="35353"/>
    <cellStyle name="Normal 33 7 9 3 2 2 2" xfId="35354"/>
    <cellStyle name="Normal 33 7 9 3 2 3" xfId="35355"/>
    <cellStyle name="Normal 33 7 9 3 3" xfId="35356"/>
    <cellStyle name="Normal 33 7 9 3 3 2" xfId="35357"/>
    <cellStyle name="Normal 33 7 9 3 4" xfId="35358"/>
    <cellStyle name="Normal 33 7 9 4" xfId="35359"/>
    <cellStyle name="Normal 33 7 9 4 2" xfId="35360"/>
    <cellStyle name="Normal 33 7 9 4 2 2" xfId="35361"/>
    <cellStyle name="Normal 33 7 9 4 3" xfId="35362"/>
    <cellStyle name="Normal 33 7 9 5" xfId="35363"/>
    <cellStyle name="Normal 33 7 9 5 2" xfId="35364"/>
    <cellStyle name="Normal 33 7 9 6" xfId="35365"/>
    <cellStyle name="Normal 33 8" xfId="35366"/>
    <cellStyle name="Normal 33 8 10" xfId="35367"/>
    <cellStyle name="Normal 33 8 10 2" xfId="35368"/>
    <cellStyle name="Normal 33 8 10 2 2" xfId="35369"/>
    <cellStyle name="Normal 33 8 10 2 2 2" xfId="35370"/>
    <cellStyle name="Normal 33 8 10 2 2 2 2" xfId="35371"/>
    <cellStyle name="Normal 33 8 10 2 2 3" xfId="35372"/>
    <cellStyle name="Normal 33 8 10 2 3" xfId="35373"/>
    <cellStyle name="Normal 33 8 10 2 3 2" xfId="35374"/>
    <cellStyle name="Normal 33 8 10 2 4" xfId="35375"/>
    <cellStyle name="Normal 33 8 10 3" xfId="35376"/>
    <cellStyle name="Normal 33 8 10 3 2" xfId="35377"/>
    <cellStyle name="Normal 33 8 10 3 2 2" xfId="35378"/>
    <cellStyle name="Normal 33 8 10 3 2 2 2" xfId="35379"/>
    <cellStyle name="Normal 33 8 10 3 2 3" xfId="35380"/>
    <cellStyle name="Normal 33 8 10 3 3" xfId="35381"/>
    <cellStyle name="Normal 33 8 10 3 3 2" xfId="35382"/>
    <cellStyle name="Normal 33 8 10 3 4" xfId="35383"/>
    <cellStyle name="Normal 33 8 10 4" xfId="35384"/>
    <cellStyle name="Normal 33 8 10 4 2" xfId="35385"/>
    <cellStyle name="Normal 33 8 10 4 2 2" xfId="35386"/>
    <cellStyle name="Normal 33 8 10 4 3" xfId="35387"/>
    <cellStyle name="Normal 33 8 10 5" xfId="35388"/>
    <cellStyle name="Normal 33 8 10 5 2" xfId="35389"/>
    <cellStyle name="Normal 33 8 10 6" xfId="35390"/>
    <cellStyle name="Normal 33 8 11" xfId="35391"/>
    <cellStyle name="Normal 33 8 11 2" xfId="35392"/>
    <cellStyle name="Normal 33 8 11 2 2" xfId="35393"/>
    <cellStyle name="Normal 33 8 11 2 2 2" xfId="35394"/>
    <cellStyle name="Normal 33 8 11 2 2 2 2" xfId="35395"/>
    <cellStyle name="Normal 33 8 11 2 2 3" xfId="35396"/>
    <cellStyle name="Normal 33 8 11 2 3" xfId="35397"/>
    <cellStyle name="Normal 33 8 11 2 3 2" xfId="35398"/>
    <cellStyle name="Normal 33 8 11 2 4" xfId="35399"/>
    <cellStyle name="Normal 33 8 11 3" xfId="35400"/>
    <cellStyle name="Normal 33 8 11 3 2" xfId="35401"/>
    <cellStyle name="Normal 33 8 11 3 2 2" xfId="35402"/>
    <cellStyle name="Normal 33 8 11 3 2 2 2" xfId="35403"/>
    <cellStyle name="Normal 33 8 11 3 2 3" xfId="35404"/>
    <cellStyle name="Normal 33 8 11 3 3" xfId="35405"/>
    <cellStyle name="Normal 33 8 11 3 3 2" xfId="35406"/>
    <cellStyle name="Normal 33 8 11 3 4" xfId="35407"/>
    <cellStyle name="Normal 33 8 11 4" xfId="35408"/>
    <cellStyle name="Normal 33 8 11 4 2" xfId="35409"/>
    <cellStyle name="Normal 33 8 11 4 2 2" xfId="35410"/>
    <cellStyle name="Normal 33 8 11 4 3" xfId="35411"/>
    <cellStyle name="Normal 33 8 11 5" xfId="35412"/>
    <cellStyle name="Normal 33 8 11 5 2" xfId="35413"/>
    <cellStyle name="Normal 33 8 11 6" xfId="35414"/>
    <cellStyle name="Normal 33 8 12" xfId="35415"/>
    <cellStyle name="Normal 33 8 12 2" xfId="35416"/>
    <cellStyle name="Normal 33 8 12 2 2" xfId="35417"/>
    <cellStyle name="Normal 33 8 12 2 2 2" xfId="35418"/>
    <cellStyle name="Normal 33 8 12 2 2 2 2" xfId="35419"/>
    <cellStyle name="Normal 33 8 12 2 2 3" xfId="35420"/>
    <cellStyle name="Normal 33 8 12 2 3" xfId="35421"/>
    <cellStyle name="Normal 33 8 12 2 3 2" xfId="35422"/>
    <cellStyle name="Normal 33 8 12 2 4" xfId="35423"/>
    <cellStyle name="Normal 33 8 12 3" xfId="35424"/>
    <cellStyle name="Normal 33 8 12 3 2" xfId="35425"/>
    <cellStyle name="Normal 33 8 12 3 2 2" xfId="35426"/>
    <cellStyle name="Normal 33 8 12 3 2 2 2" xfId="35427"/>
    <cellStyle name="Normal 33 8 12 3 2 3" xfId="35428"/>
    <cellStyle name="Normal 33 8 12 3 3" xfId="35429"/>
    <cellStyle name="Normal 33 8 12 3 3 2" xfId="35430"/>
    <cellStyle name="Normal 33 8 12 3 4" xfId="35431"/>
    <cellStyle name="Normal 33 8 12 4" xfId="35432"/>
    <cellStyle name="Normal 33 8 12 4 2" xfId="35433"/>
    <cellStyle name="Normal 33 8 12 4 2 2" xfId="35434"/>
    <cellStyle name="Normal 33 8 12 4 3" xfId="35435"/>
    <cellStyle name="Normal 33 8 12 5" xfId="35436"/>
    <cellStyle name="Normal 33 8 12 5 2" xfId="35437"/>
    <cellStyle name="Normal 33 8 12 6" xfId="35438"/>
    <cellStyle name="Normal 33 8 13" xfId="35439"/>
    <cellStyle name="Normal 33 8 13 2" xfId="35440"/>
    <cellStyle name="Normal 33 8 13 2 2" xfId="35441"/>
    <cellStyle name="Normal 33 8 13 2 2 2" xfId="35442"/>
    <cellStyle name="Normal 33 8 13 2 2 2 2" xfId="35443"/>
    <cellStyle name="Normal 33 8 13 2 2 3" xfId="35444"/>
    <cellStyle name="Normal 33 8 13 2 3" xfId="35445"/>
    <cellStyle name="Normal 33 8 13 2 3 2" xfId="35446"/>
    <cellStyle name="Normal 33 8 13 2 4" xfId="35447"/>
    <cellStyle name="Normal 33 8 13 3" xfId="35448"/>
    <cellStyle name="Normal 33 8 13 3 2" xfId="35449"/>
    <cellStyle name="Normal 33 8 13 3 2 2" xfId="35450"/>
    <cellStyle name="Normal 33 8 13 3 2 2 2" xfId="35451"/>
    <cellStyle name="Normal 33 8 13 3 2 3" xfId="35452"/>
    <cellStyle name="Normal 33 8 13 3 3" xfId="35453"/>
    <cellStyle name="Normal 33 8 13 3 3 2" xfId="35454"/>
    <cellStyle name="Normal 33 8 13 3 4" xfId="35455"/>
    <cellStyle name="Normal 33 8 13 4" xfId="35456"/>
    <cellStyle name="Normal 33 8 13 4 2" xfId="35457"/>
    <cellStyle name="Normal 33 8 13 4 2 2" xfId="35458"/>
    <cellStyle name="Normal 33 8 13 4 3" xfId="35459"/>
    <cellStyle name="Normal 33 8 13 5" xfId="35460"/>
    <cellStyle name="Normal 33 8 13 5 2" xfId="35461"/>
    <cellStyle name="Normal 33 8 13 6" xfId="35462"/>
    <cellStyle name="Normal 33 8 14" xfId="35463"/>
    <cellStyle name="Normal 33 8 14 2" xfId="35464"/>
    <cellStyle name="Normal 33 8 14 2 2" xfId="35465"/>
    <cellStyle name="Normal 33 8 14 2 2 2" xfId="35466"/>
    <cellStyle name="Normal 33 8 14 2 3" xfId="35467"/>
    <cellStyle name="Normal 33 8 14 3" xfId="35468"/>
    <cellStyle name="Normal 33 8 14 3 2" xfId="35469"/>
    <cellStyle name="Normal 33 8 14 4" xfId="35470"/>
    <cellStyle name="Normal 33 8 15" xfId="35471"/>
    <cellStyle name="Normal 33 8 15 2" xfId="35472"/>
    <cellStyle name="Normal 33 8 15 2 2" xfId="35473"/>
    <cellStyle name="Normal 33 8 15 2 2 2" xfId="35474"/>
    <cellStyle name="Normal 33 8 15 2 3" xfId="35475"/>
    <cellStyle name="Normal 33 8 15 3" xfId="35476"/>
    <cellStyle name="Normal 33 8 15 3 2" xfId="35477"/>
    <cellStyle name="Normal 33 8 15 4" xfId="35478"/>
    <cellStyle name="Normal 33 8 16" xfId="35479"/>
    <cellStyle name="Normal 33 8 16 2" xfId="35480"/>
    <cellStyle name="Normal 33 8 16 2 2" xfId="35481"/>
    <cellStyle name="Normal 33 8 16 3" xfId="35482"/>
    <cellStyle name="Normal 33 8 17" xfId="35483"/>
    <cellStyle name="Normal 33 8 17 2" xfId="35484"/>
    <cellStyle name="Normal 33 8 18" xfId="35485"/>
    <cellStyle name="Normal 33 8 2" xfId="35486"/>
    <cellStyle name="Normal 33 8 2 2" xfId="35487"/>
    <cellStyle name="Normal 33 8 2 2 2" xfId="35488"/>
    <cellStyle name="Normal 33 8 2 2 2 2" xfId="35489"/>
    <cellStyle name="Normal 33 8 2 2 2 2 2" xfId="35490"/>
    <cellStyle name="Normal 33 8 2 2 2 3" xfId="35491"/>
    <cellStyle name="Normal 33 8 2 2 3" xfId="35492"/>
    <cellStyle name="Normal 33 8 2 2 3 2" xfId="35493"/>
    <cellStyle name="Normal 33 8 2 2 4" xfId="35494"/>
    <cellStyle name="Normal 33 8 2 3" xfId="35495"/>
    <cellStyle name="Normal 33 8 2 3 2" xfId="35496"/>
    <cellStyle name="Normal 33 8 2 3 2 2" xfId="35497"/>
    <cellStyle name="Normal 33 8 2 3 2 2 2" xfId="35498"/>
    <cellStyle name="Normal 33 8 2 3 2 3" xfId="35499"/>
    <cellStyle name="Normal 33 8 2 3 3" xfId="35500"/>
    <cellStyle name="Normal 33 8 2 3 3 2" xfId="35501"/>
    <cellStyle name="Normal 33 8 2 3 4" xfId="35502"/>
    <cellStyle name="Normal 33 8 2 4" xfId="35503"/>
    <cellStyle name="Normal 33 8 2 4 2" xfId="35504"/>
    <cellStyle name="Normal 33 8 2 4 2 2" xfId="35505"/>
    <cellStyle name="Normal 33 8 2 4 3" xfId="35506"/>
    <cellStyle name="Normal 33 8 2 5" xfId="35507"/>
    <cellStyle name="Normal 33 8 2 5 2" xfId="35508"/>
    <cellStyle name="Normal 33 8 2 6" xfId="35509"/>
    <cellStyle name="Normal 33 8 3" xfId="35510"/>
    <cellStyle name="Normal 33 8 3 2" xfId="35511"/>
    <cellStyle name="Normal 33 8 3 2 2" xfId="35512"/>
    <cellStyle name="Normal 33 8 3 2 2 2" xfId="35513"/>
    <cellStyle name="Normal 33 8 3 2 2 2 2" xfId="35514"/>
    <cellStyle name="Normal 33 8 3 2 2 3" xfId="35515"/>
    <cellStyle name="Normal 33 8 3 2 3" xfId="35516"/>
    <cellStyle name="Normal 33 8 3 2 3 2" xfId="35517"/>
    <cellStyle name="Normal 33 8 3 2 4" xfId="35518"/>
    <cellStyle name="Normal 33 8 3 3" xfId="35519"/>
    <cellStyle name="Normal 33 8 3 3 2" xfId="35520"/>
    <cellStyle name="Normal 33 8 3 3 2 2" xfId="35521"/>
    <cellStyle name="Normal 33 8 3 3 2 2 2" xfId="35522"/>
    <cellStyle name="Normal 33 8 3 3 2 3" xfId="35523"/>
    <cellStyle name="Normal 33 8 3 3 3" xfId="35524"/>
    <cellStyle name="Normal 33 8 3 3 3 2" xfId="35525"/>
    <cellStyle name="Normal 33 8 3 3 4" xfId="35526"/>
    <cellStyle name="Normal 33 8 3 4" xfId="35527"/>
    <cellStyle name="Normal 33 8 3 4 2" xfId="35528"/>
    <cellStyle name="Normal 33 8 3 4 2 2" xfId="35529"/>
    <cellStyle name="Normal 33 8 3 4 3" xfId="35530"/>
    <cellStyle name="Normal 33 8 3 5" xfId="35531"/>
    <cellStyle name="Normal 33 8 3 5 2" xfId="35532"/>
    <cellStyle name="Normal 33 8 3 6" xfId="35533"/>
    <cellStyle name="Normal 33 8 4" xfId="35534"/>
    <cellStyle name="Normal 33 8 4 2" xfId="35535"/>
    <cellStyle name="Normal 33 8 4 2 2" xfId="35536"/>
    <cellStyle name="Normal 33 8 4 2 2 2" xfId="35537"/>
    <cellStyle name="Normal 33 8 4 2 2 2 2" xfId="35538"/>
    <cellStyle name="Normal 33 8 4 2 2 3" xfId="35539"/>
    <cellStyle name="Normal 33 8 4 2 3" xfId="35540"/>
    <cellStyle name="Normal 33 8 4 2 3 2" xfId="35541"/>
    <cellStyle name="Normal 33 8 4 2 4" xfId="35542"/>
    <cellStyle name="Normal 33 8 4 3" xfId="35543"/>
    <cellStyle name="Normal 33 8 4 3 2" xfId="35544"/>
    <cellStyle name="Normal 33 8 4 3 2 2" xfId="35545"/>
    <cellStyle name="Normal 33 8 4 3 2 2 2" xfId="35546"/>
    <cellStyle name="Normal 33 8 4 3 2 3" xfId="35547"/>
    <cellStyle name="Normal 33 8 4 3 3" xfId="35548"/>
    <cellStyle name="Normal 33 8 4 3 3 2" xfId="35549"/>
    <cellStyle name="Normal 33 8 4 3 4" xfId="35550"/>
    <cellStyle name="Normal 33 8 4 4" xfId="35551"/>
    <cellStyle name="Normal 33 8 4 4 2" xfId="35552"/>
    <cellStyle name="Normal 33 8 4 4 2 2" xfId="35553"/>
    <cellStyle name="Normal 33 8 4 4 3" xfId="35554"/>
    <cellStyle name="Normal 33 8 4 5" xfId="35555"/>
    <cellStyle name="Normal 33 8 4 5 2" xfId="35556"/>
    <cellStyle name="Normal 33 8 4 6" xfId="35557"/>
    <cellStyle name="Normal 33 8 5" xfId="35558"/>
    <cellStyle name="Normal 33 8 5 2" xfId="35559"/>
    <cellStyle name="Normal 33 8 5 2 2" xfId="35560"/>
    <cellStyle name="Normal 33 8 5 2 2 2" xfId="35561"/>
    <cellStyle name="Normal 33 8 5 2 2 2 2" xfId="35562"/>
    <cellStyle name="Normal 33 8 5 2 2 3" xfId="35563"/>
    <cellStyle name="Normal 33 8 5 2 3" xfId="35564"/>
    <cellStyle name="Normal 33 8 5 2 3 2" xfId="35565"/>
    <cellStyle name="Normal 33 8 5 2 4" xfId="35566"/>
    <cellStyle name="Normal 33 8 5 3" xfId="35567"/>
    <cellStyle name="Normal 33 8 5 3 2" xfId="35568"/>
    <cellStyle name="Normal 33 8 5 3 2 2" xfId="35569"/>
    <cellStyle name="Normal 33 8 5 3 2 2 2" xfId="35570"/>
    <cellStyle name="Normal 33 8 5 3 2 3" xfId="35571"/>
    <cellStyle name="Normal 33 8 5 3 3" xfId="35572"/>
    <cellStyle name="Normal 33 8 5 3 3 2" xfId="35573"/>
    <cellStyle name="Normal 33 8 5 3 4" xfId="35574"/>
    <cellStyle name="Normal 33 8 5 4" xfId="35575"/>
    <cellStyle name="Normal 33 8 5 4 2" xfId="35576"/>
    <cellStyle name="Normal 33 8 5 4 2 2" xfId="35577"/>
    <cellStyle name="Normal 33 8 5 4 3" xfId="35578"/>
    <cellStyle name="Normal 33 8 5 5" xfId="35579"/>
    <cellStyle name="Normal 33 8 5 5 2" xfId="35580"/>
    <cellStyle name="Normal 33 8 5 6" xfId="35581"/>
    <cellStyle name="Normal 33 8 6" xfId="35582"/>
    <cellStyle name="Normal 33 8 6 2" xfId="35583"/>
    <cellStyle name="Normal 33 8 6 2 2" xfId="35584"/>
    <cellStyle name="Normal 33 8 6 2 2 2" xfId="35585"/>
    <cellStyle name="Normal 33 8 6 2 2 2 2" xfId="35586"/>
    <cellStyle name="Normal 33 8 6 2 2 3" xfId="35587"/>
    <cellStyle name="Normal 33 8 6 2 3" xfId="35588"/>
    <cellStyle name="Normal 33 8 6 2 3 2" xfId="35589"/>
    <cellStyle name="Normal 33 8 6 2 4" xfId="35590"/>
    <cellStyle name="Normal 33 8 6 3" xfId="35591"/>
    <cellStyle name="Normal 33 8 6 3 2" xfId="35592"/>
    <cellStyle name="Normal 33 8 6 3 2 2" xfId="35593"/>
    <cellStyle name="Normal 33 8 6 3 2 2 2" xfId="35594"/>
    <cellStyle name="Normal 33 8 6 3 2 3" xfId="35595"/>
    <cellStyle name="Normal 33 8 6 3 3" xfId="35596"/>
    <cellStyle name="Normal 33 8 6 3 3 2" xfId="35597"/>
    <cellStyle name="Normal 33 8 6 3 4" xfId="35598"/>
    <cellStyle name="Normal 33 8 6 4" xfId="35599"/>
    <cellStyle name="Normal 33 8 6 4 2" xfId="35600"/>
    <cellStyle name="Normal 33 8 6 4 2 2" xfId="35601"/>
    <cellStyle name="Normal 33 8 6 4 3" xfId="35602"/>
    <cellStyle name="Normal 33 8 6 5" xfId="35603"/>
    <cellStyle name="Normal 33 8 6 5 2" xfId="35604"/>
    <cellStyle name="Normal 33 8 6 6" xfId="35605"/>
    <cellStyle name="Normal 33 8 7" xfId="35606"/>
    <cellStyle name="Normal 33 8 7 2" xfId="35607"/>
    <cellStyle name="Normal 33 8 7 2 2" xfId="35608"/>
    <cellStyle name="Normal 33 8 7 2 2 2" xfId="35609"/>
    <cellStyle name="Normal 33 8 7 2 2 2 2" xfId="35610"/>
    <cellStyle name="Normal 33 8 7 2 2 3" xfId="35611"/>
    <cellStyle name="Normal 33 8 7 2 3" xfId="35612"/>
    <cellStyle name="Normal 33 8 7 2 3 2" xfId="35613"/>
    <cellStyle name="Normal 33 8 7 2 4" xfId="35614"/>
    <cellStyle name="Normal 33 8 7 3" xfId="35615"/>
    <cellStyle name="Normal 33 8 7 3 2" xfId="35616"/>
    <cellStyle name="Normal 33 8 7 3 2 2" xfId="35617"/>
    <cellStyle name="Normal 33 8 7 3 2 2 2" xfId="35618"/>
    <cellStyle name="Normal 33 8 7 3 2 3" xfId="35619"/>
    <cellStyle name="Normal 33 8 7 3 3" xfId="35620"/>
    <cellStyle name="Normal 33 8 7 3 3 2" xfId="35621"/>
    <cellStyle name="Normal 33 8 7 3 4" xfId="35622"/>
    <cellStyle name="Normal 33 8 7 4" xfId="35623"/>
    <cellStyle name="Normal 33 8 7 4 2" xfId="35624"/>
    <cellStyle name="Normal 33 8 7 4 2 2" xfId="35625"/>
    <cellStyle name="Normal 33 8 7 4 3" xfId="35626"/>
    <cellStyle name="Normal 33 8 7 5" xfId="35627"/>
    <cellStyle name="Normal 33 8 7 5 2" xfId="35628"/>
    <cellStyle name="Normal 33 8 7 6" xfId="35629"/>
    <cellStyle name="Normal 33 8 8" xfId="35630"/>
    <cellStyle name="Normal 33 8 8 2" xfId="35631"/>
    <cellStyle name="Normal 33 8 8 2 2" xfId="35632"/>
    <cellStyle name="Normal 33 8 8 2 2 2" xfId="35633"/>
    <cellStyle name="Normal 33 8 8 2 2 2 2" xfId="35634"/>
    <cellStyle name="Normal 33 8 8 2 2 3" xfId="35635"/>
    <cellStyle name="Normal 33 8 8 2 3" xfId="35636"/>
    <cellStyle name="Normal 33 8 8 2 3 2" xfId="35637"/>
    <cellStyle name="Normal 33 8 8 2 4" xfId="35638"/>
    <cellStyle name="Normal 33 8 8 3" xfId="35639"/>
    <cellStyle name="Normal 33 8 8 3 2" xfId="35640"/>
    <cellStyle name="Normal 33 8 8 3 2 2" xfId="35641"/>
    <cellStyle name="Normal 33 8 8 3 2 2 2" xfId="35642"/>
    <cellStyle name="Normal 33 8 8 3 2 3" xfId="35643"/>
    <cellStyle name="Normal 33 8 8 3 3" xfId="35644"/>
    <cellStyle name="Normal 33 8 8 3 3 2" xfId="35645"/>
    <cellStyle name="Normal 33 8 8 3 4" xfId="35646"/>
    <cellStyle name="Normal 33 8 8 4" xfId="35647"/>
    <cellStyle name="Normal 33 8 8 4 2" xfId="35648"/>
    <cellStyle name="Normal 33 8 8 4 2 2" xfId="35649"/>
    <cellStyle name="Normal 33 8 8 4 3" xfId="35650"/>
    <cellStyle name="Normal 33 8 8 5" xfId="35651"/>
    <cellStyle name="Normal 33 8 8 5 2" xfId="35652"/>
    <cellStyle name="Normal 33 8 8 6" xfId="35653"/>
    <cellStyle name="Normal 33 8 9" xfId="35654"/>
    <cellStyle name="Normal 33 8 9 2" xfId="35655"/>
    <cellStyle name="Normal 33 8 9 2 2" xfId="35656"/>
    <cellStyle name="Normal 33 8 9 2 2 2" xfId="35657"/>
    <cellStyle name="Normal 33 8 9 2 2 2 2" xfId="35658"/>
    <cellStyle name="Normal 33 8 9 2 2 3" xfId="35659"/>
    <cellStyle name="Normal 33 8 9 2 3" xfId="35660"/>
    <cellStyle name="Normal 33 8 9 2 3 2" xfId="35661"/>
    <cellStyle name="Normal 33 8 9 2 4" xfId="35662"/>
    <cellStyle name="Normal 33 8 9 3" xfId="35663"/>
    <cellStyle name="Normal 33 8 9 3 2" xfId="35664"/>
    <cellStyle name="Normal 33 8 9 3 2 2" xfId="35665"/>
    <cellStyle name="Normal 33 8 9 3 2 2 2" xfId="35666"/>
    <cellStyle name="Normal 33 8 9 3 2 3" xfId="35667"/>
    <cellStyle name="Normal 33 8 9 3 3" xfId="35668"/>
    <cellStyle name="Normal 33 8 9 3 3 2" xfId="35669"/>
    <cellStyle name="Normal 33 8 9 3 4" xfId="35670"/>
    <cellStyle name="Normal 33 8 9 4" xfId="35671"/>
    <cellStyle name="Normal 33 8 9 4 2" xfId="35672"/>
    <cellStyle name="Normal 33 8 9 4 2 2" xfId="35673"/>
    <cellStyle name="Normal 33 8 9 4 3" xfId="35674"/>
    <cellStyle name="Normal 33 8 9 5" xfId="35675"/>
    <cellStyle name="Normal 33 8 9 5 2" xfId="35676"/>
    <cellStyle name="Normal 33 8 9 6" xfId="35677"/>
    <cellStyle name="Normal 33 9" xfId="35678"/>
    <cellStyle name="Normal 33 9 10" xfId="35679"/>
    <cellStyle name="Normal 33 9 10 2" xfId="35680"/>
    <cellStyle name="Normal 33 9 10 2 2" xfId="35681"/>
    <cellStyle name="Normal 33 9 10 2 2 2" xfId="35682"/>
    <cellStyle name="Normal 33 9 10 2 2 2 2" xfId="35683"/>
    <cellStyle name="Normal 33 9 10 2 2 3" xfId="35684"/>
    <cellStyle name="Normal 33 9 10 2 3" xfId="35685"/>
    <cellStyle name="Normal 33 9 10 2 3 2" xfId="35686"/>
    <cellStyle name="Normal 33 9 10 2 4" xfId="35687"/>
    <cellStyle name="Normal 33 9 10 3" xfId="35688"/>
    <cellStyle name="Normal 33 9 10 3 2" xfId="35689"/>
    <cellStyle name="Normal 33 9 10 3 2 2" xfId="35690"/>
    <cellStyle name="Normal 33 9 10 3 2 2 2" xfId="35691"/>
    <cellStyle name="Normal 33 9 10 3 2 3" xfId="35692"/>
    <cellStyle name="Normal 33 9 10 3 3" xfId="35693"/>
    <cellStyle name="Normal 33 9 10 3 3 2" xfId="35694"/>
    <cellStyle name="Normal 33 9 10 3 4" xfId="35695"/>
    <cellStyle name="Normal 33 9 10 4" xfId="35696"/>
    <cellStyle name="Normal 33 9 10 4 2" xfId="35697"/>
    <cellStyle name="Normal 33 9 10 4 2 2" xfId="35698"/>
    <cellStyle name="Normal 33 9 10 4 3" xfId="35699"/>
    <cellStyle name="Normal 33 9 10 5" xfId="35700"/>
    <cellStyle name="Normal 33 9 10 5 2" xfId="35701"/>
    <cellStyle name="Normal 33 9 10 6" xfId="35702"/>
    <cellStyle name="Normal 33 9 11" xfId="35703"/>
    <cellStyle name="Normal 33 9 11 2" xfId="35704"/>
    <cellStyle name="Normal 33 9 11 2 2" xfId="35705"/>
    <cellStyle name="Normal 33 9 11 2 2 2" xfId="35706"/>
    <cellStyle name="Normal 33 9 11 2 2 2 2" xfId="35707"/>
    <cellStyle name="Normal 33 9 11 2 2 3" xfId="35708"/>
    <cellStyle name="Normal 33 9 11 2 3" xfId="35709"/>
    <cellStyle name="Normal 33 9 11 2 3 2" xfId="35710"/>
    <cellStyle name="Normal 33 9 11 2 4" xfId="35711"/>
    <cellStyle name="Normal 33 9 11 3" xfId="35712"/>
    <cellStyle name="Normal 33 9 11 3 2" xfId="35713"/>
    <cellStyle name="Normal 33 9 11 3 2 2" xfId="35714"/>
    <cellStyle name="Normal 33 9 11 3 2 2 2" xfId="35715"/>
    <cellStyle name="Normal 33 9 11 3 2 3" xfId="35716"/>
    <cellStyle name="Normal 33 9 11 3 3" xfId="35717"/>
    <cellStyle name="Normal 33 9 11 3 3 2" xfId="35718"/>
    <cellStyle name="Normal 33 9 11 3 4" xfId="35719"/>
    <cellStyle name="Normal 33 9 11 4" xfId="35720"/>
    <cellStyle name="Normal 33 9 11 4 2" xfId="35721"/>
    <cellStyle name="Normal 33 9 11 4 2 2" xfId="35722"/>
    <cellStyle name="Normal 33 9 11 4 3" xfId="35723"/>
    <cellStyle name="Normal 33 9 11 5" xfId="35724"/>
    <cellStyle name="Normal 33 9 11 5 2" xfId="35725"/>
    <cellStyle name="Normal 33 9 11 6" xfId="35726"/>
    <cellStyle name="Normal 33 9 12" xfId="35727"/>
    <cellStyle name="Normal 33 9 12 2" xfId="35728"/>
    <cellStyle name="Normal 33 9 12 2 2" xfId="35729"/>
    <cellStyle name="Normal 33 9 12 2 2 2" xfId="35730"/>
    <cellStyle name="Normal 33 9 12 2 2 2 2" xfId="35731"/>
    <cellStyle name="Normal 33 9 12 2 2 3" xfId="35732"/>
    <cellStyle name="Normal 33 9 12 2 3" xfId="35733"/>
    <cellStyle name="Normal 33 9 12 2 3 2" xfId="35734"/>
    <cellStyle name="Normal 33 9 12 2 4" xfId="35735"/>
    <cellStyle name="Normal 33 9 12 3" xfId="35736"/>
    <cellStyle name="Normal 33 9 12 3 2" xfId="35737"/>
    <cellStyle name="Normal 33 9 12 3 2 2" xfId="35738"/>
    <cellStyle name="Normal 33 9 12 3 2 2 2" xfId="35739"/>
    <cellStyle name="Normal 33 9 12 3 2 3" xfId="35740"/>
    <cellStyle name="Normal 33 9 12 3 3" xfId="35741"/>
    <cellStyle name="Normal 33 9 12 3 3 2" xfId="35742"/>
    <cellStyle name="Normal 33 9 12 3 4" xfId="35743"/>
    <cellStyle name="Normal 33 9 12 4" xfId="35744"/>
    <cellStyle name="Normal 33 9 12 4 2" xfId="35745"/>
    <cellStyle name="Normal 33 9 12 4 2 2" xfId="35746"/>
    <cellStyle name="Normal 33 9 12 4 3" xfId="35747"/>
    <cellStyle name="Normal 33 9 12 5" xfId="35748"/>
    <cellStyle name="Normal 33 9 12 5 2" xfId="35749"/>
    <cellStyle name="Normal 33 9 12 6" xfId="35750"/>
    <cellStyle name="Normal 33 9 13" xfId="35751"/>
    <cellStyle name="Normal 33 9 13 2" xfId="35752"/>
    <cellStyle name="Normal 33 9 13 2 2" xfId="35753"/>
    <cellStyle name="Normal 33 9 13 2 2 2" xfId="35754"/>
    <cellStyle name="Normal 33 9 13 2 2 2 2" xfId="35755"/>
    <cellStyle name="Normal 33 9 13 2 2 3" xfId="35756"/>
    <cellStyle name="Normal 33 9 13 2 3" xfId="35757"/>
    <cellStyle name="Normal 33 9 13 2 3 2" xfId="35758"/>
    <cellStyle name="Normal 33 9 13 2 4" xfId="35759"/>
    <cellStyle name="Normal 33 9 13 3" xfId="35760"/>
    <cellStyle name="Normal 33 9 13 3 2" xfId="35761"/>
    <cellStyle name="Normal 33 9 13 3 2 2" xfId="35762"/>
    <cellStyle name="Normal 33 9 13 3 2 2 2" xfId="35763"/>
    <cellStyle name="Normal 33 9 13 3 2 3" xfId="35764"/>
    <cellStyle name="Normal 33 9 13 3 3" xfId="35765"/>
    <cellStyle name="Normal 33 9 13 3 3 2" xfId="35766"/>
    <cellStyle name="Normal 33 9 13 3 4" xfId="35767"/>
    <cellStyle name="Normal 33 9 13 4" xfId="35768"/>
    <cellStyle name="Normal 33 9 13 4 2" xfId="35769"/>
    <cellStyle name="Normal 33 9 13 4 2 2" xfId="35770"/>
    <cellStyle name="Normal 33 9 13 4 3" xfId="35771"/>
    <cellStyle name="Normal 33 9 13 5" xfId="35772"/>
    <cellStyle name="Normal 33 9 13 5 2" xfId="35773"/>
    <cellStyle name="Normal 33 9 13 6" xfId="35774"/>
    <cellStyle name="Normal 33 9 14" xfId="35775"/>
    <cellStyle name="Normal 33 9 14 2" xfId="35776"/>
    <cellStyle name="Normal 33 9 14 2 2" xfId="35777"/>
    <cellStyle name="Normal 33 9 14 2 2 2" xfId="35778"/>
    <cellStyle name="Normal 33 9 14 2 3" xfId="35779"/>
    <cellStyle name="Normal 33 9 14 3" xfId="35780"/>
    <cellStyle name="Normal 33 9 14 3 2" xfId="35781"/>
    <cellStyle name="Normal 33 9 14 4" xfId="35782"/>
    <cellStyle name="Normal 33 9 15" xfId="35783"/>
    <cellStyle name="Normal 33 9 15 2" xfId="35784"/>
    <cellStyle name="Normal 33 9 15 2 2" xfId="35785"/>
    <cellStyle name="Normal 33 9 15 2 2 2" xfId="35786"/>
    <cellStyle name="Normal 33 9 15 2 3" xfId="35787"/>
    <cellStyle name="Normal 33 9 15 3" xfId="35788"/>
    <cellStyle name="Normal 33 9 15 3 2" xfId="35789"/>
    <cellStyle name="Normal 33 9 15 4" xfId="35790"/>
    <cellStyle name="Normal 33 9 16" xfId="35791"/>
    <cellStyle name="Normal 33 9 16 2" xfId="35792"/>
    <cellStyle name="Normal 33 9 16 2 2" xfId="35793"/>
    <cellStyle name="Normal 33 9 16 3" xfId="35794"/>
    <cellStyle name="Normal 33 9 17" xfId="35795"/>
    <cellStyle name="Normal 33 9 17 2" xfId="35796"/>
    <cellStyle name="Normal 33 9 18" xfId="35797"/>
    <cellStyle name="Normal 33 9 2" xfId="35798"/>
    <cellStyle name="Normal 33 9 2 2" xfId="35799"/>
    <cellStyle name="Normal 33 9 2 2 2" xfId="35800"/>
    <cellStyle name="Normal 33 9 2 2 2 2" xfId="35801"/>
    <cellStyle name="Normal 33 9 2 2 2 2 2" xfId="35802"/>
    <cellStyle name="Normal 33 9 2 2 2 3" xfId="35803"/>
    <cellStyle name="Normal 33 9 2 2 3" xfId="35804"/>
    <cellStyle name="Normal 33 9 2 2 3 2" xfId="35805"/>
    <cellStyle name="Normal 33 9 2 2 4" xfId="35806"/>
    <cellStyle name="Normal 33 9 2 3" xfId="35807"/>
    <cellStyle name="Normal 33 9 2 3 2" xfId="35808"/>
    <cellStyle name="Normal 33 9 2 3 2 2" xfId="35809"/>
    <cellStyle name="Normal 33 9 2 3 2 2 2" xfId="35810"/>
    <cellStyle name="Normal 33 9 2 3 2 3" xfId="35811"/>
    <cellStyle name="Normal 33 9 2 3 3" xfId="35812"/>
    <cellStyle name="Normal 33 9 2 3 3 2" xfId="35813"/>
    <cellStyle name="Normal 33 9 2 3 4" xfId="35814"/>
    <cellStyle name="Normal 33 9 2 4" xfId="35815"/>
    <cellStyle name="Normal 33 9 2 4 2" xfId="35816"/>
    <cellStyle name="Normal 33 9 2 4 2 2" xfId="35817"/>
    <cellStyle name="Normal 33 9 2 4 3" xfId="35818"/>
    <cellStyle name="Normal 33 9 2 5" xfId="35819"/>
    <cellStyle name="Normal 33 9 2 5 2" xfId="35820"/>
    <cellStyle name="Normal 33 9 2 6" xfId="35821"/>
    <cellStyle name="Normal 33 9 3" xfId="35822"/>
    <cellStyle name="Normal 33 9 3 2" xfId="35823"/>
    <cellStyle name="Normal 33 9 3 2 2" xfId="35824"/>
    <cellStyle name="Normal 33 9 3 2 2 2" xfId="35825"/>
    <cellStyle name="Normal 33 9 3 2 2 2 2" xfId="35826"/>
    <cellStyle name="Normal 33 9 3 2 2 3" xfId="35827"/>
    <cellStyle name="Normal 33 9 3 2 3" xfId="35828"/>
    <cellStyle name="Normal 33 9 3 2 3 2" xfId="35829"/>
    <cellStyle name="Normal 33 9 3 2 4" xfId="35830"/>
    <cellStyle name="Normal 33 9 3 3" xfId="35831"/>
    <cellStyle name="Normal 33 9 3 3 2" xfId="35832"/>
    <cellStyle name="Normal 33 9 3 3 2 2" xfId="35833"/>
    <cellStyle name="Normal 33 9 3 3 2 2 2" xfId="35834"/>
    <cellStyle name="Normal 33 9 3 3 2 3" xfId="35835"/>
    <cellStyle name="Normal 33 9 3 3 3" xfId="35836"/>
    <cellStyle name="Normal 33 9 3 3 3 2" xfId="35837"/>
    <cellStyle name="Normal 33 9 3 3 4" xfId="35838"/>
    <cellStyle name="Normal 33 9 3 4" xfId="35839"/>
    <cellStyle name="Normal 33 9 3 4 2" xfId="35840"/>
    <cellStyle name="Normal 33 9 3 4 2 2" xfId="35841"/>
    <cellStyle name="Normal 33 9 3 4 3" xfId="35842"/>
    <cellStyle name="Normal 33 9 3 5" xfId="35843"/>
    <cellStyle name="Normal 33 9 3 5 2" xfId="35844"/>
    <cellStyle name="Normal 33 9 3 6" xfId="35845"/>
    <cellStyle name="Normal 33 9 4" xfId="35846"/>
    <cellStyle name="Normal 33 9 4 2" xfId="35847"/>
    <cellStyle name="Normal 33 9 4 2 2" xfId="35848"/>
    <cellStyle name="Normal 33 9 4 2 2 2" xfId="35849"/>
    <cellStyle name="Normal 33 9 4 2 2 2 2" xfId="35850"/>
    <cellStyle name="Normal 33 9 4 2 2 3" xfId="35851"/>
    <cellStyle name="Normal 33 9 4 2 3" xfId="35852"/>
    <cellStyle name="Normal 33 9 4 2 3 2" xfId="35853"/>
    <cellStyle name="Normal 33 9 4 2 4" xfId="35854"/>
    <cellStyle name="Normal 33 9 4 3" xfId="35855"/>
    <cellStyle name="Normal 33 9 4 3 2" xfId="35856"/>
    <cellStyle name="Normal 33 9 4 3 2 2" xfId="35857"/>
    <cellStyle name="Normal 33 9 4 3 2 2 2" xfId="35858"/>
    <cellStyle name="Normal 33 9 4 3 2 3" xfId="35859"/>
    <cellStyle name="Normal 33 9 4 3 3" xfId="35860"/>
    <cellStyle name="Normal 33 9 4 3 3 2" xfId="35861"/>
    <cellStyle name="Normal 33 9 4 3 4" xfId="35862"/>
    <cellStyle name="Normal 33 9 4 4" xfId="35863"/>
    <cellStyle name="Normal 33 9 4 4 2" xfId="35864"/>
    <cellStyle name="Normal 33 9 4 4 2 2" xfId="35865"/>
    <cellStyle name="Normal 33 9 4 4 3" xfId="35866"/>
    <cellStyle name="Normal 33 9 4 5" xfId="35867"/>
    <cellStyle name="Normal 33 9 4 5 2" xfId="35868"/>
    <cellStyle name="Normal 33 9 4 6" xfId="35869"/>
    <cellStyle name="Normal 33 9 5" xfId="35870"/>
    <cellStyle name="Normal 33 9 5 2" xfId="35871"/>
    <cellStyle name="Normal 33 9 5 2 2" xfId="35872"/>
    <cellStyle name="Normal 33 9 5 2 2 2" xfId="35873"/>
    <cellStyle name="Normal 33 9 5 2 2 2 2" xfId="35874"/>
    <cellStyle name="Normal 33 9 5 2 2 3" xfId="35875"/>
    <cellStyle name="Normal 33 9 5 2 3" xfId="35876"/>
    <cellStyle name="Normal 33 9 5 2 3 2" xfId="35877"/>
    <cellStyle name="Normal 33 9 5 2 4" xfId="35878"/>
    <cellStyle name="Normal 33 9 5 3" xfId="35879"/>
    <cellStyle name="Normal 33 9 5 3 2" xfId="35880"/>
    <cellStyle name="Normal 33 9 5 3 2 2" xfId="35881"/>
    <cellStyle name="Normal 33 9 5 3 2 2 2" xfId="35882"/>
    <cellStyle name="Normal 33 9 5 3 2 3" xfId="35883"/>
    <cellStyle name="Normal 33 9 5 3 3" xfId="35884"/>
    <cellStyle name="Normal 33 9 5 3 3 2" xfId="35885"/>
    <cellStyle name="Normal 33 9 5 3 4" xfId="35886"/>
    <cellStyle name="Normal 33 9 5 4" xfId="35887"/>
    <cellStyle name="Normal 33 9 5 4 2" xfId="35888"/>
    <cellStyle name="Normal 33 9 5 4 2 2" xfId="35889"/>
    <cellStyle name="Normal 33 9 5 4 3" xfId="35890"/>
    <cellStyle name="Normal 33 9 5 5" xfId="35891"/>
    <cellStyle name="Normal 33 9 5 5 2" xfId="35892"/>
    <cellStyle name="Normal 33 9 5 6" xfId="35893"/>
    <cellStyle name="Normal 33 9 6" xfId="35894"/>
    <cellStyle name="Normal 33 9 6 2" xfId="35895"/>
    <cellStyle name="Normal 33 9 6 2 2" xfId="35896"/>
    <cellStyle name="Normal 33 9 6 2 2 2" xfId="35897"/>
    <cellStyle name="Normal 33 9 6 2 2 2 2" xfId="35898"/>
    <cellStyle name="Normal 33 9 6 2 2 3" xfId="35899"/>
    <cellStyle name="Normal 33 9 6 2 3" xfId="35900"/>
    <cellStyle name="Normal 33 9 6 2 3 2" xfId="35901"/>
    <cellStyle name="Normal 33 9 6 2 4" xfId="35902"/>
    <cellStyle name="Normal 33 9 6 3" xfId="35903"/>
    <cellStyle name="Normal 33 9 6 3 2" xfId="35904"/>
    <cellStyle name="Normal 33 9 6 3 2 2" xfId="35905"/>
    <cellStyle name="Normal 33 9 6 3 2 2 2" xfId="35906"/>
    <cellStyle name="Normal 33 9 6 3 2 3" xfId="35907"/>
    <cellStyle name="Normal 33 9 6 3 3" xfId="35908"/>
    <cellStyle name="Normal 33 9 6 3 3 2" xfId="35909"/>
    <cellStyle name="Normal 33 9 6 3 4" xfId="35910"/>
    <cellStyle name="Normal 33 9 6 4" xfId="35911"/>
    <cellStyle name="Normal 33 9 6 4 2" xfId="35912"/>
    <cellStyle name="Normal 33 9 6 4 2 2" xfId="35913"/>
    <cellStyle name="Normal 33 9 6 4 3" xfId="35914"/>
    <cellStyle name="Normal 33 9 6 5" xfId="35915"/>
    <cellStyle name="Normal 33 9 6 5 2" xfId="35916"/>
    <cellStyle name="Normal 33 9 6 6" xfId="35917"/>
    <cellStyle name="Normal 33 9 7" xfId="35918"/>
    <cellStyle name="Normal 33 9 7 2" xfId="35919"/>
    <cellStyle name="Normal 33 9 7 2 2" xfId="35920"/>
    <cellStyle name="Normal 33 9 7 2 2 2" xfId="35921"/>
    <cellStyle name="Normal 33 9 7 2 2 2 2" xfId="35922"/>
    <cellStyle name="Normal 33 9 7 2 2 3" xfId="35923"/>
    <cellStyle name="Normal 33 9 7 2 3" xfId="35924"/>
    <cellStyle name="Normal 33 9 7 2 3 2" xfId="35925"/>
    <cellStyle name="Normal 33 9 7 2 4" xfId="35926"/>
    <cellStyle name="Normal 33 9 7 3" xfId="35927"/>
    <cellStyle name="Normal 33 9 7 3 2" xfId="35928"/>
    <cellStyle name="Normal 33 9 7 3 2 2" xfId="35929"/>
    <cellStyle name="Normal 33 9 7 3 2 2 2" xfId="35930"/>
    <cellStyle name="Normal 33 9 7 3 2 3" xfId="35931"/>
    <cellStyle name="Normal 33 9 7 3 3" xfId="35932"/>
    <cellStyle name="Normal 33 9 7 3 3 2" xfId="35933"/>
    <cellStyle name="Normal 33 9 7 3 4" xfId="35934"/>
    <cellStyle name="Normal 33 9 7 4" xfId="35935"/>
    <cellStyle name="Normal 33 9 7 4 2" xfId="35936"/>
    <cellStyle name="Normal 33 9 7 4 2 2" xfId="35937"/>
    <cellStyle name="Normal 33 9 7 4 3" xfId="35938"/>
    <cellStyle name="Normal 33 9 7 5" xfId="35939"/>
    <cellStyle name="Normal 33 9 7 5 2" xfId="35940"/>
    <cellStyle name="Normal 33 9 7 6" xfId="35941"/>
    <cellStyle name="Normal 33 9 8" xfId="35942"/>
    <cellStyle name="Normal 33 9 8 2" xfId="35943"/>
    <cellStyle name="Normal 33 9 8 2 2" xfId="35944"/>
    <cellStyle name="Normal 33 9 8 2 2 2" xfId="35945"/>
    <cellStyle name="Normal 33 9 8 2 2 2 2" xfId="35946"/>
    <cellStyle name="Normal 33 9 8 2 2 3" xfId="35947"/>
    <cellStyle name="Normal 33 9 8 2 3" xfId="35948"/>
    <cellStyle name="Normal 33 9 8 2 3 2" xfId="35949"/>
    <cellStyle name="Normal 33 9 8 2 4" xfId="35950"/>
    <cellStyle name="Normal 33 9 8 3" xfId="35951"/>
    <cellStyle name="Normal 33 9 8 3 2" xfId="35952"/>
    <cellStyle name="Normal 33 9 8 3 2 2" xfId="35953"/>
    <cellStyle name="Normal 33 9 8 3 2 2 2" xfId="35954"/>
    <cellStyle name="Normal 33 9 8 3 2 3" xfId="35955"/>
    <cellStyle name="Normal 33 9 8 3 3" xfId="35956"/>
    <cellStyle name="Normal 33 9 8 3 3 2" xfId="35957"/>
    <cellStyle name="Normal 33 9 8 3 4" xfId="35958"/>
    <cellStyle name="Normal 33 9 8 4" xfId="35959"/>
    <cellStyle name="Normal 33 9 8 4 2" xfId="35960"/>
    <cellStyle name="Normal 33 9 8 4 2 2" xfId="35961"/>
    <cellStyle name="Normal 33 9 8 4 3" xfId="35962"/>
    <cellStyle name="Normal 33 9 8 5" xfId="35963"/>
    <cellStyle name="Normal 33 9 8 5 2" xfId="35964"/>
    <cellStyle name="Normal 33 9 8 6" xfId="35965"/>
    <cellStyle name="Normal 33 9 9" xfId="35966"/>
    <cellStyle name="Normal 33 9 9 2" xfId="35967"/>
    <cellStyle name="Normal 33 9 9 2 2" xfId="35968"/>
    <cellStyle name="Normal 33 9 9 2 2 2" xfId="35969"/>
    <cellStyle name="Normal 33 9 9 2 2 2 2" xfId="35970"/>
    <cellStyle name="Normal 33 9 9 2 2 3" xfId="35971"/>
    <cellStyle name="Normal 33 9 9 2 3" xfId="35972"/>
    <cellStyle name="Normal 33 9 9 2 3 2" xfId="35973"/>
    <cellStyle name="Normal 33 9 9 2 4" xfId="35974"/>
    <cellStyle name="Normal 33 9 9 3" xfId="35975"/>
    <cellStyle name="Normal 33 9 9 3 2" xfId="35976"/>
    <cellStyle name="Normal 33 9 9 3 2 2" xfId="35977"/>
    <cellStyle name="Normal 33 9 9 3 2 2 2" xfId="35978"/>
    <cellStyle name="Normal 33 9 9 3 2 3" xfId="35979"/>
    <cellStyle name="Normal 33 9 9 3 3" xfId="35980"/>
    <cellStyle name="Normal 33 9 9 3 3 2" xfId="35981"/>
    <cellStyle name="Normal 33 9 9 3 4" xfId="35982"/>
    <cellStyle name="Normal 33 9 9 4" xfId="35983"/>
    <cellStyle name="Normal 33 9 9 4 2" xfId="35984"/>
    <cellStyle name="Normal 33 9 9 4 2 2" xfId="35985"/>
    <cellStyle name="Normal 33 9 9 4 3" xfId="35986"/>
    <cellStyle name="Normal 33 9 9 5" xfId="35987"/>
    <cellStyle name="Normal 33 9 9 5 2" xfId="35988"/>
    <cellStyle name="Normal 33 9 9 6" xfId="35989"/>
    <cellStyle name="Normal 34" xfId="35990"/>
    <cellStyle name="Normal 35" xfId="35991"/>
    <cellStyle name="Normal 36" xfId="35992"/>
    <cellStyle name="Normal 37" xfId="35993"/>
    <cellStyle name="Normal 38" xfId="35994"/>
    <cellStyle name="Normal 39" xfId="35995"/>
    <cellStyle name="Normal 4" xfId="35996"/>
    <cellStyle name="Normal 4 10" xfId="35997"/>
    <cellStyle name="Normal 4 11" xfId="35998"/>
    <cellStyle name="Normal 4 12" xfId="35999"/>
    <cellStyle name="Normal 4 13" xfId="36000"/>
    <cellStyle name="Normal 4 14" xfId="36001"/>
    <cellStyle name="Normal 4 15" xfId="36002"/>
    <cellStyle name="Normal 4 2" xfId="36003"/>
    <cellStyle name="Normal 4 3" xfId="36004"/>
    <cellStyle name="Normal 4 4" xfId="36005"/>
    <cellStyle name="Normal 4 5" xfId="36006"/>
    <cellStyle name="Normal 4 6" xfId="36007"/>
    <cellStyle name="Normal 4 7" xfId="36008"/>
    <cellStyle name="Normal 4 8" xfId="36009"/>
    <cellStyle name="Normal 4 9" xfId="36010"/>
    <cellStyle name="Normal 40" xfId="36011"/>
    <cellStyle name="Normal 41" xfId="36012"/>
    <cellStyle name="Normal 42" xfId="36013"/>
    <cellStyle name="Normal 43" xfId="36014"/>
    <cellStyle name="Normal 44" xfId="36015"/>
    <cellStyle name="Normal 45" xfId="36016"/>
    <cellStyle name="Normal 46" xfId="36017"/>
    <cellStyle name="Normal 47" xfId="36018"/>
    <cellStyle name="Normal 48" xfId="36019"/>
    <cellStyle name="Normal 49" xfId="36020"/>
    <cellStyle name="Normal 5" xfId="36021"/>
    <cellStyle name="Normal 5 10" xfId="36022"/>
    <cellStyle name="Normal 5 10 2" xfId="36023"/>
    <cellStyle name="Normal 5 10 3" xfId="36024"/>
    <cellStyle name="Normal 5 10 4" xfId="36025"/>
    <cellStyle name="Normal 5 10 5" xfId="36026"/>
    <cellStyle name="Normal 5 10 6" xfId="36027"/>
    <cellStyle name="Normal 5 11" xfId="36028"/>
    <cellStyle name="Normal 5 12" xfId="36029"/>
    <cellStyle name="Normal 5 13" xfId="36030"/>
    <cellStyle name="Normal 5 14" xfId="36031"/>
    <cellStyle name="Normal 5 15" xfId="36032"/>
    <cellStyle name="Normal 5 2" xfId="36033"/>
    <cellStyle name="Normal 5 2 10" xfId="36034"/>
    <cellStyle name="Normal 5 2 2" xfId="36035"/>
    <cellStyle name="Normal 5 2 2 2" xfId="36036"/>
    <cellStyle name="Normal 5 2 2 2 2" xfId="36037"/>
    <cellStyle name="Normal 5 2 2 2 3" xfId="36038"/>
    <cellStyle name="Normal 5 2 2 2 4" xfId="36039"/>
    <cellStyle name="Normal 5 2 2 2 5" xfId="36040"/>
    <cellStyle name="Normal 5 2 2 2 6" xfId="36041"/>
    <cellStyle name="Normal 5 2 2 3" xfId="36042"/>
    <cellStyle name="Normal 5 2 2 3 2" xfId="36043"/>
    <cellStyle name="Normal 5 2 2 3 3" xfId="36044"/>
    <cellStyle name="Normal 5 2 2 3 4" xfId="36045"/>
    <cellStyle name="Normal 5 2 2 3 5" xfId="36046"/>
    <cellStyle name="Normal 5 2 2 3 6" xfId="36047"/>
    <cellStyle name="Normal 5 2 2 4" xfId="36048"/>
    <cellStyle name="Normal 5 2 2 5" xfId="36049"/>
    <cellStyle name="Normal 5 2 2 6" xfId="36050"/>
    <cellStyle name="Normal 5 2 2 7" xfId="36051"/>
    <cellStyle name="Normal 5 2 2 8" xfId="36052"/>
    <cellStyle name="Normal 5 2 3" xfId="36053"/>
    <cellStyle name="Normal 5 2 3 2" xfId="36054"/>
    <cellStyle name="Normal 5 2 3 2 2" xfId="36055"/>
    <cellStyle name="Normal 5 2 3 2 3" xfId="36056"/>
    <cellStyle name="Normal 5 2 3 2 4" xfId="36057"/>
    <cellStyle name="Normal 5 2 3 2 5" xfId="36058"/>
    <cellStyle name="Normal 5 2 3 2 6" xfId="36059"/>
    <cellStyle name="Normal 5 2 3 3" xfId="36060"/>
    <cellStyle name="Normal 5 2 3 3 2" xfId="36061"/>
    <cellStyle name="Normal 5 2 3 3 3" xfId="36062"/>
    <cellStyle name="Normal 5 2 3 3 4" xfId="36063"/>
    <cellStyle name="Normal 5 2 3 3 5" xfId="36064"/>
    <cellStyle name="Normal 5 2 3 3 6" xfId="36065"/>
    <cellStyle name="Normal 5 2 3 4" xfId="36066"/>
    <cellStyle name="Normal 5 2 3 5" xfId="36067"/>
    <cellStyle name="Normal 5 2 3 6" xfId="36068"/>
    <cellStyle name="Normal 5 2 3 7" xfId="36069"/>
    <cellStyle name="Normal 5 2 3 8" xfId="36070"/>
    <cellStyle name="Normal 5 2 4" xfId="36071"/>
    <cellStyle name="Normal 5 2 4 2" xfId="36072"/>
    <cellStyle name="Normal 5 2 4 3" xfId="36073"/>
    <cellStyle name="Normal 5 2 4 4" xfId="36074"/>
    <cellStyle name="Normal 5 2 4 5" xfId="36075"/>
    <cellStyle name="Normal 5 2 4 6" xfId="36076"/>
    <cellStyle name="Normal 5 2 5" xfId="36077"/>
    <cellStyle name="Normal 5 2 5 2" xfId="36078"/>
    <cellStyle name="Normal 5 2 5 3" xfId="36079"/>
    <cellStyle name="Normal 5 2 5 4" xfId="36080"/>
    <cellStyle name="Normal 5 2 5 5" xfId="36081"/>
    <cellStyle name="Normal 5 2 5 6" xfId="36082"/>
    <cellStyle name="Normal 5 2 6" xfId="36083"/>
    <cellStyle name="Normal 5 2 7" xfId="36084"/>
    <cellStyle name="Normal 5 2 8" xfId="36085"/>
    <cellStyle name="Normal 5 2 9" xfId="36086"/>
    <cellStyle name="Normal 5 3" xfId="36087"/>
    <cellStyle name="Normal 5 3 10" xfId="36088"/>
    <cellStyle name="Normal 5 3 2" xfId="36089"/>
    <cellStyle name="Normal 5 3 2 2" xfId="36090"/>
    <cellStyle name="Normal 5 3 2 2 2" xfId="36091"/>
    <cellStyle name="Normal 5 3 2 2 3" xfId="36092"/>
    <cellStyle name="Normal 5 3 2 2 4" xfId="36093"/>
    <cellStyle name="Normal 5 3 2 2 5" xfId="36094"/>
    <cellStyle name="Normal 5 3 2 2 6" xfId="36095"/>
    <cellStyle name="Normal 5 3 2 3" xfId="36096"/>
    <cellStyle name="Normal 5 3 2 3 2" xfId="36097"/>
    <cellStyle name="Normal 5 3 2 3 3" xfId="36098"/>
    <cellStyle name="Normal 5 3 2 3 4" xfId="36099"/>
    <cellStyle name="Normal 5 3 2 3 5" xfId="36100"/>
    <cellStyle name="Normal 5 3 2 3 6" xfId="36101"/>
    <cellStyle name="Normal 5 3 2 4" xfId="36102"/>
    <cellStyle name="Normal 5 3 2 5" xfId="36103"/>
    <cellStyle name="Normal 5 3 2 6" xfId="36104"/>
    <cellStyle name="Normal 5 3 2 7" xfId="36105"/>
    <cellStyle name="Normal 5 3 2 8" xfId="36106"/>
    <cellStyle name="Normal 5 3 3" xfId="36107"/>
    <cellStyle name="Normal 5 3 3 2" xfId="36108"/>
    <cellStyle name="Normal 5 3 3 2 2" xfId="36109"/>
    <cellStyle name="Normal 5 3 3 2 3" xfId="36110"/>
    <cellStyle name="Normal 5 3 3 2 4" xfId="36111"/>
    <cellStyle name="Normal 5 3 3 2 5" xfId="36112"/>
    <cellStyle name="Normal 5 3 3 2 6" xfId="36113"/>
    <cellStyle name="Normal 5 3 3 3" xfId="36114"/>
    <cellStyle name="Normal 5 3 3 3 2" xfId="36115"/>
    <cellStyle name="Normal 5 3 3 3 3" xfId="36116"/>
    <cellStyle name="Normal 5 3 3 3 4" xfId="36117"/>
    <cellStyle name="Normal 5 3 3 3 5" xfId="36118"/>
    <cellStyle name="Normal 5 3 3 3 6" xfId="36119"/>
    <cellStyle name="Normal 5 3 3 4" xfId="36120"/>
    <cellStyle name="Normal 5 3 3 5" xfId="36121"/>
    <cellStyle name="Normal 5 3 3 6" xfId="36122"/>
    <cellStyle name="Normal 5 3 3 7" xfId="36123"/>
    <cellStyle name="Normal 5 3 3 8" xfId="36124"/>
    <cellStyle name="Normal 5 3 4" xfId="36125"/>
    <cellStyle name="Normal 5 3 4 2" xfId="36126"/>
    <cellStyle name="Normal 5 3 4 3" xfId="36127"/>
    <cellStyle name="Normal 5 3 4 4" xfId="36128"/>
    <cellStyle name="Normal 5 3 4 5" xfId="36129"/>
    <cellStyle name="Normal 5 3 4 6" xfId="36130"/>
    <cellStyle name="Normal 5 3 5" xfId="36131"/>
    <cellStyle name="Normal 5 3 5 2" xfId="36132"/>
    <cellStyle name="Normal 5 3 5 3" xfId="36133"/>
    <cellStyle name="Normal 5 3 5 4" xfId="36134"/>
    <cellStyle name="Normal 5 3 5 5" xfId="36135"/>
    <cellStyle name="Normal 5 3 5 6" xfId="36136"/>
    <cellStyle name="Normal 5 3 6" xfId="36137"/>
    <cellStyle name="Normal 5 3 7" xfId="36138"/>
    <cellStyle name="Normal 5 3 8" xfId="36139"/>
    <cellStyle name="Normal 5 3 9" xfId="36140"/>
    <cellStyle name="Normal 5 4" xfId="36141"/>
    <cellStyle name="Normal 5 4 10" xfId="36142"/>
    <cellStyle name="Normal 5 4 2" xfId="36143"/>
    <cellStyle name="Normal 5 4 2 2" xfId="36144"/>
    <cellStyle name="Normal 5 4 2 2 2" xfId="36145"/>
    <cellStyle name="Normal 5 4 2 2 3" xfId="36146"/>
    <cellStyle name="Normal 5 4 2 2 4" xfId="36147"/>
    <cellStyle name="Normal 5 4 2 2 5" xfId="36148"/>
    <cellStyle name="Normal 5 4 2 2 6" xfId="36149"/>
    <cellStyle name="Normal 5 4 2 3" xfId="36150"/>
    <cellStyle name="Normal 5 4 2 3 2" xfId="36151"/>
    <cellStyle name="Normal 5 4 2 3 3" xfId="36152"/>
    <cellStyle name="Normal 5 4 2 3 4" xfId="36153"/>
    <cellStyle name="Normal 5 4 2 3 5" xfId="36154"/>
    <cellStyle name="Normal 5 4 2 3 6" xfId="36155"/>
    <cellStyle name="Normal 5 4 2 4" xfId="36156"/>
    <cellStyle name="Normal 5 4 2 5" xfId="36157"/>
    <cellStyle name="Normal 5 4 2 6" xfId="36158"/>
    <cellStyle name="Normal 5 4 2 7" xfId="36159"/>
    <cellStyle name="Normal 5 4 2 8" xfId="36160"/>
    <cellStyle name="Normal 5 4 3" xfId="36161"/>
    <cellStyle name="Normal 5 4 3 2" xfId="36162"/>
    <cellStyle name="Normal 5 4 3 2 2" xfId="36163"/>
    <cellStyle name="Normal 5 4 3 2 3" xfId="36164"/>
    <cellStyle name="Normal 5 4 3 2 4" xfId="36165"/>
    <cellStyle name="Normal 5 4 3 2 5" xfId="36166"/>
    <cellStyle name="Normal 5 4 3 2 6" xfId="36167"/>
    <cellStyle name="Normal 5 4 3 3" xfId="36168"/>
    <cellStyle name="Normal 5 4 3 3 2" xfId="36169"/>
    <cellStyle name="Normal 5 4 3 3 3" xfId="36170"/>
    <cellStyle name="Normal 5 4 3 3 4" xfId="36171"/>
    <cellStyle name="Normal 5 4 3 3 5" xfId="36172"/>
    <cellStyle name="Normal 5 4 3 3 6" xfId="36173"/>
    <cellStyle name="Normal 5 4 3 4" xfId="36174"/>
    <cellStyle name="Normal 5 4 3 5" xfId="36175"/>
    <cellStyle name="Normal 5 4 3 6" xfId="36176"/>
    <cellStyle name="Normal 5 4 3 7" xfId="36177"/>
    <cellStyle name="Normal 5 4 3 8" xfId="36178"/>
    <cellStyle name="Normal 5 4 4" xfId="36179"/>
    <cellStyle name="Normal 5 4 4 2" xfId="36180"/>
    <cellStyle name="Normal 5 4 4 3" xfId="36181"/>
    <cellStyle name="Normal 5 4 4 4" xfId="36182"/>
    <cellStyle name="Normal 5 4 4 5" xfId="36183"/>
    <cellStyle name="Normal 5 4 4 6" xfId="36184"/>
    <cellStyle name="Normal 5 4 5" xfId="36185"/>
    <cellStyle name="Normal 5 4 5 2" xfId="36186"/>
    <cellStyle name="Normal 5 4 5 3" xfId="36187"/>
    <cellStyle name="Normal 5 4 5 4" xfId="36188"/>
    <cellStyle name="Normal 5 4 5 5" xfId="36189"/>
    <cellStyle name="Normal 5 4 5 6" xfId="36190"/>
    <cellStyle name="Normal 5 4 6" xfId="36191"/>
    <cellStyle name="Normal 5 4 7" xfId="36192"/>
    <cellStyle name="Normal 5 4 8" xfId="36193"/>
    <cellStyle name="Normal 5 4 9" xfId="36194"/>
    <cellStyle name="Normal 5 5" xfId="36195"/>
    <cellStyle name="Normal 5 5 10" xfId="36196"/>
    <cellStyle name="Normal 5 5 2" xfId="36197"/>
    <cellStyle name="Normal 5 5 2 2" xfId="36198"/>
    <cellStyle name="Normal 5 5 2 2 2" xfId="36199"/>
    <cellStyle name="Normal 5 5 2 2 3" xfId="36200"/>
    <cellStyle name="Normal 5 5 2 2 4" xfId="36201"/>
    <cellStyle name="Normal 5 5 2 2 5" xfId="36202"/>
    <cellStyle name="Normal 5 5 2 2 6" xfId="36203"/>
    <cellStyle name="Normal 5 5 2 3" xfId="36204"/>
    <cellStyle name="Normal 5 5 2 3 2" xfId="36205"/>
    <cellStyle name="Normal 5 5 2 3 3" xfId="36206"/>
    <cellStyle name="Normal 5 5 2 3 4" xfId="36207"/>
    <cellStyle name="Normal 5 5 2 3 5" xfId="36208"/>
    <cellStyle name="Normal 5 5 2 3 6" xfId="36209"/>
    <cellStyle name="Normal 5 5 2 4" xfId="36210"/>
    <cellStyle name="Normal 5 5 2 5" xfId="36211"/>
    <cellStyle name="Normal 5 5 2 6" xfId="36212"/>
    <cellStyle name="Normal 5 5 2 7" xfId="36213"/>
    <cellStyle name="Normal 5 5 2 8" xfId="36214"/>
    <cellStyle name="Normal 5 5 3" xfId="36215"/>
    <cellStyle name="Normal 5 5 3 2" xfId="36216"/>
    <cellStyle name="Normal 5 5 3 2 2" xfId="36217"/>
    <cellStyle name="Normal 5 5 3 2 3" xfId="36218"/>
    <cellStyle name="Normal 5 5 3 2 4" xfId="36219"/>
    <cellStyle name="Normal 5 5 3 2 5" xfId="36220"/>
    <cellStyle name="Normal 5 5 3 2 6" xfId="36221"/>
    <cellStyle name="Normal 5 5 3 3" xfId="36222"/>
    <cellStyle name="Normal 5 5 3 3 2" xfId="36223"/>
    <cellStyle name="Normal 5 5 3 3 3" xfId="36224"/>
    <cellStyle name="Normal 5 5 3 3 4" xfId="36225"/>
    <cellStyle name="Normal 5 5 3 3 5" xfId="36226"/>
    <cellStyle name="Normal 5 5 3 3 6" xfId="36227"/>
    <cellStyle name="Normal 5 5 3 4" xfId="36228"/>
    <cellStyle name="Normal 5 5 3 5" xfId="36229"/>
    <cellStyle name="Normal 5 5 3 6" xfId="36230"/>
    <cellStyle name="Normal 5 5 3 7" xfId="36231"/>
    <cellStyle name="Normal 5 5 3 8" xfId="36232"/>
    <cellStyle name="Normal 5 5 4" xfId="36233"/>
    <cellStyle name="Normal 5 5 4 2" xfId="36234"/>
    <cellStyle name="Normal 5 5 4 3" xfId="36235"/>
    <cellStyle name="Normal 5 5 4 4" xfId="36236"/>
    <cellStyle name="Normal 5 5 4 5" xfId="36237"/>
    <cellStyle name="Normal 5 5 4 6" xfId="36238"/>
    <cellStyle name="Normal 5 5 5" xfId="36239"/>
    <cellStyle name="Normal 5 5 5 2" xfId="36240"/>
    <cellStyle name="Normal 5 5 5 3" xfId="36241"/>
    <cellStyle name="Normal 5 5 5 4" xfId="36242"/>
    <cellStyle name="Normal 5 5 5 5" xfId="36243"/>
    <cellStyle name="Normal 5 5 5 6" xfId="36244"/>
    <cellStyle name="Normal 5 5 6" xfId="36245"/>
    <cellStyle name="Normal 5 5 7" xfId="36246"/>
    <cellStyle name="Normal 5 5 8" xfId="36247"/>
    <cellStyle name="Normal 5 5 9" xfId="36248"/>
    <cellStyle name="Normal 5 6" xfId="36249"/>
    <cellStyle name="Normal 5 6 10" xfId="36250"/>
    <cellStyle name="Normal 5 6 2" xfId="36251"/>
    <cellStyle name="Normal 5 6 2 2" xfId="36252"/>
    <cellStyle name="Normal 5 6 2 2 2" xfId="36253"/>
    <cellStyle name="Normal 5 6 2 2 3" xfId="36254"/>
    <cellStyle name="Normal 5 6 2 2 4" xfId="36255"/>
    <cellStyle name="Normal 5 6 2 2 5" xfId="36256"/>
    <cellStyle name="Normal 5 6 2 2 6" xfId="36257"/>
    <cellStyle name="Normal 5 6 2 3" xfId="36258"/>
    <cellStyle name="Normal 5 6 2 3 2" xfId="36259"/>
    <cellStyle name="Normal 5 6 2 3 3" xfId="36260"/>
    <cellStyle name="Normal 5 6 2 3 4" xfId="36261"/>
    <cellStyle name="Normal 5 6 2 3 5" xfId="36262"/>
    <cellStyle name="Normal 5 6 2 3 6" xfId="36263"/>
    <cellStyle name="Normal 5 6 2 4" xfId="36264"/>
    <cellStyle name="Normal 5 6 2 5" xfId="36265"/>
    <cellStyle name="Normal 5 6 2 6" xfId="36266"/>
    <cellStyle name="Normal 5 6 2 7" xfId="36267"/>
    <cellStyle name="Normal 5 6 2 8" xfId="36268"/>
    <cellStyle name="Normal 5 6 3" xfId="36269"/>
    <cellStyle name="Normal 5 6 3 2" xfId="36270"/>
    <cellStyle name="Normal 5 6 3 2 2" xfId="36271"/>
    <cellStyle name="Normal 5 6 3 2 3" xfId="36272"/>
    <cellStyle name="Normal 5 6 3 2 4" xfId="36273"/>
    <cellStyle name="Normal 5 6 3 2 5" xfId="36274"/>
    <cellStyle name="Normal 5 6 3 2 6" xfId="36275"/>
    <cellStyle name="Normal 5 6 3 3" xfId="36276"/>
    <cellStyle name="Normal 5 6 3 3 2" xfId="36277"/>
    <cellStyle name="Normal 5 6 3 3 3" xfId="36278"/>
    <cellStyle name="Normal 5 6 3 3 4" xfId="36279"/>
    <cellStyle name="Normal 5 6 3 3 5" xfId="36280"/>
    <cellStyle name="Normal 5 6 3 3 6" xfId="36281"/>
    <cellStyle name="Normal 5 6 3 4" xfId="36282"/>
    <cellStyle name="Normal 5 6 3 5" xfId="36283"/>
    <cellStyle name="Normal 5 6 3 6" xfId="36284"/>
    <cellStyle name="Normal 5 6 3 7" xfId="36285"/>
    <cellStyle name="Normal 5 6 3 8" xfId="36286"/>
    <cellStyle name="Normal 5 6 4" xfId="36287"/>
    <cellStyle name="Normal 5 6 4 2" xfId="36288"/>
    <cellStyle name="Normal 5 6 4 3" xfId="36289"/>
    <cellStyle name="Normal 5 6 4 4" xfId="36290"/>
    <cellStyle name="Normal 5 6 4 5" xfId="36291"/>
    <cellStyle name="Normal 5 6 4 6" xfId="36292"/>
    <cellStyle name="Normal 5 6 5" xfId="36293"/>
    <cellStyle name="Normal 5 6 5 2" xfId="36294"/>
    <cellStyle name="Normal 5 6 5 3" xfId="36295"/>
    <cellStyle name="Normal 5 6 5 4" xfId="36296"/>
    <cellStyle name="Normal 5 6 5 5" xfId="36297"/>
    <cellStyle name="Normal 5 6 5 6" xfId="36298"/>
    <cellStyle name="Normal 5 6 6" xfId="36299"/>
    <cellStyle name="Normal 5 6 7" xfId="36300"/>
    <cellStyle name="Normal 5 6 8" xfId="36301"/>
    <cellStyle name="Normal 5 6 9" xfId="36302"/>
    <cellStyle name="Normal 5 7" xfId="36303"/>
    <cellStyle name="Normal 5 7 2" xfId="36304"/>
    <cellStyle name="Normal 5 7 2 2" xfId="36305"/>
    <cellStyle name="Normal 5 7 2 3" xfId="36306"/>
    <cellStyle name="Normal 5 7 2 4" xfId="36307"/>
    <cellStyle name="Normal 5 7 2 5" xfId="36308"/>
    <cellStyle name="Normal 5 7 2 6" xfId="36309"/>
    <cellStyle name="Normal 5 7 3" xfId="36310"/>
    <cellStyle name="Normal 5 7 3 2" xfId="36311"/>
    <cellStyle name="Normal 5 7 3 3" xfId="36312"/>
    <cellStyle name="Normal 5 7 3 4" xfId="36313"/>
    <cellStyle name="Normal 5 7 3 5" xfId="36314"/>
    <cellStyle name="Normal 5 7 3 6" xfId="36315"/>
    <cellStyle name="Normal 5 7 4" xfId="36316"/>
    <cellStyle name="Normal 5 7 5" xfId="36317"/>
    <cellStyle name="Normal 5 7 6" xfId="36318"/>
    <cellStyle name="Normal 5 7 7" xfId="36319"/>
    <cellStyle name="Normal 5 7 8" xfId="36320"/>
    <cellStyle name="Normal 5 8" xfId="36321"/>
    <cellStyle name="Normal 5 8 2" xfId="36322"/>
    <cellStyle name="Normal 5 8 2 2" xfId="36323"/>
    <cellStyle name="Normal 5 8 2 3" xfId="36324"/>
    <cellStyle name="Normal 5 8 2 4" xfId="36325"/>
    <cellStyle name="Normal 5 8 2 5" xfId="36326"/>
    <cellStyle name="Normal 5 8 2 6" xfId="36327"/>
    <cellStyle name="Normal 5 8 3" xfId="36328"/>
    <cellStyle name="Normal 5 8 3 2" xfId="36329"/>
    <cellStyle name="Normal 5 8 3 3" xfId="36330"/>
    <cellStyle name="Normal 5 8 3 4" xfId="36331"/>
    <cellStyle name="Normal 5 8 3 5" xfId="36332"/>
    <cellStyle name="Normal 5 8 3 6" xfId="36333"/>
    <cellStyle name="Normal 5 8 4" xfId="36334"/>
    <cellStyle name="Normal 5 8 5" xfId="36335"/>
    <cellStyle name="Normal 5 8 6" xfId="36336"/>
    <cellStyle name="Normal 5 8 7" xfId="36337"/>
    <cellStyle name="Normal 5 8 8" xfId="36338"/>
    <cellStyle name="Normal 5 9" xfId="36339"/>
    <cellStyle name="Normal 5 9 2" xfId="36340"/>
    <cellStyle name="Normal 5 9 3" xfId="36341"/>
    <cellStyle name="Normal 5 9 4" xfId="36342"/>
    <cellStyle name="Normal 5 9 5" xfId="36343"/>
    <cellStyle name="Normal 5 9 6" xfId="36344"/>
    <cellStyle name="Normal 50" xfId="36345"/>
    <cellStyle name="Normal 51" xfId="36346"/>
    <cellStyle name="Normal 52" xfId="36347"/>
    <cellStyle name="Normal 53" xfId="36348"/>
    <cellStyle name="Normal 54" xfId="36349"/>
    <cellStyle name="Normal 54 2" xfId="36350"/>
    <cellStyle name="Normal 55" xfId="36351"/>
    <cellStyle name="Normal 56" xfId="36352"/>
    <cellStyle name="Normal 57" xfId="36353"/>
    <cellStyle name="Normal 57 2" xfId="36354"/>
    <cellStyle name="Normal 57 2 2" xfId="36355"/>
    <cellStyle name="Normal 58" xfId="36356"/>
    <cellStyle name="Normal 59" xfId="36357"/>
    <cellStyle name="Normal 6" xfId="36358"/>
    <cellStyle name="Normal 6 10" xfId="36359"/>
    <cellStyle name="Normal 6 10 2" xfId="36360"/>
    <cellStyle name="Normal 6 10 3" xfId="36361"/>
    <cellStyle name="Normal 6 10 4" xfId="36362"/>
    <cellStyle name="Normal 6 10 5" xfId="36363"/>
    <cellStyle name="Normal 6 10 6" xfId="36364"/>
    <cellStyle name="Normal 6 11" xfId="36365"/>
    <cellStyle name="Normal 6 12" xfId="36366"/>
    <cellStyle name="Normal 6 13" xfId="36367"/>
    <cellStyle name="Normal 6 14" xfId="36368"/>
    <cellStyle name="Normal 6 15" xfId="36369"/>
    <cellStyle name="Normal 6 16" xfId="36370"/>
    <cellStyle name="Normal 6 2" xfId="36371"/>
    <cellStyle name="Normal 6 2 10" xfId="36372"/>
    <cellStyle name="Normal 6 2 2" xfId="36373"/>
    <cellStyle name="Normal 6 2 2 2" xfId="36374"/>
    <cellStyle name="Normal 6 2 2 2 2" xfId="36375"/>
    <cellStyle name="Normal 6 2 2 2 3" xfId="36376"/>
    <cellStyle name="Normal 6 2 2 2 4" xfId="36377"/>
    <cellStyle name="Normal 6 2 2 2 5" xfId="36378"/>
    <cellStyle name="Normal 6 2 2 2 6" xfId="36379"/>
    <cellStyle name="Normal 6 2 2 3" xfId="36380"/>
    <cellStyle name="Normal 6 2 2 3 2" xfId="36381"/>
    <cellStyle name="Normal 6 2 2 3 3" xfId="36382"/>
    <cellStyle name="Normal 6 2 2 3 4" xfId="36383"/>
    <cellStyle name="Normal 6 2 2 3 5" xfId="36384"/>
    <cellStyle name="Normal 6 2 2 3 6" xfId="36385"/>
    <cellStyle name="Normal 6 2 2 4" xfId="36386"/>
    <cellStyle name="Normal 6 2 2 5" xfId="36387"/>
    <cellStyle name="Normal 6 2 2 6" xfId="36388"/>
    <cellStyle name="Normal 6 2 2 7" xfId="36389"/>
    <cellStyle name="Normal 6 2 2 8" xfId="36390"/>
    <cellStyle name="Normal 6 2 3" xfId="36391"/>
    <cellStyle name="Normal 6 2 3 2" xfId="36392"/>
    <cellStyle name="Normal 6 2 3 2 2" xfId="36393"/>
    <cellStyle name="Normal 6 2 3 2 3" xfId="36394"/>
    <cellStyle name="Normal 6 2 3 2 4" xfId="36395"/>
    <cellStyle name="Normal 6 2 3 2 5" xfId="36396"/>
    <cellStyle name="Normal 6 2 3 2 6" xfId="36397"/>
    <cellStyle name="Normal 6 2 3 3" xfId="36398"/>
    <cellStyle name="Normal 6 2 3 3 2" xfId="36399"/>
    <cellStyle name="Normal 6 2 3 3 3" xfId="36400"/>
    <cellStyle name="Normal 6 2 3 3 4" xfId="36401"/>
    <cellStyle name="Normal 6 2 3 3 5" xfId="36402"/>
    <cellStyle name="Normal 6 2 3 3 6" xfId="36403"/>
    <cellStyle name="Normal 6 2 3 4" xfId="36404"/>
    <cellStyle name="Normal 6 2 3 5" xfId="36405"/>
    <cellStyle name="Normal 6 2 3 6" xfId="36406"/>
    <cellStyle name="Normal 6 2 3 7" xfId="36407"/>
    <cellStyle name="Normal 6 2 3 8" xfId="36408"/>
    <cellStyle name="Normal 6 2 4" xfId="36409"/>
    <cellStyle name="Normal 6 2 4 2" xfId="36410"/>
    <cellStyle name="Normal 6 2 4 3" xfId="36411"/>
    <cellStyle name="Normal 6 2 4 4" xfId="36412"/>
    <cellStyle name="Normal 6 2 4 5" xfId="36413"/>
    <cellStyle name="Normal 6 2 4 6" xfId="36414"/>
    <cellStyle name="Normal 6 2 5" xfId="36415"/>
    <cellStyle name="Normal 6 2 5 2" xfId="36416"/>
    <cellStyle name="Normal 6 2 5 3" xfId="36417"/>
    <cellStyle name="Normal 6 2 5 4" xfId="36418"/>
    <cellStyle name="Normal 6 2 5 5" xfId="36419"/>
    <cellStyle name="Normal 6 2 5 6" xfId="36420"/>
    <cellStyle name="Normal 6 2 6" xfId="36421"/>
    <cellStyle name="Normal 6 2 7" xfId="36422"/>
    <cellStyle name="Normal 6 2 8" xfId="36423"/>
    <cellStyle name="Normal 6 2 9" xfId="36424"/>
    <cellStyle name="Normal 6 3" xfId="36425"/>
    <cellStyle name="Normal 6 3 10" xfId="36426"/>
    <cellStyle name="Normal 6 3 2" xfId="36427"/>
    <cellStyle name="Normal 6 3 2 2" xfId="36428"/>
    <cellStyle name="Normal 6 3 2 2 2" xfId="36429"/>
    <cellStyle name="Normal 6 3 2 2 3" xfId="36430"/>
    <cellStyle name="Normal 6 3 2 2 4" xfId="36431"/>
    <cellStyle name="Normal 6 3 2 2 5" xfId="36432"/>
    <cellStyle name="Normal 6 3 2 2 6" xfId="36433"/>
    <cellStyle name="Normal 6 3 2 3" xfId="36434"/>
    <cellStyle name="Normal 6 3 2 3 2" xfId="36435"/>
    <cellStyle name="Normal 6 3 2 3 3" xfId="36436"/>
    <cellStyle name="Normal 6 3 2 3 4" xfId="36437"/>
    <cellStyle name="Normal 6 3 2 3 5" xfId="36438"/>
    <cellStyle name="Normal 6 3 2 3 6" xfId="36439"/>
    <cellStyle name="Normal 6 3 2 4" xfId="36440"/>
    <cellStyle name="Normal 6 3 2 5" xfId="36441"/>
    <cellStyle name="Normal 6 3 2 6" xfId="36442"/>
    <cellStyle name="Normal 6 3 2 7" xfId="36443"/>
    <cellStyle name="Normal 6 3 2 8" xfId="36444"/>
    <cellStyle name="Normal 6 3 3" xfId="36445"/>
    <cellStyle name="Normal 6 3 3 2" xfId="36446"/>
    <cellStyle name="Normal 6 3 3 2 2" xfId="36447"/>
    <cellStyle name="Normal 6 3 3 2 3" xfId="36448"/>
    <cellStyle name="Normal 6 3 3 2 4" xfId="36449"/>
    <cellStyle name="Normal 6 3 3 2 5" xfId="36450"/>
    <cellStyle name="Normal 6 3 3 2 6" xfId="36451"/>
    <cellStyle name="Normal 6 3 3 3" xfId="36452"/>
    <cellStyle name="Normal 6 3 3 3 2" xfId="36453"/>
    <cellStyle name="Normal 6 3 3 3 3" xfId="36454"/>
    <cellStyle name="Normal 6 3 3 3 4" xfId="36455"/>
    <cellStyle name="Normal 6 3 3 3 5" xfId="36456"/>
    <cellStyle name="Normal 6 3 3 3 6" xfId="36457"/>
    <cellStyle name="Normal 6 3 3 4" xfId="36458"/>
    <cellStyle name="Normal 6 3 3 5" xfId="36459"/>
    <cellStyle name="Normal 6 3 3 6" xfId="36460"/>
    <cellStyle name="Normal 6 3 3 7" xfId="36461"/>
    <cellStyle name="Normal 6 3 3 8" xfId="36462"/>
    <cellStyle name="Normal 6 3 4" xfId="36463"/>
    <cellStyle name="Normal 6 3 4 2" xfId="36464"/>
    <cellStyle name="Normal 6 3 4 3" xfId="36465"/>
    <cellStyle name="Normal 6 3 4 4" xfId="36466"/>
    <cellStyle name="Normal 6 3 4 5" xfId="36467"/>
    <cellStyle name="Normal 6 3 4 6" xfId="36468"/>
    <cellStyle name="Normal 6 3 5" xfId="36469"/>
    <cellStyle name="Normal 6 3 5 2" xfId="36470"/>
    <cellStyle name="Normal 6 3 5 3" xfId="36471"/>
    <cellStyle name="Normal 6 3 5 4" xfId="36472"/>
    <cellStyle name="Normal 6 3 5 5" xfId="36473"/>
    <cellStyle name="Normal 6 3 5 6" xfId="36474"/>
    <cellStyle name="Normal 6 3 6" xfId="36475"/>
    <cellStyle name="Normal 6 3 7" xfId="36476"/>
    <cellStyle name="Normal 6 3 8" xfId="36477"/>
    <cellStyle name="Normal 6 3 9" xfId="36478"/>
    <cellStyle name="Normal 6 4" xfId="36479"/>
    <cellStyle name="Normal 6 4 10" xfId="36480"/>
    <cellStyle name="Normal 6 4 2" xfId="36481"/>
    <cellStyle name="Normal 6 4 2 2" xfId="36482"/>
    <cellStyle name="Normal 6 4 2 2 2" xfId="36483"/>
    <cellStyle name="Normal 6 4 2 2 3" xfId="36484"/>
    <cellStyle name="Normal 6 4 2 2 4" xfId="36485"/>
    <cellStyle name="Normal 6 4 2 2 5" xfId="36486"/>
    <cellStyle name="Normal 6 4 2 2 6" xfId="36487"/>
    <cellStyle name="Normal 6 4 2 3" xfId="36488"/>
    <cellStyle name="Normal 6 4 2 3 2" xfId="36489"/>
    <cellStyle name="Normal 6 4 2 3 3" xfId="36490"/>
    <cellStyle name="Normal 6 4 2 3 4" xfId="36491"/>
    <cellStyle name="Normal 6 4 2 3 5" xfId="36492"/>
    <cellStyle name="Normal 6 4 2 3 6" xfId="36493"/>
    <cellStyle name="Normal 6 4 2 4" xfId="36494"/>
    <cellStyle name="Normal 6 4 2 5" xfId="36495"/>
    <cellStyle name="Normal 6 4 2 6" xfId="36496"/>
    <cellStyle name="Normal 6 4 2 7" xfId="36497"/>
    <cellStyle name="Normal 6 4 2 8" xfId="36498"/>
    <cellStyle name="Normal 6 4 3" xfId="36499"/>
    <cellStyle name="Normal 6 4 3 2" xfId="36500"/>
    <cellStyle name="Normal 6 4 3 2 2" xfId="36501"/>
    <cellStyle name="Normal 6 4 3 2 3" xfId="36502"/>
    <cellStyle name="Normal 6 4 3 2 4" xfId="36503"/>
    <cellStyle name="Normal 6 4 3 2 5" xfId="36504"/>
    <cellStyle name="Normal 6 4 3 2 6" xfId="36505"/>
    <cellStyle name="Normal 6 4 3 3" xfId="36506"/>
    <cellStyle name="Normal 6 4 3 3 2" xfId="36507"/>
    <cellStyle name="Normal 6 4 3 3 3" xfId="36508"/>
    <cellStyle name="Normal 6 4 3 3 4" xfId="36509"/>
    <cellStyle name="Normal 6 4 3 3 5" xfId="36510"/>
    <cellStyle name="Normal 6 4 3 3 6" xfId="36511"/>
    <cellStyle name="Normal 6 4 3 4" xfId="36512"/>
    <cellStyle name="Normal 6 4 3 5" xfId="36513"/>
    <cellStyle name="Normal 6 4 3 6" xfId="36514"/>
    <cellStyle name="Normal 6 4 3 7" xfId="36515"/>
    <cellStyle name="Normal 6 4 3 8" xfId="36516"/>
    <cellStyle name="Normal 6 4 4" xfId="36517"/>
    <cellStyle name="Normal 6 4 4 2" xfId="36518"/>
    <cellStyle name="Normal 6 4 4 3" xfId="36519"/>
    <cellStyle name="Normal 6 4 4 4" xfId="36520"/>
    <cellStyle name="Normal 6 4 4 5" xfId="36521"/>
    <cellStyle name="Normal 6 4 4 6" xfId="36522"/>
    <cellStyle name="Normal 6 4 5" xfId="36523"/>
    <cellStyle name="Normal 6 4 5 2" xfId="36524"/>
    <cellStyle name="Normal 6 4 5 3" xfId="36525"/>
    <cellStyle name="Normal 6 4 5 4" xfId="36526"/>
    <cellStyle name="Normal 6 4 5 5" xfId="36527"/>
    <cellStyle name="Normal 6 4 5 6" xfId="36528"/>
    <cellStyle name="Normal 6 4 6" xfId="36529"/>
    <cellStyle name="Normal 6 4 7" xfId="36530"/>
    <cellStyle name="Normal 6 4 8" xfId="36531"/>
    <cellStyle name="Normal 6 4 9" xfId="36532"/>
    <cellStyle name="Normal 6 5" xfId="36533"/>
    <cellStyle name="Normal 6 5 10" xfId="36534"/>
    <cellStyle name="Normal 6 5 2" xfId="36535"/>
    <cellStyle name="Normal 6 5 2 2" xfId="36536"/>
    <cellStyle name="Normal 6 5 2 2 2" xfId="36537"/>
    <cellStyle name="Normal 6 5 2 2 3" xfId="36538"/>
    <cellStyle name="Normal 6 5 2 2 4" xfId="36539"/>
    <cellStyle name="Normal 6 5 2 2 5" xfId="36540"/>
    <cellStyle name="Normal 6 5 2 2 6" xfId="36541"/>
    <cellStyle name="Normal 6 5 2 3" xfId="36542"/>
    <cellStyle name="Normal 6 5 2 3 2" xfId="36543"/>
    <cellStyle name="Normal 6 5 2 3 3" xfId="36544"/>
    <cellStyle name="Normal 6 5 2 3 4" xfId="36545"/>
    <cellStyle name="Normal 6 5 2 3 5" xfId="36546"/>
    <cellStyle name="Normal 6 5 2 3 6" xfId="36547"/>
    <cellStyle name="Normal 6 5 2 4" xfId="36548"/>
    <cellStyle name="Normal 6 5 2 5" xfId="36549"/>
    <cellStyle name="Normal 6 5 2 6" xfId="36550"/>
    <cellStyle name="Normal 6 5 2 7" xfId="36551"/>
    <cellStyle name="Normal 6 5 2 8" xfId="36552"/>
    <cellStyle name="Normal 6 5 3" xfId="36553"/>
    <cellStyle name="Normal 6 5 3 2" xfId="36554"/>
    <cellStyle name="Normal 6 5 3 2 2" xfId="36555"/>
    <cellStyle name="Normal 6 5 3 2 3" xfId="36556"/>
    <cellStyle name="Normal 6 5 3 2 4" xfId="36557"/>
    <cellStyle name="Normal 6 5 3 2 5" xfId="36558"/>
    <cellStyle name="Normal 6 5 3 2 6" xfId="36559"/>
    <cellStyle name="Normal 6 5 3 3" xfId="36560"/>
    <cellStyle name="Normal 6 5 3 3 2" xfId="36561"/>
    <cellStyle name="Normal 6 5 3 3 3" xfId="36562"/>
    <cellStyle name="Normal 6 5 3 3 4" xfId="36563"/>
    <cellStyle name="Normal 6 5 3 3 5" xfId="36564"/>
    <cellStyle name="Normal 6 5 3 3 6" xfId="36565"/>
    <cellStyle name="Normal 6 5 3 4" xfId="36566"/>
    <cellStyle name="Normal 6 5 3 5" xfId="36567"/>
    <cellStyle name="Normal 6 5 3 6" xfId="36568"/>
    <cellStyle name="Normal 6 5 3 7" xfId="36569"/>
    <cellStyle name="Normal 6 5 3 8" xfId="36570"/>
    <cellStyle name="Normal 6 5 4" xfId="36571"/>
    <cellStyle name="Normal 6 5 4 2" xfId="36572"/>
    <cellStyle name="Normal 6 5 4 3" xfId="36573"/>
    <cellStyle name="Normal 6 5 4 4" xfId="36574"/>
    <cellStyle name="Normal 6 5 4 5" xfId="36575"/>
    <cellStyle name="Normal 6 5 4 6" xfId="36576"/>
    <cellStyle name="Normal 6 5 5" xfId="36577"/>
    <cellStyle name="Normal 6 5 5 2" xfId="36578"/>
    <cellStyle name="Normal 6 5 5 3" xfId="36579"/>
    <cellStyle name="Normal 6 5 5 4" xfId="36580"/>
    <cellStyle name="Normal 6 5 5 5" xfId="36581"/>
    <cellStyle name="Normal 6 5 5 6" xfId="36582"/>
    <cellStyle name="Normal 6 5 6" xfId="36583"/>
    <cellStyle name="Normal 6 5 7" xfId="36584"/>
    <cellStyle name="Normal 6 5 8" xfId="36585"/>
    <cellStyle name="Normal 6 5 9" xfId="36586"/>
    <cellStyle name="Normal 6 6" xfId="36587"/>
    <cellStyle name="Normal 6 6 10" xfId="36588"/>
    <cellStyle name="Normal 6 6 2" xfId="36589"/>
    <cellStyle name="Normal 6 6 2 2" xfId="36590"/>
    <cellStyle name="Normal 6 6 2 2 2" xfId="36591"/>
    <cellStyle name="Normal 6 6 2 2 3" xfId="36592"/>
    <cellStyle name="Normal 6 6 2 2 4" xfId="36593"/>
    <cellStyle name="Normal 6 6 2 2 5" xfId="36594"/>
    <cellStyle name="Normal 6 6 2 2 6" xfId="36595"/>
    <cellStyle name="Normal 6 6 2 3" xfId="36596"/>
    <cellStyle name="Normal 6 6 2 3 2" xfId="36597"/>
    <cellStyle name="Normal 6 6 2 3 3" xfId="36598"/>
    <cellStyle name="Normal 6 6 2 3 4" xfId="36599"/>
    <cellStyle name="Normal 6 6 2 3 5" xfId="36600"/>
    <cellStyle name="Normal 6 6 2 3 6" xfId="36601"/>
    <cellStyle name="Normal 6 6 2 4" xfId="36602"/>
    <cellStyle name="Normal 6 6 2 5" xfId="36603"/>
    <cellStyle name="Normal 6 6 2 6" xfId="36604"/>
    <cellStyle name="Normal 6 6 2 7" xfId="36605"/>
    <cellStyle name="Normal 6 6 2 8" xfId="36606"/>
    <cellStyle name="Normal 6 6 3" xfId="36607"/>
    <cellStyle name="Normal 6 6 3 2" xfId="36608"/>
    <cellStyle name="Normal 6 6 3 2 2" xfId="36609"/>
    <cellStyle name="Normal 6 6 3 2 3" xfId="36610"/>
    <cellStyle name="Normal 6 6 3 2 4" xfId="36611"/>
    <cellStyle name="Normal 6 6 3 2 5" xfId="36612"/>
    <cellStyle name="Normal 6 6 3 2 6" xfId="36613"/>
    <cellStyle name="Normal 6 6 3 3" xfId="36614"/>
    <cellStyle name="Normal 6 6 3 3 2" xfId="36615"/>
    <cellStyle name="Normal 6 6 3 3 3" xfId="36616"/>
    <cellStyle name="Normal 6 6 3 3 4" xfId="36617"/>
    <cellStyle name="Normal 6 6 3 3 5" xfId="36618"/>
    <cellStyle name="Normal 6 6 3 3 6" xfId="36619"/>
    <cellStyle name="Normal 6 6 3 4" xfId="36620"/>
    <cellStyle name="Normal 6 6 3 5" xfId="36621"/>
    <cellStyle name="Normal 6 6 3 6" xfId="36622"/>
    <cellStyle name="Normal 6 6 3 7" xfId="36623"/>
    <cellStyle name="Normal 6 6 3 8" xfId="36624"/>
    <cellStyle name="Normal 6 6 4" xfId="36625"/>
    <cellStyle name="Normal 6 6 4 2" xfId="36626"/>
    <cellStyle name="Normal 6 6 4 3" xfId="36627"/>
    <cellStyle name="Normal 6 6 4 4" xfId="36628"/>
    <cellStyle name="Normal 6 6 4 5" xfId="36629"/>
    <cellStyle name="Normal 6 6 4 6" xfId="36630"/>
    <cellStyle name="Normal 6 6 5" xfId="36631"/>
    <cellStyle name="Normal 6 6 5 2" xfId="36632"/>
    <cellStyle name="Normal 6 6 5 3" xfId="36633"/>
    <cellStyle name="Normal 6 6 5 4" xfId="36634"/>
    <cellStyle name="Normal 6 6 5 5" xfId="36635"/>
    <cellStyle name="Normal 6 6 5 6" xfId="36636"/>
    <cellStyle name="Normal 6 6 6" xfId="36637"/>
    <cellStyle name="Normal 6 6 7" xfId="36638"/>
    <cellStyle name="Normal 6 6 8" xfId="36639"/>
    <cellStyle name="Normal 6 6 9" xfId="36640"/>
    <cellStyle name="Normal 6 7" xfId="36641"/>
    <cellStyle name="Normal 6 7 2" xfId="36642"/>
    <cellStyle name="Normal 6 7 2 2" xfId="36643"/>
    <cellStyle name="Normal 6 7 2 3" xfId="36644"/>
    <cellStyle name="Normal 6 7 2 4" xfId="36645"/>
    <cellStyle name="Normal 6 7 2 5" xfId="36646"/>
    <cellStyle name="Normal 6 7 2 6" xfId="36647"/>
    <cellStyle name="Normal 6 7 3" xfId="36648"/>
    <cellStyle name="Normal 6 7 3 2" xfId="36649"/>
    <cellStyle name="Normal 6 7 3 3" xfId="36650"/>
    <cellStyle name="Normal 6 7 3 4" xfId="36651"/>
    <cellStyle name="Normal 6 7 3 5" xfId="36652"/>
    <cellStyle name="Normal 6 7 3 6" xfId="36653"/>
    <cellStyle name="Normal 6 7 4" xfId="36654"/>
    <cellStyle name="Normal 6 7 5" xfId="36655"/>
    <cellStyle name="Normal 6 7 6" xfId="36656"/>
    <cellStyle name="Normal 6 7 7" xfId="36657"/>
    <cellStyle name="Normal 6 7 8" xfId="36658"/>
    <cellStyle name="Normal 6 8" xfId="36659"/>
    <cellStyle name="Normal 6 8 2" xfId="36660"/>
    <cellStyle name="Normal 6 8 2 2" xfId="36661"/>
    <cellStyle name="Normal 6 8 2 3" xfId="36662"/>
    <cellStyle name="Normal 6 8 2 4" xfId="36663"/>
    <cellStyle name="Normal 6 8 2 5" xfId="36664"/>
    <cellStyle name="Normal 6 8 2 6" xfId="36665"/>
    <cellStyle name="Normal 6 8 3" xfId="36666"/>
    <cellStyle name="Normal 6 8 3 2" xfId="36667"/>
    <cellStyle name="Normal 6 8 3 3" xfId="36668"/>
    <cellStyle name="Normal 6 8 3 4" xfId="36669"/>
    <cellStyle name="Normal 6 8 3 5" xfId="36670"/>
    <cellStyle name="Normal 6 8 3 6" xfId="36671"/>
    <cellStyle name="Normal 6 8 4" xfId="36672"/>
    <cellStyle name="Normal 6 8 5" xfId="36673"/>
    <cellStyle name="Normal 6 8 6" xfId="36674"/>
    <cellStyle name="Normal 6 8 7" xfId="36675"/>
    <cellStyle name="Normal 6 8 8" xfId="36676"/>
    <cellStyle name="Normal 6 9" xfId="36677"/>
    <cellStyle name="Normal 6 9 2" xfId="36678"/>
    <cellStyle name="Normal 6 9 3" xfId="36679"/>
    <cellStyle name="Normal 6 9 4" xfId="36680"/>
    <cellStyle name="Normal 6 9 5" xfId="36681"/>
    <cellStyle name="Normal 6 9 6" xfId="36682"/>
    <cellStyle name="Normal 60" xfId="36683"/>
    <cellStyle name="Normal 60 2" xfId="36684"/>
    <cellStyle name="Normal 60 2 2" xfId="36685"/>
    <cellStyle name="Normal 60 3" xfId="36686"/>
    <cellStyle name="Normal 60 3 2" xfId="36687"/>
    <cellStyle name="Normal 60 3 2 2" xfId="36688"/>
    <cellStyle name="Normal 60 3 3" xfId="36689"/>
    <cellStyle name="Normal 60 3 3 2" xfId="36690"/>
    <cellStyle name="Normal 60 4" xfId="36691"/>
    <cellStyle name="Normal 61" xfId="36692"/>
    <cellStyle name="Normal 61 2" xfId="36693"/>
    <cellStyle name="Normal 61 2 2" xfId="36694"/>
    <cellStyle name="Normal 61 2 2 2" xfId="36695"/>
    <cellStyle name="Normal 61 2 3" xfId="36696"/>
    <cellStyle name="Normal 61 2 3 2" xfId="36697"/>
    <cellStyle name="Normal 61 2 3 2 2" xfId="36698"/>
    <cellStyle name="Normal 61 2 4" xfId="36699"/>
    <cellStyle name="Normal 61 2 4 2" xfId="36700"/>
    <cellStyle name="Normal 61 2 4 2 2" xfId="36701"/>
    <cellStyle name="Normal 61 2 4 2 3" xfId="36702"/>
    <cellStyle name="Normal 61 2 4 2 4" xfId="36703"/>
    <cellStyle name="Normal 62" xfId="36704"/>
    <cellStyle name="Normal 62 2" xfId="36705"/>
    <cellStyle name="Normal 63" xfId="36706"/>
    <cellStyle name="Normal 63 2" xfId="36707"/>
    <cellStyle name="Normal 64" xfId="36708"/>
    <cellStyle name="Normal 64 2" xfId="36709"/>
    <cellStyle name="Normal 64 3" xfId="36710"/>
    <cellStyle name="Normal 64 4" xfId="36711"/>
    <cellStyle name="Normal 65" xfId="36712"/>
    <cellStyle name="Normal 65 2" xfId="36713"/>
    <cellStyle name="Normal 66" xfId="36714"/>
    <cellStyle name="Normal 66 2" xfId="36715"/>
    <cellStyle name="Normal 66 3" xfId="36716"/>
    <cellStyle name="Normal 67" xfId="36717"/>
    <cellStyle name="Normal 68" xfId="36718"/>
    <cellStyle name="Normal 69" xfId="36719"/>
    <cellStyle name="Normal 7" xfId="36720"/>
    <cellStyle name="Normal 7 2" xfId="36721"/>
    <cellStyle name="Normal 7 3" xfId="36722"/>
    <cellStyle name="Normal 7 4" xfId="36723"/>
    <cellStyle name="Normal 70" xfId="36724"/>
    <cellStyle name="Normal 71" xfId="36725"/>
    <cellStyle name="Normal 72" xfId="36726"/>
    <cellStyle name="Normal 73" xfId="36727"/>
    <cellStyle name="Normal 74" xfId="36728"/>
    <cellStyle name="Normal 75" xfId="36729"/>
    <cellStyle name="Normal 76" xfId="36730"/>
    <cellStyle name="Normal 76 10" xfId="36731"/>
    <cellStyle name="Normal 76 11" xfId="36732"/>
    <cellStyle name="Normal 76 11 2" xfId="36733"/>
    <cellStyle name="Normal 76 12" xfId="36734"/>
    <cellStyle name="Normal 76 2" xfId="36735"/>
    <cellStyle name="Normal 76 3" xfId="36736"/>
    <cellStyle name="Normal 76 4" xfId="36737"/>
    <cellStyle name="Normal 76 5" xfId="36738"/>
    <cellStyle name="Normal 76 6" xfId="36739"/>
    <cellStyle name="Normal 76 7" xfId="36740"/>
    <cellStyle name="Normal 76 8" xfId="36741"/>
    <cellStyle name="Normal 76 9" xfId="36742"/>
    <cellStyle name="Normal 77" xfId="36743"/>
    <cellStyle name="Normal 78" xfId="36744"/>
    <cellStyle name="Normal 79" xfId="36745"/>
    <cellStyle name="Normal 79 2" xfId="36746"/>
    <cellStyle name="Normal 79 2 10" xfId="36747"/>
    <cellStyle name="Normal 79 2 11" xfId="36748"/>
    <cellStyle name="Normal 79 2 2" xfId="36749"/>
    <cellStyle name="Normal 79 2 3" xfId="36750"/>
    <cellStyle name="Normal 79 2 4" xfId="36751"/>
    <cellStyle name="Normal 79 2 5" xfId="36752"/>
    <cellStyle name="Normal 79 2 6" xfId="36753"/>
    <cellStyle name="Normal 79 2 7" xfId="36754"/>
    <cellStyle name="Normal 79 2 8" xfId="36755"/>
    <cellStyle name="Normal 79 2 9" xfId="36756"/>
    <cellStyle name="Normal 8" xfId="36757"/>
    <cellStyle name="Normal 8 2" xfId="36758"/>
    <cellStyle name="Normal 80" xfId="36759"/>
    <cellStyle name="Normal 81" xfId="36760"/>
    <cellStyle name="Normal 82" xfId="36761"/>
    <cellStyle name="Normal 83" xfId="36762"/>
    <cellStyle name="Normal 84" xfId="36763"/>
    <cellStyle name="Normal 85" xfId="36764"/>
    <cellStyle name="Normal 86" xfId="36765"/>
    <cellStyle name="Normal 87" xfId="36766"/>
    <cellStyle name="Normal 88" xfId="36767"/>
    <cellStyle name="Normal 89" xfId="36768"/>
    <cellStyle name="Normal 9" xfId="36769"/>
    <cellStyle name="Normal 90" xfId="36770"/>
    <cellStyle name="Normal 91" xfId="36771"/>
    <cellStyle name="Normal 92" xfId="36772"/>
    <cellStyle name="Normal 93" xfId="36773"/>
    <cellStyle name="Normal 94" xfId="36774"/>
    <cellStyle name="Normal 95" xfId="36775"/>
    <cellStyle name="Normal 96" xfId="36776"/>
    <cellStyle name="Normal_Sheet1 2" xfId="36777"/>
    <cellStyle name="Note 10" xfId="36778"/>
    <cellStyle name="Note 11" xfId="36779"/>
    <cellStyle name="Note 12" xfId="36780"/>
    <cellStyle name="Note 13" xfId="36781"/>
    <cellStyle name="Note 14" xfId="36782"/>
    <cellStyle name="Note 15" xfId="36783"/>
    <cellStyle name="Note 16" xfId="36784"/>
    <cellStyle name="Note 17" xfId="36785"/>
    <cellStyle name="Note 18" xfId="36786"/>
    <cellStyle name="Note 19" xfId="36787"/>
    <cellStyle name="Note 2" xfId="36788"/>
    <cellStyle name="Note 2 10" xfId="36789"/>
    <cellStyle name="Note 2 11" xfId="36790"/>
    <cellStyle name="Note 2 12" xfId="36791"/>
    <cellStyle name="Note 2 13" xfId="36792"/>
    <cellStyle name="Note 2 14" xfId="36793"/>
    <cellStyle name="Note 2 15" xfId="36794"/>
    <cellStyle name="Note 2 16" xfId="36795"/>
    <cellStyle name="Note 2 2" xfId="36796"/>
    <cellStyle name="Note 2 2 10" xfId="36797"/>
    <cellStyle name="Note 2 2 11" xfId="36798"/>
    <cellStyle name="Note 2 2 12" xfId="36799"/>
    <cellStyle name="Note 2 2 13" xfId="36800"/>
    <cellStyle name="Note 2 2 14" xfId="36801"/>
    <cellStyle name="Note 2 2 2" xfId="36802"/>
    <cellStyle name="Note 2 2 2 2" xfId="36803"/>
    <cellStyle name="Note 2 2 2 3" xfId="36804"/>
    <cellStyle name="Note 2 2 2 4" xfId="36805"/>
    <cellStyle name="Note 2 2 2 5" xfId="36806"/>
    <cellStyle name="Note 2 2 2 6" xfId="36807"/>
    <cellStyle name="Note 2 2 2 7" xfId="36808"/>
    <cellStyle name="Note 2 2 2 8" xfId="36809"/>
    <cellStyle name="Note 2 2 3" xfId="36810"/>
    <cellStyle name="Note 2 2 3 2" xfId="36811"/>
    <cellStyle name="Note 2 2 3 3" xfId="36812"/>
    <cellStyle name="Note 2 2 3 4" xfId="36813"/>
    <cellStyle name="Note 2 2 3 5" xfId="36814"/>
    <cellStyle name="Note 2 2 3 6" xfId="36815"/>
    <cellStyle name="Note 2 2 3 7" xfId="36816"/>
    <cellStyle name="Note 2 2 3 8" xfId="36817"/>
    <cellStyle name="Note 2 2 4" xfId="36818"/>
    <cellStyle name="Note 2 2 4 2" xfId="36819"/>
    <cellStyle name="Note 2 2 4 3" xfId="36820"/>
    <cellStyle name="Note 2 2 4 4" xfId="36821"/>
    <cellStyle name="Note 2 2 4 5" xfId="36822"/>
    <cellStyle name="Note 2 2 4 6" xfId="36823"/>
    <cellStyle name="Note 2 2 4 7" xfId="36824"/>
    <cellStyle name="Note 2 2 4 8" xfId="36825"/>
    <cellStyle name="Note 2 2 5" xfId="36826"/>
    <cellStyle name="Note 2 2 5 10" xfId="36827"/>
    <cellStyle name="Note 2 2 5 11" xfId="36828"/>
    <cellStyle name="Note 2 2 5 2" xfId="36829"/>
    <cellStyle name="Note 2 2 5 2 2" xfId="36830"/>
    <cellStyle name="Note 2 2 5 2 3" xfId="36831"/>
    <cellStyle name="Note 2 2 5 2 4" xfId="36832"/>
    <cellStyle name="Note 2 2 5 2 5" xfId="36833"/>
    <cellStyle name="Note 2 2 5 2 6" xfId="36834"/>
    <cellStyle name="Note 2 2 5 3" xfId="36835"/>
    <cellStyle name="Note 2 2 5 3 2" xfId="36836"/>
    <cellStyle name="Note 2 2 5 3 3" xfId="36837"/>
    <cellStyle name="Note 2 2 5 3 4" xfId="36838"/>
    <cellStyle name="Note 2 2 5 3 5" xfId="36839"/>
    <cellStyle name="Note 2 2 5 3 6" xfId="36840"/>
    <cellStyle name="Note 2 2 5 4" xfId="36841"/>
    <cellStyle name="Note 2 2 5 5" xfId="36842"/>
    <cellStyle name="Note 2 2 5 6" xfId="36843"/>
    <cellStyle name="Note 2 2 5 7" xfId="36844"/>
    <cellStyle name="Note 2 2 5 8" xfId="36845"/>
    <cellStyle name="Note 2 2 5 9" xfId="36846"/>
    <cellStyle name="Note 2 2 6" xfId="36847"/>
    <cellStyle name="Note 2 2 6 10" xfId="36848"/>
    <cellStyle name="Note 2 2 6 11" xfId="36849"/>
    <cellStyle name="Note 2 2 6 2" xfId="36850"/>
    <cellStyle name="Note 2 2 6 2 2" xfId="36851"/>
    <cellStyle name="Note 2 2 6 2 3" xfId="36852"/>
    <cellStyle name="Note 2 2 6 2 4" xfId="36853"/>
    <cellStyle name="Note 2 2 6 2 5" xfId="36854"/>
    <cellStyle name="Note 2 2 6 2 6" xfId="36855"/>
    <cellStyle name="Note 2 2 6 3" xfId="36856"/>
    <cellStyle name="Note 2 2 6 3 2" xfId="36857"/>
    <cellStyle name="Note 2 2 6 3 3" xfId="36858"/>
    <cellStyle name="Note 2 2 6 3 4" xfId="36859"/>
    <cellStyle name="Note 2 2 6 3 5" xfId="36860"/>
    <cellStyle name="Note 2 2 6 3 6" xfId="36861"/>
    <cellStyle name="Note 2 2 6 4" xfId="36862"/>
    <cellStyle name="Note 2 2 6 5" xfId="36863"/>
    <cellStyle name="Note 2 2 6 6" xfId="36864"/>
    <cellStyle name="Note 2 2 6 7" xfId="36865"/>
    <cellStyle name="Note 2 2 6 8" xfId="36866"/>
    <cellStyle name="Note 2 2 6 9" xfId="36867"/>
    <cellStyle name="Note 2 2 7" xfId="36868"/>
    <cellStyle name="Note 2 2 7 10" xfId="36869"/>
    <cellStyle name="Note 2 2 7 11" xfId="36870"/>
    <cellStyle name="Note 2 2 7 2" xfId="36871"/>
    <cellStyle name="Note 2 2 7 2 2" xfId="36872"/>
    <cellStyle name="Note 2 2 7 2 3" xfId="36873"/>
    <cellStyle name="Note 2 2 7 2 4" xfId="36874"/>
    <cellStyle name="Note 2 2 7 2 5" xfId="36875"/>
    <cellStyle name="Note 2 2 7 2 6" xfId="36876"/>
    <cellStyle name="Note 2 2 7 3" xfId="36877"/>
    <cellStyle name="Note 2 2 7 3 2" xfId="36878"/>
    <cellStyle name="Note 2 2 7 3 3" xfId="36879"/>
    <cellStyle name="Note 2 2 7 3 4" xfId="36880"/>
    <cellStyle name="Note 2 2 7 3 5" xfId="36881"/>
    <cellStyle name="Note 2 2 7 3 6" xfId="36882"/>
    <cellStyle name="Note 2 2 7 4" xfId="36883"/>
    <cellStyle name="Note 2 2 7 5" xfId="36884"/>
    <cellStyle name="Note 2 2 7 6" xfId="36885"/>
    <cellStyle name="Note 2 2 7 7" xfId="36886"/>
    <cellStyle name="Note 2 2 7 8" xfId="36887"/>
    <cellStyle name="Note 2 2 7 9" xfId="36888"/>
    <cellStyle name="Note 2 2 8" xfId="36889"/>
    <cellStyle name="Note 2 2 9" xfId="36890"/>
    <cellStyle name="Note 2 3" xfId="36891"/>
    <cellStyle name="Note 2 3 10" xfId="36892"/>
    <cellStyle name="Note 2 3 11" xfId="36893"/>
    <cellStyle name="Note 2 3 12" xfId="36894"/>
    <cellStyle name="Note 2 3 13" xfId="36895"/>
    <cellStyle name="Note 2 3 14" xfId="36896"/>
    <cellStyle name="Note 2 3 2" xfId="36897"/>
    <cellStyle name="Note 2 3 2 2" xfId="36898"/>
    <cellStyle name="Note 2 3 2 3" xfId="36899"/>
    <cellStyle name="Note 2 3 2 4" xfId="36900"/>
    <cellStyle name="Note 2 3 2 5" xfId="36901"/>
    <cellStyle name="Note 2 3 2 6" xfId="36902"/>
    <cellStyle name="Note 2 3 2 7" xfId="36903"/>
    <cellStyle name="Note 2 3 2 8" xfId="36904"/>
    <cellStyle name="Note 2 3 3" xfId="36905"/>
    <cellStyle name="Note 2 3 3 2" xfId="36906"/>
    <cellStyle name="Note 2 3 3 3" xfId="36907"/>
    <cellStyle name="Note 2 3 3 4" xfId="36908"/>
    <cellStyle name="Note 2 3 3 5" xfId="36909"/>
    <cellStyle name="Note 2 3 3 6" xfId="36910"/>
    <cellStyle name="Note 2 3 3 7" xfId="36911"/>
    <cellStyle name="Note 2 3 3 8" xfId="36912"/>
    <cellStyle name="Note 2 3 4" xfId="36913"/>
    <cellStyle name="Note 2 3 4 2" xfId="36914"/>
    <cellStyle name="Note 2 3 4 3" xfId="36915"/>
    <cellStyle name="Note 2 3 4 4" xfId="36916"/>
    <cellStyle name="Note 2 3 4 5" xfId="36917"/>
    <cellStyle name="Note 2 3 4 6" xfId="36918"/>
    <cellStyle name="Note 2 3 4 7" xfId="36919"/>
    <cellStyle name="Note 2 3 4 8" xfId="36920"/>
    <cellStyle name="Note 2 3 5" xfId="36921"/>
    <cellStyle name="Note 2 3 5 10" xfId="36922"/>
    <cellStyle name="Note 2 3 5 11" xfId="36923"/>
    <cellStyle name="Note 2 3 5 2" xfId="36924"/>
    <cellStyle name="Note 2 3 5 2 2" xfId="36925"/>
    <cellStyle name="Note 2 3 5 2 3" xfId="36926"/>
    <cellStyle name="Note 2 3 5 2 4" xfId="36927"/>
    <cellStyle name="Note 2 3 5 2 5" xfId="36928"/>
    <cellStyle name="Note 2 3 5 2 6" xfId="36929"/>
    <cellStyle name="Note 2 3 5 3" xfId="36930"/>
    <cellStyle name="Note 2 3 5 3 2" xfId="36931"/>
    <cellStyle name="Note 2 3 5 3 3" xfId="36932"/>
    <cellStyle name="Note 2 3 5 3 4" xfId="36933"/>
    <cellStyle name="Note 2 3 5 3 5" xfId="36934"/>
    <cellStyle name="Note 2 3 5 3 6" xfId="36935"/>
    <cellStyle name="Note 2 3 5 4" xfId="36936"/>
    <cellStyle name="Note 2 3 5 5" xfId="36937"/>
    <cellStyle name="Note 2 3 5 6" xfId="36938"/>
    <cellStyle name="Note 2 3 5 7" xfId="36939"/>
    <cellStyle name="Note 2 3 5 8" xfId="36940"/>
    <cellStyle name="Note 2 3 5 9" xfId="36941"/>
    <cellStyle name="Note 2 3 6" xfId="36942"/>
    <cellStyle name="Note 2 3 6 10" xfId="36943"/>
    <cellStyle name="Note 2 3 6 11" xfId="36944"/>
    <cellStyle name="Note 2 3 6 2" xfId="36945"/>
    <cellStyle name="Note 2 3 6 2 2" xfId="36946"/>
    <cellStyle name="Note 2 3 6 2 3" xfId="36947"/>
    <cellStyle name="Note 2 3 6 2 4" xfId="36948"/>
    <cellStyle name="Note 2 3 6 2 5" xfId="36949"/>
    <cellStyle name="Note 2 3 6 2 6" xfId="36950"/>
    <cellStyle name="Note 2 3 6 3" xfId="36951"/>
    <cellStyle name="Note 2 3 6 3 2" xfId="36952"/>
    <cellStyle name="Note 2 3 6 3 3" xfId="36953"/>
    <cellStyle name="Note 2 3 6 3 4" xfId="36954"/>
    <cellStyle name="Note 2 3 6 3 5" xfId="36955"/>
    <cellStyle name="Note 2 3 6 3 6" xfId="36956"/>
    <cellStyle name="Note 2 3 6 4" xfId="36957"/>
    <cellStyle name="Note 2 3 6 5" xfId="36958"/>
    <cellStyle name="Note 2 3 6 6" xfId="36959"/>
    <cellStyle name="Note 2 3 6 7" xfId="36960"/>
    <cellStyle name="Note 2 3 6 8" xfId="36961"/>
    <cellStyle name="Note 2 3 6 9" xfId="36962"/>
    <cellStyle name="Note 2 3 7" xfId="36963"/>
    <cellStyle name="Note 2 3 7 10" xfId="36964"/>
    <cellStyle name="Note 2 3 7 11" xfId="36965"/>
    <cellStyle name="Note 2 3 7 2" xfId="36966"/>
    <cellStyle name="Note 2 3 7 2 2" xfId="36967"/>
    <cellStyle name="Note 2 3 7 2 3" xfId="36968"/>
    <cellStyle name="Note 2 3 7 2 4" xfId="36969"/>
    <cellStyle name="Note 2 3 7 2 5" xfId="36970"/>
    <cellStyle name="Note 2 3 7 2 6" xfId="36971"/>
    <cellStyle name="Note 2 3 7 3" xfId="36972"/>
    <cellStyle name="Note 2 3 7 3 2" xfId="36973"/>
    <cellStyle name="Note 2 3 7 3 3" xfId="36974"/>
    <cellStyle name="Note 2 3 7 3 4" xfId="36975"/>
    <cellStyle name="Note 2 3 7 3 5" xfId="36976"/>
    <cellStyle name="Note 2 3 7 3 6" xfId="36977"/>
    <cellStyle name="Note 2 3 7 4" xfId="36978"/>
    <cellStyle name="Note 2 3 7 5" xfId="36979"/>
    <cellStyle name="Note 2 3 7 6" xfId="36980"/>
    <cellStyle name="Note 2 3 7 7" xfId="36981"/>
    <cellStyle name="Note 2 3 7 8" xfId="36982"/>
    <cellStyle name="Note 2 3 7 9" xfId="36983"/>
    <cellStyle name="Note 2 3 8" xfId="36984"/>
    <cellStyle name="Note 2 3 9" xfId="36985"/>
    <cellStyle name="Note 2 4" xfId="36986"/>
    <cellStyle name="Note 2 4 2" xfId="36987"/>
    <cellStyle name="Note 2 4 3" xfId="36988"/>
    <cellStyle name="Note 2 4 4" xfId="36989"/>
    <cellStyle name="Note 2 4 5" xfId="36990"/>
    <cellStyle name="Note 2 4 6" xfId="36991"/>
    <cellStyle name="Note 2 4 7" xfId="36992"/>
    <cellStyle name="Note 2 4 8" xfId="36993"/>
    <cellStyle name="Note 2 5" xfId="36994"/>
    <cellStyle name="Note 2 5 2" xfId="36995"/>
    <cellStyle name="Note 2 5 3" xfId="36996"/>
    <cellStyle name="Note 2 5 4" xfId="36997"/>
    <cellStyle name="Note 2 5 5" xfId="36998"/>
    <cellStyle name="Note 2 5 6" xfId="36999"/>
    <cellStyle name="Note 2 5 7" xfId="37000"/>
    <cellStyle name="Note 2 5 8" xfId="37001"/>
    <cellStyle name="Note 2 6" xfId="37002"/>
    <cellStyle name="Note 2 6 2" xfId="37003"/>
    <cellStyle name="Note 2 6 3" xfId="37004"/>
    <cellStyle name="Note 2 6 4" xfId="37005"/>
    <cellStyle name="Note 2 6 5" xfId="37006"/>
    <cellStyle name="Note 2 6 6" xfId="37007"/>
    <cellStyle name="Note 2 6 7" xfId="37008"/>
    <cellStyle name="Note 2 6 8" xfId="37009"/>
    <cellStyle name="Note 2 7" xfId="37010"/>
    <cellStyle name="Note 2 7 10" xfId="37011"/>
    <cellStyle name="Note 2 7 11" xfId="37012"/>
    <cellStyle name="Note 2 7 2" xfId="37013"/>
    <cellStyle name="Note 2 7 2 2" xfId="37014"/>
    <cellStyle name="Note 2 7 2 3" xfId="37015"/>
    <cellStyle name="Note 2 7 2 4" xfId="37016"/>
    <cellStyle name="Note 2 7 2 5" xfId="37017"/>
    <cellStyle name="Note 2 7 2 6" xfId="37018"/>
    <cellStyle name="Note 2 7 3" xfId="37019"/>
    <cellStyle name="Note 2 7 3 2" xfId="37020"/>
    <cellStyle name="Note 2 7 3 3" xfId="37021"/>
    <cellStyle name="Note 2 7 3 4" xfId="37022"/>
    <cellStyle name="Note 2 7 3 5" xfId="37023"/>
    <cellStyle name="Note 2 7 3 6" xfId="37024"/>
    <cellStyle name="Note 2 7 4" xfId="37025"/>
    <cellStyle name="Note 2 7 5" xfId="37026"/>
    <cellStyle name="Note 2 7 6" xfId="37027"/>
    <cellStyle name="Note 2 7 7" xfId="37028"/>
    <cellStyle name="Note 2 7 8" xfId="37029"/>
    <cellStyle name="Note 2 7 9" xfId="37030"/>
    <cellStyle name="Note 2 8" xfId="37031"/>
    <cellStyle name="Note 2 8 10" xfId="37032"/>
    <cellStyle name="Note 2 8 11" xfId="37033"/>
    <cellStyle name="Note 2 8 2" xfId="37034"/>
    <cellStyle name="Note 2 8 2 2" xfId="37035"/>
    <cellStyle name="Note 2 8 2 3" xfId="37036"/>
    <cellStyle name="Note 2 8 2 4" xfId="37037"/>
    <cellStyle name="Note 2 8 2 5" xfId="37038"/>
    <cellStyle name="Note 2 8 2 6" xfId="37039"/>
    <cellStyle name="Note 2 8 3" xfId="37040"/>
    <cellStyle name="Note 2 8 3 2" xfId="37041"/>
    <cellStyle name="Note 2 8 3 3" xfId="37042"/>
    <cellStyle name="Note 2 8 3 4" xfId="37043"/>
    <cellStyle name="Note 2 8 3 5" xfId="37044"/>
    <cellStyle name="Note 2 8 3 6" xfId="37045"/>
    <cellStyle name="Note 2 8 4" xfId="37046"/>
    <cellStyle name="Note 2 8 5" xfId="37047"/>
    <cellStyle name="Note 2 8 6" xfId="37048"/>
    <cellStyle name="Note 2 8 7" xfId="37049"/>
    <cellStyle name="Note 2 8 8" xfId="37050"/>
    <cellStyle name="Note 2 8 9" xfId="37051"/>
    <cellStyle name="Note 2 9" xfId="37052"/>
    <cellStyle name="Note 2 9 10" xfId="37053"/>
    <cellStyle name="Note 2 9 11" xfId="37054"/>
    <cellStyle name="Note 2 9 2" xfId="37055"/>
    <cellStyle name="Note 2 9 2 2" xfId="37056"/>
    <cellStyle name="Note 2 9 2 3" xfId="37057"/>
    <cellStyle name="Note 2 9 2 4" xfId="37058"/>
    <cellStyle name="Note 2 9 2 5" xfId="37059"/>
    <cellStyle name="Note 2 9 2 6" xfId="37060"/>
    <cellStyle name="Note 2 9 3" xfId="37061"/>
    <cellStyle name="Note 2 9 3 2" xfId="37062"/>
    <cellStyle name="Note 2 9 3 3" xfId="37063"/>
    <cellStyle name="Note 2 9 3 4" xfId="37064"/>
    <cellStyle name="Note 2 9 3 5" xfId="37065"/>
    <cellStyle name="Note 2 9 3 6" xfId="37066"/>
    <cellStyle name="Note 2 9 4" xfId="37067"/>
    <cellStyle name="Note 2 9 5" xfId="37068"/>
    <cellStyle name="Note 2 9 6" xfId="37069"/>
    <cellStyle name="Note 2 9 7" xfId="37070"/>
    <cellStyle name="Note 2 9 8" xfId="37071"/>
    <cellStyle name="Note 2 9 9" xfId="37072"/>
    <cellStyle name="Note 20" xfId="37073"/>
    <cellStyle name="Note 21" xfId="37074"/>
    <cellStyle name="Note 22" xfId="37075"/>
    <cellStyle name="Note 23" xfId="37076"/>
    <cellStyle name="Note 24" xfId="37077"/>
    <cellStyle name="Note 25" xfId="37078"/>
    <cellStyle name="Note 26" xfId="37079"/>
    <cellStyle name="Note 27" xfId="37080"/>
    <cellStyle name="Note 28" xfId="37081"/>
    <cellStyle name="Note 29" xfId="37082"/>
    <cellStyle name="Note 3" xfId="37083"/>
    <cellStyle name="Note 3 2" xfId="37084"/>
    <cellStyle name="Note 3 3" xfId="37085"/>
    <cellStyle name="Note 3 4" xfId="37086"/>
    <cellStyle name="Note 3 5" xfId="37087"/>
    <cellStyle name="Note 3 6" xfId="37088"/>
    <cellStyle name="Note 3 7" xfId="37089"/>
    <cellStyle name="Note 3 8" xfId="37090"/>
    <cellStyle name="Note 30" xfId="37091"/>
    <cellStyle name="Note 31" xfId="37092"/>
    <cellStyle name="Note 32" xfId="37093"/>
    <cellStyle name="Note 33" xfId="37094"/>
    <cellStyle name="Note 34" xfId="37095"/>
    <cellStyle name="Note 35" xfId="37096"/>
    <cellStyle name="Note 36" xfId="37097"/>
    <cellStyle name="Note 37" xfId="37098"/>
    <cellStyle name="Note 38" xfId="37099"/>
    <cellStyle name="Note 39" xfId="37100"/>
    <cellStyle name="Note 4" xfId="37101"/>
    <cellStyle name="Note 4 2" xfId="37102"/>
    <cellStyle name="Note 4 3" xfId="37103"/>
    <cellStyle name="Note 4 4" xfId="37104"/>
    <cellStyle name="Note 4 5" xfId="37105"/>
    <cellStyle name="Note 4 6" xfId="37106"/>
    <cellStyle name="Note 4 7" xfId="37107"/>
    <cellStyle name="Note 4 8" xfId="37108"/>
    <cellStyle name="Note 40" xfId="37109"/>
    <cellStyle name="Note 41" xfId="37110"/>
    <cellStyle name="Note 42" xfId="37111"/>
    <cellStyle name="Note 43" xfId="37112"/>
    <cellStyle name="Note 44" xfId="37113"/>
    <cellStyle name="Note 45" xfId="37114"/>
    <cellStyle name="Note 46" xfId="37115"/>
    <cellStyle name="Note 47" xfId="37116"/>
    <cellStyle name="Note 48" xfId="37117"/>
    <cellStyle name="Note 49" xfId="37118"/>
    <cellStyle name="Note 5" xfId="37119"/>
    <cellStyle name="Note 5 2" xfId="37120"/>
    <cellStyle name="Note 5 3" xfId="37121"/>
    <cellStyle name="Note 5 4" xfId="37122"/>
    <cellStyle name="Note 5 5" xfId="37123"/>
    <cellStyle name="Note 5 6" xfId="37124"/>
    <cellStyle name="Note 5 7" xfId="37125"/>
    <cellStyle name="Note 5 8" xfId="37126"/>
    <cellStyle name="Note 50" xfId="37127"/>
    <cellStyle name="Note 51" xfId="37128"/>
    <cellStyle name="Note 52" xfId="37129"/>
    <cellStyle name="Note 53" xfId="37130"/>
    <cellStyle name="Note 54" xfId="37131"/>
    <cellStyle name="Note 55" xfId="37132"/>
    <cellStyle name="Note 56" xfId="37133"/>
    <cellStyle name="Note 57" xfId="37134"/>
    <cellStyle name="Note 58" xfId="37135"/>
    <cellStyle name="Note 59" xfId="37136"/>
    <cellStyle name="Note 6" xfId="37137"/>
    <cellStyle name="Note 6 2" xfId="37138"/>
    <cellStyle name="Note 6 3" xfId="37139"/>
    <cellStyle name="Note 6 4" xfId="37140"/>
    <cellStyle name="Note 6 5" xfId="37141"/>
    <cellStyle name="Note 60" xfId="37142"/>
    <cellStyle name="Note 61" xfId="37143"/>
    <cellStyle name="Note 62" xfId="37144"/>
    <cellStyle name="Note 63" xfId="37145"/>
    <cellStyle name="Note 64" xfId="37146"/>
    <cellStyle name="Note 65" xfId="37147"/>
    <cellStyle name="Note 66" xfId="37148"/>
    <cellStyle name="Note 67" xfId="37149"/>
    <cellStyle name="Note 68" xfId="37150"/>
    <cellStyle name="Note 7" xfId="37151"/>
    <cellStyle name="Note 7 2" xfId="37152"/>
    <cellStyle name="Note 7 3" xfId="37153"/>
    <cellStyle name="Note 7 4" xfId="37154"/>
    <cellStyle name="Note 8" xfId="37155"/>
    <cellStyle name="Note 8 2" xfId="37156"/>
    <cellStyle name="Note 8 3" xfId="37157"/>
    <cellStyle name="Note 9" xfId="37158"/>
    <cellStyle name="Output 10" xfId="37159"/>
    <cellStyle name="Output 11" xfId="37160"/>
    <cellStyle name="Output 12" xfId="37161"/>
    <cellStyle name="Output 13" xfId="37162"/>
    <cellStyle name="Output 14" xfId="37163"/>
    <cellStyle name="Output 15" xfId="37164"/>
    <cellStyle name="Output 16" xfId="37165"/>
    <cellStyle name="Output 17" xfId="37166"/>
    <cellStyle name="Output 18" xfId="37167"/>
    <cellStyle name="Output 19" xfId="37168"/>
    <cellStyle name="Output 2" xfId="37169"/>
    <cellStyle name="Output 2 10" xfId="37170"/>
    <cellStyle name="Output 2 11" xfId="37171"/>
    <cellStyle name="Output 2 12" xfId="37172"/>
    <cellStyle name="Output 2 13" xfId="37173"/>
    <cellStyle name="Output 2 14" xfId="37174"/>
    <cellStyle name="Output 2 15" xfId="37175"/>
    <cellStyle name="Output 2 16" xfId="37176"/>
    <cellStyle name="Output 2 2" xfId="37177"/>
    <cellStyle name="Output 2 2 10" xfId="37178"/>
    <cellStyle name="Output 2 2 11" xfId="37179"/>
    <cellStyle name="Output 2 2 12" xfId="37180"/>
    <cellStyle name="Output 2 2 13" xfId="37181"/>
    <cellStyle name="Output 2 2 14" xfId="37182"/>
    <cellStyle name="Output 2 2 2" xfId="37183"/>
    <cellStyle name="Output 2 2 2 2" xfId="37184"/>
    <cellStyle name="Output 2 2 2 3" xfId="37185"/>
    <cellStyle name="Output 2 2 2 4" xfId="37186"/>
    <cellStyle name="Output 2 2 2 5" xfId="37187"/>
    <cellStyle name="Output 2 2 2 6" xfId="37188"/>
    <cellStyle name="Output 2 2 2 7" xfId="37189"/>
    <cellStyle name="Output 2 2 2 8" xfId="37190"/>
    <cellStyle name="Output 2 2 3" xfId="37191"/>
    <cellStyle name="Output 2 2 3 2" xfId="37192"/>
    <cellStyle name="Output 2 2 3 3" xfId="37193"/>
    <cellStyle name="Output 2 2 3 4" xfId="37194"/>
    <cellStyle name="Output 2 2 3 5" xfId="37195"/>
    <cellStyle name="Output 2 2 3 6" xfId="37196"/>
    <cellStyle name="Output 2 2 3 7" xfId="37197"/>
    <cellStyle name="Output 2 2 3 8" xfId="37198"/>
    <cellStyle name="Output 2 2 4" xfId="37199"/>
    <cellStyle name="Output 2 2 4 2" xfId="37200"/>
    <cellStyle name="Output 2 2 4 3" xfId="37201"/>
    <cellStyle name="Output 2 2 4 4" xfId="37202"/>
    <cellStyle name="Output 2 2 4 5" xfId="37203"/>
    <cellStyle name="Output 2 2 4 6" xfId="37204"/>
    <cellStyle name="Output 2 2 4 7" xfId="37205"/>
    <cellStyle name="Output 2 2 4 8" xfId="37206"/>
    <cellStyle name="Output 2 2 5" xfId="37207"/>
    <cellStyle name="Output 2 2 5 10" xfId="37208"/>
    <cellStyle name="Output 2 2 5 11" xfId="37209"/>
    <cellStyle name="Output 2 2 5 2" xfId="37210"/>
    <cellStyle name="Output 2 2 5 2 2" xfId="37211"/>
    <cellStyle name="Output 2 2 5 2 3" xfId="37212"/>
    <cellStyle name="Output 2 2 5 2 4" xfId="37213"/>
    <cellStyle name="Output 2 2 5 2 5" xfId="37214"/>
    <cellStyle name="Output 2 2 5 2 6" xfId="37215"/>
    <cellStyle name="Output 2 2 5 3" xfId="37216"/>
    <cellStyle name="Output 2 2 5 3 2" xfId="37217"/>
    <cellStyle name="Output 2 2 5 3 3" xfId="37218"/>
    <cellStyle name="Output 2 2 5 3 4" xfId="37219"/>
    <cellStyle name="Output 2 2 5 3 5" xfId="37220"/>
    <cellStyle name="Output 2 2 5 3 6" xfId="37221"/>
    <cellStyle name="Output 2 2 5 4" xfId="37222"/>
    <cellStyle name="Output 2 2 5 5" xfId="37223"/>
    <cellStyle name="Output 2 2 5 6" xfId="37224"/>
    <cellStyle name="Output 2 2 5 7" xfId="37225"/>
    <cellStyle name="Output 2 2 5 8" xfId="37226"/>
    <cellStyle name="Output 2 2 5 9" xfId="37227"/>
    <cellStyle name="Output 2 2 6" xfId="37228"/>
    <cellStyle name="Output 2 2 6 10" xfId="37229"/>
    <cellStyle name="Output 2 2 6 11" xfId="37230"/>
    <cellStyle name="Output 2 2 6 2" xfId="37231"/>
    <cellStyle name="Output 2 2 6 2 2" xfId="37232"/>
    <cellStyle name="Output 2 2 6 2 3" xfId="37233"/>
    <cellStyle name="Output 2 2 6 2 4" xfId="37234"/>
    <cellStyle name="Output 2 2 6 2 5" xfId="37235"/>
    <cellStyle name="Output 2 2 6 2 6" xfId="37236"/>
    <cellStyle name="Output 2 2 6 3" xfId="37237"/>
    <cellStyle name="Output 2 2 6 3 2" xfId="37238"/>
    <cellStyle name="Output 2 2 6 3 3" xfId="37239"/>
    <cellStyle name="Output 2 2 6 3 4" xfId="37240"/>
    <cellStyle name="Output 2 2 6 3 5" xfId="37241"/>
    <cellStyle name="Output 2 2 6 3 6" xfId="37242"/>
    <cellStyle name="Output 2 2 6 4" xfId="37243"/>
    <cellStyle name="Output 2 2 6 5" xfId="37244"/>
    <cellStyle name="Output 2 2 6 6" xfId="37245"/>
    <cellStyle name="Output 2 2 6 7" xfId="37246"/>
    <cellStyle name="Output 2 2 6 8" xfId="37247"/>
    <cellStyle name="Output 2 2 6 9" xfId="37248"/>
    <cellStyle name="Output 2 2 7" xfId="37249"/>
    <cellStyle name="Output 2 2 7 10" xfId="37250"/>
    <cellStyle name="Output 2 2 7 11" xfId="37251"/>
    <cellStyle name="Output 2 2 7 2" xfId="37252"/>
    <cellStyle name="Output 2 2 7 2 2" xfId="37253"/>
    <cellStyle name="Output 2 2 7 2 3" xfId="37254"/>
    <cellStyle name="Output 2 2 7 2 4" xfId="37255"/>
    <cellStyle name="Output 2 2 7 2 5" xfId="37256"/>
    <cellStyle name="Output 2 2 7 2 6" xfId="37257"/>
    <cellStyle name="Output 2 2 7 3" xfId="37258"/>
    <cellStyle name="Output 2 2 7 3 2" xfId="37259"/>
    <cellStyle name="Output 2 2 7 3 3" xfId="37260"/>
    <cellStyle name="Output 2 2 7 3 4" xfId="37261"/>
    <cellStyle name="Output 2 2 7 3 5" xfId="37262"/>
    <cellStyle name="Output 2 2 7 3 6" xfId="37263"/>
    <cellStyle name="Output 2 2 7 4" xfId="37264"/>
    <cellStyle name="Output 2 2 7 5" xfId="37265"/>
    <cellStyle name="Output 2 2 7 6" xfId="37266"/>
    <cellStyle name="Output 2 2 7 7" xfId="37267"/>
    <cellStyle name="Output 2 2 7 8" xfId="37268"/>
    <cellStyle name="Output 2 2 7 9" xfId="37269"/>
    <cellStyle name="Output 2 2 8" xfId="37270"/>
    <cellStyle name="Output 2 2 9" xfId="37271"/>
    <cellStyle name="Output 2 3" xfId="37272"/>
    <cellStyle name="Output 2 3 10" xfId="37273"/>
    <cellStyle name="Output 2 3 11" xfId="37274"/>
    <cellStyle name="Output 2 3 12" xfId="37275"/>
    <cellStyle name="Output 2 3 13" xfId="37276"/>
    <cellStyle name="Output 2 3 14" xfId="37277"/>
    <cellStyle name="Output 2 3 2" xfId="37278"/>
    <cellStyle name="Output 2 3 2 2" xfId="37279"/>
    <cellStyle name="Output 2 3 2 3" xfId="37280"/>
    <cellStyle name="Output 2 3 2 4" xfId="37281"/>
    <cellStyle name="Output 2 3 2 5" xfId="37282"/>
    <cellStyle name="Output 2 3 2 6" xfId="37283"/>
    <cellStyle name="Output 2 3 2 7" xfId="37284"/>
    <cellStyle name="Output 2 3 2 8" xfId="37285"/>
    <cellStyle name="Output 2 3 3" xfId="37286"/>
    <cellStyle name="Output 2 3 3 2" xfId="37287"/>
    <cellStyle name="Output 2 3 3 3" xfId="37288"/>
    <cellStyle name="Output 2 3 3 4" xfId="37289"/>
    <cellStyle name="Output 2 3 3 5" xfId="37290"/>
    <cellStyle name="Output 2 3 3 6" xfId="37291"/>
    <cellStyle name="Output 2 3 3 7" xfId="37292"/>
    <cellStyle name="Output 2 3 3 8" xfId="37293"/>
    <cellStyle name="Output 2 3 4" xfId="37294"/>
    <cellStyle name="Output 2 3 4 2" xfId="37295"/>
    <cellStyle name="Output 2 3 4 3" xfId="37296"/>
    <cellStyle name="Output 2 3 4 4" xfId="37297"/>
    <cellStyle name="Output 2 3 4 5" xfId="37298"/>
    <cellStyle name="Output 2 3 4 6" xfId="37299"/>
    <cellStyle name="Output 2 3 4 7" xfId="37300"/>
    <cellStyle name="Output 2 3 4 8" xfId="37301"/>
    <cellStyle name="Output 2 3 5" xfId="37302"/>
    <cellStyle name="Output 2 3 5 10" xfId="37303"/>
    <cellStyle name="Output 2 3 5 11" xfId="37304"/>
    <cellStyle name="Output 2 3 5 2" xfId="37305"/>
    <cellStyle name="Output 2 3 5 2 2" xfId="37306"/>
    <cellStyle name="Output 2 3 5 2 3" xfId="37307"/>
    <cellStyle name="Output 2 3 5 2 4" xfId="37308"/>
    <cellStyle name="Output 2 3 5 2 5" xfId="37309"/>
    <cellStyle name="Output 2 3 5 2 6" xfId="37310"/>
    <cellStyle name="Output 2 3 5 3" xfId="37311"/>
    <cellStyle name="Output 2 3 5 3 2" xfId="37312"/>
    <cellStyle name="Output 2 3 5 3 3" xfId="37313"/>
    <cellStyle name="Output 2 3 5 3 4" xfId="37314"/>
    <cellStyle name="Output 2 3 5 3 5" xfId="37315"/>
    <cellStyle name="Output 2 3 5 3 6" xfId="37316"/>
    <cellStyle name="Output 2 3 5 4" xfId="37317"/>
    <cellStyle name="Output 2 3 5 5" xfId="37318"/>
    <cellStyle name="Output 2 3 5 6" xfId="37319"/>
    <cellStyle name="Output 2 3 5 7" xfId="37320"/>
    <cellStyle name="Output 2 3 5 8" xfId="37321"/>
    <cellStyle name="Output 2 3 5 9" xfId="37322"/>
    <cellStyle name="Output 2 3 6" xfId="37323"/>
    <cellStyle name="Output 2 3 6 10" xfId="37324"/>
    <cellStyle name="Output 2 3 6 11" xfId="37325"/>
    <cellStyle name="Output 2 3 6 2" xfId="37326"/>
    <cellStyle name="Output 2 3 6 2 2" xfId="37327"/>
    <cellStyle name="Output 2 3 6 2 3" xfId="37328"/>
    <cellStyle name="Output 2 3 6 2 4" xfId="37329"/>
    <cellStyle name="Output 2 3 6 2 5" xfId="37330"/>
    <cellStyle name="Output 2 3 6 2 6" xfId="37331"/>
    <cellStyle name="Output 2 3 6 3" xfId="37332"/>
    <cellStyle name="Output 2 3 6 3 2" xfId="37333"/>
    <cellStyle name="Output 2 3 6 3 3" xfId="37334"/>
    <cellStyle name="Output 2 3 6 3 4" xfId="37335"/>
    <cellStyle name="Output 2 3 6 3 5" xfId="37336"/>
    <cellStyle name="Output 2 3 6 3 6" xfId="37337"/>
    <cellStyle name="Output 2 3 6 4" xfId="37338"/>
    <cellStyle name="Output 2 3 6 5" xfId="37339"/>
    <cellStyle name="Output 2 3 6 6" xfId="37340"/>
    <cellStyle name="Output 2 3 6 7" xfId="37341"/>
    <cellStyle name="Output 2 3 6 8" xfId="37342"/>
    <cellStyle name="Output 2 3 6 9" xfId="37343"/>
    <cellStyle name="Output 2 3 7" xfId="37344"/>
    <cellStyle name="Output 2 3 7 10" xfId="37345"/>
    <cellStyle name="Output 2 3 7 11" xfId="37346"/>
    <cellStyle name="Output 2 3 7 2" xfId="37347"/>
    <cellStyle name="Output 2 3 7 2 2" xfId="37348"/>
    <cellStyle name="Output 2 3 7 2 3" xfId="37349"/>
    <cellStyle name="Output 2 3 7 2 4" xfId="37350"/>
    <cellStyle name="Output 2 3 7 2 5" xfId="37351"/>
    <cellStyle name="Output 2 3 7 2 6" xfId="37352"/>
    <cellStyle name="Output 2 3 7 3" xfId="37353"/>
    <cellStyle name="Output 2 3 7 3 2" xfId="37354"/>
    <cellStyle name="Output 2 3 7 3 3" xfId="37355"/>
    <cellStyle name="Output 2 3 7 3 4" xfId="37356"/>
    <cellStyle name="Output 2 3 7 3 5" xfId="37357"/>
    <cellStyle name="Output 2 3 7 3 6" xfId="37358"/>
    <cellStyle name="Output 2 3 7 4" xfId="37359"/>
    <cellStyle name="Output 2 3 7 5" xfId="37360"/>
    <cellStyle name="Output 2 3 7 6" xfId="37361"/>
    <cellStyle name="Output 2 3 7 7" xfId="37362"/>
    <cellStyle name="Output 2 3 7 8" xfId="37363"/>
    <cellStyle name="Output 2 3 7 9" xfId="37364"/>
    <cellStyle name="Output 2 3 8" xfId="37365"/>
    <cellStyle name="Output 2 3 9" xfId="37366"/>
    <cellStyle name="Output 2 4" xfId="37367"/>
    <cellStyle name="Output 2 4 2" xfId="37368"/>
    <cellStyle name="Output 2 4 3" xfId="37369"/>
    <cellStyle name="Output 2 4 4" xfId="37370"/>
    <cellStyle name="Output 2 4 5" xfId="37371"/>
    <cellStyle name="Output 2 4 6" xfId="37372"/>
    <cellStyle name="Output 2 4 7" xfId="37373"/>
    <cellStyle name="Output 2 4 8" xfId="37374"/>
    <cellStyle name="Output 2 5" xfId="37375"/>
    <cellStyle name="Output 2 5 2" xfId="37376"/>
    <cellStyle name="Output 2 5 3" xfId="37377"/>
    <cellStyle name="Output 2 5 4" xfId="37378"/>
    <cellStyle name="Output 2 5 5" xfId="37379"/>
    <cellStyle name="Output 2 5 6" xfId="37380"/>
    <cellStyle name="Output 2 5 7" xfId="37381"/>
    <cellStyle name="Output 2 5 8" xfId="37382"/>
    <cellStyle name="Output 2 6" xfId="37383"/>
    <cellStyle name="Output 2 6 2" xfId="37384"/>
    <cellStyle name="Output 2 6 3" xfId="37385"/>
    <cellStyle name="Output 2 6 4" xfId="37386"/>
    <cellStyle name="Output 2 6 5" xfId="37387"/>
    <cellStyle name="Output 2 6 6" xfId="37388"/>
    <cellStyle name="Output 2 6 7" xfId="37389"/>
    <cellStyle name="Output 2 6 8" xfId="37390"/>
    <cellStyle name="Output 2 7" xfId="37391"/>
    <cellStyle name="Output 2 7 10" xfId="37392"/>
    <cellStyle name="Output 2 7 11" xfId="37393"/>
    <cellStyle name="Output 2 7 2" xfId="37394"/>
    <cellStyle name="Output 2 7 2 2" xfId="37395"/>
    <cellStyle name="Output 2 7 2 3" xfId="37396"/>
    <cellStyle name="Output 2 7 2 4" xfId="37397"/>
    <cellStyle name="Output 2 7 2 5" xfId="37398"/>
    <cellStyle name="Output 2 7 2 6" xfId="37399"/>
    <cellStyle name="Output 2 7 3" xfId="37400"/>
    <cellStyle name="Output 2 7 3 2" xfId="37401"/>
    <cellStyle name="Output 2 7 3 3" xfId="37402"/>
    <cellStyle name="Output 2 7 3 4" xfId="37403"/>
    <cellStyle name="Output 2 7 3 5" xfId="37404"/>
    <cellStyle name="Output 2 7 3 6" xfId="37405"/>
    <cellStyle name="Output 2 7 4" xfId="37406"/>
    <cellStyle name="Output 2 7 5" xfId="37407"/>
    <cellStyle name="Output 2 7 6" xfId="37408"/>
    <cellStyle name="Output 2 7 7" xfId="37409"/>
    <cellStyle name="Output 2 7 8" xfId="37410"/>
    <cellStyle name="Output 2 7 9" xfId="37411"/>
    <cellStyle name="Output 2 8" xfId="37412"/>
    <cellStyle name="Output 2 8 10" xfId="37413"/>
    <cellStyle name="Output 2 8 11" xfId="37414"/>
    <cellStyle name="Output 2 8 2" xfId="37415"/>
    <cellStyle name="Output 2 8 2 2" xfId="37416"/>
    <cellStyle name="Output 2 8 2 3" xfId="37417"/>
    <cellStyle name="Output 2 8 2 4" xfId="37418"/>
    <cellStyle name="Output 2 8 2 5" xfId="37419"/>
    <cellStyle name="Output 2 8 2 6" xfId="37420"/>
    <cellStyle name="Output 2 8 3" xfId="37421"/>
    <cellStyle name="Output 2 8 3 2" xfId="37422"/>
    <cellStyle name="Output 2 8 3 3" xfId="37423"/>
    <cellStyle name="Output 2 8 3 4" xfId="37424"/>
    <cellStyle name="Output 2 8 3 5" xfId="37425"/>
    <cellStyle name="Output 2 8 3 6" xfId="37426"/>
    <cellStyle name="Output 2 8 4" xfId="37427"/>
    <cellStyle name="Output 2 8 5" xfId="37428"/>
    <cellStyle name="Output 2 8 6" xfId="37429"/>
    <cellStyle name="Output 2 8 7" xfId="37430"/>
    <cellStyle name="Output 2 8 8" xfId="37431"/>
    <cellStyle name="Output 2 8 9" xfId="37432"/>
    <cellStyle name="Output 2 9" xfId="37433"/>
    <cellStyle name="Output 2 9 10" xfId="37434"/>
    <cellStyle name="Output 2 9 11" xfId="37435"/>
    <cellStyle name="Output 2 9 2" xfId="37436"/>
    <cellStyle name="Output 2 9 2 2" xfId="37437"/>
    <cellStyle name="Output 2 9 2 3" xfId="37438"/>
    <cellStyle name="Output 2 9 2 4" xfId="37439"/>
    <cellStyle name="Output 2 9 2 5" xfId="37440"/>
    <cellStyle name="Output 2 9 2 6" xfId="37441"/>
    <cellStyle name="Output 2 9 3" xfId="37442"/>
    <cellStyle name="Output 2 9 3 2" xfId="37443"/>
    <cellStyle name="Output 2 9 3 3" xfId="37444"/>
    <cellStyle name="Output 2 9 3 4" xfId="37445"/>
    <cellStyle name="Output 2 9 3 5" xfId="37446"/>
    <cellStyle name="Output 2 9 3 6" xfId="37447"/>
    <cellStyle name="Output 2 9 4" xfId="37448"/>
    <cellStyle name="Output 2 9 5" xfId="37449"/>
    <cellStyle name="Output 2 9 6" xfId="37450"/>
    <cellStyle name="Output 2 9 7" xfId="37451"/>
    <cellStyle name="Output 2 9 8" xfId="37452"/>
    <cellStyle name="Output 2 9 9" xfId="37453"/>
    <cellStyle name="Output 20" xfId="37454"/>
    <cellStyle name="Output 21" xfId="37455"/>
    <cellStyle name="Output 22" xfId="37456"/>
    <cellStyle name="Output 23" xfId="37457"/>
    <cellStyle name="Output 24" xfId="37458"/>
    <cellStyle name="Output 25" xfId="37459"/>
    <cellStyle name="Output 26" xfId="37460"/>
    <cellStyle name="Output 27" xfId="37461"/>
    <cellStyle name="Output 28" xfId="37462"/>
    <cellStyle name="Output 29" xfId="37463"/>
    <cellStyle name="Output 3" xfId="37464"/>
    <cellStyle name="Output 3 2" xfId="37465"/>
    <cellStyle name="Output 3 3" xfId="37466"/>
    <cellStyle name="Output 3 4" xfId="37467"/>
    <cellStyle name="Output 3 5" xfId="37468"/>
    <cellStyle name="Output 3 6" xfId="37469"/>
    <cellStyle name="Output 3 7" xfId="37470"/>
    <cellStyle name="Output 3 8" xfId="37471"/>
    <cellStyle name="Output 30" xfId="37472"/>
    <cellStyle name="Output 31" xfId="37473"/>
    <cellStyle name="Output 32" xfId="37474"/>
    <cellStyle name="Output 33" xfId="37475"/>
    <cellStyle name="Output 34" xfId="37476"/>
    <cellStyle name="Output 35" xfId="37477"/>
    <cellStyle name="Output 36" xfId="37478"/>
    <cellStyle name="Output 37" xfId="37479"/>
    <cellStyle name="Output 38" xfId="37480"/>
    <cellStyle name="Output 39" xfId="37481"/>
    <cellStyle name="Output 4" xfId="37482"/>
    <cellStyle name="Output 4 2" xfId="37483"/>
    <cellStyle name="Output 4 3" xfId="37484"/>
    <cellStyle name="Output 4 4" xfId="37485"/>
    <cellStyle name="Output 4 5" xfId="37486"/>
    <cellStyle name="Output 4 6" xfId="37487"/>
    <cellStyle name="Output 4 7" xfId="37488"/>
    <cellStyle name="Output 4 8" xfId="37489"/>
    <cellStyle name="Output 40" xfId="37490"/>
    <cellStyle name="Output 41" xfId="37491"/>
    <cellStyle name="Output 42" xfId="37492"/>
    <cellStyle name="Output 43" xfId="37493"/>
    <cellStyle name="Output 44" xfId="37494"/>
    <cellStyle name="Output 45" xfId="37495"/>
    <cellStyle name="Output 46" xfId="37496"/>
    <cellStyle name="Output 47" xfId="37497"/>
    <cellStyle name="Output 48" xfId="37498"/>
    <cellStyle name="Output 49" xfId="37499"/>
    <cellStyle name="Output 5" xfId="37500"/>
    <cellStyle name="Output 5 2" xfId="37501"/>
    <cellStyle name="Output 5 3" xfId="37502"/>
    <cellStyle name="Output 5 4" xfId="37503"/>
    <cellStyle name="Output 5 5" xfId="37504"/>
    <cellStyle name="Output 5 6" xfId="37505"/>
    <cellStyle name="Output 5 7" xfId="37506"/>
    <cellStyle name="Output 5 8" xfId="37507"/>
    <cellStyle name="Output 50" xfId="37508"/>
    <cellStyle name="Output 51" xfId="37509"/>
    <cellStyle name="Output 52" xfId="37510"/>
    <cellStyle name="Output 53" xfId="37511"/>
    <cellStyle name="Output 54" xfId="37512"/>
    <cellStyle name="Output 55" xfId="37513"/>
    <cellStyle name="Output 56" xfId="37514"/>
    <cellStyle name="Output 57" xfId="37515"/>
    <cellStyle name="Output 58" xfId="37516"/>
    <cellStyle name="Output 59" xfId="37517"/>
    <cellStyle name="Output 6" xfId="37518"/>
    <cellStyle name="Output 7" xfId="37519"/>
    <cellStyle name="Output 8" xfId="37520"/>
    <cellStyle name="Output 9" xfId="37521"/>
    <cellStyle name="Percent" xfId="2" builtinId="5"/>
    <cellStyle name="Percent 10" xfId="37522"/>
    <cellStyle name="Percent 10 2" xfId="37523"/>
    <cellStyle name="Percent 10 2 2" xfId="37524"/>
    <cellStyle name="Percent 10 2 2 2" xfId="37525"/>
    <cellStyle name="Percent 10 3" xfId="37526"/>
    <cellStyle name="Percent 11" xfId="37527"/>
    <cellStyle name="Percent 12" xfId="37528"/>
    <cellStyle name="Percent 13" xfId="37529"/>
    <cellStyle name="Percent 2" xfId="37530"/>
    <cellStyle name="Percent 2 2" xfId="37531"/>
    <cellStyle name="Percent 2 3" xfId="37532"/>
    <cellStyle name="Percent 2 4" xfId="37533"/>
    <cellStyle name="Percent 2 5" xfId="37534"/>
    <cellStyle name="Percent 2 6" xfId="37535"/>
    <cellStyle name="Percent 2 7" xfId="37536"/>
    <cellStyle name="Percent 3" xfId="37537"/>
    <cellStyle name="Percent 3 10" xfId="37538"/>
    <cellStyle name="Percent 3 11" xfId="37539"/>
    <cellStyle name="Percent 3 12" xfId="37540"/>
    <cellStyle name="Percent 3 13" xfId="37541"/>
    <cellStyle name="Percent 3 14" xfId="37542"/>
    <cellStyle name="Percent 3 15" xfId="37543"/>
    <cellStyle name="Percent 3 2" xfId="37544"/>
    <cellStyle name="Percent 3 3" xfId="37545"/>
    <cellStyle name="Percent 3 4" xfId="37546"/>
    <cellStyle name="Percent 3 5" xfId="37547"/>
    <cellStyle name="Percent 3 6" xfId="37548"/>
    <cellStyle name="Percent 3 7" xfId="37549"/>
    <cellStyle name="Percent 3 8" xfId="37550"/>
    <cellStyle name="Percent 3 9" xfId="37551"/>
    <cellStyle name="Percent 4" xfId="37552"/>
    <cellStyle name="Percent 4 2" xfId="37553"/>
    <cellStyle name="Percent 5" xfId="37554"/>
    <cellStyle name="Percent 6" xfId="37555"/>
    <cellStyle name="Percent 6 2" xfId="37556"/>
    <cellStyle name="Percent 6 3" xfId="37557"/>
    <cellStyle name="Percent 6 4" xfId="37558"/>
    <cellStyle name="Percent 7" xfId="37559"/>
    <cellStyle name="Percent 7 2" xfId="37560"/>
    <cellStyle name="Percent 7 3" xfId="37561"/>
    <cellStyle name="Percent 7 4" xfId="37562"/>
    <cellStyle name="Percent 8" xfId="37563"/>
    <cellStyle name="Percent 8 2" xfId="37564"/>
    <cellStyle name="Percent 8 3" xfId="37565"/>
    <cellStyle name="Percent 8 4" xfId="37566"/>
    <cellStyle name="Percent 9" xfId="37567"/>
    <cellStyle name="s]_x000d__x000a_spooler=yes_x000d__x000a_load=mbtn.exe_x000d__x000a_run=_x000d__x000a_Beep=yes_x000d__x000a_NullPort=None_x000d__x000a_BorderWidth=1_x000d__x000a_CursorBlinkRate=522_x000d__x000a_DoubleClickSpeed=740" xfId="37568"/>
    <cellStyle name="s]_x000d__x000a_spooler=yes_x000d__x000a_load=mbtn.exe_x000d__x000a_run=_x000d__x000a_Beep=yes_x000d__x000a_NullPort=None_x000d__x000a_BorderWidth=1_x000d__x000a_CursorBlinkRate=522_x000d__x000a_DoubleClickSpeed=740 2" xfId="37569"/>
    <cellStyle name="s]_x000d__x000a_spooler=yes_x000d__x000a_load=mbtn.exe_x000d__x000a_run=_x000d__x000a_Beep=yes_x000d__x000a_NullPort=None_x000d__x000a_BorderWidth=1_x000d__x000a_CursorBlinkRate=522_x000d__x000a_DoubleClickSpeed=740_Construction Works of Felegebrihan – Bahirdar Road - 副本" xfId="37570"/>
    <cellStyle name="Sheet Title" xfId="37571"/>
    <cellStyle name="Standard_Anpassen der Amortisation" xfId="37572"/>
    <cellStyle name="Style 1" xfId="37573"/>
    <cellStyle name="Title 10" xfId="37574"/>
    <cellStyle name="Title 11" xfId="37575"/>
    <cellStyle name="Title 12" xfId="37576"/>
    <cellStyle name="Title 13" xfId="37577"/>
    <cellStyle name="Title 14" xfId="37578"/>
    <cellStyle name="Title 15" xfId="37579"/>
    <cellStyle name="Title 16" xfId="37580"/>
    <cellStyle name="Title 17" xfId="37581"/>
    <cellStyle name="Title 18" xfId="37582"/>
    <cellStyle name="Title 19" xfId="37583"/>
    <cellStyle name="Title 2" xfId="37584"/>
    <cellStyle name="Title 20" xfId="37585"/>
    <cellStyle name="Title 21" xfId="37586"/>
    <cellStyle name="Title 22" xfId="37587"/>
    <cellStyle name="Title 23" xfId="37588"/>
    <cellStyle name="Title 24" xfId="37589"/>
    <cellStyle name="Title 25" xfId="37590"/>
    <cellStyle name="Title 26" xfId="37591"/>
    <cellStyle name="Title 27" xfId="37592"/>
    <cellStyle name="Title 28" xfId="37593"/>
    <cellStyle name="Title 29" xfId="37594"/>
    <cellStyle name="Title 3" xfId="37595"/>
    <cellStyle name="Title 30" xfId="37596"/>
    <cellStyle name="Title 31" xfId="37597"/>
    <cellStyle name="Title 32" xfId="37598"/>
    <cellStyle name="Title 33" xfId="37599"/>
    <cellStyle name="Title 34" xfId="37600"/>
    <cellStyle name="Title 35" xfId="37601"/>
    <cellStyle name="Title 36" xfId="37602"/>
    <cellStyle name="Title 37" xfId="37603"/>
    <cellStyle name="Title 38" xfId="37604"/>
    <cellStyle name="Title 39" xfId="37605"/>
    <cellStyle name="Title 4" xfId="37606"/>
    <cellStyle name="Title 40" xfId="37607"/>
    <cellStyle name="Title 41" xfId="37608"/>
    <cellStyle name="Title 42" xfId="37609"/>
    <cellStyle name="Title 43" xfId="37610"/>
    <cellStyle name="Title 44" xfId="37611"/>
    <cellStyle name="Title 45" xfId="37612"/>
    <cellStyle name="Title 46" xfId="37613"/>
    <cellStyle name="Title 47" xfId="37614"/>
    <cellStyle name="Title 48" xfId="37615"/>
    <cellStyle name="Title 49" xfId="37616"/>
    <cellStyle name="Title 5" xfId="37617"/>
    <cellStyle name="Title 50" xfId="37618"/>
    <cellStyle name="Title 51" xfId="37619"/>
    <cellStyle name="Title 52" xfId="37620"/>
    <cellStyle name="Title 53" xfId="37621"/>
    <cellStyle name="Title 54" xfId="37622"/>
    <cellStyle name="Title 55" xfId="37623"/>
    <cellStyle name="Title 56" xfId="37624"/>
    <cellStyle name="Title 57" xfId="37625"/>
    <cellStyle name="Title 58" xfId="37626"/>
    <cellStyle name="Title 59" xfId="37627"/>
    <cellStyle name="Title 6" xfId="37628"/>
    <cellStyle name="Title 7" xfId="37629"/>
    <cellStyle name="Title 8" xfId="37630"/>
    <cellStyle name="Title 9" xfId="37631"/>
    <cellStyle name="Total 10" xfId="37632"/>
    <cellStyle name="Total 11" xfId="37633"/>
    <cellStyle name="Total 12" xfId="37634"/>
    <cellStyle name="Total 13" xfId="37635"/>
    <cellStyle name="Total 14" xfId="37636"/>
    <cellStyle name="Total 15" xfId="37637"/>
    <cellStyle name="Total 16" xfId="37638"/>
    <cellStyle name="Total 17" xfId="37639"/>
    <cellStyle name="Total 18" xfId="37640"/>
    <cellStyle name="Total 19" xfId="37641"/>
    <cellStyle name="Total 2" xfId="37642"/>
    <cellStyle name="Total 2 10" xfId="37643"/>
    <cellStyle name="Total 2 11" xfId="37644"/>
    <cellStyle name="Total 2 12" xfId="37645"/>
    <cellStyle name="Total 2 13" xfId="37646"/>
    <cellStyle name="Total 2 14" xfId="37647"/>
    <cellStyle name="Total 2 15" xfId="37648"/>
    <cellStyle name="Total 2 16" xfId="37649"/>
    <cellStyle name="Total 2 2" xfId="37650"/>
    <cellStyle name="Total 2 2 10" xfId="37651"/>
    <cellStyle name="Total 2 2 11" xfId="37652"/>
    <cellStyle name="Total 2 2 12" xfId="37653"/>
    <cellStyle name="Total 2 2 13" xfId="37654"/>
    <cellStyle name="Total 2 2 14" xfId="37655"/>
    <cellStyle name="Total 2 2 2" xfId="37656"/>
    <cellStyle name="Total 2 2 2 2" xfId="37657"/>
    <cellStyle name="Total 2 2 2 3" xfId="37658"/>
    <cellStyle name="Total 2 2 2 4" xfId="37659"/>
    <cellStyle name="Total 2 2 2 5" xfId="37660"/>
    <cellStyle name="Total 2 2 2 6" xfId="37661"/>
    <cellStyle name="Total 2 2 2 7" xfId="37662"/>
    <cellStyle name="Total 2 2 2 8" xfId="37663"/>
    <cellStyle name="Total 2 2 3" xfId="37664"/>
    <cellStyle name="Total 2 2 3 2" xfId="37665"/>
    <cellStyle name="Total 2 2 3 3" xfId="37666"/>
    <cellStyle name="Total 2 2 3 4" xfId="37667"/>
    <cellStyle name="Total 2 2 3 5" xfId="37668"/>
    <cellStyle name="Total 2 2 3 6" xfId="37669"/>
    <cellStyle name="Total 2 2 3 7" xfId="37670"/>
    <cellStyle name="Total 2 2 3 8" xfId="37671"/>
    <cellStyle name="Total 2 2 4" xfId="37672"/>
    <cellStyle name="Total 2 2 4 2" xfId="37673"/>
    <cellStyle name="Total 2 2 4 3" xfId="37674"/>
    <cellStyle name="Total 2 2 4 4" xfId="37675"/>
    <cellStyle name="Total 2 2 4 5" xfId="37676"/>
    <cellStyle name="Total 2 2 4 6" xfId="37677"/>
    <cellStyle name="Total 2 2 4 7" xfId="37678"/>
    <cellStyle name="Total 2 2 4 8" xfId="37679"/>
    <cellStyle name="Total 2 2 5" xfId="37680"/>
    <cellStyle name="Total 2 2 5 10" xfId="37681"/>
    <cellStyle name="Total 2 2 5 11" xfId="37682"/>
    <cellStyle name="Total 2 2 5 2" xfId="37683"/>
    <cellStyle name="Total 2 2 5 2 2" xfId="37684"/>
    <cellStyle name="Total 2 2 5 2 3" xfId="37685"/>
    <cellStyle name="Total 2 2 5 2 4" xfId="37686"/>
    <cellStyle name="Total 2 2 5 2 5" xfId="37687"/>
    <cellStyle name="Total 2 2 5 2 6" xfId="37688"/>
    <cellStyle name="Total 2 2 5 3" xfId="37689"/>
    <cellStyle name="Total 2 2 5 3 2" xfId="37690"/>
    <cellStyle name="Total 2 2 5 3 3" xfId="37691"/>
    <cellStyle name="Total 2 2 5 3 4" xfId="37692"/>
    <cellStyle name="Total 2 2 5 3 5" xfId="37693"/>
    <cellStyle name="Total 2 2 5 3 6" xfId="37694"/>
    <cellStyle name="Total 2 2 5 4" xfId="37695"/>
    <cellStyle name="Total 2 2 5 5" xfId="37696"/>
    <cellStyle name="Total 2 2 5 6" xfId="37697"/>
    <cellStyle name="Total 2 2 5 7" xfId="37698"/>
    <cellStyle name="Total 2 2 5 8" xfId="37699"/>
    <cellStyle name="Total 2 2 5 9" xfId="37700"/>
    <cellStyle name="Total 2 2 6" xfId="37701"/>
    <cellStyle name="Total 2 2 6 10" xfId="37702"/>
    <cellStyle name="Total 2 2 6 11" xfId="37703"/>
    <cellStyle name="Total 2 2 6 2" xfId="37704"/>
    <cellStyle name="Total 2 2 6 2 2" xfId="37705"/>
    <cellStyle name="Total 2 2 6 2 3" xfId="37706"/>
    <cellStyle name="Total 2 2 6 2 4" xfId="37707"/>
    <cellStyle name="Total 2 2 6 2 5" xfId="37708"/>
    <cellStyle name="Total 2 2 6 2 6" xfId="37709"/>
    <cellStyle name="Total 2 2 6 3" xfId="37710"/>
    <cellStyle name="Total 2 2 6 3 2" xfId="37711"/>
    <cellStyle name="Total 2 2 6 3 3" xfId="37712"/>
    <cellStyle name="Total 2 2 6 3 4" xfId="37713"/>
    <cellStyle name="Total 2 2 6 3 5" xfId="37714"/>
    <cellStyle name="Total 2 2 6 3 6" xfId="37715"/>
    <cellStyle name="Total 2 2 6 4" xfId="37716"/>
    <cellStyle name="Total 2 2 6 5" xfId="37717"/>
    <cellStyle name="Total 2 2 6 6" xfId="37718"/>
    <cellStyle name="Total 2 2 6 7" xfId="37719"/>
    <cellStyle name="Total 2 2 6 8" xfId="37720"/>
    <cellStyle name="Total 2 2 6 9" xfId="37721"/>
    <cellStyle name="Total 2 2 7" xfId="37722"/>
    <cellStyle name="Total 2 2 7 10" xfId="37723"/>
    <cellStyle name="Total 2 2 7 11" xfId="37724"/>
    <cellStyle name="Total 2 2 7 2" xfId="37725"/>
    <cellStyle name="Total 2 2 7 2 2" xfId="37726"/>
    <cellStyle name="Total 2 2 7 2 3" xfId="37727"/>
    <cellStyle name="Total 2 2 7 2 4" xfId="37728"/>
    <cellStyle name="Total 2 2 7 2 5" xfId="37729"/>
    <cellStyle name="Total 2 2 7 2 6" xfId="37730"/>
    <cellStyle name="Total 2 2 7 3" xfId="37731"/>
    <cellStyle name="Total 2 2 7 3 2" xfId="37732"/>
    <cellStyle name="Total 2 2 7 3 3" xfId="37733"/>
    <cellStyle name="Total 2 2 7 3 4" xfId="37734"/>
    <cellStyle name="Total 2 2 7 3 5" xfId="37735"/>
    <cellStyle name="Total 2 2 7 3 6" xfId="37736"/>
    <cellStyle name="Total 2 2 7 4" xfId="37737"/>
    <cellStyle name="Total 2 2 7 5" xfId="37738"/>
    <cellStyle name="Total 2 2 7 6" xfId="37739"/>
    <cellStyle name="Total 2 2 7 7" xfId="37740"/>
    <cellStyle name="Total 2 2 7 8" xfId="37741"/>
    <cellStyle name="Total 2 2 7 9" xfId="37742"/>
    <cellStyle name="Total 2 2 8" xfId="37743"/>
    <cellStyle name="Total 2 2 9" xfId="37744"/>
    <cellStyle name="Total 2 3" xfId="37745"/>
    <cellStyle name="Total 2 3 10" xfId="37746"/>
    <cellStyle name="Total 2 3 11" xfId="37747"/>
    <cellStyle name="Total 2 3 12" xfId="37748"/>
    <cellStyle name="Total 2 3 13" xfId="37749"/>
    <cellStyle name="Total 2 3 14" xfId="37750"/>
    <cellStyle name="Total 2 3 2" xfId="37751"/>
    <cellStyle name="Total 2 3 2 2" xfId="37752"/>
    <cellStyle name="Total 2 3 2 3" xfId="37753"/>
    <cellStyle name="Total 2 3 2 4" xfId="37754"/>
    <cellStyle name="Total 2 3 2 5" xfId="37755"/>
    <cellStyle name="Total 2 3 2 6" xfId="37756"/>
    <cellStyle name="Total 2 3 2 7" xfId="37757"/>
    <cellStyle name="Total 2 3 2 8" xfId="37758"/>
    <cellStyle name="Total 2 3 3" xfId="37759"/>
    <cellStyle name="Total 2 3 3 2" xfId="37760"/>
    <cellStyle name="Total 2 3 3 3" xfId="37761"/>
    <cellStyle name="Total 2 3 3 4" xfId="37762"/>
    <cellStyle name="Total 2 3 3 5" xfId="37763"/>
    <cellStyle name="Total 2 3 3 6" xfId="37764"/>
    <cellStyle name="Total 2 3 3 7" xfId="37765"/>
    <cellStyle name="Total 2 3 3 8" xfId="37766"/>
    <cellStyle name="Total 2 3 4" xfId="37767"/>
    <cellStyle name="Total 2 3 4 2" xfId="37768"/>
    <cellStyle name="Total 2 3 4 3" xfId="37769"/>
    <cellStyle name="Total 2 3 4 4" xfId="37770"/>
    <cellStyle name="Total 2 3 4 5" xfId="37771"/>
    <cellStyle name="Total 2 3 4 6" xfId="37772"/>
    <cellStyle name="Total 2 3 4 7" xfId="37773"/>
    <cellStyle name="Total 2 3 4 8" xfId="37774"/>
    <cellStyle name="Total 2 3 5" xfId="37775"/>
    <cellStyle name="Total 2 3 5 10" xfId="37776"/>
    <cellStyle name="Total 2 3 5 11" xfId="37777"/>
    <cellStyle name="Total 2 3 5 2" xfId="37778"/>
    <cellStyle name="Total 2 3 5 2 2" xfId="37779"/>
    <cellStyle name="Total 2 3 5 2 3" xfId="37780"/>
    <cellStyle name="Total 2 3 5 2 4" xfId="37781"/>
    <cellStyle name="Total 2 3 5 2 5" xfId="37782"/>
    <cellStyle name="Total 2 3 5 2 6" xfId="37783"/>
    <cellStyle name="Total 2 3 5 3" xfId="37784"/>
    <cellStyle name="Total 2 3 5 3 2" xfId="37785"/>
    <cellStyle name="Total 2 3 5 3 3" xfId="37786"/>
    <cellStyle name="Total 2 3 5 3 4" xfId="37787"/>
    <cellStyle name="Total 2 3 5 3 5" xfId="37788"/>
    <cellStyle name="Total 2 3 5 3 6" xfId="37789"/>
    <cellStyle name="Total 2 3 5 4" xfId="37790"/>
    <cellStyle name="Total 2 3 5 5" xfId="37791"/>
    <cellStyle name="Total 2 3 5 6" xfId="37792"/>
    <cellStyle name="Total 2 3 5 7" xfId="37793"/>
    <cellStyle name="Total 2 3 5 8" xfId="37794"/>
    <cellStyle name="Total 2 3 5 9" xfId="37795"/>
    <cellStyle name="Total 2 3 6" xfId="37796"/>
    <cellStyle name="Total 2 3 6 10" xfId="37797"/>
    <cellStyle name="Total 2 3 6 11" xfId="37798"/>
    <cellStyle name="Total 2 3 6 2" xfId="37799"/>
    <cellStyle name="Total 2 3 6 2 2" xfId="37800"/>
    <cellStyle name="Total 2 3 6 2 3" xfId="37801"/>
    <cellStyle name="Total 2 3 6 2 4" xfId="37802"/>
    <cellStyle name="Total 2 3 6 2 5" xfId="37803"/>
    <cellStyle name="Total 2 3 6 2 6" xfId="37804"/>
    <cellStyle name="Total 2 3 6 3" xfId="37805"/>
    <cellStyle name="Total 2 3 6 3 2" xfId="37806"/>
    <cellStyle name="Total 2 3 6 3 3" xfId="37807"/>
    <cellStyle name="Total 2 3 6 3 4" xfId="37808"/>
    <cellStyle name="Total 2 3 6 3 5" xfId="37809"/>
    <cellStyle name="Total 2 3 6 3 6" xfId="37810"/>
    <cellStyle name="Total 2 3 6 4" xfId="37811"/>
    <cellStyle name="Total 2 3 6 5" xfId="37812"/>
    <cellStyle name="Total 2 3 6 6" xfId="37813"/>
    <cellStyle name="Total 2 3 6 7" xfId="37814"/>
    <cellStyle name="Total 2 3 6 8" xfId="37815"/>
    <cellStyle name="Total 2 3 6 9" xfId="37816"/>
    <cellStyle name="Total 2 3 7" xfId="37817"/>
    <cellStyle name="Total 2 3 7 10" xfId="37818"/>
    <cellStyle name="Total 2 3 7 11" xfId="37819"/>
    <cellStyle name="Total 2 3 7 2" xfId="37820"/>
    <cellStyle name="Total 2 3 7 2 2" xfId="37821"/>
    <cellStyle name="Total 2 3 7 2 3" xfId="37822"/>
    <cellStyle name="Total 2 3 7 2 4" xfId="37823"/>
    <cellStyle name="Total 2 3 7 2 5" xfId="37824"/>
    <cellStyle name="Total 2 3 7 2 6" xfId="37825"/>
    <cellStyle name="Total 2 3 7 3" xfId="37826"/>
    <cellStyle name="Total 2 3 7 3 2" xfId="37827"/>
    <cellStyle name="Total 2 3 7 3 3" xfId="37828"/>
    <cellStyle name="Total 2 3 7 3 4" xfId="37829"/>
    <cellStyle name="Total 2 3 7 3 5" xfId="37830"/>
    <cellStyle name="Total 2 3 7 3 6" xfId="37831"/>
    <cellStyle name="Total 2 3 7 4" xfId="37832"/>
    <cellStyle name="Total 2 3 7 5" xfId="37833"/>
    <cellStyle name="Total 2 3 7 6" xfId="37834"/>
    <cellStyle name="Total 2 3 7 7" xfId="37835"/>
    <cellStyle name="Total 2 3 7 8" xfId="37836"/>
    <cellStyle name="Total 2 3 7 9" xfId="37837"/>
    <cellStyle name="Total 2 3 8" xfId="37838"/>
    <cellStyle name="Total 2 3 9" xfId="37839"/>
    <cellStyle name="Total 2 4" xfId="37840"/>
    <cellStyle name="Total 2 4 2" xfId="37841"/>
    <cellStyle name="Total 2 4 3" xfId="37842"/>
    <cellStyle name="Total 2 4 4" xfId="37843"/>
    <cellStyle name="Total 2 4 5" xfId="37844"/>
    <cellStyle name="Total 2 4 6" xfId="37845"/>
    <cellStyle name="Total 2 4 7" xfId="37846"/>
    <cellStyle name="Total 2 4 8" xfId="37847"/>
    <cellStyle name="Total 2 5" xfId="37848"/>
    <cellStyle name="Total 2 5 2" xfId="37849"/>
    <cellStyle name="Total 2 5 3" xfId="37850"/>
    <cellStyle name="Total 2 5 4" xfId="37851"/>
    <cellStyle name="Total 2 5 5" xfId="37852"/>
    <cellStyle name="Total 2 5 6" xfId="37853"/>
    <cellStyle name="Total 2 5 7" xfId="37854"/>
    <cellStyle name="Total 2 5 8" xfId="37855"/>
    <cellStyle name="Total 2 6" xfId="37856"/>
    <cellStyle name="Total 2 6 2" xfId="37857"/>
    <cellStyle name="Total 2 6 3" xfId="37858"/>
    <cellStyle name="Total 2 6 4" xfId="37859"/>
    <cellStyle name="Total 2 6 5" xfId="37860"/>
    <cellStyle name="Total 2 6 6" xfId="37861"/>
    <cellStyle name="Total 2 6 7" xfId="37862"/>
    <cellStyle name="Total 2 6 8" xfId="37863"/>
    <cellStyle name="Total 2 7" xfId="37864"/>
    <cellStyle name="Total 2 7 10" xfId="37865"/>
    <cellStyle name="Total 2 7 11" xfId="37866"/>
    <cellStyle name="Total 2 7 2" xfId="37867"/>
    <cellStyle name="Total 2 7 2 2" xfId="37868"/>
    <cellStyle name="Total 2 7 2 3" xfId="37869"/>
    <cellStyle name="Total 2 7 2 4" xfId="37870"/>
    <cellStyle name="Total 2 7 2 5" xfId="37871"/>
    <cellStyle name="Total 2 7 2 6" xfId="37872"/>
    <cellStyle name="Total 2 7 3" xfId="37873"/>
    <cellStyle name="Total 2 7 3 2" xfId="37874"/>
    <cellStyle name="Total 2 7 3 3" xfId="37875"/>
    <cellStyle name="Total 2 7 3 4" xfId="37876"/>
    <cellStyle name="Total 2 7 3 5" xfId="37877"/>
    <cellStyle name="Total 2 7 3 6" xfId="37878"/>
    <cellStyle name="Total 2 7 4" xfId="37879"/>
    <cellStyle name="Total 2 7 5" xfId="37880"/>
    <cellStyle name="Total 2 7 6" xfId="37881"/>
    <cellStyle name="Total 2 7 7" xfId="37882"/>
    <cellStyle name="Total 2 7 8" xfId="37883"/>
    <cellStyle name="Total 2 7 9" xfId="37884"/>
    <cellStyle name="Total 2 8" xfId="37885"/>
    <cellStyle name="Total 2 8 10" xfId="37886"/>
    <cellStyle name="Total 2 8 11" xfId="37887"/>
    <cellStyle name="Total 2 8 2" xfId="37888"/>
    <cellStyle name="Total 2 8 2 2" xfId="37889"/>
    <cellStyle name="Total 2 8 2 3" xfId="37890"/>
    <cellStyle name="Total 2 8 2 4" xfId="37891"/>
    <cellStyle name="Total 2 8 2 5" xfId="37892"/>
    <cellStyle name="Total 2 8 2 6" xfId="37893"/>
    <cellStyle name="Total 2 8 3" xfId="37894"/>
    <cellStyle name="Total 2 8 3 2" xfId="37895"/>
    <cellStyle name="Total 2 8 3 3" xfId="37896"/>
    <cellStyle name="Total 2 8 3 4" xfId="37897"/>
    <cellStyle name="Total 2 8 3 5" xfId="37898"/>
    <cellStyle name="Total 2 8 3 6" xfId="37899"/>
    <cellStyle name="Total 2 8 4" xfId="37900"/>
    <cellStyle name="Total 2 8 5" xfId="37901"/>
    <cellStyle name="Total 2 8 6" xfId="37902"/>
    <cellStyle name="Total 2 8 7" xfId="37903"/>
    <cellStyle name="Total 2 8 8" xfId="37904"/>
    <cellStyle name="Total 2 8 9" xfId="37905"/>
    <cellStyle name="Total 2 9" xfId="37906"/>
    <cellStyle name="Total 2 9 10" xfId="37907"/>
    <cellStyle name="Total 2 9 11" xfId="37908"/>
    <cellStyle name="Total 2 9 2" xfId="37909"/>
    <cellStyle name="Total 2 9 2 2" xfId="37910"/>
    <cellStyle name="Total 2 9 2 3" xfId="37911"/>
    <cellStyle name="Total 2 9 2 4" xfId="37912"/>
    <cellStyle name="Total 2 9 2 5" xfId="37913"/>
    <cellStyle name="Total 2 9 2 6" xfId="37914"/>
    <cellStyle name="Total 2 9 3" xfId="37915"/>
    <cellStyle name="Total 2 9 3 2" xfId="37916"/>
    <cellStyle name="Total 2 9 3 3" xfId="37917"/>
    <cellStyle name="Total 2 9 3 4" xfId="37918"/>
    <cellStyle name="Total 2 9 3 5" xfId="37919"/>
    <cellStyle name="Total 2 9 3 6" xfId="37920"/>
    <cellStyle name="Total 2 9 4" xfId="37921"/>
    <cellStyle name="Total 2 9 5" xfId="37922"/>
    <cellStyle name="Total 2 9 6" xfId="37923"/>
    <cellStyle name="Total 2 9 7" xfId="37924"/>
    <cellStyle name="Total 2 9 8" xfId="37925"/>
    <cellStyle name="Total 2 9 9" xfId="37926"/>
    <cellStyle name="Total 20" xfId="37927"/>
    <cellStyle name="Total 21" xfId="37928"/>
    <cellStyle name="Total 22" xfId="37929"/>
    <cellStyle name="Total 23" xfId="37930"/>
    <cellStyle name="Total 24" xfId="37931"/>
    <cellStyle name="Total 25" xfId="37932"/>
    <cellStyle name="Total 26" xfId="37933"/>
    <cellStyle name="Total 27" xfId="37934"/>
    <cellStyle name="Total 28" xfId="37935"/>
    <cellStyle name="Total 29" xfId="37936"/>
    <cellStyle name="Total 3" xfId="37937"/>
    <cellStyle name="Total 3 2" xfId="37938"/>
    <cellStyle name="Total 3 3" xfId="37939"/>
    <cellStyle name="Total 3 4" xfId="37940"/>
    <cellStyle name="Total 3 5" xfId="37941"/>
    <cellStyle name="Total 3 6" xfId="37942"/>
    <cellStyle name="Total 3 7" xfId="37943"/>
    <cellStyle name="Total 3 8" xfId="37944"/>
    <cellStyle name="Total 30" xfId="37945"/>
    <cellStyle name="Total 31" xfId="37946"/>
    <cellStyle name="Total 32" xfId="37947"/>
    <cellStyle name="Total 33" xfId="37948"/>
    <cellStyle name="Total 34" xfId="37949"/>
    <cellStyle name="Total 35" xfId="37950"/>
    <cellStyle name="Total 36" xfId="37951"/>
    <cellStyle name="Total 37" xfId="37952"/>
    <cellStyle name="Total 38" xfId="37953"/>
    <cellStyle name="Total 39" xfId="37954"/>
    <cellStyle name="Total 4" xfId="37955"/>
    <cellStyle name="Total 4 2" xfId="37956"/>
    <cellStyle name="Total 4 3" xfId="37957"/>
    <cellStyle name="Total 4 4" xfId="37958"/>
    <cellStyle name="Total 4 5" xfId="37959"/>
    <cellStyle name="Total 4 6" xfId="37960"/>
    <cellStyle name="Total 4 7" xfId="37961"/>
    <cellStyle name="Total 4 8" xfId="37962"/>
    <cellStyle name="Total 40" xfId="37963"/>
    <cellStyle name="Total 41" xfId="37964"/>
    <cellStyle name="Total 42" xfId="37965"/>
    <cellStyle name="Total 43" xfId="37966"/>
    <cellStyle name="Total 44" xfId="37967"/>
    <cellStyle name="Total 45" xfId="37968"/>
    <cellStyle name="Total 46" xfId="37969"/>
    <cellStyle name="Total 47" xfId="37970"/>
    <cellStyle name="Total 48" xfId="37971"/>
    <cellStyle name="Total 49" xfId="37972"/>
    <cellStyle name="Total 5" xfId="37973"/>
    <cellStyle name="Total 5 2" xfId="37974"/>
    <cellStyle name="Total 5 3" xfId="37975"/>
    <cellStyle name="Total 5 4" xfId="37976"/>
    <cellStyle name="Total 5 5" xfId="37977"/>
    <cellStyle name="Total 5 6" xfId="37978"/>
    <cellStyle name="Total 5 7" xfId="37979"/>
    <cellStyle name="Total 5 8" xfId="37980"/>
    <cellStyle name="Total 50" xfId="37981"/>
    <cellStyle name="Total 51" xfId="37982"/>
    <cellStyle name="Total 52" xfId="37983"/>
    <cellStyle name="Total 53" xfId="37984"/>
    <cellStyle name="Total 54" xfId="37985"/>
    <cellStyle name="Total 55" xfId="37986"/>
    <cellStyle name="Total 56" xfId="37987"/>
    <cellStyle name="Total 57" xfId="37988"/>
    <cellStyle name="Total 58" xfId="37989"/>
    <cellStyle name="Total 59" xfId="37990"/>
    <cellStyle name="Total 6" xfId="37991"/>
    <cellStyle name="Total 7" xfId="37992"/>
    <cellStyle name="Total 8" xfId="37993"/>
    <cellStyle name="Total 9" xfId="37994"/>
    <cellStyle name="W?rung [0]_Compiling Utility Macros" xfId="37995"/>
    <cellStyle name="W?rung_Compiling Utility Macros" xfId="37996"/>
    <cellStyle name="Warning Text 10" xfId="37997"/>
    <cellStyle name="Warning Text 11" xfId="37998"/>
    <cellStyle name="Warning Text 12" xfId="37999"/>
    <cellStyle name="Warning Text 13" xfId="38000"/>
    <cellStyle name="Warning Text 14" xfId="38001"/>
    <cellStyle name="Warning Text 15" xfId="38002"/>
    <cellStyle name="Warning Text 16" xfId="38003"/>
    <cellStyle name="Warning Text 17" xfId="38004"/>
    <cellStyle name="Warning Text 18" xfId="38005"/>
    <cellStyle name="Warning Text 19" xfId="38006"/>
    <cellStyle name="Warning Text 2" xfId="38007"/>
    <cellStyle name="Warning Text 2 2" xfId="38008"/>
    <cellStyle name="Warning Text 20" xfId="38009"/>
    <cellStyle name="Warning Text 21" xfId="38010"/>
    <cellStyle name="Warning Text 22" xfId="38011"/>
    <cellStyle name="Warning Text 23" xfId="38012"/>
    <cellStyle name="Warning Text 24" xfId="38013"/>
    <cellStyle name="Warning Text 25" xfId="38014"/>
    <cellStyle name="Warning Text 26" xfId="38015"/>
    <cellStyle name="Warning Text 27" xfId="38016"/>
    <cellStyle name="Warning Text 28" xfId="38017"/>
    <cellStyle name="Warning Text 29" xfId="38018"/>
    <cellStyle name="Warning Text 3" xfId="38019"/>
    <cellStyle name="Warning Text 30" xfId="38020"/>
    <cellStyle name="Warning Text 31" xfId="38021"/>
    <cellStyle name="Warning Text 32" xfId="38022"/>
    <cellStyle name="Warning Text 33" xfId="38023"/>
    <cellStyle name="Warning Text 34" xfId="38024"/>
    <cellStyle name="Warning Text 35" xfId="38025"/>
    <cellStyle name="Warning Text 36" xfId="38026"/>
    <cellStyle name="Warning Text 37" xfId="38027"/>
    <cellStyle name="Warning Text 38" xfId="38028"/>
    <cellStyle name="Warning Text 39" xfId="38029"/>
    <cellStyle name="Warning Text 4" xfId="38030"/>
    <cellStyle name="Warning Text 40" xfId="38031"/>
    <cellStyle name="Warning Text 41" xfId="38032"/>
    <cellStyle name="Warning Text 42" xfId="38033"/>
    <cellStyle name="Warning Text 43" xfId="38034"/>
    <cellStyle name="Warning Text 44" xfId="38035"/>
    <cellStyle name="Warning Text 45" xfId="38036"/>
    <cellStyle name="Warning Text 46" xfId="38037"/>
    <cellStyle name="Warning Text 47" xfId="38038"/>
    <cellStyle name="Warning Text 48" xfId="38039"/>
    <cellStyle name="Warning Text 49" xfId="38040"/>
    <cellStyle name="Warning Text 5" xfId="38041"/>
    <cellStyle name="Warning Text 50" xfId="38042"/>
    <cellStyle name="Warning Text 51" xfId="38043"/>
    <cellStyle name="Warning Text 52" xfId="38044"/>
    <cellStyle name="Warning Text 53" xfId="38045"/>
    <cellStyle name="Warning Text 54" xfId="38046"/>
    <cellStyle name="Warning Text 55" xfId="38047"/>
    <cellStyle name="Warning Text 56" xfId="38048"/>
    <cellStyle name="Warning Text 57" xfId="38049"/>
    <cellStyle name="Warning Text 58" xfId="38050"/>
    <cellStyle name="Warning Text 59" xfId="38051"/>
    <cellStyle name="Warning Text 6" xfId="38052"/>
    <cellStyle name="Warning Text 7" xfId="38053"/>
    <cellStyle name="Warning Text 8" xfId="38054"/>
    <cellStyle name="Warning Text 9" xfId="38055"/>
    <cellStyle name="|?ドE" xfId="38056"/>
    <cellStyle name="끼_x0001_?" xfId="38057"/>
    <cellStyle name="끼_x0001_? 10" xfId="38058"/>
    <cellStyle name="끼_x0001_? 2" xfId="38059"/>
    <cellStyle name="끼_x0001_? 3" xfId="38060"/>
    <cellStyle name="끼_x0001_? 4" xfId="38061"/>
    <cellStyle name="끼_x0001_? 5" xfId="38062"/>
    <cellStyle name="끼_x0001_? 6" xfId="38063"/>
    <cellStyle name="끼_x0001_? 7" xfId="38064"/>
    <cellStyle name="끼_x0001_? 8" xfId="38065"/>
    <cellStyle name="끼_x0001_? 9" xfId="38066"/>
    <cellStyle name="뒤에 오는 하이퍼링크_12공구" xfId="38067"/>
    <cellStyle name="뷭?_BOOKSHIP" xfId="38068"/>
    <cellStyle name="쉼표 [0]_Calc' Sheet(May 2001)" xfId="38069"/>
    <cellStyle name="지하철정렬" xfId="38070"/>
    <cellStyle name="콤마 [0]_  종  합  " xfId="38071"/>
    <cellStyle name="콤마_  종  합  " xfId="38072"/>
    <cellStyle name="통화 [0]_2월매출 " xfId="38073"/>
    <cellStyle name="통화_2월매출 " xfId="38074"/>
    <cellStyle name="표준_0N-HANDLING " xfId="38075"/>
    <cellStyle name="千位[0]_Module2" xfId="38076"/>
    <cellStyle name="千位_Module2" xfId="38077"/>
    <cellStyle name="千位分隔 2" xfId="38078"/>
    <cellStyle name="千位分隔 2 2" xfId="38079"/>
    <cellStyle name="千位分隔 3" xfId="38080"/>
    <cellStyle name="千位分隔[0] 2" xfId="38081"/>
    <cellStyle name="千位分隔[0] 2 2" xfId="38082"/>
    <cellStyle name="千位分隔[0] 3" xfId="38083"/>
    <cellStyle name="千位分隔_Sheet6" xfId="38084"/>
    <cellStyle name="千分位[0]_JDDJ" xfId="38085"/>
    <cellStyle name="千分位_JDDJ" xfId="38086"/>
    <cellStyle name="好" xfId="38087"/>
    <cellStyle name="好 2" xfId="38088"/>
    <cellStyle name="差" xfId="38089"/>
    <cellStyle name="差 2" xfId="38090"/>
    <cellStyle name="常规 10" xfId="38091"/>
    <cellStyle name="常规 13" xfId="38092"/>
    <cellStyle name="常规 13 2 2" xfId="38093"/>
    <cellStyle name="常规 2" xfId="38094"/>
    <cellStyle name="常规 2 2" xfId="38095"/>
    <cellStyle name="常规 24" xfId="38096"/>
    <cellStyle name="常规 3" xfId="38097"/>
    <cellStyle name="常规 3 2" xfId="38098"/>
    <cellStyle name="常规 4" xfId="38099"/>
    <cellStyle name="常规 6" xfId="38100"/>
    <cellStyle name="常规 7" xfId="38101"/>
    <cellStyle name="常规_Density" xfId="38102"/>
    <cellStyle name="强调文字颜色 1" xfId="38103"/>
    <cellStyle name="强调文字颜色 1 2" xfId="38104"/>
    <cellStyle name="强调文字颜色 2" xfId="38105"/>
    <cellStyle name="强调文字颜色 2 2" xfId="38106"/>
    <cellStyle name="强调文字颜色 3" xfId="38107"/>
    <cellStyle name="强调文字颜色 3 2" xfId="38108"/>
    <cellStyle name="强调文字颜色 4" xfId="38109"/>
    <cellStyle name="强调文字颜色 4 2" xfId="38110"/>
    <cellStyle name="强调文字颜色 5" xfId="38111"/>
    <cellStyle name="强调文字颜色 5 2" xfId="38112"/>
    <cellStyle name="强调文字颜色 6" xfId="38113"/>
    <cellStyle name="强调文字颜色 6 2" xfId="38114"/>
    <cellStyle name="普通_GS3" xfId="38115"/>
    <cellStyle name="标题" xfId="38116"/>
    <cellStyle name="标题 1" xfId="38117"/>
    <cellStyle name="标题 1 2" xfId="38118"/>
    <cellStyle name="标题 2" xfId="38119"/>
    <cellStyle name="标题 2 2" xfId="38120"/>
    <cellStyle name="标题 3" xfId="38121"/>
    <cellStyle name="标题 3 2" xfId="38122"/>
    <cellStyle name="标题 4" xfId="38123"/>
    <cellStyle name="标题 4 2" xfId="38124"/>
    <cellStyle name="标题 5" xfId="38125"/>
    <cellStyle name="样式 1" xfId="38126"/>
    <cellStyle name="检查单元格" xfId="38127"/>
    <cellStyle name="检查单元格 2" xfId="38128"/>
    <cellStyle name="汇总" xfId="38129"/>
    <cellStyle name="汇总 2" xfId="38130"/>
    <cellStyle name="注释" xfId="38131"/>
    <cellStyle name="注释 2" xfId="38132"/>
    <cellStyle name="百分比 3" xfId="38133"/>
    <cellStyle name="解释性文本" xfId="38134"/>
    <cellStyle name="解释性文本 2" xfId="38135"/>
    <cellStyle name="警告文本" xfId="38136"/>
    <cellStyle name="警告文本 2" xfId="38137"/>
    <cellStyle name="计算" xfId="38138"/>
    <cellStyle name="计算 2" xfId="38139"/>
    <cellStyle name="输入" xfId="38140"/>
    <cellStyle name="输入 2" xfId="38141"/>
    <cellStyle name="输出" xfId="38142"/>
    <cellStyle name="输出 2" xfId="38143"/>
    <cellStyle name="适中" xfId="38144"/>
    <cellStyle name="适中 2" xfId="38145"/>
    <cellStyle name="链接单元格" xfId="38146"/>
    <cellStyle name="链接单元格 2" xfId="3814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externalLink" Target="externalLinks/externalLink23.xml"/><Relationship Id="rId47" Type="http://schemas.openxmlformats.org/officeDocument/2006/relationships/externalLink" Target="externalLinks/externalLink28.xml"/><Relationship Id="rId50" Type="http://schemas.openxmlformats.org/officeDocument/2006/relationships/externalLink" Target="externalLinks/externalLink31.xml"/><Relationship Id="rId55" Type="http://schemas.openxmlformats.org/officeDocument/2006/relationships/externalLink" Target="externalLinks/externalLink36.xml"/><Relationship Id="rId63" Type="http://schemas.openxmlformats.org/officeDocument/2006/relationships/externalLink" Target="externalLinks/externalLink44.xml"/><Relationship Id="rId68" Type="http://schemas.openxmlformats.org/officeDocument/2006/relationships/externalLink" Target="externalLinks/externalLink49.xml"/><Relationship Id="rId76" Type="http://schemas.openxmlformats.org/officeDocument/2006/relationships/externalLink" Target="externalLinks/externalLink57.xml"/><Relationship Id="rId84" Type="http://schemas.openxmlformats.org/officeDocument/2006/relationships/externalLink" Target="externalLinks/externalLink65.xml"/><Relationship Id="rId89" Type="http://schemas.openxmlformats.org/officeDocument/2006/relationships/externalLink" Target="externalLinks/externalLink70.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2.xml"/><Relationship Id="rId92" Type="http://schemas.openxmlformats.org/officeDocument/2006/relationships/externalLink" Target="externalLinks/externalLink7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0.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externalLink" Target="externalLinks/externalLink21.xml"/><Relationship Id="rId45" Type="http://schemas.openxmlformats.org/officeDocument/2006/relationships/externalLink" Target="externalLinks/externalLink26.xml"/><Relationship Id="rId53" Type="http://schemas.openxmlformats.org/officeDocument/2006/relationships/externalLink" Target="externalLinks/externalLink34.xml"/><Relationship Id="rId58" Type="http://schemas.openxmlformats.org/officeDocument/2006/relationships/externalLink" Target="externalLinks/externalLink39.xml"/><Relationship Id="rId66" Type="http://schemas.openxmlformats.org/officeDocument/2006/relationships/externalLink" Target="externalLinks/externalLink47.xml"/><Relationship Id="rId74" Type="http://schemas.openxmlformats.org/officeDocument/2006/relationships/externalLink" Target="externalLinks/externalLink55.xml"/><Relationship Id="rId79" Type="http://schemas.openxmlformats.org/officeDocument/2006/relationships/externalLink" Target="externalLinks/externalLink60.xml"/><Relationship Id="rId87" Type="http://schemas.openxmlformats.org/officeDocument/2006/relationships/externalLink" Target="externalLinks/externalLink68.xml"/><Relationship Id="rId5" Type="http://schemas.openxmlformats.org/officeDocument/2006/relationships/worksheet" Target="worksheets/sheet5.xml"/><Relationship Id="rId61" Type="http://schemas.openxmlformats.org/officeDocument/2006/relationships/externalLink" Target="externalLinks/externalLink42.xml"/><Relationship Id="rId82" Type="http://schemas.openxmlformats.org/officeDocument/2006/relationships/externalLink" Target="externalLinks/externalLink63.xml"/><Relationship Id="rId90" Type="http://schemas.openxmlformats.org/officeDocument/2006/relationships/externalLink" Target="externalLinks/externalLink71.xml"/><Relationship Id="rId95"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externalLink" Target="externalLinks/externalLink24.xml"/><Relationship Id="rId48" Type="http://schemas.openxmlformats.org/officeDocument/2006/relationships/externalLink" Target="externalLinks/externalLink29.xml"/><Relationship Id="rId56" Type="http://schemas.openxmlformats.org/officeDocument/2006/relationships/externalLink" Target="externalLinks/externalLink37.xml"/><Relationship Id="rId64" Type="http://schemas.openxmlformats.org/officeDocument/2006/relationships/externalLink" Target="externalLinks/externalLink45.xml"/><Relationship Id="rId69" Type="http://schemas.openxmlformats.org/officeDocument/2006/relationships/externalLink" Target="externalLinks/externalLink50.xml"/><Relationship Id="rId77" Type="http://schemas.openxmlformats.org/officeDocument/2006/relationships/externalLink" Target="externalLinks/externalLink58.xml"/><Relationship Id="rId8" Type="http://schemas.openxmlformats.org/officeDocument/2006/relationships/worksheet" Target="worksheets/sheet8.xml"/><Relationship Id="rId51" Type="http://schemas.openxmlformats.org/officeDocument/2006/relationships/externalLink" Target="externalLinks/externalLink32.xml"/><Relationship Id="rId72" Type="http://schemas.openxmlformats.org/officeDocument/2006/relationships/externalLink" Target="externalLinks/externalLink53.xml"/><Relationship Id="rId80" Type="http://schemas.openxmlformats.org/officeDocument/2006/relationships/externalLink" Target="externalLinks/externalLink61.xml"/><Relationship Id="rId85" Type="http://schemas.openxmlformats.org/officeDocument/2006/relationships/externalLink" Target="externalLinks/externalLink66.xml"/><Relationship Id="rId93" Type="http://schemas.openxmlformats.org/officeDocument/2006/relationships/externalLink" Target="externalLinks/externalLink7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openxmlformats.org/officeDocument/2006/relationships/externalLink" Target="externalLinks/externalLink27.xml"/><Relationship Id="rId59" Type="http://schemas.openxmlformats.org/officeDocument/2006/relationships/externalLink" Target="externalLinks/externalLink40.xml"/><Relationship Id="rId67" Type="http://schemas.openxmlformats.org/officeDocument/2006/relationships/externalLink" Target="externalLinks/externalLink48.xml"/><Relationship Id="rId20" Type="http://schemas.openxmlformats.org/officeDocument/2006/relationships/externalLink" Target="externalLinks/externalLink1.xml"/><Relationship Id="rId41" Type="http://schemas.openxmlformats.org/officeDocument/2006/relationships/externalLink" Target="externalLinks/externalLink22.xml"/><Relationship Id="rId54" Type="http://schemas.openxmlformats.org/officeDocument/2006/relationships/externalLink" Target="externalLinks/externalLink35.xml"/><Relationship Id="rId62" Type="http://schemas.openxmlformats.org/officeDocument/2006/relationships/externalLink" Target="externalLinks/externalLink43.xml"/><Relationship Id="rId70" Type="http://schemas.openxmlformats.org/officeDocument/2006/relationships/externalLink" Target="externalLinks/externalLink51.xml"/><Relationship Id="rId75" Type="http://schemas.openxmlformats.org/officeDocument/2006/relationships/externalLink" Target="externalLinks/externalLink56.xml"/><Relationship Id="rId83" Type="http://schemas.openxmlformats.org/officeDocument/2006/relationships/externalLink" Target="externalLinks/externalLink64.xml"/><Relationship Id="rId88" Type="http://schemas.openxmlformats.org/officeDocument/2006/relationships/externalLink" Target="externalLinks/externalLink69.xml"/><Relationship Id="rId91" Type="http://schemas.openxmlformats.org/officeDocument/2006/relationships/externalLink" Target="externalLinks/externalLink72.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49" Type="http://schemas.openxmlformats.org/officeDocument/2006/relationships/externalLink" Target="externalLinks/externalLink30.xml"/><Relationship Id="rId57" Type="http://schemas.openxmlformats.org/officeDocument/2006/relationships/externalLink" Target="externalLinks/externalLink38.xml"/><Relationship Id="rId10" Type="http://schemas.openxmlformats.org/officeDocument/2006/relationships/worksheet" Target="worksheets/sheet10.xml"/><Relationship Id="rId31" Type="http://schemas.openxmlformats.org/officeDocument/2006/relationships/externalLink" Target="externalLinks/externalLink12.xml"/><Relationship Id="rId44" Type="http://schemas.openxmlformats.org/officeDocument/2006/relationships/externalLink" Target="externalLinks/externalLink25.xml"/><Relationship Id="rId52" Type="http://schemas.openxmlformats.org/officeDocument/2006/relationships/externalLink" Target="externalLinks/externalLink33.xml"/><Relationship Id="rId60" Type="http://schemas.openxmlformats.org/officeDocument/2006/relationships/externalLink" Target="externalLinks/externalLink41.xml"/><Relationship Id="rId65" Type="http://schemas.openxmlformats.org/officeDocument/2006/relationships/externalLink" Target="externalLinks/externalLink46.xml"/><Relationship Id="rId73" Type="http://schemas.openxmlformats.org/officeDocument/2006/relationships/externalLink" Target="externalLinks/externalLink54.xml"/><Relationship Id="rId78" Type="http://schemas.openxmlformats.org/officeDocument/2006/relationships/externalLink" Target="externalLinks/externalLink59.xml"/><Relationship Id="rId81" Type="http://schemas.openxmlformats.org/officeDocument/2006/relationships/externalLink" Target="externalLinks/externalLink62.xml"/><Relationship Id="rId86" Type="http://schemas.openxmlformats.org/officeDocument/2006/relationships/externalLink" Target="externalLinks/externalLink67.xml"/><Relationship Id="rId9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0.xml"/></Relationships>
</file>

<file path=xl/drawings/_rels/drawing12.x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161925</xdr:colOff>
          <xdr:row>2</xdr:row>
          <xdr:rowOff>28575</xdr:rowOff>
        </xdr:from>
        <xdr:to>
          <xdr:col>3</xdr:col>
          <xdr:colOff>19050</xdr:colOff>
          <xdr:row>3</xdr:row>
          <xdr:rowOff>152400</xdr:rowOff>
        </xdr:to>
        <xdr:sp macro="" textlink="">
          <xdr:nvSpPr>
            <xdr:cNvPr id="28673" name="Object 1" hidden="1">
              <a:extLst>
                <a:ext uri="{63B3BB69-23CF-44E3-9099-C40C66FF867C}">
                  <a14:compatExt spid="_x0000_s28673"/>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762000</xdr:colOff>
          <xdr:row>2</xdr:row>
          <xdr:rowOff>123825</xdr:rowOff>
        </xdr:from>
        <xdr:to>
          <xdr:col>1</xdr:col>
          <xdr:colOff>2124075</xdr:colOff>
          <xdr:row>4</xdr:row>
          <xdr:rowOff>9525</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85725</xdr:rowOff>
        </xdr:from>
        <xdr:to>
          <xdr:col>1</xdr:col>
          <xdr:colOff>1143000</xdr:colOff>
          <xdr:row>3</xdr:row>
          <xdr:rowOff>561975</xdr:rowOff>
        </xdr:to>
        <xdr:sp macro="" textlink="">
          <xdr:nvSpPr>
            <xdr:cNvPr id="71681" name="Object 1" hidden="1">
              <a:extLst>
                <a:ext uri="{63B3BB69-23CF-44E3-9099-C40C66FF867C}">
                  <a14:compatExt spid="_x0000_s71681"/>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123825</xdr:colOff>
          <xdr:row>2</xdr:row>
          <xdr:rowOff>38100</xdr:rowOff>
        </xdr:from>
        <xdr:to>
          <xdr:col>3</xdr:col>
          <xdr:colOff>104775</xdr:colOff>
          <xdr:row>3</xdr:row>
          <xdr:rowOff>409575</xdr:rowOff>
        </xdr:to>
        <xdr:sp macro="" textlink="">
          <xdr:nvSpPr>
            <xdr:cNvPr id="2049" name="Object 1"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400050</xdr:colOff>
          <xdr:row>2</xdr:row>
          <xdr:rowOff>76200</xdr:rowOff>
        </xdr:from>
        <xdr:to>
          <xdr:col>1</xdr:col>
          <xdr:colOff>1000125</xdr:colOff>
          <xdr:row>3</xdr:row>
          <xdr:rowOff>590550</xdr:rowOff>
        </xdr:to>
        <xdr:sp macro="" textlink="">
          <xdr:nvSpPr>
            <xdr:cNvPr id="70657" name="Object 1" hidden="1">
              <a:extLst>
                <a:ext uri="{63B3BB69-23CF-44E3-9099-C40C66FF867C}">
                  <a14:compatExt spid="_x0000_s70657"/>
                </a:ext>
              </a:extLst>
            </xdr:cNvPr>
            <xdr:cNvSpPr/>
          </xdr:nvSpPr>
          <xdr:spPr>
            <a:xfrm>
              <a:off x="0" y="0"/>
              <a:ext cx="0" cy="0"/>
            </a:xfrm>
            <a:prstGeom prst="rect">
              <a:avLst/>
            </a:prstGeom>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514350</xdr:colOff>
          <xdr:row>2</xdr:row>
          <xdr:rowOff>104775</xdr:rowOff>
        </xdr:from>
        <xdr:to>
          <xdr:col>2</xdr:col>
          <xdr:colOff>1657350</xdr:colOff>
          <xdr:row>3</xdr:row>
          <xdr:rowOff>361950</xdr:rowOff>
        </xdr:to>
        <xdr:sp macro="" textlink="">
          <xdr:nvSpPr>
            <xdr:cNvPr id="4097" name="Object 1" hidden="1">
              <a:extLst>
                <a:ext uri="{63B3BB69-23CF-44E3-9099-C40C66FF867C}">
                  <a14:compatExt spid="_x0000_s4097"/>
                </a:ext>
              </a:extLst>
            </xdr:cNvPr>
            <xdr:cNvSpPr/>
          </xdr:nvSpPr>
          <xdr:spPr>
            <a:xfrm>
              <a:off x="0" y="0"/>
              <a:ext cx="0" cy="0"/>
            </a:xfrm>
            <a:prstGeom prst="rect">
              <a:avLst/>
            </a:prstGeom>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962025</xdr:colOff>
          <xdr:row>2</xdr:row>
          <xdr:rowOff>66675</xdr:rowOff>
        </xdr:from>
        <xdr:to>
          <xdr:col>1</xdr:col>
          <xdr:colOff>2724150</xdr:colOff>
          <xdr:row>3</xdr:row>
          <xdr:rowOff>704850</xdr:rowOff>
        </xdr:to>
        <xdr:sp macro="" textlink="">
          <xdr:nvSpPr>
            <xdr:cNvPr id="15361" name="Object 1" hidden="1">
              <a:extLst>
                <a:ext uri="{63B3BB69-23CF-44E3-9099-C40C66FF867C}">
                  <a14:compatExt spid="_x0000_s15361"/>
                </a:ext>
              </a:extLst>
            </xdr:cNvPr>
            <xdr:cNvSpPr/>
          </xdr:nvSpPr>
          <xdr:spPr>
            <a:xfrm>
              <a:off x="0" y="0"/>
              <a:ext cx="0" cy="0"/>
            </a:xfrm>
            <a:prstGeom prst="rect">
              <a:avLst/>
            </a:prstGeom>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400050</xdr:colOff>
          <xdr:row>2</xdr:row>
          <xdr:rowOff>57150</xdr:rowOff>
        </xdr:from>
        <xdr:to>
          <xdr:col>3</xdr:col>
          <xdr:colOff>457200</xdr:colOff>
          <xdr:row>3</xdr:row>
          <xdr:rowOff>742950</xdr:rowOff>
        </xdr:to>
        <xdr:sp macro="" textlink="">
          <xdr:nvSpPr>
            <xdr:cNvPr id="52225" name="Object 1" hidden="1">
              <a:extLst>
                <a:ext uri="{63B3BB69-23CF-44E3-9099-C40C66FF867C}">
                  <a14:compatExt spid="_x0000_s52225"/>
                </a:ext>
              </a:extLst>
            </xdr:cNvPr>
            <xdr:cNvSpPr/>
          </xdr:nvSpPr>
          <xdr:spPr>
            <a:xfrm>
              <a:off x="0" y="0"/>
              <a:ext cx="0" cy="0"/>
            </a:xfrm>
            <a:prstGeom prst="rect">
              <a:avLst/>
            </a:prstGeom>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66675</xdr:colOff>
          <xdr:row>2</xdr:row>
          <xdr:rowOff>47625</xdr:rowOff>
        </xdr:from>
        <xdr:to>
          <xdr:col>4</xdr:col>
          <xdr:colOff>152400</xdr:colOff>
          <xdr:row>3</xdr:row>
          <xdr:rowOff>409575</xdr:rowOff>
        </xdr:to>
        <xdr:sp macro="" textlink="">
          <xdr:nvSpPr>
            <xdr:cNvPr id="54273" name="Object 1" hidden="1">
              <a:extLst>
                <a:ext uri="{63B3BB69-23CF-44E3-9099-C40C66FF867C}">
                  <a14:compatExt spid="_x0000_s54273"/>
                </a:ext>
              </a:extLst>
            </xdr:cNvPr>
            <xdr:cNvSpPr/>
          </xdr:nvSpPr>
          <xdr:spPr>
            <a:xfrm>
              <a:off x="0" y="0"/>
              <a:ext cx="0" cy="0"/>
            </a:xfrm>
            <a:prstGeom prst="rect">
              <a:avLst/>
            </a:prstGeom>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361950</xdr:colOff>
          <xdr:row>2</xdr:row>
          <xdr:rowOff>9525</xdr:rowOff>
        </xdr:from>
        <xdr:to>
          <xdr:col>1</xdr:col>
          <xdr:colOff>1476375</xdr:colOff>
          <xdr:row>3</xdr:row>
          <xdr:rowOff>428625</xdr:rowOff>
        </xdr:to>
        <xdr:sp macro="" textlink="">
          <xdr:nvSpPr>
            <xdr:cNvPr id="7169" name="Object 1" hidden="1">
              <a:extLst>
                <a:ext uri="{63B3BB69-23CF-44E3-9099-C40C66FF867C}">
                  <a14:compatExt spid="_x0000_s7169"/>
                </a:ext>
              </a:extLst>
            </xdr:cNvPr>
            <xdr:cNvSpPr/>
          </xdr:nvSpPr>
          <xdr:spPr>
            <a:xfrm>
              <a:off x="0" y="0"/>
              <a:ext cx="0" cy="0"/>
            </a:xfrm>
            <a:prstGeom prst="rect">
              <a:avLst/>
            </a:prstGeom>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85725</xdr:colOff>
          <xdr:row>2</xdr:row>
          <xdr:rowOff>28575</xdr:rowOff>
        </xdr:from>
        <xdr:to>
          <xdr:col>3</xdr:col>
          <xdr:colOff>209550</xdr:colOff>
          <xdr:row>3</xdr:row>
          <xdr:rowOff>533400</xdr:rowOff>
        </xdr:to>
        <xdr:sp macro="" textlink="">
          <xdr:nvSpPr>
            <xdr:cNvPr id="55297" name="Object 1" hidden="1">
              <a:extLst>
                <a:ext uri="{63B3BB69-23CF-44E3-9099-C40C66FF867C}">
                  <a14:compatExt spid="_x0000_s55297"/>
                </a:ext>
              </a:extLst>
            </xdr:cNvPr>
            <xdr:cNvSpPr/>
          </xdr:nvSpPr>
          <xdr:spPr>
            <a:xfrm>
              <a:off x="0" y="0"/>
              <a:ext cx="0" cy="0"/>
            </a:xfrm>
            <a:prstGeom prst="rect">
              <a:avLst/>
            </a:prstGeom>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xdr:from>
      <xdr:col>0</xdr:col>
      <xdr:colOff>28575</xdr:colOff>
      <xdr:row>0</xdr:row>
      <xdr:rowOff>9525</xdr:rowOff>
    </xdr:from>
    <xdr:to>
      <xdr:col>26</xdr:col>
      <xdr:colOff>257175</xdr:colOff>
      <xdr:row>5</xdr:row>
      <xdr:rowOff>19050</xdr:rowOff>
    </xdr:to>
    <xdr:sp macro="" textlink="">
      <xdr:nvSpPr>
        <xdr:cNvPr id="3" name="Rounded Rectangle 2"/>
        <xdr:cNvSpPr/>
      </xdr:nvSpPr>
      <xdr:spPr>
        <a:xfrm>
          <a:off x="28575" y="9525"/>
          <a:ext cx="8010525" cy="99060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ln>
              <a:solidFill>
                <a:schemeClr val="bg1"/>
              </a:solidFill>
            </a:ln>
            <a:solidFill>
              <a:schemeClr val="bg1"/>
            </a:solidFill>
          </a:endParaRPr>
        </a:p>
      </xdr:txBody>
    </xdr:sp>
    <xdr:clientData/>
  </xdr:twoCellAnchor>
  <xdr:twoCellAnchor editAs="oneCell">
    <xdr:from>
      <xdr:col>0</xdr:col>
      <xdr:colOff>95250</xdr:colOff>
      <xdr:row>0</xdr:row>
      <xdr:rowOff>0</xdr:rowOff>
    </xdr:from>
    <xdr:to>
      <xdr:col>31</xdr:col>
      <xdr:colOff>152400</xdr:colOff>
      <xdr:row>5</xdr:row>
      <xdr:rowOff>57149</xdr:rowOff>
    </xdr:to>
    <xdr:pic>
      <xdr:nvPicPr>
        <xdr:cNvPr id="56324" name="Picture 4"/>
        <xdr:cNvPicPr>
          <a:picLocks noChangeAspect="1" noChangeArrowheads="1"/>
        </xdr:cNvPicPr>
      </xdr:nvPicPr>
      <xdr:blipFill>
        <a:blip xmlns:r="http://schemas.openxmlformats.org/officeDocument/2006/relationships" r:embed="rId1"/>
        <a:srcRect/>
        <a:stretch>
          <a:fillRect/>
        </a:stretch>
      </xdr:blipFill>
      <xdr:spPr bwMode="auto">
        <a:xfrm>
          <a:off x="95250" y="0"/>
          <a:ext cx="8067675" cy="1038224"/>
        </a:xfrm>
        <a:prstGeom prst="rect">
          <a:avLst/>
        </a:prstGeom>
        <a:noFill/>
        <a:ln>
          <a:solidFill>
            <a:schemeClr val="bg1">
              <a:lumMod val="95000"/>
            </a:schemeClr>
          </a:solidFill>
        </a:ln>
      </xdr:spPr>
    </xdr:pic>
    <xdr:clientData/>
  </xdr:twoCellAnchor>
  <xdr:twoCellAnchor>
    <xdr:from>
      <xdr:col>33</xdr:col>
      <xdr:colOff>219075</xdr:colOff>
      <xdr:row>1</xdr:row>
      <xdr:rowOff>123825</xdr:rowOff>
    </xdr:from>
    <xdr:to>
      <xdr:col>34</xdr:col>
      <xdr:colOff>419100</xdr:colOff>
      <xdr:row>2</xdr:row>
      <xdr:rowOff>57150</xdr:rowOff>
    </xdr:to>
    <xdr:sp macro="" textlink="">
      <xdr:nvSpPr>
        <xdr:cNvPr id="5" name="Rounded Rectangle 4"/>
        <xdr:cNvSpPr/>
      </xdr:nvSpPr>
      <xdr:spPr>
        <a:xfrm>
          <a:off x="9086850" y="314325"/>
          <a:ext cx="809625" cy="13335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800">
              <a:solidFill>
                <a:schemeClr val="tx1"/>
              </a:solidFill>
              <a:latin typeface="Times New Roman" pitchFamily="18" charset="0"/>
              <a:cs typeface="Times New Roman" pitchFamily="18" charset="0"/>
            </a:rPr>
            <a:t>OF/COD/01</a:t>
          </a:r>
          <a:r>
            <a:rPr lang="en-US" sz="1100">
              <a:solidFill>
                <a:schemeClr val="tx1"/>
              </a:solidFill>
            </a:rPr>
            <a:t>0</a:t>
          </a:r>
        </a:p>
      </xdr:txBody>
    </xdr:sp>
    <xdr:clientData/>
  </xdr:twoCellAnchor>
  <xdr:twoCellAnchor>
    <xdr:from>
      <xdr:col>13</xdr:col>
      <xdr:colOff>133350</xdr:colOff>
      <xdr:row>2</xdr:row>
      <xdr:rowOff>114300</xdr:rowOff>
    </xdr:from>
    <xdr:to>
      <xdr:col>25</xdr:col>
      <xdr:colOff>219075</xdr:colOff>
      <xdr:row>4</xdr:row>
      <xdr:rowOff>152400</xdr:rowOff>
    </xdr:to>
    <xdr:sp macro="" textlink="">
      <xdr:nvSpPr>
        <xdr:cNvPr id="7" name="Rounded Rectangle 6"/>
        <xdr:cNvSpPr/>
      </xdr:nvSpPr>
      <xdr:spPr>
        <a:xfrm>
          <a:off x="3695700" y="504825"/>
          <a:ext cx="2943225" cy="438150"/>
        </a:xfrm>
        <a:prstGeom prst="round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chemeClr val="tx1"/>
              </a:solidFill>
              <a:latin typeface="Times New Roman" pitchFamily="18" charset="0"/>
              <a:cs typeface="Times New Roman" pitchFamily="18" charset="0"/>
            </a:rPr>
            <a:t>OLD Weekly Report </a:t>
          </a:r>
        </a:p>
      </xdr:txBody>
    </xdr:sp>
    <xdr:clientData/>
  </xdr:twoCellAnchor>
  <mc:AlternateContent xmlns:mc="http://schemas.openxmlformats.org/markup-compatibility/2006">
    <mc:Choice xmlns:a14="http://schemas.microsoft.com/office/drawing/2010/main" Requires="a14">
      <xdr:twoCellAnchor>
        <xdr:from>
          <xdr:col>2</xdr:col>
          <xdr:colOff>0</xdr:colOff>
          <xdr:row>0</xdr:row>
          <xdr:rowOff>0</xdr:rowOff>
        </xdr:from>
        <xdr:to>
          <xdr:col>3</xdr:col>
          <xdr:colOff>0</xdr:colOff>
          <xdr:row>0</xdr:row>
          <xdr:rowOff>0</xdr:rowOff>
        </xdr:to>
        <xdr:sp macro="" textlink="">
          <xdr:nvSpPr>
            <xdr:cNvPr id="56321" name="Object 1" hidden="1">
              <a:extLst>
                <a:ext uri="{63B3BB69-23CF-44E3-9099-C40C66FF867C}">
                  <a14:compatExt spid="_x0000_s56321"/>
                </a:ext>
              </a:extLst>
            </xdr:cNvPr>
            <xdr:cNvSpPr/>
          </xdr:nvSpPr>
          <xdr:spPr>
            <a:xfrm>
              <a:off x="0" y="0"/>
              <a:ext cx="0" cy="0"/>
            </a:xfrm>
            <a:prstGeom prst="rect">
              <a:avLst/>
            </a:prstGeom>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76200</xdr:colOff>
          <xdr:row>2</xdr:row>
          <xdr:rowOff>28575</xdr:rowOff>
        </xdr:from>
        <xdr:to>
          <xdr:col>1</xdr:col>
          <xdr:colOff>1190625</xdr:colOff>
          <xdr:row>3</xdr:row>
          <xdr:rowOff>523875</xdr:rowOff>
        </xdr:to>
        <xdr:sp macro="" textlink="">
          <xdr:nvSpPr>
            <xdr:cNvPr id="17409" name="Object 1" hidden="1">
              <a:extLst>
                <a:ext uri="{63B3BB69-23CF-44E3-9099-C40C66FF867C}">
                  <a14:compatExt spid="_x0000_s17409"/>
                </a:ext>
              </a:extLst>
            </xdr:cNvPr>
            <xdr:cNvSpPr/>
          </xdr:nvSpPr>
          <xdr:spPr>
            <a:xfrm>
              <a:off x="0" y="0"/>
              <a:ext cx="0" cy="0"/>
            </a:xfrm>
            <a:prstGeom prst="rect">
              <a:avLst/>
            </a:prstGeom>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47625</xdr:rowOff>
        </xdr:from>
        <xdr:to>
          <xdr:col>2</xdr:col>
          <xdr:colOff>152400</xdr:colOff>
          <xdr:row>3</xdr:row>
          <xdr:rowOff>609600</xdr:rowOff>
        </xdr:to>
        <xdr:sp macro="" textlink="">
          <xdr:nvSpPr>
            <xdr:cNvPr id="66561" name="Object 1" hidden="1">
              <a:extLst>
                <a:ext uri="{63B3BB69-23CF-44E3-9099-C40C66FF867C}">
                  <a14:compatExt spid="_x0000_s66561"/>
                </a:ext>
              </a:extLst>
            </xdr:cNvPr>
            <xdr:cNvSpPr/>
          </xdr:nvSpPr>
          <xdr:spPr>
            <a:xfrm>
              <a:off x="0" y="0"/>
              <a:ext cx="0" cy="0"/>
            </a:xfrm>
            <a:prstGeom prst="rect">
              <a:avLst/>
            </a:prstGeom>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3</xdr:row>
          <xdr:rowOff>38100</xdr:rowOff>
        </xdr:from>
        <xdr:to>
          <xdr:col>0</xdr:col>
          <xdr:colOff>0</xdr:colOff>
          <xdr:row>4</xdr:row>
          <xdr:rowOff>152400</xdr:rowOff>
        </xdr:to>
        <xdr:sp macro="" textlink="">
          <xdr:nvSpPr>
            <xdr:cNvPr id="47105" name="Object 1" hidden="1">
              <a:extLst>
                <a:ext uri="{63B3BB69-23CF-44E3-9099-C40C66FF867C}">
                  <a14:compatExt spid="_x0000_s471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323850</xdr:colOff>
          <xdr:row>3</xdr:row>
          <xdr:rowOff>38100</xdr:rowOff>
        </xdr:from>
        <xdr:to>
          <xdr:col>2</xdr:col>
          <xdr:colOff>247650</xdr:colOff>
          <xdr:row>4</xdr:row>
          <xdr:rowOff>504825</xdr:rowOff>
        </xdr:to>
        <xdr:sp macro="" textlink="">
          <xdr:nvSpPr>
            <xdr:cNvPr id="47106" name="Object 2" hidden="1">
              <a:extLst>
                <a:ext uri="{63B3BB69-23CF-44E3-9099-C40C66FF867C}">
                  <a14:compatExt spid="_x0000_s47106"/>
                </a:ext>
              </a:extLst>
            </xdr:cNvPr>
            <xdr:cNvSpPr/>
          </xdr:nvSpPr>
          <xdr:spPr>
            <a:xfrm>
              <a:off x="0" y="0"/>
              <a:ext cx="0" cy="0"/>
            </a:xfrm>
            <a:prstGeom prst="rect">
              <a:avLst/>
            </a:prstGeom>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447675</xdr:colOff>
          <xdr:row>2</xdr:row>
          <xdr:rowOff>76200</xdr:rowOff>
        </xdr:from>
        <xdr:to>
          <xdr:col>5</xdr:col>
          <xdr:colOff>123825</xdr:colOff>
          <xdr:row>4</xdr:row>
          <xdr:rowOff>0</xdr:rowOff>
        </xdr:to>
        <xdr:sp macro="" textlink="">
          <xdr:nvSpPr>
            <xdr:cNvPr id="67585" name="Object 1" hidden="1">
              <a:extLst>
                <a:ext uri="{63B3BB69-23CF-44E3-9099-C40C66FF867C}">
                  <a14:compatExt spid="_x0000_s67585"/>
                </a:ext>
              </a:extLst>
            </xdr:cNvPr>
            <xdr:cNvSpPr/>
          </xdr:nvSpPr>
          <xdr:spPr>
            <a:xfrm>
              <a:off x="0" y="0"/>
              <a:ext cx="0" cy="0"/>
            </a:xfrm>
            <a:prstGeom prst="rect">
              <a:avLst/>
            </a:prstGeom>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133350</xdr:colOff>
          <xdr:row>2</xdr:row>
          <xdr:rowOff>66675</xdr:rowOff>
        </xdr:from>
        <xdr:to>
          <xdr:col>3</xdr:col>
          <xdr:colOff>914400</xdr:colOff>
          <xdr:row>3</xdr:row>
          <xdr:rowOff>457200</xdr:rowOff>
        </xdr:to>
        <xdr:sp macro="" textlink="">
          <xdr:nvSpPr>
            <xdr:cNvPr id="12289" name="Object 1" hidden="1">
              <a:extLst>
                <a:ext uri="{63B3BB69-23CF-44E3-9099-C40C66FF867C}">
                  <a14:compatExt spid="_x0000_s12289"/>
                </a:ext>
              </a:extLst>
            </xdr:cNvPr>
            <xdr:cNvSpPr/>
          </xdr:nvSpPr>
          <xdr:spPr>
            <a:xfrm>
              <a:off x="0" y="0"/>
              <a:ext cx="0" cy="0"/>
            </a:xfrm>
            <a:prstGeom prst="rect">
              <a:avLst/>
            </a:prstGeom>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85725</xdr:colOff>
          <xdr:row>2</xdr:row>
          <xdr:rowOff>66675</xdr:rowOff>
        </xdr:from>
        <xdr:to>
          <xdr:col>5</xdr:col>
          <xdr:colOff>0</xdr:colOff>
          <xdr:row>4</xdr:row>
          <xdr:rowOff>0</xdr:rowOff>
        </xdr:to>
        <xdr:sp macro="" textlink="">
          <xdr:nvSpPr>
            <xdr:cNvPr id="68609" name="Object 1" hidden="1">
              <a:extLst>
                <a:ext uri="{63B3BB69-23CF-44E3-9099-C40C66FF867C}">
                  <a14:compatExt spid="_x0000_s68609"/>
                </a:ext>
              </a:extLst>
            </xdr:cNvPr>
            <xdr:cNvSpPr/>
          </xdr:nvSpPr>
          <xdr:spPr>
            <a:xfrm>
              <a:off x="0" y="0"/>
              <a:ext cx="0" cy="0"/>
            </a:xfrm>
            <a:prstGeom prst="rect">
              <a:avLst/>
            </a:prstGeom>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266700</xdr:colOff>
          <xdr:row>2</xdr:row>
          <xdr:rowOff>47625</xdr:rowOff>
        </xdr:from>
        <xdr:to>
          <xdr:col>4</xdr:col>
          <xdr:colOff>142875</xdr:colOff>
          <xdr:row>3</xdr:row>
          <xdr:rowOff>600075</xdr:rowOff>
        </xdr:to>
        <xdr:sp macro="" textlink="">
          <xdr:nvSpPr>
            <xdr:cNvPr id="69633" name="Object 1" hidden="1">
              <a:extLst>
                <a:ext uri="{63B3BB69-23CF-44E3-9099-C40C66FF867C}">
                  <a14:compatExt spid="_x0000_s69633"/>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Esti99\&#54413;&#46041;&#50857;&#46160;\BID(&#53804;&#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4608;&#48337;&#44508;\&#51109;&#54637;&#49440;4&#44277;&#44396;\WINDOWS\TEMP\&#50896;&#48376;\&#48512;&#50504;&#50577;&#49688;99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49892;&#54665;\&#50521;&#49457;&#49328;&#52377;\KCAP7MAJ.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Users\Click\Downloads\Users\Temesgen\AppData\Roaming\Microsoft\Excel\sample%20files\Andinet%20A\Reports%20&amp;%20Schedules\Monthly%20Reports\March%20monthly-2013\DOC\&#49892;&#54665;\&#50521;&#49457;&#49328;&#52377;\KCAP7MAJ.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Users\Click\Downloads\Users\Temesgen\AppData\Roaming\Microsoft\Excel\sample%20files\Andinet%20A\Reports%20&amp;%20Schedules\Monthly%20Reports\March%20monthly-2013\Documents%20and%20Settings\user\Desktop\DOC\&#49892;&#54665;\&#50521;&#49457;&#49328;&#52377;\KCAP7MAJ.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September\DOC\&#49892;&#54665;\&#50521;&#49457;&#49328;&#52377;\KCAP7MAJ.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Users\Click\Downloads\Temp%20Files\DOC\&#49892;&#54665;\&#50521;&#49457;&#49328;&#52377;\KCAP7MAJ.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Users\Click\Downloads\Users\Temesgen\AppData\Roaming\Microsoft\Excel\Internal%20Plan%20fr%20Yared\Internal%20Schedule\DOC\&#49892;&#54665;\&#50521;&#49457;&#49328;&#52377;\KCAP7MAJ.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ddis\Addis'\&#44148;&#47784;\&#51077;&#52272;&#44204;&#51201;\&#44204;&#51201;(2001)\&#46020;&#47196;\&#54644;&#48120;-&#45909;&#49328;(1&#44277;&#44396;)\&#53804;&#52272;,&#49892;&#54665;\-0.1%25\&#44277;&#45236;&#50669;(&#54644;&#48120;1&#44277;&#443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EW%20REPORT\DOC\&#49892;&#54665;\&#50521;&#49457;&#49328;&#52377;\KCAP7MAJ.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Users\Click\Downloads\Temp%20Files\DOC\&#49892;&#54665;\&#49340;&#52377;&#44540;&#45909;\&#49340;&#52377;&#4404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Users\Click\Downloads\Users\Temesgen\AppData\Roaming\Microsoft\Excel\Internal%20Plan%20fr%20Yared\Internal%20Schedule\NEW%20REPORT\DOC\&#49892;&#54665;\&#50521;&#49457;&#49328;&#52377;\KCAP7MAJ.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Documents%20and%20Settings\Preferred%20Customer\My%20Documents\Reports\Weekly%20Report\Week7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ddis\Addis'\&#53356;&#47000;&#51076;\2001ESC&#48320;&#44221;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Users\Click\Downloads\HO2\Road%20Project\04-Abomsa%201&amp;%202\Abomsa%20cont%201-%20Submitted%2035%20%2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I:\Users\Click\Downloads\Temp%20Files\7-17.SUB\&#44032;&#47196;&#46321;\&#44228;&#49328;&#49436;\KWAK.DWG\6-3.SUB\MP-SUB\GSS\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abtom\Addis'\Documents%20and%20Settings\Administrator\My%20Documents\Addis'\Ziped%20IPC\4th%20IPC(April)\4th%20IPC(Apri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Users\Click\Downloads\Documents%20and%20Settings\YETBAREK\Desktop\TAMENE%20M\hiwot%20doc\list%20of%20contractors%20and%20details\GETNET%20AYEHU\Getent%20Ayehu%20B.C%20Final%20payment%2008\A-2%20Blk%2082%20300kpa-payment-08%20Getent%20Ayehu%20B.C%20re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Users\Click\Downloads\Documents%20and%20Settings\YETBAREK\Desktop\TAMENE%20M\hiwot%20doc\list%20of%20contractors%20and%20details\BEHAILU%20YESEGATE\Behailu%20Y.%20final%20%20%20payment%20No%201%20to%2010\A-2-payment-10%20%20200Kpa%20res.%20Behailu%20Y..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Users\Click\Downloads\Documents%20and%20Settings\YETBAREK\Desktop\TAMENE%20M\alazar's%20Doc\PAYNO2\A-2%20Resi%20%20200KPA%20PAY-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mail.ethionet.et/~projects/ayat/inprocess/308m2/BLOCK3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I:\Users\Administrator\Downloads\Users\BiniyamG\Desktop\Users\Temesgen\AppData\Local\Temp\weekly%2520report%2520week%252093\Users\User\Desktop\Berhale-Dalol\jinka%2520ipc\New%2520IPC%2520-45%252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Users\Click\Downloads\Users\Temesgen\AppData\Roaming\Microsoft\Excel\Annex1-F2-F3%20Works%20program(final%202014-9-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ddis\Addis'\&#44608;&#53468;&#54788;\Civil2-2\&#49892;&#54665;&#50696;&#49328;\&#51456;&#44277;&#50696;&#49328;\&#54596;&#47532;&#54592;\ADB6\ADB6(&#54788;&#51109;-2&#52264;)\ADB6&#49892;&#54665;&#50696;&#4932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yitagess\Micheta%20Direct%20cost\Reports\Weekly%20Report\Forma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yitagess\Micheta%20Direct%20cost\Reports\Weekly%20Report\Week%205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yitagess\Micheta%20Direct%20cost\Reports\Weekly%20Report\new%20exp.%204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yitagess\Micheta%20Direct%20cost\Reports\Monthly%20Report\Meskerem.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ec-server\bceom\Harar%20Jijjiga\BCEOM%20Reports\EngEst\HJprelim%20Cost%20Est\BILLS~HJ(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esign\Getahun\Documents%20and%20Settings\Administrator\My%20Documents\Addis'\Ziped%20IPC\4th%20IPC(April)\4th%20IPC(Apri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51060;&#49345;&#44508;\C\USER\CC\AARAIL\AFINAL\NAEFI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J:\TEAM-5\Lhs\OUT\YE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Baslel\Reports\Weekly%20Report\Week%203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I:\Users\Click\Downloads\&#22467;&#22622;&#36164;&#26009;\&#22467;&#22622;&#20844;&#36335;&#39033;&#30446;&#37096;&#25991;&#20214;\2014&#24180;&#25991;&#20214;\&#25253;&#30417;&#29702;&#12289;&#19994;&#20027;&#20449;&#20989;\ERA%20&amp;%20DANA\DANA%20&#20449;&#20989;\&#30417;&#29702;-042&#21495;&#20989;-&#25552;&#20132;&#24037;&#31243;&#35745;&#21010;&#30340;&#25253;&#21578;&#20462;&#25913;-2014.7.18\6&#26376;&#20221;&#65293;&#27874;&#26031;&#29926;&#32435;&#20844;&#36335;\&#26368;&#21518;&#25253;&#20215;&#21450;&#25237;&#26631;&#25991;&#20214;\Documents%20and%20Settings\Administrator\&#26700;&#38754;\&#30422;&#22612;&#32511;&#21270;&#35843;&#20215;&#23545;&#27604;&#25104;&#26524;\Ghat&#32511;&#21270;&#26448;&#2600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yitagess\Micheta%20Direct%20cost\Reports\Monthly%20Report\Nehas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yitagess\Micheta%20Direct%20cost\Reports\Monthly%20Report\Tir.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I:\Users\Click\Downloads\Users\Temesgen\AppData\Roaming\Microsoft\Excel\Internal%20Plan%20fr%20Yared\Internal%20Schedule\DOC\&#49892;&#54665;\&#50521;&#49457;&#49328;&#52377;\KCAP7REF.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Users\Click\Downloads\Documents%20and%20Settings\YETBAREK\Desktop\TAMENE%20M\Documents%20and%20Settings\User.USER-55BA1C35D5\Desktop\Estifanos%202nd%20payment\E-1%20300Kpa%20pay-6%20to%208%20Estifanos%20B..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44608;&#48337;&#44508;\&#51109;&#54637;&#49440;4&#44277;&#44396;\&#44148;&#47784;\&#44204;&#51201;(2000)\&#51648;&#51088;&#52404;&#48156;&#51452;&#44277;&#49324;\&#46020;&#47196;\&#52649;&#52397;&#45224;&#46020;\&#50612;&#52380;-&#44277;&#51452;\&#44608;&#49437;&#44540;\xls\1\Documents\xls\&#50689;&#44148;&#52629;(&#45432;&#51064;&#51221;&#49888;&#52629;&#44277;&#4932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I:\Users\Click\Downloads\2009-Annual%20Plan\Documents%20and%20Settings\YETBAREK\Desktop\TAMENE%20M\alazar's%20Doc\PAYNO2\A-2%20Resi%20%20200KPA%20PAY-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I:\Users\Click\Downloads\Users\User\Desktop\Monthly%20Schedule%20C-2%20for%20Apr'17(Inflow%20and%20Outflow)%20nioy_2.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I:\Users\Click\Downloads\2009-Annual%20Plan\Documents%20and%20Settings\YETBAREK\Desktop\TAMENE%20M\hiwot%20doc\list%20of%20contractors%20and%20details\BEHAILU%20YESEGATE\Behailu%20Y.%20final%20%20%20payment%20No%201%20to%2010\A-2-payment-10%20%20200Kpa%20res.%20Behailu%20Y..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Z:\Documents%20and%20Settings\Owner\Desktop\yitagess\Micheta%20Direct%20cost\Reports\Monthly%20Report\Tir.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I:\Users\Click\Downloads\Tikur%20Anbessa\Planning%20and%20budgeting\Hidar%20plan%202008\From%20project\COMMENT%20final\Users\HabtamA\Desktop\MALL%20ST\BoQ\Behind%20Arbegnoch%20Building%20Site\BoQ%20%20for%20SHOPPING%20MAL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DDIS\Addis'\Documents%20and%20Settings\Workaferahu\My%20Documents\Addis'\Report\04%2012\modifid%20S.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I:\Users\Click\Downloads\TACON%20PROJECT\TACON%20TIKUR%20ANBESA\TIKUR%20ANBESSA\Planning%20and%20budgeting\4th%20quarter%20plan%20revised\4th%20quarter%20plan%20from%20head%20office\Miazia%20-%20Sene%202008%20monthly%20plan%20head%20office%20.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ESKEREMYA-PC\Users\Users\user\AppData\Local\Temp\FINAL%20CBE%20BoQ\Heavy%20duty%20kitchen\Heavy%20duty%202012\HOTEL%20BELEVIUE\Verbilan%20attachement%20Bellevue.xl"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I:\Users\Click\Downloads\Documents%20and%20Settings\YETBAREK\Desktop\TAMENE%20M\hiwot%20doc\list%20of%20contractors%20and%20details\YOKA%20CONSTRUCTION\Yoka%20cosntruction%20payment%206%20to%208\A-2%20300kpa-payment-6%20TO%208%20%20yoka%20re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I:\Users\Click\Downloads\One%20Year%20Revised%20Work%20Schedule(Sep'16~Jun'17)-Final\BUDGET%203-MONTH\C-I.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yitagess\Micheta%20Direct%20cost\Reports\Weekly%20Report\Week%204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I:\Users\Click\Downloads\Documents%20and%20Settings\Administrator\My%20Documents\MASTER%20MODEL%20and%20trafo%20reports\Users\FITCHE\HALIMAKW.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I:\Users\Click\Downloads\Sample%20Crew%20Formation%20format%20for%20wr.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1775\send\&#49892;&#54665;(&#44221;&#4870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yitagess\Micheta%20Direct%20cost\Reports\Master%20schedule\Annual%20report(rev.).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B:\WINDOWS\Personal\&#51060;&#48169;&#51648;&#44396;1\&#51060;&#48169;&#44277;&#49324;.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44608;&#48337;&#44508;\&#51109;&#54637;&#49440;4&#44277;&#44396;\KANG\HWP\HWP\DF98513\PROJECT\LOAD\BONGSAN\BONG\HWP\OUT\YE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I:\Users\Click\Downloads\Users\Temesgen\AppData\Roaming\Microsoft\Excel\Internal%20Plan%20fr%20Yared\Internal%20Schedule\&#45733;&#46041;&#53552;&#45328;\&#49328;&#52636;&#49436;\&#44221;&#4851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I:\Users\Click\Downloads\Users\Temesgen\AppData\Roaming\Microsoft\Excel\Internal%20Plan%20fr%20Yared\Internal%20Schedule\DOC\&#49892;&#54665;\&#49340;&#52377;&#44540;&#45909;\&#52488;&#44592;&#44160;&#5366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B:\&#45224;&#51648;&#49324;&#50629;&#48708;(&#52280;&#4425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44608;&#48337;&#44508;\&#51109;&#54637;&#49440;4&#44277;&#44396;\WINDOWS\TEMP\&#50896;&#48376;\HIH\BATGIBAN\&#48173;&#44592;&#48152;97.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B:\&#48372;&#50756;&#48143;&#48372;&#44256;\&#44228;&#54925;&#48372;&#50756;(&#51060;&#48169;)\&#51060;&#48169;'99.10.25\&#51060;&#48169;&#44277;&#49324;&#48708;('99&#48372;&#50756;&#49436;)-99.10.15.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JBH.DAT\SHEET\ETC\&#44592;&#53440;\BONG-X.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B:\Esti99\&#47560;&#47532;&#49569;&#51221;\&#50629;&#52404;&#48708;&#44368;.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44608;&#48337;&#44508;\&#51109;&#54637;&#49440;4&#44277;&#44396;\PROJECT\KANG\HWP\OK\HWP\DF98513\PROJECT\LOAD\BONGSAN\BONG\HWP\OUT\YE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B:\&#48372;&#50756;&#48143;&#48372;&#44256;\&#44228;&#54925;&#48372;&#50756;(&#44305;&#49328;'99)\My%20Document\&#51060;&#53468;&#46041;\&#49548;&#50556;\98&#44277;&#51221;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I:\Users\Click\Downloads\&#22467;&#22622;&#36164;&#26009;\&#22467;&#22622;&#20844;&#36335;&#39033;&#30446;&#37096;&#25991;&#20214;\2014&#24180;&#25991;&#20214;\&#25253;&#30417;&#29702;&#12289;&#19994;&#20027;&#20449;&#20989;\ERA%20&amp;%20DANA\DANA%20&#20449;&#20989;\&#30417;&#29702;-042&#21495;&#20989;-&#25552;&#20132;&#24037;&#31243;&#35745;&#21010;&#30340;&#25253;&#21578;&#20462;&#25913;-2014.7.18\&#33495;&#23614;&#22823;&#22365;&#26631;&#20070;&#31295;(&#31532;&#19968;&#31295;).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K:\&#36896;&#20215;&#36164;&#26009;\&#25335;&#36125;&#36164;&#26009;\&#23621;&#29995;&#28193;&#22823;&#22365;&#26631;\&#23621;&#29995;&#28193;&#22823;&#22365;&#26631;\&#23621;&#29995;&#28193;&#22823;&#22365;&#26631;\&#25237;&#26631;&#25991;&#20214;\&#21830;&#21153;&#25991;&#20214;\&#23621;&#29995;&#28193;&#22823;&#22365;&#26631;3.42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I:\Users\Click\Downloads\&#22467;&#22622;&#36164;&#26009;\&#22467;&#22622;&#20844;&#36335;&#39033;&#30446;&#37096;&#25991;&#20214;\2014&#24180;&#25991;&#20214;\&#25253;&#30417;&#29702;&#12289;&#19994;&#20027;&#20449;&#20989;\ERA%20&amp;%20DANA\DANA%20&#20449;&#20989;\&#30417;&#29702;-042&#21495;&#20989;-&#25552;&#20132;&#24037;&#31243;&#35745;&#21010;&#30340;&#25253;&#21578;&#20462;&#25913;-2014.7.18\2012&#22622;&#20869;&#21152;&#23572;\&#22622;&#20869;&#21152;&#23572;&#30005;&#21147;&#24314;&#35774;&#39033;&#30446;2012-11-21&#27700;&#30005;&#22235;&#23616;\&#22622;&#20869;&#21152;&#23572;&#30005;&#32593;&#39033;&#30446;&#25253;&#20215;2012-11-23&#25353;&#38598;&#22242;&#35780;&#23457;&#24847;&#35265;&#20462;&#25913;&#31295;.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I:\Users\Click\Downloads\&#22467;&#22622;&#36164;&#26009;\&#22467;&#22622;&#20844;&#36335;&#39033;&#30446;&#37096;&#25991;&#20214;\2014&#24180;&#25991;&#20214;\&#25253;&#30417;&#29702;&#12289;&#19994;&#20027;&#20449;&#20989;\ERA%20&amp;%20DANA\DANA%20&#20449;&#20989;\&#30417;&#29702;-042&#21495;&#20989;-&#25552;&#20132;&#24037;&#31243;&#35745;&#21010;&#30340;&#25253;&#21578;&#20462;&#25913;-2014.7.18\Construction%20Works%20of%20Felegebrihan%20&#8211;%20Bahirdar%20Road%20-%20&#21103;&#26412;.xls"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26448;&#26009;&#24211;"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Users\Click\Downloads\&#22467;&#22622;&#36164;&#26009;\&#22467;&#22622;&#20844;&#36335;&#39033;&#30446;&#37096;&#25991;&#20214;\2014&#24180;&#25991;&#20214;\&#25253;&#30417;&#29702;&#12289;&#19994;&#20027;&#20449;&#20989;\ERA%20&amp;%20DANA\DANA%20&#20449;&#20989;\&#30417;&#29702;-042&#21495;&#20989;-&#25552;&#20132;&#24037;&#31243;&#35745;&#21010;&#30340;&#25253;&#21578;&#20462;&#25913;-2014.7.18\&#26472;&#24503;&#24935;&#24037;&#20316;\&#27611;&#23478;&#27827;&#22823;&#22365;&#25237;&#26631;&#25253;&#20215;\&#26472;&#24503;&#24935;&#24037;&#20316;\&#27704;&#23450;&#26725;&#27700;&#21033;&#24037;&#31243;\&#36827;&#26631;&#20070;\&#21830;&#21153;&#25991;&#20214;\&#24352;&#27827;&#28286;&#25237;&#26631;&#25991;&#20214;\&#31532;&#19968;&#31295;%20&#24352;&#27827;&#28286;&#26426;&#30005;&#23433;&#35013;.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I:\Users\Click\Downloads\&#22467;&#22622;&#36164;&#26009;\&#22467;&#22622;&#20844;&#36335;&#39033;&#30446;&#37096;&#25991;&#20214;\2014&#24180;&#25991;&#20214;\&#25253;&#30417;&#29702;&#12289;&#19994;&#20027;&#20449;&#20989;\ERA%20&amp;%20DANA\DANA%20&#20449;&#20989;\&#30417;&#29702;-042&#21495;&#20989;-&#25552;&#20132;&#24037;&#31243;&#35745;&#21010;&#30340;&#25253;&#21578;&#20462;&#25913;-2014.7.18\&#26472;&#24503;&#24935;&#24037;&#20316;\&#27611;&#23478;&#27827;&#22823;&#22365;&#25237;&#26631;&#25253;&#20215;\&#26472;&#24503;&#24935;&#24037;&#20316;\&#27704;&#23450;&#26725;&#27700;&#21033;&#24037;&#31243;\&#36827;&#26631;&#20070;\&#21830;&#21153;&#25991;&#20214;\&#24352;&#27827;&#28286;&#25237;&#26631;&#25991;&#20214;\&#24352;&#27827;&#28286;&#21378;&#25151;&#25253;&#20215;&#65288;&#26631;&#20070;&#6528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Weekly%20Report%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
      <sheetName val="내역"/>
      <sheetName val="전기"/>
      <sheetName val="선산토공"/>
      <sheetName val="대보토공"/>
      <sheetName val="선산철콘"/>
      <sheetName val="대보철콘"/>
      <sheetName val="강교"/>
      <sheetName val="하도총괄"/>
      <sheetName val="포기원"/>
      <sheetName val="달천교자재"/>
      <sheetName val="BOQ-Summary_Form A1"/>
      <sheetName val="BOQ-Summary_Form A2"/>
      <sheetName val="BOQ-Summary_Form A3"/>
      <sheetName val="Attachment_A"/>
      <sheetName val="elect QC"/>
      <sheetName val="Quezon"/>
      <sheetName val="bulcan"/>
      <sheetName val="Bulacan"/>
      <sheetName val="현장관리비 산출내역"/>
      <sheetName val="품의"/>
      <sheetName val="대비"/>
      <sheetName val="간접"/>
      <sheetName val="견적대비표"/>
      <sheetName val="입찰내역서"/>
      <sheetName val="지계"/>
      <sheetName val="단면 (2)"/>
      <sheetName val="CAT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부안일위"/>
      <sheetName val="부안공사비"/>
      <sheetName val="총괄표"/>
      <sheetName val="표지"/>
      <sheetName val="공량산출서"/>
      <sheetName val="전기"/>
      <sheetName val="간접"/>
      <sheetName val="기성2"/>
      <sheetName val="부안양수9910"/>
      <sheetName val="문학간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
      <sheetName val="장비"/>
      <sheetName val="자재"/>
      <sheetName val="산집"/>
      <sheetName val="산근1"/>
      <sheetName val="산근2"/>
    </sheetNames>
    <sheetDataSet>
      <sheetData sheetId="0" refreshError="1"/>
      <sheetData sheetId="1" refreshError="1">
        <row r="16">
          <cell r="M16">
            <v>20000</v>
          </cell>
        </row>
        <row r="20">
          <cell r="M20">
            <v>25000</v>
          </cell>
        </row>
        <row r="21">
          <cell r="M21">
            <v>4134</v>
          </cell>
        </row>
        <row r="32">
          <cell r="M32">
            <v>17000</v>
          </cell>
        </row>
        <row r="33">
          <cell r="M33">
            <v>6593</v>
          </cell>
        </row>
        <row r="36">
          <cell r="M36">
            <v>25000</v>
          </cell>
        </row>
        <row r="37">
          <cell r="M37">
            <v>8052</v>
          </cell>
        </row>
        <row r="40">
          <cell r="M40">
            <v>20000</v>
          </cell>
        </row>
        <row r="41">
          <cell r="M41">
            <v>3855</v>
          </cell>
        </row>
        <row r="44">
          <cell r="M44">
            <v>18000</v>
          </cell>
        </row>
        <row r="45">
          <cell r="M45">
            <v>3175</v>
          </cell>
        </row>
        <row r="48">
          <cell r="M48">
            <v>20000</v>
          </cell>
        </row>
        <row r="49">
          <cell r="M49">
            <v>3477</v>
          </cell>
        </row>
        <row r="52">
          <cell r="M52">
            <v>20000</v>
          </cell>
        </row>
        <row r="53">
          <cell r="M53">
            <v>5343</v>
          </cell>
        </row>
        <row r="56">
          <cell r="M56">
            <v>20000</v>
          </cell>
        </row>
        <row r="57">
          <cell r="M57">
            <v>4422</v>
          </cell>
        </row>
        <row r="124">
          <cell r="M124">
            <v>1500</v>
          </cell>
        </row>
        <row r="132">
          <cell r="M132">
            <v>4500</v>
          </cell>
        </row>
        <row r="133">
          <cell r="M133">
            <v>5254</v>
          </cell>
        </row>
        <row r="144">
          <cell r="M144">
            <v>500</v>
          </cell>
        </row>
        <row r="160">
          <cell r="M160">
            <v>9000</v>
          </cell>
        </row>
        <row r="161">
          <cell r="M161">
            <v>4273</v>
          </cell>
        </row>
        <row r="164">
          <cell r="M164">
            <v>9000</v>
          </cell>
        </row>
        <row r="165">
          <cell r="M165">
            <v>7541</v>
          </cell>
        </row>
        <row r="176">
          <cell r="M176">
            <v>3000</v>
          </cell>
        </row>
        <row r="177">
          <cell r="M177">
            <v>4989</v>
          </cell>
        </row>
        <row r="188">
          <cell r="M188">
            <v>50</v>
          </cell>
        </row>
        <row r="220">
          <cell r="M220">
            <v>2202</v>
          </cell>
        </row>
        <row r="221">
          <cell r="M221">
            <v>1113</v>
          </cell>
        </row>
        <row r="236">
          <cell r="M236">
            <v>1500</v>
          </cell>
        </row>
        <row r="237">
          <cell r="M237">
            <v>0</v>
          </cell>
        </row>
        <row r="240">
          <cell r="M240">
            <v>4000</v>
          </cell>
        </row>
        <row r="241">
          <cell r="M241">
            <v>1723</v>
          </cell>
        </row>
      </sheetData>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
      <sheetName val="장비"/>
      <sheetName val="자재"/>
      <sheetName val="산집"/>
      <sheetName val="산근1"/>
      <sheetName val="산근2"/>
    </sheetNames>
    <sheetDataSet>
      <sheetData sheetId="0" refreshError="1"/>
      <sheetData sheetId="1" refreshError="1">
        <row r="16">
          <cell r="M16">
            <v>20000</v>
          </cell>
        </row>
        <row r="20">
          <cell r="M20">
            <v>25000</v>
          </cell>
        </row>
        <row r="21">
          <cell r="M21">
            <v>4134</v>
          </cell>
        </row>
        <row r="32">
          <cell r="M32">
            <v>17000</v>
          </cell>
        </row>
        <row r="33">
          <cell r="M33">
            <v>6593</v>
          </cell>
        </row>
        <row r="36">
          <cell r="M36">
            <v>25000</v>
          </cell>
        </row>
        <row r="37">
          <cell r="M37">
            <v>8052</v>
          </cell>
        </row>
        <row r="40">
          <cell r="M40">
            <v>20000</v>
          </cell>
        </row>
        <row r="41">
          <cell r="M41">
            <v>3855</v>
          </cell>
        </row>
        <row r="44">
          <cell r="M44">
            <v>18000</v>
          </cell>
        </row>
        <row r="45">
          <cell r="M45">
            <v>3175</v>
          </cell>
        </row>
        <row r="48">
          <cell r="M48">
            <v>20000</v>
          </cell>
        </row>
        <row r="49">
          <cell r="M49">
            <v>3477</v>
          </cell>
        </row>
        <row r="52">
          <cell r="M52">
            <v>20000</v>
          </cell>
        </row>
        <row r="53">
          <cell r="M53">
            <v>5343</v>
          </cell>
        </row>
        <row r="56">
          <cell r="M56">
            <v>20000</v>
          </cell>
        </row>
        <row r="57">
          <cell r="M57">
            <v>4422</v>
          </cell>
        </row>
        <row r="132">
          <cell r="M132">
            <v>4500</v>
          </cell>
        </row>
        <row r="133">
          <cell r="M133">
            <v>5254</v>
          </cell>
        </row>
        <row r="144">
          <cell r="M144">
            <v>500</v>
          </cell>
        </row>
        <row r="160">
          <cell r="M160">
            <v>9000</v>
          </cell>
        </row>
        <row r="161">
          <cell r="M161">
            <v>4273</v>
          </cell>
        </row>
        <row r="164">
          <cell r="M164">
            <v>9000</v>
          </cell>
        </row>
        <row r="165">
          <cell r="M165">
            <v>7541</v>
          </cell>
        </row>
        <row r="176">
          <cell r="M176">
            <v>3000</v>
          </cell>
        </row>
        <row r="177">
          <cell r="M177">
            <v>4989</v>
          </cell>
        </row>
        <row r="188">
          <cell r="M188">
            <v>50</v>
          </cell>
        </row>
        <row r="220">
          <cell r="M220">
            <v>2202</v>
          </cell>
        </row>
        <row r="221">
          <cell r="M221">
            <v>1113</v>
          </cell>
        </row>
        <row r="236">
          <cell r="M236">
            <v>1500</v>
          </cell>
        </row>
        <row r="237">
          <cell r="M237">
            <v>0</v>
          </cell>
        </row>
        <row r="240">
          <cell r="M240">
            <v>4000</v>
          </cell>
        </row>
        <row r="241">
          <cell r="M241">
            <v>1723</v>
          </cell>
        </row>
      </sheetData>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
      <sheetName val="장비"/>
      <sheetName val="자재"/>
      <sheetName val="산집"/>
      <sheetName val="산근1"/>
      <sheetName val="산근2"/>
      <sheetName val="laroux"/>
    </sheetNames>
    <sheetDataSet>
      <sheetData sheetId="0" refreshError="1"/>
      <sheetData sheetId="1" refreshError="1">
        <row r="16">
          <cell r="M16">
            <v>20000</v>
          </cell>
        </row>
        <row r="20">
          <cell r="M20">
            <v>25000</v>
          </cell>
        </row>
        <row r="21">
          <cell r="M21">
            <v>4134</v>
          </cell>
        </row>
        <row r="32">
          <cell r="M32">
            <v>17000</v>
          </cell>
        </row>
        <row r="33">
          <cell r="M33">
            <v>6593</v>
          </cell>
        </row>
        <row r="36">
          <cell r="M36">
            <v>25000</v>
          </cell>
        </row>
        <row r="37">
          <cell r="M37">
            <v>8052</v>
          </cell>
        </row>
        <row r="40">
          <cell r="M40">
            <v>20000</v>
          </cell>
        </row>
        <row r="41">
          <cell r="M41">
            <v>3855</v>
          </cell>
        </row>
        <row r="44">
          <cell r="M44">
            <v>18000</v>
          </cell>
        </row>
        <row r="45">
          <cell r="M45">
            <v>3175</v>
          </cell>
        </row>
        <row r="48">
          <cell r="M48">
            <v>20000</v>
          </cell>
        </row>
        <row r="49">
          <cell r="M49">
            <v>3477</v>
          </cell>
        </row>
        <row r="52">
          <cell r="M52">
            <v>20000</v>
          </cell>
        </row>
        <row r="53">
          <cell r="M53">
            <v>5343</v>
          </cell>
        </row>
        <row r="56">
          <cell r="M56">
            <v>20000</v>
          </cell>
        </row>
        <row r="57">
          <cell r="M57">
            <v>4422</v>
          </cell>
        </row>
        <row r="132">
          <cell r="M132">
            <v>4500</v>
          </cell>
        </row>
        <row r="133">
          <cell r="M133">
            <v>5254</v>
          </cell>
        </row>
        <row r="144">
          <cell r="M144">
            <v>500</v>
          </cell>
        </row>
        <row r="160">
          <cell r="M160">
            <v>9000</v>
          </cell>
        </row>
        <row r="161">
          <cell r="M161">
            <v>4273</v>
          </cell>
        </row>
        <row r="164">
          <cell r="M164">
            <v>9000</v>
          </cell>
        </row>
        <row r="165">
          <cell r="M165">
            <v>7541</v>
          </cell>
        </row>
        <row r="176">
          <cell r="M176">
            <v>3000</v>
          </cell>
        </row>
        <row r="177">
          <cell r="M177">
            <v>4989</v>
          </cell>
        </row>
        <row r="188">
          <cell r="M188">
            <v>50</v>
          </cell>
        </row>
        <row r="220">
          <cell r="M220">
            <v>2202</v>
          </cell>
        </row>
        <row r="221">
          <cell r="M221">
            <v>1113</v>
          </cell>
        </row>
        <row r="236">
          <cell r="M236">
            <v>1500</v>
          </cell>
        </row>
        <row r="237">
          <cell r="M237">
            <v>0</v>
          </cell>
        </row>
        <row r="240">
          <cell r="M240">
            <v>4000</v>
          </cell>
        </row>
        <row r="241">
          <cell r="M241">
            <v>1723</v>
          </cell>
        </row>
      </sheetData>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
      <sheetName val="장비"/>
      <sheetName val="자재"/>
      <sheetName val="산집"/>
      <sheetName val="산근1"/>
      <sheetName val="산근2"/>
    </sheetNames>
    <sheetDataSet>
      <sheetData sheetId="0" refreshError="1"/>
      <sheetData sheetId="1" refreshError="1">
        <row r="16">
          <cell r="M16">
            <v>20000</v>
          </cell>
        </row>
        <row r="17">
          <cell r="M17">
            <v>9570</v>
          </cell>
        </row>
        <row r="20">
          <cell r="M20">
            <v>25000</v>
          </cell>
        </row>
        <row r="21">
          <cell r="M21">
            <v>4134</v>
          </cell>
        </row>
        <row r="32">
          <cell r="M32">
            <v>17000</v>
          </cell>
        </row>
        <row r="33">
          <cell r="M33">
            <v>6593</v>
          </cell>
        </row>
        <row r="36">
          <cell r="M36">
            <v>25000</v>
          </cell>
        </row>
        <row r="37">
          <cell r="M37">
            <v>8052</v>
          </cell>
        </row>
        <row r="40">
          <cell r="M40">
            <v>20000</v>
          </cell>
        </row>
        <row r="41">
          <cell r="M41">
            <v>3855</v>
          </cell>
        </row>
        <row r="44">
          <cell r="M44">
            <v>18000</v>
          </cell>
        </row>
        <row r="45">
          <cell r="M45">
            <v>3175</v>
          </cell>
        </row>
        <row r="48">
          <cell r="M48">
            <v>20000</v>
          </cell>
        </row>
        <row r="49">
          <cell r="M49">
            <v>3477</v>
          </cell>
        </row>
        <row r="52">
          <cell r="M52">
            <v>20000</v>
          </cell>
        </row>
        <row r="53">
          <cell r="M53">
            <v>5343</v>
          </cell>
        </row>
        <row r="56">
          <cell r="M56">
            <v>20000</v>
          </cell>
        </row>
        <row r="57">
          <cell r="M57">
            <v>4422</v>
          </cell>
        </row>
        <row r="84">
          <cell r="M84">
            <v>40000</v>
          </cell>
        </row>
        <row r="85">
          <cell r="M85">
            <v>4216</v>
          </cell>
        </row>
        <row r="124">
          <cell r="M124">
            <v>1500</v>
          </cell>
        </row>
        <row r="125">
          <cell r="M125">
            <v>2305</v>
          </cell>
        </row>
        <row r="132">
          <cell r="M132">
            <v>4500</v>
          </cell>
        </row>
        <row r="133">
          <cell r="M133">
            <v>5254</v>
          </cell>
        </row>
        <row r="144">
          <cell r="M144">
            <v>500</v>
          </cell>
        </row>
        <row r="160">
          <cell r="M160">
            <v>9000</v>
          </cell>
        </row>
        <row r="161">
          <cell r="M161">
            <v>4273</v>
          </cell>
        </row>
        <row r="164">
          <cell r="M164">
            <v>9000</v>
          </cell>
        </row>
        <row r="165">
          <cell r="M165">
            <v>7541</v>
          </cell>
        </row>
        <row r="176">
          <cell r="M176">
            <v>3000</v>
          </cell>
        </row>
        <row r="177">
          <cell r="M177">
            <v>4989</v>
          </cell>
        </row>
        <row r="188">
          <cell r="M188">
            <v>50</v>
          </cell>
        </row>
        <row r="220">
          <cell r="M220">
            <v>2202</v>
          </cell>
        </row>
        <row r="221">
          <cell r="M221">
            <v>1113</v>
          </cell>
        </row>
        <row r="236">
          <cell r="M236">
            <v>1500</v>
          </cell>
        </row>
        <row r="237">
          <cell r="M237">
            <v>0</v>
          </cell>
        </row>
        <row r="240">
          <cell r="M240">
            <v>4000</v>
          </cell>
        </row>
        <row r="241">
          <cell r="M241">
            <v>1723</v>
          </cell>
        </row>
      </sheetData>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
      <sheetName val="장비"/>
      <sheetName val="자재"/>
      <sheetName val="산집"/>
      <sheetName val="산근1"/>
      <sheetName val="산근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
      <sheetName val="장비"/>
      <sheetName val="자재"/>
      <sheetName val="산집"/>
      <sheetName val="산근1"/>
      <sheetName val="산근2"/>
      <sheetName val="laroux"/>
      <sheetName val="자압1"/>
      <sheetName val="노무비"/>
    </sheetNames>
    <sheetDataSet>
      <sheetData sheetId="0" refreshError="1">
        <row r="3">
          <cell r="D3">
            <v>70000</v>
          </cell>
        </row>
        <row r="6">
          <cell r="H6">
            <v>80000</v>
          </cell>
        </row>
        <row r="7">
          <cell r="H7">
            <v>70000</v>
          </cell>
        </row>
        <row r="8">
          <cell r="D8">
            <v>50000</v>
          </cell>
          <cell r="H8">
            <v>100000</v>
          </cell>
        </row>
        <row r="9">
          <cell r="D9">
            <v>90000</v>
          </cell>
        </row>
        <row r="10">
          <cell r="D10">
            <v>100000</v>
          </cell>
        </row>
        <row r="11">
          <cell r="D11">
            <v>80000</v>
          </cell>
        </row>
      </sheetData>
      <sheetData sheetId="1" refreshError="1">
        <row r="16">
          <cell r="M16">
            <v>20000</v>
          </cell>
        </row>
        <row r="17">
          <cell r="M17">
            <v>9570</v>
          </cell>
        </row>
        <row r="20">
          <cell r="M20">
            <v>25000</v>
          </cell>
        </row>
        <row r="21">
          <cell r="M21">
            <v>4134</v>
          </cell>
        </row>
        <row r="32">
          <cell r="M32">
            <v>17000</v>
          </cell>
        </row>
        <row r="33">
          <cell r="M33">
            <v>6593</v>
          </cell>
        </row>
        <row r="36">
          <cell r="M36">
            <v>25000</v>
          </cell>
        </row>
        <row r="37">
          <cell r="M37">
            <v>8052</v>
          </cell>
        </row>
        <row r="40">
          <cell r="M40">
            <v>20000</v>
          </cell>
        </row>
        <row r="41">
          <cell r="M41">
            <v>3855</v>
          </cell>
        </row>
        <row r="44">
          <cell r="M44">
            <v>18000</v>
          </cell>
        </row>
        <row r="45">
          <cell r="M45">
            <v>3175</v>
          </cell>
        </row>
        <row r="48">
          <cell r="M48">
            <v>20000</v>
          </cell>
        </row>
        <row r="49">
          <cell r="M49">
            <v>3477</v>
          </cell>
        </row>
        <row r="52">
          <cell r="M52">
            <v>20000</v>
          </cell>
        </row>
        <row r="53">
          <cell r="M53">
            <v>5343</v>
          </cell>
        </row>
        <row r="56">
          <cell r="M56">
            <v>20000</v>
          </cell>
        </row>
        <row r="57">
          <cell r="M57">
            <v>4422</v>
          </cell>
        </row>
        <row r="84">
          <cell r="M84">
            <v>40000</v>
          </cell>
        </row>
        <row r="85">
          <cell r="M85">
            <v>4216</v>
          </cell>
        </row>
        <row r="100">
          <cell r="M100">
            <v>23000</v>
          </cell>
        </row>
        <row r="101">
          <cell r="M101">
            <v>3024</v>
          </cell>
        </row>
        <row r="104">
          <cell r="M104">
            <v>11000</v>
          </cell>
        </row>
        <row r="105">
          <cell r="M105">
            <v>4838</v>
          </cell>
        </row>
        <row r="124">
          <cell r="M124">
            <v>1500</v>
          </cell>
        </row>
        <row r="125">
          <cell r="M125">
            <v>2305</v>
          </cell>
        </row>
        <row r="132">
          <cell r="M132">
            <v>4500</v>
          </cell>
        </row>
        <row r="133">
          <cell r="M133">
            <v>5254</v>
          </cell>
        </row>
        <row r="144">
          <cell r="M144">
            <v>500</v>
          </cell>
        </row>
        <row r="160">
          <cell r="M160">
            <v>9000</v>
          </cell>
        </row>
        <row r="161">
          <cell r="M161">
            <v>4273</v>
          </cell>
        </row>
        <row r="164">
          <cell r="M164">
            <v>9000</v>
          </cell>
        </row>
        <row r="165">
          <cell r="M165">
            <v>7541</v>
          </cell>
        </row>
        <row r="176">
          <cell r="M176">
            <v>3000</v>
          </cell>
        </row>
        <row r="177">
          <cell r="M177">
            <v>4989</v>
          </cell>
        </row>
        <row r="188">
          <cell r="M188">
            <v>50</v>
          </cell>
        </row>
        <row r="220">
          <cell r="M220">
            <v>2202</v>
          </cell>
        </row>
        <row r="221">
          <cell r="M221">
            <v>1113</v>
          </cell>
        </row>
        <row r="236">
          <cell r="M236">
            <v>1500</v>
          </cell>
        </row>
        <row r="237">
          <cell r="M237">
            <v>0</v>
          </cell>
        </row>
        <row r="240">
          <cell r="M240">
            <v>4000</v>
          </cell>
        </row>
        <row r="241">
          <cell r="M241">
            <v>1723</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D"/>
      <sheetName val="공량산출서"/>
      <sheetName val="공내역"/>
      <sheetName val="#REF"/>
      <sheetName val="집계표"/>
      <sheetName val="실행철강하도"/>
      <sheetName val="일반공사"/>
      <sheetName val="갑지"/>
      <sheetName val="입찰안"/>
      <sheetName val="차액보증"/>
      <sheetName val="노임"/>
      <sheetName val="저"/>
      <sheetName val="SG"/>
      <sheetName val="토공"/>
      <sheetName val="배수공"/>
      <sheetName val="구조물공"/>
      <sheetName val="포장공"/>
      <sheetName val="부대공"/>
      <sheetName val="실행대비"/>
      <sheetName val="공내역(해미1공구)"/>
      <sheetName val="진짜설계"/>
      <sheetName val="JUCKEYK"/>
      <sheetName val="조건표"/>
      <sheetName val="결과조달"/>
      <sheetName val="내역"/>
      <sheetName val="일위대가"/>
      <sheetName val="도급"/>
      <sheetName val="PreviousCurrentAccum(Weekly)"/>
      <sheetName val="장비"/>
      <sheetName val="노무"/>
      <sheetName val="자재"/>
      <sheetName val="산근1"/>
      <sheetName val="전 기"/>
      <sheetName val="A"/>
      <sheetName val="pc (Total.)"/>
      <sheetName val="Summary of IPC "/>
      <sheetName val="Summary of Bill Items "/>
      <sheetName val="Price Adjustment."/>
      <sheetName val="PA"/>
      <sheetName val="Material On Site"/>
      <sheetName val="Detail Bill Items"/>
      <sheetName val="Back Up"/>
      <sheetName val="Vehicles"/>
      <sheetName val="Pav. &amp; EW"/>
      <sheetName val="Earth Work"/>
      <sheetName val="Pipe"/>
      <sheetName val="Slab"/>
      <sheetName val="Bridge &amp; RW"/>
      <sheetName val="Day Works"/>
      <sheetName val="Sheet1"/>
      <sheetName val="Sheet3"/>
    </sheetNames>
    <sheetDataSet>
      <sheetData sheetId="0" refreshError="1">
        <row r="1">
          <cell r="A1" t="str">
            <v>명 칭</v>
          </cell>
          <cell r="C1" t="str">
            <v>수 량</v>
          </cell>
          <cell r="D1" t="str">
            <v>단 위</v>
          </cell>
          <cell r="E1" t="str">
            <v>단 가</v>
          </cell>
          <cell r="F1" t="str">
            <v>금 액</v>
          </cell>
          <cell r="G1" t="str">
            <v>비 고</v>
          </cell>
        </row>
        <row r="2">
          <cell r="A2" t="str">
            <v>해미-덕산(제1공구)간도로확장 및 포장공사</v>
          </cell>
          <cell r="E2">
            <v>0</v>
          </cell>
          <cell r="F2">
            <v>0</v>
          </cell>
        </row>
        <row r="3">
          <cell r="A3" t="str">
            <v>1.토          공</v>
          </cell>
          <cell r="E3">
            <v>0</v>
          </cell>
          <cell r="F3">
            <v>0</v>
          </cell>
        </row>
        <row r="4">
          <cell r="A4" t="str">
            <v>1.01기존구조물철거공</v>
          </cell>
          <cell r="E4">
            <v>0</v>
          </cell>
          <cell r="F4">
            <v>0</v>
          </cell>
        </row>
        <row r="5">
          <cell r="A5" t="str">
            <v>a.무근콘크리트깨기</v>
          </cell>
          <cell r="E5">
            <v>0</v>
          </cell>
          <cell r="F5">
            <v>0</v>
          </cell>
        </row>
        <row r="6">
          <cell r="A6" t="str">
            <v>-1.무근콘크리트깨기</v>
          </cell>
          <cell r="C6">
            <v>609</v>
          </cell>
          <cell r="D6" t="str">
            <v>M3</v>
          </cell>
          <cell r="E6">
            <v>0</v>
          </cell>
          <cell r="F6">
            <v>0</v>
          </cell>
        </row>
        <row r="7">
          <cell r="A7" t="str">
            <v>-2.무근콘크리트깨기</v>
          </cell>
          <cell r="C7">
            <v>25</v>
          </cell>
          <cell r="D7" t="str">
            <v>M3</v>
          </cell>
          <cell r="E7">
            <v>0</v>
          </cell>
          <cell r="F7">
            <v>0</v>
          </cell>
        </row>
        <row r="8">
          <cell r="A8" t="str">
            <v>b.철근콘크리트깨기</v>
          </cell>
          <cell r="E8">
            <v>0</v>
          </cell>
          <cell r="F8">
            <v>0</v>
          </cell>
        </row>
        <row r="9">
          <cell r="A9" t="str">
            <v>-1.철근콘크리트깨기</v>
          </cell>
          <cell r="C9">
            <v>537</v>
          </cell>
          <cell r="D9" t="str">
            <v>M3</v>
          </cell>
          <cell r="E9">
            <v>0</v>
          </cell>
          <cell r="F9">
            <v>0</v>
          </cell>
        </row>
        <row r="10">
          <cell r="A10" t="str">
            <v>c.석축헐기</v>
          </cell>
          <cell r="C10">
            <v>1555</v>
          </cell>
          <cell r="D10" t="str">
            <v>M2</v>
          </cell>
          <cell r="E10">
            <v>0</v>
          </cell>
          <cell r="F10">
            <v>0</v>
          </cell>
        </row>
        <row r="11">
          <cell r="A11" t="str">
            <v>d.기존포장깨기</v>
          </cell>
          <cell r="E11">
            <v>0</v>
          </cell>
          <cell r="F11">
            <v>0</v>
          </cell>
        </row>
        <row r="12">
          <cell r="A12" t="str">
            <v>-1.콘크리트포장깨기</v>
          </cell>
          <cell r="C12">
            <v>981</v>
          </cell>
          <cell r="D12" t="str">
            <v>M3</v>
          </cell>
          <cell r="E12">
            <v>0</v>
          </cell>
          <cell r="F12">
            <v>0</v>
          </cell>
        </row>
        <row r="13">
          <cell r="A13" t="str">
            <v>-2.아스팔트포장깨기</v>
          </cell>
          <cell r="C13">
            <v>8494</v>
          </cell>
          <cell r="D13" t="str">
            <v>M3</v>
          </cell>
          <cell r="E13">
            <v>0</v>
          </cell>
          <cell r="F13">
            <v>0</v>
          </cell>
        </row>
        <row r="14">
          <cell r="A14" t="str">
            <v>e.보도블럭포장헐기</v>
          </cell>
          <cell r="C14">
            <v>469</v>
          </cell>
          <cell r="D14" t="str">
            <v>M2</v>
          </cell>
          <cell r="E14">
            <v>0</v>
          </cell>
          <cell r="F14">
            <v>0</v>
          </cell>
        </row>
        <row r="15">
          <cell r="A15" t="str">
            <v>f.기계절단</v>
          </cell>
          <cell r="E15">
            <v>0</v>
          </cell>
          <cell r="F15">
            <v>0</v>
          </cell>
        </row>
        <row r="16">
          <cell r="A16" t="str">
            <v>-1.콘크리트절단</v>
          </cell>
          <cell r="C16">
            <v>1219</v>
          </cell>
          <cell r="D16" t="str">
            <v>M</v>
          </cell>
          <cell r="E16">
            <v>0</v>
          </cell>
          <cell r="F16">
            <v>0</v>
          </cell>
        </row>
        <row r="17">
          <cell r="A17" t="str">
            <v>-2.아스팔트포장절단</v>
          </cell>
          <cell r="C17">
            <v>1444</v>
          </cell>
          <cell r="D17" t="str">
            <v>M</v>
          </cell>
          <cell r="E17">
            <v>0</v>
          </cell>
          <cell r="F17">
            <v>0</v>
          </cell>
        </row>
        <row r="18">
          <cell r="A18" t="str">
            <v>1.02.측구 뚝쌓기</v>
          </cell>
          <cell r="C18">
            <v>82</v>
          </cell>
          <cell r="D18" t="str">
            <v>M3</v>
          </cell>
          <cell r="E18">
            <v>0</v>
          </cell>
          <cell r="F18">
            <v>0</v>
          </cell>
        </row>
        <row r="19">
          <cell r="A19" t="str">
            <v>1.03.표토제거</v>
          </cell>
          <cell r="E19">
            <v>0</v>
          </cell>
          <cell r="F19">
            <v>0</v>
          </cell>
        </row>
        <row r="20">
          <cell r="A20" t="str">
            <v>a.답구간</v>
          </cell>
          <cell r="C20">
            <v>2630</v>
          </cell>
          <cell r="D20" t="str">
            <v>M2</v>
          </cell>
          <cell r="E20">
            <v>0</v>
          </cell>
          <cell r="F20">
            <v>0</v>
          </cell>
        </row>
        <row r="21">
          <cell r="A21" t="str">
            <v>b.답외구간</v>
          </cell>
          <cell r="C21">
            <v>26530</v>
          </cell>
          <cell r="D21" t="str">
            <v>M2</v>
          </cell>
          <cell r="E21">
            <v>0</v>
          </cell>
          <cell r="F21">
            <v>0</v>
          </cell>
        </row>
        <row r="22">
          <cell r="A22" t="str">
            <v>1.04.벌개 제근</v>
          </cell>
          <cell r="C22">
            <v>108210</v>
          </cell>
          <cell r="D22" t="str">
            <v>M2</v>
          </cell>
          <cell r="E22">
            <v>0</v>
          </cell>
          <cell r="F22">
            <v>0</v>
          </cell>
        </row>
        <row r="23">
          <cell r="A23" t="str">
            <v>1.05 흙깍기공</v>
          </cell>
          <cell r="E23">
            <v>0</v>
          </cell>
          <cell r="F23">
            <v>0</v>
          </cell>
        </row>
        <row r="24">
          <cell r="A24" t="str">
            <v>a.토사깍기</v>
          </cell>
          <cell r="C24">
            <v>255500</v>
          </cell>
          <cell r="D24" t="str">
            <v>M3</v>
          </cell>
          <cell r="E24">
            <v>0</v>
          </cell>
          <cell r="F24">
            <v>0</v>
          </cell>
        </row>
        <row r="25">
          <cell r="A25" t="str">
            <v>b.리핑암깍기</v>
          </cell>
          <cell r="C25">
            <v>100450</v>
          </cell>
          <cell r="D25" t="str">
            <v>M3</v>
          </cell>
          <cell r="E25">
            <v>0</v>
          </cell>
          <cell r="F25">
            <v>0</v>
          </cell>
        </row>
        <row r="26">
          <cell r="A26" t="str">
            <v>c.발파암깍기</v>
          </cell>
          <cell r="E26">
            <v>0</v>
          </cell>
          <cell r="F26">
            <v>0</v>
          </cell>
        </row>
        <row r="27">
          <cell r="A27" t="str">
            <v>-1.편절암</v>
          </cell>
          <cell r="C27">
            <v>1940</v>
          </cell>
          <cell r="D27" t="str">
            <v>M3</v>
          </cell>
          <cell r="E27">
            <v>0</v>
          </cell>
          <cell r="F27">
            <v>0</v>
          </cell>
        </row>
        <row r="28">
          <cell r="A28" t="str">
            <v>-2.리퍼병행</v>
          </cell>
          <cell r="C28">
            <v>91780</v>
          </cell>
          <cell r="D28" t="str">
            <v>M3</v>
          </cell>
          <cell r="E28">
            <v>0</v>
          </cell>
          <cell r="F28">
            <v>0</v>
          </cell>
        </row>
        <row r="29">
          <cell r="A29" t="str">
            <v>-3.브레이카</v>
          </cell>
          <cell r="C29">
            <v>660</v>
          </cell>
          <cell r="D29" t="str">
            <v>M3</v>
          </cell>
          <cell r="E29">
            <v>0</v>
          </cell>
          <cell r="F29">
            <v>0</v>
          </cell>
        </row>
        <row r="30">
          <cell r="A30" t="str">
            <v>-4.크롤러드릴</v>
          </cell>
          <cell r="C30">
            <v>180140</v>
          </cell>
          <cell r="D30" t="str">
            <v>M3</v>
          </cell>
          <cell r="E30">
            <v>0</v>
          </cell>
          <cell r="F30">
            <v>0</v>
          </cell>
        </row>
        <row r="31">
          <cell r="A31" t="str">
            <v>1.06 흙운반공</v>
          </cell>
          <cell r="E31">
            <v>0</v>
          </cell>
          <cell r="F31">
            <v>0</v>
          </cell>
        </row>
        <row r="32">
          <cell r="A32" t="str">
            <v>a.무    대</v>
          </cell>
          <cell r="E32">
            <v>0</v>
          </cell>
          <cell r="F32">
            <v>0</v>
          </cell>
        </row>
        <row r="33">
          <cell r="A33" t="str">
            <v>-1.토    사</v>
          </cell>
          <cell r="C33">
            <v>58020</v>
          </cell>
          <cell r="E33">
            <v>0</v>
          </cell>
          <cell r="F33">
            <v>0</v>
          </cell>
        </row>
        <row r="34">
          <cell r="A34" t="str">
            <v>-2.리 핑 암</v>
          </cell>
          <cell r="C34">
            <v>2680</v>
          </cell>
          <cell r="E34">
            <v>0</v>
          </cell>
          <cell r="F34">
            <v>0</v>
          </cell>
        </row>
        <row r="35">
          <cell r="A35" t="str">
            <v>-3.발 파 암</v>
          </cell>
          <cell r="C35">
            <v>4220</v>
          </cell>
          <cell r="E35">
            <v>0</v>
          </cell>
          <cell r="F35">
            <v>0</v>
          </cell>
        </row>
        <row r="36">
          <cell r="A36" t="str">
            <v>b.도    쟈</v>
          </cell>
          <cell r="E36">
            <v>0</v>
          </cell>
          <cell r="F36">
            <v>0</v>
          </cell>
        </row>
        <row r="37">
          <cell r="A37" t="str">
            <v>-1.토    사</v>
          </cell>
          <cell r="C37">
            <v>21890</v>
          </cell>
          <cell r="D37" t="str">
            <v>M3</v>
          </cell>
          <cell r="E37">
            <v>0</v>
          </cell>
          <cell r="F37">
            <v>0</v>
          </cell>
        </row>
        <row r="38">
          <cell r="A38" t="str">
            <v>-2.리 핑 암</v>
          </cell>
          <cell r="C38">
            <v>5550</v>
          </cell>
          <cell r="D38" t="str">
            <v>M3</v>
          </cell>
          <cell r="E38">
            <v>0</v>
          </cell>
          <cell r="F38">
            <v>0</v>
          </cell>
        </row>
        <row r="39">
          <cell r="A39" t="str">
            <v>-3.발 파 암</v>
          </cell>
          <cell r="C39">
            <v>13150</v>
          </cell>
          <cell r="D39" t="str">
            <v>M3</v>
          </cell>
          <cell r="E39">
            <v>0</v>
          </cell>
          <cell r="F39">
            <v>0</v>
          </cell>
        </row>
        <row r="40">
          <cell r="A40" t="str">
            <v>c.덤    프</v>
          </cell>
          <cell r="E40">
            <v>0</v>
          </cell>
          <cell r="F40">
            <v>0</v>
          </cell>
        </row>
        <row r="41">
          <cell r="A41" t="str">
            <v>-1.토    사</v>
          </cell>
          <cell r="C41">
            <v>402610</v>
          </cell>
          <cell r="D41" t="str">
            <v>M3</v>
          </cell>
          <cell r="E41">
            <v>0</v>
          </cell>
          <cell r="F41">
            <v>0</v>
          </cell>
        </row>
        <row r="42">
          <cell r="A42" t="str">
            <v>-2.리 핑 암</v>
          </cell>
          <cell r="C42">
            <v>94130</v>
          </cell>
          <cell r="D42" t="str">
            <v>M3</v>
          </cell>
          <cell r="E42">
            <v>0</v>
          </cell>
          <cell r="F42">
            <v>0</v>
          </cell>
        </row>
        <row r="43">
          <cell r="A43" t="str">
            <v>-3.발 파 암</v>
          </cell>
          <cell r="C43">
            <v>259050</v>
          </cell>
          <cell r="D43" t="str">
            <v>M3</v>
          </cell>
          <cell r="E43">
            <v>0</v>
          </cell>
          <cell r="F43">
            <v>0</v>
          </cell>
        </row>
        <row r="44">
          <cell r="A44" t="str">
            <v>d.사토운반</v>
          </cell>
          <cell r="E44">
            <v>0</v>
          </cell>
          <cell r="F44">
            <v>0</v>
          </cell>
        </row>
        <row r="45">
          <cell r="A45" t="str">
            <v>-1.토    사</v>
          </cell>
          <cell r="C45">
            <v>67280</v>
          </cell>
          <cell r="D45" t="str">
            <v>M3</v>
          </cell>
          <cell r="E45">
            <v>0</v>
          </cell>
          <cell r="F45">
            <v>0</v>
          </cell>
        </row>
        <row r="46">
          <cell r="A46" t="str">
            <v>1.07 흙쌓기공</v>
          </cell>
          <cell r="E46">
            <v>0</v>
          </cell>
          <cell r="F46">
            <v>0</v>
          </cell>
        </row>
        <row r="47">
          <cell r="A47" t="str">
            <v>a.노    체</v>
          </cell>
          <cell r="C47">
            <v>630110</v>
          </cell>
          <cell r="D47" t="str">
            <v>M3</v>
          </cell>
          <cell r="E47">
            <v>0</v>
          </cell>
          <cell r="F47">
            <v>0</v>
          </cell>
        </row>
        <row r="48">
          <cell r="A48" t="str">
            <v>b.노    상</v>
          </cell>
          <cell r="C48">
            <v>48850</v>
          </cell>
          <cell r="D48" t="str">
            <v>M3</v>
          </cell>
          <cell r="E48">
            <v>0</v>
          </cell>
          <cell r="F48">
            <v>0</v>
          </cell>
        </row>
        <row r="49">
          <cell r="A49" t="str">
            <v>c.녹 지 대</v>
          </cell>
          <cell r="C49">
            <v>15490</v>
          </cell>
          <cell r="D49" t="str">
            <v>M3</v>
          </cell>
          <cell r="E49">
            <v>0</v>
          </cell>
          <cell r="F49">
            <v>0</v>
          </cell>
        </row>
        <row r="50">
          <cell r="A50" t="str">
            <v>1.08.층따기</v>
          </cell>
          <cell r="C50">
            <v>8590</v>
          </cell>
          <cell r="D50" t="str">
            <v>M3</v>
          </cell>
          <cell r="E50">
            <v>0</v>
          </cell>
          <cell r="F50">
            <v>0</v>
          </cell>
        </row>
        <row r="51">
          <cell r="A51" t="str">
            <v>1.09.노상준비공</v>
          </cell>
          <cell r="E51">
            <v>0</v>
          </cell>
          <cell r="F51">
            <v>0</v>
          </cell>
        </row>
        <row r="52">
          <cell r="A52" t="str">
            <v>a.기존도로부</v>
          </cell>
          <cell r="C52">
            <v>850</v>
          </cell>
          <cell r="D52" t="str">
            <v>M2</v>
          </cell>
          <cell r="E52">
            <v>0</v>
          </cell>
          <cell r="F52">
            <v>0</v>
          </cell>
        </row>
        <row r="53">
          <cell r="A53" t="str">
            <v>b.절토부</v>
          </cell>
          <cell r="C53">
            <v>57250</v>
          </cell>
          <cell r="D53" t="str">
            <v>M2</v>
          </cell>
          <cell r="E53">
            <v>0</v>
          </cell>
          <cell r="F53">
            <v>0</v>
          </cell>
        </row>
        <row r="54">
          <cell r="A54" t="str">
            <v>1.10 비탈면보호공</v>
          </cell>
          <cell r="E54">
            <v>0</v>
          </cell>
          <cell r="F54">
            <v>0</v>
          </cell>
        </row>
        <row r="55">
          <cell r="A55" t="str">
            <v>a.절토부</v>
          </cell>
          <cell r="E55">
            <v>0</v>
          </cell>
          <cell r="F55">
            <v>0</v>
          </cell>
        </row>
        <row r="56">
          <cell r="A56" t="str">
            <v>-1.거적덮기</v>
          </cell>
          <cell r="C56">
            <v>28500</v>
          </cell>
          <cell r="D56" t="str">
            <v>M2</v>
          </cell>
          <cell r="E56">
            <v>0</v>
          </cell>
          <cell r="F56">
            <v>0</v>
          </cell>
        </row>
        <row r="57">
          <cell r="A57" t="str">
            <v>-2.암절개면 보호식재공</v>
          </cell>
          <cell r="C57">
            <v>1160</v>
          </cell>
          <cell r="D57" t="str">
            <v>M2</v>
          </cell>
          <cell r="E57">
            <v>0</v>
          </cell>
          <cell r="F57">
            <v>0</v>
          </cell>
        </row>
        <row r="58">
          <cell r="A58" t="str">
            <v>-3.암절개면 보호식재공</v>
          </cell>
          <cell r="C58">
            <v>2900</v>
          </cell>
          <cell r="D58" t="str">
            <v>M2</v>
          </cell>
          <cell r="E58">
            <v>0</v>
          </cell>
          <cell r="F58">
            <v>0</v>
          </cell>
        </row>
        <row r="59">
          <cell r="A59" t="str">
            <v>b.성토부</v>
          </cell>
          <cell r="E59">
            <v>0</v>
          </cell>
          <cell r="F59">
            <v>0</v>
          </cell>
        </row>
        <row r="60">
          <cell r="A60" t="str">
            <v>-1.성토비탈면 다짐</v>
          </cell>
          <cell r="C60">
            <v>76240</v>
          </cell>
          <cell r="D60" t="str">
            <v>M2</v>
          </cell>
          <cell r="E60">
            <v>0</v>
          </cell>
          <cell r="F60">
            <v>0</v>
          </cell>
        </row>
        <row r="61">
          <cell r="A61" t="str">
            <v>-2.거적덮기</v>
          </cell>
          <cell r="C61">
            <v>76240</v>
          </cell>
          <cell r="D61" t="str">
            <v>M2</v>
          </cell>
          <cell r="E61">
            <v>0</v>
          </cell>
          <cell r="F61">
            <v>0</v>
          </cell>
        </row>
        <row r="62">
          <cell r="A62" t="str">
            <v>c.면고르기</v>
          </cell>
          <cell r="E62">
            <v>0</v>
          </cell>
          <cell r="F62">
            <v>0</v>
          </cell>
        </row>
        <row r="63">
          <cell r="A63" t="str">
            <v>-1.리핑암</v>
          </cell>
          <cell r="C63">
            <v>8530</v>
          </cell>
          <cell r="D63" t="str">
            <v>M2</v>
          </cell>
          <cell r="E63">
            <v>0</v>
          </cell>
          <cell r="F63">
            <v>0</v>
          </cell>
        </row>
        <row r="64">
          <cell r="A64" t="str">
            <v>-2.발파암</v>
          </cell>
          <cell r="C64">
            <v>19420</v>
          </cell>
          <cell r="D64" t="str">
            <v>M2</v>
          </cell>
          <cell r="E64">
            <v>0</v>
          </cell>
          <cell r="F64">
            <v>0</v>
          </cell>
        </row>
        <row r="65">
          <cell r="A65" t="str">
            <v>1.11.공사중비탈면보호시설</v>
          </cell>
          <cell r="E65">
            <v>0</v>
          </cell>
          <cell r="F65">
            <v>0</v>
          </cell>
        </row>
        <row r="66">
          <cell r="A66" t="str">
            <v>a.비탈면가보호망</v>
          </cell>
          <cell r="C66">
            <v>38625</v>
          </cell>
          <cell r="D66" t="str">
            <v>M2</v>
          </cell>
          <cell r="E66">
            <v>0</v>
          </cell>
          <cell r="F66">
            <v>0</v>
          </cell>
        </row>
        <row r="67">
          <cell r="A67" t="str">
            <v>b.가도수로공</v>
          </cell>
          <cell r="C67">
            <v>536</v>
          </cell>
          <cell r="D67" t="str">
            <v>M</v>
          </cell>
          <cell r="E67">
            <v>0</v>
          </cell>
          <cell r="F67">
            <v>0</v>
          </cell>
        </row>
        <row r="68">
          <cell r="A68" t="str">
            <v>1.12.비탈면 안정검토비</v>
          </cell>
          <cell r="E68">
            <v>0</v>
          </cell>
          <cell r="F68">
            <v>0</v>
          </cell>
        </row>
        <row r="69">
          <cell r="A69" t="str">
            <v>a.지표조사비</v>
          </cell>
          <cell r="C69">
            <v>1</v>
          </cell>
          <cell r="D69" t="str">
            <v>P.S</v>
          </cell>
          <cell r="E69">
            <v>0</v>
          </cell>
          <cell r="F69">
            <v>0</v>
          </cell>
        </row>
        <row r="70">
          <cell r="A70" t="str">
            <v>b.시추조사비</v>
          </cell>
          <cell r="E70">
            <v>0</v>
          </cell>
          <cell r="F70">
            <v>0</v>
          </cell>
        </row>
        <row r="71">
          <cell r="A71" t="str">
            <v>-1.기구설치비</v>
          </cell>
          <cell r="C71">
            <v>4</v>
          </cell>
          <cell r="D71" t="str">
            <v>개소</v>
          </cell>
          <cell r="E71">
            <v>0</v>
          </cell>
          <cell r="F71">
            <v>0</v>
          </cell>
        </row>
        <row r="72">
          <cell r="A72" t="str">
            <v>-2.토사층</v>
          </cell>
          <cell r="C72">
            <v>22</v>
          </cell>
          <cell r="D72" t="str">
            <v>M</v>
          </cell>
          <cell r="E72">
            <v>0</v>
          </cell>
          <cell r="F72">
            <v>0</v>
          </cell>
        </row>
        <row r="73">
          <cell r="A73" t="str">
            <v>-3.연암층</v>
          </cell>
          <cell r="C73">
            <v>14</v>
          </cell>
          <cell r="D73" t="str">
            <v>M</v>
          </cell>
          <cell r="E73">
            <v>0</v>
          </cell>
          <cell r="F73">
            <v>0</v>
          </cell>
        </row>
        <row r="74">
          <cell r="A74" t="str">
            <v>-4.경암층</v>
          </cell>
          <cell r="C74">
            <v>81</v>
          </cell>
          <cell r="D74" t="str">
            <v>M</v>
          </cell>
          <cell r="E74">
            <v>0</v>
          </cell>
          <cell r="F74">
            <v>0</v>
          </cell>
        </row>
        <row r="75">
          <cell r="A75" t="str">
            <v>c.탄성파탐사</v>
          </cell>
          <cell r="C75">
            <v>1</v>
          </cell>
          <cell r="D75" t="str">
            <v>P.S</v>
          </cell>
          <cell r="E75">
            <v>0</v>
          </cell>
          <cell r="F75">
            <v>0</v>
          </cell>
        </row>
        <row r="76">
          <cell r="A76" t="str">
            <v>d.실내실험</v>
          </cell>
          <cell r="C76">
            <v>1</v>
          </cell>
          <cell r="D76" t="str">
            <v>P.S</v>
          </cell>
          <cell r="E76">
            <v>0</v>
          </cell>
          <cell r="F76">
            <v>0</v>
          </cell>
        </row>
        <row r="77">
          <cell r="A77" t="str">
            <v>e.성과분석</v>
          </cell>
          <cell r="C77">
            <v>1</v>
          </cell>
          <cell r="D77" t="str">
            <v>P.S</v>
          </cell>
          <cell r="E77">
            <v>0</v>
          </cell>
          <cell r="F77">
            <v>0</v>
          </cell>
        </row>
        <row r="78">
          <cell r="A78" t="str">
            <v>1.13 토공규준틀</v>
          </cell>
          <cell r="E78">
            <v>0</v>
          </cell>
          <cell r="F78">
            <v>0</v>
          </cell>
        </row>
        <row r="79">
          <cell r="A79" t="str">
            <v>a.비탈규준틀</v>
          </cell>
          <cell r="C79">
            <v>197</v>
          </cell>
          <cell r="D79" t="str">
            <v>EA</v>
          </cell>
          <cell r="E79">
            <v>0</v>
          </cell>
          <cell r="F79">
            <v>0</v>
          </cell>
        </row>
        <row r="80">
          <cell r="A80" t="str">
            <v>b.수평규준틀</v>
          </cell>
          <cell r="C80">
            <v>130</v>
          </cell>
          <cell r="D80" t="str">
            <v>EA</v>
          </cell>
          <cell r="E80">
            <v>0</v>
          </cell>
          <cell r="F80">
            <v>0</v>
          </cell>
        </row>
        <row r="81">
          <cell r="A81" t="str">
            <v>1.14 저수지준설</v>
          </cell>
          <cell r="C81">
            <v>91824</v>
          </cell>
          <cell r="D81" t="str">
            <v>M3</v>
          </cell>
          <cell r="E81">
            <v>0</v>
          </cell>
          <cell r="F81">
            <v>0</v>
          </cell>
        </row>
        <row r="82">
          <cell r="A82" t="str">
            <v>2.배    수    공</v>
          </cell>
          <cell r="E82">
            <v>0</v>
          </cell>
          <cell r="F82">
            <v>0</v>
          </cell>
        </row>
        <row r="83">
          <cell r="A83" t="str">
            <v>2.01 토    공</v>
          </cell>
          <cell r="E83">
            <v>0</v>
          </cell>
          <cell r="F83">
            <v>0</v>
          </cell>
        </row>
        <row r="84">
          <cell r="A84" t="str">
            <v>a.측구터파기</v>
          </cell>
          <cell r="E84">
            <v>0</v>
          </cell>
          <cell r="F84">
            <v>0</v>
          </cell>
        </row>
        <row r="85">
          <cell r="A85" t="str">
            <v>-1.측구터파기</v>
          </cell>
          <cell r="C85">
            <v>15690</v>
          </cell>
          <cell r="D85" t="str">
            <v>M3</v>
          </cell>
          <cell r="E85">
            <v>0</v>
          </cell>
          <cell r="F85">
            <v>0</v>
          </cell>
        </row>
        <row r="86">
          <cell r="A86" t="str">
            <v>-2.측구터파기</v>
          </cell>
          <cell r="C86">
            <v>730</v>
          </cell>
          <cell r="D86" t="str">
            <v>M3</v>
          </cell>
          <cell r="E86">
            <v>0</v>
          </cell>
          <cell r="F86">
            <v>0</v>
          </cell>
        </row>
        <row r="87">
          <cell r="A87" t="str">
            <v>-3.측구되메우기및다짐</v>
          </cell>
          <cell r="C87">
            <v>10000</v>
          </cell>
          <cell r="D87" t="str">
            <v>M3</v>
          </cell>
          <cell r="E87">
            <v>0</v>
          </cell>
          <cell r="F87">
            <v>0</v>
          </cell>
        </row>
        <row r="88">
          <cell r="A88" t="str">
            <v>b.구조물터파기</v>
          </cell>
          <cell r="E88">
            <v>0</v>
          </cell>
          <cell r="F88">
            <v>0</v>
          </cell>
        </row>
        <row r="89">
          <cell r="A89" t="str">
            <v>-1.육상토사</v>
          </cell>
          <cell r="C89">
            <v>21670</v>
          </cell>
          <cell r="D89" t="str">
            <v>M3</v>
          </cell>
          <cell r="E89">
            <v>0</v>
          </cell>
          <cell r="F89">
            <v>0</v>
          </cell>
        </row>
        <row r="90">
          <cell r="A90" t="str">
            <v>-2.육상토사</v>
          </cell>
          <cell r="C90">
            <v>10100</v>
          </cell>
          <cell r="D90" t="str">
            <v>M3</v>
          </cell>
          <cell r="E90">
            <v>0</v>
          </cell>
          <cell r="F90">
            <v>0</v>
          </cell>
        </row>
        <row r="91">
          <cell r="A91" t="str">
            <v>-3.육상토사</v>
          </cell>
          <cell r="C91">
            <v>2260</v>
          </cell>
          <cell r="D91" t="str">
            <v>M3</v>
          </cell>
          <cell r="E91">
            <v>0</v>
          </cell>
          <cell r="F91">
            <v>0</v>
          </cell>
        </row>
        <row r="92">
          <cell r="A92" t="str">
            <v>-4.육상토사</v>
          </cell>
          <cell r="C92">
            <v>490</v>
          </cell>
          <cell r="D92" t="str">
            <v>M3</v>
          </cell>
          <cell r="E92">
            <v>0</v>
          </cell>
          <cell r="F92">
            <v>0</v>
          </cell>
        </row>
        <row r="93">
          <cell r="A93" t="str">
            <v>-5.육상토사</v>
          </cell>
          <cell r="C93">
            <v>280</v>
          </cell>
          <cell r="D93" t="str">
            <v>M3</v>
          </cell>
          <cell r="E93">
            <v>0</v>
          </cell>
          <cell r="F93">
            <v>0</v>
          </cell>
        </row>
        <row r="94">
          <cell r="A94" t="str">
            <v>-6.육상토사</v>
          </cell>
          <cell r="C94">
            <v>30</v>
          </cell>
          <cell r="D94" t="str">
            <v>M3</v>
          </cell>
          <cell r="E94">
            <v>0</v>
          </cell>
          <cell r="F94">
            <v>0</v>
          </cell>
        </row>
        <row r="95">
          <cell r="A95" t="str">
            <v>-7.육상리핑암</v>
          </cell>
          <cell r="C95">
            <v>50</v>
          </cell>
          <cell r="D95" t="str">
            <v>M3</v>
          </cell>
          <cell r="E95">
            <v>0</v>
          </cell>
          <cell r="F95">
            <v>0</v>
          </cell>
        </row>
        <row r="96">
          <cell r="A96" t="str">
            <v>-8.육상발파암</v>
          </cell>
          <cell r="C96">
            <v>1200</v>
          </cell>
          <cell r="D96" t="str">
            <v>M3</v>
          </cell>
          <cell r="E96">
            <v>0</v>
          </cell>
          <cell r="F96">
            <v>0</v>
          </cell>
        </row>
        <row r="97">
          <cell r="A97" t="str">
            <v>-9.용수토사</v>
          </cell>
          <cell r="C97">
            <v>3180</v>
          </cell>
          <cell r="D97" t="str">
            <v>M3</v>
          </cell>
          <cell r="E97">
            <v>0</v>
          </cell>
          <cell r="F97">
            <v>0</v>
          </cell>
        </row>
        <row r="98">
          <cell r="A98" t="str">
            <v>-10.용수토사</v>
          </cell>
          <cell r="C98">
            <v>760</v>
          </cell>
          <cell r="D98" t="str">
            <v>M3</v>
          </cell>
          <cell r="E98">
            <v>0</v>
          </cell>
          <cell r="F98">
            <v>0</v>
          </cell>
        </row>
        <row r="99">
          <cell r="A99" t="str">
            <v>c.되메우기(기계50%,인력50%)</v>
          </cell>
          <cell r="C99">
            <v>23070</v>
          </cell>
          <cell r="D99" t="str">
            <v>M3</v>
          </cell>
          <cell r="E99">
            <v>0</v>
          </cell>
          <cell r="F99">
            <v>0</v>
          </cell>
        </row>
        <row r="100">
          <cell r="A100" t="str">
            <v>2.02.측구공</v>
          </cell>
          <cell r="E100">
            <v>0</v>
          </cell>
          <cell r="F100">
            <v>0</v>
          </cell>
        </row>
        <row r="101">
          <cell r="A101" t="str">
            <v>a.L형측구</v>
          </cell>
          <cell r="E101">
            <v>0</v>
          </cell>
          <cell r="F101">
            <v>0</v>
          </cell>
        </row>
        <row r="102">
          <cell r="A102" t="str">
            <v>-1.형식-1</v>
          </cell>
          <cell r="C102">
            <v>2360</v>
          </cell>
          <cell r="D102" t="str">
            <v>M</v>
          </cell>
          <cell r="E102">
            <v>0</v>
          </cell>
          <cell r="F102">
            <v>0</v>
          </cell>
        </row>
        <row r="103">
          <cell r="A103" t="str">
            <v>-2.형식-2</v>
          </cell>
          <cell r="C103">
            <v>1269</v>
          </cell>
          <cell r="D103" t="str">
            <v>M</v>
          </cell>
          <cell r="E103">
            <v>0</v>
          </cell>
          <cell r="F103">
            <v>0</v>
          </cell>
        </row>
        <row r="104">
          <cell r="A104" t="str">
            <v>-3.형식-3</v>
          </cell>
          <cell r="C104">
            <v>230</v>
          </cell>
          <cell r="D104" t="str">
            <v>M</v>
          </cell>
          <cell r="E104">
            <v>0</v>
          </cell>
          <cell r="F104">
            <v>0</v>
          </cell>
        </row>
        <row r="105">
          <cell r="A105" t="str">
            <v>-4.형식-4(부체도로)</v>
          </cell>
          <cell r="C105">
            <v>513</v>
          </cell>
          <cell r="D105" t="str">
            <v>M</v>
          </cell>
          <cell r="E105">
            <v>0</v>
          </cell>
          <cell r="F105">
            <v>0</v>
          </cell>
        </row>
        <row r="106">
          <cell r="A106" t="str">
            <v>-5.성토부L형측구</v>
          </cell>
          <cell r="C106">
            <v>9150</v>
          </cell>
          <cell r="D106" t="str">
            <v>M</v>
          </cell>
          <cell r="E106">
            <v>0</v>
          </cell>
          <cell r="F106">
            <v>0</v>
          </cell>
        </row>
        <row r="107">
          <cell r="A107" t="str">
            <v>-6.형식-5(절토부소단측구)</v>
          </cell>
          <cell r="C107">
            <v>480</v>
          </cell>
          <cell r="D107" t="str">
            <v>M</v>
          </cell>
          <cell r="E107">
            <v>0</v>
          </cell>
          <cell r="F107">
            <v>0</v>
          </cell>
        </row>
        <row r="108">
          <cell r="A108" t="str">
            <v>-7.L형측구변화구간</v>
          </cell>
          <cell r="C108">
            <v>27</v>
          </cell>
          <cell r="D108" t="str">
            <v>개소</v>
          </cell>
          <cell r="E108">
            <v>0</v>
          </cell>
          <cell r="F108">
            <v>0</v>
          </cell>
        </row>
        <row r="109">
          <cell r="A109" t="str">
            <v>-8.L형측구변화구간</v>
          </cell>
          <cell r="C109">
            <v>6</v>
          </cell>
          <cell r="D109" t="str">
            <v>개소</v>
          </cell>
          <cell r="E109">
            <v>0</v>
          </cell>
          <cell r="F109">
            <v>0</v>
          </cell>
        </row>
        <row r="110">
          <cell r="A110" t="str">
            <v>b.U형측구</v>
          </cell>
          <cell r="E110">
            <v>0</v>
          </cell>
          <cell r="F110">
            <v>0</v>
          </cell>
        </row>
        <row r="111">
          <cell r="A111" t="str">
            <v>-1.형식-1</v>
          </cell>
          <cell r="C111">
            <v>297</v>
          </cell>
          <cell r="D111" t="str">
            <v>M</v>
          </cell>
          <cell r="E111">
            <v>0</v>
          </cell>
          <cell r="F111">
            <v>0</v>
          </cell>
        </row>
        <row r="112">
          <cell r="A112" t="str">
            <v>-2.형식-6</v>
          </cell>
          <cell r="C112">
            <v>350</v>
          </cell>
          <cell r="D112" t="str">
            <v>M</v>
          </cell>
          <cell r="E112">
            <v>0</v>
          </cell>
          <cell r="F112">
            <v>0</v>
          </cell>
        </row>
        <row r="113">
          <cell r="A113" t="str">
            <v>c.V형측구</v>
          </cell>
          <cell r="E113">
            <v>0</v>
          </cell>
          <cell r="F113">
            <v>0</v>
          </cell>
        </row>
        <row r="114">
          <cell r="A114" t="str">
            <v>-1.형식-2</v>
          </cell>
          <cell r="C114">
            <v>4399</v>
          </cell>
          <cell r="D114" t="str">
            <v>M</v>
          </cell>
          <cell r="E114">
            <v>0</v>
          </cell>
          <cell r="F114">
            <v>0</v>
          </cell>
        </row>
        <row r="115">
          <cell r="A115" t="str">
            <v>-2.형식-3</v>
          </cell>
          <cell r="C115">
            <v>980</v>
          </cell>
          <cell r="D115" t="str">
            <v>M</v>
          </cell>
          <cell r="E115">
            <v>0</v>
          </cell>
          <cell r="F115">
            <v>0</v>
          </cell>
        </row>
        <row r="116">
          <cell r="A116" t="str">
            <v>d.산마루 측구</v>
          </cell>
          <cell r="C116">
            <v>2335</v>
          </cell>
          <cell r="D116" t="str">
            <v>M</v>
          </cell>
          <cell r="E116">
            <v>0</v>
          </cell>
          <cell r="F116">
            <v>0</v>
          </cell>
        </row>
        <row r="117">
          <cell r="A117" t="str">
            <v>2.03 맹암거</v>
          </cell>
          <cell r="E117">
            <v>0</v>
          </cell>
          <cell r="F117">
            <v>0</v>
          </cell>
        </row>
        <row r="118">
          <cell r="A118" t="str">
            <v>a.형식-1 (L형측구하단)</v>
          </cell>
          <cell r="C118">
            <v>525</v>
          </cell>
          <cell r="D118" t="str">
            <v>M</v>
          </cell>
          <cell r="E118">
            <v>0</v>
          </cell>
          <cell r="F118">
            <v>0</v>
          </cell>
        </row>
        <row r="119">
          <cell r="A119" t="str">
            <v>b.형식-2 (L형측구하단)</v>
          </cell>
          <cell r="C119">
            <v>2437</v>
          </cell>
          <cell r="D119" t="str">
            <v>M</v>
          </cell>
          <cell r="E119">
            <v>0</v>
          </cell>
          <cell r="F119">
            <v>0</v>
          </cell>
        </row>
        <row r="120">
          <cell r="A120" t="str">
            <v>c.형식-3 (절성경계)</v>
          </cell>
          <cell r="C120">
            <v>310</v>
          </cell>
          <cell r="D120" t="str">
            <v>M</v>
          </cell>
          <cell r="E120">
            <v>0</v>
          </cell>
          <cell r="F120">
            <v>0</v>
          </cell>
        </row>
        <row r="121">
          <cell r="A121" t="str">
            <v>2.04 횡배수관</v>
          </cell>
          <cell r="E121">
            <v>0</v>
          </cell>
          <cell r="F121">
            <v>0</v>
          </cell>
        </row>
        <row r="122">
          <cell r="A122" t="str">
            <v>a.1.0&gt;H or H&gt;6.0M</v>
          </cell>
          <cell r="E122">
            <v>0</v>
          </cell>
          <cell r="F122">
            <v>0</v>
          </cell>
        </row>
        <row r="123">
          <cell r="A123" t="str">
            <v>a-1.￠1,000MM</v>
          </cell>
          <cell r="C123">
            <v>422</v>
          </cell>
          <cell r="D123" t="str">
            <v>M</v>
          </cell>
          <cell r="E123">
            <v>0</v>
          </cell>
          <cell r="F123">
            <v>0</v>
          </cell>
        </row>
        <row r="124">
          <cell r="A124" t="str">
            <v>a-2.￠1,200MM</v>
          </cell>
          <cell r="C124">
            <v>177</v>
          </cell>
          <cell r="D124" t="str">
            <v>M</v>
          </cell>
          <cell r="E124">
            <v>0</v>
          </cell>
          <cell r="F124">
            <v>0</v>
          </cell>
        </row>
        <row r="125">
          <cell r="A125" t="str">
            <v>b.1.0M&lt; H &lt; 6.0M</v>
          </cell>
          <cell r="E125">
            <v>0</v>
          </cell>
          <cell r="F125">
            <v>0</v>
          </cell>
        </row>
        <row r="126">
          <cell r="A126" t="str">
            <v>b-1.￠300MM</v>
          </cell>
          <cell r="C126">
            <v>8</v>
          </cell>
          <cell r="D126" t="str">
            <v>M</v>
          </cell>
          <cell r="E126">
            <v>0</v>
          </cell>
          <cell r="F126">
            <v>0</v>
          </cell>
        </row>
        <row r="127">
          <cell r="A127" t="str">
            <v>b-2.￠450MM</v>
          </cell>
          <cell r="C127">
            <v>70</v>
          </cell>
          <cell r="D127" t="str">
            <v>M</v>
          </cell>
          <cell r="E127">
            <v>0</v>
          </cell>
          <cell r="F127">
            <v>0</v>
          </cell>
        </row>
        <row r="128">
          <cell r="A128" t="str">
            <v>b-3.￠600MM</v>
          </cell>
          <cell r="C128">
            <v>23</v>
          </cell>
          <cell r="D128" t="str">
            <v>M</v>
          </cell>
          <cell r="E128">
            <v>0</v>
          </cell>
          <cell r="F128">
            <v>0</v>
          </cell>
        </row>
        <row r="129">
          <cell r="A129" t="str">
            <v>b-4.￠800MM</v>
          </cell>
          <cell r="C129">
            <v>78</v>
          </cell>
          <cell r="D129" t="str">
            <v>M</v>
          </cell>
          <cell r="E129">
            <v>0</v>
          </cell>
          <cell r="F129">
            <v>0</v>
          </cell>
        </row>
        <row r="130">
          <cell r="A130" t="str">
            <v>b-5.￠1000MM</v>
          </cell>
          <cell r="C130">
            <v>155</v>
          </cell>
          <cell r="D130" t="str">
            <v>M</v>
          </cell>
          <cell r="E130">
            <v>0</v>
          </cell>
          <cell r="F130">
            <v>0</v>
          </cell>
        </row>
        <row r="131">
          <cell r="A131" t="str">
            <v>b-6.￠1200MM</v>
          </cell>
          <cell r="C131">
            <v>82</v>
          </cell>
          <cell r="D131" t="str">
            <v>M</v>
          </cell>
          <cell r="E131">
            <v>0</v>
          </cell>
          <cell r="F131">
            <v>0</v>
          </cell>
        </row>
        <row r="132">
          <cell r="A132" t="str">
            <v>c.날개벽</v>
          </cell>
          <cell r="E132">
            <v>0</v>
          </cell>
          <cell r="F132">
            <v>0</v>
          </cell>
        </row>
        <row r="133">
          <cell r="A133" t="str">
            <v>c-1.콘크리트타설</v>
          </cell>
          <cell r="C133">
            <v>73</v>
          </cell>
          <cell r="D133" t="str">
            <v>M3</v>
          </cell>
          <cell r="E133">
            <v>0</v>
          </cell>
          <cell r="F133">
            <v>0</v>
          </cell>
        </row>
        <row r="134">
          <cell r="A134" t="str">
            <v>c-2.거푸집</v>
          </cell>
          <cell r="C134">
            <v>327</v>
          </cell>
          <cell r="D134" t="str">
            <v>M2</v>
          </cell>
          <cell r="E134">
            <v>0</v>
          </cell>
          <cell r="F134">
            <v>0</v>
          </cell>
        </row>
        <row r="135">
          <cell r="A135" t="str">
            <v>d.면벽</v>
          </cell>
          <cell r="E135">
            <v>0</v>
          </cell>
          <cell r="F135">
            <v>0</v>
          </cell>
        </row>
        <row r="136">
          <cell r="A136" t="str">
            <v>d-1.콘크리트타설</v>
          </cell>
          <cell r="C136">
            <v>3</v>
          </cell>
          <cell r="D136" t="str">
            <v>M3</v>
          </cell>
          <cell r="E136">
            <v>0</v>
          </cell>
          <cell r="F136">
            <v>0</v>
          </cell>
        </row>
        <row r="137">
          <cell r="A137" t="str">
            <v>d-2.거푸집</v>
          </cell>
          <cell r="C137">
            <v>47</v>
          </cell>
          <cell r="D137" t="str">
            <v>M2</v>
          </cell>
          <cell r="E137">
            <v>0</v>
          </cell>
          <cell r="F137">
            <v>0</v>
          </cell>
        </row>
        <row r="138">
          <cell r="A138" t="str">
            <v>2.05 종배수관</v>
          </cell>
          <cell r="E138">
            <v>0</v>
          </cell>
          <cell r="F138">
            <v>0</v>
          </cell>
        </row>
        <row r="139">
          <cell r="A139" t="str">
            <v>a.종배수관부설</v>
          </cell>
          <cell r="E139">
            <v>0</v>
          </cell>
          <cell r="F139">
            <v>0</v>
          </cell>
        </row>
        <row r="140">
          <cell r="A140" t="str">
            <v>a-1. ￠800MM</v>
          </cell>
          <cell r="C140">
            <v>764</v>
          </cell>
          <cell r="D140" t="str">
            <v>M</v>
          </cell>
          <cell r="E140">
            <v>0</v>
          </cell>
          <cell r="F140">
            <v>0</v>
          </cell>
        </row>
        <row r="141">
          <cell r="A141" t="str">
            <v>a-2. ￠1,000MM</v>
          </cell>
          <cell r="C141">
            <v>10</v>
          </cell>
          <cell r="D141" t="str">
            <v>M</v>
          </cell>
          <cell r="E141">
            <v>0</v>
          </cell>
          <cell r="F141">
            <v>0</v>
          </cell>
        </row>
        <row r="142">
          <cell r="A142" t="str">
            <v>b.종배수관 면벽</v>
          </cell>
          <cell r="E142">
            <v>0</v>
          </cell>
          <cell r="F142">
            <v>0</v>
          </cell>
        </row>
        <row r="143">
          <cell r="A143" t="str">
            <v>b-1.콘크리트타설</v>
          </cell>
          <cell r="C143">
            <v>6</v>
          </cell>
          <cell r="D143" t="str">
            <v>M3</v>
          </cell>
          <cell r="E143">
            <v>0</v>
          </cell>
          <cell r="F143">
            <v>0</v>
          </cell>
        </row>
        <row r="144">
          <cell r="A144" t="str">
            <v>b-2.거푸집</v>
          </cell>
          <cell r="C144">
            <v>91</v>
          </cell>
          <cell r="D144" t="str">
            <v>M2</v>
          </cell>
          <cell r="E144">
            <v>0</v>
          </cell>
          <cell r="F144">
            <v>0</v>
          </cell>
        </row>
        <row r="145">
          <cell r="A145" t="str">
            <v>2.06 집수정공</v>
          </cell>
          <cell r="E145">
            <v>0</v>
          </cell>
          <cell r="F145">
            <v>0</v>
          </cell>
        </row>
        <row r="146">
          <cell r="A146" t="str">
            <v>a.콘크리트타설</v>
          </cell>
          <cell r="E146">
            <v>0</v>
          </cell>
          <cell r="F146">
            <v>0</v>
          </cell>
        </row>
        <row r="147">
          <cell r="A147" t="str">
            <v>a-1.콘크이트타설</v>
          </cell>
          <cell r="C147">
            <v>4</v>
          </cell>
          <cell r="D147" t="str">
            <v>M3</v>
          </cell>
          <cell r="E147">
            <v>0</v>
          </cell>
          <cell r="F147">
            <v>0</v>
          </cell>
        </row>
        <row r="148">
          <cell r="A148" t="str">
            <v>a-2.콘크리트타설</v>
          </cell>
          <cell r="C148">
            <v>83</v>
          </cell>
          <cell r="D148" t="str">
            <v>M3</v>
          </cell>
          <cell r="E148">
            <v>0</v>
          </cell>
          <cell r="F148">
            <v>0</v>
          </cell>
        </row>
        <row r="149">
          <cell r="A149" t="str">
            <v>b.거푸집</v>
          </cell>
          <cell r="C149">
            <v>354</v>
          </cell>
          <cell r="D149" t="str">
            <v>M2</v>
          </cell>
          <cell r="E149">
            <v>0</v>
          </cell>
          <cell r="F149">
            <v>0</v>
          </cell>
        </row>
        <row r="150">
          <cell r="A150" t="str">
            <v>c.거푸집</v>
          </cell>
          <cell r="C150">
            <v>519</v>
          </cell>
          <cell r="D150" t="str">
            <v>M2</v>
          </cell>
          <cell r="E150">
            <v>0</v>
          </cell>
          <cell r="F150">
            <v>0</v>
          </cell>
        </row>
        <row r="151">
          <cell r="A151" t="str">
            <v>d.철근가공조립</v>
          </cell>
          <cell r="C151">
            <v>4.7709999999999999</v>
          </cell>
          <cell r="D151" t="str">
            <v>TON</v>
          </cell>
          <cell r="E151">
            <v>0</v>
          </cell>
          <cell r="F151">
            <v>0</v>
          </cell>
        </row>
        <row r="152">
          <cell r="A152" t="str">
            <v>e.집수정 배수구</v>
          </cell>
          <cell r="C152">
            <v>1</v>
          </cell>
          <cell r="D152" t="str">
            <v>M</v>
          </cell>
          <cell r="E152">
            <v>0</v>
          </cell>
          <cell r="F152">
            <v>0</v>
          </cell>
        </row>
        <row r="153">
          <cell r="A153" t="str">
            <v>f.뚜껑(스틸그레이팅)</v>
          </cell>
          <cell r="E153">
            <v>0</v>
          </cell>
          <cell r="F153">
            <v>0</v>
          </cell>
        </row>
        <row r="154">
          <cell r="A154" t="str">
            <v>f-1.830*830*50M/M</v>
          </cell>
          <cell r="C154">
            <v>1</v>
          </cell>
          <cell r="D154" t="str">
            <v>EA</v>
          </cell>
          <cell r="E154">
            <v>0</v>
          </cell>
          <cell r="F154">
            <v>0</v>
          </cell>
        </row>
        <row r="155">
          <cell r="A155" t="str">
            <v>f-2.1530*830*100M/M</v>
          </cell>
          <cell r="C155">
            <v>20</v>
          </cell>
          <cell r="D155" t="str">
            <v>EA</v>
          </cell>
          <cell r="E155">
            <v>0</v>
          </cell>
          <cell r="F155">
            <v>0</v>
          </cell>
        </row>
        <row r="156">
          <cell r="A156" t="str">
            <v>f-3.1390*1190*75M/M</v>
          </cell>
          <cell r="C156">
            <v>1</v>
          </cell>
          <cell r="D156" t="str">
            <v>EA</v>
          </cell>
          <cell r="E156">
            <v>0</v>
          </cell>
          <cell r="F156">
            <v>0</v>
          </cell>
        </row>
        <row r="157">
          <cell r="A157" t="str">
            <v>f-4.1799*1190*75M/M</v>
          </cell>
          <cell r="C157">
            <v>12</v>
          </cell>
          <cell r="D157" t="str">
            <v>EA</v>
          </cell>
          <cell r="E157">
            <v>0</v>
          </cell>
          <cell r="F157">
            <v>0</v>
          </cell>
        </row>
        <row r="158">
          <cell r="A158" t="str">
            <v>f-5.2190*1190*75M/M</v>
          </cell>
          <cell r="C158">
            <v>2</v>
          </cell>
          <cell r="D158" t="str">
            <v>EA</v>
          </cell>
          <cell r="E158">
            <v>0</v>
          </cell>
          <cell r="F158">
            <v>0</v>
          </cell>
        </row>
        <row r="159">
          <cell r="A159" t="str">
            <v>2.07 암 거 공</v>
          </cell>
          <cell r="E159">
            <v>0</v>
          </cell>
          <cell r="F159">
            <v>0</v>
          </cell>
        </row>
        <row r="160">
          <cell r="A160" t="str">
            <v>a.콘크리트타설</v>
          </cell>
          <cell r="E160">
            <v>0</v>
          </cell>
          <cell r="F160">
            <v>0</v>
          </cell>
        </row>
        <row r="161">
          <cell r="A161" t="str">
            <v>a-1.콘크리트타설</v>
          </cell>
          <cell r="C161">
            <v>8238</v>
          </cell>
          <cell r="D161" t="str">
            <v>M3</v>
          </cell>
          <cell r="E161">
            <v>0</v>
          </cell>
          <cell r="F161">
            <v>0</v>
          </cell>
        </row>
        <row r="162">
          <cell r="A162" t="str">
            <v>a-2.콘크리트타설</v>
          </cell>
          <cell r="C162">
            <v>922</v>
          </cell>
          <cell r="D162" t="str">
            <v>M3</v>
          </cell>
          <cell r="E162">
            <v>0</v>
          </cell>
          <cell r="F162">
            <v>0</v>
          </cell>
        </row>
        <row r="163">
          <cell r="A163" t="str">
            <v>b.거푸집</v>
          </cell>
          <cell r="E163">
            <v>0</v>
          </cell>
          <cell r="F163">
            <v>0</v>
          </cell>
        </row>
        <row r="164">
          <cell r="A164" t="str">
            <v>b-1.거푸집</v>
          </cell>
          <cell r="C164">
            <v>14093</v>
          </cell>
          <cell r="D164" t="str">
            <v>M2</v>
          </cell>
          <cell r="E164">
            <v>0</v>
          </cell>
          <cell r="F164">
            <v>0</v>
          </cell>
        </row>
        <row r="165">
          <cell r="A165" t="str">
            <v>b-2.거푸집</v>
          </cell>
          <cell r="C165">
            <v>956</v>
          </cell>
          <cell r="D165" t="str">
            <v>M2</v>
          </cell>
          <cell r="E165">
            <v>0</v>
          </cell>
          <cell r="F165">
            <v>0</v>
          </cell>
        </row>
        <row r="166">
          <cell r="A166" t="str">
            <v>b-3.거푸집</v>
          </cell>
          <cell r="C166">
            <v>224</v>
          </cell>
          <cell r="D166" t="str">
            <v>M2</v>
          </cell>
          <cell r="E166">
            <v>0</v>
          </cell>
          <cell r="F166">
            <v>0</v>
          </cell>
        </row>
        <row r="167">
          <cell r="A167" t="str">
            <v>b-4.P.E무늬거푸집</v>
          </cell>
          <cell r="C167">
            <v>1696</v>
          </cell>
          <cell r="D167" t="str">
            <v>㎡</v>
          </cell>
          <cell r="E167">
            <v>0</v>
          </cell>
          <cell r="F167">
            <v>0</v>
          </cell>
        </row>
        <row r="168">
          <cell r="A168" t="str">
            <v>c.철근가공 및 조립</v>
          </cell>
          <cell r="E168">
            <v>0</v>
          </cell>
          <cell r="F168">
            <v>0</v>
          </cell>
        </row>
        <row r="169">
          <cell r="A169" t="str">
            <v>c-1.간 단</v>
          </cell>
          <cell r="C169">
            <v>8.2000000000000003E-2</v>
          </cell>
          <cell r="D169" t="str">
            <v>TON</v>
          </cell>
          <cell r="E169">
            <v>0</v>
          </cell>
          <cell r="F169">
            <v>0</v>
          </cell>
        </row>
        <row r="170">
          <cell r="A170" t="str">
            <v>c-2.보 통</v>
          </cell>
          <cell r="C170">
            <v>29.591999999999999</v>
          </cell>
          <cell r="D170" t="str">
            <v>TON</v>
          </cell>
          <cell r="E170">
            <v>0</v>
          </cell>
          <cell r="F170">
            <v>0</v>
          </cell>
        </row>
        <row r="171">
          <cell r="A171" t="str">
            <v>c-3.복 잡</v>
          </cell>
          <cell r="C171">
            <v>1206.587</v>
          </cell>
          <cell r="D171" t="str">
            <v>TON</v>
          </cell>
          <cell r="E171">
            <v>0</v>
          </cell>
          <cell r="F171">
            <v>0</v>
          </cell>
        </row>
        <row r="172">
          <cell r="A172" t="str">
            <v>d.비계</v>
          </cell>
          <cell r="C172">
            <v>5071</v>
          </cell>
          <cell r="D172" t="str">
            <v>M2</v>
          </cell>
          <cell r="E172">
            <v>0</v>
          </cell>
          <cell r="F172">
            <v>0</v>
          </cell>
        </row>
        <row r="173">
          <cell r="A173" t="str">
            <v>e.동바리</v>
          </cell>
          <cell r="C173">
            <v>8750</v>
          </cell>
          <cell r="D173" t="str">
            <v>공/M3</v>
          </cell>
          <cell r="E173">
            <v>0</v>
          </cell>
          <cell r="F173">
            <v>0</v>
          </cell>
        </row>
        <row r="174">
          <cell r="A174" t="str">
            <v>f.아스팔트코팅</v>
          </cell>
          <cell r="C174">
            <v>4535</v>
          </cell>
          <cell r="D174" t="str">
            <v>M2</v>
          </cell>
          <cell r="E174">
            <v>0</v>
          </cell>
          <cell r="F174">
            <v>0</v>
          </cell>
        </row>
        <row r="175">
          <cell r="A175" t="str">
            <v>g.P.V.C 파이프</v>
          </cell>
          <cell r="E175">
            <v>0</v>
          </cell>
          <cell r="F175">
            <v>0</v>
          </cell>
        </row>
        <row r="176">
          <cell r="A176" t="str">
            <v>g-1. P.V.C PIPE</v>
          </cell>
          <cell r="C176">
            <v>72</v>
          </cell>
          <cell r="D176" t="str">
            <v>M</v>
          </cell>
          <cell r="E176">
            <v>0</v>
          </cell>
          <cell r="F176">
            <v>0</v>
          </cell>
        </row>
        <row r="177">
          <cell r="A177" t="str">
            <v>g-2. P.V.C PIPE</v>
          </cell>
          <cell r="C177">
            <v>18</v>
          </cell>
          <cell r="D177" t="str">
            <v>M</v>
          </cell>
          <cell r="E177">
            <v>0</v>
          </cell>
          <cell r="F177">
            <v>0</v>
          </cell>
        </row>
        <row r="178">
          <cell r="A178" t="str">
            <v>h.부직포</v>
          </cell>
          <cell r="C178">
            <v>306</v>
          </cell>
          <cell r="D178" t="str">
            <v>M2</v>
          </cell>
          <cell r="E178">
            <v>0</v>
          </cell>
          <cell r="F178">
            <v>0</v>
          </cell>
        </row>
        <row r="179">
          <cell r="A179" t="str">
            <v>i.뒷채움 및 다짐</v>
          </cell>
          <cell r="C179">
            <v>3190</v>
          </cell>
          <cell r="D179" t="str">
            <v>M3</v>
          </cell>
          <cell r="E179">
            <v>0</v>
          </cell>
          <cell r="F179">
            <v>0</v>
          </cell>
        </row>
        <row r="180">
          <cell r="A180" t="str">
            <v>j.기초잡석깔기</v>
          </cell>
          <cell r="C180">
            <v>872</v>
          </cell>
          <cell r="D180" t="str">
            <v>M3</v>
          </cell>
          <cell r="E180">
            <v>0</v>
          </cell>
          <cell r="F180">
            <v>0</v>
          </cell>
        </row>
        <row r="181">
          <cell r="A181" t="str">
            <v>k.물 푸 기</v>
          </cell>
          <cell r="C181">
            <v>415</v>
          </cell>
          <cell r="D181" t="str">
            <v>HR</v>
          </cell>
          <cell r="E181">
            <v>0</v>
          </cell>
          <cell r="F181">
            <v>0</v>
          </cell>
        </row>
        <row r="182">
          <cell r="A182" t="str">
            <v>l.지수판</v>
          </cell>
          <cell r="C182">
            <v>2820</v>
          </cell>
          <cell r="D182" t="str">
            <v>M</v>
          </cell>
          <cell r="E182">
            <v>0</v>
          </cell>
          <cell r="F182">
            <v>0</v>
          </cell>
        </row>
        <row r="183">
          <cell r="A183" t="str">
            <v>m.신축이음</v>
          </cell>
          <cell r="C183">
            <v>616</v>
          </cell>
          <cell r="D183" t="str">
            <v>M2</v>
          </cell>
          <cell r="E183">
            <v>0</v>
          </cell>
          <cell r="F183">
            <v>0</v>
          </cell>
        </row>
        <row r="184">
          <cell r="A184" t="str">
            <v>n.실런트</v>
          </cell>
          <cell r="C184">
            <v>645</v>
          </cell>
          <cell r="D184" t="str">
            <v>M</v>
          </cell>
          <cell r="E184">
            <v>0</v>
          </cell>
          <cell r="F184">
            <v>0</v>
          </cell>
        </row>
        <row r="185">
          <cell r="A185" t="str">
            <v>o.다웰바설치</v>
          </cell>
          <cell r="E185">
            <v>0</v>
          </cell>
          <cell r="F185">
            <v>0</v>
          </cell>
        </row>
        <row r="186">
          <cell r="A186" t="str">
            <v>o-1.신축이음부설치</v>
          </cell>
          <cell r="C186">
            <v>403</v>
          </cell>
          <cell r="D186" t="str">
            <v>EA</v>
          </cell>
          <cell r="E186">
            <v>0</v>
          </cell>
          <cell r="F186">
            <v>0</v>
          </cell>
        </row>
        <row r="187">
          <cell r="A187" t="str">
            <v>o-2.접속슬래브설치</v>
          </cell>
          <cell r="C187">
            <v>218</v>
          </cell>
          <cell r="D187" t="str">
            <v>EA</v>
          </cell>
          <cell r="E187">
            <v>0</v>
          </cell>
          <cell r="F187">
            <v>0</v>
          </cell>
        </row>
        <row r="188">
          <cell r="A188" t="str">
            <v>p.스페이서 설치</v>
          </cell>
          <cell r="E188">
            <v>0</v>
          </cell>
          <cell r="F188">
            <v>0</v>
          </cell>
        </row>
        <row r="189">
          <cell r="A189" t="str">
            <v>p-1.수평(슬래브)</v>
          </cell>
          <cell r="C189">
            <v>6326</v>
          </cell>
          <cell r="D189" t="str">
            <v>M2</v>
          </cell>
          <cell r="E189">
            <v>0</v>
          </cell>
          <cell r="F189">
            <v>0</v>
          </cell>
        </row>
        <row r="190">
          <cell r="A190" t="str">
            <v>p-2.수직(벽체)</v>
          </cell>
          <cell r="C190">
            <v>12526</v>
          </cell>
          <cell r="D190" t="str">
            <v>M2</v>
          </cell>
          <cell r="E190">
            <v>0</v>
          </cell>
          <cell r="F190">
            <v>0</v>
          </cell>
        </row>
        <row r="191">
          <cell r="A191" t="str">
            <v>q.치핑</v>
          </cell>
          <cell r="C191">
            <v>3</v>
          </cell>
          <cell r="D191" t="str">
            <v>M2</v>
          </cell>
          <cell r="E191">
            <v>0</v>
          </cell>
          <cell r="F191">
            <v>0</v>
          </cell>
        </row>
        <row r="192">
          <cell r="A192" t="str">
            <v>r.방호책난간</v>
          </cell>
          <cell r="C192">
            <v>25</v>
          </cell>
          <cell r="D192" t="str">
            <v>M</v>
          </cell>
          <cell r="E192">
            <v>0</v>
          </cell>
          <cell r="F192">
            <v>0</v>
          </cell>
        </row>
        <row r="193">
          <cell r="A193" t="str">
            <v>s.NOTCH</v>
          </cell>
          <cell r="C193">
            <v>114</v>
          </cell>
          <cell r="D193" t="str">
            <v>M</v>
          </cell>
          <cell r="E193">
            <v>0</v>
          </cell>
          <cell r="F193">
            <v>0</v>
          </cell>
        </row>
        <row r="194">
          <cell r="A194" t="str">
            <v>t.DRAIN BOARD</v>
          </cell>
          <cell r="C194">
            <v>303</v>
          </cell>
          <cell r="D194" t="str">
            <v>M2</v>
          </cell>
          <cell r="E194">
            <v>0</v>
          </cell>
          <cell r="F194">
            <v>0</v>
          </cell>
        </row>
        <row r="195">
          <cell r="A195" t="str">
            <v>u.시트방수</v>
          </cell>
          <cell r="C195">
            <v>163</v>
          </cell>
          <cell r="D195" t="str">
            <v>M2</v>
          </cell>
          <cell r="E195">
            <v>0</v>
          </cell>
          <cell r="F195">
            <v>0</v>
          </cell>
        </row>
        <row r="196">
          <cell r="A196" t="str">
            <v>v.시공이음면정리</v>
          </cell>
          <cell r="C196">
            <v>2107</v>
          </cell>
          <cell r="D196" t="str">
            <v>M2</v>
          </cell>
          <cell r="E196">
            <v>0</v>
          </cell>
          <cell r="F196">
            <v>0</v>
          </cell>
        </row>
        <row r="197">
          <cell r="A197" t="str">
            <v>w.모따기</v>
          </cell>
          <cell r="C197">
            <v>1156</v>
          </cell>
          <cell r="D197" t="str">
            <v>M</v>
          </cell>
          <cell r="E197">
            <v>0</v>
          </cell>
          <cell r="F197">
            <v>0</v>
          </cell>
        </row>
        <row r="198">
          <cell r="A198" t="str">
            <v>x.신구 암거 접합</v>
          </cell>
          <cell r="C198">
            <v>3</v>
          </cell>
          <cell r="D198" t="str">
            <v>M2</v>
          </cell>
          <cell r="E198">
            <v>0</v>
          </cell>
          <cell r="F198">
            <v>0</v>
          </cell>
        </row>
        <row r="199">
          <cell r="A199" t="str">
            <v>2.08.도수로공</v>
          </cell>
          <cell r="E199">
            <v>0</v>
          </cell>
          <cell r="F199">
            <v>0</v>
          </cell>
        </row>
        <row r="200">
          <cell r="A200" t="str">
            <v>a.콘크리트타설</v>
          </cell>
          <cell r="E200">
            <v>0</v>
          </cell>
          <cell r="F200">
            <v>0</v>
          </cell>
        </row>
        <row r="201">
          <cell r="A201" t="str">
            <v>a-1.콘크리트타설</v>
          </cell>
          <cell r="C201">
            <v>245</v>
          </cell>
          <cell r="D201" t="str">
            <v>M3</v>
          </cell>
          <cell r="E201">
            <v>0</v>
          </cell>
          <cell r="F201">
            <v>0</v>
          </cell>
        </row>
        <row r="202">
          <cell r="A202" t="str">
            <v>a-2.콘크리트타설</v>
          </cell>
          <cell r="C202">
            <v>59</v>
          </cell>
          <cell r="D202" t="str">
            <v>M3</v>
          </cell>
          <cell r="E202">
            <v>0</v>
          </cell>
          <cell r="F202">
            <v>0</v>
          </cell>
        </row>
        <row r="203">
          <cell r="A203" t="str">
            <v>b.거푸집</v>
          </cell>
          <cell r="C203">
            <v>1952</v>
          </cell>
          <cell r="D203" t="str">
            <v>M2</v>
          </cell>
          <cell r="E203">
            <v>0</v>
          </cell>
          <cell r="F203">
            <v>0</v>
          </cell>
        </row>
        <row r="204">
          <cell r="A204" t="str">
            <v>c.철근가공조립</v>
          </cell>
          <cell r="C204">
            <v>18.059000000000001</v>
          </cell>
          <cell r="D204" t="str">
            <v>TON</v>
          </cell>
          <cell r="E204">
            <v>0</v>
          </cell>
          <cell r="F204">
            <v>0</v>
          </cell>
        </row>
        <row r="205">
          <cell r="A205" t="str">
            <v>d.잔토처리</v>
          </cell>
          <cell r="C205">
            <v>580</v>
          </cell>
          <cell r="D205" t="str">
            <v>M3</v>
          </cell>
          <cell r="E205">
            <v>0</v>
          </cell>
          <cell r="F205">
            <v>0</v>
          </cell>
        </row>
        <row r="206">
          <cell r="A206" t="str">
            <v>2.09.U형개수로</v>
          </cell>
          <cell r="E206">
            <v>0</v>
          </cell>
          <cell r="F206">
            <v>0</v>
          </cell>
        </row>
        <row r="207">
          <cell r="A207" t="str">
            <v>a.콘크리트타설</v>
          </cell>
          <cell r="E207">
            <v>0</v>
          </cell>
          <cell r="F207">
            <v>0</v>
          </cell>
        </row>
        <row r="208">
          <cell r="A208" t="str">
            <v>a-1.콘크리트타설</v>
          </cell>
          <cell r="C208">
            <v>593</v>
          </cell>
          <cell r="D208" t="str">
            <v>M3</v>
          </cell>
          <cell r="E208">
            <v>0</v>
          </cell>
          <cell r="F208">
            <v>0</v>
          </cell>
        </row>
        <row r="209">
          <cell r="A209" t="str">
            <v>a-2.콘크리트타설</v>
          </cell>
          <cell r="C209">
            <v>109</v>
          </cell>
          <cell r="D209" t="str">
            <v>M3</v>
          </cell>
          <cell r="E209">
            <v>0</v>
          </cell>
          <cell r="F209">
            <v>0</v>
          </cell>
        </row>
        <row r="210">
          <cell r="A210" t="str">
            <v>b.거푸집</v>
          </cell>
          <cell r="E210">
            <v>0</v>
          </cell>
          <cell r="F210">
            <v>0</v>
          </cell>
        </row>
        <row r="211">
          <cell r="A211" t="str">
            <v>b-1.거푸집</v>
          </cell>
          <cell r="C211">
            <v>2058</v>
          </cell>
          <cell r="D211" t="str">
            <v>M2</v>
          </cell>
          <cell r="E211">
            <v>0</v>
          </cell>
          <cell r="F211">
            <v>0</v>
          </cell>
        </row>
        <row r="212">
          <cell r="A212" t="str">
            <v>b-2.거푸집</v>
          </cell>
          <cell r="C212">
            <v>1949</v>
          </cell>
          <cell r="D212" t="str">
            <v>M2</v>
          </cell>
          <cell r="E212">
            <v>0</v>
          </cell>
          <cell r="F212">
            <v>0</v>
          </cell>
        </row>
        <row r="213">
          <cell r="A213" t="str">
            <v>c.철근가공조립</v>
          </cell>
          <cell r="C213">
            <v>56.902000000000001</v>
          </cell>
          <cell r="D213" t="str">
            <v>TON</v>
          </cell>
          <cell r="E213">
            <v>0</v>
          </cell>
          <cell r="F213">
            <v>0</v>
          </cell>
        </row>
        <row r="214">
          <cell r="A214" t="str">
            <v>d.비계</v>
          </cell>
          <cell r="C214">
            <v>1400</v>
          </cell>
          <cell r="D214" t="str">
            <v>M2</v>
          </cell>
          <cell r="E214">
            <v>0</v>
          </cell>
          <cell r="F214">
            <v>0</v>
          </cell>
        </row>
        <row r="215">
          <cell r="A215" t="str">
            <v>e.지수판</v>
          </cell>
          <cell r="C215">
            <v>79</v>
          </cell>
          <cell r="D215" t="str">
            <v>M</v>
          </cell>
          <cell r="E215">
            <v>0</v>
          </cell>
          <cell r="F215">
            <v>0</v>
          </cell>
        </row>
        <row r="216">
          <cell r="A216" t="str">
            <v>f.JOINT FILLER</v>
          </cell>
          <cell r="C216">
            <v>40</v>
          </cell>
          <cell r="D216" t="str">
            <v>M2</v>
          </cell>
          <cell r="E216">
            <v>0</v>
          </cell>
          <cell r="F216">
            <v>0</v>
          </cell>
        </row>
        <row r="217">
          <cell r="A217" t="str">
            <v>g.동바리</v>
          </cell>
          <cell r="C217">
            <v>79</v>
          </cell>
          <cell r="D217" t="str">
            <v>공/M3</v>
          </cell>
          <cell r="E217">
            <v>0</v>
          </cell>
          <cell r="F217">
            <v>0</v>
          </cell>
        </row>
        <row r="218">
          <cell r="A218" t="str">
            <v>2.10 우수종단관공</v>
          </cell>
          <cell r="E218">
            <v>0</v>
          </cell>
          <cell r="F218">
            <v>0</v>
          </cell>
        </row>
        <row r="219">
          <cell r="A219" t="str">
            <v>a.D=800MM</v>
          </cell>
          <cell r="C219">
            <v>1753</v>
          </cell>
          <cell r="D219" t="str">
            <v>M</v>
          </cell>
          <cell r="E219">
            <v>0</v>
          </cell>
          <cell r="F219">
            <v>0</v>
          </cell>
        </row>
        <row r="220">
          <cell r="A220" t="str">
            <v>2.11 맨홀공</v>
          </cell>
          <cell r="E220">
            <v>0</v>
          </cell>
          <cell r="F220">
            <v>0</v>
          </cell>
        </row>
        <row r="221">
          <cell r="A221" t="str">
            <v>a.콘크리트타설(소형)</v>
          </cell>
          <cell r="C221">
            <v>14</v>
          </cell>
          <cell r="D221" t="str">
            <v>M3</v>
          </cell>
          <cell r="E221">
            <v>0</v>
          </cell>
          <cell r="F221">
            <v>0</v>
          </cell>
        </row>
        <row r="222">
          <cell r="A222" t="str">
            <v>b.콘크리트타설(소형)</v>
          </cell>
          <cell r="C222">
            <v>112</v>
          </cell>
          <cell r="D222" t="str">
            <v>M3</v>
          </cell>
          <cell r="E222">
            <v>0</v>
          </cell>
          <cell r="F222">
            <v>0</v>
          </cell>
        </row>
        <row r="223">
          <cell r="A223" t="str">
            <v>c.거푸집</v>
          </cell>
          <cell r="C223">
            <v>651</v>
          </cell>
          <cell r="D223" t="str">
            <v>M2</v>
          </cell>
          <cell r="E223">
            <v>0</v>
          </cell>
          <cell r="F223">
            <v>0</v>
          </cell>
        </row>
        <row r="224">
          <cell r="A224" t="str">
            <v>d.철근가공조립</v>
          </cell>
          <cell r="C224">
            <v>13.993</v>
          </cell>
          <cell r="D224" t="str">
            <v>TON</v>
          </cell>
          <cell r="E224">
            <v>0</v>
          </cell>
          <cell r="F224">
            <v>0</v>
          </cell>
        </row>
        <row r="225">
          <cell r="A225" t="str">
            <v>e.몰  탈</v>
          </cell>
          <cell r="C225">
            <v>1</v>
          </cell>
          <cell r="D225" t="str">
            <v>M3</v>
          </cell>
          <cell r="E225">
            <v>0</v>
          </cell>
          <cell r="F225">
            <v>0</v>
          </cell>
        </row>
        <row r="226">
          <cell r="A226" t="str">
            <v>f.발디딤쇠(사다리)설치</v>
          </cell>
          <cell r="C226">
            <v>0.38900000000000001</v>
          </cell>
          <cell r="D226" t="str">
            <v>TON</v>
          </cell>
          <cell r="E226">
            <v>0</v>
          </cell>
          <cell r="F226">
            <v>0</v>
          </cell>
        </row>
        <row r="227">
          <cell r="A227" t="str">
            <v>g.맨홀뚜껑설치</v>
          </cell>
          <cell r="E227">
            <v>0</v>
          </cell>
          <cell r="F227">
            <v>0</v>
          </cell>
        </row>
        <row r="228">
          <cell r="A228" t="str">
            <v>g-1.차도측</v>
          </cell>
          <cell r="C228">
            <v>6</v>
          </cell>
          <cell r="D228" t="str">
            <v>EA</v>
          </cell>
          <cell r="E228">
            <v>0</v>
          </cell>
          <cell r="F228">
            <v>0</v>
          </cell>
        </row>
        <row r="229">
          <cell r="A229" t="str">
            <v>g-2.보도측</v>
          </cell>
          <cell r="C229">
            <v>32</v>
          </cell>
          <cell r="D229" t="str">
            <v>EA</v>
          </cell>
          <cell r="E229">
            <v>0</v>
          </cell>
          <cell r="F229">
            <v>0</v>
          </cell>
        </row>
        <row r="230">
          <cell r="A230" t="str">
            <v>2.12 우수받이공</v>
          </cell>
          <cell r="E230">
            <v>0</v>
          </cell>
          <cell r="F230">
            <v>0</v>
          </cell>
        </row>
        <row r="231">
          <cell r="A231" t="str">
            <v>a.우수받이공</v>
          </cell>
          <cell r="C231">
            <v>71</v>
          </cell>
          <cell r="D231" t="str">
            <v>EA</v>
          </cell>
          <cell r="E231">
            <v>0</v>
          </cell>
          <cell r="F231">
            <v>0</v>
          </cell>
        </row>
        <row r="232">
          <cell r="A232" t="str">
            <v>3.구  조  물  공</v>
          </cell>
          <cell r="E232">
            <v>0</v>
          </cell>
          <cell r="F232">
            <v>0</v>
          </cell>
        </row>
        <row r="233">
          <cell r="A233" t="str">
            <v>A.휴암교(R.C 라멘교)</v>
          </cell>
          <cell r="E233">
            <v>0</v>
          </cell>
          <cell r="F233">
            <v>0</v>
          </cell>
        </row>
        <row r="234">
          <cell r="A234" t="str">
            <v>3.01 구조물터파기</v>
          </cell>
          <cell r="E234">
            <v>0</v>
          </cell>
          <cell r="F234">
            <v>0</v>
          </cell>
        </row>
        <row r="235">
          <cell r="A235" t="str">
            <v>a.육상토사</v>
          </cell>
          <cell r="C235">
            <v>120</v>
          </cell>
          <cell r="D235" t="str">
            <v>M3</v>
          </cell>
          <cell r="E235">
            <v>0</v>
          </cell>
          <cell r="F235">
            <v>0</v>
          </cell>
        </row>
        <row r="236">
          <cell r="A236" t="str">
            <v>b.용수토 사</v>
          </cell>
          <cell r="E236">
            <v>0</v>
          </cell>
          <cell r="F236">
            <v>0</v>
          </cell>
        </row>
        <row r="237">
          <cell r="A237" t="str">
            <v>-1.용수토사</v>
          </cell>
          <cell r="C237">
            <v>3300</v>
          </cell>
          <cell r="D237" t="str">
            <v>M3</v>
          </cell>
          <cell r="E237">
            <v>0</v>
          </cell>
          <cell r="F237">
            <v>0</v>
          </cell>
        </row>
        <row r="238">
          <cell r="A238" t="str">
            <v>-2.용수토사</v>
          </cell>
          <cell r="C238">
            <v>340</v>
          </cell>
          <cell r="D238" t="str">
            <v>M3</v>
          </cell>
          <cell r="E238">
            <v>0</v>
          </cell>
          <cell r="F238">
            <v>0</v>
          </cell>
        </row>
        <row r="239">
          <cell r="A239" t="str">
            <v>c.용수풍화암</v>
          </cell>
          <cell r="E239">
            <v>0</v>
          </cell>
          <cell r="F239">
            <v>0</v>
          </cell>
        </row>
        <row r="240">
          <cell r="A240" t="str">
            <v>-1.용수풍화암</v>
          </cell>
          <cell r="C240">
            <v>280</v>
          </cell>
          <cell r="D240" t="str">
            <v>M3</v>
          </cell>
          <cell r="E240">
            <v>0</v>
          </cell>
          <cell r="F240">
            <v>0</v>
          </cell>
        </row>
        <row r="241">
          <cell r="A241" t="str">
            <v>-2.용수풍화암</v>
          </cell>
          <cell r="C241">
            <v>90</v>
          </cell>
          <cell r="D241" t="str">
            <v>M3</v>
          </cell>
          <cell r="E241">
            <v>0</v>
          </cell>
          <cell r="F241">
            <v>0</v>
          </cell>
        </row>
        <row r="242">
          <cell r="A242" t="str">
            <v>d.용수발파암</v>
          </cell>
          <cell r="C242">
            <v>70</v>
          </cell>
          <cell r="D242" t="str">
            <v>M3</v>
          </cell>
          <cell r="E242">
            <v>0</v>
          </cell>
          <cell r="F242">
            <v>0</v>
          </cell>
        </row>
        <row r="243">
          <cell r="A243" t="str">
            <v>3.02 되메우기(기계70%,인력30%)</v>
          </cell>
          <cell r="C243">
            <v>2740</v>
          </cell>
          <cell r="D243" t="str">
            <v>M3</v>
          </cell>
          <cell r="E243">
            <v>0</v>
          </cell>
          <cell r="F243">
            <v>0</v>
          </cell>
        </row>
        <row r="244">
          <cell r="A244" t="str">
            <v>3.03 뒷채움 및 다짐</v>
          </cell>
          <cell r="C244">
            <v>722</v>
          </cell>
          <cell r="D244" t="str">
            <v>M3</v>
          </cell>
          <cell r="E244">
            <v>0</v>
          </cell>
          <cell r="F244">
            <v>0</v>
          </cell>
        </row>
        <row r="245">
          <cell r="A245" t="str">
            <v>3.04 면정리및청소</v>
          </cell>
          <cell r="C245">
            <v>180</v>
          </cell>
          <cell r="D245" t="str">
            <v>M2</v>
          </cell>
          <cell r="E245">
            <v>0</v>
          </cell>
          <cell r="F245">
            <v>0</v>
          </cell>
        </row>
        <row r="246">
          <cell r="A246" t="str">
            <v>3.05 세굴방지용사석채움</v>
          </cell>
          <cell r="C246">
            <v>883</v>
          </cell>
          <cell r="D246" t="str">
            <v>M3</v>
          </cell>
          <cell r="E246">
            <v>0</v>
          </cell>
          <cell r="F246">
            <v>0</v>
          </cell>
        </row>
        <row r="247">
          <cell r="A247" t="str">
            <v>3.06 물 푸 기</v>
          </cell>
          <cell r="C247">
            <v>320</v>
          </cell>
          <cell r="D247" t="str">
            <v>Hr</v>
          </cell>
          <cell r="E247">
            <v>0</v>
          </cell>
          <cell r="F247">
            <v>0</v>
          </cell>
        </row>
        <row r="248">
          <cell r="A248" t="str">
            <v>3.07 석축쌓기</v>
          </cell>
          <cell r="E248">
            <v>0</v>
          </cell>
          <cell r="F248">
            <v>0</v>
          </cell>
        </row>
        <row r="249">
          <cell r="A249" t="str">
            <v>a.찰쌓기</v>
          </cell>
          <cell r="C249">
            <v>192</v>
          </cell>
          <cell r="D249" t="str">
            <v>M2</v>
          </cell>
          <cell r="E249">
            <v>0</v>
          </cell>
          <cell r="F249">
            <v>0</v>
          </cell>
        </row>
        <row r="250">
          <cell r="A250" t="str">
            <v>b.석축쌓기 기초</v>
          </cell>
          <cell r="C250">
            <v>45</v>
          </cell>
          <cell r="D250" t="str">
            <v>M</v>
          </cell>
          <cell r="E250">
            <v>0</v>
          </cell>
          <cell r="F250">
            <v>0</v>
          </cell>
        </row>
        <row r="251">
          <cell r="A251" t="str">
            <v>3.08 콘크리트 타설</v>
          </cell>
          <cell r="E251">
            <v>0</v>
          </cell>
          <cell r="F251">
            <v>0</v>
          </cell>
        </row>
        <row r="252">
          <cell r="A252" t="str">
            <v>a.무       근</v>
          </cell>
          <cell r="C252">
            <v>77</v>
          </cell>
          <cell r="D252" t="str">
            <v>M3</v>
          </cell>
          <cell r="E252">
            <v>0</v>
          </cell>
          <cell r="F252">
            <v>0</v>
          </cell>
        </row>
        <row r="253">
          <cell r="A253" t="str">
            <v>b.무       근</v>
          </cell>
          <cell r="C253">
            <v>439</v>
          </cell>
          <cell r="D253" t="str">
            <v>M3</v>
          </cell>
          <cell r="E253">
            <v>0</v>
          </cell>
          <cell r="F253">
            <v>0</v>
          </cell>
        </row>
        <row r="254">
          <cell r="A254" t="str">
            <v>c.펌프카타설</v>
          </cell>
          <cell r="C254">
            <v>1232</v>
          </cell>
          <cell r="D254" t="str">
            <v>M3</v>
          </cell>
          <cell r="E254">
            <v>0</v>
          </cell>
          <cell r="F254">
            <v>0</v>
          </cell>
        </row>
        <row r="255">
          <cell r="A255" t="str">
            <v>3.09 몰  탈</v>
          </cell>
          <cell r="C255">
            <v>1.89</v>
          </cell>
          <cell r="D255" t="str">
            <v>M3</v>
          </cell>
          <cell r="E255">
            <v>0</v>
          </cell>
          <cell r="F255">
            <v>0</v>
          </cell>
        </row>
        <row r="256">
          <cell r="A256" t="str">
            <v>3.10 PVC PIPE</v>
          </cell>
          <cell r="C256">
            <v>73</v>
          </cell>
          <cell r="D256" t="str">
            <v>M</v>
          </cell>
          <cell r="E256">
            <v>0</v>
          </cell>
          <cell r="F256">
            <v>0</v>
          </cell>
        </row>
        <row r="257">
          <cell r="A257" t="str">
            <v>3.11 거 푸 집 공</v>
          </cell>
          <cell r="E257">
            <v>0</v>
          </cell>
          <cell r="F257">
            <v>0</v>
          </cell>
        </row>
        <row r="258">
          <cell r="A258" t="str">
            <v>a.합 판 거 푸 집</v>
          </cell>
          <cell r="E258">
            <v>0</v>
          </cell>
          <cell r="F258">
            <v>0</v>
          </cell>
        </row>
        <row r="259">
          <cell r="A259" t="str">
            <v>-1.거푸집</v>
          </cell>
          <cell r="C259">
            <v>1277</v>
          </cell>
          <cell r="D259" t="str">
            <v>M2</v>
          </cell>
          <cell r="E259">
            <v>0</v>
          </cell>
          <cell r="F259">
            <v>0</v>
          </cell>
        </row>
        <row r="260">
          <cell r="A260" t="str">
            <v>-2.거푸집</v>
          </cell>
          <cell r="C260">
            <v>272</v>
          </cell>
          <cell r="D260" t="str">
            <v>M2</v>
          </cell>
          <cell r="E260">
            <v>0</v>
          </cell>
          <cell r="F260">
            <v>0</v>
          </cell>
        </row>
        <row r="261">
          <cell r="A261" t="str">
            <v>-3.거푸집</v>
          </cell>
          <cell r="C261">
            <v>332</v>
          </cell>
          <cell r="D261" t="str">
            <v>M2</v>
          </cell>
          <cell r="E261">
            <v>0</v>
          </cell>
          <cell r="F261">
            <v>0</v>
          </cell>
        </row>
        <row r="262">
          <cell r="A262" t="str">
            <v>b.원형거푸집</v>
          </cell>
          <cell r="C262">
            <v>69</v>
          </cell>
          <cell r="D262" t="str">
            <v>M2</v>
          </cell>
          <cell r="E262">
            <v>0</v>
          </cell>
          <cell r="F262">
            <v>0</v>
          </cell>
        </row>
        <row r="263">
          <cell r="A263" t="str">
            <v>3.12 동바리</v>
          </cell>
          <cell r="E263">
            <v>0</v>
          </cell>
          <cell r="F263">
            <v>0</v>
          </cell>
        </row>
        <row r="264">
          <cell r="A264" t="str">
            <v>a.동바리</v>
          </cell>
          <cell r="C264">
            <v>2630</v>
          </cell>
          <cell r="D264" t="str">
            <v>공/M3</v>
          </cell>
          <cell r="E264">
            <v>0</v>
          </cell>
          <cell r="F264">
            <v>0</v>
          </cell>
        </row>
        <row r="265">
          <cell r="A265" t="str">
            <v>b.수평연결재</v>
          </cell>
          <cell r="C265">
            <v>580</v>
          </cell>
          <cell r="D265" t="str">
            <v>M2</v>
          </cell>
          <cell r="E265">
            <v>0</v>
          </cell>
          <cell r="F265">
            <v>0</v>
          </cell>
        </row>
        <row r="266">
          <cell r="A266" t="str">
            <v>3.13 비계</v>
          </cell>
          <cell r="C266">
            <v>330</v>
          </cell>
          <cell r="D266" t="str">
            <v>M2</v>
          </cell>
          <cell r="E266">
            <v>0</v>
          </cell>
          <cell r="F266">
            <v>0</v>
          </cell>
        </row>
        <row r="267">
          <cell r="A267" t="str">
            <v>3.14 모따기</v>
          </cell>
          <cell r="C267">
            <v>75</v>
          </cell>
          <cell r="D267" t="str">
            <v>M</v>
          </cell>
          <cell r="E267">
            <v>0</v>
          </cell>
          <cell r="F267">
            <v>0</v>
          </cell>
        </row>
        <row r="268">
          <cell r="A268" t="str">
            <v>3.15 교명주(화강석)</v>
          </cell>
          <cell r="C268">
            <v>2</v>
          </cell>
          <cell r="D268" t="str">
            <v>EA</v>
          </cell>
          <cell r="E268">
            <v>0</v>
          </cell>
          <cell r="F268">
            <v>0</v>
          </cell>
        </row>
        <row r="269">
          <cell r="A269" t="str">
            <v>3.16 교명판및설명판</v>
          </cell>
          <cell r="E269">
            <v>0</v>
          </cell>
          <cell r="F269">
            <v>0</v>
          </cell>
        </row>
        <row r="270">
          <cell r="A270" t="str">
            <v>a.교명판</v>
          </cell>
          <cell r="C270">
            <v>2</v>
          </cell>
          <cell r="D270" t="str">
            <v>EA</v>
          </cell>
          <cell r="E270">
            <v>0</v>
          </cell>
          <cell r="F270">
            <v>0</v>
          </cell>
        </row>
        <row r="271">
          <cell r="A271" t="str">
            <v>b.설명판</v>
          </cell>
          <cell r="C271">
            <v>2</v>
          </cell>
          <cell r="D271" t="str">
            <v>EA</v>
          </cell>
          <cell r="E271">
            <v>0</v>
          </cell>
          <cell r="F271">
            <v>0</v>
          </cell>
        </row>
        <row r="272">
          <cell r="A272" t="str">
            <v>3.17 표 면 처 리</v>
          </cell>
          <cell r="E272">
            <v>0</v>
          </cell>
          <cell r="F272">
            <v>0</v>
          </cell>
        </row>
        <row r="273">
          <cell r="A273" t="str">
            <v>a.슬라브 양생</v>
          </cell>
          <cell r="C273">
            <v>445</v>
          </cell>
          <cell r="D273" t="str">
            <v>M2</v>
          </cell>
          <cell r="E273">
            <v>0</v>
          </cell>
          <cell r="F273">
            <v>0</v>
          </cell>
        </row>
        <row r="274">
          <cell r="A274" t="str">
            <v>b.데크휘니샤 면고르기</v>
          </cell>
          <cell r="C274">
            <v>445</v>
          </cell>
          <cell r="D274" t="str">
            <v>M2</v>
          </cell>
          <cell r="E274">
            <v>0</v>
          </cell>
          <cell r="F274">
            <v>0</v>
          </cell>
        </row>
        <row r="275">
          <cell r="A275" t="str">
            <v>3.18 교 면 방 수</v>
          </cell>
          <cell r="C275">
            <v>445</v>
          </cell>
          <cell r="D275" t="str">
            <v>M2</v>
          </cell>
          <cell r="E275">
            <v>0</v>
          </cell>
          <cell r="F275">
            <v>0</v>
          </cell>
        </row>
        <row r="276">
          <cell r="A276" t="str">
            <v>3.19 배면방수</v>
          </cell>
          <cell r="C276">
            <v>166</v>
          </cell>
          <cell r="D276" t="str">
            <v>M2</v>
          </cell>
          <cell r="E276">
            <v>0</v>
          </cell>
          <cell r="F276">
            <v>0</v>
          </cell>
        </row>
        <row r="277">
          <cell r="A277" t="str">
            <v>3.20 전선관부설</v>
          </cell>
          <cell r="C277">
            <v>62</v>
          </cell>
          <cell r="D277" t="str">
            <v>M</v>
          </cell>
          <cell r="E277">
            <v>0</v>
          </cell>
          <cell r="F277">
            <v>0</v>
          </cell>
        </row>
        <row r="278">
          <cell r="A278" t="str">
            <v>3.21 T.B.M 설치</v>
          </cell>
          <cell r="C278">
            <v>1</v>
          </cell>
          <cell r="D278" t="str">
            <v>EA</v>
          </cell>
          <cell r="E278">
            <v>0</v>
          </cell>
          <cell r="F278">
            <v>0</v>
          </cell>
        </row>
        <row r="279">
          <cell r="A279" t="str">
            <v>3.22 스페이서 설치</v>
          </cell>
          <cell r="E279">
            <v>0</v>
          </cell>
          <cell r="F279">
            <v>0</v>
          </cell>
        </row>
        <row r="280">
          <cell r="A280" t="str">
            <v>a.스페이서 설치</v>
          </cell>
          <cell r="C280">
            <v>986</v>
          </cell>
          <cell r="D280" t="str">
            <v>M2</v>
          </cell>
          <cell r="E280">
            <v>0</v>
          </cell>
          <cell r="F280">
            <v>0</v>
          </cell>
        </row>
        <row r="281">
          <cell r="A281" t="str">
            <v>b.스페이서 설치</v>
          </cell>
          <cell r="C281">
            <v>531</v>
          </cell>
          <cell r="D281" t="str">
            <v>M2</v>
          </cell>
          <cell r="E281">
            <v>0</v>
          </cell>
          <cell r="F281">
            <v>0</v>
          </cell>
        </row>
        <row r="282">
          <cell r="A282" t="str">
            <v>3.23 철근가공 및 조립</v>
          </cell>
          <cell r="E282">
            <v>0</v>
          </cell>
          <cell r="F282">
            <v>0</v>
          </cell>
        </row>
        <row r="283">
          <cell r="A283" t="str">
            <v>a.보       통</v>
          </cell>
          <cell r="C283">
            <v>17.899000000000001</v>
          </cell>
          <cell r="D283" t="str">
            <v>TON</v>
          </cell>
          <cell r="E283">
            <v>0</v>
          </cell>
          <cell r="F283">
            <v>0</v>
          </cell>
        </row>
        <row r="284">
          <cell r="A284" t="str">
            <v>b.복       잡</v>
          </cell>
          <cell r="C284">
            <v>158.209</v>
          </cell>
          <cell r="D284" t="str">
            <v>TON</v>
          </cell>
          <cell r="E284">
            <v>0</v>
          </cell>
          <cell r="F284">
            <v>0</v>
          </cell>
        </row>
        <row r="285">
          <cell r="A285" t="str">
            <v>3.24 배 수 시 설 공</v>
          </cell>
          <cell r="E285">
            <v>0</v>
          </cell>
          <cell r="F285">
            <v>0</v>
          </cell>
        </row>
        <row r="286">
          <cell r="A286" t="str">
            <v>a.교량배수물빼기공</v>
          </cell>
          <cell r="C286">
            <v>59</v>
          </cell>
          <cell r="D286" t="str">
            <v>M</v>
          </cell>
          <cell r="E286">
            <v>0</v>
          </cell>
          <cell r="F286">
            <v>0</v>
          </cell>
        </row>
        <row r="287">
          <cell r="A287" t="str">
            <v>b.하층줄눈(성형)</v>
          </cell>
          <cell r="C287">
            <v>59</v>
          </cell>
          <cell r="D287" t="str">
            <v>M</v>
          </cell>
          <cell r="E287">
            <v>0</v>
          </cell>
          <cell r="F287">
            <v>0</v>
          </cell>
        </row>
        <row r="288">
          <cell r="A288" t="str">
            <v>c.상층줄눈(주입)</v>
          </cell>
          <cell r="C288">
            <v>59</v>
          </cell>
          <cell r="D288" t="str">
            <v>M</v>
          </cell>
          <cell r="E288">
            <v>0</v>
          </cell>
          <cell r="F288">
            <v>0</v>
          </cell>
        </row>
        <row r="289">
          <cell r="A289" t="str">
            <v>d.표면처리(방수)</v>
          </cell>
          <cell r="C289">
            <v>12</v>
          </cell>
          <cell r="D289" t="str">
            <v>M2</v>
          </cell>
          <cell r="E289">
            <v>0</v>
          </cell>
          <cell r="F289">
            <v>0</v>
          </cell>
        </row>
        <row r="290">
          <cell r="A290" t="str">
            <v>e.집수구(스턴레스)</v>
          </cell>
          <cell r="C290">
            <v>6</v>
          </cell>
          <cell r="D290" t="str">
            <v>EA</v>
          </cell>
          <cell r="E290">
            <v>0</v>
          </cell>
          <cell r="F290">
            <v>0</v>
          </cell>
        </row>
        <row r="291">
          <cell r="A291" t="str">
            <v>f.교량배수용강관(하천용)</v>
          </cell>
          <cell r="C291">
            <v>7</v>
          </cell>
          <cell r="D291" t="str">
            <v>M</v>
          </cell>
          <cell r="E291">
            <v>0</v>
          </cell>
          <cell r="F291">
            <v>0</v>
          </cell>
        </row>
        <row r="292">
          <cell r="A292" t="str">
            <v>g.이음부(스텐레스)</v>
          </cell>
          <cell r="C292">
            <v>6</v>
          </cell>
          <cell r="D292" t="str">
            <v>EA</v>
          </cell>
          <cell r="E292">
            <v>0</v>
          </cell>
          <cell r="F292">
            <v>0</v>
          </cell>
        </row>
        <row r="293">
          <cell r="A293" t="str">
            <v>3.25 DOWEL BAR 설치</v>
          </cell>
          <cell r="C293">
            <v>96</v>
          </cell>
          <cell r="D293" t="str">
            <v>개소</v>
          </cell>
          <cell r="E293">
            <v>0</v>
          </cell>
          <cell r="F293">
            <v>0</v>
          </cell>
        </row>
        <row r="294">
          <cell r="A294" t="str">
            <v>3.26 스치로폴</v>
          </cell>
          <cell r="E294">
            <v>0</v>
          </cell>
          <cell r="F294">
            <v>0</v>
          </cell>
        </row>
        <row r="295">
          <cell r="A295" t="str">
            <v>a.스치로폴</v>
          </cell>
          <cell r="C295">
            <v>77</v>
          </cell>
          <cell r="D295" t="str">
            <v>M2</v>
          </cell>
          <cell r="E295">
            <v>0</v>
          </cell>
          <cell r="F295">
            <v>0</v>
          </cell>
        </row>
        <row r="296">
          <cell r="A296" t="str">
            <v>3.27 방호책난간</v>
          </cell>
          <cell r="C296">
            <v>30</v>
          </cell>
          <cell r="D296" t="str">
            <v>M</v>
          </cell>
          <cell r="E296">
            <v>0</v>
          </cell>
          <cell r="F296">
            <v>0</v>
          </cell>
        </row>
        <row r="297">
          <cell r="A297" t="str">
            <v>3.28 강관파일</v>
          </cell>
          <cell r="E297">
            <v>0</v>
          </cell>
          <cell r="F297">
            <v>0</v>
          </cell>
        </row>
        <row r="298">
          <cell r="A298" t="str">
            <v>a.자재비 (R=508 M/M,T=12 M/M)</v>
          </cell>
          <cell r="C298">
            <v>221</v>
          </cell>
          <cell r="D298" t="str">
            <v>M</v>
          </cell>
          <cell r="E298">
            <v>0</v>
          </cell>
          <cell r="F298">
            <v>0</v>
          </cell>
        </row>
        <row r="299">
          <cell r="A299" t="str">
            <v>b.S.I.P</v>
          </cell>
          <cell r="C299">
            <v>221</v>
          </cell>
          <cell r="D299" t="str">
            <v>M</v>
          </cell>
          <cell r="E299">
            <v>0</v>
          </cell>
          <cell r="F299">
            <v>0</v>
          </cell>
        </row>
        <row r="300">
          <cell r="A300" t="str">
            <v>c.두부보강 (볼트식)</v>
          </cell>
          <cell r="C300">
            <v>42</v>
          </cell>
          <cell r="D300" t="str">
            <v>개소</v>
          </cell>
          <cell r="E300">
            <v>0</v>
          </cell>
          <cell r="F300">
            <v>0</v>
          </cell>
        </row>
        <row r="301">
          <cell r="A301" t="str">
            <v>d.선단 보강</v>
          </cell>
          <cell r="C301">
            <v>42</v>
          </cell>
          <cell r="D301" t="str">
            <v>개소</v>
          </cell>
          <cell r="E301">
            <v>0</v>
          </cell>
          <cell r="F301">
            <v>0</v>
          </cell>
        </row>
        <row r="302">
          <cell r="A302" t="str">
            <v>3.29 부직포</v>
          </cell>
          <cell r="C302">
            <v>126</v>
          </cell>
          <cell r="D302" t="str">
            <v>M2</v>
          </cell>
          <cell r="E302">
            <v>0</v>
          </cell>
          <cell r="F302">
            <v>0</v>
          </cell>
        </row>
        <row r="303">
          <cell r="A303" t="str">
            <v>3.30 가시설공</v>
          </cell>
          <cell r="E303">
            <v>0</v>
          </cell>
          <cell r="F303">
            <v>0</v>
          </cell>
        </row>
        <row r="304">
          <cell r="A304" t="str">
            <v>a.토  사천공(φ16" 3 WING BIT)</v>
          </cell>
          <cell r="C304">
            <v>789</v>
          </cell>
          <cell r="D304" t="str">
            <v>M</v>
          </cell>
          <cell r="E304">
            <v>0</v>
          </cell>
          <cell r="F304">
            <v>0</v>
          </cell>
        </row>
        <row r="305">
          <cell r="A305" t="str">
            <v>b.풍화암천공(φ16" 3 WING BIT)</v>
          </cell>
          <cell r="C305">
            <v>117</v>
          </cell>
          <cell r="D305" t="str">
            <v>M</v>
          </cell>
          <cell r="E305">
            <v>0</v>
          </cell>
          <cell r="F305">
            <v>0</v>
          </cell>
        </row>
        <row r="306">
          <cell r="A306" t="str">
            <v>c.경암천공(T-4)</v>
          </cell>
          <cell r="C306">
            <v>489</v>
          </cell>
          <cell r="D306" t="str">
            <v>M</v>
          </cell>
          <cell r="E306">
            <v>0</v>
          </cell>
          <cell r="F306">
            <v>0</v>
          </cell>
        </row>
        <row r="307">
          <cell r="A307" t="str">
            <v>d.SHEET PILE항타및항발</v>
          </cell>
          <cell r="C307">
            <v>1396</v>
          </cell>
          <cell r="D307" t="str">
            <v>M</v>
          </cell>
          <cell r="E307">
            <v>0</v>
          </cell>
          <cell r="F307">
            <v>0</v>
          </cell>
        </row>
        <row r="308">
          <cell r="A308" t="str">
            <v>e.버팀보 제작</v>
          </cell>
          <cell r="C308">
            <v>16</v>
          </cell>
          <cell r="D308" t="str">
            <v>본</v>
          </cell>
          <cell r="E308">
            <v>0</v>
          </cell>
          <cell r="F308">
            <v>0</v>
          </cell>
        </row>
        <row r="309">
          <cell r="A309" t="str">
            <v>f.버팀보 설치 (6∼8m)</v>
          </cell>
          <cell r="C309">
            <v>16</v>
          </cell>
          <cell r="D309" t="str">
            <v>EA</v>
          </cell>
          <cell r="E309">
            <v>0</v>
          </cell>
          <cell r="F309">
            <v>0</v>
          </cell>
        </row>
        <row r="310">
          <cell r="A310" t="str">
            <v>g.버팀보 철거 (6∼8m)</v>
          </cell>
          <cell r="C310">
            <v>16</v>
          </cell>
          <cell r="D310" t="str">
            <v>EA</v>
          </cell>
          <cell r="E310">
            <v>0</v>
          </cell>
          <cell r="F310">
            <v>0</v>
          </cell>
        </row>
        <row r="311">
          <cell r="A311" t="str">
            <v>h.CORNER STRUT제작</v>
          </cell>
          <cell r="C311">
            <v>8</v>
          </cell>
          <cell r="D311" t="str">
            <v>EA</v>
          </cell>
          <cell r="E311">
            <v>0</v>
          </cell>
          <cell r="F311">
            <v>0</v>
          </cell>
        </row>
        <row r="312">
          <cell r="A312" t="str">
            <v>i.CORNER STRUT 설치 (6∼8m)</v>
          </cell>
          <cell r="C312">
            <v>8</v>
          </cell>
          <cell r="D312" t="str">
            <v>EA</v>
          </cell>
          <cell r="E312">
            <v>0</v>
          </cell>
          <cell r="F312">
            <v>0</v>
          </cell>
        </row>
        <row r="313">
          <cell r="A313" t="str">
            <v>j.CORNER STRUT 철거 (6∼8m)</v>
          </cell>
          <cell r="C313">
            <v>8</v>
          </cell>
          <cell r="D313" t="str">
            <v>EA</v>
          </cell>
          <cell r="E313">
            <v>0</v>
          </cell>
          <cell r="F313">
            <v>0</v>
          </cell>
        </row>
        <row r="314">
          <cell r="A314" t="str">
            <v>k.JACK 설치해체</v>
          </cell>
          <cell r="C314">
            <v>24</v>
          </cell>
          <cell r="D314" t="str">
            <v>개소</v>
          </cell>
          <cell r="E314">
            <v>0</v>
          </cell>
          <cell r="F314">
            <v>0</v>
          </cell>
        </row>
        <row r="315">
          <cell r="A315" t="str">
            <v>l.보걸이설치</v>
          </cell>
          <cell r="C315">
            <v>118</v>
          </cell>
          <cell r="D315" t="str">
            <v>EA</v>
          </cell>
          <cell r="E315">
            <v>0</v>
          </cell>
          <cell r="F315">
            <v>0</v>
          </cell>
        </row>
        <row r="316">
          <cell r="A316" t="str">
            <v>m.보걸이철거</v>
          </cell>
          <cell r="C316">
            <v>118</v>
          </cell>
          <cell r="D316" t="str">
            <v>EA</v>
          </cell>
          <cell r="E316">
            <v>0</v>
          </cell>
          <cell r="F316">
            <v>0</v>
          </cell>
        </row>
        <row r="317">
          <cell r="A317" t="str">
            <v>n.띠장설치</v>
          </cell>
          <cell r="C317">
            <v>220</v>
          </cell>
          <cell r="D317" t="str">
            <v>M</v>
          </cell>
          <cell r="E317">
            <v>0</v>
          </cell>
          <cell r="F317">
            <v>0</v>
          </cell>
        </row>
        <row r="318">
          <cell r="A318" t="str">
            <v>o.띠장철거</v>
          </cell>
          <cell r="C318">
            <v>220</v>
          </cell>
          <cell r="D318" t="str">
            <v>M</v>
          </cell>
          <cell r="E318">
            <v>0</v>
          </cell>
          <cell r="F318">
            <v>0</v>
          </cell>
        </row>
        <row r="319">
          <cell r="A319" t="str">
            <v>p.띠장연결</v>
          </cell>
          <cell r="C319">
            <v>5</v>
          </cell>
          <cell r="D319" t="str">
            <v>EA</v>
          </cell>
          <cell r="E319">
            <v>0</v>
          </cell>
          <cell r="F319">
            <v>0</v>
          </cell>
        </row>
        <row r="320">
          <cell r="A320" t="str">
            <v>q.BRACING BEAM 설치 (15∼18m)</v>
          </cell>
          <cell r="C320">
            <v>2</v>
          </cell>
          <cell r="D320" t="str">
            <v>EA</v>
          </cell>
          <cell r="E320">
            <v>0</v>
          </cell>
          <cell r="F320">
            <v>0</v>
          </cell>
        </row>
        <row r="321">
          <cell r="A321" t="str">
            <v>r.BRACING BEAM 철거 (15∼18m)</v>
          </cell>
          <cell r="C321">
            <v>2</v>
          </cell>
          <cell r="D321" t="str">
            <v>EA</v>
          </cell>
          <cell r="E321">
            <v>0</v>
          </cell>
          <cell r="F321">
            <v>0</v>
          </cell>
        </row>
        <row r="322">
          <cell r="A322" t="str">
            <v>s.L형강설치</v>
          </cell>
          <cell r="C322">
            <v>8</v>
          </cell>
          <cell r="D322" t="str">
            <v>M</v>
          </cell>
          <cell r="E322">
            <v>0</v>
          </cell>
          <cell r="F322">
            <v>0</v>
          </cell>
        </row>
        <row r="323">
          <cell r="A323" t="str">
            <v>t.L형강철거</v>
          </cell>
          <cell r="C323">
            <v>8</v>
          </cell>
          <cell r="D323" t="str">
            <v>M</v>
          </cell>
          <cell r="E323">
            <v>0</v>
          </cell>
          <cell r="F323">
            <v>0</v>
          </cell>
        </row>
        <row r="324">
          <cell r="A324" t="str">
            <v>u.어스앙카공</v>
          </cell>
          <cell r="C324">
            <v>48</v>
          </cell>
          <cell r="D324" t="str">
            <v>EA</v>
          </cell>
          <cell r="E324">
            <v>0</v>
          </cell>
          <cell r="F324">
            <v>0</v>
          </cell>
        </row>
        <row r="325">
          <cell r="A325" t="str">
            <v>v.구조용H형강</v>
          </cell>
          <cell r="C325">
            <v>37.283999999999999</v>
          </cell>
          <cell r="D325" t="str">
            <v>TON</v>
          </cell>
          <cell r="E325">
            <v>0</v>
          </cell>
          <cell r="F325">
            <v>0</v>
          </cell>
        </row>
        <row r="326">
          <cell r="A326" t="str">
            <v>w.구조용H형강</v>
          </cell>
          <cell r="C326">
            <v>2.08</v>
          </cell>
          <cell r="D326" t="str">
            <v>TON</v>
          </cell>
          <cell r="E326">
            <v>0</v>
          </cell>
          <cell r="F326">
            <v>0</v>
          </cell>
        </row>
        <row r="327">
          <cell r="A327" t="str">
            <v>x.강널말뚝</v>
          </cell>
          <cell r="C327">
            <v>100.652</v>
          </cell>
          <cell r="D327" t="str">
            <v>TON</v>
          </cell>
          <cell r="E327">
            <v>0</v>
          </cell>
          <cell r="F327">
            <v>0</v>
          </cell>
        </row>
        <row r="328">
          <cell r="A328" t="str">
            <v>y.강재 및 형강운반비</v>
          </cell>
          <cell r="C328">
            <v>140.23699999999999</v>
          </cell>
          <cell r="D328" t="str">
            <v>TON</v>
          </cell>
          <cell r="E328">
            <v>0</v>
          </cell>
          <cell r="F328">
            <v>0</v>
          </cell>
        </row>
        <row r="329">
          <cell r="A329" t="str">
            <v>3.31 휴암교 철거</v>
          </cell>
          <cell r="C329">
            <v>1</v>
          </cell>
          <cell r="D329" t="str">
            <v>식</v>
          </cell>
          <cell r="E329">
            <v>0</v>
          </cell>
          <cell r="F329">
            <v>0</v>
          </cell>
        </row>
        <row r="330">
          <cell r="A330" t="str">
            <v>B.산수1교(S.T.BOX교)</v>
          </cell>
          <cell r="E330">
            <v>0</v>
          </cell>
          <cell r="F330">
            <v>0</v>
          </cell>
        </row>
        <row r="331">
          <cell r="A331" t="str">
            <v>3.01 터 파 기</v>
          </cell>
          <cell r="E331">
            <v>0</v>
          </cell>
          <cell r="F331">
            <v>0</v>
          </cell>
        </row>
        <row r="332">
          <cell r="A332" t="str">
            <v>a.육상토사</v>
          </cell>
          <cell r="C332">
            <v>480</v>
          </cell>
          <cell r="D332" t="str">
            <v>M3</v>
          </cell>
          <cell r="E332">
            <v>0</v>
          </cell>
          <cell r="F332">
            <v>0</v>
          </cell>
        </row>
        <row r="333">
          <cell r="A333" t="str">
            <v>b.육상풍화암</v>
          </cell>
          <cell r="C333">
            <v>1050</v>
          </cell>
          <cell r="D333" t="str">
            <v>M3</v>
          </cell>
          <cell r="E333">
            <v>0</v>
          </cell>
          <cell r="F333">
            <v>0</v>
          </cell>
        </row>
        <row r="334">
          <cell r="A334" t="str">
            <v>c.용수토사</v>
          </cell>
          <cell r="E334">
            <v>0</v>
          </cell>
          <cell r="F334">
            <v>0</v>
          </cell>
        </row>
        <row r="335">
          <cell r="A335" t="str">
            <v>-1.용수토사</v>
          </cell>
          <cell r="C335">
            <v>4120</v>
          </cell>
          <cell r="D335" t="str">
            <v>M3</v>
          </cell>
          <cell r="E335">
            <v>0</v>
          </cell>
          <cell r="F335">
            <v>0</v>
          </cell>
        </row>
        <row r="336">
          <cell r="A336" t="str">
            <v>-2.용수토사</v>
          </cell>
          <cell r="C336">
            <v>4530</v>
          </cell>
          <cell r="D336" t="str">
            <v>M3</v>
          </cell>
          <cell r="E336">
            <v>0</v>
          </cell>
          <cell r="F336">
            <v>0</v>
          </cell>
        </row>
        <row r="337">
          <cell r="A337" t="str">
            <v>d.용수풍화암</v>
          </cell>
          <cell r="E337">
            <v>0</v>
          </cell>
          <cell r="F337">
            <v>0</v>
          </cell>
        </row>
        <row r="338">
          <cell r="A338" t="str">
            <v>-1.용수풍화암</v>
          </cell>
          <cell r="C338">
            <v>130</v>
          </cell>
          <cell r="D338" t="str">
            <v>M3</v>
          </cell>
          <cell r="E338">
            <v>0</v>
          </cell>
          <cell r="F338">
            <v>0</v>
          </cell>
        </row>
        <row r="339">
          <cell r="A339" t="str">
            <v>e.용수발파암</v>
          </cell>
          <cell r="E339">
            <v>0</v>
          </cell>
          <cell r="F339">
            <v>0</v>
          </cell>
        </row>
        <row r="340">
          <cell r="A340" t="str">
            <v>-1.용수발파암</v>
          </cell>
          <cell r="C340">
            <v>2960</v>
          </cell>
          <cell r="D340" t="str">
            <v>㎥</v>
          </cell>
          <cell r="E340">
            <v>0</v>
          </cell>
          <cell r="F340">
            <v>0</v>
          </cell>
        </row>
        <row r="341">
          <cell r="A341" t="str">
            <v>3.02 되메우기(기계70%,인력30%)</v>
          </cell>
          <cell r="C341">
            <v>880</v>
          </cell>
          <cell r="D341" t="str">
            <v>M3</v>
          </cell>
          <cell r="E341">
            <v>0</v>
          </cell>
          <cell r="F341">
            <v>0</v>
          </cell>
        </row>
        <row r="342">
          <cell r="A342" t="str">
            <v>3.03 뒷채움 및 다짐</v>
          </cell>
          <cell r="C342">
            <v>840</v>
          </cell>
          <cell r="D342" t="str">
            <v>M3</v>
          </cell>
          <cell r="E342">
            <v>0</v>
          </cell>
          <cell r="F342">
            <v>0</v>
          </cell>
        </row>
        <row r="343">
          <cell r="A343" t="str">
            <v>3.04 면정리및청소</v>
          </cell>
          <cell r="C343">
            <v>1032</v>
          </cell>
          <cell r="D343" t="str">
            <v>M2</v>
          </cell>
          <cell r="E343">
            <v>0</v>
          </cell>
          <cell r="F343">
            <v>0</v>
          </cell>
        </row>
        <row r="344">
          <cell r="A344" t="str">
            <v>3.05 앞 성 토</v>
          </cell>
          <cell r="C344">
            <v>2132</v>
          </cell>
          <cell r="D344" t="str">
            <v>M3</v>
          </cell>
          <cell r="E344">
            <v>0</v>
          </cell>
          <cell r="F344">
            <v>0</v>
          </cell>
        </row>
        <row r="345">
          <cell r="A345" t="str">
            <v>3.06 세굴방지용사석채움</v>
          </cell>
          <cell r="C345">
            <v>2950</v>
          </cell>
          <cell r="D345" t="str">
            <v>M3</v>
          </cell>
          <cell r="E345">
            <v>0</v>
          </cell>
          <cell r="F345">
            <v>0</v>
          </cell>
        </row>
        <row r="346">
          <cell r="A346" t="str">
            <v>3.07 물 푸 기</v>
          </cell>
          <cell r="C346">
            <v>2770</v>
          </cell>
          <cell r="D346" t="str">
            <v>Hr</v>
          </cell>
          <cell r="E346">
            <v>0</v>
          </cell>
          <cell r="F346">
            <v>0</v>
          </cell>
        </row>
        <row r="347">
          <cell r="A347" t="str">
            <v>3.08 콘크리트 타설</v>
          </cell>
          <cell r="E347">
            <v>0</v>
          </cell>
          <cell r="F347">
            <v>0</v>
          </cell>
        </row>
        <row r="348">
          <cell r="A348" t="str">
            <v>a.철       근</v>
          </cell>
          <cell r="C348">
            <v>349</v>
          </cell>
          <cell r="D348" t="str">
            <v>M3</v>
          </cell>
          <cell r="E348">
            <v>0</v>
          </cell>
          <cell r="F348">
            <v>0</v>
          </cell>
        </row>
        <row r="349">
          <cell r="A349" t="str">
            <v>b.무       근</v>
          </cell>
          <cell r="C349">
            <v>116</v>
          </cell>
          <cell r="D349" t="str">
            <v>M3</v>
          </cell>
          <cell r="E349">
            <v>0</v>
          </cell>
          <cell r="F349">
            <v>0</v>
          </cell>
        </row>
        <row r="350">
          <cell r="A350" t="str">
            <v>c.무       근</v>
          </cell>
          <cell r="C350">
            <v>362</v>
          </cell>
          <cell r="D350" t="str">
            <v>M3</v>
          </cell>
          <cell r="E350">
            <v>0</v>
          </cell>
          <cell r="F350">
            <v>0</v>
          </cell>
        </row>
        <row r="351">
          <cell r="A351" t="str">
            <v>d.펌프카타설</v>
          </cell>
          <cell r="C351">
            <v>5637</v>
          </cell>
          <cell r="D351" t="str">
            <v>M3</v>
          </cell>
          <cell r="E351">
            <v>0</v>
          </cell>
          <cell r="F351">
            <v>0</v>
          </cell>
        </row>
        <row r="352">
          <cell r="A352" t="str">
            <v>e.펌프카타설</v>
          </cell>
          <cell r="C352">
            <v>719</v>
          </cell>
          <cell r="D352" t="str">
            <v>M3</v>
          </cell>
          <cell r="E352">
            <v>0</v>
          </cell>
          <cell r="F352">
            <v>0</v>
          </cell>
        </row>
        <row r="353">
          <cell r="A353" t="str">
            <v>3.09 무수축 콘크리트</v>
          </cell>
          <cell r="C353">
            <v>10.055999999999999</v>
          </cell>
          <cell r="D353" t="str">
            <v>M3</v>
          </cell>
          <cell r="E353">
            <v>0</v>
          </cell>
          <cell r="F353">
            <v>0</v>
          </cell>
        </row>
        <row r="354">
          <cell r="A354" t="str">
            <v>3.10 무수축 몰탈</v>
          </cell>
          <cell r="C354">
            <v>2.3159999999999998</v>
          </cell>
          <cell r="D354" t="str">
            <v>M3</v>
          </cell>
          <cell r="E354">
            <v>0</v>
          </cell>
          <cell r="F354">
            <v>0</v>
          </cell>
        </row>
        <row r="355">
          <cell r="A355" t="str">
            <v>3.11 거푸집공</v>
          </cell>
          <cell r="E355">
            <v>0</v>
          </cell>
          <cell r="F355">
            <v>0</v>
          </cell>
        </row>
        <row r="356">
          <cell r="A356" t="str">
            <v>a.합 판 거 푸 집</v>
          </cell>
          <cell r="E356">
            <v>0</v>
          </cell>
          <cell r="F356">
            <v>0</v>
          </cell>
        </row>
        <row r="357">
          <cell r="A357" t="str">
            <v>-1.거푸집</v>
          </cell>
          <cell r="C357">
            <v>5959</v>
          </cell>
          <cell r="D357" t="str">
            <v>M2</v>
          </cell>
          <cell r="E357">
            <v>0</v>
          </cell>
          <cell r="F357">
            <v>0</v>
          </cell>
        </row>
        <row r="358">
          <cell r="A358" t="str">
            <v>-2.거푸집</v>
          </cell>
          <cell r="C358">
            <v>46</v>
          </cell>
          <cell r="D358" t="str">
            <v>M2</v>
          </cell>
          <cell r="E358">
            <v>0</v>
          </cell>
          <cell r="F358">
            <v>0</v>
          </cell>
        </row>
        <row r="359">
          <cell r="A359" t="str">
            <v>-3.거푸집</v>
          </cell>
          <cell r="C359">
            <v>123</v>
          </cell>
          <cell r="D359" t="str">
            <v>M2</v>
          </cell>
          <cell r="E359">
            <v>0</v>
          </cell>
          <cell r="F359">
            <v>0</v>
          </cell>
        </row>
        <row r="360">
          <cell r="A360" t="str">
            <v>-4.거푸집</v>
          </cell>
          <cell r="C360">
            <v>142</v>
          </cell>
          <cell r="D360" t="str">
            <v>M2</v>
          </cell>
          <cell r="E360">
            <v>0</v>
          </cell>
          <cell r="F360">
            <v>0</v>
          </cell>
        </row>
        <row r="361">
          <cell r="A361" t="str">
            <v>-5.거푸집</v>
          </cell>
          <cell r="C361">
            <v>284</v>
          </cell>
          <cell r="D361" t="str">
            <v>M2</v>
          </cell>
          <cell r="E361">
            <v>0</v>
          </cell>
          <cell r="F361">
            <v>0</v>
          </cell>
        </row>
        <row r="362">
          <cell r="A362" t="str">
            <v>-6.거푸집</v>
          </cell>
          <cell r="C362">
            <v>17</v>
          </cell>
          <cell r="D362" t="str">
            <v>M2</v>
          </cell>
          <cell r="E362">
            <v>0</v>
          </cell>
          <cell r="F362">
            <v>0</v>
          </cell>
        </row>
        <row r="363">
          <cell r="A363" t="str">
            <v>-7.거푸집</v>
          </cell>
          <cell r="C363">
            <v>899</v>
          </cell>
          <cell r="D363" t="str">
            <v>M2</v>
          </cell>
          <cell r="E363">
            <v>0</v>
          </cell>
          <cell r="F363">
            <v>0</v>
          </cell>
        </row>
        <row r="364">
          <cell r="A364" t="str">
            <v>-8.거푸집</v>
          </cell>
          <cell r="C364">
            <v>243</v>
          </cell>
          <cell r="D364" t="str">
            <v>M2</v>
          </cell>
          <cell r="E364">
            <v>0</v>
          </cell>
          <cell r="F364">
            <v>0</v>
          </cell>
        </row>
        <row r="365">
          <cell r="A365" t="str">
            <v>b.P.E무늬거푸집</v>
          </cell>
          <cell r="E365">
            <v>0</v>
          </cell>
          <cell r="F365">
            <v>0</v>
          </cell>
        </row>
        <row r="366">
          <cell r="A366" t="str">
            <v>-1.P.E무늬거푸집</v>
          </cell>
          <cell r="C366">
            <v>372</v>
          </cell>
          <cell r="D366" t="str">
            <v>㎡</v>
          </cell>
          <cell r="E366">
            <v>0</v>
          </cell>
          <cell r="F366">
            <v>0</v>
          </cell>
        </row>
        <row r="367">
          <cell r="A367" t="str">
            <v>-2.P.E무늬거푸집</v>
          </cell>
          <cell r="C367">
            <v>2</v>
          </cell>
          <cell r="D367" t="str">
            <v>㎡</v>
          </cell>
          <cell r="E367">
            <v>0</v>
          </cell>
          <cell r="F367">
            <v>0</v>
          </cell>
        </row>
        <row r="368">
          <cell r="A368" t="str">
            <v>c.목재 원형 거푸집</v>
          </cell>
          <cell r="E368">
            <v>0</v>
          </cell>
          <cell r="F368">
            <v>0</v>
          </cell>
        </row>
        <row r="369">
          <cell r="A369" t="str">
            <v>-1.원형거푸집</v>
          </cell>
          <cell r="C369">
            <v>616</v>
          </cell>
          <cell r="D369" t="str">
            <v>M2</v>
          </cell>
          <cell r="E369">
            <v>0</v>
          </cell>
          <cell r="F369">
            <v>0</v>
          </cell>
        </row>
        <row r="370">
          <cell r="A370" t="str">
            <v>-2.원형거푸집</v>
          </cell>
          <cell r="C370">
            <v>264</v>
          </cell>
          <cell r="D370" t="str">
            <v>M2</v>
          </cell>
          <cell r="E370">
            <v>0</v>
          </cell>
          <cell r="F370">
            <v>0</v>
          </cell>
        </row>
        <row r="371">
          <cell r="A371" t="str">
            <v>-3.원형거푸집</v>
          </cell>
          <cell r="C371">
            <v>264</v>
          </cell>
          <cell r="D371" t="str">
            <v>M2</v>
          </cell>
          <cell r="E371">
            <v>0</v>
          </cell>
          <cell r="F371">
            <v>0</v>
          </cell>
        </row>
        <row r="372">
          <cell r="A372" t="str">
            <v>-4.원형거푸집</v>
          </cell>
          <cell r="C372">
            <v>228</v>
          </cell>
          <cell r="D372" t="str">
            <v>M2</v>
          </cell>
          <cell r="E372">
            <v>0</v>
          </cell>
          <cell r="F372">
            <v>0</v>
          </cell>
        </row>
        <row r="373">
          <cell r="A373" t="str">
            <v>-5.원형거푸집</v>
          </cell>
          <cell r="C373">
            <v>163</v>
          </cell>
          <cell r="D373" t="str">
            <v>M2</v>
          </cell>
          <cell r="E373">
            <v>0</v>
          </cell>
          <cell r="F373">
            <v>0</v>
          </cell>
        </row>
        <row r="374">
          <cell r="A374" t="str">
            <v>-6.원형거푸집</v>
          </cell>
          <cell r="C374">
            <v>55</v>
          </cell>
          <cell r="D374" t="str">
            <v>M2</v>
          </cell>
          <cell r="E374">
            <v>0</v>
          </cell>
          <cell r="F374">
            <v>0</v>
          </cell>
        </row>
        <row r="375">
          <cell r="A375" t="str">
            <v>-7.원형거푸집</v>
          </cell>
          <cell r="C375">
            <v>2</v>
          </cell>
          <cell r="D375" t="str">
            <v>M2</v>
          </cell>
          <cell r="E375">
            <v>0</v>
          </cell>
          <cell r="F375">
            <v>0</v>
          </cell>
        </row>
        <row r="376">
          <cell r="A376" t="str">
            <v>3.12 동바리</v>
          </cell>
          <cell r="E376">
            <v>0</v>
          </cell>
          <cell r="F376">
            <v>0</v>
          </cell>
        </row>
        <row r="377">
          <cell r="A377" t="str">
            <v>a.동바리</v>
          </cell>
          <cell r="C377">
            <v>3030</v>
          </cell>
          <cell r="D377" t="str">
            <v>공M3</v>
          </cell>
          <cell r="E377">
            <v>0</v>
          </cell>
          <cell r="F377">
            <v>0</v>
          </cell>
        </row>
        <row r="378">
          <cell r="A378" t="str">
            <v>b.동바리</v>
          </cell>
          <cell r="C378">
            <v>850</v>
          </cell>
          <cell r="D378" t="str">
            <v>공M3</v>
          </cell>
          <cell r="E378">
            <v>0</v>
          </cell>
          <cell r="F378">
            <v>0</v>
          </cell>
        </row>
        <row r="379">
          <cell r="A379" t="str">
            <v>c.동바리</v>
          </cell>
          <cell r="C379">
            <v>2530</v>
          </cell>
          <cell r="D379" t="str">
            <v>공/M3</v>
          </cell>
          <cell r="E379">
            <v>0</v>
          </cell>
          <cell r="F379">
            <v>0</v>
          </cell>
        </row>
        <row r="380">
          <cell r="A380" t="str">
            <v>d.수평연결재</v>
          </cell>
          <cell r="C380">
            <v>550</v>
          </cell>
          <cell r="D380" t="str">
            <v>M2</v>
          </cell>
          <cell r="E380">
            <v>0</v>
          </cell>
          <cell r="F380">
            <v>0</v>
          </cell>
        </row>
        <row r="381">
          <cell r="A381" t="str">
            <v>3.13 비계</v>
          </cell>
          <cell r="C381">
            <v>5630</v>
          </cell>
          <cell r="D381" t="str">
            <v>M2</v>
          </cell>
          <cell r="E381">
            <v>0</v>
          </cell>
          <cell r="F381">
            <v>0</v>
          </cell>
        </row>
        <row r="382">
          <cell r="A382" t="str">
            <v>3.14 모따기</v>
          </cell>
          <cell r="C382">
            <v>1437</v>
          </cell>
          <cell r="D382" t="str">
            <v>M</v>
          </cell>
          <cell r="E382">
            <v>0</v>
          </cell>
          <cell r="F382">
            <v>0</v>
          </cell>
        </row>
        <row r="383">
          <cell r="A383" t="str">
            <v>3.15 신축이음장치</v>
          </cell>
          <cell r="C383">
            <v>39</v>
          </cell>
          <cell r="D383" t="str">
            <v>M</v>
          </cell>
          <cell r="E383">
            <v>0</v>
          </cell>
          <cell r="F383">
            <v>0</v>
          </cell>
        </row>
        <row r="384">
          <cell r="A384" t="str">
            <v>3.16 교명주(화강석)</v>
          </cell>
          <cell r="C384">
            <v>4</v>
          </cell>
          <cell r="D384" t="str">
            <v>EA</v>
          </cell>
          <cell r="E384">
            <v>0</v>
          </cell>
          <cell r="F384">
            <v>0</v>
          </cell>
        </row>
        <row r="385">
          <cell r="A385" t="str">
            <v>3.17 교명판및설명판</v>
          </cell>
          <cell r="E385">
            <v>0</v>
          </cell>
          <cell r="F385">
            <v>0</v>
          </cell>
        </row>
        <row r="386">
          <cell r="A386" t="str">
            <v>a.교명판</v>
          </cell>
          <cell r="C386">
            <v>2</v>
          </cell>
          <cell r="D386" t="str">
            <v>EA</v>
          </cell>
          <cell r="E386">
            <v>0</v>
          </cell>
          <cell r="F386">
            <v>0</v>
          </cell>
        </row>
        <row r="387">
          <cell r="A387" t="str">
            <v>b.설명판</v>
          </cell>
          <cell r="C387">
            <v>2</v>
          </cell>
          <cell r="D387" t="str">
            <v>EA</v>
          </cell>
          <cell r="E387">
            <v>0</v>
          </cell>
          <cell r="F387">
            <v>0</v>
          </cell>
        </row>
        <row r="388">
          <cell r="A388" t="str">
            <v>3.18 표면처리</v>
          </cell>
          <cell r="E388">
            <v>0</v>
          </cell>
          <cell r="F388">
            <v>0</v>
          </cell>
        </row>
        <row r="389">
          <cell r="A389" t="str">
            <v>a.슬라브 양생</v>
          </cell>
          <cell r="C389">
            <v>4978</v>
          </cell>
          <cell r="D389" t="str">
            <v>M2</v>
          </cell>
          <cell r="E389">
            <v>0</v>
          </cell>
          <cell r="F389">
            <v>0</v>
          </cell>
        </row>
        <row r="390">
          <cell r="A390" t="str">
            <v>b.데크휘니샤 면고르기</v>
          </cell>
          <cell r="C390">
            <v>4978</v>
          </cell>
          <cell r="D390" t="str">
            <v>M2</v>
          </cell>
          <cell r="E390">
            <v>0</v>
          </cell>
          <cell r="F390">
            <v>0</v>
          </cell>
        </row>
        <row r="391">
          <cell r="A391" t="str">
            <v>3.19 교면방수</v>
          </cell>
          <cell r="C391">
            <v>4978</v>
          </cell>
          <cell r="D391" t="str">
            <v>M2</v>
          </cell>
          <cell r="E391">
            <v>0</v>
          </cell>
          <cell r="F391">
            <v>0</v>
          </cell>
        </row>
        <row r="392">
          <cell r="A392" t="str">
            <v>3.20 배면방수</v>
          </cell>
          <cell r="C392">
            <v>324</v>
          </cell>
          <cell r="D392" t="str">
            <v>M2</v>
          </cell>
          <cell r="E392">
            <v>0</v>
          </cell>
          <cell r="F392">
            <v>0</v>
          </cell>
        </row>
        <row r="393">
          <cell r="A393" t="str">
            <v>3.21 전선관부설</v>
          </cell>
          <cell r="C393">
            <v>1077</v>
          </cell>
          <cell r="D393" t="str">
            <v>M</v>
          </cell>
          <cell r="E393">
            <v>0</v>
          </cell>
          <cell r="F393">
            <v>0</v>
          </cell>
        </row>
        <row r="394">
          <cell r="A394" t="str">
            <v>3.22 T.B.M 설치</v>
          </cell>
          <cell r="C394">
            <v>2</v>
          </cell>
          <cell r="D394" t="str">
            <v>개</v>
          </cell>
          <cell r="E394">
            <v>0</v>
          </cell>
          <cell r="F394">
            <v>0</v>
          </cell>
        </row>
        <row r="395">
          <cell r="A395" t="str">
            <v>3.23 낙하물 방지공</v>
          </cell>
          <cell r="C395">
            <v>5860</v>
          </cell>
          <cell r="D395" t="str">
            <v>M2</v>
          </cell>
          <cell r="E395">
            <v>0</v>
          </cell>
          <cell r="F395">
            <v>0</v>
          </cell>
        </row>
        <row r="396">
          <cell r="A396" t="str">
            <v>3.24 방호벽</v>
          </cell>
          <cell r="C396">
            <v>538</v>
          </cell>
          <cell r="D396" t="str">
            <v>M</v>
          </cell>
          <cell r="E396">
            <v>0</v>
          </cell>
          <cell r="F396">
            <v>0</v>
          </cell>
        </row>
        <row r="397">
          <cell r="A397" t="str">
            <v>3.25 중앙분리대</v>
          </cell>
          <cell r="C397">
            <v>510</v>
          </cell>
          <cell r="D397" t="str">
            <v>M</v>
          </cell>
          <cell r="E397">
            <v>0</v>
          </cell>
          <cell r="F397">
            <v>0</v>
          </cell>
        </row>
        <row r="398">
          <cell r="A398" t="str">
            <v>3.26 NOTCH  설치</v>
          </cell>
          <cell r="C398">
            <v>1020</v>
          </cell>
          <cell r="D398" t="str">
            <v>M</v>
          </cell>
          <cell r="E398">
            <v>0</v>
          </cell>
          <cell r="F398">
            <v>0</v>
          </cell>
        </row>
        <row r="399">
          <cell r="A399" t="str">
            <v>3.27 교량유지관리용표지판</v>
          </cell>
          <cell r="E399">
            <v>0</v>
          </cell>
          <cell r="F399">
            <v>0</v>
          </cell>
        </row>
        <row r="400">
          <cell r="A400" t="str">
            <v>a.강교용</v>
          </cell>
          <cell r="C400">
            <v>40</v>
          </cell>
          <cell r="D400" t="str">
            <v>EA</v>
          </cell>
          <cell r="E400">
            <v>0</v>
          </cell>
          <cell r="F400">
            <v>0</v>
          </cell>
        </row>
        <row r="401">
          <cell r="A401" t="str">
            <v>b.교각,교 대 용</v>
          </cell>
          <cell r="C401">
            <v>18</v>
          </cell>
          <cell r="D401" t="str">
            <v>EA</v>
          </cell>
          <cell r="E401">
            <v>0</v>
          </cell>
          <cell r="F401">
            <v>0</v>
          </cell>
        </row>
        <row r="402">
          <cell r="A402" t="str">
            <v>3.28 스페이서 설치</v>
          </cell>
          <cell r="E402">
            <v>0</v>
          </cell>
          <cell r="F402">
            <v>0</v>
          </cell>
        </row>
        <row r="403">
          <cell r="A403" t="str">
            <v>a.스페이서 설치</v>
          </cell>
          <cell r="C403">
            <v>3351</v>
          </cell>
          <cell r="D403" t="str">
            <v>M2</v>
          </cell>
          <cell r="E403">
            <v>0</v>
          </cell>
          <cell r="F403">
            <v>0</v>
          </cell>
        </row>
        <row r="404">
          <cell r="A404" t="str">
            <v>b.스페이서 설치</v>
          </cell>
          <cell r="C404">
            <v>6452</v>
          </cell>
          <cell r="D404" t="str">
            <v>M2</v>
          </cell>
          <cell r="E404">
            <v>0</v>
          </cell>
          <cell r="F404">
            <v>0</v>
          </cell>
        </row>
        <row r="405">
          <cell r="A405" t="str">
            <v>3.29 철근가공 및 조립</v>
          </cell>
          <cell r="E405">
            <v>0</v>
          </cell>
          <cell r="F405">
            <v>0</v>
          </cell>
        </row>
        <row r="406">
          <cell r="A406" t="str">
            <v>a.보       통</v>
          </cell>
          <cell r="C406">
            <v>69.248999999999995</v>
          </cell>
          <cell r="D406" t="str">
            <v>TON</v>
          </cell>
          <cell r="E406">
            <v>0</v>
          </cell>
          <cell r="F406">
            <v>0</v>
          </cell>
        </row>
        <row r="407">
          <cell r="A407" t="str">
            <v>b.복       잡</v>
          </cell>
          <cell r="C407">
            <v>470.63799999999998</v>
          </cell>
          <cell r="D407" t="str">
            <v>TON</v>
          </cell>
          <cell r="E407">
            <v>0</v>
          </cell>
          <cell r="F407">
            <v>0</v>
          </cell>
        </row>
        <row r="408">
          <cell r="A408" t="str">
            <v>c.매 우 복 잡</v>
          </cell>
          <cell r="C408">
            <v>646.73299999999995</v>
          </cell>
          <cell r="D408" t="str">
            <v>TON</v>
          </cell>
          <cell r="E408">
            <v>0</v>
          </cell>
          <cell r="F408">
            <v>0</v>
          </cell>
        </row>
        <row r="409">
          <cell r="A409" t="str">
            <v>3.30 교량유지관리점검시설</v>
          </cell>
          <cell r="C409">
            <v>4</v>
          </cell>
          <cell r="D409" t="str">
            <v>EA</v>
          </cell>
          <cell r="E409">
            <v>0</v>
          </cell>
          <cell r="F409">
            <v>0</v>
          </cell>
        </row>
        <row r="410">
          <cell r="A410" t="str">
            <v>3.31 배수시설공</v>
          </cell>
          <cell r="E410">
            <v>0</v>
          </cell>
          <cell r="F410">
            <v>0</v>
          </cell>
        </row>
        <row r="411">
          <cell r="A411" t="str">
            <v>a.교량배수물배기공</v>
          </cell>
          <cell r="C411">
            <v>505</v>
          </cell>
          <cell r="D411" t="str">
            <v>M</v>
          </cell>
          <cell r="E411">
            <v>0</v>
          </cell>
          <cell r="F411">
            <v>0</v>
          </cell>
        </row>
        <row r="412">
          <cell r="A412" t="str">
            <v>b.하층줄눈(성형)</v>
          </cell>
          <cell r="C412">
            <v>505</v>
          </cell>
          <cell r="D412" t="str">
            <v>M</v>
          </cell>
          <cell r="E412">
            <v>0</v>
          </cell>
          <cell r="F412">
            <v>0</v>
          </cell>
        </row>
        <row r="413">
          <cell r="A413" t="str">
            <v>c.상층줄눈(주입)</v>
          </cell>
          <cell r="C413">
            <v>505</v>
          </cell>
          <cell r="D413" t="str">
            <v>M</v>
          </cell>
          <cell r="E413">
            <v>0</v>
          </cell>
          <cell r="F413">
            <v>0</v>
          </cell>
        </row>
        <row r="414">
          <cell r="A414" t="str">
            <v>d.표면처리(방수)</v>
          </cell>
          <cell r="C414">
            <v>101</v>
          </cell>
          <cell r="D414" t="str">
            <v>M2</v>
          </cell>
          <cell r="E414">
            <v>0</v>
          </cell>
          <cell r="F414">
            <v>0</v>
          </cell>
        </row>
        <row r="415">
          <cell r="A415" t="str">
            <v>e.하천용 집수구(스턴레스)</v>
          </cell>
          <cell r="C415">
            <v>38</v>
          </cell>
          <cell r="D415" t="str">
            <v>EA</v>
          </cell>
          <cell r="E415">
            <v>0</v>
          </cell>
          <cell r="F415">
            <v>0</v>
          </cell>
        </row>
        <row r="416">
          <cell r="A416" t="str">
            <v>f.교량배수용강관(하천용)</v>
          </cell>
          <cell r="C416">
            <v>235</v>
          </cell>
          <cell r="D416" t="str">
            <v>M</v>
          </cell>
          <cell r="E416">
            <v>0</v>
          </cell>
          <cell r="F416">
            <v>0</v>
          </cell>
        </row>
        <row r="417">
          <cell r="A417" t="str">
            <v>g.이음부(스텐레스)</v>
          </cell>
          <cell r="C417">
            <v>46</v>
          </cell>
          <cell r="D417" t="str">
            <v>EA</v>
          </cell>
          <cell r="E417">
            <v>0</v>
          </cell>
          <cell r="F417">
            <v>0</v>
          </cell>
        </row>
        <row r="418">
          <cell r="A418" t="str">
            <v>h.곡관(스텐레스)</v>
          </cell>
          <cell r="C418">
            <v>8</v>
          </cell>
          <cell r="D418" t="str">
            <v>EA</v>
          </cell>
          <cell r="E418">
            <v>0</v>
          </cell>
          <cell r="F418">
            <v>0</v>
          </cell>
        </row>
        <row r="419">
          <cell r="A419" t="str">
            <v>3.32 DOWEL BAR 설치</v>
          </cell>
          <cell r="C419">
            <v>96</v>
          </cell>
          <cell r="D419" t="str">
            <v>EA</v>
          </cell>
          <cell r="E419">
            <v>0</v>
          </cell>
          <cell r="F419">
            <v>0</v>
          </cell>
        </row>
        <row r="420">
          <cell r="A420" t="str">
            <v>3.33 스치로폴</v>
          </cell>
          <cell r="E420">
            <v>0</v>
          </cell>
          <cell r="F420">
            <v>0</v>
          </cell>
        </row>
        <row r="421">
          <cell r="A421" t="str">
            <v>a.스치로폴</v>
          </cell>
          <cell r="C421">
            <v>557</v>
          </cell>
          <cell r="D421" t="str">
            <v>M2</v>
          </cell>
          <cell r="E421">
            <v>0</v>
          </cell>
          <cell r="F421">
            <v>0</v>
          </cell>
        </row>
        <row r="422">
          <cell r="A422" t="str">
            <v>3.34 교량받침</v>
          </cell>
          <cell r="E422">
            <v>0</v>
          </cell>
          <cell r="F422">
            <v>0</v>
          </cell>
        </row>
        <row r="423">
          <cell r="A423" t="str">
            <v>a.교좌장치(일방향)POT</v>
          </cell>
          <cell r="C423">
            <v>4</v>
          </cell>
          <cell r="D423" t="str">
            <v>EA</v>
          </cell>
          <cell r="E423">
            <v>0</v>
          </cell>
          <cell r="F423">
            <v>0</v>
          </cell>
        </row>
        <row r="424">
          <cell r="A424" t="str">
            <v>b.교좌장치(양방향)POT</v>
          </cell>
          <cell r="C424">
            <v>12</v>
          </cell>
          <cell r="D424" t="str">
            <v>EA</v>
          </cell>
          <cell r="E424">
            <v>0</v>
          </cell>
          <cell r="F424">
            <v>0</v>
          </cell>
        </row>
        <row r="425">
          <cell r="A425" t="str">
            <v>c.교좌장치(일방향)POT</v>
          </cell>
          <cell r="C425">
            <v>16</v>
          </cell>
          <cell r="D425" t="str">
            <v>EA</v>
          </cell>
          <cell r="E425">
            <v>0</v>
          </cell>
          <cell r="F425">
            <v>0</v>
          </cell>
        </row>
        <row r="426">
          <cell r="A426" t="str">
            <v>d.교좌장치(양방향)POT</v>
          </cell>
          <cell r="C426">
            <v>12</v>
          </cell>
          <cell r="D426" t="str">
            <v>EA</v>
          </cell>
          <cell r="E426">
            <v>0</v>
          </cell>
          <cell r="F426">
            <v>0</v>
          </cell>
        </row>
        <row r="427">
          <cell r="A427" t="str">
            <v>e.교좌장치(고정단)POT</v>
          </cell>
          <cell r="C427">
            <v>4</v>
          </cell>
          <cell r="D427" t="str">
            <v>EA</v>
          </cell>
          <cell r="E427">
            <v>0</v>
          </cell>
          <cell r="F427">
            <v>0</v>
          </cell>
        </row>
        <row r="428">
          <cell r="A428" t="str">
            <v>3.35 강   교</v>
          </cell>
          <cell r="E428">
            <v>0</v>
          </cell>
          <cell r="F428">
            <v>0</v>
          </cell>
        </row>
        <row r="429">
          <cell r="A429" t="str">
            <v>a.강교제작(산수1교)</v>
          </cell>
          <cell r="C429">
            <v>1953.0050000000001</v>
          </cell>
          <cell r="D429" t="str">
            <v>TON</v>
          </cell>
          <cell r="E429">
            <v>0</v>
          </cell>
          <cell r="F429">
            <v>0</v>
          </cell>
        </row>
        <row r="430">
          <cell r="A430" t="str">
            <v>b.강교운반(산수1교)</v>
          </cell>
          <cell r="C430">
            <v>1953.0050000000001</v>
          </cell>
          <cell r="D430" t="str">
            <v>TON</v>
          </cell>
          <cell r="E430">
            <v>0</v>
          </cell>
          <cell r="F430">
            <v>0</v>
          </cell>
        </row>
        <row r="431">
          <cell r="A431" t="str">
            <v>c.강교가설(산수1교)</v>
          </cell>
          <cell r="C431">
            <v>1953.0050000000001</v>
          </cell>
          <cell r="D431" t="str">
            <v>TON</v>
          </cell>
          <cell r="E431">
            <v>0</v>
          </cell>
          <cell r="F431">
            <v>0</v>
          </cell>
        </row>
        <row r="432">
          <cell r="A432" t="str">
            <v>3.36 강교 도장</v>
          </cell>
          <cell r="E432">
            <v>0</v>
          </cell>
          <cell r="F432">
            <v>0</v>
          </cell>
        </row>
        <row r="433">
          <cell r="A433" t="str">
            <v>a.내부도장</v>
          </cell>
          <cell r="C433">
            <v>16828</v>
          </cell>
          <cell r="D433" t="str">
            <v>M2</v>
          </cell>
          <cell r="E433">
            <v>0</v>
          </cell>
          <cell r="F433">
            <v>0</v>
          </cell>
        </row>
        <row r="434">
          <cell r="A434" t="str">
            <v>b.외부포장면도장</v>
          </cell>
          <cell r="C434">
            <v>3328</v>
          </cell>
          <cell r="D434" t="str">
            <v>M2</v>
          </cell>
          <cell r="E434">
            <v>0</v>
          </cell>
          <cell r="F434">
            <v>0</v>
          </cell>
        </row>
        <row r="435">
          <cell r="A435" t="str">
            <v>c.연결판도장</v>
          </cell>
          <cell r="C435">
            <v>4076</v>
          </cell>
          <cell r="D435" t="str">
            <v>M2</v>
          </cell>
          <cell r="E435">
            <v>0</v>
          </cell>
          <cell r="F435">
            <v>0</v>
          </cell>
        </row>
        <row r="436">
          <cell r="A436" t="str">
            <v>d.외부도장</v>
          </cell>
          <cell r="C436">
            <v>9793</v>
          </cell>
          <cell r="D436" t="str">
            <v>M2</v>
          </cell>
          <cell r="E436">
            <v>0</v>
          </cell>
          <cell r="F436">
            <v>0</v>
          </cell>
        </row>
        <row r="437">
          <cell r="A437" t="str">
            <v>e.외부도장</v>
          </cell>
          <cell r="C437">
            <v>8940</v>
          </cell>
          <cell r="D437" t="str">
            <v>M2</v>
          </cell>
          <cell r="E437">
            <v>0</v>
          </cell>
          <cell r="F437">
            <v>0</v>
          </cell>
        </row>
        <row r="438">
          <cell r="A438" t="str">
            <v>f.내부볼트및연결판도장</v>
          </cell>
          <cell r="C438">
            <v>881</v>
          </cell>
          <cell r="D438" t="str">
            <v>M2</v>
          </cell>
          <cell r="E438">
            <v>0</v>
          </cell>
          <cell r="F438">
            <v>0</v>
          </cell>
        </row>
        <row r="439">
          <cell r="A439" t="str">
            <v>g.외부볼트및연결판도장</v>
          </cell>
          <cell r="C439">
            <v>926</v>
          </cell>
          <cell r="D439" t="str">
            <v>M2</v>
          </cell>
          <cell r="E439">
            <v>0</v>
          </cell>
          <cell r="F439">
            <v>0</v>
          </cell>
        </row>
        <row r="440">
          <cell r="A440" t="str">
            <v>3.37 강교 비파괴 검사비</v>
          </cell>
          <cell r="E440">
            <v>0</v>
          </cell>
          <cell r="F440">
            <v>0</v>
          </cell>
        </row>
        <row r="441">
          <cell r="A441" t="str">
            <v>a.강교 비파괴 검사비</v>
          </cell>
          <cell r="C441">
            <v>2528</v>
          </cell>
          <cell r="D441" t="str">
            <v>매</v>
          </cell>
          <cell r="E441">
            <v>0</v>
          </cell>
          <cell r="F441">
            <v>0</v>
          </cell>
        </row>
        <row r="442">
          <cell r="A442" t="str">
            <v>b.강교 비파괴 검사비</v>
          </cell>
          <cell r="C442">
            <v>2243</v>
          </cell>
          <cell r="D442" t="str">
            <v>M</v>
          </cell>
          <cell r="E442">
            <v>0</v>
          </cell>
          <cell r="F442">
            <v>0</v>
          </cell>
        </row>
        <row r="443">
          <cell r="A443" t="str">
            <v>c.강교 비파괴 검사비</v>
          </cell>
          <cell r="C443">
            <v>430</v>
          </cell>
          <cell r="D443" t="str">
            <v>M</v>
          </cell>
          <cell r="E443">
            <v>0</v>
          </cell>
          <cell r="F443">
            <v>0</v>
          </cell>
        </row>
        <row r="444">
          <cell r="A444" t="str">
            <v>3.38 가시설공</v>
          </cell>
          <cell r="E444">
            <v>0</v>
          </cell>
          <cell r="F444">
            <v>0</v>
          </cell>
        </row>
        <row r="445">
          <cell r="A445" t="str">
            <v>a.토사천공(φ16" 3 WING BIT)</v>
          </cell>
          <cell r="C445">
            <v>4327</v>
          </cell>
          <cell r="D445" t="str">
            <v>M</v>
          </cell>
          <cell r="E445">
            <v>0</v>
          </cell>
          <cell r="F445">
            <v>0</v>
          </cell>
        </row>
        <row r="446">
          <cell r="A446" t="str">
            <v>b.연암천공(T-4)</v>
          </cell>
          <cell r="C446">
            <v>2641</v>
          </cell>
          <cell r="D446" t="str">
            <v>M</v>
          </cell>
          <cell r="E446">
            <v>0</v>
          </cell>
          <cell r="F446">
            <v>0</v>
          </cell>
        </row>
        <row r="447">
          <cell r="A447" t="str">
            <v>c.SHEET PILE 천공후 항타및항발</v>
          </cell>
          <cell r="C447">
            <v>6968</v>
          </cell>
          <cell r="D447" t="str">
            <v>M</v>
          </cell>
          <cell r="E447">
            <v>0</v>
          </cell>
          <cell r="F447">
            <v>0</v>
          </cell>
        </row>
        <row r="448">
          <cell r="A448" t="str">
            <v>d.버팀보 제작</v>
          </cell>
          <cell r="C448">
            <v>80</v>
          </cell>
          <cell r="D448" t="str">
            <v>본</v>
          </cell>
          <cell r="E448">
            <v>0</v>
          </cell>
          <cell r="F448">
            <v>0</v>
          </cell>
        </row>
        <row r="449">
          <cell r="A449" t="str">
            <v>e.버팀보 설치 (12∼14m)</v>
          </cell>
          <cell r="C449">
            <v>80</v>
          </cell>
          <cell r="D449" t="str">
            <v>EA</v>
          </cell>
          <cell r="E449">
            <v>0</v>
          </cell>
          <cell r="F449">
            <v>0</v>
          </cell>
        </row>
        <row r="450">
          <cell r="A450" t="str">
            <v>f.버팀보 철거 (12∼14m)</v>
          </cell>
          <cell r="C450">
            <v>80</v>
          </cell>
          <cell r="D450" t="str">
            <v>EA</v>
          </cell>
          <cell r="E450">
            <v>0</v>
          </cell>
          <cell r="F450">
            <v>0</v>
          </cell>
        </row>
        <row r="451">
          <cell r="A451" t="str">
            <v>g.CORNER STRUT 제작</v>
          </cell>
          <cell r="C451">
            <v>400</v>
          </cell>
          <cell r="D451" t="str">
            <v>EA</v>
          </cell>
          <cell r="E451">
            <v>0</v>
          </cell>
          <cell r="F451">
            <v>0</v>
          </cell>
        </row>
        <row r="452">
          <cell r="A452" t="str">
            <v>h.CORNER STRUT 설치 (3∼5m)</v>
          </cell>
          <cell r="C452">
            <v>320</v>
          </cell>
          <cell r="D452" t="str">
            <v>EA</v>
          </cell>
          <cell r="E452">
            <v>0</v>
          </cell>
          <cell r="F452">
            <v>0</v>
          </cell>
        </row>
        <row r="453">
          <cell r="A453" t="str">
            <v>i.CORNER STRUT 철거 (3∼5m)</v>
          </cell>
          <cell r="C453">
            <v>320</v>
          </cell>
          <cell r="D453" t="str">
            <v>EA</v>
          </cell>
          <cell r="E453">
            <v>0</v>
          </cell>
          <cell r="F453">
            <v>0</v>
          </cell>
        </row>
        <row r="454">
          <cell r="A454" t="str">
            <v>j.CORNER STRUT 설치 (6∼8m)</v>
          </cell>
          <cell r="C454">
            <v>32</v>
          </cell>
          <cell r="D454" t="str">
            <v>EA</v>
          </cell>
          <cell r="E454">
            <v>0</v>
          </cell>
          <cell r="F454">
            <v>0</v>
          </cell>
        </row>
        <row r="455">
          <cell r="A455" t="str">
            <v>k.CORNER STRUT 철거 (6∼8m)</v>
          </cell>
          <cell r="C455">
            <v>32</v>
          </cell>
          <cell r="D455" t="str">
            <v>EA</v>
          </cell>
          <cell r="E455">
            <v>0</v>
          </cell>
          <cell r="F455">
            <v>0</v>
          </cell>
        </row>
        <row r="456">
          <cell r="A456" t="str">
            <v>l.CORNER STRUT 설치 (9∼11m)</v>
          </cell>
          <cell r="C456">
            <v>48</v>
          </cell>
          <cell r="D456" t="str">
            <v>EA</v>
          </cell>
          <cell r="E456">
            <v>0</v>
          </cell>
          <cell r="F456">
            <v>0</v>
          </cell>
        </row>
        <row r="457">
          <cell r="A457" t="str">
            <v>m.CORNER STRUT 철거 (9∼11m)</v>
          </cell>
          <cell r="C457">
            <v>48</v>
          </cell>
          <cell r="D457" t="str">
            <v>EA</v>
          </cell>
          <cell r="E457">
            <v>0</v>
          </cell>
          <cell r="F457">
            <v>0</v>
          </cell>
        </row>
        <row r="458">
          <cell r="A458" t="str">
            <v>n.JACK 설치해체</v>
          </cell>
          <cell r="C458">
            <v>240</v>
          </cell>
          <cell r="D458" t="str">
            <v>EA</v>
          </cell>
          <cell r="E458">
            <v>0</v>
          </cell>
          <cell r="F458">
            <v>0</v>
          </cell>
        </row>
        <row r="459">
          <cell r="A459" t="str">
            <v>o.보걸이설치</v>
          </cell>
          <cell r="C459">
            <v>800</v>
          </cell>
          <cell r="D459" t="str">
            <v>EA</v>
          </cell>
          <cell r="E459">
            <v>0</v>
          </cell>
          <cell r="F459">
            <v>0</v>
          </cell>
        </row>
        <row r="460">
          <cell r="A460" t="str">
            <v>p.보걸이철거</v>
          </cell>
          <cell r="C460">
            <v>800</v>
          </cell>
          <cell r="D460" t="str">
            <v>EA</v>
          </cell>
          <cell r="E460">
            <v>0</v>
          </cell>
          <cell r="F460">
            <v>0</v>
          </cell>
        </row>
        <row r="461">
          <cell r="A461" t="str">
            <v>q.띠장설치</v>
          </cell>
          <cell r="C461">
            <v>1428</v>
          </cell>
          <cell r="D461" t="str">
            <v>M</v>
          </cell>
          <cell r="E461">
            <v>0</v>
          </cell>
          <cell r="F461">
            <v>0</v>
          </cell>
        </row>
        <row r="462">
          <cell r="A462" t="str">
            <v>r.띠장철거</v>
          </cell>
          <cell r="C462">
            <v>1428</v>
          </cell>
          <cell r="D462" t="str">
            <v>M</v>
          </cell>
          <cell r="E462">
            <v>0</v>
          </cell>
          <cell r="F462">
            <v>0</v>
          </cell>
        </row>
        <row r="463">
          <cell r="A463" t="str">
            <v>s.띠장연결</v>
          </cell>
          <cell r="C463">
            <v>20</v>
          </cell>
          <cell r="D463" t="str">
            <v>EA</v>
          </cell>
          <cell r="E463">
            <v>0</v>
          </cell>
          <cell r="F463">
            <v>0</v>
          </cell>
        </row>
        <row r="464">
          <cell r="A464" t="str">
            <v>t.BRACING BEAM 설치 (3∼5m)</v>
          </cell>
          <cell r="C464">
            <v>80</v>
          </cell>
          <cell r="D464" t="str">
            <v>EA</v>
          </cell>
          <cell r="E464">
            <v>0</v>
          </cell>
          <cell r="F464">
            <v>0</v>
          </cell>
        </row>
        <row r="465">
          <cell r="A465" t="str">
            <v>u.BRACING BEAM 철거 (3∼5m)</v>
          </cell>
          <cell r="C465">
            <v>80</v>
          </cell>
          <cell r="D465" t="str">
            <v>EA</v>
          </cell>
          <cell r="E465">
            <v>0</v>
          </cell>
          <cell r="F465">
            <v>0</v>
          </cell>
        </row>
        <row r="466">
          <cell r="A466" t="str">
            <v>v.BRACING BEAM 설치 (6∼8m)</v>
          </cell>
          <cell r="C466">
            <v>20</v>
          </cell>
          <cell r="D466" t="str">
            <v>EA</v>
          </cell>
          <cell r="E466">
            <v>0</v>
          </cell>
          <cell r="F466">
            <v>0</v>
          </cell>
        </row>
        <row r="467">
          <cell r="A467" t="str">
            <v>w.BRACING BEAM 철거 (6∼8m)</v>
          </cell>
          <cell r="C467">
            <v>20</v>
          </cell>
          <cell r="D467" t="str">
            <v>EA</v>
          </cell>
          <cell r="E467">
            <v>0</v>
          </cell>
          <cell r="F467">
            <v>0</v>
          </cell>
        </row>
        <row r="468">
          <cell r="A468" t="str">
            <v>x.피스브라켓 설치 및 철거</v>
          </cell>
          <cell r="C468">
            <v>240</v>
          </cell>
          <cell r="D468" t="str">
            <v>EA</v>
          </cell>
          <cell r="E468">
            <v>0</v>
          </cell>
          <cell r="F468">
            <v>0</v>
          </cell>
        </row>
        <row r="469">
          <cell r="A469" t="str">
            <v>y.H-PILE항타</v>
          </cell>
          <cell r="C469">
            <v>168</v>
          </cell>
          <cell r="D469" t="str">
            <v>M</v>
          </cell>
          <cell r="E469">
            <v>0</v>
          </cell>
          <cell r="F469">
            <v>0</v>
          </cell>
        </row>
        <row r="470">
          <cell r="A470" t="str">
            <v>z.H-PILE항발</v>
          </cell>
          <cell r="C470">
            <v>168</v>
          </cell>
          <cell r="D470" t="str">
            <v>M</v>
          </cell>
          <cell r="E470">
            <v>0</v>
          </cell>
          <cell r="F470">
            <v>0</v>
          </cell>
        </row>
        <row r="471">
          <cell r="A471" t="str">
            <v>aa.구조용H형강</v>
          </cell>
          <cell r="C471">
            <v>397.28199999999998</v>
          </cell>
          <cell r="D471" t="str">
            <v>TON</v>
          </cell>
          <cell r="E471">
            <v>0</v>
          </cell>
          <cell r="F471">
            <v>0</v>
          </cell>
        </row>
        <row r="472">
          <cell r="A472" t="str">
            <v>ab.구조용H형강</v>
          </cell>
          <cell r="C472">
            <v>54.082999999999998</v>
          </cell>
          <cell r="D472" t="str">
            <v>TON</v>
          </cell>
          <cell r="E472">
            <v>0</v>
          </cell>
          <cell r="F472">
            <v>0</v>
          </cell>
        </row>
        <row r="473">
          <cell r="A473" t="str">
            <v>ac.강널말뚝</v>
          </cell>
          <cell r="C473">
            <v>502.39299999999997</v>
          </cell>
          <cell r="D473" t="str">
            <v>TON</v>
          </cell>
          <cell r="E473">
            <v>0</v>
          </cell>
          <cell r="F473">
            <v>0</v>
          </cell>
        </row>
        <row r="474">
          <cell r="A474" t="str">
            <v>ad.강재 및 형강운반비</v>
          </cell>
          <cell r="C474">
            <v>953.75800000000004</v>
          </cell>
          <cell r="D474" t="str">
            <v>TON</v>
          </cell>
          <cell r="E474">
            <v>0</v>
          </cell>
          <cell r="F474">
            <v>0</v>
          </cell>
        </row>
        <row r="475">
          <cell r="A475" t="str">
            <v>3.39 가교가설(산수1교)</v>
          </cell>
          <cell r="C475">
            <v>1</v>
          </cell>
          <cell r="D475" t="str">
            <v>식</v>
          </cell>
          <cell r="E475">
            <v>0</v>
          </cell>
          <cell r="F475">
            <v>0</v>
          </cell>
        </row>
        <row r="476">
          <cell r="A476" t="str">
            <v>3.40 점검등설비공사(산수1교)</v>
          </cell>
          <cell r="C476">
            <v>1</v>
          </cell>
          <cell r="D476" t="str">
            <v>식</v>
          </cell>
          <cell r="E476">
            <v>0</v>
          </cell>
          <cell r="F476">
            <v>0</v>
          </cell>
        </row>
        <row r="477">
          <cell r="A477" t="str">
            <v>3.41 한전인입비(산수1교)</v>
          </cell>
          <cell r="C477">
            <v>1</v>
          </cell>
          <cell r="D477" t="str">
            <v>P.S</v>
          </cell>
          <cell r="E477">
            <v>0</v>
          </cell>
          <cell r="F477">
            <v>0</v>
          </cell>
        </row>
        <row r="478">
          <cell r="A478" t="str">
            <v>C.산수2교(S.T.BOX교)</v>
          </cell>
          <cell r="E478">
            <v>0</v>
          </cell>
          <cell r="F478">
            <v>0</v>
          </cell>
        </row>
        <row r="479">
          <cell r="A479" t="str">
            <v>3.01 터 파 기</v>
          </cell>
          <cell r="E479">
            <v>0</v>
          </cell>
          <cell r="F479">
            <v>0</v>
          </cell>
        </row>
        <row r="480">
          <cell r="A480" t="str">
            <v>a.육상토사</v>
          </cell>
          <cell r="C480">
            <v>310</v>
          </cell>
          <cell r="D480" t="str">
            <v>M3</v>
          </cell>
          <cell r="E480">
            <v>0</v>
          </cell>
          <cell r="F480">
            <v>0</v>
          </cell>
        </row>
        <row r="481">
          <cell r="A481" t="str">
            <v>b.육상풍화암</v>
          </cell>
          <cell r="E481">
            <v>0</v>
          </cell>
          <cell r="F481">
            <v>0</v>
          </cell>
        </row>
        <row r="482">
          <cell r="A482" t="str">
            <v>-1.육상풍화암</v>
          </cell>
          <cell r="C482">
            <v>1560</v>
          </cell>
          <cell r="D482" t="str">
            <v>M3</v>
          </cell>
          <cell r="E482">
            <v>0</v>
          </cell>
          <cell r="F482">
            <v>0</v>
          </cell>
        </row>
        <row r="483">
          <cell r="A483" t="str">
            <v>-2.육상풍화암</v>
          </cell>
          <cell r="C483">
            <v>20</v>
          </cell>
          <cell r="D483" t="str">
            <v>M3</v>
          </cell>
          <cell r="E483">
            <v>0</v>
          </cell>
          <cell r="F483">
            <v>0</v>
          </cell>
        </row>
        <row r="484">
          <cell r="A484" t="str">
            <v>c.용수토사</v>
          </cell>
          <cell r="E484">
            <v>0</v>
          </cell>
          <cell r="F484">
            <v>0</v>
          </cell>
        </row>
        <row r="485">
          <cell r="A485" t="str">
            <v>-1.용수토사</v>
          </cell>
          <cell r="C485">
            <v>2160</v>
          </cell>
          <cell r="D485" t="str">
            <v>M3</v>
          </cell>
          <cell r="E485">
            <v>0</v>
          </cell>
          <cell r="F485">
            <v>0</v>
          </cell>
        </row>
        <row r="486">
          <cell r="A486" t="str">
            <v>-2.용수토사</v>
          </cell>
          <cell r="C486">
            <v>420</v>
          </cell>
          <cell r="D486" t="str">
            <v>M3</v>
          </cell>
          <cell r="E486">
            <v>0</v>
          </cell>
          <cell r="F486">
            <v>0</v>
          </cell>
        </row>
        <row r="487">
          <cell r="A487" t="str">
            <v>d.용수풍화암</v>
          </cell>
          <cell r="C487">
            <v>310</v>
          </cell>
          <cell r="D487" t="str">
            <v>M3</v>
          </cell>
          <cell r="E487">
            <v>0</v>
          </cell>
          <cell r="F487">
            <v>0</v>
          </cell>
        </row>
        <row r="488">
          <cell r="A488" t="str">
            <v>e.용수발파암</v>
          </cell>
          <cell r="C488">
            <v>490</v>
          </cell>
          <cell r="D488" t="str">
            <v>M3</v>
          </cell>
          <cell r="E488">
            <v>0</v>
          </cell>
          <cell r="F488">
            <v>0</v>
          </cell>
        </row>
        <row r="489">
          <cell r="A489" t="str">
            <v>3.02 되메우기(기계70%,인력30%)</v>
          </cell>
          <cell r="C489">
            <v>1370</v>
          </cell>
          <cell r="D489" t="str">
            <v>M3</v>
          </cell>
          <cell r="E489">
            <v>0</v>
          </cell>
          <cell r="F489">
            <v>0</v>
          </cell>
        </row>
        <row r="490">
          <cell r="A490" t="str">
            <v>3.03 뒷채움 및 다짐</v>
          </cell>
          <cell r="C490">
            <v>611</v>
          </cell>
          <cell r="D490" t="str">
            <v>M3</v>
          </cell>
          <cell r="E490">
            <v>0</v>
          </cell>
          <cell r="F490">
            <v>0</v>
          </cell>
        </row>
        <row r="491">
          <cell r="A491" t="str">
            <v>3.04 면정리및청소</v>
          </cell>
          <cell r="C491">
            <v>525</v>
          </cell>
          <cell r="D491" t="str">
            <v>M2</v>
          </cell>
          <cell r="E491">
            <v>0</v>
          </cell>
          <cell r="F491">
            <v>0</v>
          </cell>
        </row>
        <row r="492">
          <cell r="A492" t="str">
            <v>3.05 앞 성 토</v>
          </cell>
          <cell r="C492">
            <v>50</v>
          </cell>
          <cell r="D492" t="str">
            <v>M3</v>
          </cell>
          <cell r="E492">
            <v>0</v>
          </cell>
          <cell r="F492">
            <v>0</v>
          </cell>
        </row>
        <row r="493">
          <cell r="A493" t="str">
            <v>3.06 세굴방지용사석채움</v>
          </cell>
          <cell r="C493">
            <v>1812</v>
          </cell>
          <cell r="D493" t="str">
            <v>M3</v>
          </cell>
          <cell r="E493">
            <v>0</v>
          </cell>
          <cell r="F493">
            <v>0</v>
          </cell>
        </row>
        <row r="494">
          <cell r="A494" t="str">
            <v>3.07 물 푸 기</v>
          </cell>
          <cell r="C494">
            <v>450</v>
          </cell>
          <cell r="D494" t="str">
            <v>Hr</v>
          </cell>
          <cell r="E494">
            <v>0</v>
          </cell>
          <cell r="F494">
            <v>0</v>
          </cell>
        </row>
        <row r="495">
          <cell r="A495" t="str">
            <v>3.08 콘크리트 타설</v>
          </cell>
          <cell r="E495">
            <v>0</v>
          </cell>
          <cell r="F495">
            <v>0</v>
          </cell>
        </row>
        <row r="496">
          <cell r="A496" t="str">
            <v>a.철       근</v>
          </cell>
          <cell r="C496">
            <v>175</v>
          </cell>
          <cell r="D496" t="str">
            <v>M3</v>
          </cell>
          <cell r="E496">
            <v>0</v>
          </cell>
          <cell r="F496">
            <v>0</v>
          </cell>
        </row>
        <row r="497">
          <cell r="A497" t="str">
            <v>b.무       근</v>
          </cell>
          <cell r="C497">
            <v>80</v>
          </cell>
          <cell r="D497" t="str">
            <v>M3</v>
          </cell>
          <cell r="E497">
            <v>0</v>
          </cell>
          <cell r="F497">
            <v>0</v>
          </cell>
        </row>
        <row r="498">
          <cell r="A498" t="str">
            <v>c.무       근</v>
          </cell>
          <cell r="C498">
            <v>53</v>
          </cell>
          <cell r="D498" t="str">
            <v>M3</v>
          </cell>
          <cell r="E498">
            <v>0</v>
          </cell>
          <cell r="F498">
            <v>0</v>
          </cell>
        </row>
        <row r="499">
          <cell r="A499" t="str">
            <v>d.펌프카 타설</v>
          </cell>
          <cell r="C499">
            <v>2838</v>
          </cell>
          <cell r="D499" t="str">
            <v>M3</v>
          </cell>
          <cell r="E499">
            <v>0</v>
          </cell>
          <cell r="F499">
            <v>0</v>
          </cell>
        </row>
        <row r="500">
          <cell r="A500" t="str">
            <v>e.펌프카 타설</v>
          </cell>
          <cell r="C500">
            <v>84</v>
          </cell>
          <cell r="D500" t="str">
            <v>M3</v>
          </cell>
          <cell r="E500">
            <v>0</v>
          </cell>
          <cell r="F500">
            <v>0</v>
          </cell>
        </row>
        <row r="501">
          <cell r="A501" t="str">
            <v>3.09 무수축 콘크리트</v>
          </cell>
          <cell r="C501">
            <v>10.125999999999999</v>
          </cell>
          <cell r="D501" t="str">
            <v>M3</v>
          </cell>
          <cell r="E501">
            <v>0</v>
          </cell>
          <cell r="F501">
            <v>0</v>
          </cell>
        </row>
        <row r="502">
          <cell r="A502" t="str">
            <v>3.10 무수축 몰탈</v>
          </cell>
          <cell r="C502">
            <v>1.3720000000000001</v>
          </cell>
          <cell r="D502" t="str">
            <v>M3</v>
          </cell>
          <cell r="E502">
            <v>0</v>
          </cell>
          <cell r="F502">
            <v>0</v>
          </cell>
        </row>
        <row r="503">
          <cell r="A503" t="str">
            <v>3.11 거푸집공</v>
          </cell>
          <cell r="E503">
            <v>0</v>
          </cell>
          <cell r="F503">
            <v>0</v>
          </cell>
        </row>
        <row r="504">
          <cell r="A504" t="str">
            <v>a.합판거푸집</v>
          </cell>
          <cell r="E504">
            <v>0</v>
          </cell>
          <cell r="F504">
            <v>0</v>
          </cell>
        </row>
        <row r="505">
          <cell r="A505" t="str">
            <v>-1.거푸집</v>
          </cell>
          <cell r="C505">
            <v>3338</v>
          </cell>
          <cell r="D505" t="str">
            <v>M2</v>
          </cell>
          <cell r="E505">
            <v>0</v>
          </cell>
          <cell r="F505">
            <v>0</v>
          </cell>
        </row>
        <row r="506">
          <cell r="A506" t="str">
            <v>-2.거푸집</v>
          </cell>
          <cell r="C506">
            <v>81</v>
          </cell>
          <cell r="D506" t="str">
            <v>M2</v>
          </cell>
          <cell r="E506">
            <v>0</v>
          </cell>
          <cell r="F506">
            <v>0</v>
          </cell>
        </row>
        <row r="507">
          <cell r="A507" t="str">
            <v>-3.거푸집</v>
          </cell>
          <cell r="C507">
            <v>39</v>
          </cell>
          <cell r="D507" t="str">
            <v>M2</v>
          </cell>
          <cell r="E507">
            <v>0</v>
          </cell>
          <cell r="F507">
            <v>0</v>
          </cell>
        </row>
        <row r="508">
          <cell r="A508" t="str">
            <v>-4.거푸집</v>
          </cell>
          <cell r="C508">
            <v>266</v>
          </cell>
          <cell r="D508" t="str">
            <v>M2</v>
          </cell>
          <cell r="E508">
            <v>0</v>
          </cell>
          <cell r="F508">
            <v>0</v>
          </cell>
        </row>
        <row r="509">
          <cell r="A509" t="str">
            <v>-5.거푸집</v>
          </cell>
          <cell r="C509">
            <v>15</v>
          </cell>
          <cell r="D509" t="str">
            <v>M2</v>
          </cell>
          <cell r="E509">
            <v>0</v>
          </cell>
          <cell r="F509">
            <v>0</v>
          </cell>
        </row>
        <row r="510">
          <cell r="A510" t="str">
            <v>-6.거푸집</v>
          </cell>
          <cell r="C510">
            <v>433</v>
          </cell>
          <cell r="D510" t="str">
            <v>M2</v>
          </cell>
          <cell r="E510">
            <v>0</v>
          </cell>
          <cell r="F510">
            <v>0</v>
          </cell>
        </row>
        <row r="511">
          <cell r="A511" t="str">
            <v>-7.거푸집</v>
          </cell>
          <cell r="C511">
            <v>68</v>
          </cell>
          <cell r="D511" t="str">
            <v>M2</v>
          </cell>
          <cell r="E511">
            <v>0</v>
          </cell>
          <cell r="F511">
            <v>0</v>
          </cell>
        </row>
        <row r="512">
          <cell r="A512" t="str">
            <v>b.PE무늬거푸집</v>
          </cell>
          <cell r="E512">
            <v>0</v>
          </cell>
          <cell r="F512">
            <v>0</v>
          </cell>
        </row>
        <row r="513">
          <cell r="A513" t="str">
            <v>-1.P.E무늬거푸집</v>
          </cell>
          <cell r="C513">
            <v>202</v>
          </cell>
          <cell r="D513" t="str">
            <v>㎡</v>
          </cell>
          <cell r="E513">
            <v>0</v>
          </cell>
          <cell r="F513">
            <v>0</v>
          </cell>
        </row>
        <row r="514">
          <cell r="A514" t="str">
            <v>-2.P.E무늬거푸집</v>
          </cell>
          <cell r="C514">
            <v>4</v>
          </cell>
          <cell r="D514" t="str">
            <v>㎡</v>
          </cell>
          <cell r="E514">
            <v>0</v>
          </cell>
          <cell r="F514">
            <v>0</v>
          </cell>
        </row>
        <row r="515">
          <cell r="A515" t="str">
            <v>c.목재 원형거푸집</v>
          </cell>
          <cell r="E515">
            <v>0</v>
          </cell>
          <cell r="F515">
            <v>0</v>
          </cell>
        </row>
        <row r="516">
          <cell r="A516" t="str">
            <v>-1.원형거푸집</v>
          </cell>
          <cell r="C516">
            <v>264</v>
          </cell>
          <cell r="D516" t="str">
            <v>M2</v>
          </cell>
          <cell r="E516">
            <v>0</v>
          </cell>
          <cell r="F516">
            <v>0</v>
          </cell>
        </row>
        <row r="517">
          <cell r="A517" t="str">
            <v>-2.원형거푸집</v>
          </cell>
          <cell r="C517">
            <v>113</v>
          </cell>
          <cell r="D517" t="str">
            <v>M2</v>
          </cell>
          <cell r="E517">
            <v>0</v>
          </cell>
          <cell r="F517">
            <v>0</v>
          </cell>
        </row>
        <row r="518">
          <cell r="A518" t="str">
            <v>-3.원형거푸집</v>
          </cell>
          <cell r="C518">
            <v>101</v>
          </cell>
          <cell r="D518" t="str">
            <v>M2</v>
          </cell>
          <cell r="E518">
            <v>0</v>
          </cell>
          <cell r="F518">
            <v>0</v>
          </cell>
        </row>
        <row r="519">
          <cell r="A519" t="str">
            <v>-4.원형거푸집</v>
          </cell>
          <cell r="C519">
            <v>9</v>
          </cell>
          <cell r="D519" t="str">
            <v>M2</v>
          </cell>
          <cell r="E519">
            <v>0</v>
          </cell>
          <cell r="F519">
            <v>0</v>
          </cell>
        </row>
        <row r="520">
          <cell r="A520" t="str">
            <v>3.12 동바리</v>
          </cell>
          <cell r="E520">
            <v>0</v>
          </cell>
          <cell r="F520">
            <v>0</v>
          </cell>
        </row>
        <row r="521">
          <cell r="A521" t="str">
            <v>a.동바리</v>
          </cell>
          <cell r="C521">
            <v>1350</v>
          </cell>
          <cell r="D521" t="str">
            <v>공M3</v>
          </cell>
          <cell r="E521">
            <v>0</v>
          </cell>
          <cell r="F521">
            <v>0</v>
          </cell>
        </row>
        <row r="522">
          <cell r="A522" t="str">
            <v>b.동바리</v>
          </cell>
          <cell r="C522">
            <v>360</v>
          </cell>
          <cell r="D522" t="str">
            <v>공M3</v>
          </cell>
          <cell r="E522">
            <v>0</v>
          </cell>
          <cell r="F522">
            <v>0</v>
          </cell>
        </row>
        <row r="523">
          <cell r="A523" t="str">
            <v>c.동바리</v>
          </cell>
          <cell r="C523">
            <v>981</v>
          </cell>
          <cell r="D523" t="str">
            <v>공M3</v>
          </cell>
          <cell r="E523">
            <v>0</v>
          </cell>
          <cell r="F523">
            <v>0</v>
          </cell>
        </row>
        <row r="524">
          <cell r="A524" t="str">
            <v>d.동바리 수평연결재</v>
          </cell>
          <cell r="C524">
            <v>390</v>
          </cell>
          <cell r="D524" t="str">
            <v>M2</v>
          </cell>
          <cell r="E524">
            <v>0</v>
          </cell>
          <cell r="F524">
            <v>0</v>
          </cell>
        </row>
        <row r="525">
          <cell r="A525" t="str">
            <v>3.13 비계</v>
          </cell>
          <cell r="C525">
            <v>2450</v>
          </cell>
          <cell r="D525" t="str">
            <v>M2</v>
          </cell>
          <cell r="E525">
            <v>0</v>
          </cell>
          <cell r="F525">
            <v>0</v>
          </cell>
        </row>
        <row r="526">
          <cell r="A526" t="str">
            <v>3.14 모따기</v>
          </cell>
          <cell r="C526">
            <v>756</v>
          </cell>
          <cell r="D526" t="str">
            <v>M</v>
          </cell>
          <cell r="E526">
            <v>0</v>
          </cell>
          <cell r="F526">
            <v>0</v>
          </cell>
        </row>
        <row r="527">
          <cell r="A527" t="str">
            <v>3.15 신축이음장치</v>
          </cell>
          <cell r="E527">
            <v>0</v>
          </cell>
          <cell r="F527">
            <v>0</v>
          </cell>
        </row>
        <row r="528">
          <cell r="A528" t="str">
            <v>a.신축이음장치</v>
          </cell>
          <cell r="C528">
            <v>19</v>
          </cell>
          <cell r="D528" t="str">
            <v>M</v>
          </cell>
          <cell r="E528">
            <v>0</v>
          </cell>
          <cell r="F528">
            <v>0</v>
          </cell>
        </row>
        <row r="529">
          <cell r="A529" t="str">
            <v>b.신축이음장치</v>
          </cell>
          <cell r="C529">
            <v>19</v>
          </cell>
          <cell r="D529" t="str">
            <v>M</v>
          </cell>
          <cell r="E529">
            <v>0</v>
          </cell>
          <cell r="F529">
            <v>0</v>
          </cell>
        </row>
        <row r="530">
          <cell r="A530" t="str">
            <v>3.16 교명주(화강석)</v>
          </cell>
          <cell r="C530">
            <v>4</v>
          </cell>
          <cell r="D530" t="str">
            <v>EA</v>
          </cell>
          <cell r="E530">
            <v>0</v>
          </cell>
          <cell r="F530">
            <v>0</v>
          </cell>
        </row>
        <row r="531">
          <cell r="A531" t="str">
            <v>3.17 교명판및설명판</v>
          </cell>
          <cell r="E531">
            <v>0</v>
          </cell>
          <cell r="F531">
            <v>0</v>
          </cell>
        </row>
        <row r="532">
          <cell r="A532" t="str">
            <v>a.교명판</v>
          </cell>
          <cell r="C532">
            <v>2</v>
          </cell>
          <cell r="D532" t="str">
            <v>EA</v>
          </cell>
          <cell r="E532">
            <v>0</v>
          </cell>
          <cell r="F532">
            <v>0</v>
          </cell>
        </row>
        <row r="533">
          <cell r="A533" t="str">
            <v>b.설명판</v>
          </cell>
          <cell r="C533">
            <v>2</v>
          </cell>
          <cell r="D533" t="str">
            <v>EA</v>
          </cell>
          <cell r="E533">
            <v>0</v>
          </cell>
          <cell r="F533">
            <v>0</v>
          </cell>
        </row>
        <row r="534">
          <cell r="A534" t="str">
            <v>3.18 표면처리</v>
          </cell>
        </row>
        <row r="535">
          <cell r="A535" t="str">
            <v>a.슬라브 양생</v>
          </cell>
        </row>
        <row r="536">
          <cell r="A536" t="str">
            <v>b.데크휘니샤 면고르기</v>
          </cell>
        </row>
        <row r="537">
          <cell r="A537" t="str">
            <v>3.19 교면방수</v>
          </cell>
        </row>
        <row r="538">
          <cell r="A538" t="str">
            <v>3.20 배면방수</v>
          </cell>
        </row>
        <row r="539">
          <cell r="A539" t="str">
            <v>3.21 전선관부설</v>
          </cell>
        </row>
        <row r="540">
          <cell r="A540" t="str">
            <v>3.22 T.B.M 설치</v>
          </cell>
        </row>
        <row r="541">
          <cell r="A541" t="str">
            <v>3.23 낙하물 방지공</v>
          </cell>
        </row>
        <row r="542">
          <cell r="A542" t="str">
            <v>3.24 방호벽</v>
          </cell>
        </row>
        <row r="543">
          <cell r="A543" t="str">
            <v>3.25 중앙분리대</v>
          </cell>
        </row>
        <row r="544">
          <cell r="A544" t="str">
            <v>3.26 NOTCH  설치</v>
          </cell>
        </row>
        <row r="545">
          <cell r="A545" t="str">
            <v>3.27 교량유지관리용표지판</v>
          </cell>
        </row>
        <row r="546">
          <cell r="A546" t="str">
            <v>a.강교용</v>
          </cell>
        </row>
        <row r="547">
          <cell r="A547" t="str">
            <v>b.교각,교 대 용</v>
          </cell>
        </row>
        <row r="548">
          <cell r="A548" t="str">
            <v>3.28 스페이서 설치</v>
          </cell>
        </row>
        <row r="549">
          <cell r="A549" t="str">
            <v>a.스페이서 설치</v>
          </cell>
        </row>
        <row r="550">
          <cell r="A550" t="str">
            <v>b.스페이서 설치</v>
          </cell>
        </row>
        <row r="551">
          <cell r="A551" t="str">
            <v>3.29 철근가공 및 조립</v>
          </cell>
        </row>
        <row r="552">
          <cell r="A552" t="str">
            <v>a.보       통</v>
          </cell>
        </row>
        <row r="553">
          <cell r="A553" t="str">
            <v>b.복       잡</v>
          </cell>
        </row>
        <row r="554">
          <cell r="A554" t="str">
            <v>c.매 우 복 잡</v>
          </cell>
        </row>
        <row r="555">
          <cell r="A555" t="str">
            <v>3.30 교량유지관리점검시설</v>
          </cell>
        </row>
        <row r="556">
          <cell r="A556" t="str">
            <v>a.교대부</v>
          </cell>
        </row>
        <row r="557">
          <cell r="A557" t="str">
            <v>b.교각부(P1)</v>
          </cell>
        </row>
        <row r="558">
          <cell r="A558" t="str">
            <v>c.교각부(P2)</v>
          </cell>
        </row>
        <row r="559">
          <cell r="A559" t="str">
            <v>3.31 배수시설공</v>
          </cell>
        </row>
        <row r="560">
          <cell r="A560" t="str">
            <v>a.교량배수물배기공</v>
          </cell>
        </row>
        <row r="561">
          <cell r="A561" t="str">
            <v>b.하층줄눈(성형)</v>
          </cell>
        </row>
        <row r="562">
          <cell r="A562" t="str">
            <v>c.상층줄눈(주입)</v>
          </cell>
        </row>
        <row r="563">
          <cell r="A563" t="str">
            <v>d.표면처리(방수)</v>
          </cell>
        </row>
        <row r="564">
          <cell r="A564" t="str">
            <v>e.하천용 집수구(스턴레스)</v>
          </cell>
        </row>
        <row r="565">
          <cell r="A565" t="str">
            <v>f.교량배수용강관(하천용)</v>
          </cell>
        </row>
        <row r="566">
          <cell r="A566" t="str">
            <v>g.이음부(스텐레스)</v>
          </cell>
        </row>
        <row r="567">
          <cell r="A567" t="str">
            <v>h.곡관(스텐레스)</v>
          </cell>
        </row>
        <row r="568">
          <cell r="A568" t="str">
            <v>3.32 옹벽배수시설</v>
          </cell>
        </row>
        <row r="569">
          <cell r="A569" t="str">
            <v>a.DRAIN BOARD</v>
          </cell>
        </row>
        <row r="570">
          <cell r="A570" t="str">
            <v>b.PVC PIPE</v>
          </cell>
        </row>
        <row r="571">
          <cell r="A571" t="str">
            <v>c.부직포</v>
          </cell>
        </row>
        <row r="572">
          <cell r="A572" t="str">
            <v>3.33 DOWEL BAR 설치</v>
          </cell>
        </row>
        <row r="573">
          <cell r="A573" t="str">
            <v>3.34 스치로폴</v>
          </cell>
        </row>
        <row r="574">
          <cell r="A574" t="str">
            <v>3.35 교량받침</v>
          </cell>
        </row>
        <row r="575">
          <cell r="A575" t="str">
            <v>a.교좌장치(일방향)POT</v>
          </cell>
        </row>
        <row r="576">
          <cell r="A576" t="str">
            <v>b.교좌장치(양방향)POT</v>
          </cell>
        </row>
        <row r="577">
          <cell r="A577" t="str">
            <v>c.교좌장치(일방향)POT</v>
          </cell>
        </row>
        <row r="578">
          <cell r="A578" t="str">
            <v>d.교좌장치(양방향)POT</v>
          </cell>
        </row>
        <row r="579">
          <cell r="A579" t="str">
            <v>e.교좌장치(고정단)POT</v>
          </cell>
        </row>
        <row r="580">
          <cell r="A580" t="str">
            <v>f.교좌장치(일방향)POT</v>
          </cell>
        </row>
        <row r="581">
          <cell r="A581" t="str">
            <v>g.교좌장치(양방향)POT</v>
          </cell>
        </row>
        <row r="582">
          <cell r="A582" t="str">
            <v>h.교좌장치(고정단)POT</v>
          </cell>
        </row>
        <row r="583">
          <cell r="A583" t="str">
            <v>3.36 강   교</v>
          </cell>
        </row>
        <row r="584">
          <cell r="A584" t="str">
            <v>a.강교제작(산수2교)</v>
          </cell>
        </row>
        <row r="585">
          <cell r="A585" t="str">
            <v>b.강교운반(산수2교)</v>
          </cell>
        </row>
        <row r="586">
          <cell r="A586" t="str">
            <v>c.강교가설(산수2교)</v>
          </cell>
        </row>
        <row r="587">
          <cell r="A587" t="str">
            <v>3.37 강교 도장</v>
          </cell>
        </row>
        <row r="588">
          <cell r="A588" t="str">
            <v>a.내부도장</v>
          </cell>
        </row>
        <row r="589">
          <cell r="A589" t="str">
            <v>b.외부포장면도장</v>
          </cell>
        </row>
        <row r="590">
          <cell r="A590" t="str">
            <v>c.연결판도장</v>
          </cell>
        </row>
        <row r="591">
          <cell r="A591" t="str">
            <v>d.외부도장</v>
          </cell>
        </row>
        <row r="592">
          <cell r="A592" t="str">
            <v>e.외부도장</v>
          </cell>
        </row>
        <row r="593">
          <cell r="A593" t="str">
            <v>f.내부볼트및연결판도장</v>
          </cell>
        </row>
        <row r="594">
          <cell r="A594" t="str">
            <v>g.외부볼트및연결판도장</v>
          </cell>
        </row>
        <row r="595">
          <cell r="A595" t="str">
            <v>3.38 강교 비파괴 검사비</v>
          </cell>
        </row>
        <row r="596">
          <cell r="A596" t="str">
            <v>a.강교 비파괴 검사비</v>
          </cell>
        </row>
        <row r="597">
          <cell r="A597" t="str">
            <v>b.강교 비파괴 검사비</v>
          </cell>
        </row>
        <row r="598">
          <cell r="A598" t="str">
            <v>c.강교 비파괴 검사비</v>
          </cell>
        </row>
        <row r="599">
          <cell r="A599" t="str">
            <v>3.39 보강토옹벽공</v>
          </cell>
        </row>
        <row r="600">
          <cell r="A600" t="str">
            <v>a.잔토처리</v>
          </cell>
        </row>
        <row r="601">
          <cell r="A601" t="str">
            <v>b.노  체</v>
          </cell>
        </row>
        <row r="602">
          <cell r="A602" t="str">
            <v>c.속채움골재</v>
          </cell>
        </row>
        <row r="603">
          <cell r="A603" t="str">
            <v>d.기초잡석깔기</v>
          </cell>
        </row>
        <row r="604">
          <cell r="A604" t="str">
            <v>e.블럭식 보강토 옹벽쌓기</v>
          </cell>
        </row>
        <row r="605">
          <cell r="A605" t="str">
            <v>f.블럭식 보강토 옹벽쌓기</v>
          </cell>
        </row>
        <row r="606">
          <cell r="A606" t="str">
            <v>g.지오그리드 설치</v>
          </cell>
        </row>
        <row r="607">
          <cell r="A607" t="str">
            <v>3.40 가시설공</v>
          </cell>
        </row>
        <row r="608">
          <cell r="A608" t="str">
            <v>a.토사천공(φ16" 3 WING BIT)</v>
          </cell>
        </row>
        <row r="609">
          <cell r="A609" t="str">
            <v>b.풍화암천공(φ16" 3 WING BIT)</v>
          </cell>
        </row>
        <row r="610">
          <cell r="A610" t="str">
            <v>c.연암천공(T-4)</v>
          </cell>
        </row>
        <row r="611">
          <cell r="A611" t="str">
            <v>d.SHEET PILE 천공후 항타및항발</v>
          </cell>
        </row>
        <row r="612">
          <cell r="A612" t="str">
            <v>e.버팀보 제작</v>
          </cell>
        </row>
        <row r="613">
          <cell r="A613" t="str">
            <v>f.버팀보 설치 (9∼11m)</v>
          </cell>
        </row>
        <row r="614">
          <cell r="A614" t="str">
            <v>g.버팀보 철거 (9∼11m)</v>
          </cell>
        </row>
        <row r="615">
          <cell r="A615" t="str">
            <v>h.CORNER STRUT 제작</v>
          </cell>
        </row>
        <row r="616">
          <cell r="A616" t="str">
            <v>i.CORNER STRUT 설치 (3∼5m)</v>
          </cell>
        </row>
        <row r="617">
          <cell r="A617" t="str">
            <v>j.CORNER STRUT 철거 (3∼5m)</v>
          </cell>
        </row>
        <row r="618">
          <cell r="A618" t="str">
            <v>k.CORNER STRUT 설치 (6∼8m)</v>
          </cell>
        </row>
        <row r="619">
          <cell r="A619" t="str">
            <v>l.CORNER STRUT 철거 (6∼8m)</v>
          </cell>
        </row>
        <row r="620">
          <cell r="A620" t="str">
            <v>m.JACK 설치해체</v>
          </cell>
        </row>
        <row r="621">
          <cell r="A621" t="str">
            <v>n.보걸이설치</v>
          </cell>
        </row>
        <row r="622">
          <cell r="A622" t="str">
            <v>o.보걸이철거</v>
          </cell>
        </row>
        <row r="623">
          <cell r="A623" t="str">
            <v>p.띠장설치</v>
          </cell>
        </row>
        <row r="624">
          <cell r="A624" t="str">
            <v>q.띠장철거</v>
          </cell>
        </row>
        <row r="625">
          <cell r="A625" t="str">
            <v>r.띠장연결</v>
          </cell>
        </row>
        <row r="626">
          <cell r="A626" t="str">
            <v>s.피스브라켓 설치 및 철거</v>
          </cell>
        </row>
        <row r="627">
          <cell r="A627" t="str">
            <v>t.H-PILE항타(300x300x10x15)</v>
          </cell>
        </row>
        <row r="628">
          <cell r="A628" t="str">
            <v>u.H-PILE항발(300x300x10x15)</v>
          </cell>
        </row>
        <row r="629">
          <cell r="A629" t="str">
            <v>v.BRACING BEAM 설치 (3∼5m)</v>
          </cell>
        </row>
        <row r="630">
          <cell r="A630" t="str">
            <v>w.BRACING BEAM 철거 (3∼5m)</v>
          </cell>
        </row>
        <row r="631">
          <cell r="A631" t="str">
            <v>x.BRACING BEAM 설치 (6∼8m)</v>
          </cell>
        </row>
        <row r="632">
          <cell r="A632" t="str">
            <v>y.BRACING BEAM 철거 (6∼8m)</v>
          </cell>
        </row>
        <row r="633">
          <cell r="A633" t="str">
            <v>z.L형강 설치</v>
          </cell>
        </row>
        <row r="634">
          <cell r="A634" t="str">
            <v>aa.L형강 철거</v>
          </cell>
        </row>
        <row r="635">
          <cell r="A635" t="str">
            <v>ab.구조용H형강</v>
          </cell>
        </row>
        <row r="636">
          <cell r="A636" t="str">
            <v>ac.구조용H형강</v>
          </cell>
        </row>
        <row r="637">
          <cell r="A637" t="str">
            <v>ad.강널말뚝</v>
          </cell>
        </row>
        <row r="638">
          <cell r="A638" t="str">
            <v>ae.강재 및 형강운반비</v>
          </cell>
        </row>
        <row r="639">
          <cell r="A639" t="str">
            <v>3.41 점검등설비공사(산수2교)</v>
          </cell>
        </row>
        <row r="640">
          <cell r="A640" t="str">
            <v>3.42 한전인입비(산수2교)</v>
          </cell>
        </row>
        <row r="641">
          <cell r="A641" t="str">
            <v>D.대곡보도육교(S.T.RAHMEM)</v>
          </cell>
        </row>
        <row r="642">
          <cell r="A642" t="str">
            <v>3.01.터 파 기</v>
          </cell>
        </row>
        <row r="643">
          <cell r="A643" t="str">
            <v>a.육상토사</v>
          </cell>
        </row>
        <row r="644">
          <cell r="A644" t="str">
            <v>3.02 되메우기(기계70%,인력30%)</v>
          </cell>
        </row>
        <row r="645">
          <cell r="A645" t="str">
            <v>3.03 콘크리트 타설</v>
          </cell>
        </row>
        <row r="646">
          <cell r="A646" t="str">
            <v>a.무      근</v>
          </cell>
        </row>
        <row r="647">
          <cell r="A647" t="str">
            <v>b.펌프카타설</v>
          </cell>
        </row>
        <row r="648">
          <cell r="A648" t="str">
            <v>3.04 무수축 몰탈</v>
          </cell>
        </row>
        <row r="649">
          <cell r="A649" t="str">
            <v>3.05 거푸집공</v>
          </cell>
        </row>
        <row r="650">
          <cell r="A650" t="str">
            <v>a.합판거푸집</v>
          </cell>
        </row>
        <row r="651">
          <cell r="A651" t="str">
            <v>-1.거푸집</v>
          </cell>
        </row>
        <row r="652">
          <cell r="A652" t="str">
            <v>-2.거푸집</v>
          </cell>
        </row>
        <row r="653">
          <cell r="A653" t="str">
            <v>3.06 모따기</v>
          </cell>
        </row>
        <row r="654">
          <cell r="A654" t="str">
            <v>3.07 T.B.M 설치</v>
          </cell>
        </row>
        <row r="655">
          <cell r="A655" t="str">
            <v>3.08 스페이서 설치</v>
          </cell>
        </row>
        <row r="656">
          <cell r="A656" t="str">
            <v>3.09 화강석포장</v>
          </cell>
        </row>
        <row r="657">
          <cell r="A657" t="str">
            <v>3.10 교면방수</v>
          </cell>
        </row>
        <row r="658">
          <cell r="A658" t="str">
            <v>3.11 철근가공 및 조립</v>
          </cell>
        </row>
        <row r="659">
          <cell r="A659" t="str">
            <v>a.보       통</v>
          </cell>
        </row>
        <row r="660">
          <cell r="A660" t="str">
            <v>3.12 배수시설공</v>
          </cell>
        </row>
        <row r="661">
          <cell r="A661" t="str">
            <v>a.육교용 집수구(스턴레스)</v>
          </cell>
        </row>
        <row r="662">
          <cell r="A662" t="str">
            <v>b.육교용 이음부(스텐레스)</v>
          </cell>
        </row>
        <row r="663">
          <cell r="A663" t="str">
            <v>c.배수용용강관(육교용)</v>
          </cell>
        </row>
        <row r="664">
          <cell r="A664" t="str">
            <v>3.13 육교용난간</v>
          </cell>
        </row>
        <row r="665">
          <cell r="A665" t="str">
            <v>3.14 강관말뚝</v>
          </cell>
        </row>
        <row r="666">
          <cell r="A666" t="str">
            <v>a.강관말뚝-자재비</v>
          </cell>
        </row>
        <row r="667">
          <cell r="A667" t="str">
            <v>b.S.I.P</v>
          </cell>
        </row>
        <row r="668">
          <cell r="A668" t="str">
            <v>c.강관파일 두부보강(볼트식)</v>
          </cell>
        </row>
        <row r="669">
          <cell r="A669" t="str">
            <v>d.선단 보강</v>
          </cell>
        </row>
        <row r="670">
          <cell r="A670" t="str">
            <v>3.15 강   교</v>
          </cell>
        </row>
        <row r="671">
          <cell r="A671" t="str">
            <v>a.강교제작(대곡보도육교)</v>
          </cell>
        </row>
        <row r="672">
          <cell r="A672" t="str">
            <v>b.강교운반(대곡보도육교)</v>
          </cell>
        </row>
        <row r="673">
          <cell r="A673" t="str">
            <v>c.강교가설(대곡보도육교)</v>
          </cell>
        </row>
        <row r="674">
          <cell r="A674" t="str">
            <v>3.16 강교 도장</v>
          </cell>
        </row>
        <row r="675">
          <cell r="A675" t="str">
            <v>a.내부도장</v>
          </cell>
        </row>
        <row r="676">
          <cell r="A676" t="str">
            <v>b.외부포장면도장</v>
          </cell>
        </row>
        <row r="677">
          <cell r="A677" t="str">
            <v>c.연결판도장</v>
          </cell>
        </row>
        <row r="678">
          <cell r="A678" t="str">
            <v>d.외부도장</v>
          </cell>
        </row>
        <row r="679">
          <cell r="A679" t="str">
            <v>e.외부도장</v>
          </cell>
        </row>
        <row r="680">
          <cell r="A680" t="str">
            <v>f.내부볼트및연결판도장</v>
          </cell>
        </row>
        <row r="681">
          <cell r="A681" t="str">
            <v>g.외부볼트및연결판도장</v>
          </cell>
        </row>
        <row r="682">
          <cell r="A682" t="str">
            <v>3.17 강교 비파괴 검사비</v>
          </cell>
        </row>
        <row r="683">
          <cell r="A683" t="str">
            <v>a.강교 비파괴 검사비</v>
          </cell>
        </row>
        <row r="684">
          <cell r="A684" t="str">
            <v>b.강교 비파괴 검사비</v>
          </cell>
        </row>
        <row r="685">
          <cell r="A685" t="str">
            <v>3.18 칼라투수콘포장</v>
          </cell>
        </row>
        <row r="686">
          <cell r="A686" t="str">
            <v>3.19가로등설비공사(보도육교)</v>
          </cell>
        </row>
        <row r="687">
          <cell r="A687" t="str">
            <v>3.20한전인입비(보도육교)</v>
          </cell>
        </row>
        <row r="688">
          <cell r="A688" t="str">
            <v>E.송덕암교(R.C 라멘교)</v>
          </cell>
        </row>
        <row r="689">
          <cell r="A689" t="str">
            <v>3.01 터 파 기</v>
          </cell>
        </row>
        <row r="690">
          <cell r="A690" t="str">
            <v>a.육상토사</v>
          </cell>
        </row>
        <row r="691">
          <cell r="A691" t="str">
            <v>b 육상풍화암</v>
          </cell>
        </row>
        <row r="692">
          <cell r="A692" t="str">
            <v>3.02 되메우기(기계70%,인력30%)</v>
          </cell>
        </row>
        <row r="693">
          <cell r="A693" t="str">
            <v>3.03 뒷채움 및 다짐</v>
          </cell>
        </row>
        <row r="694">
          <cell r="A694" t="str">
            <v>3.04 콘크리트 타설</v>
          </cell>
        </row>
        <row r="695">
          <cell r="A695" t="str">
            <v>a.철       근</v>
          </cell>
        </row>
        <row r="696">
          <cell r="A696" t="str">
            <v>b.무       근</v>
          </cell>
        </row>
        <row r="697">
          <cell r="A697" t="str">
            <v>c.펌프카 타설</v>
          </cell>
        </row>
        <row r="698">
          <cell r="A698" t="str">
            <v>3.05 무수축 콘크리트</v>
          </cell>
        </row>
        <row r="699">
          <cell r="A699" t="str">
            <v>3.06 거푸집공</v>
          </cell>
        </row>
        <row r="700">
          <cell r="A700" t="str">
            <v>a.합판거푸집</v>
          </cell>
        </row>
        <row r="701">
          <cell r="A701" t="str">
            <v>-1.거푸집</v>
          </cell>
        </row>
        <row r="702">
          <cell r="A702" t="str">
            <v>-2.거푸집</v>
          </cell>
        </row>
        <row r="703">
          <cell r="A703" t="str">
            <v>-3.거푸집</v>
          </cell>
        </row>
        <row r="704">
          <cell r="A704" t="str">
            <v>b.P.E무늬거푸집</v>
          </cell>
        </row>
        <row r="705">
          <cell r="A705" t="str">
            <v>3.07 동바리</v>
          </cell>
        </row>
        <row r="706">
          <cell r="A706" t="str">
            <v>a.동바리</v>
          </cell>
        </row>
        <row r="707">
          <cell r="A707" t="str">
            <v>b.동바리</v>
          </cell>
        </row>
        <row r="708">
          <cell r="A708" t="str">
            <v>c.강재 동바리공</v>
          </cell>
        </row>
        <row r="709">
          <cell r="A709" t="str">
            <v>d.동바리 수평연결재</v>
          </cell>
        </row>
        <row r="710">
          <cell r="A710" t="str">
            <v>3.08 비계</v>
          </cell>
        </row>
        <row r="711">
          <cell r="A711" t="str">
            <v>3.09 모따기</v>
          </cell>
        </row>
        <row r="712">
          <cell r="A712" t="str">
            <v>3.10 교명주(화강석)</v>
          </cell>
        </row>
        <row r="713">
          <cell r="A713" t="str">
            <v>3.11 교명판및설명판</v>
          </cell>
        </row>
        <row r="714">
          <cell r="A714" t="str">
            <v>a.교명판</v>
          </cell>
        </row>
        <row r="715">
          <cell r="A715" t="str">
            <v>b.설명판</v>
          </cell>
        </row>
        <row r="716">
          <cell r="A716" t="str">
            <v>3.12 표면처리</v>
          </cell>
        </row>
        <row r="717">
          <cell r="A717" t="str">
            <v>a.슬라브 양생</v>
          </cell>
        </row>
        <row r="718">
          <cell r="A718" t="str">
            <v>b.데크휘니샤 면고르기</v>
          </cell>
        </row>
        <row r="719">
          <cell r="A719" t="str">
            <v>3.13 교면방수</v>
          </cell>
        </row>
        <row r="720">
          <cell r="A720" t="str">
            <v>3.14 배면방수</v>
          </cell>
        </row>
        <row r="721">
          <cell r="A721" t="str">
            <v>3.15 전선관부설</v>
          </cell>
        </row>
        <row r="722">
          <cell r="A722" t="str">
            <v>3.16 T.B.M 설치</v>
          </cell>
        </row>
        <row r="723">
          <cell r="A723" t="str">
            <v>3.17 방 호 벽</v>
          </cell>
        </row>
        <row r="724">
          <cell r="A724" t="str">
            <v>a.방호벽(TYPE-2)</v>
          </cell>
        </row>
        <row r="725">
          <cell r="A725" t="str">
            <v>b.방호벽(TYPE-3)</v>
          </cell>
        </row>
        <row r="726">
          <cell r="A726" t="str">
            <v>3.18 중앙분리대</v>
          </cell>
        </row>
        <row r="727">
          <cell r="A727" t="str">
            <v>3.19 스페이서 설치</v>
          </cell>
        </row>
        <row r="728">
          <cell r="A728" t="str">
            <v>a.스페이서 설치</v>
          </cell>
        </row>
        <row r="729">
          <cell r="A729" t="str">
            <v>b.스페이서 설치</v>
          </cell>
        </row>
        <row r="730">
          <cell r="A730" t="str">
            <v>3.20 철근가공 및 조립</v>
          </cell>
        </row>
        <row r="731">
          <cell r="A731" t="str">
            <v>a.보       통</v>
          </cell>
        </row>
        <row r="732">
          <cell r="A732" t="str">
            <v>b.복       잡</v>
          </cell>
        </row>
        <row r="733">
          <cell r="A733" t="str">
            <v>3.21 배수시설공</v>
          </cell>
        </row>
        <row r="734">
          <cell r="A734" t="str">
            <v>a.교량배수물배기공</v>
          </cell>
        </row>
        <row r="735">
          <cell r="A735" t="str">
            <v>b.하층줄눈(성형)</v>
          </cell>
        </row>
        <row r="736">
          <cell r="A736" t="str">
            <v>c.상층줄눈(주입)</v>
          </cell>
        </row>
        <row r="737">
          <cell r="A737" t="str">
            <v>d.표면처리(방수)</v>
          </cell>
        </row>
        <row r="738">
          <cell r="A738" t="str">
            <v>e.하천용 집수구(스턴레스)</v>
          </cell>
        </row>
        <row r="739">
          <cell r="A739" t="str">
            <v>f.교량배수용강관(하천용)</v>
          </cell>
        </row>
        <row r="740">
          <cell r="A740" t="str">
            <v>g.이음부(스텐레스)</v>
          </cell>
        </row>
        <row r="741">
          <cell r="A741" t="str">
            <v>3.22 DOWEL BAR 설치</v>
          </cell>
        </row>
        <row r="742">
          <cell r="A742" t="str">
            <v>3.23 스치로폴</v>
          </cell>
        </row>
        <row r="743">
          <cell r="A743" t="str">
            <v>a.스치로폴</v>
          </cell>
        </row>
        <row r="744">
          <cell r="A744" t="str">
            <v>b.스치로폴</v>
          </cell>
        </row>
        <row r="745">
          <cell r="A745" t="str">
            <v>3.24 교량난간</v>
          </cell>
        </row>
        <row r="746">
          <cell r="A746" t="str">
            <v>F.옹벽공</v>
          </cell>
        </row>
        <row r="747">
          <cell r="A747" t="str">
            <v>3.01 구조물 터파기</v>
          </cell>
        </row>
        <row r="748">
          <cell r="A748" t="str">
            <v>3.02 되메우기(기계70%,인력30%)</v>
          </cell>
        </row>
        <row r="749">
          <cell r="A749" t="str">
            <v>3.03 물 푸 기</v>
          </cell>
        </row>
        <row r="750">
          <cell r="A750" t="str">
            <v>3.04 콘크리트 타설</v>
          </cell>
        </row>
        <row r="751">
          <cell r="A751" t="str">
            <v>a.무      근</v>
          </cell>
        </row>
        <row r="752">
          <cell r="A752" t="str">
            <v>b.무      근</v>
          </cell>
        </row>
        <row r="753">
          <cell r="A753" t="str">
            <v>c.펌프카 타설</v>
          </cell>
        </row>
        <row r="754">
          <cell r="A754" t="str">
            <v>3.05 거푸집공</v>
          </cell>
        </row>
        <row r="755">
          <cell r="A755" t="str">
            <v>a.합판거푸집</v>
          </cell>
        </row>
        <row r="756">
          <cell r="A756" t="str">
            <v>-1.거푸집</v>
          </cell>
        </row>
        <row r="757">
          <cell r="A757" t="str">
            <v>-2.거푸집</v>
          </cell>
        </row>
        <row r="758">
          <cell r="A758" t="str">
            <v>-3.거푸집</v>
          </cell>
        </row>
        <row r="759">
          <cell r="A759" t="str">
            <v>3.06 동바리</v>
          </cell>
        </row>
        <row r="760">
          <cell r="A760" t="str">
            <v>3.07 비계</v>
          </cell>
        </row>
        <row r="761">
          <cell r="A761" t="str">
            <v>3.08 모따기</v>
          </cell>
        </row>
        <row r="762">
          <cell r="A762" t="str">
            <v>3.09 스페이서 설치</v>
          </cell>
        </row>
        <row r="763">
          <cell r="A763" t="str">
            <v>a.스페이서 설치</v>
          </cell>
        </row>
        <row r="764">
          <cell r="A764" t="str">
            <v>b.스페이서 설치</v>
          </cell>
        </row>
        <row r="765">
          <cell r="A765" t="str">
            <v>3.10 철근가공조립</v>
          </cell>
        </row>
        <row r="766">
          <cell r="A766" t="str">
            <v>3.11 옹벽배수시설</v>
          </cell>
        </row>
        <row r="767">
          <cell r="A767" t="str">
            <v>a.DRAIN BOARD</v>
          </cell>
        </row>
        <row r="768">
          <cell r="A768" t="str">
            <v>b.배수 PVC PIPE</v>
          </cell>
        </row>
        <row r="769">
          <cell r="A769" t="str">
            <v>3.12 다웰바 설치(D=32M/M)</v>
          </cell>
        </row>
        <row r="770">
          <cell r="A770" t="str">
            <v>3.13 실런트</v>
          </cell>
        </row>
        <row r="771">
          <cell r="A771" t="str">
            <v>3.14 스치로폴</v>
          </cell>
        </row>
        <row r="772">
          <cell r="A772" t="str">
            <v>3.15 가시설</v>
          </cell>
        </row>
        <row r="773">
          <cell r="A773" t="str">
            <v>a.H-PILE항타(300x300x10x15)</v>
          </cell>
        </row>
        <row r="774">
          <cell r="A774" t="str">
            <v>b.H-PILE항발(300x300x10x15)</v>
          </cell>
        </row>
        <row r="775">
          <cell r="A775" t="str">
            <v>c.RAKER 제작</v>
          </cell>
        </row>
        <row r="776">
          <cell r="A776" t="str">
            <v>d.RAKER 설치 (6∼8m)</v>
          </cell>
        </row>
        <row r="777">
          <cell r="A777" t="str">
            <v>e.RAKER 철거 (6∼8m)</v>
          </cell>
        </row>
        <row r="778">
          <cell r="A778" t="str">
            <v>f.JACK 설치해체</v>
          </cell>
        </row>
        <row r="779">
          <cell r="A779" t="str">
            <v>g.보걸이설치</v>
          </cell>
        </row>
        <row r="780">
          <cell r="A780" t="str">
            <v>h.보걸이철거</v>
          </cell>
        </row>
        <row r="781">
          <cell r="A781" t="str">
            <v>i.띠장설치</v>
          </cell>
        </row>
        <row r="782">
          <cell r="A782" t="str">
            <v>j.띠장철거</v>
          </cell>
        </row>
        <row r="783">
          <cell r="A783" t="str">
            <v>k.토류판 설치</v>
          </cell>
        </row>
        <row r="784">
          <cell r="A784" t="str">
            <v>l.토류판 철거</v>
          </cell>
        </row>
        <row r="785">
          <cell r="A785" t="str">
            <v>m.구조용H형강</v>
          </cell>
        </row>
        <row r="786">
          <cell r="A786" t="str">
            <v>n.구조용H형강</v>
          </cell>
        </row>
        <row r="787">
          <cell r="A787" t="str">
            <v>3.16 부직포</v>
          </cell>
        </row>
        <row r="788">
          <cell r="A788" t="str">
            <v>3.17 기초잡석깔기</v>
          </cell>
        </row>
        <row r="789">
          <cell r="A789" t="str">
            <v>G.블럭식보강옹벽</v>
          </cell>
        </row>
        <row r="790">
          <cell r="A790" t="str">
            <v>3.01 구조물 터파기</v>
          </cell>
        </row>
        <row r="791">
          <cell r="A791" t="str">
            <v>a.육상토사</v>
          </cell>
        </row>
        <row r="792">
          <cell r="A792" t="str">
            <v>b.육상풍화암</v>
          </cell>
        </row>
        <row r="793">
          <cell r="A793" t="str">
            <v>c.육상발파암</v>
          </cell>
        </row>
        <row r="794">
          <cell r="A794" t="str">
            <v>3.02 되메우기(기계70%,인력30%)</v>
          </cell>
        </row>
        <row r="795">
          <cell r="A795" t="str">
            <v>3.03 성토(노  체)</v>
          </cell>
        </row>
        <row r="796">
          <cell r="A796" t="str">
            <v>3.04 기초잡석깔기</v>
          </cell>
        </row>
        <row r="797">
          <cell r="A797" t="str">
            <v>3.05 속채움골재</v>
          </cell>
        </row>
        <row r="798">
          <cell r="A798" t="str">
            <v>3.06 블럭쌓기</v>
          </cell>
        </row>
        <row r="799">
          <cell r="A799" t="str">
            <v>3.07 블럭쌓기</v>
          </cell>
        </row>
        <row r="800">
          <cell r="A800" t="str">
            <v>3.08 지오그리드 설치</v>
          </cell>
        </row>
        <row r="801">
          <cell r="A801" t="str">
            <v>3.09 지오그리드 설치</v>
          </cell>
        </row>
        <row r="802">
          <cell r="A802" t="str">
            <v>3.10 지오그리드 설치</v>
          </cell>
        </row>
        <row r="803">
          <cell r="A803" t="str">
            <v>4.포    장    공</v>
          </cell>
        </row>
        <row r="804">
          <cell r="A804" t="str">
            <v>4.01.동상방지층 포설 및 다짐</v>
          </cell>
        </row>
        <row r="805">
          <cell r="A805" t="str">
            <v>a.T = 40cm</v>
          </cell>
        </row>
        <row r="806">
          <cell r="A806" t="str">
            <v>4.02.보조기층 포설 및 다짐</v>
          </cell>
        </row>
        <row r="807">
          <cell r="A807" t="str">
            <v>a.T = 20cm</v>
          </cell>
        </row>
        <row r="808">
          <cell r="A808" t="str">
            <v>b.T = 30cm</v>
          </cell>
        </row>
        <row r="809">
          <cell r="A809" t="str">
            <v>c.백호우포설</v>
          </cell>
        </row>
        <row r="810">
          <cell r="A810" t="str">
            <v>4.03.콘크리트포설및양생</v>
          </cell>
        </row>
        <row r="811">
          <cell r="A811" t="str">
            <v>4.04.비닐깔기</v>
          </cell>
        </row>
        <row r="812">
          <cell r="A812" t="str">
            <v>4.05.콘크리트 포장용 거푸집</v>
          </cell>
        </row>
        <row r="813">
          <cell r="A813" t="str">
            <v>4.06.와이어메쉬설치</v>
          </cell>
        </row>
        <row r="814">
          <cell r="A814" t="str">
            <v>4.07.부체도로용 줄눈</v>
          </cell>
        </row>
        <row r="815">
          <cell r="A815" t="str">
            <v>4.08 프라임코팅</v>
          </cell>
        </row>
        <row r="816">
          <cell r="A816" t="str">
            <v>4.09.택코팅</v>
          </cell>
        </row>
        <row r="817">
          <cell r="A817" t="str">
            <v>a.택코팅</v>
          </cell>
        </row>
        <row r="818">
          <cell r="A818" t="str">
            <v>b.택코팅</v>
          </cell>
        </row>
        <row r="819">
          <cell r="A819" t="str">
            <v>4.10.캠크리트 기층 포설 및 다짐</v>
          </cell>
        </row>
        <row r="820">
          <cell r="A820" t="str">
            <v>4.11.아스콘 표층 포설 및 다짐</v>
          </cell>
        </row>
        <row r="821">
          <cell r="A821" t="str">
            <v>a.아스콘포설및다짐</v>
          </cell>
        </row>
        <row r="822">
          <cell r="A822" t="str">
            <v>b.아스콘포설및다짐</v>
          </cell>
        </row>
        <row r="823">
          <cell r="A823" t="str">
            <v>4.12.골재구입 및 운반</v>
          </cell>
        </row>
        <row r="824">
          <cell r="A824" t="str">
            <v>a.세골재(모래)</v>
          </cell>
        </row>
        <row r="825">
          <cell r="A825" t="str">
            <v>b.동상방지층재</v>
          </cell>
        </row>
        <row r="826">
          <cell r="A826" t="str">
            <v>c.보조기층재</v>
          </cell>
        </row>
        <row r="827">
          <cell r="A827" t="str">
            <v>d.세굴방지용재</v>
          </cell>
        </row>
        <row r="828">
          <cell r="A828" t="str">
            <v>e.자갈(Ø19m/m)</v>
          </cell>
        </row>
        <row r="829">
          <cell r="A829" t="str">
            <v>f.자갈(D=200M/M)</v>
          </cell>
        </row>
        <row r="830">
          <cell r="A830" t="str">
            <v>g.견치돌(T=35(25*25))</v>
          </cell>
        </row>
        <row r="831">
          <cell r="A831" t="str">
            <v>5.부    대    공</v>
          </cell>
        </row>
        <row r="832">
          <cell r="A832" t="str">
            <v>5.01 교 통 표 지 판</v>
          </cell>
        </row>
        <row r="833">
          <cell r="A833" t="str">
            <v>a.삼각표지판</v>
          </cell>
        </row>
        <row r="834">
          <cell r="A834" t="str">
            <v>b.삼각이중표지판</v>
          </cell>
        </row>
        <row r="835">
          <cell r="A835" t="str">
            <v>c.삼각표지판(부착식)</v>
          </cell>
        </row>
        <row r="836">
          <cell r="A836" t="str">
            <v>d.원형표지판</v>
          </cell>
        </row>
        <row r="837">
          <cell r="A837" t="str">
            <v>e.원형이중표지판</v>
          </cell>
        </row>
        <row r="838">
          <cell r="A838" t="str">
            <v>f.원형표지판(부착식)</v>
          </cell>
        </row>
        <row r="839">
          <cell r="A839" t="str">
            <v>5.02 안 내 표 지 판</v>
          </cell>
        </row>
        <row r="840">
          <cell r="A840" t="str">
            <v>a. 복 주 식</v>
          </cell>
        </row>
        <row r="841">
          <cell r="A841" t="str">
            <v>-1.1지명방향표지판(403-7)</v>
          </cell>
        </row>
        <row r="842">
          <cell r="A842" t="str">
            <v>-2.군계표지판(401-2)</v>
          </cell>
        </row>
        <row r="843">
          <cell r="A843" t="str">
            <v>-3.2지명 이정표지판(402-2)</v>
          </cell>
        </row>
        <row r="844">
          <cell r="A844" t="str">
            <v>-4.2지명 방향표지판(425-2)</v>
          </cell>
        </row>
        <row r="845">
          <cell r="A845" t="str">
            <v>-5.버스정류장표지(427-5)</v>
          </cell>
        </row>
        <row r="846">
          <cell r="A846" t="str">
            <v>b.편 지 식</v>
          </cell>
        </row>
        <row r="847">
          <cell r="A847" t="str">
            <v>-1.2방향예고표지(403-3)</v>
          </cell>
        </row>
        <row r="848">
          <cell r="A848" t="str">
            <v>-2.2방향예고표지(403-5)</v>
          </cell>
        </row>
        <row r="849">
          <cell r="A849" t="str">
            <v>-3.2방향표지(403-4)</v>
          </cell>
        </row>
        <row r="850">
          <cell r="A850" t="str">
            <v>-4.2방향표지(403-6)</v>
          </cell>
        </row>
        <row r="851">
          <cell r="A851" t="str">
            <v>5.03 시선유도표지</v>
          </cell>
        </row>
        <row r="852">
          <cell r="A852" t="str">
            <v>a.델리네이터</v>
          </cell>
        </row>
        <row r="853">
          <cell r="A853" t="str">
            <v>-1.델리네이터</v>
          </cell>
        </row>
        <row r="854">
          <cell r="A854" t="str">
            <v>-2.델리네이터</v>
          </cell>
        </row>
        <row r="855">
          <cell r="A855" t="str">
            <v>-3.델리네이터</v>
          </cell>
        </row>
        <row r="856">
          <cell r="A856" t="str">
            <v>-4.델리네이터</v>
          </cell>
        </row>
        <row r="857">
          <cell r="A857" t="str">
            <v>-5.델리네이터</v>
          </cell>
        </row>
        <row r="858">
          <cell r="A858" t="str">
            <v>b.도로표지병</v>
          </cell>
        </row>
        <row r="859">
          <cell r="A859" t="str">
            <v>-1.도로표지병</v>
          </cell>
        </row>
        <row r="860">
          <cell r="A860" t="str">
            <v>-2.도로표지병</v>
          </cell>
        </row>
        <row r="861">
          <cell r="A861" t="str">
            <v>c.갈매기표지판</v>
          </cell>
        </row>
        <row r="862">
          <cell r="A862" t="str">
            <v>d.소분리대 반사판</v>
          </cell>
        </row>
        <row r="863">
          <cell r="A863" t="str">
            <v>5.04 차선도색</v>
          </cell>
        </row>
        <row r="864">
          <cell r="A864" t="str">
            <v>a.백  색</v>
          </cell>
        </row>
        <row r="865">
          <cell r="A865" t="str">
            <v>-1.실 선</v>
          </cell>
        </row>
        <row r="866">
          <cell r="A866" t="str">
            <v>-2.파 선</v>
          </cell>
        </row>
        <row r="867">
          <cell r="A867" t="str">
            <v>-3.실 선</v>
          </cell>
        </row>
        <row r="868">
          <cell r="A868" t="str">
            <v>b.황  색</v>
          </cell>
        </row>
        <row r="869">
          <cell r="A869" t="str">
            <v>-1.실 선</v>
          </cell>
        </row>
        <row r="870">
          <cell r="A870" t="str">
            <v>-2.실 선</v>
          </cell>
        </row>
        <row r="871">
          <cell r="A871" t="str">
            <v>5.05 가드레일</v>
          </cell>
        </row>
        <row r="872">
          <cell r="A872" t="str">
            <v>a.가드레일</v>
          </cell>
        </row>
        <row r="873">
          <cell r="A873" t="str">
            <v>-1.가드레일</v>
          </cell>
        </row>
        <row r="874">
          <cell r="A874" t="str">
            <v>-2.가드레일</v>
          </cell>
        </row>
        <row r="875">
          <cell r="A875" t="str">
            <v>b.레일포스트</v>
          </cell>
        </row>
        <row r="876">
          <cell r="A876" t="str">
            <v>-1.가드레일</v>
          </cell>
        </row>
        <row r="877">
          <cell r="A877" t="str">
            <v>-2.가드레일</v>
          </cell>
        </row>
        <row r="878">
          <cell r="A878" t="str">
            <v>c.단부레일</v>
          </cell>
        </row>
        <row r="879">
          <cell r="A879" t="str">
            <v>-1.단부레일</v>
          </cell>
        </row>
        <row r="880">
          <cell r="A880" t="str">
            <v>-2.단부레일</v>
          </cell>
        </row>
        <row r="881">
          <cell r="A881" t="str">
            <v>d.가드레일</v>
          </cell>
        </row>
        <row r="882">
          <cell r="A882" t="str">
            <v>e.단부콘크리트</v>
          </cell>
        </row>
        <row r="883">
          <cell r="A883" t="str">
            <v>5.06.중앙분리대</v>
          </cell>
        </row>
        <row r="884">
          <cell r="A884" t="str">
            <v>a.레일포스트</v>
          </cell>
        </row>
        <row r="885">
          <cell r="A885" t="str">
            <v>b.양면가드레일</v>
          </cell>
        </row>
        <row r="886">
          <cell r="A886" t="str">
            <v>c.양면가드레일</v>
          </cell>
        </row>
        <row r="887">
          <cell r="A887" t="str">
            <v>d.라운드레일</v>
          </cell>
        </row>
        <row r="888">
          <cell r="A888" t="str">
            <v>5.07 차 광 망</v>
          </cell>
        </row>
        <row r="889">
          <cell r="A889" t="str">
            <v>a. 토 공 용</v>
          </cell>
        </row>
        <row r="890">
          <cell r="A890" t="str">
            <v>5.08 낙석방지책및낙석방지망</v>
          </cell>
        </row>
        <row r="891">
          <cell r="A891" t="str">
            <v>a 낙석방지책</v>
          </cell>
        </row>
        <row r="892">
          <cell r="A892" t="str">
            <v>-1.낙석방지책</v>
          </cell>
        </row>
        <row r="893">
          <cell r="A893" t="str">
            <v>-1-1.낙석방지책(TYPE-1)</v>
          </cell>
        </row>
        <row r="894">
          <cell r="A894" t="str">
            <v>-1-2.낙석방지책(TYPE-2)</v>
          </cell>
        </row>
        <row r="895">
          <cell r="A895" t="str">
            <v>-2.낙석방지책</v>
          </cell>
        </row>
        <row r="896">
          <cell r="A896" t="str">
            <v>-2-1.낙석방지책(TYPE-1)</v>
          </cell>
        </row>
        <row r="897">
          <cell r="A897" t="str">
            <v>-2-2.낙석방지책(TYPE-2)</v>
          </cell>
        </row>
        <row r="898">
          <cell r="A898" t="str">
            <v>b.낙석방지망</v>
          </cell>
        </row>
        <row r="899">
          <cell r="A899" t="str">
            <v>5.09 미끄럼방지포장</v>
          </cell>
        </row>
        <row r="900">
          <cell r="A900" t="str">
            <v>5.10 충격흡수시설</v>
          </cell>
        </row>
        <row r="901">
          <cell r="A901" t="str">
            <v>5.11 반사경</v>
          </cell>
        </row>
        <row r="902">
          <cell r="A902" t="str">
            <v>5.12 방호시설</v>
          </cell>
        </row>
        <row r="903">
          <cell r="A903" t="str">
            <v>a.암파쇄방호시설</v>
          </cell>
        </row>
        <row r="904">
          <cell r="A904" t="str">
            <v>-1 암파쇄방호시설</v>
          </cell>
        </row>
        <row r="905">
          <cell r="A905" t="str">
            <v>-1-1.설치</v>
          </cell>
        </row>
        <row r="906">
          <cell r="A906" t="str">
            <v>-1-2.철거</v>
          </cell>
        </row>
        <row r="907">
          <cell r="A907" t="str">
            <v>b.안전시설목</v>
          </cell>
        </row>
        <row r="908">
          <cell r="A908" t="str">
            <v>5.13 방 음 벽</v>
          </cell>
        </row>
        <row r="909">
          <cell r="A909" t="str">
            <v>a.방음벽(토공용)</v>
          </cell>
        </row>
        <row r="910">
          <cell r="A910" t="str">
            <v>-1.방음벽</v>
          </cell>
        </row>
        <row r="911">
          <cell r="A911" t="str">
            <v>-2.방음벽</v>
          </cell>
        </row>
        <row r="912">
          <cell r="A912" t="str">
            <v>b.방음벽(교량용)</v>
          </cell>
        </row>
        <row r="913">
          <cell r="A913" t="str">
            <v>-1.방음벽</v>
          </cell>
        </row>
        <row r="914">
          <cell r="A914" t="str">
            <v>c.방음벽기초</v>
          </cell>
        </row>
        <row r="915">
          <cell r="A915" t="str">
            <v>-1. 콘크리트타설</v>
          </cell>
        </row>
        <row r="916">
          <cell r="A916" t="str">
            <v>-2. 콘크리트타설</v>
          </cell>
        </row>
        <row r="917">
          <cell r="A917" t="str">
            <v>-3.거푸집</v>
          </cell>
        </row>
        <row r="918">
          <cell r="A918" t="str">
            <v>-3-1.거푸집</v>
          </cell>
        </row>
        <row r="919">
          <cell r="A919" t="str">
            <v>-3-2.거푸집</v>
          </cell>
        </row>
        <row r="920">
          <cell r="A920" t="str">
            <v>-4.철근가공조립</v>
          </cell>
        </row>
        <row r="921">
          <cell r="A921" t="str">
            <v>-5.비계</v>
          </cell>
        </row>
        <row r="922">
          <cell r="A922" t="str">
            <v>-6.기초잡석깔기</v>
          </cell>
        </row>
        <row r="923">
          <cell r="A923" t="str">
            <v>5.14 절토부 점검로</v>
          </cell>
        </row>
        <row r="924">
          <cell r="A924" t="str">
            <v>a.절토부 점검로</v>
          </cell>
        </row>
        <row r="925">
          <cell r="A925" t="str">
            <v>-1.절토부 점검로</v>
          </cell>
        </row>
        <row r="926">
          <cell r="A926" t="str">
            <v>-2.절토부 점검로</v>
          </cell>
        </row>
        <row r="927">
          <cell r="A927" t="str">
            <v>-3.절토부 점검로</v>
          </cell>
        </row>
        <row r="928">
          <cell r="A928" t="str">
            <v>b.측면부 점검로</v>
          </cell>
        </row>
        <row r="929">
          <cell r="A929" t="str">
            <v>-1.측면부 점검로</v>
          </cell>
        </row>
        <row r="930">
          <cell r="A930" t="str">
            <v>-2.측면부 점검로</v>
          </cell>
        </row>
        <row r="931">
          <cell r="A931" t="str">
            <v>5.15 버스정차대</v>
          </cell>
        </row>
        <row r="932">
          <cell r="A932" t="str">
            <v>a.승강장</v>
          </cell>
        </row>
        <row r="933">
          <cell r="A933" t="str">
            <v>5.16.공사중 환경피해저감시설</v>
          </cell>
        </row>
        <row r="934">
          <cell r="A934" t="str">
            <v>a.가설방음벽및방진망</v>
          </cell>
        </row>
        <row r="935">
          <cell r="A935" t="str">
            <v>b. 오탁방지시설</v>
          </cell>
        </row>
        <row r="936">
          <cell r="A936" t="str">
            <v>c. 오일휀스 설치</v>
          </cell>
        </row>
        <row r="937">
          <cell r="A937" t="str">
            <v>d. 침사지 설치</v>
          </cell>
        </row>
        <row r="938">
          <cell r="A938" t="str">
            <v>-1.터파기</v>
          </cell>
        </row>
        <row r="939">
          <cell r="A939" t="str">
            <v>-2.표토제거</v>
          </cell>
        </row>
        <row r="940">
          <cell r="A940" t="str">
            <v>-3.되메우기</v>
          </cell>
        </row>
        <row r="941">
          <cell r="A941" t="str">
            <v>-4.잔토처리</v>
          </cell>
        </row>
        <row r="942">
          <cell r="A942" t="str">
            <v>5.17 기존가옥철거</v>
          </cell>
        </row>
        <row r="943">
          <cell r="A943" t="str">
            <v>a.가옥 철거</v>
          </cell>
        </row>
        <row r="944">
          <cell r="A944" t="str">
            <v>5.18 접도구역표주 및 준공표지석</v>
          </cell>
        </row>
        <row r="945">
          <cell r="A945" t="str">
            <v>a.접도구역 경계표주</v>
          </cell>
        </row>
        <row r="946">
          <cell r="A946" t="str">
            <v>b.준공표지석</v>
          </cell>
        </row>
        <row r="947">
          <cell r="A947" t="str">
            <v>5.19 보도블럭포장</v>
          </cell>
        </row>
        <row r="948">
          <cell r="A948" t="str">
            <v>a.소형고압블럭</v>
          </cell>
        </row>
        <row r="949">
          <cell r="A949" t="str">
            <v>b.소형고압블럭</v>
          </cell>
        </row>
        <row r="950">
          <cell r="A950" t="str">
            <v>c.도로경계석</v>
          </cell>
        </row>
        <row r="951">
          <cell r="A951" t="str">
            <v>d.보차도경계석</v>
          </cell>
        </row>
        <row r="952">
          <cell r="A952" t="str">
            <v>5.20 비탈면 보호공</v>
          </cell>
        </row>
        <row r="953">
          <cell r="A953" t="str">
            <v>a.돌쌓기</v>
          </cell>
        </row>
        <row r="954">
          <cell r="A954" t="str">
            <v>-1.돌쌓기 기초</v>
          </cell>
        </row>
        <row r="955">
          <cell r="A955" t="str">
            <v>-2.돌쌓기</v>
          </cell>
        </row>
        <row r="956">
          <cell r="A956" t="str">
            <v>b.호안보호블럭</v>
          </cell>
        </row>
        <row r="957">
          <cell r="A957" t="str">
            <v>-1.호안보호블럭기초</v>
          </cell>
        </row>
        <row r="958">
          <cell r="A958" t="str">
            <v>-2.호안보호블럭</v>
          </cell>
        </row>
        <row r="959">
          <cell r="A959" t="str">
            <v>c.기어형블럭</v>
          </cell>
        </row>
        <row r="960">
          <cell r="A960" t="str">
            <v>-1.콘크리트 블럭</v>
          </cell>
        </row>
        <row r="961">
          <cell r="A961" t="str">
            <v>-2.블럭운반</v>
          </cell>
        </row>
        <row r="962">
          <cell r="A962" t="str">
            <v>-3.수상블럭거치</v>
          </cell>
        </row>
        <row r="963">
          <cell r="A963" t="str">
            <v>-4.저면매트부설</v>
          </cell>
        </row>
        <row r="964">
          <cell r="A964" t="str">
            <v>-5.제작장 정지</v>
          </cell>
        </row>
        <row r="965">
          <cell r="A965" t="str">
            <v>-6.달아올림틀 제작</v>
          </cell>
        </row>
        <row r="966">
          <cell r="A966" t="str">
            <v>5.21 세륜세차시설</v>
          </cell>
        </row>
        <row r="967">
          <cell r="A967" t="str">
            <v>5.22 가도공</v>
          </cell>
        </row>
        <row r="968">
          <cell r="A968" t="str">
            <v>-1.흙깍기(토사)</v>
          </cell>
        </row>
        <row r="969">
          <cell r="A969" t="str">
            <v>-2.흙 쌓 기</v>
          </cell>
        </row>
        <row r="970">
          <cell r="A970" t="str">
            <v>-3.가마니쌓기및헐기</v>
          </cell>
        </row>
        <row r="971">
          <cell r="A971" t="str">
            <v>-4.가배수관부설(흄관)</v>
          </cell>
        </row>
        <row r="972">
          <cell r="A972" t="str">
            <v>5.23 가설사무실</v>
          </cell>
        </row>
        <row r="973">
          <cell r="A973" t="str">
            <v>5.24 시공측량비</v>
          </cell>
        </row>
        <row r="974">
          <cell r="A974" t="str">
            <v>5.25 도로대장작성비</v>
          </cell>
        </row>
        <row r="975">
          <cell r="A975" t="str">
            <v>5.26 중기운반비</v>
          </cell>
        </row>
        <row r="976">
          <cell r="A976" t="str">
            <v>5.27 시험비</v>
          </cell>
        </row>
        <row r="977">
          <cell r="A977" t="str">
            <v>5.28 품질관리 차량비</v>
          </cell>
        </row>
        <row r="978">
          <cell r="A978" t="str">
            <v>5.29 살수차운영</v>
          </cell>
        </row>
        <row r="979">
          <cell r="A979" t="str">
            <v>5.30 소 각 장</v>
          </cell>
        </row>
        <row r="980">
          <cell r="A980" t="str">
            <v>5.31 폐기물처리비</v>
          </cell>
        </row>
        <row r="981">
          <cell r="A981" t="str">
            <v>-1.폐아스콘처리비</v>
          </cell>
        </row>
        <row r="982">
          <cell r="A982" t="str">
            <v>-2.폐콘크리트처리비</v>
          </cell>
        </row>
        <row r="983">
          <cell r="A983" t="str">
            <v>-3.혼합폐기물처리비</v>
          </cell>
        </row>
        <row r="984">
          <cell r="A984" t="str">
            <v>5.32 시공상세도 작성비</v>
          </cell>
        </row>
        <row r="985">
          <cell r="A985" t="str">
            <v>5.33 기존도로유지관리비</v>
          </cell>
        </row>
        <row r="986">
          <cell r="A986" t="str">
            <v>a.소파보수</v>
          </cell>
        </row>
        <row r="987">
          <cell r="A987" t="str">
            <v>-1.아스팔트 포장 절단</v>
          </cell>
        </row>
        <row r="988">
          <cell r="A988" t="str">
            <v>-2.아스콘 포장 깨기</v>
          </cell>
        </row>
        <row r="989">
          <cell r="A989" t="str">
            <v>-3.프라임코팅</v>
          </cell>
        </row>
        <row r="990">
          <cell r="A990" t="str">
            <v>-4.택 코 팅</v>
          </cell>
        </row>
        <row r="991">
          <cell r="A991" t="str">
            <v>-5.기층아스콘포설및다짐</v>
          </cell>
        </row>
        <row r="992">
          <cell r="A992" t="str">
            <v>-6.표층아스콘포설및다짐</v>
          </cell>
        </row>
        <row r="993">
          <cell r="A993" t="str">
            <v>-7.자재 및 운반비</v>
          </cell>
        </row>
        <row r="994">
          <cell r="A994" t="str">
            <v>b.덧씌우기</v>
          </cell>
        </row>
        <row r="995">
          <cell r="A995" t="str">
            <v>-1.택 코 팅</v>
          </cell>
        </row>
        <row r="996">
          <cell r="A996" t="str">
            <v>-2.표층아스콘포설및다짐</v>
          </cell>
        </row>
        <row r="997">
          <cell r="A997" t="str">
            <v>-3.자재대 및 운반비</v>
          </cell>
        </row>
        <row r="998">
          <cell r="A998" t="str">
            <v>-3-1.아스팔트 운반</v>
          </cell>
        </row>
        <row r="999">
          <cell r="A999" t="str">
            <v>-3-2.표층</v>
          </cell>
        </row>
        <row r="1000">
          <cell r="A1000" t="str">
            <v>-3-3.아스팔트(유제)</v>
          </cell>
        </row>
        <row r="1001">
          <cell r="A1001" t="str">
            <v>c.차선도색</v>
          </cell>
        </row>
        <row r="1002">
          <cell r="A1002" t="str">
            <v>-1.황색실선</v>
          </cell>
        </row>
        <row r="1003">
          <cell r="A1003" t="str">
            <v>-2.백색실선</v>
          </cell>
        </row>
        <row r="1004">
          <cell r="A1004" t="str">
            <v>5.34 교통관리비</v>
          </cell>
        </row>
        <row r="1005">
          <cell r="A1005" t="str">
            <v>5.35 준공도서작성비</v>
          </cell>
        </row>
        <row r="1006">
          <cell r="A1006" t="str">
            <v>5.36 교량부 시추조사비</v>
          </cell>
        </row>
        <row r="1007">
          <cell r="A1007" t="str">
            <v>-1.기구설치비</v>
          </cell>
        </row>
        <row r="1008">
          <cell r="A1008" t="str">
            <v>-2.토사층</v>
          </cell>
        </row>
        <row r="1009">
          <cell r="A1009" t="str">
            <v>-3.연암층</v>
          </cell>
        </row>
        <row r="1010">
          <cell r="A1010" t="str">
            <v>-4.경암층</v>
          </cell>
        </row>
        <row r="1011">
          <cell r="A1011" t="str">
            <v>5.37 초기안전점검비</v>
          </cell>
        </row>
        <row r="1012">
          <cell r="A1012" t="str">
            <v>5.38 자재운반비</v>
          </cell>
        </row>
        <row r="1013">
          <cell r="A1013" t="str">
            <v>a.시멘트 운반</v>
          </cell>
        </row>
        <row r="1014">
          <cell r="A1014" t="str">
            <v>b.철근 운반</v>
          </cell>
        </row>
        <row r="1015">
          <cell r="A1015" t="str">
            <v>c. 아스팔트 운반</v>
          </cell>
        </row>
        <row r="1016">
          <cell r="A1016" t="str">
            <v>5.39 자 재 대</v>
          </cell>
        </row>
        <row r="1017">
          <cell r="A1017" t="str">
            <v>a.시 멘 트</v>
          </cell>
        </row>
        <row r="1018">
          <cell r="A1018" t="str">
            <v>b.철    근</v>
          </cell>
        </row>
        <row r="1019">
          <cell r="A1019" t="str">
            <v>-1. H13 M/M</v>
          </cell>
        </row>
        <row r="1020">
          <cell r="A1020" t="str">
            <v>-2. H16~32 M/M</v>
          </cell>
        </row>
        <row r="1021">
          <cell r="A1021" t="str">
            <v>-3  D10 M/M</v>
          </cell>
        </row>
        <row r="1022">
          <cell r="A1022" t="str">
            <v>-4  D13 M/M</v>
          </cell>
        </row>
        <row r="1023">
          <cell r="A1023" t="str">
            <v>-5  D16~32 M/M</v>
          </cell>
        </row>
        <row r="1024">
          <cell r="A1024" t="str">
            <v>-6  Ø32 M/M</v>
          </cell>
        </row>
        <row r="1025">
          <cell r="A1025" t="str">
            <v>-7  Ø25 M/M</v>
          </cell>
        </row>
        <row r="1026">
          <cell r="A1026" t="str">
            <v>c.레 미 콘</v>
          </cell>
        </row>
        <row r="1027">
          <cell r="A1027" t="str">
            <v>-1 레 미 콘</v>
          </cell>
        </row>
        <row r="1028">
          <cell r="A1028" t="str">
            <v>-2.레 미 콘(섬유보강)</v>
          </cell>
        </row>
        <row r="1029">
          <cell r="A1029" t="str">
            <v>-3 레 미 콘</v>
          </cell>
        </row>
        <row r="1030">
          <cell r="A1030" t="str">
            <v>-4 레 미 콘</v>
          </cell>
        </row>
        <row r="1031">
          <cell r="A1031" t="str">
            <v>-5 레 미 콘</v>
          </cell>
        </row>
        <row r="1032">
          <cell r="A1032" t="str">
            <v>-6 레 미 콘</v>
          </cell>
        </row>
        <row r="1033">
          <cell r="A1033" t="str">
            <v>-7 레 미 콘</v>
          </cell>
        </row>
        <row r="1034">
          <cell r="A1034" t="str">
            <v>-8 레 미 콘</v>
          </cell>
        </row>
        <row r="1035">
          <cell r="A1035" t="str">
            <v>-9 레 미 콘</v>
          </cell>
        </row>
        <row r="1036">
          <cell r="A1036" t="str">
            <v>-10 레 미 콘</v>
          </cell>
        </row>
        <row r="1037">
          <cell r="A1037" t="str">
            <v>-11 레 미 콘</v>
          </cell>
        </row>
        <row r="1038">
          <cell r="A1038" t="str">
            <v>-12 레 미 콘</v>
          </cell>
        </row>
        <row r="1039">
          <cell r="A1039" t="str">
            <v>-13 레 미 콘</v>
          </cell>
        </row>
        <row r="1040">
          <cell r="A1040" t="str">
            <v>d.아스팔트 콘크리트</v>
          </cell>
        </row>
        <row r="1041">
          <cell r="A1041" t="str">
            <v>-1.기  층</v>
          </cell>
        </row>
        <row r="1042">
          <cell r="A1042" t="str">
            <v>-2.표  층</v>
          </cell>
        </row>
        <row r="1043">
          <cell r="A1043" t="str">
            <v>-3.캠크리트</v>
          </cell>
        </row>
        <row r="1044">
          <cell r="A1044" t="str">
            <v>e..아스팔트</v>
          </cell>
        </row>
        <row r="1045">
          <cell r="A1045" t="str">
            <v>-1.아스팔트</v>
          </cell>
        </row>
        <row r="1046">
          <cell r="A1046" t="str">
            <v>-2.아스팔트</v>
          </cell>
        </row>
        <row r="1047">
          <cell r="A1047" t="str">
            <v>f.VR관</v>
          </cell>
        </row>
        <row r="1048">
          <cell r="A1048" t="str">
            <v>-1.VR관</v>
          </cell>
        </row>
        <row r="1049">
          <cell r="A1049" t="str">
            <v>-2 VR관</v>
          </cell>
        </row>
        <row r="1050">
          <cell r="A1050" t="str">
            <v>-3.VR관</v>
          </cell>
        </row>
        <row r="1051">
          <cell r="A1051" t="str">
            <v>-4.VR관</v>
          </cell>
        </row>
        <row r="1052">
          <cell r="A1052" t="str">
            <v>-5.VR관</v>
          </cell>
        </row>
        <row r="1053">
          <cell r="A1053" t="str">
            <v>-6.VR관</v>
          </cell>
        </row>
        <row r="1054">
          <cell r="A1054" t="str">
            <v>g.흄관</v>
          </cell>
        </row>
        <row r="1055">
          <cell r="A1055" t="str">
            <v>-1.흄관</v>
          </cell>
        </row>
        <row r="1056">
          <cell r="A1056" t="str">
            <v>-2.흄관</v>
          </cell>
        </row>
        <row r="1057">
          <cell r="A1057" t="str">
            <v>h.고재대</v>
          </cell>
        </row>
        <row r="1058">
          <cell r="A1058" t="str">
            <v>간 접 노 무 비</v>
          </cell>
        </row>
        <row r="1059">
          <cell r="A1059" t="str">
            <v>산 재 보 험 료</v>
          </cell>
        </row>
        <row r="1060">
          <cell r="A1060" t="str">
            <v>안 전 관 리 비</v>
          </cell>
        </row>
        <row r="1061">
          <cell r="A1061" t="str">
            <v>기  타  경  비</v>
          </cell>
        </row>
        <row r="1062">
          <cell r="A1062" t="str">
            <v>일 반 관 리 비</v>
          </cell>
        </row>
        <row r="1063">
          <cell r="A1063" t="str">
            <v>이          윤</v>
          </cell>
        </row>
        <row r="1064">
          <cell r="A1064" t="str">
            <v>고 용 보 험 료</v>
          </cell>
        </row>
        <row r="1065">
          <cell r="A1065" t="str">
            <v>퇴직공제 부금비</v>
          </cell>
        </row>
        <row r="1066">
          <cell r="A1066" t="str">
            <v>정기안전 점검비</v>
          </cell>
        </row>
        <row r="1067">
          <cell r="A1067" t="str">
            <v>사후환경영향평가비</v>
          </cell>
        </row>
        <row r="1068">
          <cell r="A1068" t="str">
            <v>공사송해보험료</v>
          </cell>
        </row>
        <row r="1069">
          <cell r="A1069" t="str">
            <v>부 가 가 치 세</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
      <sheetName val="장비"/>
      <sheetName val="자재"/>
      <sheetName val="산집"/>
      <sheetName val="산근1"/>
      <sheetName val="산근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투입"/>
      <sheetName val="조직표"/>
      <sheetName val="경비"/>
      <sheetName val="현경"/>
      <sheetName val="롯데안"/>
      <sheetName val="분할"/>
      <sheetName val="설명자료"/>
      <sheetName val="공개"/>
      <sheetName val="★"/>
      <sheetName val="목표 (2)"/>
      <sheetName val="품의"/>
      <sheetName val="총괄"/>
      <sheetName val="대비"/>
      <sheetName val="작기"/>
      <sheetName val="☜품⊥산☞"/>
      <sheetName val="표지"/>
      <sheetName val="집계"/>
      <sheetName val="급여96"/>
      <sheetName val="동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
      <sheetName val="장비"/>
      <sheetName val="자재"/>
      <sheetName val="산집"/>
      <sheetName val="산근1"/>
      <sheetName val="산근2"/>
    </sheetNames>
    <sheetDataSet>
      <sheetData sheetId="0" refreshError="1"/>
      <sheetData sheetId="1" refreshError="1">
        <row r="16">
          <cell r="M16">
            <v>20000</v>
          </cell>
        </row>
        <row r="101">
          <cell r="M101">
            <v>3024</v>
          </cell>
        </row>
        <row r="125">
          <cell r="M125">
            <v>2305</v>
          </cell>
        </row>
      </sheetData>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Exp Eva"/>
      <sheetName val="Prog Eva."/>
      <sheetName val="MTL"/>
      <sheetName val="man p sum."/>
      <sheetName val="fuel "/>
      <sheetName val="spare"/>
      <sheetName val="eq't "/>
      <sheetName val="Summary"/>
      <sheetName val="Fuel Eva."/>
      <sheetName val="Eqt Eva."/>
      <sheetName val="Mat Eva."/>
      <sheetName val="Lab Eva."/>
      <sheetName val="Claim"/>
      <sheetName val="Prob."/>
      <sheetName val="Office Eng'g"/>
      <sheetName val="Beza"/>
      <sheetName val="Dozer"/>
      <sheetName val="Grad, Rol &amp; WT"/>
      <sheetName val="Ex,Load &amp; DT"/>
      <sheetName val="Prod."/>
      <sheetName val="House Equ &amp; Fur"/>
      <sheetName val="Day Works"/>
      <sheetName val="Off.Equ &amp; Fur"/>
      <sheetName val="Disposal"/>
      <sheetName val="PA(B-3)L"/>
      <sheetName val="汇总"/>
    </sheetNames>
    <sheetDataSet>
      <sheetData sheetId="0">
        <row r="2">
          <cell r="B2" t="str">
            <v>Reporting Date: Ginbot 9</v>
          </cell>
        </row>
        <row r="3">
          <cell r="B3" t="str">
            <v>Week No.76</v>
          </cell>
        </row>
        <row r="4">
          <cell r="B4" t="str">
            <v>Duration:  Miazia 30-Ginbot 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지계"/>
      <sheetName val="물가지수"/>
      <sheetName val="집계"/>
      <sheetName val="1차"/>
      <sheetName val="2차"/>
      <sheetName val="3차"/>
      <sheetName val="4차"/>
      <sheetName val="5차"/>
      <sheetName val="6차"/>
      <sheetName val="7차"/>
      <sheetName val="8차"/>
      <sheetName val="9차"/>
      <sheetName val="10차"/>
      <sheetName val="11차"/>
      <sheetName val="12차"/>
      <sheetName val="13차"/>
      <sheetName val="14차"/>
      <sheetName val="15차"/>
      <sheetName val="16차"/>
      <sheetName val="17차"/>
      <sheetName val="18차"/>
      <sheetName val="BID"/>
      <sheetName val="1.설계조건"/>
      <sheetName val="환율199911"/>
      <sheetName val="AC"/>
      <sheetName val="DBM"/>
      <sheetName val="Gsb"/>
      <sheetName val="op"/>
      <sheetName val="Idle Activity Dependance "/>
      <sheetName val="daily fuile data"/>
      <sheetName val="IDEL MOBILIZATIO  CONDITION "/>
      <sheetName val="Idle Miscellanious Factor"/>
      <sheetName val="REPAIR PRIORITY  CONDITION"/>
      <sheetName val="TROUBLE DIAGNOSIS"/>
      <sheetName val="UNDER REPAIR CONDITION "/>
      <sheetName val="Idle Weather Condition"/>
      <sheetName val="WAITING FOR PART CONDITION"/>
      <sheetName val="Idle Water Shortage"/>
      <sheetName val="Idle Equipment Dependent "/>
      <sheetName val="Idle Operator problem "/>
      <sheetName val="Idle Fuel Case "/>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sheetName val="Title"/>
      <sheetName val="Summary (Road)"/>
      <sheetName val="BOQ (Road)"/>
      <sheetName val="Summarry"/>
      <sheetName val="Absract"/>
      <sheetName val="sum"/>
      <sheetName val="abomsa"/>
      <sheetName val="Chart2"/>
      <sheetName val="summ"/>
      <sheetName val="ab c-1"/>
      <sheetName val="Sheet1"/>
      <sheetName val="Cost Break Down"/>
      <sheetName val="1000 "/>
      <sheetName val="2000"/>
      <sheetName val="3000"/>
      <sheetName val="4000"/>
      <sheetName val="5000"/>
      <sheetName val="6000"/>
      <sheetName val="8000"/>
      <sheetName val="9000"/>
      <sheetName val="2000 a"/>
      <sheetName val="3000 a"/>
      <sheetName val="4000 a"/>
      <sheetName val="5000 a"/>
      <sheetName val="6000 a"/>
      <sheetName val="8000 a"/>
      <sheetName val="9000 a"/>
      <sheetName val="900000000000mm Pipe"/>
      <sheetName val="9000mm pipe"/>
      <sheetName val="1060mm Pipe"/>
      <sheetName val="1220mm Pipe"/>
      <sheetName val="Disposal"/>
      <sheetName val="Borrow Backfill"/>
      <sheetName val="Cut to Spoil"/>
      <sheetName val="Rock ex to spoil"/>
      <sheetName val="ac"/>
      <sheetName val="cut to fill"/>
      <sheetName val="rock fill"/>
      <sheetName val="sub base"/>
      <sheetName val="base"/>
      <sheetName val="Material "/>
      <sheetName val="Machinery"/>
      <sheetName val="Labour"/>
      <sheetName val="Day Works"/>
      <sheetName val="Off.Equ &amp; Fur"/>
      <sheetName val="Lab.Equ &amp; Fur"/>
      <sheetName val="House Equ &amp; Fur"/>
      <sheetName val="Surv.Equ"/>
      <sheetName val="Eng.Veh"/>
      <sheetName val="Radio"/>
      <sheetName val="ic"/>
      <sheetName val="Sheet2"/>
      <sheetName val="Chart1"/>
      <sheetName val="Type B"/>
      <sheetName val="Type C"/>
      <sheetName val="Type D"/>
      <sheetName val="Type E"/>
      <sheetName val="Sur.Equ"/>
      <sheetName val="Lab.Equ"/>
      <sheetName val="Lab.Buil &amp; Fur"/>
      <sheetName val="Off bld &amp; Fur"/>
      <sheetName val="off Eq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row r="51">
          <cell r="F51">
            <v>6945865.1208109688</v>
          </cell>
        </row>
      </sheetData>
      <sheetData sheetId="45" refreshError="1">
        <row r="9">
          <cell r="G9">
            <v>245823.5</v>
          </cell>
        </row>
      </sheetData>
      <sheetData sheetId="46" refreshError="1"/>
      <sheetData sheetId="47" refreshError="1">
        <row r="276">
          <cell r="E276">
            <v>480000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광명변전단락"/>
      <sheetName val="광명기지단락"/>
      <sheetName val="정거장단락"/>
      <sheetName val="소내케이블"/>
      <sheetName val="부하"/>
      <sheetName val="동력부하(정거장)"/>
      <sheetName val="간선조건"/>
      <sheetName val="간선계산"/>
      <sheetName val="TR 조건"/>
      <sheetName val="밧데리"/>
      <sheetName val="UPS밧데리"/>
      <sheetName val="터널전등"/>
      <sheetName val="터널간선"/>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EQ (270.1~273.1)"/>
      <sheetName val="Detail (2)"/>
      <sheetName val="Sheet1"/>
      <sheetName val="Calculation Sheet (2)"/>
      <sheetName val="Cut to Spoil"/>
      <sheetName val="EQ"/>
      <sheetName val="USM"/>
      <sheetName val="Oddometer"/>
      <sheetName val="Areka Town "/>
      <sheetName val=" Clearing width(260.9~288)"/>
      <sheetName val="Roadbed "/>
      <sheetName val="SubBase"/>
      <sheetName val="LSM"/>
      <sheetName val="Calculation"/>
      <sheetName val="PA(B-2)L"/>
      <sheetName val="PA Summery"/>
      <sheetName val="PA(B-2)F"/>
      <sheetName val="PA Summery (2)"/>
      <sheetName val="PA(B-3)L"/>
      <sheetName val="PA(B-3)F"/>
      <sheetName val="PA(B-4)L"/>
      <sheetName val="PA(B-4)F"/>
      <sheetName val="PA(B-5)L"/>
      <sheetName val="PA(B-5)F"/>
      <sheetName val="PA(B-6)L"/>
      <sheetName val="PA(B-6)F"/>
      <sheetName val="Rebar"/>
      <sheetName val="Material  (2)"/>
      <sheetName val="Material "/>
      <sheetName val="intrmid. Material"/>
      <sheetName val="지계"/>
      <sheetName val="05 Ar &amp; St"/>
      <sheetName val="A-2 blcok work Res."/>
      <sheetName val="05 RB A-2 200kp Res. Sub St."/>
      <sheetName val="05 A-2 300kp Sup 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5 Block Summary"/>
      <sheetName val="05 Summary"/>
      <sheetName val="05 Sub Structure BC = 300"/>
      <sheetName val="05 A-2 300kp Res. Sub St."/>
      <sheetName val="Excavation Data A-2 Blk 82 Res."/>
      <sheetName val="trench &amp; masonary data "/>
      <sheetName val="05 RB A-2 300kp Res. Sub St."/>
      <sheetName val="05 Ar &amp; St"/>
      <sheetName val="05 A-2 300kp Sup St."/>
      <sheetName val="05 RB A-2 300kp Res. Super St."/>
      <sheetName val="A-2 blcok work Res."/>
    </sheetNames>
    <sheetDataSet>
      <sheetData sheetId="0"/>
      <sheetData sheetId="1"/>
      <sheetData sheetId="2"/>
      <sheetData sheetId="3"/>
      <sheetData sheetId="4"/>
      <sheetData sheetId="5"/>
      <sheetData sheetId="6"/>
      <sheetData sheetId="7">
        <row r="49">
          <cell r="M49">
            <v>177852.79999999999</v>
          </cell>
        </row>
      </sheetData>
      <sheetData sheetId="8"/>
      <sheetData sheetId="9"/>
      <sheetData sheetId="10">
        <row r="1">
          <cell r="B1" t="str">
            <v>Project: Low Cost Housing Development Project</v>
          </cell>
        </row>
        <row r="2">
          <cell r="B2" t="str">
            <v>Location: Jemmo II</v>
          </cell>
        </row>
        <row r="3">
          <cell r="B3" t="str">
            <v>Client: Nifasilk Lafto Sub-City</v>
          </cell>
        </row>
        <row r="4">
          <cell r="B4" t="str">
            <v>Contractor:  GETENET AYEHU B.C</v>
          </cell>
        </row>
        <row r="5">
          <cell r="B5" t="str">
            <v>Consultant: MGM Consult PLC</v>
          </cell>
        </row>
        <row r="6">
          <cell r="A6" t="str">
            <v>Code</v>
          </cell>
          <cell r="B6" t="str">
            <v>Timizing</v>
          </cell>
          <cell r="D6" t="str">
            <v>Dimension</v>
          </cell>
          <cell r="E6" t="str">
            <v>Qty</v>
          </cell>
        </row>
        <row r="9">
          <cell r="B9">
            <v>4</v>
          </cell>
          <cell r="C9">
            <v>1</v>
          </cell>
          <cell r="D9">
            <v>7.9099999999999993</v>
          </cell>
        </row>
        <row r="10">
          <cell r="D10">
            <v>2.4</v>
          </cell>
        </row>
        <row r="11">
          <cell r="E11">
            <v>75.94</v>
          </cell>
        </row>
        <row r="13">
          <cell r="B13">
            <v>4</v>
          </cell>
          <cell r="C13">
            <v>1</v>
          </cell>
          <cell r="D13">
            <v>1.2599999999999998</v>
          </cell>
        </row>
        <row r="14">
          <cell r="D14">
            <v>2.4</v>
          </cell>
        </row>
        <row r="15">
          <cell r="E15">
            <v>12.1</v>
          </cell>
        </row>
        <row r="17">
          <cell r="B17">
            <v>4</v>
          </cell>
          <cell r="C17">
            <v>1</v>
          </cell>
          <cell r="D17">
            <v>1.33</v>
          </cell>
        </row>
        <row r="18">
          <cell r="D18">
            <v>2.6</v>
          </cell>
        </row>
        <row r="19">
          <cell r="E19">
            <v>13.83</v>
          </cell>
        </row>
        <row r="21">
          <cell r="B21">
            <v>4</v>
          </cell>
          <cell r="C21">
            <v>1</v>
          </cell>
          <cell r="D21">
            <v>10.119999999999999</v>
          </cell>
        </row>
        <row r="22">
          <cell r="D22">
            <v>2.4</v>
          </cell>
        </row>
        <row r="23">
          <cell r="E23">
            <v>97.15</v>
          </cell>
        </row>
        <row r="25">
          <cell r="B25">
            <v>4</v>
          </cell>
          <cell r="C25">
            <v>1</v>
          </cell>
          <cell r="D25">
            <v>8.6999999999999993</v>
          </cell>
        </row>
        <row r="26">
          <cell r="D26">
            <v>2.6</v>
          </cell>
        </row>
        <row r="27">
          <cell r="E27">
            <v>90.48</v>
          </cell>
        </row>
        <row r="29">
          <cell r="B29">
            <v>4</v>
          </cell>
          <cell r="C29">
            <v>1</v>
          </cell>
          <cell r="D29">
            <v>6.58</v>
          </cell>
        </row>
        <row r="30">
          <cell r="D30">
            <v>2.4</v>
          </cell>
        </row>
        <row r="31">
          <cell r="E31">
            <v>63.17</v>
          </cell>
        </row>
        <row r="33">
          <cell r="B33">
            <v>4</v>
          </cell>
          <cell r="C33">
            <v>1</v>
          </cell>
          <cell r="D33">
            <v>13.060000000000002</v>
          </cell>
        </row>
        <row r="34">
          <cell r="D34">
            <v>2.4</v>
          </cell>
        </row>
        <row r="35">
          <cell r="E35">
            <v>125.38</v>
          </cell>
        </row>
        <row r="37">
          <cell r="B37">
            <v>4</v>
          </cell>
          <cell r="C37">
            <v>1</v>
          </cell>
          <cell r="D37">
            <v>2.13</v>
          </cell>
        </row>
        <row r="38">
          <cell r="D38">
            <v>2.4</v>
          </cell>
        </row>
        <row r="39">
          <cell r="E39">
            <v>20.45</v>
          </cell>
        </row>
        <row r="41">
          <cell r="B41">
            <v>4</v>
          </cell>
          <cell r="C41">
            <v>1</v>
          </cell>
          <cell r="D41">
            <v>10.61</v>
          </cell>
        </row>
        <row r="42">
          <cell r="D42">
            <v>2.4</v>
          </cell>
        </row>
        <row r="43">
          <cell r="E43">
            <v>101.86</v>
          </cell>
        </row>
        <row r="45">
          <cell r="B45">
            <v>4</v>
          </cell>
          <cell r="C45">
            <v>1</v>
          </cell>
          <cell r="D45">
            <v>2.4</v>
          </cell>
        </row>
        <row r="46">
          <cell r="D46">
            <v>2.4</v>
          </cell>
        </row>
        <row r="47">
          <cell r="E47">
            <v>23.04</v>
          </cell>
        </row>
        <row r="49">
          <cell r="B49">
            <v>3</v>
          </cell>
          <cell r="C49">
            <v>1</v>
          </cell>
          <cell r="D49">
            <v>2.35</v>
          </cell>
        </row>
        <row r="50">
          <cell r="D50">
            <v>2.4</v>
          </cell>
        </row>
        <row r="51">
          <cell r="E51">
            <v>16.920000000000002</v>
          </cell>
        </row>
        <row r="53">
          <cell r="B53">
            <v>4</v>
          </cell>
          <cell r="C53">
            <v>1</v>
          </cell>
          <cell r="D53">
            <v>12.58</v>
          </cell>
        </row>
        <row r="54">
          <cell r="D54">
            <v>2.4</v>
          </cell>
        </row>
        <row r="55">
          <cell r="E55">
            <v>120.77</v>
          </cell>
        </row>
        <row r="57">
          <cell r="B57">
            <v>4</v>
          </cell>
          <cell r="C57">
            <v>1</v>
          </cell>
          <cell r="D57">
            <v>4.6399999999999997</v>
          </cell>
        </row>
        <row r="58">
          <cell r="D58">
            <v>2.4</v>
          </cell>
        </row>
        <row r="59">
          <cell r="E59">
            <v>44.54</v>
          </cell>
        </row>
        <row r="61">
          <cell r="B61">
            <v>4</v>
          </cell>
          <cell r="C61">
            <v>2</v>
          </cell>
          <cell r="D61">
            <v>7.2</v>
          </cell>
        </row>
        <row r="62">
          <cell r="D62">
            <v>2.4</v>
          </cell>
        </row>
        <row r="63">
          <cell r="E63">
            <v>138.24</v>
          </cell>
        </row>
        <row r="65">
          <cell r="B65">
            <v>4</v>
          </cell>
          <cell r="C65">
            <v>1</v>
          </cell>
          <cell r="D65">
            <v>1.53</v>
          </cell>
        </row>
        <row r="66">
          <cell r="D66">
            <v>2.6</v>
          </cell>
        </row>
        <row r="67">
          <cell r="E67">
            <v>15.91</v>
          </cell>
        </row>
        <row r="69">
          <cell r="B69">
            <v>4</v>
          </cell>
          <cell r="C69">
            <v>1</v>
          </cell>
          <cell r="D69">
            <v>1.9300000000000002</v>
          </cell>
        </row>
        <row r="70">
          <cell r="D70">
            <v>2.4</v>
          </cell>
        </row>
        <row r="71">
          <cell r="E71">
            <v>18.53</v>
          </cell>
        </row>
        <row r="73">
          <cell r="B73">
            <v>4</v>
          </cell>
          <cell r="C73">
            <v>1</v>
          </cell>
          <cell r="D73">
            <v>8.6</v>
          </cell>
        </row>
        <row r="74">
          <cell r="D74">
            <v>2.4</v>
          </cell>
        </row>
        <row r="75">
          <cell r="E75">
            <v>82.56</v>
          </cell>
        </row>
        <row r="78">
          <cell r="B78">
            <v>4</v>
          </cell>
          <cell r="C78">
            <v>-6</v>
          </cell>
          <cell r="D78">
            <v>1.5</v>
          </cell>
        </row>
        <row r="79">
          <cell r="D79">
            <v>1.5</v>
          </cell>
        </row>
        <row r="80">
          <cell r="E80">
            <v>-54</v>
          </cell>
        </row>
        <row r="83">
          <cell r="B83">
            <v>4</v>
          </cell>
          <cell r="C83">
            <v>-6</v>
          </cell>
          <cell r="D83">
            <v>1.2</v>
          </cell>
        </row>
        <row r="84">
          <cell r="D84">
            <v>1.5</v>
          </cell>
        </row>
        <row r="85">
          <cell r="E85">
            <v>-43.2</v>
          </cell>
        </row>
        <row r="88">
          <cell r="B88">
            <v>4</v>
          </cell>
          <cell r="C88">
            <v>-5</v>
          </cell>
          <cell r="D88">
            <v>1</v>
          </cell>
        </row>
        <row r="89">
          <cell r="D89">
            <v>1.5</v>
          </cell>
        </row>
        <row r="90">
          <cell r="E90">
            <v>-30</v>
          </cell>
        </row>
        <row r="93">
          <cell r="B93">
            <v>4</v>
          </cell>
          <cell r="C93">
            <v>-4</v>
          </cell>
          <cell r="D93">
            <v>0.6</v>
          </cell>
        </row>
        <row r="94">
          <cell r="D94">
            <v>0.6</v>
          </cell>
        </row>
        <row r="95">
          <cell r="E95">
            <v>-5.76</v>
          </cell>
        </row>
        <row r="97">
          <cell r="B97">
            <v>3</v>
          </cell>
          <cell r="C97">
            <v>1</v>
          </cell>
          <cell r="D97">
            <v>23.08</v>
          </cell>
        </row>
        <row r="98">
          <cell r="D98">
            <v>0.9</v>
          </cell>
        </row>
        <row r="99">
          <cell r="E99">
            <v>62.32</v>
          </cell>
        </row>
        <row r="101">
          <cell r="B101">
            <v>1</v>
          </cell>
          <cell r="C101">
            <v>1</v>
          </cell>
          <cell r="D101">
            <v>7.9099999999999993</v>
          </cell>
        </row>
        <row r="102">
          <cell r="D102">
            <v>2.58</v>
          </cell>
        </row>
        <row r="103">
          <cell r="E103">
            <v>20.41</v>
          </cell>
        </row>
        <row r="104">
          <cell r="B104">
            <v>1</v>
          </cell>
          <cell r="C104">
            <v>1</v>
          </cell>
          <cell r="D104">
            <v>1.2599999999999998</v>
          </cell>
        </row>
        <row r="105">
          <cell r="D105">
            <v>2.58</v>
          </cell>
        </row>
        <row r="106">
          <cell r="E106">
            <v>3.25</v>
          </cell>
        </row>
        <row r="107">
          <cell r="B107">
            <v>1</v>
          </cell>
          <cell r="C107">
            <v>1</v>
          </cell>
          <cell r="D107">
            <v>1.33</v>
          </cell>
        </row>
        <row r="108">
          <cell r="D108">
            <v>2.88</v>
          </cell>
        </row>
        <row r="109">
          <cell r="E109">
            <v>3.83</v>
          </cell>
        </row>
        <row r="110">
          <cell r="B110">
            <v>1</v>
          </cell>
          <cell r="C110">
            <v>1</v>
          </cell>
          <cell r="D110">
            <v>10.119999999999999</v>
          </cell>
        </row>
        <row r="111">
          <cell r="D111">
            <v>2.58</v>
          </cell>
        </row>
        <row r="112">
          <cell r="E112">
            <v>26.11</v>
          </cell>
        </row>
        <row r="113">
          <cell r="B113">
            <v>1</v>
          </cell>
          <cell r="C113">
            <v>1</v>
          </cell>
          <cell r="D113">
            <v>8.6999999999999993</v>
          </cell>
        </row>
        <row r="114">
          <cell r="D114">
            <v>2.58</v>
          </cell>
        </row>
        <row r="115">
          <cell r="E115">
            <v>22.45</v>
          </cell>
        </row>
        <row r="116">
          <cell r="B116">
            <v>1</v>
          </cell>
          <cell r="C116">
            <v>1</v>
          </cell>
          <cell r="D116">
            <v>6.58</v>
          </cell>
        </row>
        <row r="117">
          <cell r="D117">
            <v>2.58</v>
          </cell>
        </row>
        <row r="118">
          <cell r="E118">
            <v>16.98</v>
          </cell>
        </row>
        <row r="119">
          <cell r="B119">
            <v>1</v>
          </cell>
          <cell r="C119">
            <v>1</v>
          </cell>
          <cell r="D119">
            <v>11.520000000000001</v>
          </cell>
        </row>
        <row r="120">
          <cell r="D120">
            <v>2.58</v>
          </cell>
        </row>
        <row r="121">
          <cell r="E121">
            <v>29.72</v>
          </cell>
        </row>
        <row r="122">
          <cell r="B122">
            <v>1</v>
          </cell>
          <cell r="C122">
            <v>1</v>
          </cell>
          <cell r="D122">
            <v>1.7400000000000002</v>
          </cell>
        </row>
        <row r="123">
          <cell r="D123">
            <v>2.88</v>
          </cell>
        </row>
        <row r="124">
          <cell r="E124">
            <v>5.01</v>
          </cell>
        </row>
        <row r="125">
          <cell r="B125">
            <v>1</v>
          </cell>
          <cell r="C125">
            <v>1</v>
          </cell>
          <cell r="D125">
            <v>2.13</v>
          </cell>
        </row>
        <row r="126">
          <cell r="D126">
            <v>2.58</v>
          </cell>
        </row>
        <row r="127">
          <cell r="E127">
            <v>5.5</v>
          </cell>
        </row>
        <row r="128">
          <cell r="B128">
            <v>1</v>
          </cell>
          <cell r="C128">
            <v>1</v>
          </cell>
          <cell r="D128">
            <v>8.52</v>
          </cell>
        </row>
        <row r="129">
          <cell r="D129">
            <v>2.58</v>
          </cell>
        </row>
        <row r="130">
          <cell r="E130">
            <v>21.98</v>
          </cell>
        </row>
        <row r="131">
          <cell r="B131">
            <v>1</v>
          </cell>
          <cell r="C131">
            <v>1</v>
          </cell>
          <cell r="D131">
            <v>1.87</v>
          </cell>
        </row>
        <row r="132">
          <cell r="D132">
            <v>2.88</v>
          </cell>
        </row>
        <row r="133">
          <cell r="E133">
            <v>5.39</v>
          </cell>
        </row>
        <row r="134">
          <cell r="B134">
            <v>1</v>
          </cell>
          <cell r="C134">
            <v>1</v>
          </cell>
          <cell r="D134">
            <v>2.4</v>
          </cell>
        </row>
        <row r="135">
          <cell r="D135">
            <v>2.58</v>
          </cell>
        </row>
        <row r="136">
          <cell r="E136">
            <v>6.19</v>
          </cell>
        </row>
        <row r="137">
          <cell r="B137">
            <v>1</v>
          </cell>
          <cell r="C137">
            <v>1</v>
          </cell>
          <cell r="D137">
            <v>12.58</v>
          </cell>
        </row>
        <row r="138">
          <cell r="D138">
            <v>2.58</v>
          </cell>
        </row>
        <row r="139">
          <cell r="E139">
            <v>32.46</v>
          </cell>
        </row>
        <row r="140">
          <cell r="B140">
            <v>1</v>
          </cell>
          <cell r="C140">
            <v>1</v>
          </cell>
          <cell r="D140">
            <v>4.6399999999999997</v>
          </cell>
        </row>
        <row r="141">
          <cell r="D141">
            <v>2.58</v>
          </cell>
        </row>
        <row r="142">
          <cell r="E142">
            <v>11.97</v>
          </cell>
        </row>
        <row r="143">
          <cell r="B143">
            <v>1</v>
          </cell>
          <cell r="C143">
            <v>2</v>
          </cell>
          <cell r="D143">
            <v>7.2</v>
          </cell>
        </row>
        <row r="144">
          <cell r="D144">
            <v>2.58</v>
          </cell>
        </row>
        <row r="145">
          <cell r="E145">
            <v>37.15</v>
          </cell>
        </row>
        <row r="146">
          <cell r="B146">
            <v>1</v>
          </cell>
          <cell r="C146">
            <v>1</v>
          </cell>
          <cell r="D146">
            <v>1.53</v>
          </cell>
        </row>
        <row r="147">
          <cell r="D147">
            <v>2.88</v>
          </cell>
        </row>
        <row r="148">
          <cell r="E148">
            <v>4.41</v>
          </cell>
        </row>
        <row r="149">
          <cell r="B149">
            <v>1</v>
          </cell>
          <cell r="C149">
            <v>1</v>
          </cell>
          <cell r="D149">
            <v>1.9300000000000002</v>
          </cell>
        </row>
        <row r="150">
          <cell r="D150">
            <v>2.58</v>
          </cell>
        </row>
        <row r="151">
          <cell r="E151">
            <v>4.9800000000000004</v>
          </cell>
        </row>
        <row r="152">
          <cell r="B152">
            <v>1</v>
          </cell>
          <cell r="C152">
            <v>1</v>
          </cell>
          <cell r="D152">
            <v>8.6</v>
          </cell>
        </row>
        <row r="153">
          <cell r="D153">
            <v>2.58</v>
          </cell>
        </row>
        <row r="154">
          <cell r="E154">
            <v>22.19</v>
          </cell>
        </row>
        <row r="156">
          <cell r="B156">
            <v>1</v>
          </cell>
          <cell r="C156">
            <v>-6</v>
          </cell>
          <cell r="D156">
            <v>1.5</v>
          </cell>
        </row>
        <row r="157">
          <cell r="D157">
            <v>1.5</v>
          </cell>
        </row>
        <row r="158">
          <cell r="E158">
            <v>-13.5</v>
          </cell>
        </row>
        <row r="161">
          <cell r="B161">
            <v>1</v>
          </cell>
          <cell r="C161">
            <v>-6</v>
          </cell>
          <cell r="D161">
            <v>1.2</v>
          </cell>
        </row>
        <row r="162">
          <cell r="D162">
            <v>1.5</v>
          </cell>
        </row>
        <row r="163">
          <cell r="E163">
            <v>-10.8</v>
          </cell>
        </row>
        <row r="166">
          <cell r="B166">
            <v>1</v>
          </cell>
          <cell r="C166">
            <v>-5</v>
          </cell>
          <cell r="D166">
            <v>1</v>
          </cell>
        </row>
        <row r="167">
          <cell r="D167">
            <v>1.5</v>
          </cell>
        </row>
        <row r="168">
          <cell r="E168">
            <v>-7.5</v>
          </cell>
        </row>
        <row r="171">
          <cell r="B171">
            <v>1</v>
          </cell>
          <cell r="C171">
            <v>-4</v>
          </cell>
          <cell r="D171">
            <v>0.6</v>
          </cell>
        </row>
        <row r="172">
          <cell r="D172">
            <v>0.6</v>
          </cell>
        </row>
        <row r="173">
          <cell r="E173">
            <v>-1.44</v>
          </cell>
        </row>
        <row r="175">
          <cell r="B175">
            <v>1</v>
          </cell>
          <cell r="C175">
            <v>1</v>
          </cell>
          <cell r="D175">
            <v>23.08</v>
          </cell>
        </row>
        <row r="176">
          <cell r="D176">
            <v>0.9</v>
          </cell>
        </row>
        <row r="177">
          <cell r="E177">
            <v>20.77</v>
          </cell>
        </row>
        <row r="178">
          <cell r="A178" t="str">
            <v>B2.1</v>
          </cell>
          <cell r="E178">
            <v>1257.7400000000005</v>
          </cell>
        </row>
        <row r="182">
          <cell r="B182">
            <v>4</v>
          </cell>
          <cell r="C182">
            <v>1</v>
          </cell>
          <cell r="D182">
            <v>6.19</v>
          </cell>
        </row>
        <row r="183">
          <cell r="D183">
            <v>2.6</v>
          </cell>
        </row>
        <row r="184">
          <cell r="E184">
            <v>64.38</v>
          </cell>
        </row>
        <row r="186">
          <cell r="B186">
            <v>4</v>
          </cell>
          <cell r="C186">
            <v>1</v>
          </cell>
          <cell r="D186">
            <v>3.05</v>
          </cell>
        </row>
        <row r="187">
          <cell r="D187">
            <v>2.6</v>
          </cell>
        </row>
        <row r="188">
          <cell r="E188">
            <v>31.72</v>
          </cell>
        </row>
        <row r="189">
          <cell r="B189">
            <v>4</v>
          </cell>
          <cell r="C189">
            <v>1</v>
          </cell>
          <cell r="D189">
            <v>3.57</v>
          </cell>
        </row>
        <row r="190">
          <cell r="D190">
            <v>2.6</v>
          </cell>
        </row>
        <row r="191">
          <cell r="E191">
            <v>37.130000000000003</v>
          </cell>
        </row>
        <row r="192">
          <cell r="B192">
            <v>4</v>
          </cell>
          <cell r="C192">
            <v>1</v>
          </cell>
          <cell r="D192">
            <v>3.34</v>
          </cell>
        </row>
        <row r="193">
          <cell r="D193">
            <v>2.4</v>
          </cell>
        </row>
        <row r="194">
          <cell r="E194">
            <v>32.06</v>
          </cell>
        </row>
        <row r="195">
          <cell r="B195">
            <v>4</v>
          </cell>
          <cell r="C195">
            <v>1</v>
          </cell>
          <cell r="D195">
            <v>2.96</v>
          </cell>
        </row>
        <row r="196">
          <cell r="D196">
            <v>2.6</v>
          </cell>
        </row>
        <row r="197">
          <cell r="E197">
            <v>30.78</v>
          </cell>
        </row>
        <row r="199">
          <cell r="B199">
            <v>1</v>
          </cell>
          <cell r="C199">
            <v>1</v>
          </cell>
          <cell r="D199">
            <v>17.710000000000004</v>
          </cell>
        </row>
        <row r="200">
          <cell r="D200">
            <v>2.88</v>
          </cell>
        </row>
        <row r="201">
          <cell r="E201">
            <v>51</v>
          </cell>
        </row>
        <row r="203">
          <cell r="B203">
            <v>1</v>
          </cell>
          <cell r="C203">
            <v>1</v>
          </cell>
          <cell r="D203">
            <v>2.4500000000000002</v>
          </cell>
        </row>
        <row r="204">
          <cell r="D204">
            <v>2.58</v>
          </cell>
        </row>
        <row r="205">
          <cell r="E205">
            <v>6.32</v>
          </cell>
        </row>
        <row r="206">
          <cell r="B206">
            <v>1</v>
          </cell>
          <cell r="C206">
            <v>1</v>
          </cell>
          <cell r="D206">
            <v>10.23</v>
          </cell>
        </row>
        <row r="207">
          <cell r="D207">
            <v>2.88</v>
          </cell>
        </row>
        <row r="208">
          <cell r="E208">
            <v>29.46</v>
          </cell>
        </row>
        <row r="209">
          <cell r="B209">
            <v>1</v>
          </cell>
          <cell r="C209">
            <v>1</v>
          </cell>
          <cell r="D209">
            <v>17.02</v>
          </cell>
        </row>
        <row r="210">
          <cell r="D210">
            <v>2.88</v>
          </cell>
        </row>
        <row r="211">
          <cell r="E211">
            <v>49.02</v>
          </cell>
        </row>
        <row r="212">
          <cell r="B212">
            <v>1</v>
          </cell>
          <cell r="C212">
            <v>1</v>
          </cell>
          <cell r="D212">
            <v>3.34</v>
          </cell>
        </row>
        <row r="213">
          <cell r="D213">
            <v>2.58</v>
          </cell>
        </row>
        <row r="214">
          <cell r="E214">
            <v>8.6199999999999992</v>
          </cell>
        </row>
        <row r="215">
          <cell r="B215">
            <v>1</v>
          </cell>
          <cell r="C215">
            <v>1</v>
          </cell>
          <cell r="D215">
            <v>9.91</v>
          </cell>
        </row>
        <row r="216">
          <cell r="D216">
            <v>2.88</v>
          </cell>
        </row>
        <row r="217">
          <cell r="E217">
            <v>28.54</v>
          </cell>
        </row>
        <row r="218">
          <cell r="A218" t="str">
            <v>B2.3</v>
          </cell>
          <cell r="E218">
            <v>369.03</v>
          </cell>
        </row>
        <row r="220">
          <cell r="B220">
            <v>4</v>
          </cell>
          <cell r="C220">
            <v>1</v>
          </cell>
          <cell r="D220">
            <v>4.26</v>
          </cell>
        </row>
        <row r="221">
          <cell r="D221">
            <v>2.6</v>
          </cell>
        </row>
        <row r="222">
          <cell r="E222">
            <v>44.304000000000002</v>
          </cell>
        </row>
        <row r="223">
          <cell r="B223">
            <v>4</v>
          </cell>
          <cell r="C223">
            <v>1</v>
          </cell>
          <cell r="D223">
            <v>3.39</v>
          </cell>
        </row>
        <row r="224">
          <cell r="D224">
            <v>2.6</v>
          </cell>
        </row>
        <row r="225">
          <cell r="E225">
            <v>35.256</v>
          </cell>
        </row>
        <row r="226">
          <cell r="B226">
            <v>4</v>
          </cell>
          <cell r="C226">
            <v>1</v>
          </cell>
          <cell r="D226">
            <v>3.22</v>
          </cell>
        </row>
        <row r="227">
          <cell r="D227">
            <v>2.4</v>
          </cell>
        </row>
        <row r="228">
          <cell r="E228">
            <v>30.911999999999999</v>
          </cell>
        </row>
        <row r="230">
          <cell r="B230">
            <v>4</v>
          </cell>
          <cell r="C230">
            <v>1</v>
          </cell>
          <cell r="D230">
            <v>2.94</v>
          </cell>
        </row>
        <row r="231">
          <cell r="D231">
            <v>2.6</v>
          </cell>
        </row>
        <row r="232">
          <cell r="E232">
            <v>30.576000000000001</v>
          </cell>
        </row>
        <row r="233">
          <cell r="B233">
            <v>4</v>
          </cell>
          <cell r="C233">
            <v>1</v>
          </cell>
          <cell r="D233">
            <v>7.18</v>
          </cell>
        </row>
        <row r="234">
          <cell r="D234">
            <v>2.6</v>
          </cell>
        </row>
        <row r="235">
          <cell r="E235">
            <v>74.671999999999997</v>
          </cell>
        </row>
        <row r="236">
          <cell r="B236">
            <v>4</v>
          </cell>
          <cell r="C236">
            <v>1</v>
          </cell>
          <cell r="D236">
            <v>0.85</v>
          </cell>
        </row>
        <row r="237">
          <cell r="D237">
            <v>2.6</v>
          </cell>
        </row>
        <row r="238">
          <cell r="E238">
            <v>8.84</v>
          </cell>
        </row>
        <row r="239">
          <cell r="B239">
            <v>4</v>
          </cell>
          <cell r="C239">
            <v>1</v>
          </cell>
          <cell r="D239">
            <v>13.450000000000001</v>
          </cell>
        </row>
        <row r="240">
          <cell r="D240">
            <v>2.6</v>
          </cell>
        </row>
        <row r="241">
          <cell r="E241">
            <v>139.88000000000002</v>
          </cell>
        </row>
        <row r="243">
          <cell r="B243">
            <v>4</v>
          </cell>
          <cell r="C243">
            <v>1</v>
          </cell>
          <cell r="D243">
            <v>4.4000000000000004</v>
          </cell>
        </row>
        <row r="244">
          <cell r="D244">
            <v>2.6</v>
          </cell>
        </row>
        <row r="245">
          <cell r="E245">
            <v>45.760000000000005</v>
          </cell>
        </row>
        <row r="247">
          <cell r="E247">
            <v>410.20000000000005</v>
          </cell>
        </row>
        <row r="251">
          <cell r="B251">
            <v>1</v>
          </cell>
          <cell r="C251">
            <v>1</v>
          </cell>
          <cell r="D251">
            <v>15.54</v>
          </cell>
        </row>
        <row r="252">
          <cell r="D252">
            <v>10.31</v>
          </cell>
        </row>
        <row r="253">
          <cell r="E253">
            <v>160.22</v>
          </cell>
        </row>
        <row r="254">
          <cell r="B254">
            <v>1</v>
          </cell>
          <cell r="C254">
            <v>2</v>
          </cell>
          <cell r="D254">
            <v>6.45</v>
          </cell>
        </row>
        <row r="255">
          <cell r="D255">
            <v>1.33</v>
          </cell>
        </row>
        <row r="256">
          <cell r="E256">
            <v>17.16</v>
          </cell>
        </row>
        <row r="257">
          <cell r="B257">
            <v>1</v>
          </cell>
          <cell r="C257">
            <v>1</v>
          </cell>
          <cell r="D257">
            <v>4.4000000000000004</v>
          </cell>
        </row>
        <row r="258">
          <cell r="D258">
            <v>2.7320000000000002</v>
          </cell>
        </row>
        <row r="259">
          <cell r="E259">
            <v>12.02</v>
          </cell>
        </row>
        <row r="260">
          <cell r="D260">
            <v>15.84</v>
          </cell>
        </row>
        <row r="261">
          <cell r="D261">
            <v>10.85</v>
          </cell>
        </row>
        <row r="262">
          <cell r="E262">
            <v>171.86</v>
          </cell>
        </row>
        <row r="264">
          <cell r="E264">
            <v>361.26</v>
          </cell>
        </row>
        <row r="266">
          <cell r="B266">
            <v>1</v>
          </cell>
          <cell r="C266">
            <v>2</v>
          </cell>
          <cell r="D266">
            <v>20.14</v>
          </cell>
          <cell r="E266">
            <v>40.28</v>
          </cell>
        </row>
        <row r="267">
          <cell r="B267">
            <v>1</v>
          </cell>
          <cell r="C267">
            <v>2</v>
          </cell>
          <cell r="D267">
            <v>26.15</v>
          </cell>
          <cell r="E267">
            <v>52.3</v>
          </cell>
        </row>
        <row r="268">
          <cell r="B268">
            <v>1</v>
          </cell>
          <cell r="C268">
            <v>4</v>
          </cell>
          <cell r="D268">
            <v>1.33</v>
          </cell>
          <cell r="E268">
            <v>5.32</v>
          </cell>
        </row>
        <row r="269">
          <cell r="E269">
            <v>97.9</v>
          </cell>
        </row>
        <row r="277">
          <cell r="B277">
            <v>5</v>
          </cell>
          <cell r="C277">
            <v>12</v>
          </cell>
          <cell r="D277">
            <v>1</v>
          </cell>
          <cell r="E277">
            <v>60</v>
          </cell>
        </row>
        <row r="278">
          <cell r="B278">
            <v>5</v>
          </cell>
          <cell r="C278">
            <v>4</v>
          </cell>
          <cell r="D278">
            <v>1</v>
          </cell>
          <cell r="E278">
            <v>20</v>
          </cell>
        </row>
        <row r="284">
          <cell r="B284">
            <v>5</v>
          </cell>
          <cell r="C284">
            <v>3</v>
          </cell>
          <cell r="D284">
            <v>1</v>
          </cell>
          <cell r="E284">
            <v>15</v>
          </cell>
        </row>
        <row r="285">
          <cell r="B285">
            <v>5</v>
          </cell>
          <cell r="C285">
            <v>1</v>
          </cell>
          <cell r="D285">
            <v>1</v>
          </cell>
          <cell r="E285">
            <v>5</v>
          </cell>
        </row>
        <row r="286">
          <cell r="B286">
            <v>5</v>
          </cell>
          <cell r="C286">
            <v>2</v>
          </cell>
          <cell r="D286">
            <v>1</v>
          </cell>
          <cell r="E286">
            <v>10</v>
          </cell>
        </row>
        <row r="289">
          <cell r="B289">
            <v>5</v>
          </cell>
          <cell r="C289">
            <v>3</v>
          </cell>
          <cell r="D289">
            <v>1</v>
          </cell>
          <cell r="E289">
            <v>15</v>
          </cell>
        </row>
        <row r="290">
          <cell r="B290">
            <v>5</v>
          </cell>
          <cell r="C290">
            <v>6</v>
          </cell>
          <cell r="D290">
            <v>1</v>
          </cell>
          <cell r="E290">
            <v>30</v>
          </cell>
        </row>
        <row r="291">
          <cell r="B291">
            <v>5</v>
          </cell>
          <cell r="C291">
            <v>5</v>
          </cell>
          <cell r="D291">
            <v>1</v>
          </cell>
          <cell r="E291">
            <v>25</v>
          </cell>
        </row>
        <row r="292">
          <cell r="B292">
            <v>5</v>
          </cell>
          <cell r="C292">
            <v>4</v>
          </cell>
          <cell r="D292">
            <v>1</v>
          </cell>
          <cell r="E292">
            <v>20</v>
          </cell>
        </row>
        <row r="294">
          <cell r="B294">
            <v>5</v>
          </cell>
          <cell r="C294">
            <v>2</v>
          </cell>
          <cell r="D294">
            <v>1</v>
          </cell>
          <cell r="E294">
            <v>10</v>
          </cell>
        </row>
        <row r="295">
          <cell r="B295">
            <v>5</v>
          </cell>
          <cell r="C295">
            <v>1</v>
          </cell>
          <cell r="D295">
            <v>2.96</v>
          </cell>
        </row>
        <row r="296">
          <cell r="D296">
            <v>0.9</v>
          </cell>
        </row>
        <row r="297">
          <cell r="E297">
            <v>13.32</v>
          </cell>
        </row>
        <row r="300">
          <cell r="B300">
            <v>4</v>
          </cell>
          <cell r="C300">
            <v>-2</v>
          </cell>
          <cell r="D300">
            <v>2</v>
          </cell>
        </row>
        <row r="301">
          <cell r="D301">
            <v>1.5</v>
          </cell>
        </row>
        <row r="302">
          <cell r="E302">
            <v>-24</v>
          </cell>
        </row>
        <row r="303">
          <cell r="D303">
            <v>200.48</v>
          </cell>
        </row>
        <row r="304">
          <cell r="E304">
            <v>0.4</v>
          </cell>
        </row>
        <row r="305">
          <cell r="E305">
            <v>0.48</v>
          </cell>
        </row>
        <row r="306">
          <cell r="D306">
            <v>762.04</v>
          </cell>
        </row>
        <row r="307">
          <cell r="D307">
            <v>161.88999999999999</v>
          </cell>
          <cell r="E307">
            <v>0.05</v>
          </cell>
        </row>
        <row r="308">
          <cell r="E308">
            <v>0.48</v>
          </cell>
        </row>
        <row r="310">
          <cell r="E310">
            <v>0.25</v>
          </cell>
        </row>
        <row r="311">
          <cell r="E311">
            <v>0.48</v>
          </cell>
        </row>
        <row r="312">
          <cell r="D312">
            <v>36</v>
          </cell>
        </row>
        <row r="319">
          <cell r="E319">
            <v>11.37</v>
          </cell>
        </row>
        <row r="320">
          <cell r="D320">
            <v>16</v>
          </cell>
          <cell r="E320">
            <v>0.2</v>
          </cell>
        </row>
        <row r="321">
          <cell r="D321">
            <v>16</v>
          </cell>
        </row>
        <row r="323">
          <cell r="E323">
            <v>3.84</v>
          </cell>
        </row>
        <row r="324">
          <cell r="D324">
            <v>72</v>
          </cell>
          <cell r="E324">
            <v>0.2</v>
          </cell>
        </row>
        <row r="327">
          <cell r="E327">
            <v>7.5299999999999994</v>
          </cell>
        </row>
        <row r="328">
          <cell r="E328">
            <v>0.2</v>
          </cell>
        </row>
        <row r="330">
          <cell r="D330">
            <v>1818.4</v>
          </cell>
        </row>
        <row r="331">
          <cell r="E331">
            <v>7.5299999999999994</v>
          </cell>
        </row>
        <row r="335">
          <cell r="B335">
            <v>4</v>
          </cell>
          <cell r="C335">
            <v>1</v>
          </cell>
          <cell r="D335">
            <v>15.879999999999999</v>
          </cell>
        </row>
        <row r="336">
          <cell r="D336">
            <v>2.6</v>
          </cell>
        </row>
        <row r="337">
          <cell r="E337">
            <v>165.15199999999999</v>
          </cell>
        </row>
        <row r="338">
          <cell r="B338">
            <v>4</v>
          </cell>
          <cell r="C338">
            <v>1</v>
          </cell>
          <cell r="D338">
            <v>25.779000000000003</v>
          </cell>
        </row>
        <row r="339">
          <cell r="D339">
            <v>2.6</v>
          </cell>
        </row>
        <row r="340">
          <cell r="E340">
            <v>268.10160000000002</v>
          </cell>
        </row>
        <row r="341">
          <cell r="B341">
            <v>4</v>
          </cell>
          <cell r="C341">
            <v>1</v>
          </cell>
          <cell r="D341">
            <v>14.199999999999998</v>
          </cell>
        </row>
        <row r="342">
          <cell r="D342">
            <v>2.6</v>
          </cell>
        </row>
        <row r="343">
          <cell r="E343">
            <v>147.67999999999998</v>
          </cell>
        </row>
        <row r="344">
          <cell r="B344">
            <v>4</v>
          </cell>
          <cell r="C344">
            <v>1</v>
          </cell>
          <cell r="D344">
            <v>14.199999999999998</v>
          </cell>
        </row>
        <row r="345">
          <cell r="D345">
            <v>2.6</v>
          </cell>
        </row>
        <row r="346">
          <cell r="E346">
            <v>147.67999999999998</v>
          </cell>
        </row>
        <row r="347">
          <cell r="B347">
            <v>4</v>
          </cell>
          <cell r="C347">
            <v>1</v>
          </cell>
          <cell r="D347">
            <v>2.06</v>
          </cell>
        </row>
        <row r="348">
          <cell r="D348">
            <v>2.6</v>
          </cell>
        </row>
        <row r="349">
          <cell r="E349">
            <v>21.424000000000003</v>
          </cell>
        </row>
        <row r="350">
          <cell r="B350">
            <v>4</v>
          </cell>
          <cell r="C350">
            <v>1</v>
          </cell>
          <cell r="D350">
            <v>8.6</v>
          </cell>
        </row>
        <row r="351">
          <cell r="D351">
            <v>2.6</v>
          </cell>
        </row>
        <row r="352">
          <cell r="E352">
            <v>89.44</v>
          </cell>
        </row>
        <row r="353">
          <cell r="B353">
            <v>4</v>
          </cell>
          <cell r="C353">
            <v>4</v>
          </cell>
          <cell r="D353">
            <v>7.6999999999999993</v>
          </cell>
        </row>
        <row r="354">
          <cell r="D354">
            <v>2.6</v>
          </cell>
        </row>
        <row r="355">
          <cell r="E355">
            <v>320.32</v>
          </cell>
        </row>
        <row r="356">
          <cell r="B356">
            <v>4</v>
          </cell>
          <cell r="C356">
            <v>2</v>
          </cell>
          <cell r="D356">
            <v>3.8500000000000005</v>
          </cell>
        </row>
        <row r="357">
          <cell r="D357">
            <v>2.6</v>
          </cell>
        </row>
        <row r="358">
          <cell r="E358">
            <v>80.080000000000013</v>
          </cell>
        </row>
        <row r="359">
          <cell r="B359">
            <v>4</v>
          </cell>
          <cell r="C359">
            <v>1</v>
          </cell>
          <cell r="D359">
            <v>38.220000000000013</v>
          </cell>
        </row>
        <row r="360">
          <cell r="D360">
            <v>2.6</v>
          </cell>
        </row>
        <row r="361">
          <cell r="E361">
            <v>397.48800000000017</v>
          </cell>
        </row>
        <row r="362">
          <cell r="B362">
            <v>4</v>
          </cell>
          <cell r="C362">
            <v>1</v>
          </cell>
          <cell r="D362">
            <v>6.58</v>
          </cell>
        </row>
        <row r="363">
          <cell r="D363">
            <v>2.6</v>
          </cell>
        </row>
        <row r="364">
          <cell r="E364">
            <v>68.432000000000002</v>
          </cell>
        </row>
        <row r="365">
          <cell r="B365">
            <v>4</v>
          </cell>
          <cell r="C365">
            <v>1</v>
          </cell>
          <cell r="D365">
            <v>18.560000000000002</v>
          </cell>
        </row>
        <row r="366">
          <cell r="D366">
            <v>2.6</v>
          </cell>
        </row>
        <row r="367">
          <cell r="E367">
            <v>193.02400000000003</v>
          </cell>
        </row>
        <row r="370">
          <cell r="B370">
            <v>4</v>
          </cell>
          <cell r="C370">
            <v>-3</v>
          </cell>
          <cell r="D370">
            <v>1.2</v>
          </cell>
        </row>
        <row r="371">
          <cell r="D371">
            <v>1.5</v>
          </cell>
        </row>
        <row r="372">
          <cell r="E372">
            <v>-21.599999999999998</v>
          </cell>
        </row>
        <row r="373">
          <cell r="B373">
            <v>4</v>
          </cell>
          <cell r="C373">
            <v>-4</v>
          </cell>
          <cell r="D373">
            <v>1</v>
          </cell>
        </row>
        <row r="374">
          <cell r="D374">
            <v>1.5</v>
          </cell>
        </row>
        <row r="375">
          <cell r="E375">
            <v>-24</v>
          </cell>
        </row>
        <row r="376">
          <cell r="B376">
            <v>4</v>
          </cell>
          <cell r="C376">
            <v>-3</v>
          </cell>
          <cell r="D376">
            <v>0.6</v>
          </cell>
        </row>
        <row r="377">
          <cell r="D377">
            <v>0.5</v>
          </cell>
        </row>
        <row r="378">
          <cell r="E378">
            <v>-3.5999999999999996</v>
          </cell>
        </row>
        <row r="379">
          <cell r="B379">
            <v>4</v>
          </cell>
          <cell r="C379">
            <v>-2</v>
          </cell>
          <cell r="D379">
            <v>2</v>
          </cell>
        </row>
        <row r="380">
          <cell r="D380">
            <v>1.5</v>
          </cell>
        </row>
        <row r="381">
          <cell r="E381">
            <v>-24</v>
          </cell>
        </row>
        <row r="382">
          <cell r="B382">
            <v>8</v>
          </cell>
          <cell r="C382">
            <v>-3</v>
          </cell>
          <cell r="D382">
            <v>1.5</v>
          </cell>
        </row>
        <row r="383">
          <cell r="D383">
            <v>1.5</v>
          </cell>
        </row>
        <row r="384">
          <cell r="E384">
            <v>-54</v>
          </cell>
        </row>
        <row r="385">
          <cell r="B385">
            <v>8</v>
          </cell>
          <cell r="C385">
            <v>-3</v>
          </cell>
          <cell r="D385">
            <v>1.2</v>
          </cell>
        </row>
        <row r="386">
          <cell r="D386">
            <v>1.5</v>
          </cell>
        </row>
        <row r="387">
          <cell r="E387">
            <v>-43.199999999999996</v>
          </cell>
        </row>
        <row r="388">
          <cell r="B388">
            <v>8</v>
          </cell>
          <cell r="C388">
            <v>-2</v>
          </cell>
          <cell r="D388">
            <v>1</v>
          </cell>
        </row>
        <row r="389">
          <cell r="D389">
            <v>1.5</v>
          </cell>
        </row>
        <row r="390">
          <cell r="E390">
            <v>-24</v>
          </cell>
        </row>
        <row r="391">
          <cell r="B391">
            <v>8</v>
          </cell>
          <cell r="C391">
            <v>-1</v>
          </cell>
          <cell r="D391">
            <v>0.6</v>
          </cell>
        </row>
        <row r="392">
          <cell r="D392">
            <v>0.5</v>
          </cell>
        </row>
        <row r="393">
          <cell r="E393">
            <v>-2.4</v>
          </cell>
        </row>
        <row r="394">
          <cell r="B394">
            <v>4</v>
          </cell>
          <cell r="C394">
            <v>17</v>
          </cell>
          <cell r="D394">
            <v>0.4</v>
          </cell>
        </row>
        <row r="395">
          <cell r="D395">
            <v>2.6</v>
          </cell>
        </row>
        <row r="396">
          <cell r="E396">
            <v>70.720000000000013</v>
          </cell>
        </row>
        <row r="397">
          <cell r="B397">
            <v>4</v>
          </cell>
          <cell r="C397">
            <v>2</v>
          </cell>
          <cell r="D397">
            <v>0.3</v>
          </cell>
        </row>
        <row r="398">
          <cell r="D398">
            <v>2.6</v>
          </cell>
        </row>
        <row r="399">
          <cell r="E399">
            <v>6.24</v>
          </cell>
        </row>
        <row r="400">
          <cell r="B400">
            <v>4</v>
          </cell>
          <cell r="C400">
            <v>9</v>
          </cell>
          <cell r="D400">
            <v>0.25</v>
          </cell>
        </row>
        <row r="401">
          <cell r="D401">
            <v>2.6</v>
          </cell>
        </row>
        <row r="402">
          <cell r="E402">
            <v>23.400000000000002</v>
          </cell>
        </row>
        <row r="403">
          <cell r="B403">
            <v>4</v>
          </cell>
          <cell r="C403">
            <v>19</v>
          </cell>
          <cell r="D403">
            <v>0.2</v>
          </cell>
        </row>
        <row r="404">
          <cell r="D404">
            <v>2.6</v>
          </cell>
        </row>
        <row r="405">
          <cell r="E405">
            <v>39.520000000000003</v>
          </cell>
        </row>
        <row r="406">
          <cell r="B406">
            <v>4</v>
          </cell>
          <cell r="C406">
            <v>6</v>
          </cell>
          <cell r="D406">
            <v>0.15</v>
          </cell>
        </row>
        <row r="407">
          <cell r="D407">
            <v>2.6</v>
          </cell>
        </row>
        <row r="408">
          <cell r="E408">
            <v>9.36</v>
          </cell>
        </row>
        <row r="409">
          <cell r="B409">
            <v>4</v>
          </cell>
          <cell r="C409">
            <v>27</v>
          </cell>
          <cell r="D409">
            <v>0.05</v>
          </cell>
        </row>
        <row r="410">
          <cell r="D410">
            <v>2.6</v>
          </cell>
        </row>
        <row r="411">
          <cell r="E411">
            <v>14.040000000000001</v>
          </cell>
        </row>
        <row r="412">
          <cell r="B412">
            <v>4</v>
          </cell>
          <cell r="C412">
            <v>1</v>
          </cell>
          <cell r="D412">
            <v>73.200000000000017</v>
          </cell>
        </row>
        <row r="413">
          <cell r="D413">
            <v>0.2</v>
          </cell>
        </row>
        <row r="414">
          <cell r="E414">
            <v>58.560000000000016</v>
          </cell>
        </row>
        <row r="415">
          <cell r="B415">
            <v>1</v>
          </cell>
          <cell r="C415">
            <v>2</v>
          </cell>
          <cell r="D415">
            <v>1</v>
          </cell>
          <cell r="E415" t="e">
            <v>#REF!</v>
          </cell>
        </row>
        <row r="416">
          <cell r="B416">
            <v>1</v>
          </cell>
          <cell r="C416">
            <v>1</v>
          </cell>
          <cell r="D416">
            <v>1</v>
          </cell>
          <cell r="E416" t="e">
            <v>#REF!</v>
          </cell>
        </row>
        <row r="420">
          <cell r="B420">
            <v>4</v>
          </cell>
          <cell r="C420">
            <v>4</v>
          </cell>
          <cell r="D420">
            <v>0.1</v>
          </cell>
        </row>
        <row r="421">
          <cell r="D421">
            <v>2.6</v>
          </cell>
        </row>
        <row r="422">
          <cell r="E422">
            <v>4.16</v>
          </cell>
        </row>
        <row r="423">
          <cell r="B423">
            <v>4</v>
          </cell>
          <cell r="C423">
            <v>1</v>
          </cell>
          <cell r="D423">
            <v>52</v>
          </cell>
        </row>
        <row r="424">
          <cell r="D424">
            <v>0.2</v>
          </cell>
        </row>
        <row r="425">
          <cell r="E425">
            <v>41.6</v>
          </cell>
        </row>
        <row r="426">
          <cell r="B426">
            <v>1</v>
          </cell>
          <cell r="C426">
            <v>1</v>
          </cell>
          <cell r="D426">
            <v>1</v>
          </cell>
          <cell r="E426">
            <v>-202.875</v>
          </cell>
        </row>
        <row r="431">
          <cell r="B431">
            <v>1</v>
          </cell>
          <cell r="C431">
            <v>1</v>
          </cell>
          <cell r="D431">
            <v>15.879999999999999</v>
          </cell>
        </row>
        <row r="432">
          <cell r="D432">
            <v>2.88</v>
          </cell>
        </row>
        <row r="433">
          <cell r="E433">
            <v>45.734399999999994</v>
          </cell>
        </row>
        <row r="434">
          <cell r="B434">
            <v>1</v>
          </cell>
          <cell r="C434">
            <v>1</v>
          </cell>
          <cell r="D434">
            <v>25.779000000000003</v>
          </cell>
        </row>
        <row r="435">
          <cell r="D435">
            <v>2.88</v>
          </cell>
        </row>
        <row r="436">
          <cell r="E436">
            <v>74.243520000000004</v>
          </cell>
        </row>
        <row r="437">
          <cell r="B437">
            <v>1</v>
          </cell>
          <cell r="C437">
            <v>1</v>
          </cell>
          <cell r="D437">
            <v>14.199999999999998</v>
          </cell>
        </row>
        <row r="438">
          <cell r="D438">
            <v>2.88</v>
          </cell>
        </row>
        <row r="439">
          <cell r="E439">
            <v>40.895999999999994</v>
          </cell>
        </row>
        <row r="440">
          <cell r="B440">
            <v>1</v>
          </cell>
          <cell r="C440">
            <v>1</v>
          </cell>
          <cell r="D440">
            <v>14.199999999999998</v>
          </cell>
        </row>
        <row r="441">
          <cell r="D441">
            <v>2.88</v>
          </cell>
        </row>
        <row r="442">
          <cell r="E442">
            <v>40.895999999999994</v>
          </cell>
        </row>
        <row r="443">
          <cell r="B443">
            <v>1</v>
          </cell>
          <cell r="C443">
            <v>1</v>
          </cell>
          <cell r="D443">
            <v>2.06</v>
          </cell>
        </row>
        <row r="444">
          <cell r="D444">
            <v>2.88</v>
          </cell>
        </row>
        <row r="445">
          <cell r="E445">
            <v>5.9328000000000003</v>
          </cell>
        </row>
        <row r="446">
          <cell r="B446">
            <v>1</v>
          </cell>
          <cell r="C446">
            <v>1</v>
          </cell>
          <cell r="D446">
            <v>8.6</v>
          </cell>
        </row>
        <row r="447">
          <cell r="D447">
            <v>2.88</v>
          </cell>
        </row>
        <row r="448">
          <cell r="E448">
            <v>24.767999999999997</v>
          </cell>
        </row>
        <row r="449">
          <cell r="B449">
            <v>1</v>
          </cell>
          <cell r="C449">
            <v>4</v>
          </cell>
          <cell r="D449">
            <v>7.6999999999999993</v>
          </cell>
        </row>
        <row r="450">
          <cell r="D450">
            <v>2.88</v>
          </cell>
        </row>
        <row r="451">
          <cell r="E451">
            <v>88.703999999999994</v>
          </cell>
        </row>
        <row r="452">
          <cell r="B452">
            <v>1</v>
          </cell>
          <cell r="C452">
            <v>2</v>
          </cell>
          <cell r="D452">
            <v>3.8500000000000005</v>
          </cell>
        </row>
        <row r="453">
          <cell r="D453">
            <v>2.88</v>
          </cell>
        </row>
        <row r="454">
          <cell r="E454">
            <v>22.176000000000002</v>
          </cell>
        </row>
        <row r="455">
          <cell r="B455">
            <v>1</v>
          </cell>
          <cell r="C455">
            <v>1</v>
          </cell>
          <cell r="D455">
            <v>38.220000000000013</v>
          </cell>
        </row>
        <row r="456">
          <cell r="D456">
            <v>2.88</v>
          </cell>
        </row>
        <row r="457">
          <cell r="E457">
            <v>110.07360000000003</v>
          </cell>
        </row>
        <row r="458">
          <cell r="B458">
            <v>1</v>
          </cell>
          <cell r="C458">
            <v>1</v>
          </cell>
          <cell r="D458">
            <v>6.58</v>
          </cell>
        </row>
        <row r="459">
          <cell r="D459">
            <v>2.88</v>
          </cell>
        </row>
        <row r="460">
          <cell r="E460">
            <v>18.950399999999998</v>
          </cell>
        </row>
        <row r="461">
          <cell r="B461">
            <v>1</v>
          </cell>
          <cell r="C461">
            <v>1</v>
          </cell>
          <cell r="D461">
            <v>18.560000000000002</v>
          </cell>
        </row>
        <row r="462">
          <cell r="D462">
            <v>2.88</v>
          </cell>
        </row>
        <row r="463">
          <cell r="E463">
            <v>53.452800000000003</v>
          </cell>
        </row>
        <row r="466">
          <cell r="B466">
            <v>1</v>
          </cell>
          <cell r="C466">
            <v>-3</v>
          </cell>
          <cell r="D466">
            <v>1.2</v>
          </cell>
        </row>
        <row r="467">
          <cell r="D467">
            <v>1.5</v>
          </cell>
        </row>
        <row r="468">
          <cell r="E468">
            <v>-5.3999999999999995</v>
          </cell>
        </row>
        <row r="469">
          <cell r="B469">
            <v>1</v>
          </cell>
          <cell r="C469">
            <v>-4</v>
          </cell>
          <cell r="D469">
            <v>1</v>
          </cell>
        </row>
        <row r="470">
          <cell r="D470">
            <v>1.5</v>
          </cell>
        </row>
        <row r="471">
          <cell r="E471">
            <v>-6</v>
          </cell>
        </row>
        <row r="472">
          <cell r="B472">
            <v>1</v>
          </cell>
          <cell r="C472">
            <v>-3</v>
          </cell>
          <cell r="D472">
            <v>0.6</v>
          </cell>
        </row>
        <row r="473">
          <cell r="D473">
            <v>0.5</v>
          </cell>
        </row>
        <row r="474">
          <cell r="E474">
            <v>-0.89999999999999991</v>
          </cell>
        </row>
        <row r="475">
          <cell r="B475">
            <v>1</v>
          </cell>
          <cell r="C475">
            <v>-2</v>
          </cell>
          <cell r="D475">
            <v>2</v>
          </cell>
        </row>
        <row r="476">
          <cell r="D476">
            <v>1.5</v>
          </cell>
        </row>
        <row r="477">
          <cell r="E477">
            <v>-6</v>
          </cell>
        </row>
        <row r="478">
          <cell r="B478">
            <v>2</v>
          </cell>
          <cell r="C478">
            <v>-3</v>
          </cell>
          <cell r="D478">
            <v>1.5</v>
          </cell>
        </row>
        <row r="479">
          <cell r="D479">
            <v>1.5</v>
          </cell>
        </row>
        <row r="480">
          <cell r="E480">
            <v>-13.5</v>
          </cell>
        </row>
        <row r="481">
          <cell r="B481">
            <v>2</v>
          </cell>
          <cell r="C481">
            <v>-3</v>
          </cell>
          <cell r="D481">
            <v>1.2</v>
          </cell>
        </row>
        <row r="482">
          <cell r="D482">
            <v>1.5</v>
          </cell>
        </row>
        <row r="483">
          <cell r="E483">
            <v>-10.799999999999999</v>
          </cell>
        </row>
        <row r="484">
          <cell r="B484">
            <v>2</v>
          </cell>
          <cell r="C484">
            <v>-2</v>
          </cell>
          <cell r="D484">
            <v>1</v>
          </cell>
        </row>
        <row r="485">
          <cell r="D485">
            <v>1.5</v>
          </cell>
        </row>
        <row r="486">
          <cell r="E486">
            <v>-6</v>
          </cell>
        </row>
        <row r="487">
          <cell r="B487">
            <v>2</v>
          </cell>
          <cell r="C487">
            <v>-1</v>
          </cell>
          <cell r="D487">
            <v>0.6</v>
          </cell>
        </row>
        <row r="488">
          <cell r="D488">
            <v>0.5</v>
          </cell>
        </row>
        <row r="489">
          <cell r="E489">
            <v>-0.6</v>
          </cell>
        </row>
        <row r="490">
          <cell r="B490">
            <v>1</v>
          </cell>
          <cell r="C490">
            <v>17</v>
          </cell>
          <cell r="D490">
            <v>0.4</v>
          </cell>
        </row>
        <row r="491">
          <cell r="D491">
            <v>2.88</v>
          </cell>
        </row>
        <row r="492">
          <cell r="E492">
            <v>19.584</v>
          </cell>
        </row>
        <row r="493">
          <cell r="B493">
            <v>1</v>
          </cell>
          <cell r="C493">
            <v>2</v>
          </cell>
          <cell r="D493">
            <v>0.3</v>
          </cell>
        </row>
        <row r="494">
          <cell r="D494">
            <v>2.88</v>
          </cell>
        </row>
        <row r="495">
          <cell r="E495">
            <v>1.728</v>
          </cell>
        </row>
        <row r="496">
          <cell r="B496">
            <v>1</v>
          </cell>
          <cell r="C496">
            <v>9</v>
          </cell>
          <cell r="D496">
            <v>0.25</v>
          </cell>
        </row>
        <row r="497">
          <cell r="D497">
            <v>2.88</v>
          </cell>
        </row>
        <row r="498">
          <cell r="E498">
            <v>6.4799999999999995</v>
          </cell>
        </row>
        <row r="499">
          <cell r="B499">
            <v>1</v>
          </cell>
          <cell r="C499">
            <v>19</v>
          </cell>
          <cell r="D499">
            <v>0.2</v>
          </cell>
        </row>
        <row r="500">
          <cell r="D500">
            <v>2.88</v>
          </cell>
        </row>
        <row r="501">
          <cell r="E501">
            <v>10.944000000000001</v>
          </cell>
        </row>
        <row r="502">
          <cell r="B502">
            <v>1</v>
          </cell>
          <cell r="C502">
            <v>6</v>
          </cell>
          <cell r="D502">
            <v>0.15</v>
          </cell>
        </row>
        <row r="503">
          <cell r="D503">
            <v>2.88</v>
          </cell>
        </row>
        <row r="504">
          <cell r="E504">
            <v>2.5919999999999996</v>
          </cell>
        </row>
        <row r="505">
          <cell r="B505">
            <v>1</v>
          </cell>
          <cell r="C505">
            <v>27</v>
          </cell>
          <cell r="D505">
            <v>0.05</v>
          </cell>
        </row>
        <row r="506">
          <cell r="D506">
            <v>2.88</v>
          </cell>
        </row>
        <row r="507">
          <cell r="E507">
            <v>3.8879999999999999</v>
          </cell>
        </row>
        <row r="508">
          <cell r="B508">
            <v>1</v>
          </cell>
          <cell r="C508">
            <v>2</v>
          </cell>
          <cell r="D508">
            <v>41.894999999999989</v>
          </cell>
        </row>
        <row r="509">
          <cell r="D509">
            <v>0.3</v>
          </cell>
        </row>
        <row r="510">
          <cell r="E510">
            <v>25.136999999999993</v>
          </cell>
        </row>
        <row r="513">
          <cell r="B513">
            <v>1</v>
          </cell>
          <cell r="C513">
            <v>4</v>
          </cell>
          <cell r="D513">
            <v>0.1</v>
          </cell>
        </row>
        <row r="514">
          <cell r="D514">
            <v>2.88</v>
          </cell>
        </row>
        <row r="515">
          <cell r="E515">
            <v>1.1519999999999999</v>
          </cell>
        </row>
        <row r="516">
          <cell r="B516">
            <v>1</v>
          </cell>
          <cell r="C516">
            <v>1</v>
          </cell>
          <cell r="D516">
            <v>52</v>
          </cell>
        </row>
        <row r="517">
          <cell r="D517">
            <v>0.2</v>
          </cell>
        </row>
        <row r="518">
          <cell r="E518">
            <v>10.4</v>
          </cell>
        </row>
        <row r="519">
          <cell r="E519" t="e">
            <v>#REF!</v>
          </cell>
        </row>
        <row r="522">
          <cell r="E522">
            <v>1300.6675</v>
          </cell>
        </row>
        <row r="523">
          <cell r="B523">
            <v>4</v>
          </cell>
          <cell r="C523">
            <v>2</v>
          </cell>
          <cell r="D523">
            <v>2.96</v>
          </cell>
        </row>
        <row r="524">
          <cell r="D524">
            <v>1.37</v>
          </cell>
        </row>
        <row r="525">
          <cell r="E525">
            <v>32.441600000000001</v>
          </cell>
        </row>
        <row r="526">
          <cell r="B526">
            <v>4</v>
          </cell>
          <cell r="C526">
            <v>1</v>
          </cell>
          <cell r="D526">
            <v>2.8299999999999996</v>
          </cell>
        </row>
        <row r="527">
          <cell r="D527">
            <v>0.4</v>
          </cell>
        </row>
        <row r="528">
          <cell r="E528">
            <v>4.5279999999999996</v>
          </cell>
        </row>
        <row r="529">
          <cell r="B529">
            <v>4</v>
          </cell>
          <cell r="C529">
            <v>1</v>
          </cell>
          <cell r="D529">
            <v>2.8299999999999996</v>
          </cell>
        </row>
        <row r="530">
          <cell r="D530">
            <v>0.24</v>
          </cell>
        </row>
        <row r="531">
          <cell r="E531">
            <v>2.7167999999999997</v>
          </cell>
        </row>
        <row r="532">
          <cell r="B532">
            <v>4</v>
          </cell>
          <cell r="C532">
            <v>1</v>
          </cell>
          <cell r="D532">
            <v>1.67</v>
          </cell>
        </row>
        <row r="533">
          <cell r="D533">
            <v>2.8299999999999996</v>
          </cell>
        </row>
        <row r="534">
          <cell r="E534">
            <v>18.904399999999995</v>
          </cell>
        </row>
        <row r="536">
          <cell r="B536">
            <v>1</v>
          </cell>
          <cell r="C536">
            <v>1</v>
          </cell>
          <cell r="D536">
            <v>46.245000000000005</v>
          </cell>
        </row>
        <row r="537">
          <cell r="D537">
            <v>0.2</v>
          </cell>
        </row>
        <row r="538">
          <cell r="E538">
            <v>9.2490000000000006</v>
          </cell>
        </row>
        <row r="539">
          <cell r="B539">
            <v>1</v>
          </cell>
          <cell r="C539">
            <v>1</v>
          </cell>
          <cell r="D539">
            <v>45.274999999999991</v>
          </cell>
        </row>
        <row r="540">
          <cell r="D540">
            <v>0.2</v>
          </cell>
        </row>
        <row r="541">
          <cell r="E541">
            <v>9.0549999999999979</v>
          </cell>
        </row>
        <row r="542">
          <cell r="B542">
            <v>1</v>
          </cell>
          <cell r="C542">
            <v>1</v>
          </cell>
          <cell r="D542">
            <v>5.57</v>
          </cell>
        </row>
        <row r="543">
          <cell r="D543">
            <v>0.1</v>
          </cell>
        </row>
        <row r="544">
          <cell r="E544">
            <v>0.55700000000000005</v>
          </cell>
        </row>
        <row r="545">
          <cell r="B545">
            <v>5</v>
          </cell>
          <cell r="C545">
            <v>1</v>
          </cell>
          <cell r="D545">
            <v>23.099999999999998</v>
          </cell>
        </row>
        <row r="546">
          <cell r="D546">
            <v>0.2</v>
          </cell>
        </row>
        <row r="547">
          <cell r="E547">
            <v>23.099999999999998</v>
          </cell>
        </row>
        <row r="549">
          <cell r="E549">
            <v>1401.2193</v>
          </cell>
        </row>
        <row r="551">
          <cell r="B551">
            <v>5</v>
          </cell>
          <cell r="C551">
            <v>1</v>
          </cell>
          <cell r="D551">
            <v>9.1</v>
          </cell>
        </row>
        <row r="552">
          <cell r="D552">
            <v>2.88</v>
          </cell>
        </row>
        <row r="553">
          <cell r="E553">
            <v>131.04</v>
          </cell>
        </row>
        <row r="554">
          <cell r="B554">
            <v>5</v>
          </cell>
          <cell r="C554">
            <v>1</v>
          </cell>
          <cell r="D554">
            <v>1.33</v>
          </cell>
        </row>
        <row r="555">
          <cell r="D555">
            <v>2.88</v>
          </cell>
        </row>
        <row r="556">
          <cell r="E556">
            <v>19.152000000000001</v>
          </cell>
        </row>
        <row r="557">
          <cell r="B557">
            <v>5</v>
          </cell>
          <cell r="C557">
            <v>1</v>
          </cell>
          <cell r="D557">
            <v>5.1499999999999995</v>
          </cell>
        </row>
        <row r="558">
          <cell r="D558">
            <v>2.88</v>
          </cell>
        </row>
        <row r="559">
          <cell r="E559">
            <v>74.159999999999982</v>
          </cell>
        </row>
        <row r="560">
          <cell r="B560">
            <v>5</v>
          </cell>
          <cell r="C560">
            <v>1</v>
          </cell>
          <cell r="D560">
            <v>7.58</v>
          </cell>
        </row>
        <row r="561">
          <cell r="D561">
            <v>2.88</v>
          </cell>
        </row>
        <row r="562">
          <cell r="E562">
            <v>109.15199999999999</v>
          </cell>
        </row>
        <row r="563">
          <cell r="B563">
            <v>5</v>
          </cell>
          <cell r="C563">
            <v>1</v>
          </cell>
          <cell r="D563">
            <v>14.610000000000001</v>
          </cell>
        </row>
        <row r="564">
          <cell r="D564">
            <v>2.88</v>
          </cell>
        </row>
        <row r="565">
          <cell r="E565">
            <v>210.38400000000001</v>
          </cell>
        </row>
        <row r="566">
          <cell r="B566">
            <v>5</v>
          </cell>
          <cell r="C566">
            <v>1</v>
          </cell>
          <cell r="D566">
            <v>11.2</v>
          </cell>
        </row>
        <row r="567">
          <cell r="D567">
            <v>2.88</v>
          </cell>
        </row>
        <row r="568">
          <cell r="E568">
            <v>161.28</v>
          </cell>
        </row>
        <row r="569">
          <cell r="B569">
            <v>5</v>
          </cell>
          <cell r="C569">
            <v>1</v>
          </cell>
          <cell r="D569">
            <v>9.0389999999999997</v>
          </cell>
        </row>
        <row r="570">
          <cell r="D570">
            <v>2.88</v>
          </cell>
        </row>
        <row r="571">
          <cell r="E571">
            <v>130.16159999999999</v>
          </cell>
        </row>
        <row r="572">
          <cell r="B572">
            <v>5</v>
          </cell>
          <cell r="C572">
            <v>1</v>
          </cell>
          <cell r="D572">
            <v>1.23</v>
          </cell>
        </row>
        <row r="573">
          <cell r="D573">
            <v>2.88</v>
          </cell>
        </row>
        <row r="574">
          <cell r="E574">
            <v>17.712</v>
          </cell>
        </row>
        <row r="575">
          <cell r="B575">
            <v>5</v>
          </cell>
          <cell r="C575">
            <v>1</v>
          </cell>
          <cell r="D575">
            <v>9.65</v>
          </cell>
        </row>
        <row r="576">
          <cell r="D576">
            <v>2.88</v>
          </cell>
        </row>
        <row r="577">
          <cell r="E577">
            <v>138.96</v>
          </cell>
        </row>
        <row r="578">
          <cell r="B578">
            <v>1</v>
          </cell>
          <cell r="C578">
            <v>1</v>
          </cell>
          <cell r="D578">
            <v>1</v>
          </cell>
          <cell r="E578" t="e">
            <v>#REF!</v>
          </cell>
        </row>
        <row r="579">
          <cell r="B579">
            <v>4</v>
          </cell>
          <cell r="C579">
            <v>1</v>
          </cell>
          <cell r="D579">
            <v>22.26</v>
          </cell>
        </row>
        <row r="580">
          <cell r="D580">
            <v>0.2</v>
          </cell>
        </row>
        <row r="581">
          <cell r="E581">
            <v>17.808000000000003</v>
          </cell>
        </row>
        <row r="583">
          <cell r="B583">
            <v>5</v>
          </cell>
          <cell r="C583">
            <v>-3</v>
          </cell>
          <cell r="D583">
            <v>1.2</v>
          </cell>
        </row>
        <row r="584">
          <cell r="D584">
            <v>1.5</v>
          </cell>
        </row>
        <row r="585">
          <cell r="E585">
            <v>-26.999999999999996</v>
          </cell>
        </row>
        <row r="586">
          <cell r="B586">
            <v>5</v>
          </cell>
          <cell r="C586">
            <v>-4</v>
          </cell>
          <cell r="D586">
            <v>1</v>
          </cell>
        </row>
        <row r="587">
          <cell r="D587">
            <v>1.5</v>
          </cell>
        </row>
        <row r="588">
          <cell r="E588">
            <v>-30</v>
          </cell>
        </row>
        <row r="589">
          <cell r="B589">
            <v>5</v>
          </cell>
          <cell r="C589">
            <v>-3</v>
          </cell>
          <cell r="D589">
            <v>0.6</v>
          </cell>
        </row>
        <row r="590">
          <cell r="D590">
            <v>0.5</v>
          </cell>
        </row>
        <row r="591">
          <cell r="E591">
            <v>-4.5</v>
          </cell>
        </row>
        <row r="592">
          <cell r="B592">
            <v>5</v>
          </cell>
          <cell r="C592">
            <v>-2</v>
          </cell>
          <cell r="D592">
            <v>2</v>
          </cell>
        </row>
        <row r="593">
          <cell r="D593">
            <v>1.5</v>
          </cell>
        </row>
        <row r="594">
          <cell r="E594">
            <v>-30</v>
          </cell>
        </row>
        <row r="595">
          <cell r="E595" t="e">
            <v>#REF!</v>
          </cell>
        </row>
        <row r="597">
          <cell r="E597">
            <v>202.875</v>
          </cell>
        </row>
        <row r="598">
          <cell r="B598">
            <v>5</v>
          </cell>
          <cell r="C598">
            <v>1</v>
          </cell>
          <cell r="D598">
            <v>7.1999999999999993</v>
          </cell>
        </row>
        <row r="599">
          <cell r="D599">
            <v>1.5</v>
          </cell>
        </row>
        <row r="600">
          <cell r="E600">
            <v>54</v>
          </cell>
        </row>
        <row r="601">
          <cell r="B601">
            <v>5</v>
          </cell>
          <cell r="C601">
            <v>1</v>
          </cell>
          <cell r="D601">
            <v>6.5499999999999989</v>
          </cell>
        </row>
        <row r="602">
          <cell r="D602">
            <v>1.5</v>
          </cell>
        </row>
        <row r="603">
          <cell r="E603">
            <v>49.124999999999986</v>
          </cell>
        </row>
        <row r="605">
          <cell r="B605">
            <v>5</v>
          </cell>
          <cell r="C605">
            <v>1</v>
          </cell>
          <cell r="D605">
            <v>6.85</v>
          </cell>
        </row>
        <row r="606">
          <cell r="D606">
            <v>1.5</v>
          </cell>
        </row>
        <row r="607">
          <cell r="E607">
            <v>51.375</v>
          </cell>
        </row>
        <row r="608">
          <cell r="B608">
            <v>5</v>
          </cell>
          <cell r="C608">
            <v>1</v>
          </cell>
          <cell r="D608">
            <v>6.4499999999999993</v>
          </cell>
        </row>
        <row r="609">
          <cell r="D609">
            <v>1.5</v>
          </cell>
        </row>
        <row r="610">
          <cell r="E610">
            <v>48.375</v>
          </cell>
        </row>
        <row r="615">
          <cell r="E615">
            <v>202.875</v>
          </cell>
        </row>
        <row r="617">
          <cell r="B617">
            <v>4</v>
          </cell>
          <cell r="C617">
            <v>2</v>
          </cell>
          <cell r="D617">
            <v>12.330000000000002</v>
          </cell>
          <cell r="E617">
            <v>98.640000000000015</v>
          </cell>
        </row>
        <row r="618">
          <cell r="B618">
            <v>4</v>
          </cell>
          <cell r="C618">
            <v>2</v>
          </cell>
          <cell r="D618">
            <v>12.330000000000002</v>
          </cell>
          <cell r="E618">
            <v>98.640000000000015</v>
          </cell>
        </row>
        <row r="620">
          <cell r="B620">
            <v>5</v>
          </cell>
          <cell r="C620">
            <v>1</v>
          </cell>
          <cell r="D620">
            <v>23.099999999999998</v>
          </cell>
          <cell r="E620">
            <v>115.49999999999999</v>
          </cell>
        </row>
        <row r="624">
          <cell r="B624">
            <v>5</v>
          </cell>
          <cell r="C624">
            <v>1</v>
          </cell>
          <cell r="D624">
            <v>35.6</v>
          </cell>
          <cell r="E624">
            <v>178</v>
          </cell>
        </row>
        <row r="625">
          <cell r="B625">
            <v>5</v>
          </cell>
          <cell r="C625">
            <v>1</v>
          </cell>
          <cell r="D625">
            <v>4.160099999999999</v>
          </cell>
          <cell r="E625">
            <v>20.800499999999996</v>
          </cell>
        </row>
        <row r="626">
          <cell r="B626">
            <v>5</v>
          </cell>
          <cell r="C626">
            <v>1</v>
          </cell>
          <cell r="D626">
            <v>7.2927</v>
          </cell>
          <cell r="E626">
            <v>36.463499999999996</v>
          </cell>
        </row>
        <row r="627">
          <cell r="E627">
            <v>235.26400000000001</v>
          </cell>
        </row>
        <row r="628">
          <cell r="B628">
            <v>5</v>
          </cell>
          <cell r="C628">
            <v>1</v>
          </cell>
          <cell r="D628">
            <v>17.893599999999999</v>
          </cell>
          <cell r="E628">
            <v>89.467999999999989</v>
          </cell>
        </row>
        <row r="629">
          <cell r="B629">
            <v>5</v>
          </cell>
          <cell r="C629">
            <v>1</v>
          </cell>
          <cell r="D629">
            <v>13.556400000000002</v>
          </cell>
          <cell r="E629">
            <v>67.782000000000011</v>
          </cell>
        </row>
        <row r="630">
          <cell r="B630">
            <v>5</v>
          </cell>
          <cell r="C630">
            <v>1</v>
          </cell>
          <cell r="D630">
            <v>8.4230000000000018</v>
          </cell>
          <cell r="E630">
            <v>42.115000000000009</v>
          </cell>
        </row>
        <row r="631">
          <cell r="B631">
            <v>5</v>
          </cell>
          <cell r="C631">
            <v>1</v>
          </cell>
          <cell r="D631">
            <v>10.5075</v>
          </cell>
          <cell r="E631">
            <v>52.537500000000001</v>
          </cell>
        </row>
        <row r="632">
          <cell r="B632">
            <v>5</v>
          </cell>
          <cell r="C632">
            <v>1</v>
          </cell>
          <cell r="D632">
            <v>8.2330000000000005</v>
          </cell>
          <cell r="E632">
            <v>41.165000000000006</v>
          </cell>
        </row>
        <row r="633">
          <cell r="B633">
            <v>5</v>
          </cell>
          <cell r="C633">
            <v>1</v>
          </cell>
          <cell r="D633">
            <v>5.1274999999999995</v>
          </cell>
          <cell r="E633">
            <v>25.637499999999996</v>
          </cell>
        </row>
        <row r="634">
          <cell r="B634">
            <v>5</v>
          </cell>
          <cell r="C634">
            <v>1</v>
          </cell>
          <cell r="D634">
            <v>14.7895</v>
          </cell>
          <cell r="E634">
            <v>73.947500000000005</v>
          </cell>
        </row>
        <row r="635">
          <cell r="B635">
            <v>5</v>
          </cell>
          <cell r="C635">
            <v>1</v>
          </cell>
          <cell r="D635">
            <v>11.642500000000002</v>
          </cell>
          <cell r="E635">
            <v>58.212500000000006</v>
          </cell>
        </row>
        <row r="636">
          <cell r="B636">
            <v>5</v>
          </cell>
          <cell r="C636">
            <v>1</v>
          </cell>
          <cell r="D636">
            <v>4.556</v>
          </cell>
          <cell r="E636">
            <v>22.78</v>
          </cell>
        </row>
        <row r="637">
          <cell r="B637">
            <v>5</v>
          </cell>
          <cell r="C637">
            <v>1</v>
          </cell>
          <cell r="D637">
            <v>1.3</v>
          </cell>
          <cell r="E637">
            <v>6.5</v>
          </cell>
        </row>
        <row r="638">
          <cell r="B638">
            <v>5</v>
          </cell>
          <cell r="C638">
            <v>1</v>
          </cell>
          <cell r="D638">
            <v>25.854799999999997</v>
          </cell>
          <cell r="E638">
            <v>129.274</v>
          </cell>
        </row>
        <row r="639">
          <cell r="B639">
            <v>5</v>
          </cell>
          <cell r="C639">
            <v>1</v>
          </cell>
          <cell r="D639">
            <v>9.9853000000000023</v>
          </cell>
          <cell r="E639">
            <v>49.926500000000011</v>
          </cell>
        </row>
        <row r="640">
          <cell r="B640">
            <v>5</v>
          </cell>
          <cell r="C640">
            <v>1</v>
          </cell>
          <cell r="D640">
            <v>12.3795</v>
          </cell>
          <cell r="E640">
            <v>61.897500000000001</v>
          </cell>
        </row>
        <row r="641">
          <cell r="B641">
            <v>5</v>
          </cell>
          <cell r="C641">
            <v>1</v>
          </cell>
          <cell r="D641">
            <v>10.119600000000002</v>
          </cell>
          <cell r="E641">
            <v>50.598000000000013</v>
          </cell>
        </row>
        <row r="642">
          <cell r="B642">
            <v>5</v>
          </cell>
          <cell r="C642">
            <v>1</v>
          </cell>
          <cell r="D642">
            <v>8.3470000000000013</v>
          </cell>
          <cell r="E642">
            <v>41.735000000000007</v>
          </cell>
        </row>
        <row r="643">
          <cell r="B643">
            <v>5</v>
          </cell>
          <cell r="C643">
            <v>1</v>
          </cell>
          <cell r="D643">
            <v>4.3254999999999999</v>
          </cell>
          <cell r="E643">
            <v>21.627499999999998</v>
          </cell>
        </row>
        <row r="644">
          <cell r="B644">
            <v>5</v>
          </cell>
          <cell r="C644">
            <v>1</v>
          </cell>
          <cell r="D644">
            <v>13.587499999999999</v>
          </cell>
          <cell r="E644">
            <v>67.9375</v>
          </cell>
        </row>
        <row r="645">
          <cell r="B645">
            <v>5</v>
          </cell>
          <cell r="C645">
            <v>1</v>
          </cell>
          <cell r="D645">
            <v>11.297500000000001</v>
          </cell>
          <cell r="E645">
            <v>56.487500000000004</v>
          </cell>
        </row>
        <row r="646">
          <cell r="B646">
            <v>5</v>
          </cell>
          <cell r="C646">
            <v>1</v>
          </cell>
          <cell r="D646">
            <v>4.335</v>
          </cell>
          <cell r="E646">
            <v>21.675000000000001</v>
          </cell>
        </row>
        <row r="647">
          <cell r="B647">
            <v>5</v>
          </cell>
          <cell r="C647">
            <v>1</v>
          </cell>
          <cell r="D647">
            <v>4.0200000000000005</v>
          </cell>
          <cell r="E647">
            <v>20.100000000000001</v>
          </cell>
        </row>
        <row r="648">
          <cell r="E648">
            <v>1001.4035</v>
          </cell>
        </row>
        <row r="649">
          <cell r="B649">
            <v>5</v>
          </cell>
          <cell r="C649">
            <v>1</v>
          </cell>
          <cell r="D649">
            <v>3.3300000000000005</v>
          </cell>
          <cell r="E649">
            <v>16.650000000000002</v>
          </cell>
        </row>
        <row r="650">
          <cell r="B650">
            <v>5</v>
          </cell>
          <cell r="C650">
            <v>1</v>
          </cell>
          <cell r="D650">
            <v>3.1399999999999997</v>
          </cell>
          <cell r="E650">
            <v>15.7</v>
          </cell>
        </row>
        <row r="651">
          <cell r="B651">
            <v>5</v>
          </cell>
          <cell r="C651">
            <v>1</v>
          </cell>
          <cell r="D651">
            <v>3.3300000000000005</v>
          </cell>
          <cell r="E651">
            <v>16.650000000000002</v>
          </cell>
        </row>
        <row r="652">
          <cell r="B652">
            <v>5</v>
          </cell>
          <cell r="C652">
            <v>1</v>
          </cell>
          <cell r="D652">
            <v>3.0000000000000004</v>
          </cell>
          <cell r="E652">
            <v>15.000000000000002</v>
          </cell>
        </row>
        <row r="653">
          <cell r="E653">
            <v>64</v>
          </cell>
        </row>
        <row r="659">
          <cell r="B659">
            <v>4</v>
          </cell>
          <cell r="C659">
            <v>1</v>
          </cell>
          <cell r="D659">
            <v>93.186399999999963</v>
          </cell>
          <cell r="E659">
            <v>372.74559999999985</v>
          </cell>
        </row>
        <row r="660">
          <cell r="B660">
            <v>1</v>
          </cell>
          <cell r="C660">
            <v>1</v>
          </cell>
          <cell r="D660">
            <v>105.65031999999995</v>
          </cell>
          <cell r="E660">
            <v>105.65031999999995</v>
          </cell>
        </row>
        <row r="661">
          <cell r="E661" t="e">
            <v>#REF!</v>
          </cell>
        </row>
        <row r="663">
          <cell r="B663">
            <v>1</v>
          </cell>
          <cell r="C663">
            <v>1</v>
          </cell>
          <cell r="D663">
            <v>1</v>
          </cell>
          <cell r="E663" t="e">
            <v>#REF!</v>
          </cell>
        </row>
        <row r="664">
          <cell r="B664">
            <v>5</v>
          </cell>
          <cell r="C664">
            <v>1</v>
          </cell>
          <cell r="D664">
            <v>1</v>
          </cell>
          <cell r="E664" t="e">
            <v>#REF!</v>
          </cell>
        </row>
        <row r="666">
          <cell r="E666" t="e">
            <v>#REF!</v>
          </cell>
        </row>
        <row r="669">
          <cell r="E669">
            <v>21.220000000000002</v>
          </cell>
        </row>
        <row r="670">
          <cell r="E670">
            <v>0.2</v>
          </cell>
        </row>
        <row r="671">
          <cell r="D671">
            <v>2</v>
          </cell>
        </row>
        <row r="673">
          <cell r="E673">
            <v>22.42</v>
          </cell>
        </row>
        <row r="674">
          <cell r="E674">
            <v>0.48</v>
          </cell>
        </row>
        <row r="678">
          <cell r="E678">
            <v>8.2550000000000008</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5 Block Summary"/>
      <sheetName val="05 Summary"/>
      <sheetName val="05 Sub Structure BC = 200"/>
      <sheetName val="05 Ar &amp; St"/>
      <sheetName val="05 A-2 200kp Res. Sub St."/>
      <sheetName val="excavation data for Eshetu Y."/>
      <sheetName val="Trench &amp; Masonry data"/>
      <sheetName val="05 RB A-2 200kp Res. Sub St."/>
      <sheetName val="05 A-2 300kp Sup St."/>
      <sheetName val="05 RB A-2 300kp Res. Super St."/>
      <sheetName val="A-2 blcok work Res."/>
      <sheetName val="Roofing"/>
      <sheetName val="Structural Steel Works old drwg"/>
      <sheetName val="truss old drwg"/>
      <sheetName val="lattice purline old drwg"/>
      <sheetName val="Plastering&amp;Floor Finishing "/>
      <sheetName val="Structural Steel Works "/>
      <sheetName val="truss  new drwg"/>
      <sheetName val="lattice purline new drwg"/>
    </sheetNames>
    <sheetDataSet>
      <sheetData sheetId="0"/>
      <sheetData sheetId="1"/>
      <sheetData sheetId="2"/>
      <sheetData sheetId="3">
        <row r="47">
          <cell r="M47">
            <v>175907</v>
          </cell>
        </row>
        <row r="54">
          <cell r="M54">
            <v>52376.4</v>
          </cell>
        </row>
        <row r="75">
          <cell r="M75">
            <v>77266.81</v>
          </cell>
        </row>
        <row r="88">
          <cell r="M88">
            <v>184742.04</v>
          </cell>
        </row>
      </sheetData>
      <sheetData sheetId="4"/>
      <sheetData sheetId="5"/>
      <sheetData sheetId="6"/>
      <sheetData sheetId="7">
        <row r="1">
          <cell r="G1" t="str">
            <v>PROJECT:</v>
          </cell>
        </row>
        <row r="2">
          <cell r="G2" t="str">
            <v xml:space="preserve"> TYPOLOGY :</v>
          </cell>
        </row>
        <row r="3">
          <cell r="G3" t="str">
            <v>B.C</v>
          </cell>
        </row>
        <row r="4">
          <cell r="F4" t="str">
            <v>Timizing</v>
          </cell>
        </row>
        <row r="5">
          <cell r="F5" t="str">
            <v>Flr</v>
          </cell>
          <cell r="G5" t="str">
            <v>Mbr</v>
          </cell>
          <cell r="H5" t="str">
            <v>Rbr</v>
          </cell>
        </row>
        <row r="7">
          <cell r="F7">
            <v>1</v>
          </cell>
          <cell r="G7">
            <v>2</v>
          </cell>
          <cell r="H7">
            <v>28</v>
          </cell>
        </row>
        <row r="8">
          <cell r="F8">
            <v>1</v>
          </cell>
          <cell r="G8">
            <v>2</v>
          </cell>
          <cell r="H8">
            <v>28</v>
          </cell>
        </row>
        <row r="9">
          <cell r="F9">
            <v>1</v>
          </cell>
          <cell r="G9">
            <v>2</v>
          </cell>
          <cell r="H9">
            <v>4</v>
          </cell>
        </row>
        <row r="10">
          <cell r="F10">
            <v>1</v>
          </cell>
          <cell r="G10">
            <v>9</v>
          </cell>
          <cell r="H10">
            <v>22</v>
          </cell>
        </row>
        <row r="11">
          <cell r="F11">
            <v>1</v>
          </cell>
          <cell r="G11">
            <v>9</v>
          </cell>
          <cell r="H11">
            <v>22</v>
          </cell>
        </row>
        <row r="12">
          <cell r="F12">
            <v>1</v>
          </cell>
          <cell r="G12">
            <v>9</v>
          </cell>
          <cell r="H12">
            <v>4</v>
          </cell>
        </row>
        <row r="13">
          <cell r="F13">
            <v>1</v>
          </cell>
          <cell r="G13">
            <v>4</v>
          </cell>
          <cell r="H13">
            <v>22</v>
          </cell>
        </row>
        <row r="14">
          <cell r="F14">
            <v>1</v>
          </cell>
          <cell r="G14">
            <v>4</v>
          </cell>
          <cell r="H14">
            <v>22</v>
          </cell>
        </row>
        <row r="15">
          <cell r="F15">
            <v>1</v>
          </cell>
          <cell r="G15">
            <v>4</v>
          </cell>
          <cell r="H15">
            <v>4</v>
          </cell>
        </row>
        <row r="16">
          <cell r="F16">
            <v>1</v>
          </cell>
          <cell r="G16">
            <v>5</v>
          </cell>
          <cell r="H16">
            <v>17</v>
          </cell>
        </row>
        <row r="17">
          <cell r="F17">
            <v>1</v>
          </cell>
          <cell r="G17">
            <v>5</v>
          </cell>
          <cell r="H17">
            <v>17</v>
          </cell>
        </row>
        <row r="18">
          <cell r="F18">
            <v>1</v>
          </cell>
          <cell r="G18">
            <v>5</v>
          </cell>
          <cell r="H18">
            <v>4</v>
          </cell>
        </row>
        <row r="19">
          <cell r="F19">
            <v>1</v>
          </cell>
          <cell r="G19">
            <v>5</v>
          </cell>
          <cell r="H19">
            <v>12</v>
          </cell>
        </row>
        <row r="20">
          <cell r="F20">
            <v>1</v>
          </cell>
          <cell r="G20">
            <v>5</v>
          </cell>
          <cell r="H20">
            <v>12</v>
          </cell>
        </row>
        <row r="21">
          <cell r="F21">
            <v>1</v>
          </cell>
          <cell r="G21">
            <v>5</v>
          </cell>
          <cell r="H21">
            <v>4</v>
          </cell>
        </row>
        <row r="23">
          <cell r="F23">
            <v>1</v>
          </cell>
          <cell r="G23">
            <v>1</v>
          </cell>
          <cell r="H23">
            <v>8</v>
          </cell>
        </row>
        <row r="24">
          <cell r="F24">
            <v>1</v>
          </cell>
          <cell r="G24">
            <v>1</v>
          </cell>
          <cell r="H24">
            <v>14</v>
          </cell>
        </row>
        <row r="25">
          <cell r="F25">
            <v>1</v>
          </cell>
          <cell r="G25">
            <v>1</v>
          </cell>
          <cell r="H25">
            <v>8</v>
          </cell>
        </row>
        <row r="26">
          <cell r="F26">
            <v>1</v>
          </cell>
          <cell r="G26">
            <v>1</v>
          </cell>
          <cell r="H26">
            <v>13</v>
          </cell>
        </row>
        <row r="27">
          <cell r="F27">
            <v>1</v>
          </cell>
          <cell r="G27">
            <v>1</v>
          </cell>
          <cell r="H27">
            <v>8</v>
          </cell>
        </row>
        <row r="28">
          <cell r="F28">
            <v>1</v>
          </cell>
          <cell r="G28">
            <v>1</v>
          </cell>
          <cell r="H28">
            <v>13</v>
          </cell>
        </row>
        <row r="29">
          <cell r="F29">
            <v>1</v>
          </cell>
          <cell r="G29">
            <v>1</v>
          </cell>
          <cell r="H29">
            <v>12</v>
          </cell>
        </row>
        <row r="30">
          <cell r="F30">
            <v>1</v>
          </cell>
          <cell r="G30">
            <v>1</v>
          </cell>
          <cell r="H30">
            <v>12</v>
          </cell>
        </row>
        <row r="31">
          <cell r="F31">
            <v>1</v>
          </cell>
          <cell r="G31">
            <v>1</v>
          </cell>
          <cell r="H31">
            <v>12</v>
          </cell>
        </row>
        <row r="32">
          <cell r="F32">
            <v>1</v>
          </cell>
          <cell r="G32">
            <v>1</v>
          </cell>
          <cell r="H32">
            <v>12</v>
          </cell>
        </row>
        <row r="33">
          <cell r="F33">
            <v>1</v>
          </cell>
          <cell r="G33">
            <v>1</v>
          </cell>
          <cell r="H33">
            <v>12</v>
          </cell>
        </row>
        <row r="34">
          <cell r="F34">
            <v>1</v>
          </cell>
          <cell r="G34">
            <v>1</v>
          </cell>
          <cell r="H34">
            <v>12</v>
          </cell>
        </row>
        <row r="35">
          <cell r="F35">
            <v>1</v>
          </cell>
          <cell r="G35">
            <v>1</v>
          </cell>
          <cell r="H35">
            <v>12</v>
          </cell>
        </row>
        <row r="36">
          <cell r="F36">
            <v>1</v>
          </cell>
          <cell r="G36">
            <v>1</v>
          </cell>
          <cell r="H36">
            <v>12</v>
          </cell>
        </row>
        <row r="37">
          <cell r="F37">
            <v>1</v>
          </cell>
          <cell r="G37">
            <v>1</v>
          </cell>
          <cell r="H37">
            <v>12</v>
          </cell>
        </row>
        <row r="38">
          <cell r="F38">
            <v>1</v>
          </cell>
          <cell r="G38">
            <v>1</v>
          </cell>
          <cell r="H38">
            <v>12</v>
          </cell>
        </row>
        <row r="39">
          <cell r="F39">
            <v>1</v>
          </cell>
          <cell r="G39">
            <v>1</v>
          </cell>
          <cell r="H39">
            <v>12</v>
          </cell>
        </row>
        <row r="40">
          <cell r="F40">
            <v>1</v>
          </cell>
          <cell r="G40">
            <v>1</v>
          </cell>
          <cell r="H40">
            <v>12</v>
          </cell>
        </row>
        <row r="41">
          <cell r="F41">
            <v>1</v>
          </cell>
          <cell r="G41">
            <v>1</v>
          </cell>
          <cell r="H41">
            <v>8</v>
          </cell>
        </row>
        <row r="42">
          <cell r="F42">
            <v>1</v>
          </cell>
          <cell r="G42">
            <v>1</v>
          </cell>
          <cell r="H42">
            <v>12</v>
          </cell>
        </row>
        <row r="43">
          <cell r="F43">
            <v>1</v>
          </cell>
          <cell r="G43">
            <v>1</v>
          </cell>
          <cell r="H43">
            <v>12</v>
          </cell>
        </row>
        <row r="44">
          <cell r="F44">
            <v>1</v>
          </cell>
          <cell r="G44">
            <v>1</v>
          </cell>
          <cell r="H44">
            <v>12</v>
          </cell>
        </row>
        <row r="45">
          <cell r="F45">
            <v>1</v>
          </cell>
          <cell r="G45">
            <v>1</v>
          </cell>
          <cell r="H45">
            <v>12</v>
          </cell>
        </row>
        <row r="46">
          <cell r="F46">
            <v>1</v>
          </cell>
          <cell r="G46">
            <v>1</v>
          </cell>
          <cell r="H46">
            <v>12</v>
          </cell>
        </row>
        <row r="47">
          <cell r="F47">
            <v>1</v>
          </cell>
          <cell r="G47">
            <v>1</v>
          </cell>
          <cell r="H47">
            <v>8</v>
          </cell>
        </row>
        <row r="48">
          <cell r="F48">
            <v>1</v>
          </cell>
          <cell r="G48">
            <v>1</v>
          </cell>
          <cell r="H48">
            <v>14</v>
          </cell>
        </row>
        <row r="49">
          <cell r="F49">
            <v>1</v>
          </cell>
          <cell r="G49">
            <v>1</v>
          </cell>
          <cell r="H49">
            <v>8</v>
          </cell>
        </row>
        <row r="50">
          <cell r="F50">
            <v>1</v>
          </cell>
          <cell r="G50">
            <v>1</v>
          </cell>
          <cell r="H50">
            <v>14</v>
          </cell>
        </row>
        <row r="51">
          <cell r="F51">
            <v>1</v>
          </cell>
          <cell r="G51">
            <v>1</v>
          </cell>
          <cell r="H51">
            <v>8</v>
          </cell>
        </row>
        <row r="52">
          <cell r="F52">
            <v>1</v>
          </cell>
          <cell r="G52">
            <v>1</v>
          </cell>
          <cell r="H52">
            <v>13</v>
          </cell>
        </row>
        <row r="53">
          <cell r="F53">
            <v>1</v>
          </cell>
          <cell r="G53">
            <v>1</v>
          </cell>
          <cell r="H53">
            <v>8</v>
          </cell>
        </row>
        <row r="54">
          <cell r="F54">
            <v>1</v>
          </cell>
          <cell r="G54">
            <v>1</v>
          </cell>
          <cell r="H54">
            <v>13</v>
          </cell>
        </row>
        <row r="55">
          <cell r="F55">
            <v>1</v>
          </cell>
          <cell r="G55">
            <v>1</v>
          </cell>
          <cell r="H55">
            <v>12</v>
          </cell>
        </row>
        <row r="56">
          <cell r="F56">
            <v>1</v>
          </cell>
          <cell r="G56">
            <v>1</v>
          </cell>
          <cell r="H56">
            <v>12</v>
          </cell>
        </row>
        <row r="57">
          <cell r="F57">
            <v>1</v>
          </cell>
          <cell r="G57">
            <v>1</v>
          </cell>
          <cell r="H57">
            <v>12</v>
          </cell>
        </row>
        <row r="58">
          <cell r="F58">
            <v>1</v>
          </cell>
          <cell r="G58">
            <v>1</v>
          </cell>
          <cell r="H58">
            <v>11</v>
          </cell>
        </row>
        <row r="59">
          <cell r="F59">
            <v>1</v>
          </cell>
          <cell r="G59">
            <v>1</v>
          </cell>
          <cell r="H59">
            <v>12</v>
          </cell>
        </row>
        <row r="60">
          <cell r="F60">
            <v>1</v>
          </cell>
          <cell r="G60">
            <v>1</v>
          </cell>
          <cell r="H60">
            <v>11</v>
          </cell>
        </row>
        <row r="61">
          <cell r="F61">
            <v>1</v>
          </cell>
          <cell r="G61">
            <v>1</v>
          </cell>
          <cell r="H61">
            <v>8</v>
          </cell>
        </row>
        <row r="62">
          <cell r="F62">
            <v>1</v>
          </cell>
          <cell r="G62">
            <v>1</v>
          </cell>
          <cell r="H62">
            <v>13</v>
          </cell>
        </row>
        <row r="63">
          <cell r="F63">
            <v>1</v>
          </cell>
          <cell r="G63">
            <v>1</v>
          </cell>
          <cell r="H63">
            <v>8</v>
          </cell>
        </row>
        <row r="64">
          <cell r="F64">
            <v>1</v>
          </cell>
          <cell r="G64">
            <v>1</v>
          </cell>
          <cell r="H64">
            <v>16</v>
          </cell>
        </row>
        <row r="65">
          <cell r="F65">
            <v>1</v>
          </cell>
          <cell r="G65">
            <v>1</v>
          </cell>
          <cell r="H65">
            <v>8</v>
          </cell>
        </row>
        <row r="66">
          <cell r="F66">
            <v>1</v>
          </cell>
          <cell r="G66">
            <v>1</v>
          </cell>
          <cell r="H66">
            <v>13</v>
          </cell>
        </row>
        <row r="67">
          <cell r="F67">
            <v>1</v>
          </cell>
          <cell r="G67">
            <v>1</v>
          </cell>
          <cell r="H67">
            <v>12</v>
          </cell>
        </row>
        <row r="68">
          <cell r="F68">
            <v>1</v>
          </cell>
          <cell r="G68">
            <v>1</v>
          </cell>
          <cell r="H68">
            <v>12</v>
          </cell>
        </row>
        <row r="69">
          <cell r="F69">
            <v>1</v>
          </cell>
          <cell r="G69">
            <v>1</v>
          </cell>
          <cell r="H69">
            <v>12</v>
          </cell>
        </row>
        <row r="70">
          <cell r="F70">
            <v>1</v>
          </cell>
          <cell r="G70">
            <v>1</v>
          </cell>
          <cell r="H70">
            <v>12</v>
          </cell>
        </row>
        <row r="71">
          <cell r="F71">
            <v>1</v>
          </cell>
          <cell r="G71">
            <v>1</v>
          </cell>
          <cell r="H71">
            <v>8</v>
          </cell>
        </row>
        <row r="72">
          <cell r="F72">
            <v>1</v>
          </cell>
          <cell r="G72">
            <v>1</v>
          </cell>
          <cell r="H72">
            <v>14</v>
          </cell>
        </row>
        <row r="74">
          <cell r="F74">
            <v>1</v>
          </cell>
          <cell r="G74">
            <v>1</v>
          </cell>
          <cell r="H74">
            <v>2</v>
          </cell>
        </row>
        <row r="75">
          <cell r="F75">
            <v>1</v>
          </cell>
          <cell r="G75">
            <v>1</v>
          </cell>
          <cell r="H75">
            <v>2</v>
          </cell>
        </row>
        <row r="76">
          <cell r="F76">
            <v>1</v>
          </cell>
          <cell r="G76">
            <v>1</v>
          </cell>
          <cell r="H76">
            <v>46</v>
          </cell>
        </row>
        <row r="77">
          <cell r="F77">
            <v>1</v>
          </cell>
          <cell r="G77">
            <v>1</v>
          </cell>
          <cell r="H77">
            <v>2</v>
          </cell>
        </row>
        <row r="78">
          <cell r="F78">
            <v>1</v>
          </cell>
          <cell r="G78">
            <v>1</v>
          </cell>
          <cell r="H78">
            <v>2</v>
          </cell>
        </row>
        <row r="79">
          <cell r="F79">
            <v>1</v>
          </cell>
          <cell r="G79">
            <v>1</v>
          </cell>
          <cell r="H79">
            <v>53</v>
          </cell>
        </row>
        <row r="80">
          <cell r="F80">
            <v>1</v>
          </cell>
          <cell r="G80">
            <v>1</v>
          </cell>
          <cell r="H80">
            <v>2</v>
          </cell>
        </row>
        <row r="81">
          <cell r="F81">
            <v>1</v>
          </cell>
          <cell r="G81">
            <v>1</v>
          </cell>
          <cell r="H81">
            <v>2</v>
          </cell>
        </row>
        <row r="82">
          <cell r="F82">
            <v>1</v>
          </cell>
          <cell r="G82">
            <v>1</v>
          </cell>
          <cell r="H82">
            <v>2</v>
          </cell>
        </row>
        <row r="83">
          <cell r="F83">
            <v>1</v>
          </cell>
          <cell r="G83">
            <v>1</v>
          </cell>
          <cell r="H83">
            <v>2</v>
          </cell>
        </row>
        <row r="84">
          <cell r="F84">
            <v>1</v>
          </cell>
          <cell r="G84">
            <v>1</v>
          </cell>
          <cell r="H84">
            <v>2</v>
          </cell>
        </row>
        <row r="85">
          <cell r="F85">
            <v>1</v>
          </cell>
          <cell r="G85">
            <v>1</v>
          </cell>
          <cell r="H85">
            <v>2</v>
          </cell>
        </row>
        <row r="86">
          <cell r="F86">
            <v>1</v>
          </cell>
          <cell r="G86">
            <v>1</v>
          </cell>
          <cell r="H86">
            <v>131</v>
          </cell>
        </row>
        <row r="87">
          <cell r="F87">
            <v>1</v>
          </cell>
          <cell r="G87">
            <v>1</v>
          </cell>
          <cell r="H87">
            <v>2</v>
          </cell>
        </row>
        <row r="88">
          <cell r="F88">
            <v>1</v>
          </cell>
          <cell r="G88">
            <v>1</v>
          </cell>
          <cell r="H88">
            <v>2</v>
          </cell>
        </row>
        <row r="89">
          <cell r="F89">
            <v>1</v>
          </cell>
          <cell r="G89">
            <v>1</v>
          </cell>
          <cell r="H89">
            <v>55</v>
          </cell>
        </row>
        <row r="90">
          <cell r="F90">
            <v>1</v>
          </cell>
          <cell r="G90">
            <v>1</v>
          </cell>
          <cell r="H90">
            <v>2</v>
          </cell>
        </row>
        <row r="91">
          <cell r="F91">
            <v>1</v>
          </cell>
          <cell r="G91">
            <v>1</v>
          </cell>
          <cell r="H91">
            <v>2</v>
          </cell>
        </row>
        <row r="92">
          <cell r="F92">
            <v>1</v>
          </cell>
          <cell r="G92">
            <v>1</v>
          </cell>
          <cell r="H92">
            <v>2</v>
          </cell>
        </row>
        <row r="93">
          <cell r="F93">
            <v>1</v>
          </cell>
          <cell r="G93">
            <v>1</v>
          </cell>
          <cell r="H93">
            <v>2</v>
          </cell>
        </row>
        <row r="94">
          <cell r="F94">
            <v>1</v>
          </cell>
          <cell r="G94">
            <v>1</v>
          </cell>
          <cell r="H94">
            <v>76</v>
          </cell>
        </row>
        <row r="95">
          <cell r="F95">
            <v>1</v>
          </cell>
          <cell r="G95">
            <v>1</v>
          </cell>
          <cell r="H95">
            <v>2</v>
          </cell>
        </row>
        <row r="96">
          <cell r="F96">
            <v>1</v>
          </cell>
          <cell r="G96">
            <v>1</v>
          </cell>
          <cell r="H96">
            <v>2</v>
          </cell>
        </row>
        <row r="97">
          <cell r="F97">
            <v>1</v>
          </cell>
          <cell r="G97">
            <v>1</v>
          </cell>
          <cell r="H97">
            <v>44</v>
          </cell>
        </row>
        <row r="99">
          <cell r="F99">
            <v>1</v>
          </cell>
          <cell r="G99">
            <v>1</v>
          </cell>
          <cell r="H99">
            <v>2</v>
          </cell>
        </row>
        <row r="100">
          <cell r="F100">
            <v>1</v>
          </cell>
          <cell r="G100">
            <v>1</v>
          </cell>
          <cell r="H100">
            <v>2</v>
          </cell>
        </row>
        <row r="101">
          <cell r="F101">
            <v>1</v>
          </cell>
          <cell r="G101">
            <v>1</v>
          </cell>
          <cell r="H101">
            <v>22</v>
          </cell>
        </row>
        <row r="103">
          <cell r="F103">
            <v>1</v>
          </cell>
          <cell r="G103">
            <v>1</v>
          </cell>
          <cell r="H103">
            <v>2</v>
          </cell>
        </row>
        <row r="104">
          <cell r="F104">
            <v>1</v>
          </cell>
          <cell r="G104">
            <v>1</v>
          </cell>
          <cell r="H104">
            <v>2</v>
          </cell>
        </row>
        <row r="105">
          <cell r="F105">
            <v>1</v>
          </cell>
          <cell r="G105">
            <v>1</v>
          </cell>
          <cell r="H105">
            <v>28</v>
          </cell>
        </row>
        <row r="106">
          <cell r="F106">
            <v>1</v>
          </cell>
          <cell r="G106">
            <v>1</v>
          </cell>
          <cell r="H106">
            <v>2</v>
          </cell>
        </row>
        <row r="107">
          <cell r="F107">
            <v>1</v>
          </cell>
          <cell r="G107">
            <v>1</v>
          </cell>
          <cell r="H107">
            <v>2</v>
          </cell>
        </row>
        <row r="108">
          <cell r="F108">
            <v>1</v>
          </cell>
          <cell r="G108">
            <v>1</v>
          </cell>
          <cell r="H108">
            <v>22</v>
          </cell>
        </row>
        <row r="109">
          <cell r="F109">
            <v>1</v>
          </cell>
          <cell r="G109">
            <v>1</v>
          </cell>
          <cell r="H109">
            <v>2</v>
          </cell>
        </row>
        <row r="110">
          <cell r="F110">
            <v>1</v>
          </cell>
          <cell r="G110">
            <v>1</v>
          </cell>
          <cell r="H110">
            <v>2</v>
          </cell>
        </row>
        <row r="111">
          <cell r="F111">
            <v>1</v>
          </cell>
          <cell r="G111">
            <v>1</v>
          </cell>
          <cell r="H111">
            <v>28</v>
          </cell>
        </row>
        <row r="112">
          <cell r="F112">
            <v>1</v>
          </cell>
          <cell r="G112">
            <v>1</v>
          </cell>
          <cell r="H112">
            <v>2</v>
          </cell>
        </row>
        <row r="113">
          <cell r="F113">
            <v>1</v>
          </cell>
          <cell r="G113">
            <v>1</v>
          </cell>
          <cell r="H113">
            <v>2</v>
          </cell>
        </row>
        <row r="114">
          <cell r="F114">
            <v>1</v>
          </cell>
          <cell r="G114">
            <v>1</v>
          </cell>
          <cell r="H114">
            <v>28</v>
          </cell>
        </row>
        <row r="115">
          <cell r="F115">
            <v>1</v>
          </cell>
          <cell r="G115">
            <v>1</v>
          </cell>
          <cell r="H115">
            <v>2</v>
          </cell>
        </row>
        <row r="116">
          <cell r="F116">
            <v>1</v>
          </cell>
          <cell r="G116">
            <v>1</v>
          </cell>
          <cell r="H116">
            <v>2</v>
          </cell>
        </row>
        <row r="117">
          <cell r="F117">
            <v>1</v>
          </cell>
          <cell r="G117">
            <v>1</v>
          </cell>
          <cell r="H117">
            <v>2</v>
          </cell>
        </row>
        <row r="118">
          <cell r="F118">
            <v>1</v>
          </cell>
          <cell r="G118">
            <v>1</v>
          </cell>
          <cell r="H118">
            <v>2</v>
          </cell>
        </row>
        <row r="119">
          <cell r="F119">
            <v>1</v>
          </cell>
          <cell r="G119">
            <v>1</v>
          </cell>
          <cell r="H119">
            <v>77</v>
          </cell>
        </row>
        <row r="120">
          <cell r="F120">
            <v>1</v>
          </cell>
          <cell r="G120">
            <v>1</v>
          </cell>
          <cell r="H120">
            <v>2</v>
          </cell>
        </row>
        <row r="121">
          <cell r="F121">
            <v>1</v>
          </cell>
          <cell r="G121">
            <v>1</v>
          </cell>
          <cell r="H121">
            <v>2</v>
          </cell>
        </row>
        <row r="122">
          <cell r="F122">
            <v>1</v>
          </cell>
          <cell r="G122">
            <v>1</v>
          </cell>
          <cell r="H122">
            <v>2</v>
          </cell>
        </row>
        <row r="123">
          <cell r="F123">
            <v>1</v>
          </cell>
          <cell r="G123">
            <v>1</v>
          </cell>
          <cell r="H123">
            <v>2</v>
          </cell>
        </row>
        <row r="124">
          <cell r="F124">
            <v>1</v>
          </cell>
          <cell r="G124">
            <v>1</v>
          </cell>
          <cell r="H124">
            <v>76</v>
          </cell>
        </row>
        <row r="125">
          <cell r="F125">
            <v>1</v>
          </cell>
        </row>
        <row r="126">
          <cell r="F126">
            <v>1</v>
          </cell>
          <cell r="G126">
            <v>1</v>
          </cell>
          <cell r="H126">
            <v>2</v>
          </cell>
        </row>
        <row r="127">
          <cell r="F127">
            <v>1</v>
          </cell>
          <cell r="G127">
            <v>1</v>
          </cell>
          <cell r="H127">
            <v>2</v>
          </cell>
        </row>
        <row r="128">
          <cell r="F128">
            <v>1</v>
          </cell>
          <cell r="G128">
            <v>1</v>
          </cell>
          <cell r="H128">
            <v>53</v>
          </cell>
        </row>
        <row r="129">
          <cell r="F129">
            <v>1</v>
          </cell>
          <cell r="G129">
            <v>2</v>
          </cell>
          <cell r="H129">
            <v>2</v>
          </cell>
        </row>
        <row r="130">
          <cell r="F130">
            <v>1</v>
          </cell>
          <cell r="G130">
            <v>2</v>
          </cell>
          <cell r="H130">
            <v>2</v>
          </cell>
        </row>
        <row r="131">
          <cell r="F131">
            <v>1</v>
          </cell>
          <cell r="G131">
            <v>2</v>
          </cell>
          <cell r="H131">
            <v>50</v>
          </cell>
        </row>
        <row r="132">
          <cell r="F132">
            <v>1</v>
          </cell>
          <cell r="G132">
            <v>2</v>
          </cell>
          <cell r="H132">
            <v>2</v>
          </cell>
        </row>
        <row r="133">
          <cell r="F133">
            <v>1</v>
          </cell>
          <cell r="G133">
            <v>2</v>
          </cell>
          <cell r="H133">
            <v>2</v>
          </cell>
        </row>
        <row r="134">
          <cell r="F134">
            <v>1</v>
          </cell>
          <cell r="G134">
            <v>2</v>
          </cell>
          <cell r="H134">
            <v>57</v>
          </cell>
        </row>
        <row r="135">
          <cell r="F135">
            <v>1</v>
          </cell>
        </row>
        <row r="136">
          <cell r="F136">
            <v>1</v>
          </cell>
          <cell r="G136">
            <v>1</v>
          </cell>
          <cell r="H136">
            <v>2</v>
          </cell>
        </row>
        <row r="137">
          <cell r="F137">
            <v>1</v>
          </cell>
          <cell r="G137">
            <v>1</v>
          </cell>
          <cell r="H137">
            <v>2</v>
          </cell>
        </row>
        <row r="138">
          <cell r="F138">
            <v>1</v>
          </cell>
          <cell r="G138">
            <v>1</v>
          </cell>
          <cell r="H138">
            <v>56</v>
          </cell>
        </row>
        <row r="140">
          <cell r="F140">
            <v>1</v>
          </cell>
          <cell r="G140">
            <v>1</v>
          </cell>
          <cell r="H140">
            <v>44</v>
          </cell>
        </row>
        <row r="141">
          <cell r="F141">
            <v>1</v>
          </cell>
          <cell r="G141">
            <v>1</v>
          </cell>
          <cell r="H141">
            <v>20</v>
          </cell>
        </row>
        <row r="142">
          <cell r="F142">
            <v>1</v>
          </cell>
          <cell r="G142">
            <v>1</v>
          </cell>
          <cell r="H142">
            <v>20</v>
          </cell>
        </row>
        <row r="143">
          <cell r="F143">
            <v>1</v>
          </cell>
          <cell r="G143">
            <v>1</v>
          </cell>
          <cell r="H143">
            <v>50</v>
          </cell>
        </row>
        <row r="144">
          <cell r="F144">
            <v>1</v>
          </cell>
          <cell r="G144">
            <v>1</v>
          </cell>
          <cell r="H144">
            <v>25</v>
          </cell>
        </row>
        <row r="145">
          <cell r="F145">
            <v>1</v>
          </cell>
          <cell r="G145">
            <v>1</v>
          </cell>
          <cell r="H145">
            <v>74</v>
          </cell>
        </row>
        <row r="146">
          <cell r="F146">
            <v>1</v>
          </cell>
          <cell r="G146">
            <v>1</v>
          </cell>
          <cell r="H146">
            <v>25</v>
          </cell>
        </row>
        <row r="147">
          <cell r="F147">
            <v>1</v>
          </cell>
          <cell r="G147">
            <v>1</v>
          </cell>
          <cell r="H147">
            <v>25</v>
          </cell>
        </row>
        <row r="148">
          <cell r="F148">
            <v>1</v>
          </cell>
          <cell r="G148">
            <v>1</v>
          </cell>
          <cell r="H148">
            <v>6</v>
          </cell>
        </row>
        <row r="149">
          <cell r="F149">
            <v>1</v>
          </cell>
          <cell r="G149">
            <v>1</v>
          </cell>
          <cell r="H149">
            <v>47</v>
          </cell>
        </row>
        <row r="150">
          <cell r="F150">
            <v>1</v>
          </cell>
          <cell r="G150">
            <v>1</v>
          </cell>
          <cell r="H150">
            <v>15</v>
          </cell>
        </row>
        <row r="151">
          <cell r="F151">
            <v>1</v>
          </cell>
          <cell r="G151">
            <v>1</v>
          </cell>
          <cell r="H151">
            <v>15</v>
          </cell>
        </row>
        <row r="152">
          <cell r="F152">
            <v>1</v>
          </cell>
          <cell r="G152">
            <v>1</v>
          </cell>
          <cell r="H152">
            <v>46</v>
          </cell>
        </row>
        <row r="153">
          <cell r="F153">
            <v>1</v>
          </cell>
          <cell r="G153">
            <v>1</v>
          </cell>
          <cell r="H153">
            <v>25</v>
          </cell>
        </row>
        <row r="154">
          <cell r="F154">
            <v>1</v>
          </cell>
          <cell r="G154">
            <v>1</v>
          </cell>
          <cell r="H154">
            <v>25</v>
          </cell>
        </row>
        <row r="155">
          <cell r="F155">
            <v>1</v>
          </cell>
          <cell r="G155">
            <v>1</v>
          </cell>
          <cell r="H155">
            <v>51</v>
          </cell>
        </row>
        <row r="156">
          <cell r="F156">
            <v>1</v>
          </cell>
          <cell r="G156">
            <v>1</v>
          </cell>
          <cell r="H156">
            <v>25</v>
          </cell>
        </row>
        <row r="157">
          <cell r="F157">
            <v>1</v>
          </cell>
          <cell r="G157">
            <v>1</v>
          </cell>
          <cell r="H157">
            <v>25</v>
          </cell>
        </row>
        <row r="158">
          <cell r="F158">
            <v>1</v>
          </cell>
          <cell r="G158">
            <v>1</v>
          </cell>
          <cell r="H158">
            <v>46</v>
          </cell>
        </row>
        <row r="159">
          <cell r="F159">
            <v>1</v>
          </cell>
          <cell r="G159">
            <v>1</v>
          </cell>
          <cell r="H159">
            <v>20</v>
          </cell>
        </row>
        <row r="160">
          <cell r="F160">
            <v>1</v>
          </cell>
          <cell r="G160">
            <v>1</v>
          </cell>
          <cell r="H160">
            <v>20</v>
          </cell>
        </row>
        <row r="161">
          <cell r="G161" t="str">
            <v>Total Length</v>
          </cell>
        </row>
        <row r="162">
          <cell r="G162" t="str">
            <v>Unit Weight</v>
          </cell>
        </row>
        <row r="163">
          <cell r="G163" t="str">
            <v>Total Weight</v>
          </cell>
        </row>
      </sheetData>
      <sheetData sheetId="8">
        <row r="1">
          <cell r="B1" t="str">
            <v>Project: Low Cost Housing Development Project</v>
          </cell>
        </row>
        <row r="2">
          <cell r="B2" t="str">
            <v>Location: Jemmo II</v>
          </cell>
        </row>
        <row r="3">
          <cell r="B3" t="str">
            <v>Client: Nifasilk Lafto Sub-City</v>
          </cell>
        </row>
        <row r="4">
          <cell r="B4" t="str">
            <v>Contractor:  BEHAILU YESIGATE B.C</v>
          </cell>
        </row>
        <row r="5">
          <cell r="B5" t="str">
            <v>Consultant: MGM Consult PLC</v>
          </cell>
        </row>
        <row r="6">
          <cell r="A6" t="str">
            <v>Code</v>
          </cell>
          <cell r="B6" t="str">
            <v>Timizing</v>
          </cell>
          <cell r="E6" t="str">
            <v>Dimension</v>
          </cell>
          <cell r="F6" t="str">
            <v>Qty</v>
          </cell>
        </row>
        <row r="12">
          <cell r="B12">
            <v>1</v>
          </cell>
          <cell r="C12">
            <v>1</v>
          </cell>
          <cell r="D12">
            <v>23</v>
          </cell>
          <cell r="E12">
            <v>0.25</v>
          </cell>
        </row>
        <row r="13">
          <cell r="E13">
            <v>0.4</v>
          </cell>
        </row>
        <row r="14">
          <cell r="E14">
            <v>2.4</v>
          </cell>
        </row>
        <row r="15">
          <cell r="F15">
            <v>5.52</v>
          </cell>
        </row>
        <row r="17">
          <cell r="B17">
            <v>1</v>
          </cell>
          <cell r="C17">
            <v>1</v>
          </cell>
          <cell r="D17">
            <v>2</v>
          </cell>
          <cell r="E17">
            <v>0.35</v>
          </cell>
        </row>
        <row r="18">
          <cell r="E18">
            <v>0.4</v>
          </cell>
        </row>
        <row r="19">
          <cell r="E19">
            <v>2.4</v>
          </cell>
        </row>
        <row r="20">
          <cell r="F20">
            <v>0.67</v>
          </cell>
        </row>
        <row r="22">
          <cell r="B22">
            <v>1</v>
          </cell>
          <cell r="C22">
            <v>1</v>
          </cell>
          <cell r="D22">
            <v>23</v>
          </cell>
          <cell r="E22">
            <v>0.25</v>
          </cell>
        </row>
        <row r="23">
          <cell r="E23">
            <v>0.4</v>
          </cell>
        </row>
        <row r="24">
          <cell r="E24">
            <v>2.4</v>
          </cell>
        </row>
        <row r="25">
          <cell r="F25">
            <v>5.52</v>
          </cell>
        </row>
        <row r="27">
          <cell r="B27">
            <v>1</v>
          </cell>
          <cell r="C27">
            <v>1</v>
          </cell>
          <cell r="D27">
            <v>2</v>
          </cell>
          <cell r="E27">
            <v>0.3</v>
          </cell>
        </row>
        <row r="28">
          <cell r="E28">
            <v>0.4</v>
          </cell>
        </row>
        <row r="29">
          <cell r="E29">
            <v>2.4</v>
          </cell>
        </row>
        <row r="30">
          <cell r="F30">
            <v>0.57999999999999996</v>
          </cell>
        </row>
        <row r="32">
          <cell r="B32">
            <v>2</v>
          </cell>
          <cell r="C32">
            <v>1</v>
          </cell>
          <cell r="D32">
            <v>25</v>
          </cell>
          <cell r="E32">
            <v>0.25</v>
          </cell>
        </row>
        <row r="33">
          <cell r="E33">
            <v>0.4</v>
          </cell>
        </row>
        <row r="34">
          <cell r="E34">
            <v>2.4</v>
          </cell>
        </row>
        <row r="35">
          <cell r="F35">
            <v>12</v>
          </cell>
        </row>
        <row r="37">
          <cell r="B37">
            <v>1</v>
          </cell>
          <cell r="C37">
            <v>1</v>
          </cell>
          <cell r="D37">
            <v>25</v>
          </cell>
          <cell r="E37">
            <v>0.25</v>
          </cell>
        </row>
        <row r="38">
          <cell r="E38">
            <v>0.4</v>
          </cell>
        </row>
        <row r="39">
          <cell r="E39">
            <v>2.58</v>
          </cell>
        </row>
        <row r="40">
          <cell r="F40">
            <v>6.45</v>
          </cell>
        </row>
        <row r="41">
          <cell r="A41" t="str">
            <v>C1.1a</v>
          </cell>
          <cell r="F41">
            <v>30.74</v>
          </cell>
        </row>
        <row r="45">
          <cell r="C45">
            <v>4</v>
          </cell>
          <cell r="D45">
            <v>1</v>
          </cell>
          <cell r="E45">
            <v>7.71</v>
          </cell>
        </row>
        <row r="46">
          <cell r="E46">
            <v>0.48</v>
          </cell>
        </row>
        <row r="47">
          <cell r="E47">
            <v>0.2</v>
          </cell>
        </row>
        <row r="48">
          <cell r="F48">
            <v>2.96</v>
          </cell>
        </row>
        <row r="50">
          <cell r="C50">
            <v>4</v>
          </cell>
          <cell r="D50">
            <v>1</v>
          </cell>
          <cell r="E50">
            <v>8.84</v>
          </cell>
        </row>
        <row r="51">
          <cell r="E51">
            <v>0.48</v>
          </cell>
        </row>
        <row r="52">
          <cell r="E52">
            <v>0.2</v>
          </cell>
        </row>
        <row r="53">
          <cell r="F53">
            <v>3.39</v>
          </cell>
        </row>
        <row r="55">
          <cell r="C55">
            <v>4</v>
          </cell>
          <cell r="D55">
            <v>1</v>
          </cell>
          <cell r="E55">
            <v>23.28</v>
          </cell>
        </row>
        <row r="56">
          <cell r="E56">
            <v>0.48</v>
          </cell>
        </row>
        <row r="57">
          <cell r="E57">
            <v>0.2</v>
          </cell>
        </row>
        <row r="58">
          <cell r="F58">
            <v>8.94</v>
          </cell>
        </row>
        <row r="61">
          <cell r="C61">
            <v>4</v>
          </cell>
          <cell r="D61">
            <v>1</v>
          </cell>
          <cell r="E61">
            <v>9.4100000000000019</v>
          </cell>
        </row>
        <row r="62">
          <cell r="E62">
            <v>0.48</v>
          </cell>
        </row>
        <row r="63">
          <cell r="E63">
            <v>0.2</v>
          </cell>
        </row>
        <row r="64">
          <cell r="F64">
            <v>3.61</v>
          </cell>
        </row>
        <row r="66">
          <cell r="C66">
            <v>4</v>
          </cell>
          <cell r="D66">
            <v>1</v>
          </cell>
          <cell r="E66">
            <v>4.8499999999999996</v>
          </cell>
        </row>
        <row r="67">
          <cell r="E67">
            <v>0.48</v>
          </cell>
        </row>
        <row r="68">
          <cell r="E68">
            <v>0.2</v>
          </cell>
        </row>
        <row r="69">
          <cell r="F69">
            <v>1.86</v>
          </cell>
        </row>
        <row r="72">
          <cell r="C72">
            <v>4</v>
          </cell>
          <cell r="D72">
            <v>1</v>
          </cell>
          <cell r="E72">
            <v>13.364999999999998</v>
          </cell>
        </row>
        <row r="73">
          <cell r="E73">
            <v>0.48</v>
          </cell>
        </row>
        <row r="74">
          <cell r="E74">
            <v>0.2</v>
          </cell>
        </row>
        <row r="75">
          <cell r="F75">
            <v>5.13</v>
          </cell>
        </row>
        <row r="77">
          <cell r="C77">
            <v>4</v>
          </cell>
          <cell r="D77">
            <v>1</v>
          </cell>
          <cell r="E77">
            <v>13.34</v>
          </cell>
        </row>
        <row r="78">
          <cell r="E78">
            <v>0.48</v>
          </cell>
        </row>
        <row r="79">
          <cell r="E79">
            <v>0.2</v>
          </cell>
        </row>
        <row r="80">
          <cell r="F80">
            <v>5.12</v>
          </cell>
        </row>
        <row r="82">
          <cell r="C82">
            <v>4</v>
          </cell>
          <cell r="D82">
            <v>1</v>
          </cell>
          <cell r="E82">
            <v>5.25</v>
          </cell>
        </row>
        <row r="83">
          <cell r="E83">
            <v>0.48</v>
          </cell>
        </row>
        <row r="84">
          <cell r="E84">
            <v>0.2</v>
          </cell>
        </row>
        <row r="85">
          <cell r="F85">
            <v>2.02</v>
          </cell>
        </row>
        <row r="87">
          <cell r="C87">
            <v>4</v>
          </cell>
          <cell r="D87">
            <v>1</v>
          </cell>
          <cell r="E87">
            <v>9.09</v>
          </cell>
        </row>
        <row r="88">
          <cell r="E88">
            <v>0.48</v>
          </cell>
        </row>
        <row r="89">
          <cell r="E89">
            <v>0.2</v>
          </cell>
        </row>
        <row r="90">
          <cell r="F90">
            <v>3.49</v>
          </cell>
        </row>
        <row r="92">
          <cell r="C92">
            <v>4</v>
          </cell>
          <cell r="D92">
            <v>1</v>
          </cell>
          <cell r="E92">
            <v>3.7649999999999997</v>
          </cell>
        </row>
        <row r="93">
          <cell r="E93">
            <v>0.28000000000000003</v>
          </cell>
        </row>
        <row r="94">
          <cell r="E94">
            <v>0.2</v>
          </cell>
        </row>
        <row r="95">
          <cell r="F95">
            <v>0.84</v>
          </cell>
        </row>
        <row r="97">
          <cell r="C97">
            <v>4</v>
          </cell>
          <cell r="D97">
            <v>1</v>
          </cell>
          <cell r="E97">
            <v>13.574999999999999</v>
          </cell>
        </row>
        <row r="98">
          <cell r="E98">
            <v>0.48</v>
          </cell>
        </row>
        <row r="99">
          <cell r="E99">
            <v>0.2</v>
          </cell>
        </row>
        <row r="100">
          <cell r="F100">
            <v>5.21</v>
          </cell>
        </row>
        <row r="102">
          <cell r="C102">
            <v>4</v>
          </cell>
          <cell r="D102">
            <v>2</v>
          </cell>
          <cell r="E102">
            <v>8.6000000000000014</v>
          </cell>
        </row>
        <row r="103">
          <cell r="E103">
            <v>0.48</v>
          </cell>
        </row>
        <row r="104">
          <cell r="E104">
            <v>0.2</v>
          </cell>
        </row>
        <row r="105">
          <cell r="F105">
            <v>6.6</v>
          </cell>
        </row>
        <row r="108">
          <cell r="C108">
            <v>4</v>
          </cell>
          <cell r="D108">
            <v>2</v>
          </cell>
          <cell r="E108">
            <v>9.93</v>
          </cell>
        </row>
        <row r="109">
          <cell r="E109">
            <v>0.48</v>
          </cell>
        </row>
        <row r="110">
          <cell r="E110">
            <v>0.2</v>
          </cell>
        </row>
        <row r="111">
          <cell r="F111">
            <v>7.63</v>
          </cell>
        </row>
        <row r="112">
          <cell r="B112">
            <v>1</v>
          </cell>
          <cell r="C112">
            <v>4</v>
          </cell>
          <cell r="D112">
            <v>25</v>
          </cell>
          <cell r="E112">
            <v>0.25</v>
          </cell>
        </row>
        <row r="113">
          <cell r="E113">
            <v>0.4</v>
          </cell>
        </row>
        <row r="114">
          <cell r="E114">
            <v>0.48</v>
          </cell>
        </row>
        <row r="115">
          <cell r="F115">
            <v>4.8</v>
          </cell>
        </row>
        <row r="117">
          <cell r="B117">
            <v>1</v>
          </cell>
          <cell r="C117">
            <v>1</v>
          </cell>
          <cell r="D117">
            <v>1</v>
          </cell>
          <cell r="E117">
            <v>5.25</v>
          </cell>
        </row>
        <row r="118">
          <cell r="E118">
            <v>0.3</v>
          </cell>
        </row>
        <row r="119">
          <cell r="E119">
            <v>0.2</v>
          </cell>
        </row>
        <row r="120">
          <cell r="F120">
            <v>0.32</v>
          </cell>
        </row>
        <row r="121">
          <cell r="B121">
            <v>1</v>
          </cell>
          <cell r="C121">
            <v>1</v>
          </cell>
          <cell r="D121">
            <v>1</v>
          </cell>
          <cell r="E121">
            <v>8.5399999999999991</v>
          </cell>
        </row>
        <row r="122">
          <cell r="E122">
            <v>0.3</v>
          </cell>
        </row>
        <row r="123">
          <cell r="E123">
            <v>0.2</v>
          </cell>
        </row>
        <row r="124">
          <cell r="F124">
            <v>0.51</v>
          </cell>
        </row>
        <row r="125">
          <cell r="B125">
            <v>1</v>
          </cell>
          <cell r="C125">
            <v>1</v>
          </cell>
          <cell r="D125">
            <v>1</v>
          </cell>
          <cell r="E125">
            <v>8.6150000000000002</v>
          </cell>
        </row>
        <row r="126">
          <cell r="E126">
            <v>0.3</v>
          </cell>
        </row>
        <row r="127">
          <cell r="E127">
            <v>0.2</v>
          </cell>
        </row>
        <row r="128">
          <cell r="F128">
            <v>0.52</v>
          </cell>
        </row>
        <row r="129">
          <cell r="B129">
            <v>1</v>
          </cell>
          <cell r="C129">
            <v>1</v>
          </cell>
          <cell r="D129">
            <v>1</v>
          </cell>
          <cell r="E129">
            <v>4.2399999999999993</v>
          </cell>
        </row>
        <row r="130">
          <cell r="E130">
            <v>0.3</v>
          </cell>
        </row>
        <row r="131">
          <cell r="E131">
            <v>0.2</v>
          </cell>
        </row>
        <row r="132">
          <cell r="F132">
            <v>0.25</v>
          </cell>
        </row>
        <row r="133">
          <cell r="B133">
            <v>1</v>
          </cell>
          <cell r="C133">
            <v>1</v>
          </cell>
          <cell r="D133">
            <v>1</v>
          </cell>
          <cell r="E133">
            <v>13.574999999999999</v>
          </cell>
        </row>
        <row r="134">
          <cell r="E134">
            <v>0.3</v>
          </cell>
        </row>
        <row r="135">
          <cell r="E135">
            <v>0.2</v>
          </cell>
        </row>
        <row r="136">
          <cell r="F136">
            <v>0.81</v>
          </cell>
        </row>
        <row r="137">
          <cell r="B137">
            <v>1</v>
          </cell>
          <cell r="C137">
            <v>1</v>
          </cell>
          <cell r="D137">
            <v>2</v>
          </cell>
          <cell r="E137">
            <v>8.6</v>
          </cell>
        </row>
        <row r="138">
          <cell r="E138">
            <v>0.3</v>
          </cell>
        </row>
        <row r="139">
          <cell r="E139">
            <v>0.2</v>
          </cell>
        </row>
        <row r="140">
          <cell r="F140">
            <v>1.03</v>
          </cell>
        </row>
        <row r="141">
          <cell r="B141">
            <v>1</v>
          </cell>
          <cell r="C141">
            <v>1</v>
          </cell>
          <cell r="D141">
            <v>2</v>
          </cell>
          <cell r="E141">
            <v>9.93</v>
          </cell>
        </row>
        <row r="142">
          <cell r="E142">
            <v>0.3</v>
          </cell>
        </row>
        <row r="143">
          <cell r="E143">
            <v>0.2</v>
          </cell>
        </row>
        <row r="144">
          <cell r="F144">
            <v>1.19</v>
          </cell>
        </row>
        <row r="145">
          <cell r="B145">
            <v>1</v>
          </cell>
          <cell r="C145">
            <v>1</v>
          </cell>
          <cell r="D145">
            <v>1</v>
          </cell>
          <cell r="E145">
            <v>7.71</v>
          </cell>
        </row>
        <row r="146">
          <cell r="E146">
            <v>0.3</v>
          </cell>
        </row>
        <row r="147">
          <cell r="E147">
            <v>0.2</v>
          </cell>
        </row>
        <row r="148">
          <cell r="F148">
            <v>0.46</v>
          </cell>
        </row>
        <row r="149">
          <cell r="B149">
            <v>1</v>
          </cell>
          <cell r="C149">
            <v>1</v>
          </cell>
          <cell r="D149">
            <v>1</v>
          </cell>
          <cell r="E149">
            <v>8.84</v>
          </cell>
        </row>
        <row r="150">
          <cell r="E150">
            <v>0.3</v>
          </cell>
        </row>
        <row r="151">
          <cell r="E151">
            <v>0.2</v>
          </cell>
        </row>
        <row r="152">
          <cell r="F152">
            <v>0.53</v>
          </cell>
        </row>
        <row r="153">
          <cell r="B153">
            <v>1</v>
          </cell>
          <cell r="C153">
            <v>1</v>
          </cell>
          <cell r="D153">
            <v>1</v>
          </cell>
          <cell r="E153">
            <v>23.28</v>
          </cell>
        </row>
        <row r="154">
          <cell r="E154">
            <v>0.3</v>
          </cell>
        </row>
        <row r="155">
          <cell r="E155">
            <v>0.2</v>
          </cell>
        </row>
        <row r="156">
          <cell r="F156">
            <v>1.4</v>
          </cell>
        </row>
        <row r="157">
          <cell r="B157">
            <v>1</v>
          </cell>
          <cell r="C157">
            <v>1</v>
          </cell>
          <cell r="D157">
            <v>1</v>
          </cell>
          <cell r="E157">
            <v>9.7000000000000011</v>
          </cell>
        </row>
        <row r="158">
          <cell r="E158">
            <v>0.3</v>
          </cell>
        </row>
        <row r="159">
          <cell r="E159">
            <v>0.2</v>
          </cell>
        </row>
        <row r="160">
          <cell r="F160">
            <v>0.57999999999999996</v>
          </cell>
        </row>
        <row r="161">
          <cell r="B161">
            <v>1</v>
          </cell>
          <cell r="C161">
            <v>1</v>
          </cell>
          <cell r="D161">
            <v>1</v>
          </cell>
          <cell r="E161">
            <v>6.58</v>
          </cell>
        </row>
        <row r="162">
          <cell r="E162">
            <v>0.3</v>
          </cell>
        </row>
        <row r="163">
          <cell r="E163">
            <v>0.2</v>
          </cell>
        </row>
        <row r="164">
          <cell r="F164">
            <v>0.39</v>
          </cell>
        </row>
        <row r="165">
          <cell r="B165">
            <v>1</v>
          </cell>
          <cell r="C165">
            <v>1</v>
          </cell>
          <cell r="D165">
            <v>1</v>
          </cell>
          <cell r="E165">
            <v>4.8499999999999996</v>
          </cell>
        </row>
        <row r="166">
          <cell r="E166">
            <v>0.3</v>
          </cell>
        </row>
        <row r="167">
          <cell r="E167">
            <v>0.2</v>
          </cell>
        </row>
        <row r="168">
          <cell r="F168">
            <v>0.28999999999999998</v>
          </cell>
        </row>
        <row r="169">
          <cell r="B169">
            <v>1</v>
          </cell>
          <cell r="C169">
            <v>1</v>
          </cell>
          <cell r="D169">
            <v>1</v>
          </cell>
          <cell r="E169">
            <v>11.32</v>
          </cell>
        </row>
        <row r="170">
          <cell r="E170">
            <v>0.3</v>
          </cell>
        </row>
        <row r="171">
          <cell r="E171">
            <v>0.2</v>
          </cell>
        </row>
        <row r="172">
          <cell r="F172">
            <v>0.68</v>
          </cell>
        </row>
        <row r="173">
          <cell r="B173">
            <v>1</v>
          </cell>
          <cell r="C173">
            <v>1</v>
          </cell>
          <cell r="D173">
            <v>1</v>
          </cell>
          <cell r="E173">
            <v>4.8499999999999996</v>
          </cell>
        </row>
        <row r="174">
          <cell r="E174">
            <v>0.3</v>
          </cell>
        </row>
        <row r="175">
          <cell r="E175">
            <v>0.2</v>
          </cell>
        </row>
        <row r="176">
          <cell r="F176">
            <v>0.28999999999999998</v>
          </cell>
        </row>
        <row r="177">
          <cell r="B177">
            <v>1</v>
          </cell>
          <cell r="C177">
            <v>1</v>
          </cell>
          <cell r="D177">
            <v>25</v>
          </cell>
          <cell r="E177">
            <v>0.4</v>
          </cell>
        </row>
        <row r="178">
          <cell r="E178">
            <v>0.25</v>
          </cell>
        </row>
        <row r="179">
          <cell r="E179">
            <v>0.3</v>
          </cell>
        </row>
        <row r="180">
          <cell r="F180">
            <v>0.75</v>
          </cell>
        </row>
        <row r="181">
          <cell r="A181" t="str">
            <v>C1.1b</v>
          </cell>
          <cell r="F181">
            <v>71.600000000000023</v>
          </cell>
        </row>
        <row r="184">
          <cell r="C184">
            <v>1</v>
          </cell>
          <cell r="D184">
            <v>4</v>
          </cell>
          <cell r="E184">
            <v>1.04</v>
          </cell>
        </row>
        <row r="185">
          <cell r="E185">
            <v>1.35</v>
          </cell>
        </row>
        <row r="186">
          <cell r="F186">
            <v>5.62</v>
          </cell>
        </row>
        <row r="187">
          <cell r="C187">
            <v>1</v>
          </cell>
          <cell r="D187">
            <v>4</v>
          </cell>
          <cell r="E187">
            <v>1.05</v>
          </cell>
        </row>
        <row r="188">
          <cell r="E188">
            <v>1.35</v>
          </cell>
        </row>
        <row r="189">
          <cell r="F189">
            <v>5.67</v>
          </cell>
        </row>
        <row r="190">
          <cell r="B190">
            <v>4</v>
          </cell>
          <cell r="C190">
            <v>1</v>
          </cell>
          <cell r="D190">
            <v>1</v>
          </cell>
          <cell r="E190">
            <v>1.46</v>
          </cell>
        </row>
        <row r="191">
          <cell r="E191">
            <v>0.3</v>
          </cell>
        </row>
        <row r="192">
          <cell r="E192">
            <v>0.19</v>
          </cell>
        </row>
        <row r="193">
          <cell r="F193">
            <v>0.33</v>
          </cell>
        </row>
        <row r="194">
          <cell r="C194">
            <v>1</v>
          </cell>
          <cell r="D194">
            <v>4</v>
          </cell>
          <cell r="E194">
            <v>0.31</v>
          </cell>
        </row>
        <row r="195">
          <cell r="E195">
            <v>0.1</v>
          </cell>
        </row>
        <row r="196">
          <cell r="F196">
            <v>0.12</v>
          </cell>
        </row>
        <row r="197">
          <cell r="A197" t="str">
            <v>C1.1c</v>
          </cell>
          <cell r="F197">
            <v>11.739999999999998</v>
          </cell>
        </row>
        <row r="201">
          <cell r="B201">
            <v>1</v>
          </cell>
          <cell r="C201">
            <v>4</v>
          </cell>
          <cell r="D201">
            <v>37</v>
          </cell>
          <cell r="E201">
            <v>0.52</v>
          </cell>
        </row>
        <row r="202">
          <cell r="E202">
            <v>0.15</v>
          </cell>
        </row>
        <row r="203">
          <cell r="E203">
            <v>0.22</v>
          </cell>
        </row>
        <row r="204">
          <cell r="F204">
            <v>2.54</v>
          </cell>
        </row>
        <row r="205">
          <cell r="A205" t="str">
            <v>C1.1d</v>
          </cell>
          <cell r="F205">
            <v>2.54</v>
          </cell>
        </row>
        <row r="208">
          <cell r="B208">
            <v>4</v>
          </cell>
          <cell r="C208">
            <v>1</v>
          </cell>
          <cell r="D208">
            <v>1</v>
          </cell>
          <cell r="E208">
            <v>3</v>
          </cell>
        </row>
        <row r="209">
          <cell r="E209">
            <v>1.62</v>
          </cell>
        </row>
        <row r="210">
          <cell r="E210">
            <v>0.06</v>
          </cell>
        </row>
        <row r="211">
          <cell r="F211">
            <v>1.17</v>
          </cell>
        </row>
        <row r="212">
          <cell r="B212">
            <v>4</v>
          </cell>
          <cell r="C212">
            <v>1</v>
          </cell>
          <cell r="D212">
            <v>1</v>
          </cell>
          <cell r="E212">
            <v>2.38</v>
          </cell>
        </row>
        <row r="213">
          <cell r="E213">
            <v>1.42</v>
          </cell>
        </row>
        <row r="214">
          <cell r="E214">
            <v>0.06</v>
          </cell>
        </row>
        <row r="215">
          <cell r="F215">
            <v>0.81</v>
          </cell>
        </row>
        <row r="216">
          <cell r="B216">
            <v>4</v>
          </cell>
          <cell r="C216">
            <v>1</v>
          </cell>
          <cell r="D216">
            <v>1</v>
          </cell>
          <cell r="E216">
            <v>1.42</v>
          </cell>
        </row>
        <row r="217">
          <cell r="E217">
            <v>2.4</v>
          </cell>
        </row>
        <row r="218">
          <cell r="E218">
            <v>0.06</v>
          </cell>
        </row>
        <row r="219">
          <cell r="F219">
            <v>0.82</v>
          </cell>
        </row>
        <row r="220">
          <cell r="B220">
            <v>4</v>
          </cell>
          <cell r="C220">
            <v>1</v>
          </cell>
          <cell r="D220">
            <v>1</v>
          </cell>
          <cell r="E220">
            <v>2.38</v>
          </cell>
        </row>
        <row r="221">
          <cell r="E221">
            <v>1.82</v>
          </cell>
        </row>
        <row r="222">
          <cell r="E222">
            <v>0.06</v>
          </cell>
        </row>
        <row r="223">
          <cell r="F223">
            <v>1.04</v>
          </cell>
        </row>
        <row r="224">
          <cell r="A224" t="str">
            <v>C1.1e</v>
          </cell>
          <cell r="F224">
            <v>3.84</v>
          </cell>
        </row>
        <row r="227">
          <cell r="B227">
            <v>1</v>
          </cell>
          <cell r="C227">
            <v>1</v>
          </cell>
          <cell r="D227">
            <v>1</v>
          </cell>
          <cell r="E227">
            <v>8.5100000000000016</v>
          </cell>
        </row>
        <row r="228">
          <cell r="E228">
            <v>3.84</v>
          </cell>
        </row>
        <row r="229">
          <cell r="F229">
            <v>32.68</v>
          </cell>
        </row>
        <row r="230">
          <cell r="B230">
            <v>1</v>
          </cell>
          <cell r="C230">
            <v>1</v>
          </cell>
          <cell r="D230">
            <v>1</v>
          </cell>
          <cell r="E230">
            <v>9.6399999999999988</v>
          </cell>
        </row>
        <row r="231">
          <cell r="E231">
            <v>4.8499999999999996</v>
          </cell>
        </row>
        <row r="232">
          <cell r="F232">
            <v>46.75</v>
          </cell>
        </row>
        <row r="233">
          <cell r="B233">
            <v>1</v>
          </cell>
          <cell r="C233">
            <v>1</v>
          </cell>
          <cell r="D233">
            <v>1</v>
          </cell>
          <cell r="E233">
            <v>7.38</v>
          </cell>
        </row>
        <row r="234">
          <cell r="E234">
            <v>4.8499999999999996</v>
          </cell>
        </row>
        <row r="235">
          <cell r="F235">
            <v>35.79</v>
          </cell>
        </row>
        <row r="236">
          <cell r="B236">
            <v>1</v>
          </cell>
          <cell r="C236">
            <v>1</v>
          </cell>
          <cell r="D236">
            <v>1</v>
          </cell>
          <cell r="E236">
            <v>2.83</v>
          </cell>
        </row>
        <row r="237">
          <cell r="E237">
            <v>4.9000000000000004</v>
          </cell>
        </row>
        <row r="238">
          <cell r="F238">
            <v>13.87</v>
          </cell>
        </row>
        <row r="239">
          <cell r="B239">
            <v>1</v>
          </cell>
          <cell r="C239">
            <v>1</v>
          </cell>
          <cell r="D239">
            <v>1</v>
          </cell>
          <cell r="E239">
            <v>9.25</v>
          </cell>
        </row>
        <row r="240">
          <cell r="E240">
            <v>4.8499999999999996</v>
          </cell>
        </row>
        <row r="241">
          <cell r="F241">
            <v>44.86</v>
          </cell>
        </row>
        <row r="242">
          <cell r="B242">
            <v>1</v>
          </cell>
          <cell r="C242">
            <v>1</v>
          </cell>
          <cell r="D242">
            <v>1</v>
          </cell>
          <cell r="E242">
            <v>10.38</v>
          </cell>
        </row>
        <row r="243">
          <cell r="E243">
            <v>4.8499999999999996</v>
          </cell>
        </row>
        <row r="244">
          <cell r="F244">
            <v>50.34</v>
          </cell>
        </row>
        <row r="245">
          <cell r="B245">
            <v>1</v>
          </cell>
          <cell r="C245">
            <v>1</v>
          </cell>
          <cell r="D245">
            <v>1</v>
          </cell>
          <cell r="E245">
            <v>9.25</v>
          </cell>
        </row>
        <row r="246">
          <cell r="E246">
            <v>3.84</v>
          </cell>
        </row>
        <row r="247">
          <cell r="F247">
            <v>35.520000000000003</v>
          </cell>
        </row>
        <row r="248">
          <cell r="F248">
            <v>259.81</v>
          </cell>
        </row>
        <row r="251">
          <cell r="A251" t="str">
            <v>C1.2a</v>
          </cell>
          <cell r="F251">
            <v>259.81</v>
          </cell>
        </row>
        <row r="253">
          <cell r="A253" t="str">
            <v>C1.2b</v>
          </cell>
          <cell r="F253">
            <v>259.81</v>
          </cell>
        </row>
        <row r="256">
          <cell r="A256" t="str">
            <v>C1.2c</v>
          </cell>
          <cell r="F256">
            <v>259.81</v>
          </cell>
        </row>
        <row r="259">
          <cell r="A259" t="str">
            <v>C1.2d</v>
          </cell>
          <cell r="F259">
            <v>259.81</v>
          </cell>
        </row>
        <row r="262">
          <cell r="D262">
            <v>4</v>
          </cell>
          <cell r="E262">
            <v>53</v>
          </cell>
        </row>
        <row r="263">
          <cell r="F263">
            <v>212</v>
          </cell>
        </row>
        <row r="264">
          <cell r="A264" t="str">
            <v>C1.2e</v>
          </cell>
          <cell r="F264">
            <v>212</v>
          </cell>
        </row>
        <row r="267">
          <cell r="D267">
            <v>4</v>
          </cell>
          <cell r="E267">
            <v>26</v>
          </cell>
        </row>
        <row r="268">
          <cell r="F268">
            <v>104</v>
          </cell>
        </row>
        <row r="269">
          <cell r="A269" t="str">
            <v>C1.2f</v>
          </cell>
          <cell r="F269">
            <v>104</v>
          </cell>
        </row>
        <row r="272">
          <cell r="D272">
            <v>4</v>
          </cell>
          <cell r="E272">
            <v>7</v>
          </cell>
        </row>
        <row r="273">
          <cell r="F273">
            <v>28</v>
          </cell>
        </row>
        <row r="274">
          <cell r="A274" t="str">
            <v>C1.2f'</v>
          </cell>
          <cell r="F274">
            <v>28</v>
          </cell>
        </row>
        <row r="279">
          <cell r="B279">
            <v>1</v>
          </cell>
          <cell r="C279">
            <v>1</v>
          </cell>
          <cell r="D279">
            <v>23</v>
          </cell>
          <cell r="E279">
            <v>1.3</v>
          </cell>
        </row>
        <row r="280">
          <cell r="E280">
            <v>2.4</v>
          </cell>
        </row>
        <row r="281">
          <cell r="F281">
            <v>71.760000000000005</v>
          </cell>
        </row>
        <row r="282">
          <cell r="B282">
            <v>1</v>
          </cell>
          <cell r="C282">
            <v>1</v>
          </cell>
          <cell r="D282">
            <v>2</v>
          </cell>
          <cell r="E282">
            <v>1.5</v>
          </cell>
        </row>
        <row r="283">
          <cell r="E283">
            <v>2.4</v>
          </cell>
        </row>
        <row r="284">
          <cell r="F284">
            <v>7.2</v>
          </cell>
        </row>
        <row r="286">
          <cell r="B286">
            <v>1</v>
          </cell>
          <cell r="C286">
            <v>1</v>
          </cell>
          <cell r="D286">
            <v>23</v>
          </cell>
          <cell r="E286">
            <v>1.3</v>
          </cell>
        </row>
        <row r="287">
          <cell r="E287">
            <v>2.4</v>
          </cell>
        </row>
        <row r="288">
          <cell r="F288">
            <v>71.760000000000005</v>
          </cell>
        </row>
        <row r="289">
          <cell r="B289">
            <v>1</v>
          </cell>
          <cell r="C289">
            <v>1</v>
          </cell>
          <cell r="D289">
            <v>2</v>
          </cell>
          <cell r="E289">
            <v>1.4</v>
          </cell>
        </row>
        <row r="290">
          <cell r="E290">
            <v>2.4</v>
          </cell>
        </row>
        <row r="291">
          <cell r="F291">
            <v>6.72</v>
          </cell>
        </row>
        <row r="293">
          <cell r="B293">
            <v>2</v>
          </cell>
          <cell r="C293">
            <v>1</v>
          </cell>
          <cell r="D293">
            <v>25</v>
          </cell>
          <cell r="E293">
            <v>1.3</v>
          </cell>
        </row>
        <row r="294">
          <cell r="E294">
            <v>2.4</v>
          </cell>
        </row>
        <row r="295">
          <cell r="F295">
            <v>156</v>
          </cell>
        </row>
        <row r="297">
          <cell r="B297">
            <v>1</v>
          </cell>
          <cell r="C297">
            <v>1</v>
          </cell>
          <cell r="D297">
            <v>25</v>
          </cell>
          <cell r="E297">
            <v>1.3</v>
          </cell>
        </row>
        <row r="298">
          <cell r="E298">
            <v>2.58</v>
          </cell>
        </row>
        <row r="299">
          <cell r="F299">
            <v>83.85</v>
          </cell>
        </row>
        <row r="300">
          <cell r="A300" t="str">
            <v>C1.3a</v>
          </cell>
          <cell r="F300">
            <v>397.29000000000008</v>
          </cell>
        </row>
        <row r="305">
          <cell r="B305">
            <v>4</v>
          </cell>
          <cell r="C305">
            <v>1</v>
          </cell>
          <cell r="D305">
            <v>1</v>
          </cell>
          <cell r="E305">
            <v>89.67</v>
          </cell>
        </row>
        <row r="306">
          <cell r="E306">
            <v>0.48</v>
          </cell>
        </row>
        <row r="307">
          <cell r="F307">
            <v>172.17</v>
          </cell>
        </row>
        <row r="309">
          <cell r="B309">
            <v>4</v>
          </cell>
          <cell r="C309">
            <v>1</v>
          </cell>
          <cell r="D309">
            <v>1</v>
          </cell>
          <cell r="E309">
            <v>25.1</v>
          </cell>
        </row>
        <row r="310">
          <cell r="E310">
            <v>0.2</v>
          </cell>
        </row>
        <row r="311">
          <cell r="F311">
            <v>20.079999999999998</v>
          </cell>
        </row>
        <row r="312">
          <cell r="B312">
            <v>4</v>
          </cell>
          <cell r="C312">
            <v>1</v>
          </cell>
          <cell r="D312">
            <v>1</v>
          </cell>
          <cell r="E312">
            <v>48.38</v>
          </cell>
        </row>
        <row r="313">
          <cell r="E313">
            <v>0.2</v>
          </cell>
        </row>
        <row r="314">
          <cell r="F314">
            <v>38.700000000000003</v>
          </cell>
        </row>
        <row r="315">
          <cell r="B315">
            <v>4</v>
          </cell>
          <cell r="C315">
            <v>1</v>
          </cell>
          <cell r="D315">
            <v>1</v>
          </cell>
          <cell r="E315">
            <v>24.46</v>
          </cell>
        </row>
        <row r="316">
          <cell r="E316">
            <v>0.2</v>
          </cell>
        </row>
        <row r="317">
          <cell r="F317">
            <v>19.57</v>
          </cell>
        </row>
        <row r="318">
          <cell r="B318">
            <v>4</v>
          </cell>
          <cell r="C318">
            <v>1</v>
          </cell>
          <cell r="D318">
            <v>1</v>
          </cell>
          <cell r="E318">
            <v>15.46</v>
          </cell>
        </row>
        <row r="319">
          <cell r="E319">
            <v>0.2</v>
          </cell>
        </row>
        <row r="320">
          <cell r="F320">
            <v>12.37</v>
          </cell>
        </row>
        <row r="321">
          <cell r="B321">
            <v>4</v>
          </cell>
          <cell r="C321">
            <v>1</v>
          </cell>
          <cell r="D321">
            <v>1</v>
          </cell>
          <cell r="E321">
            <v>28.2</v>
          </cell>
        </row>
        <row r="322">
          <cell r="E322">
            <v>0.2</v>
          </cell>
        </row>
        <row r="323">
          <cell r="F323">
            <v>22.56</v>
          </cell>
        </row>
        <row r="324">
          <cell r="B324">
            <v>4</v>
          </cell>
          <cell r="C324">
            <v>1</v>
          </cell>
          <cell r="D324">
            <v>1</v>
          </cell>
          <cell r="E324">
            <v>40.159999999999997</v>
          </cell>
        </row>
        <row r="325">
          <cell r="E325">
            <v>0.2</v>
          </cell>
        </row>
        <row r="326">
          <cell r="F326">
            <v>32.130000000000003</v>
          </cell>
        </row>
        <row r="327">
          <cell r="B327">
            <v>4</v>
          </cell>
          <cell r="C327">
            <v>1</v>
          </cell>
          <cell r="D327">
            <v>1</v>
          </cell>
          <cell r="E327">
            <v>26.18</v>
          </cell>
        </row>
        <row r="328">
          <cell r="E328">
            <v>0.2</v>
          </cell>
        </row>
        <row r="329">
          <cell r="F329">
            <v>20.94</v>
          </cell>
        </row>
        <row r="330">
          <cell r="B330">
            <v>4</v>
          </cell>
          <cell r="C330">
            <v>1</v>
          </cell>
          <cell r="D330">
            <v>1</v>
          </cell>
          <cell r="E330">
            <v>2.83</v>
          </cell>
        </row>
        <row r="331">
          <cell r="E331">
            <v>0.28999999999999998</v>
          </cell>
        </row>
        <row r="332">
          <cell r="F332">
            <v>3.28</v>
          </cell>
        </row>
        <row r="333">
          <cell r="B333">
            <v>4</v>
          </cell>
          <cell r="C333">
            <v>1</v>
          </cell>
          <cell r="D333">
            <v>1</v>
          </cell>
          <cell r="E333">
            <v>4.1500000000000004</v>
          </cell>
        </row>
        <row r="334">
          <cell r="E334">
            <v>0.48</v>
          </cell>
        </row>
        <row r="335">
          <cell r="F335">
            <v>7.97</v>
          </cell>
        </row>
        <row r="336">
          <cell r="B336">
            <v>4</v>
          </cell>
          <cell r="C336">
            <v>1</v>
          </cell>
          <cell r="D336">
            <v>1</v>
          </cell>
          <cell r="E336">
            <v>4.4000000000000004</v>
          </cell>
        </row>
        <row r="337">
          <cell r="E337">
            <v>0.48</v>
          </cell>
        </row>
        <row r="338">
          <cell r="F338">
            <v>8.4499999999999993</v>
          </cell>
        </row>
        <row r="340">
          <cell r="B340">
            <v>4</v>
          </cell>
          <cell r="C340">
            <v>1</v>
          </cell>
          <cell r="D340">
            <v>1</v>
          </cell>
          <cell r="E340">
            <v>7.9099999999999993</v>
          </cell>
        </row>
        <row r="341">
          <cell r="E341">
            <v>0.2</v>
          </cell>
        </row>
        <row r="342">
          <cell r="F342">
            <v>6.33</v>
          </cell>
        </row>
        <row r="343">
          <cell r="B343">
            <v>4</v>
          </cell>
          <cell r="C343">
            <v>1</v>
          </cell>
          <cell r="D343">
            <v>1</v>
          </cell>
          <cell r="E343">
            <v>9.2399999999999984</v>
          </cell>
        </row>
        <row r="344">
          <cell r="E344">
            <v>0.2</v>
          </cell>
        </row>
        <row r="345">
          <cell r="F345">
            <v>7.39</v>
          </cell>
        </row>
        <row r="346">
          <cell r="B346">
            <v>4</v>
          </cell>
          <cell r="C346">
            <v>1</v>
          </cell>
          <cell r="D346">
            <v>1</v>
          </cell>
          <cell r="E346">
            <v>23.48</v>
          </cell>
        </row>
        <row r="347">
          <cell r="E347">
            <v>0.2</v>
          </cell>
        </row>
        <row r="348">
          <cell r="F348">
            <v>18.78</v>
          </cell>
        </row>
        <row r="349">
          <cell r="B349">
            <v>4</v>
          </cell>
          <cell r="C349">
            <v>1</v>
          </cell>
          <cell r="D349">
            <v>1</v>
          </cell>
          <cell r="E349">
            <v>9.41</v>
          </cell>
        </row>
        <row r="350">
          <cell r="E350">
            <v>0.2</v>
          </cell>
        </row>
        <row r="351">
          <cell r="F351">
            <v>7.53</v>
          </cell>
        </row>
        <row r="352">
          <cell r="B352">
            <v>4</v>
          </cell>
          <cell r="C352">
            <v>1</v>
          </cell>
          <cell r="D352">
            <v>1</v>
          </cell>
          <cell r="E352">
            <v>16.12</v>
          </cell>
        </row>
        <row r="353">
          <cell r="E353">
            <v>0.2</v>
          </cell>
        </row>
        <row r="354">
          <cell r="F354">
            <v>12.9</v>
          </cell>
        </row>
        <row r="355">
          <cell r="B355">
            <v>4</v>
          </cell>
          <cell r="C355">
            <v>1</v>
          </cell>
          <cell r="D355">
            <v>1</v>
          </cell>
          <cell r="E355">
            <v>5.25</v>
          </cell>
        </row>
        <row r="356">
          <cell r="E356">
            <v>0.2</v>
          </cell>
        </row>
        <row r="357">
          <cell r="F357">
            <v>4.2</v>
          </cell>
        </row>
        <row r="358">
          <cell r="B358">
            <v>4</v>
          </cell>
          <cell r="C358">
            <v>1</v>
          </cell>
          <cell r="D358">
            <v>1</v>
          </cell>
          <cell r="E358">
            <v>4.8499999999999996</v>
          </cell>
        </row>
        <row r="359">
          <cell r="E359">
            <v>0.2</v>
          </cell>
        </row>
        <row r="360">
          <cell r="F360">
            <v>3.88</v>
          </cell>
        </row>
        <row r="361">
          <cell r="B361">
            <v>4</v>
          </cell>
          <cell r="C361">
            <v>1</v>
          </cell>
          <cell r="D361">
            <v>1</v>
          </cell>
          <cell r="E361">
            <v>13.34</v>
          </cell>
        </row>
        <row r="362">
          <cell r="E362">
            <v>0.2</v>
          </cell>
        </row>
        <row r="363">
          <cell r="F363">
            <v>10.67</v>
          </cell>
        </row>
        <row r="364">
          <cell r="B364">
            <v>4</v>
          </cell>
          <cell r="C364">
            <v>1</v>
          </cell>
          <cell r="D364">
            <v>1</v>
          </cell>
          <cell r="E364">
            <v>17.34</v>
          </cell>
        </row>
        <row r="365">
          <cell r="E365">
            <v>0.2</v>
          </cell>
        </row>
        <row r="366">
          <cell r="F366">
            <v>13.87</v>
          </cell>
        </row>
        <row r="367">
          <cell r="B367">
            <v>4</v>
          </cell>
          <cell r="C367">
            <v>1</v>
          </cell>
          <cell r="D367">
            <v>1</v>
          </cell>
          <cell r="E367">
            <v>8.69</v>
          </cell>
        </row>
        <row r="368">
          <cell r="E368">
            <v>0.2</v>
          </cell>
        </row>
        <row r="369">
          <cell r="F369">
            <v>6.95</v>
          </cell>
        </row>
        <row r="370">
          <cell r="B370">
            <v>4</v>
          </cell>
          <cell r="C370">
            <v>1</v>
          </cell>
          <cell r="D370">
            <v>2</v>
          </cell>
          <cell r="E370">
            <v>8.6</v>
          </cell>
        </row>
        <row r="371">
          <cell r="E371">
            <v>0.2</v>
          </cell>
        </row>
        <row r="372">
          <cell r="F372">
            <v>13.76</v>
          </cell>
        </row>
        <row r="373">
          <cell r="B373">
            <v>4</v>
          </cell>
          <cell r="C373">
            <v>1</v>
          </cell>
          <cell r="D373">
            <v>2</v>
          </cell>
          <cell r="E373">
            <v>9.73</v>
          </cell>
        </row>
        <row r="374">
          <cell r="E374">
            <v>0.2</v>
          </cell>
        </row>
        <row r="375">
          <cell r="F375">
            <v>15.57</v>
          </cell>
        </row>
        <row r="379">
          <cell r="B379">
            <v>1</v>
          </cell>
          <cell r="C379">
            <v>1</v>
          </cell>
          <cell r="D379">
            <v>1</v>
          </cell>
          <cell r="E379">
            <v>92.7</v>
          </cell>
        </row>
        <row r="380">
          <cell r="E380">
            <v>0.3</v>
          </cell>
        </row>
        <row r="381">
          <cell r="F381">
            <v>27.81</v>
          </cell>
        </row>
        <row r="383">
          <cell r="B383">
            <v>1</v>
          </cell>
          <cell r="C383">
            <v>1</v>
          </cell>
          <cell r="D383">
            <v>1</v>
          </cell>
          <cell r="E383">
            <v>4.8499999999999996</v>
          </cell>
        </row>
        <row r="384">
          <cell r="E384">
            <v>0.3</v>
          </cell>
        </row>
        <row r="385">
          <cell r="F385">
            <v>1.46</v>
          </cell>
        </row>
        <row r="386">
          <cell r="B386">
            <v>1</v>
          </cell>
          <cell r="C386">
            <v>1</v>
          </cell>
          <cell r="D386">
            <v>1</v>
          </cell>
          <cell r="E386">
            <v>8.7399999999999984</v>
          </cell>
        </row>
        <row r="387">
          <cell r="E387">
            <v>0.3</v>
          </cell>
        </row>
        <row r="388">
          <cell r="F388">
            <v>2.62</v>
          </cell>
        </row>
        <row r="389">
          <cell r="B389">
            <v>1</v>
          </cell>
          <cell r="C389">
            <v>1</v>
          </cell>
          <cell r="D389">
            <v>2</v>
          </cell>
          <cell r="E389">
            <v>4.8</v>
          </cell>
        </row>
        <row r="390">
          <cell r="E390">
            <v>0.3</v>
          </cell>
        </row>
        <row r="391">
          <cell r="F391">
            <v>2.88</v>
          </cell>
        </row>
        <row r="392">
          <cell r="B392">
            <v>1</v>
          </cell>
          <cell r="C392">
            <v>1</v>
          </cell>
          <cell r="D392">
            <v>2</v>
          </cell>
          <cell r="E392">
            <v>3.84</v>
          </cell>
        </row>
        <row r="393">
          <cell r="E393">
            <v>0.3</v>
          </cell>
        </row>
        <row r="394">
          <cell r="F394">
            <v>2.2999999999999998</v>
          </cell>
        </row>
        <row r="395">
          <cell r="B395">
            <v>1</v>
          </cell>
          <cell r="C395">
            <v>1</v>
          </cell>
          <cell r="D395">
            <v>1</v>
          </cell>
          <cell r="E395">
            <v>23.8</v>
          </cell>
        </row>
        <row r="396">
          <cell r="E396">
            <v>0.3</v>
          </cell>
        </row>
        <row r="397">
          <cell r="F397">
            <v>7.14</v>
          </cell>
        </row>
        <row r="398">
          <cell r="B398">
            <v>1</v>
          </cell>
          <cell r="C398">
            <v>1</v>
          </cell>
          <cell r="D398">
            <v>1</v>
          </cell>
          <cell r="E398">
            <v>3.84</v>
          </cell>
        </row>
        <row r="399">
          <cell r="E399">
            <v>0.3</v>
          </cell>
        </row>
        <row r="400">
          <cell r="F400">
            <v>1.1499999999999999</v>
          </cell>
        </row>
        <row r="401">
          <cell r="B401">
            <v>1</v>
          </cell>
          <cell r="C401">
            <v>1</v>
          </cell>
          <cell r="D401">
            <v>1</v>
          </cell>
          <cell r="E401">
            <v>18.3</v>
          </cell>
        </row>
        <row r="402">
          <cell r="E402">
            <v>0.3</v>
          </cell>
        </row>
        <row r="403">
          <cell r="F403">
            <v>5.49</v>
          </cell>
        </row>
        <row r="404">
          <cell r="B404">
            <v>1</v>
          </cell>
          <cell r="C404">
            <v>1</v>
          </cell>
          <cell r="D404">
            <v>2</v>
          </cell>
          <cell r="E404">
            <v>20.560000000000002</v>
          </cell>
        </row>
        <row r="405">
          <cell r="E405">
            <v>0.3</v>
          </cell>
        </row>
        <row r="406">
          <cell r="F406">
            <v>12.34</v>
          </cell>
        </row>
        <row r="407">
          <cell r="B407">
            <v>1</v>
          </cell>
          <cell r="C407">
            <v>1</v>
          </cell>
          <cell r="D407">
            <v>1</v>
          </cell>
          <cell r="E407">
            <v>9.25</v>
          </cell>
        </row>
        <row r="408">
          <cell r="E408">
            <v>0.3</v>
          </cell>
        </row>
        <row r="409">
          <cell r="F409">
            <v>2.78</v>
          </cell>
        </row>
        <row r="410">
          <cell r="B410">
            <v>1</v>
          </cell>
          <cell r="C410">
            <v>1</v>
          </cell>
          <cell r="D410">
            <v>1</v>
          </cell>
          <cell r="E410">
            <v>8.51</v>
          </cell>
        </row>
        <row r="411">
          <cell r="E411">
            <v>0.3</v>
          </cell>
        </row>
        <row r="412">
          <cell r="F412">
            <v>2.5499999999999998</v>
          </cell>
        </row>
        <row r="413">
          <cell r="B413">
            <v>1</v>
          </cell>
          <cell r="C413">
            <v>1</v>
          </cell>
          <cell r="D413">
            <v>1</v>
          </cell>
          <cell r="E413">
            <v>18.349999999999998</v>
          </cell>
        </row>
        <row r="414">
          <cell r="E414">
            <v>0.3</v>
          </cell>
        </row>
        <row r="415">
          <cell r="F415">
            <v>5.51</v>
          </cell>
        </row>
        <row r="416">
          <cell r="B416">
            <v>1</v>
          </cell>
          <cell r="C416">
            <v>1</v>
          </cell>
          <cell r="D416">
            <v>1</v>
          </cell>
          <cell r="E416">
            <v>33.590000000000003</v>
          </cell>
        </row>
        <row r="417">
          <cell r="E417">
            <v>0.3</v>
          </cell>
        </row>
        <row r="418">
          <cell r="F418">
            <v>10.08</v>
          </cell>
        </row>
        <row r="419">
          <cell r="B419">
            <v>1</v>
          </cell>
          <cell r="C419">
            <v>1</v>
          </cell>
          <cell r="D419">
            <v>2</v>
          </cell>
          <cell r="E419">
            <v>9.6999999999999993</v>
          </cell>
        </row>
        <row r="420">
          <cell r="E420">
            <v>0.3</v>
          </cell>
        </row>
        <row r="421">
          <cell r="F421">
            <v>5.82</v>
          </cell>
        </row>
        <row r="422">
          <cell r="B422">
            <v>1</v>
          </cell>
          <cell r="C422">
            <v>1</v>
          </cell>
          <cell r="D422">
            <v>1</v>
          </cell>
          <cell r="E422">
            <v>7.38</v>
          </cell>
        </row>
        <row r="423">
          <cell r="E423">
            <v>0.3</v>
          </cell>
        </row>
        <row r="424">
          <cell r="F424">
            <v>2.21</v>
          </cell>
        </row>
        <row r="425">
          <cell r="B425">
            <v>1</v>
          </cell>
          <cell r="C425">
            <v>1</v>
          </cell>
          <cell r="D425">
            <v>2</v>
          </cell>
          <cell r="E425">
            <v>4.8499999999999996</v>
          </cell>
        </row>
        <row r="426">
          <cell r="E426">
            <v>0.3</v>
          </cell>
        </row>
        <row r="427">
          <cell r="F427">
            <v>2.91</v>
          </cell>
        </row>
        <row r="428">
          <cell r="B428">
            <v>1</v>
          </cell>
          <cell r="C428">
            <v>1</v>
          </cell>
          <cell r="D428">
            <v>1</v>
          </cell>
          <cell r="E428">
            <v>11.57</v>
          </cell>
        </row>
        <row r="429">
          <cell r="E429">
            <v>0.3</v>
          </cell>
        </row>
        <row r="430">
          <cell r="F430">
            <v>3.47</v>
          </cell>
        </row>
        <row r="431">
          <cell r="B431">
            <v>1</v>
          </cell>
          <cell r="C431">
            <v>1</v>
          </cell>
          <cell r="D431">
            <v>1</v>
          </cell>
          <cell r="E431">
            <v>4.8499999999999996</v>
          </cell>
        </row>
        <row r="432">
          <cell r="E432">
            <v>0.3</v>
          </cell>
        </row>
        <row r="433">
          <cell r="F433">
            <v>1.46</v>
          </cell>
        </row>
        <row r="435">
          <cell r="B435">
            <v>1</v>
          </cell>
          <cell r="C435">
            <v>1</v>
          </cell>
          <cell r="D435">
            <v>1</v>
          </cell>
          <cell r="E435">
            <v>5.25</v>
          </cell>
        </row>
        <row r="436">
          <cell r="E436">
            <v>0.2</v>
          </cell>
        </row>
        <row r="437">
          <cell r="F437">
            <v>1.05</v>
          </cell>
        </row>
        <row r="438">
          <cell r="B438">
            <v>1</v>
          </cell>
          <cell r="C438">
            <v>1</v>
          </cell>
          <cell r="D438">
            <v>1</v>
          </cell>
          <cell r="E438">
            <v>8.5399999999999991</v>
          </cell>
        </row>
        <row r="439">
          <cell r="E439">
            <v>0.2</v>
          </cell>
        </row>
        <row r="440">
          <cell r="F440">
            <v>1.71</v>
          </cell>
        </row>
        <row r="441">
          <cell r="B441">
            <v>1</v>
          </cell>
          <cell r="C441">
            <v>1</v>
          </cell>
          <cell r="D441">
            <v>1</v>
          </cell>
          <cell r="E441">
            <v>8.6150000000000002</v>
          </cell>
        </row>
        <row r="442">
          <cell r="E442">
            <v>0.2</v>
          </cell>
        </row>
        <row r="443">
          <cell r="F443">
            <v>1.72</v>
          </cell>
        </row>
        <row r="444">
          <cell r="B444">
            <v>1</v>
          </cell>
          <cell r="C444">
            <v>1</v>
          </cell>
          <cell r="D444">
            <v>1</v>
          </cell>
          <cell r="E444">
            <v>4.2399999999999993</v>
          </cell>
        </row>
        <row r="445">
          <cell r="E445">
            <v>0.2</v>
          </cell>
        </row>
        <row r="446">
          <cell r="F446">
            <v>0.85</v>
          </cell>
        </row>
        <row r="447">
          <cell r="B447">
            <v>1</v>
          </cell>
          <cell r="C447">
            <v>1</v>
          </cell>
          <cell r="D447">
            <v>1</v>
          </cell>
          <cell r="E447">
            <v>13.574999999999999</v>
          </cell>
        </row>
        <row r="448">
          <cell r="E448">
            <v>0.2</v>
          </cell>
        </row>
        <row r="449">
          <cell r="F449">
            <v>2.72</v>
          </cell>
        </row>
        <row r="450">
          <cell r="B450">
            <v>1</v>
          </cell>
          <cell r="C450">
            <v>1</v>
          </cell>
          <cell r="D450">
            <v>1</v>
          </cell>
          <cell r="E450">
            <v>8.6</v>
          </cell>
        </row>
        <row r="451">
          <cell r="E451">
            <v>0.2</v>
          </cell>
        </row>
        <row r="452">
          <cell r="F452">
            <v>1.72</v>
          </cell>
        </row>
        <row r="453">
          <cell r="B453">
            <v>1</v>
          </cell>
          <cell r="C453">
            <v>1</v>
          </cell>
          <cell r="D453">
            <v>2</v>
          </cell>
          <cell r="E453">
            <v>9.93</v>
          </cell>
        </row>
        <row r="454">
          <cell r="E454">
            <v>0.2</v>
          </cell>
        </row>
        <row r="455">
          <cell r="F455">
            <v>3.97</v>
          </cell>
        </row>
        <row r="456">
          <cell r="B456">
            <v>1</v>
          </cell>
          <cell r="C456">
            <v>1</v>
          </cell>
          <cell r="D456">
            <v>1</v>
          </cell>
          <cell r="E456">
            <v>8.6</v>
          </cell>
        </row>
        <row r="457">
          <cell r="E457">
            <v>0.2</v>
          </cell>
        </row>
        <row r="458">
          <cell r="F458">
            <v>1.72</v>
          </cell>
        </row>
        <row r="459">
          <cell r="B459">
            <v>1</v>
          </cell>
          <cell r="C459">
            <v>1</v>
          </cell>
          <cell r="D459">
            <v>1</v>
          </cell>
          <cell r="E459">
            <v>7.71</v>
          </cell>
        </row>
        <row r="460">
          <cell r="E460">
            <v>0.2</v>
          </cell>
        </row>
        <row r="461">
          <cell r="F461">
            <v>1.54</v>
          </cell>
        </row>
        <row r="462">
          <cell r="B462">
            <v>1</v>
          </cell>
          <cell r="C462">
            <v>1</v>
          </cell>
          <cell r="D462">
            <v>1</v>
          </cell>
          <cell r="E462">
            <v>8.8399999999999981</v>
          </cell>
        </row>
        <row r="463">
          <cell r="E463">
            <v>0.2</v>
          </cell>
        </row>
        <row r="464">
          <cell r="F464">
            <v>1.77</v>
          </cell>
        </row>
        <row r="465">
          <cell r="B465">
            <v>1</v>
          </cell>
          <cell r="C465">
            <v>1</v>
          </cell>
          <cell r="D465">
            <v>1</v>
          </cell>
          <cell r="E465">
            <v>23.28</v>
          </cell>
        </row>
        <row r="466">
          <cell r="E466">
            <v>0.2</v>
          </cell>
        </row>
        <row r="467">
          <cell r="F467">
            <v>4.66</v>
          </cell>
        </row>
        <row r="468">
          <cell r="B468">
            <v>1</v>
          </cell>
          <cell r="C468">
            <v>1</v>
          </cell>
          <cell r="D468">
            <v>1</v>
          </cell>
          <cell r="E468">
            <v>9.7000000000000011</v>
          </cell>
        </row>
        <row r="469">
          <cell r="E469">
            <v>0.2</v>
          </cell>
        </row>
        <row r="470">
          <cell r="F470">
            <v>1.94</v>
          </cell>
        </row>
        <row r="471">
          <cell r="B471">
            <v>1</v>
          </cell>
          <cell r="C471">
            <v>1</v>
          </cell>
          <cell r="D471">
            <v>1</v>
          </cell>
          <cell r="E471">
            <v>6.58</v>
          </cell>
        </row>
        <row r="472">
          <cell r="E472">
            <v>0.2</v>
          </cell>
        </row>
        <row r="473">
          <cell r="F473">
            <v>1.32</v>
          </cell>
        </row>
        <row r="474">
          <cell r="B474">
            <v>1</v>
          </cell>
          <cell r="C474">
            <v>1</v>
          </cell>
          <cell r="D474">
            <v>1</v>
          </cell>
          <cell r="E474">
            <v>4.8499999999999996</v>
          </cell>
        </row>
        <row r="475">
          <cell r="E475">
            <v>0.2</v>
          </cell>
        </row>
        <row r="476">
          <cell r="F476">
            <v>0.97</v>
          </cell>
        </row>
        <row r="477">
          <cell r="B477">
            <v>1</v>
          </cell>
          <cell r="C477">
            <v>1</v>
          </cell>
          <cell r="D477">
            <v>1</v>
          </cell>
          <cell r="E477">
            <v>11.32</v>
          </cell>
        </row>
        <row r="478">
          <cell r="E478">
            <v>0.2</v>
          </cell>
        </row>
        <row r="479">
          <cell r="F479">
            <v>2.2599999999999998</v>
          </cell>
        </row>
        <row r="480">
          <cell r="B480">
            <v>1</v>
          </cell>
          <cell r="C480">
            <v>1</v>
          </cell>
          <cell r="D480">
            <v>1</v>
          </cell>
          <cell r="E480">
            <v>4.8499999999999996</v>
          </cell>
        </row>
        <row r="481">
          <cell r="E481">
            <v>0.2</v>
          </cell>
        </row>
        <row r="482">
          <cell r="F482">
            <v>0.97</v>
          </cell>
        </row>
        <row r="483">
          <cell r="A483" t="str">
            <v>C1.3b</v>
          </cell>
          <cell r="F483">
            <v>610.92000000000007</v>
          </cell>
        </row>
        <row r="487">
          <cell r="B487">
            <v>4</v>
          </cell>
          <cell r="C487">
            <v>1</v>
          </cell>
          <cell r="D487">
            <v>1</v>
          </cell>
          <cell r="E487">
            <v>1.35</v>
          </cell>
        </row>
        <row r="488">
          <cell r="E488">
            <v>4.51</v>
          </cell>
        </row>
        <row r="489">
          <cell r="F489">
            <v>24.35</v>
          </cell>
        </row>
        <row r="490">
          <cell r="B490">
            <v>4</v>
          </cell>
          <cell r="C490">
            <v>1</v>
          </cell>
          <cell r="D490">
            <v>1</v>
          </cell>
          <cell r="E490">
            <v>1.35</v>
          </cell>
        </row>
        <row r="491">
          <cell r="E491">
            <v>4.2300000000000004</v>
          </cell>
        </row>
        <row r="492">
          <cell r="F492">
            <v>22.84</v>
          </cell>
        </row>
        <row r="493">
          <cell r="B493">
            <v>4</v>
          </cell>
          <cell r="C493">
            <v>1</v>
          </cell>
          <cell r="D493">
            <v>1</v>
          </cell>
          <cell r="E493">
            <v>1.5</v>
          </cell>
        </row>
        <row r="494">
          <cell r="E494">
            <v>0.1</v>
          </cell>
        </row>
        <row r="495">
          <cell r="F495">
            <v>0.6</v>
          </cell>
        </row>
        <row r="497">
          <cell r="B497">
            <v>4</v>
          </cell>
          <cell r="C497">
            <v>2</v>
          </cell>
          <cell r="D497">
            <v>1</v>
          </cell>
          <cell r="E497">
            <v>0.73</v>
          </cell>
        </row>
        <row r="498">
          <cell r="E498">
            <v>1</v>
          </cell>
        </row>
        <row r="499">
          <cell r="F499">
            <v>5.84</v>
          </cell>
        </row>
        <row r="500">
          <cell r="B500">
            <v>4</v>
          </cell>
          <cell r="C500">
            <v>2</v>
          </cell>
          <cell r="D500">
            <v>1</v>
          </cell>
          <cell r="E500">
            <v>0.8</v>
          </cell>
        </row>
        <row r="501">
          <cell r="E501">
            <v>1</v>
          </cell>
        </row>
        <row r="502">
          <cell r="F502">
            <v>6.4</v>
          </cell>
        </row>
        <row r="503">
          <cell r="B503">
            <v>4</v>
          </cell>
          <cell r="C503">
            <v>1</v>
          </cell>
          <cell r="D503">
            <v>18</v>
          </cell>
          <cell r="E503">
            <v>1.35</v>
          </cell>
        </row>
        <row r="504">
          <cell r="E504">
            <v>0.16</v>
          </cell>
        </row>
        <row r="505">
          <cell r="F505">
            <v>15.55</v>
          </cell>
        </row>
        <row r="506">
          <cell r="B506">
            <v>4</v>
          </cell>
          <cell r="C506">
            <v>1</v>
          </cell>
          <cell r="D506">
            <v>1</v>
          </cell>
          <cell r="E506">
            <v>2.78</v>
          </cell>
        </row>
        <row r="507">
          <cell r="E507">
            <v>0.4</v>
          </cell>
        </row>
        <row r="508">
          <cell r="F508">
            <v>4.45</v>
          </cell>
        </row>
        <row r="509">
          <cell r="B509">
            <v>4</v>
          </cell>
          <cell r="C509">
            <v>1</v>
          </cell>
          <cell r="D509">
            <v>1</v>
          </cell>
          <cell r="E509">
            <v>2.83</v>
          </cell>
        </row>
        <row r="510">
          <cell r="E510">
            <v>0.24</v>
          </cell>
        </row>
        <row r="511">
          <cell r="F511">
            <v>2.72</v>
          </cell>
        </row>
        <row r="512">
          <cell r="A512" t="str">
            <v>C1.3c</v>
          </cell>
          <cell r="F512">
            <v>82.75</v>
          </cell>
        </row>
        <row r="515">
          <cell r="B515">
            <v>4</v>
          </cell>
          <cell r="C515">
            <v>1</v>
          </cell>
          <cell r="D515">
            <v>37</v>
          </cell>
          <cell r="E515">
            <v>0.52</v>
          </cell>
        </row>
        <row r="516">
          <cell r="E516">
            <v>0.15</v>
          </cell>
        </row>
        <row r="517">
          <cell r="A517" t="str">
            <v>C1.3d</v>
          </cell>
          <cell r="F517">
            <v>11.54</v>
          </cell>
        </row>
        <row r="521">
          <cell r="A521" t="str">
            <v>C1.4a</v>
          </cell>
          <cell r="F521">
            <v>1463.76</v>
          </cell>
        </row>
        <row r="523">
          <cell r="A523" t="str">
            <v>C1.4b</v>
          </cell>
          <cell r="F523">
            <v>3034.83</v>
          </cell>
        </row>
        <row r="525">
          <cell r="A525" t="str">
            <v>C1.4c</v>
          </cell>
          <cell r="F525">
            <v>575.79</v>
          </cell>
        </row>
        <row r="527">
          <cell r="A527" t="str">
            <v>C1.4d</v>
          </cell>
          <cell r="F527">
            <v>2223.96</v>
          </cell>
        </row>
        <row r="529">
          <cell r="A529" t="str">
            <v>C1.4e</v>
          </cell>
          <cell r="F529">
            <v>6579.96</v>
          </cell>
        </row>
        <row r="531">
          <cell r="A531" t="str">
            <v>C1.4f</v>
          </cell>
          <cell r="F531">
            <v>4118.51</v>
          </cell>
        </row>
        <row r="533">
          <cell r="A533" t="str">
            <v>C1.4g</v>
          </cell>
          <cell r="F533">
            <v>2336.42</v>
          </cell>
        </row>
      </sheetData>
      <sheetData sheetId="9"/>
      <sheetData sheetId="10">
        <row r="1">
          <cell r="B1" t="str">
            <v>Project: Low Cost Housing Development Project</v>
          </cell>
        </row>
        <row r="2">
          <cell r="B2" t="str">
            <v>Location: Jemmo II</v>
          </cell>
        </row>
        <row r="3">
          <cell r="B3" t="str">
            <v>Client: Nifasilk Lafto Sub-City</v>
          </cell>
        </row>
        <row r="4">
          <cell r="B4" t="str">
            <v>Contractor:  BEHAILU YESIGATE B.C</v>
          </cell>
        </row>
        <row r="5">
          <cell r="B5" t="str">
            <v>Consultant: MGM Consult PLC</v>
          </cell>
        </row>
        <row r="6">
          <cell r="A6" t="str">
            <v>Code</v>
          </cell>
          <cell r="B6" t="str">
            <v>Timizing</v>
          </cell>
          <cell r="D6" t="str">
            <v>Dimension</v>
          </cell>
          <cell r="E6" t="str">
            <v>Qty</v>
          </cell>
        </row>
        <row r="9">
          <cell r="B9">
            <v>4</v>
          </cell>
          <cell r="C9">
            <v>1</v>
          </cell>
          <cell r="D9">
            <v>7.9099999999999993</v>
          </cell>
        </row>
        <row r="10">
          <cell r="D10">
            <v>2.4</v>
          </cell>
        </row>
        <row r="11">
          <cell r="E11">
            <v>75.94</v>
          </cell>
        </row>
        <row r="13">
          <cell r="B13">
            <v>4</v>
          </cell>
          <cell r="C13">
            <v>1</v>
          </cell>
          <cell r="D13">
            <v>1.2599999999999998</v>
          </cell>
        </row>
        <row r="14">
          <cell r="D14">
            <v>2.4</v>
          </cell>
        </row>
        <row r="15">
          <cell r="E15">
            <v>12.1</v>
          </cell>
        </row>
        <row r="17">
          <cell r="B17">
            <v>4</v>
          </cell>
          <cell r="C17">
            <v>1</v>
          </cell>
          <cell r="D17">
            <v>1.33</v>
          </cell>
        </row>
        <row r="18">
          <cell r="D18">
            <v>2.6</v>
          </cell>
        </row>
        <row r="19">
          <cell r="E19">
            <v>13.83</v>
          </cell>
        </row>
        <row r="21">
          <cell r="B21">
            <v>4</v>
          </cell>
          <cell r="C21">
            <v>1</v>
          </cell>
          <cell r="D21">
            <v>10.119999999999999</v>
          </cell>
        </row>
        <row r="22">
          <cell r="D22">
            <v>2.4</v>
          </cell>
        </row>
        <row r="23">
          <cell r="E23">
            <v>97.15</v>
          </cell>
        </row>
        <row r="25">
          <cell r="B25">
            <v>4</v>
          </cell>
          <cell r="C25">
            <v>1</v>
          </cell>
          <cell r="D25">
            <v>8.6999999999999993</v>
          </cell>
        </row>
        <row r="26">
          <cell r="D26">
            <v>2.6</v>
          </cell>
        </row>
        <row r="27">
          <cell r="E27">
            <v>90.48</v>
          </cell>
        </row>
        <row r="29">
          <cell r="B29">
            <v>4</v>
          </cell>
          <cell r="C29">
            <v>1</v>
          </cell>
          <cell r="D29">
            <v>6.58</v>
          </cell>
        </row>
        <row r="30">
          <cell r="D30">
            <v>2.4</v>
          </cell>
        </row>
        <row r="31">
          <cell r="E31">
            <v>63.17</v>
          </cell>
        </row>
        <row r="33">
          <cell r="B33">
            <v>4</v>
          </cell>
          <cell r="C33">
            <v>1</v>
          </cell>
          <cell r="D33">
            <v>13.060000000000002</v>
          </cell>
        </row>
        <row r="34">
          <cell r="D34">
            <v>2.4</v>
          </cell>
        </row>
        <row r="35">
          <cell r="E35">
            <v>125.38</v>
          </cell>
        </row>
        <row r="36">
          <cell r="B36">
            <v>4</v>
          </cell>
          <cell r="C36">
            <v>1</v>
          </cell>
          <cell r="D36">
            <v>2.13</v>
          </cell>
        </row>
        <row r="37">
          <cell r="D37">
            <v>2.4</v>
          </cell>
        </row>
        <row r="38">
          <cell r="E38">
            <v>20.45</v>
          </cell>
        </row>
        <row r="40">
          <cell r="B40">
            <v>4</v>
          </cell>
          <cell r="C40">
            <v>1</v>
          </cell>
          <cell r="D40">
            <v>10.61</v>
          </cell>
        </row>
        <row r="41">
          <cell r="D41">
            <v>2.4</v>
          </cell>
        </row>
        <row r="42">
          <cell r="E42">
            <v>101.86</v>
          </cell>
        </row>
        <row r="44">
          <cell r="B44">
            <v>4</v>
          </cell>
          <cell r="C44">
            <v>1</v>
          </cell>
          <cell r="D44">
            <v>2.4</v>
          </cell>
        </row>
        <row r="45">
          <cell r="D45">
            <v>2.4</v>
          </cell>
        </row>
        <row r="46">
          <cell r="E46">
            <v>23.04</v>
          </cell>
        </row>
        <row r="49">
          <cell r="B49">
            <v>4</v>
          </cell>
          <cell r="C49">
            <v>1</v>
          </cell>
          <cell r="D49">
            <v>12.58</v>
          </cell>
        </row>
        <row r="50">
          <cell r="D50">
            <v>2.4</v>
          </cell>
        </row>
        <row r="51">
          <cell r="E51">
            <v>120.77</v>
          </cell>
        </row>
        <row r="53">
          <cell r="B53">
            <v>4</v>
          </cell>
          <cell r="C53">
            <v>1</v>
          </cell>
          <cell r="D53">
            <v>4.6399999999999997</v>
          </cell>
        </row>
        <row r="54">
          <cell r="D54">
            <v>2.4</v>
          </cell>
        </row>
        <row r="55">
          <cell r="E55">
            <v>44.54</v>
          </cell>
        </row>
        <row r="57">
          <cell r="B57">
            <v>4</v>
          </cell>
          <cell r="C57">
            <v>2</v>
          </cell>
          <cell r="D57">
            <v>7.2</v>
          </cell>
        </row>
        <row r="58">
          <cell r="D58">
            <v>2.4</v>
          </cell>
        </row>
        <row r="59">
          <cell r="E59">
            <v>138.24</v>
          </cell>
        </row>
        <row r="61">
          <cell r="B61">
            <v>4</v>
          </cell>
          <cell r="C61">
            <v>1</v>
          </cell>
          <cell r="D61">
            <v>1.53</v>
          </cell>
        </row>
        <row r="62">
          <cell r="D62">
            <v>2.6</v>
          </cell>
        </row>
        <row r="63">
          <cell r="E63">
            <v>15.91</v>
          </cell>
        </row>
        <row r="65">
          <cell r="B65">
            <v>4</v>
          </cell>
          <cell r="C65">
            <v>1</v>
          </cell>
          <cell r="D65">
            <v>1.9300000000000002</v>
          </cell>
        </row>
        <row r="66">
          <cell r="D66">
            <v>2.4</v>
          </cell>
        </row>
        <row r="67">
          <cell r="E67">
            <v>18.53</v>
          </cell>
        </row>
        <row r="69">
          <cell r="B69">
            <v>4</v>
          </cell>
          <cell r="C69">
            <v>1</v>
          </cell>
          <cell r="D69">
            <v>8.6</v>
          </cell>
        </row>
        <row r="70">
          <cell r="D70">
            <v>2.4</v>
          </cell>
        </row>
        <row r="71">
          <cell r="E71">
            <v>82.56</v>
          </cell>
        </row>
        <row r="74">
          <cell r="B74">
            <v>4</v>
          </cell>
          <cell r="C74">
            <v>-6</v>
          </cell>
          <cell r="D74">
            <v>1.5</v>
          </cell>
        </row>
        <row r="75">
          <cell r="D75">
            <v>1.5</v>
          </cell>
        </row>
        <row r="76">
          <cell r="E76">
            <v>-54</v>
          </cell>
        </row>
        <row r="79">
          <cell r="B79">
            <v>4</v>
          </cell>
          <cell r="C79">
            <v>-6</v>
          </cell>
          <cell r="D79">
            <v>1.2</v>
          </cell>
        </row>
        <row r="80">
          <cell r="D80">
            <v>1.5</v>
          </cell>
        </row>
        <row r="81">
          <cell r="E81">
            <v>-43.2</v>
          </cell>
        </row>
        <row r="84">
          <cell r="B84">
            <v>4</v>
          </cell>
          <cell r="C84">
            <v>-5</v>
          </cell>
          <cell r="D84">
            <v>1</v>
          </cell>
        </row>
        <row r="85">
          <cell r="D85">
            <v>1.5</v>
          </cell>
        </row>
        <row r="86">
          <cell r="E86">
            <v>-30</v>
          </cell>
        </row>
        <row r="89">
          <cell r="B89">
            <v>4</v>
          </cell>
          <cell r="C89">
            <v>-4</v>
          </cell>
          <cell r="D89">
            <v>0.6</v>
          </cell>
        </row>
        <row r="90">
          <cell r="D90">
            <v>0.6</v>
          </cell>
        </row>
        <row r="91">
          <cell r="E91">
            <v>-5.76</v>
          </cell>
        </row>
        <row r="92">
          <cell r="B92">
            <v>3</v>
          </cell>
          <cell r="C92">
            <v>1</v>
          </cell>
          <cell r="D92">
            <v>23.08</v>
          </cell>
        </row>
        <row r="93">
          <cell r="D93">
            <v>0.9</v>
          </cell>
        </row>
        <row r="94">
          <cell r="E94">
            <v>62.32</v>
          </cell>
        </row>
        <row r="96">
          <cell r="B96">
            <v>1</v>
          </cell>
          <cell r="C96">
            <v>1</v>
          </cell>
          <cell r="D96">
            <v>7.9099999999999993</v>
          </cell>
        </row>
        <row r="97">
          <cell r="D97">
            <v>2.58</v>
          </cell>
        </row>
        <row r="98">
          <cell r="E98">
            <v>20.41</v>
          </cell>
        </row>
        <row r="99">
          <cell r="B99">
            <v>1</v>
          </cell>
          <cell r="C99">
            <v>1</v>
          </cell>
          <cell r="D99">
            <v>1.2599999999999998</v>
          </cell>
        </row>
        <row r="100">
          <cell r="D100">
            <v>2.58</v>
          </cell>
        </row>
        <row r="101">
          <cell r="E101">
            <v>3.25</v>
          </cell>
        </row>
        <row r="102">
          <cell r="B102">
            <v>1</v>
          </cell>
          <cell r="C102">
            <v>1</v>
          </cell>
          <cell r="D102">
            <v>1.33</v>
          </cell>
        </row>
        <row r="103">
          <cell r="D103">
            <v>2.88</v>
          </cell>
        </row>
        <row r="104">
          <cell r="E104">
            <v>3.83</v>
          </cell>
        </row>
        <row r="105">
          <cell r="B105">
            <v>1</v>
          </cell>
          <cell r="C105">
            <v>1</v>
          </cell>
          <cell r="D105">
            <v>10.119999999999999</v>
          </cell>
        </row>
        <row r="106">
          <cell r="D106">
            <v>2.58</v>
          </cell>
        </row>
        <row r="107">
          <cell r="E107">
            <v>26.11</v>
          </cell>
        </row>
        <row r="108">
          <cell r="B108">
            <v>1</v>
          </cell>
          <cell r="C108">
            <v>1</v>
          </cell>
          <cell r="D108">
            <v>8.6999999999999993</v>
          </cell>
        </row>
        <row r="109">
          <cell r="D109">
            <v>2.58</v>
          </cell>
        </row>
        <row r="110">
          <cell r="E110">
            <v>22.45</v>
          </cell>
        </row>
        <row r="111">
          <cell r="B111">
            <v>1</v>
          </cell>
          <cell r="C111">
            <v>1</v>
          </cell>
          <cell r="D111">
            <v>6.58</v>
          </cell>
        </row>
        <row r="112">
          <cell r="D112">
            <v>2.58</v>
          </cell>
        </row>
        <row r="113">
          <cell r="E113">
            <v>16.98</v>
          </cell>
        </row>
        <row r="114">
          <cell r="B114">
            <v>1</v>
          </cell>
          <cell r="C114">
            <v>1</v>
          </cell>
          <cell r="D114">
            <v>11.520000000000001</v>
          </cell>
        </row>
        <row r="115">
          <cell r="D115">
            <v>2.58</v>
          </cell>
        </row>
        <row r="116">
          <cell r="E116">
            <v>29.72</v>
          </cell>
        </row>
        <row r="117">
          <cell r="B117">
            <v>1</v>
          </cell>
          <cell r="C117">
            <v>1</v>
          </cell>
          <cell r="D117">
            <v>1.7400000000000002</v>
          </cell>
        </row>
        <row r="118">
          <cell r="D118">
            <v>2.88</v>
          </cell>
        </row>
        <row r="119">
          <cell r="E119">
            <v>5.01</v>
          </cell>
        </row>
        <row r="120">
          <cell r="B120">
            <v>1</v>
          </cell>
          <cell r="C120">
            <v>1</v>
          </cell>
          <cell r="D120">
            <v>2.13</v>
          </cell>
        </row>
        <row r="121">
          <cell r="D121">
            <v>2.58</v>
          </cell>
        </row>
        <row r="122">
          <cell r="E122">
            <v>5.5</v>
          </cell>
        </row>
        <row r="123">
          <cell r="B123">
            <v>1</v>
          </cell>
          <cell r="C123">
            <v>1</v>
          </cell>
          <cell r="D123">
            <v>8.52</v>
          </cell>
        </row>
        <row r="124">
          <cell r="D124">
            <v>2.58</v>
          </cell>
        </row>
        <row r="125">
          <cell r="E125">
            <v>21.98</v>
          </cell>
        </row>
        <row r="126">
          <cell r="B126">
            <v>1</v>
          </cell>
          <cell r="C126">
            <v>1</v>
          </cell>
          <cell r="D126">
            <v>1.87</v>
          </cell>
        </row>
        <row r="127">
          <cell r="D127">
            <v>2.88</v>
          </cell>
        </row>
        <row r="128">
          <cell r="E128">
            <v>5.39</v>
          </cell>
        </row>
        <row r="129">
          <cell r="B129">
            <v>1</v>
          </cell>
          <cell r="C129">
            <v>1</v>
          </cell>
          <cell r="D129">
            <v>2.4</v>
          </cell>
        </row>
        <row r="130">
          <cell r="D130">
            <v>2.58</v>
          </cell>
        </row>
        <row r="131">
          <cell r="E131">
            <v>6.19</v>
          </cell>
        </row>
        <row r="132">
          <cell r="B132">
            <v>1</v>
          </cell>
          <cell r="C132">
            <v>1</v>
          </cell>
          <cell r="D132">
            <v>12.58</v>
          </cell>
        </row>
        <row r="133">
          <cell r="D133">
            <v>2.58</v>
          </cell>
        </row>
        <row r="134">
          <cell r="E134">
            <v>32.46</v>
          </cell>
        </row>
        <row r="135">
          <cell r="B135">
            <v>1</v>
          </cell>
          <cell r="C135">
            <v>1</v>
          </cell>
          <cell r="D135">
            <v>4.6399999999999997</v>
          </cell>
        </row>
        <row r="136">
          <cell r="D136">
            <v>2.58</v>
          </cell>
        </row>
        <row r="137">
          <cell r="E137">
            <v>11.97</v>
          </cell>
        </row>
        <row r="138">
          <cell r="B138">
            <v>1</v>
          </cell>
          <cell r="C138">
            <v>2</v>
          </cell>
          <cell r="D138">
            <v>7.2</v>
          </cell>
        </row>
        <row r="139">
          <cell r="D139">
            <v>2.58</v>
          </cell>
        </row>
        <row r="140">
          <cell r="E140">
            <v>37.15</v>
          </cell>
        </row>
        <row r="141">
          <cell r="B141">
            <v>1</v>
          </cell>
          <cell r="C141">
            <v>1</v>
          </cell>
          <cell r="D141">
            <v>1.53</v>
          </cell>
        </row>
        <row r="142">
          <cell r="D142">
            <v>2.88</v>
          </cell>
        </row>
        <row r="143">
          <cell r="E143">
            <v>4.41</v>
          </cell>
        </row>
        <row r="144">
          <cell r="B144">
            <v>1</v>
          </cell>
          <cell r="C144">
            <v>1</v>
          </cell>
          <cell r="D144">
            <v>1.9300000000000002</v>
          </cell>
        </row>
        <row r="145">
          <cell r="D145">
            <v>2.58</v>
          </cell>
        </row>
        <row r="146">
          <cell r="E146">
            <v>4.9800000000000004</v>
          </cell>
        </row>
        <row r="147">
          <cell r="B147">
            <v>1</v>
          </cell>
          <cell r="C147">
            <v>1</v>
          </cell>
          <cell r="D147">
            <v>8.6</v>
          </cell>
        </row>
        <row r="148">
          <cell r="D148">
            <v>2.58</v>
          </cell>
        </row>
        <row r="149">
          <cell r="E149">
            <v>22.19</v>
          </cell>
        </row>
        <row r="151">
          <cell r="B151">
            <v>1</v>
          </cell>
          <cell r="C151">
            <v>-6</v>
          </cell>
          <cell r="D151">
            <v>1.5</v>
          </cell>
        </row>
        <row r="152">
          <cell r="D152">
            <v>1.5</v>
          </cell>
        </row>
        <row r="153">
          <cell r="E153">
            <v>-13.5</v>
          </cell>
        </row>
        <row r="154">
          <cell r="B154">
            <v>1</v>
          </cell>
          <cell r="C154">
            <v>-6</v>
          </cell>
          <cell r="D154">
            <v>1.2</v>
          </cell>
        </row>
        <row r="155">
          <cell r="D155">
            <v>1.5</v>
          </cell>
        </row>
        <row r="156">
          <cell r="E156">
            <v>-10.8</v>
          </cell>
        </row>
        <row r="157">
          <cell r="B157">
            <v>1</v>
          </cell>
          <cell r="C157">
            <v>-5</v>
          </cell>
          <cell r="D157">
            <v>1</v>
          </cell>
        </row>
        <row r="158">
          <cell r="D158">
            <v>1.5</v>
          </cell>
        </row>
        <row r="159">
          <cell r="E159">
            <v>-7.5</v>
          </cell>
        </row>
        <row r="162">
          <cell r="B162">
            <v>1</v>
          </cell>
          <cell r="C162">
            <v>-4</v>
          </cell>
          <cell r="D162">
            <v>0.6</v>
          </cell>
        </row>
        <row r="163">
          <cell r="D163">
            <v>0.6</v>
          </cell>
        </row>
        <row r="164">
          <cell r="E164">
            <v>-1.44</v>
          </cell>
        </row>
        <row r="166">
          <cell r="B166">
            <v>1</v>
          </cell>
          <cell r="C166">
            <v>1</v>
          </cell>
          <cell r="D166">
            <v>23.08</v>
          </cell>
        </row>
        <row r="167">
          <cell r="D167">
            <v>0.9</v>
          </cell>
        </row>
        <row r="168">
          <cell r="E168">
            <v>20.77</v>
          </cell>
        </row>
        <row r="169">
          <cell r="A169" t="str">
            <v>B2.1</v>
          </cell>
          <cell r="E169">
            <v>1240.8200000000004</v>
          </cell>
        </row>
        <row r="172">
          <cell r="B172">
            <v>4</v>
          </cell>
          <cell r="C172">
            <v>1</v>
          </cell>
          <cell r="D172">
            <v>6.19</v>
          </cell>
        </row>
        <row r="173">
          <cell r="D173">
            <v>2.6</v>
          </cell>
        </row>
        <row r="174">
          <cell r="E174">
            <v>64.38</v>
          </cell>
        </row>
        <row r="176">
          <cell r="B176">
            <v>4</v>
          </cell>
          <cell r="C176">
            <v>1</v>
          </cell>
          <cell r="D176">
            <v>3.05</v>
          </cell>
        </row>
        <row r="177">
          <cell r="D177">
            <v>2.6</v>
          </cell>
        </row>
        <row r="178">
          <cell r="E178">
            <v>31.72</v>
          </cell>
        </row>
        <row r="179">
          <cell r="B179">
            <v>4</v>
          </cell>
          <cell r="C179">
            <v>1</v>
          </cell>
          <cell r="D179">
            <v>3.57</v>
          </cell>
        </row>
        <row r="180">
          <cell r="D180">
            <v>2.6</v>
          </cell>
        </row>
        <row r="181">
          <cell r="E181">
            <v>37.130000000000003</v>
          </cell>
        </row>
        <row r="182">
          <cell r="B182">
            <v>4</v>
          </cell>
          <cell r="C182">
            <v>1</v>
          </cell>
          <cell r="D182">
            <v>3.34</v>
          </cell>
        </row>
        <row r="183">
          <cell r="D183">
            <v>2.4</v>
          </cell>
        </row>
        <row r="184">
          <cell r="E184">
            <v>32.06</v>
          </cell>
        </row>
        <row r="185">
          <cell r="B185">
            <v>4</v>
          </cell>
          <cell r="C185">
            <v>1</v>
          </cell>
          <cell r="D185">
            <v>2.96</v>
          </cell>
        </row>
        <row r="186">
          <cell r="D186">
            <v>2.6</v>
          </cell>
        </row>
        <row r="187">
          <cell r="E187">
            <v>30.78</v>
          </cell>
        </row>
        <row r="189">
          <cell r="B189">
            <v>1</v>
          </cell>
          <cell r="C189">
            <v>1</v>
          </cell>
          <cell r="D189">
            <v>17.710000000000004</v>
          </cell>
        </row>
        <row r="190">
          <cell r="D190">
            <v>2.88</v>
          </cell>
        </row>
        <row r="191">
          <cell r="E191">
            <v>51</v>
          </cell>
        </row>
        <row r="193">
          <cell r="B193">
            <v>1</v>
          </cell>
          <cell r="C193">
            <v>1</v>
          </cell>
          <cell r="D193">
            <v>2.4500000000000002</v>
          </cell>
        </row>
        <row r="194">
          <cell r="D194">
            <v>2.58</v>
          </cell>
        </row>
        <row r="195">
          <cell r="E195">
            <v>6.32</v>
          </cell>
        </row>
        <row r="196">
          <cell r="B196">
            <v>1</v>
          </cell>
          <cell r="C196">
            <v>1</v>
          </cell>
          <cell r="D196">
            <v>10.23</v>
          </cell>
        </row>
        <row r="197">
          <cell r="D197">
            <v>2.88</v>
          </cell>
        </row>
        <row r="198">
          <cell r="E198">
            <v>29.46</v>
          </cell>
        </row>
        <row r="199">
          <cell r="B199">
            <v>1</v>
          </cell>
          <cell r="C199">
            <v>1</v>
          </cell>
          <cell r="D199">
            <v>17.02</v>
          </cell>
        </row>
        <row r="200">
          <cell r="D200">
            <v>2.88</v>
          </cell>
        </row>
        <row r="201">
          <cell r="E201">
            <v>49.02</v>
          </cell>
        </row>
        <row r="202">
          <cell r="B202">
            <v>1</v>
          </cell>
          <cell r="C202">
            <v>1</v>
          </cell>
          <cell r="D202">
            <v>3.34</v>
          </cell>
        </row>
        <row r="203">
          <cell r="D203">
            <v>2.58</v>
          </cell>
        </row>
        <row r="204">
          <cell r="E204">
            <v>8.6199999999999992</v>
          </cell>
        </row>
        <row r="205">
          <cell r="B205">
            <v>1</v>
          </cell>
          <cell r="C205">
            <v>1</v>
          </cell>
          <cell r="D205">
            <v>9.91</v>
          </cell>
        </row>
        <row r="206">
          <cell r="D206">
            <v>2.88</v>
          </cell>
        </row>
        <row r="207">
          <cell r="E207">
            <v>28.54</v>
          </cell>
        </row>
        <row r="208">
          <cell r="A208" t="str">
            <v>B2.3</v>
          </cell>
          <cell r="E208">
            <v>369.03</v>
          </cell>
        </row>
        <row r="210">
          <cell r="B210">
            <v>4</v>
          </cell>
          <cell r="C210">
            <v>1</v>
          </cell>
          <cell r="D210">
            <v>4.26</v>
          </cell>
        </row>
        <row r="211">
          <cell r="D211">
            <v>2.6</v>
          </cell>
        </row>
        <row r="212">
          <cell r="E212">
            <v>44.304000000000002</v>
          </cell>
        </row>
        <row r="213">
          <cell r="B213">
            <v>4</v>
          </cell>
          <cell r="C213">
            <v>1</v>
          </cell>
          <cell r="D213">
            <v>3.39</v>
          </cell>
        </row>
        <row r="214">
          <cell r="D214">
            <v>2.6</v>
          </cell>
        </row>
        <row r="215">
          <cell r="E215">
            <v>35.256</v>
          </cell>
        </row>
        <row r="216">
          <cell r="B216">
            <v>4</v>
          </cell>
          <cell r="C216">
            <v>1</v>
          </cell>
          <cell r="D216">
            <v>3.22</v>
          </cell>
        </row>
        <row r="217">
          <cell r="D217">
            <v>2.4</v>
          </cell>
        </row>
        <row r="218">
          <cell r="E218">
            <v>30.911999999999999</v>
          </cell>
        </row>
        <row r="220">
          <cell r="B220">
            <v>4</v>
          </cell>
          <cell r="C220">
            <v>1</v>
          </cell>
          <cell r="D220">
            <v>2.94</v>
          </cell>
        </row>
        <row r="221">
          <cell r="D221">
            <v>2.6</v>
          </cell>
        </row>
        <row r="222">
          <cell r="E222">
            <v>30.576000000000001</v>
          </cell>
        </row>
        <row r="223">
          <cell r="B223">
            <v>4</v>
          </cell>
          <cell r="C223">
            <v>1</v>
          </cell>
          <cell r="D223">
            <v>7.18</v>
          </cell>
        </row>
        <row r="224">
          <cell r="D224">
            <v>2.6</v>
          </cell>
        </row>
        <row r="225">
          <cell r="E225">
            <v>74.671999999999997</v>
          </cell>
        </row>
        <row r="226">
          <cell r="B226">
            <v>4</v>
          </cell>
          <cell r="C226">
            <v>1</v>
          </cell>
          <cell r="D226">
            <v>0.85</v>
          </cell>
        </row>
        <row r="227">
          <cell r="D227">
            <v>2.6</v>
          </cell>
        </row>
        <row r="228">
          <cell r="E228">
            <v>8.84</v>
          </cell>
        </row>
        <row r="229">
          <cell r="B229">
            <v>4</v>
          </cell>
          <cell r="C229">
            <v>1</v>
          </cell>
          <cell r="D229">
            <v>13.450000000000001</v>
          </cell>
        </row>
        <row r="230">
          <cell r="D230">
            <v>2.6</v>
          </cell>
        </row>
        <row r="231">
          <cell r="E231">
            <v>139.88000000000002</v>
          </cell>
        </row>
        <row r="233">
          <cell r="B233">
            <v>4</v>
          </cell>
          <cell r="C233">
            <v>1</v>
          </cell>
          <cell r="D233">
            <v>4.4000000000000004</v>
          </cell>
        </row>
        <row r="234">
          <cell r="D234">
            <v>2.6</v>
          </cell>
        </row>
        <row r="235">
          <cell r="E235">
            <v>45.760000000000005</v>
          </cell>
        </row>
        <row r="237">
          <cell r="E237">
            <v>410.20000000000005</v>
          </cell>
        </row>
        <row r="241">
          <cell r="B241">
            <v>1</v>
          </cell>
          <cell r="C241">
            <v>1</v>
          </cell>
          <cell r="D241">
            <v>15.54</v>
          </cell>
        </row>
        <row r="242">
          <cell r="D242">
            <v>10.31</v>
          </cell>
        </row>
        <row r="243">
          <cell r="E243">
            <v>160.22</v>
          </cell>
        </row>
        <row r="244">
          <cell r="B244">
            <v>1</v>
          </cell>
          <cell r="C244">
            <v>2</v>
          </cell>
          <cell r="D244">
            <v>6.45</v>
          </cell>
        </row>
        <row r="245">
          <cell r="D245">
            <v>1.33</v>
          </cell>
        </row>
        <row r="246">
          <cell r="E246">
            <v>17.16</v>
          </cell>
        </row>
        <row r="247">
          <cell r="B247">
            <v>1</v>
          </cell>
          <cell r="C247">
            <v>1</v>
          </cell>
          <cell r="D247">
            <v>4.4000000000000004</v>
          </cell>
        </row>
        <row r="248">
          <cell r="D248">
            <v>2.7320000000000002</v>
          </cell>
        </row>
        <row r="249">
          <cell r="E249">
            <v>12.02</v>
          </cell>
        </row>
        <row r="250">
          <cell r="D250">
            <v>15.84</v>
          </cell>
        </row>
        <row r="251">
          <cell r="D251">
            <v>10.85</v>
          </cell>
        </row>
        <row r="252">
          <cell r="E252">
            <v>171.86</v>
          </cell>
        </row>
        <row r="254">
          <cell r="E254">
            <v>361.26</v>
          </cell>
        </row>
        <row r="256">
          <cell r="B256">
            <v>1</v>
          </cell>
          <cell r="C256">
            <v>2</v>
          </cell>
          <cell r="D256">
            <v>20.14</v>
          </cell>
          <cell r="E256">
            <v>40.28</v>
          </cell>
        </row>
        <row r="257">
          <cell r="B257">
            <v>1</v>
          </cell>
          <cell r="C257">
            <v>2</v>
          </cell>
          <cell r="D257">
            <v>26.15</v>
          </cell>
          <cell r="E257">
            <v>52.3</v>
          </cell>
        </row>
        <row r="258">
          <cell r="B258">
            <v>1</v>
          </cell>
          <cell r="C258">
            <v>4</v>
          </cell>
          <cell r="D258">
            <v>1.33</v>
          </cell>
          <cell r="E258">
            <v>5.32</v>
          </cell>
        </row>
        <row r="259">
          <cell r="E259">
            <v>97.9</v>
          </cell>
        </row>
        <row r="267">
          <cell r="B267">
            <v>5</v>
          </cell>
          <cell r="C267">
            <v>12</v>
          </cell>
          <cell r="D267">
            <v>1</v>
          </cell>
          <cell r="E267">
            <v>60</v>
          </cell>
        </row>
        <row r="268">
          <cell r="B268">
            <v>5</v>
          </cell>
          <cell r="C268">
            <v>4</v>
          </cell>
          <cell r="D268">
            <v>1</v>
          </cell>
          <cell r="E268">
            <v>20</v>
          </cell>
        </row>
        <row r="274">
          <cell r="B274">
            <v>5</v>
          </cell>
          <cell r="C274">
            <v>3</v>
          </cell>
          <cell r="D274">
            <v>1</v>
          </cell>
          <cell r="E274">
            <v>15</v>
          </cell>
        </row>
        <row r="275">
          <cell r="B275">
            <v>5</v>
          </cell>
          <cell r="C275">
            <v>1</v>
          </cell>
          <cell r="D275">
            <v>1</v>
          </cell>
          <cell r="E275">
            <v>5</v>
          </cell>
        </row>
        <row r="276">
          <cell r="B276">
            <v>5</v>
          </cell>
          <cell r="C276">
            <v>2</v>
          </cell>
          <cell r="D276">
            <v>1</v>
          </cell>
          <cell r="E276">
            <v>10</v>
          </cell>
        </row>
        <row r="279">
          <cell r="B279">
            <v>5</v>
          </cell>
          <cell r="C279">
            <v>3</v>
          </cell>
          <cell r="D279">
            <v>1</v>
          </cell>
          <cell r="E279">
            <v>15</v>
          </cell>
        </row>
        <row r="280">
          <cell r="B280">
            <v>5</v>
          </cell>
          <cell r="C280">
            <v>6</v>
          </cell>
          <cell r="D280">
            <v>1</v>
          </cell>
          <cell r="E280">
            <v>30</v>
          </cell>
        </row>
        <row r="281">
          <cell r="B281">
            <v>5</v>
          </cell>
          <cell r="C281">
            <v>5</v>
          </cell>
          <cell r="D281">
            <v>1</v>
          </cell>
          <cell r="E281">
            <v>25</v>
          </cell>
        </row>
        <row r="282">
          <cell r="B282">
            <v>5</v>
          </cell>
          <cell r="C282">
            <v>4</v>
          </cell>
          <cell r="D282">
            <v>1</v>
          </cell>
          <cell r="E282">
            <v>20</v>
          </cell>
        </row>
        <row r="284">
          <cell r="B284">
            <v>5</v>
          </cell>
          <cell r="C284">
            <v>2</v>
          </cell>
          <cell r="D284">
            <v>1</v>
          </cell>
          <cell r="E284">
            <v>10</v>
          </cell>
        </row>
        <row r="285">
          <cell r="B285">
            <v>5</v>
          </cell>
          <cell r="C285">
            <v>1</v>
          </cell>
          <cell r="D285">
            <v>2.96</v>
          </cell>
        </row>
        <row r="286">
          <cell r="D286">
            <v>0.9</v>
          </cell>
        </row>
        <row r="287">
          <cell r="E287">
            <v>13.32</v>
          </cell>
        </row>
        <row r="290">
          <cell r="B290">
            <v>4</v>
          </cell>
          <cell r="C290">
            <v>-2</v>
          </cell>
          <cell r="D290">
            <v>2</v>
          </cell>
        </row>
        <row r="291">
          <cell r="D291">
            <v>1.5</v>
          </cell>
        </row>
        <row r="292">
          <cell r="E292">
            <v>-24</v>
          </cell>
        </row>
        <row r="293">
          <cell r="D293">
            <v>200.48</v>
          </cell>
        </row>
        <row r="294">
          <cell r="E294">
            <v>0.4</v>
          </cell>
        </row>
        <row r="295">
          <cell r="E295">
            <v>0.48</v>
          </cell>
        </row>
        <row r="296">
          <cell r="D296">
            <v>762.04</v>
          </cell>
        </row>
        <row r="297">
          <cell r="D297">
            <v>161.88999999999999</v>
          </cell>
          <cell r="E297">
            <v>0.05</v>
          </cell>
        </row>
        <row r="298">
          <cell r="E298">
            <v>0.48</v>
          </cell>
        </row>
        <row r="300">
          <cell r="E300">
            <v>0.25</v>
          </cell>
        </row>
        <row r="301">
          <cell r="E301">
            <v>0.48</v>
          </cell>
        </row>
        <row r="302">
          <cell r="D302">
            <v>36</v>
          </cell>
        </row>
        <row r="309">
          <cell r="E309">
            <v>11.37</v>
          </cell>
        </row>
        <row r="310">
          <cell r="D310">
            <v>16</v>
          </cell>
          <cell r="E310">
            <v>0.2</v>
          </cell>
        </row>
        <row r="311">
          <cell r="D311">
            <v>16</v>
          </cell>
        </row>
        <row r="313">
          <cell r="E313">
            <v>3.84</v>
          </cell>
        </row>
        <row r="314">
          <cell r="D314">
            <v>72</v>
          </cell>
          <cell r="E314">
            <v>0.2</v>
          </cell>
        </row>
        <row r="317">
          <cell r="E317">
            <v>7.5299999999999994</v>
          </cell>
        </row>
        <row r="318">
          <cell r="E318">
            <v>0.2</v>
          </cell>
        </row>
        <row r="320">
          <cell r="D320">
            <v>1818.4</v>
          </cell>
        </row>
        <row r="321">
          <cell r="E321">
            <v>7.5299999999999994</v>
          </cell>
        </row>
        <row r="325">
          <cell r="B325">
            <v>4</v>
          </cell>
          <cell r="C325">
            <v>1</v>
          </cell>
          <cell r="D325">
            <v>15.879999999999999</v>
          </cell>
        </row>
        <row r="326">
          <cell r="D326">
            <v>2.6</v>
          </cell>
        </row>
        <row r="327">
          <cell r="E327">
            <v>165.15199999999999</v>
          </cell>
        </row>
        <row r="328">
          <cell r="B328">
            <v>4</v>
          </cell>
          <cell r="C328">
            <v>1</v>
          </cell>
          <cell r="D328">
            <v>25.779000000000003</v>
          </cell>
        </row>
        <row r="329">
          <cell r="D329">
            <v>2.6</v>
          </cell>
        </row>
        <row r="330">
          <cell r="E330">
            <v>268.10160000000002</v>
          </cell>
        </row>
        <row r="331">
          <cell r="B331">
            <v>4</v>
          </cell>
          <cell r="C331">
            <v>1</v>
          </cell>
          <cell r="D331">
            <v>14.199999999999998</v>
          </cell>
        </row>
        <row r="332">
          <cell r="D332">
            <v>2.6</v>
          </cell>
        </row>
        <row r="333">
          <cell r="E333">
            <v>147.67999999999998</v>
          </cell>
        </row>
        <row r="334">
          <cell r="B334">
            <v>4</v>
          </cell>
          <cell r="C334">
            <v>1</v>
          </cell>
          <cell r="D334">
            <v>14.199999999999998</v>
          </cell>
        </row>
        <row r="335">
          <cell r="D335">
            <v>2.6</v>
          </cell>
        </row>
        <row r="336">
          <cell r="E336">
            <v>147.67999999999998</v>
          </cell>
        </row>
        <row r="337">
          <cell r="B337">
            <v>4</v>
          </cell>
          <cell r="C337">
            <v>1</v>
          </cell>
          <cell r="D337">
            <v>2.06</v>
          </cell>
        </row>
        <row r="338">
          <cell r="D338">
            <v>2.6</v>
          </cell>
        </row>
        <row r="339">
          <cell r="E339">
            <v>21.424000000000003</v>
          </cell>
        </row>
        <row r="340">
          <cell r="B340">
            <v>4</v>
          </cell>
          <cell r="C340">
            <v>1</v>
          </cell>
          <cell r="D340">
            <v>8.6</v>
          </cell>
        </row>
        <row r="341">
          <cell r="D341">
            <v>2.6</v>
          </cell>
        </row>
        <row r="342">
          <cell r="E342">
            <v>89.44</v>
          </cell>
        </row>
        <row r="343">
          <cell r="B343">
            <v>4</v>
          </cell>
          <cell r="C343">
            <v>4</v>
          </cell>
          <cell r="D343">
            <v>7.6999999999999993</v>
          </cell>
        </row>
        <row r="344">
          <cell r="D344">
            <v>2.6</v>
          </cell>
        </row>
        <row r="345">
          <cell r="E345">
            <v>320.32</v>
          </cell>
        </row>
        <row r="346">
          <cell r="B346">
            <v>4</v>
          </cell>
          <cell r="C346">
            <v>2</v>
          </cell>
          <cell r="D346">
            <v>3.8500000000000005</v>
          </cell>
        </row>
        <row r="347">
          <cell r="D347">
            <v>2.6</v>
          </cell>
        </row>
        <row r="348">
          <cell r="E348">
            <v>80.080000000000013</v>
          </cell>
        </row>
        <row r="349">
          <cell r="B349">
            <v>4</v>
          </cell>
          <cell r="C349">
            <v>1</v>
          </cell>
          <cell r="D349">
            <v>38.220000000000013</v>
          </cell>
        </row>
        <row r="350">
          <cell r="D350">
            <v>2.6</v>
          </cell>
        </row>
        <row r="351">
          <cell r="E351">
            <v>397.48800000000017</v>
          </cell>
        </row>
        <row r="352">
          <cell r="B352">
            <v>4</v>
          </cell>
          <cell r="C352">
            <v>1</v>
          </cell>
          <cell r="D352">
            <v>6.58</v>
          </cell>
        </row>
        <row r="353">
          <cell r="D353">
            <v>2.6</v>
          </cell>
        </row>
        <row r="354">
          <cell r="E354">
            <v>68.432000000000002</v>
          </cell>
        </row>
        <row r="355">
          <cell r="B355">
            <v>4</v>
          </cell>
          <cell r="C355">
            <v>1</v>
          </cell>
          <cell r="D355">
            <v>18.560000000000002</v>
          </cell>
        </row>
        <row r="356">
          <cell r="D356">
            <v>2.6</v>
          </cell>
        </row>
        <row r="357">
          <cell r="E357">
            <v>193.02400000000003</v>
          </cell>
        </row>
        <row r="360">
          <cell r="B360">
            <v>4</v>
          </cell>
          <cell r="C360">
            <v>-3</v>
          </cell>
          <cell r="D360">
            <v>1.2</v>
          </cell>
        </row>
        <row r="361">
          <cell r="D361">
            <v>1.5</v>
          </cell>
        </row>
        <row r="362">
          <cell r="E362">
            <v>-21.599999999999998</v>
          </cell>
        </row>
        <row r="363">
          <cell r="B363">
            <v>4</v>
          </cell>
          <cell r="C363">
            <v>-4</v>
          </cell>
          <cell r="D363">
            <v>1</v>
          </cell>
        </row>
        <row r="364">
          <cell r="D364">
            <v>1.5</v>
          </cell>
        </row>
        <row r="365">
          <cell r="E365">
            <v>-24</v>
          </cell>
        </row>
        <row r="366">
          <cell r="B366">
            <v>4</v>
          </cell>
          <cell r="C366">
            <v>-3</v>
          </cell>
          <cell r="D366">
            <v>0.6</v>
          </cell>
        </row>
        <row r="367">
          <cell r="D367">
            <v>0.5</v>
          </cell>
        </row>
        <row r="368">
          <cell r="E368">
            <v>-3.5999999999999996</v>
          </cell>
        </row>
        <row r="369">
          <cell r="B369">
            <v>4</v>
          </cell>
          <cell r="C369">
            <v>-2</v>
          </cell>
          <cell r="D369">
            <v>2</v>
          </cell>
        </row>
        <row r="370">
          <cell r="D370">
            <v>1.5</v>
          </cell>
        </row>
        <row r="371">
          <cell r="E371">
            <v>-24</v>
          </cell>
        </row>
        <row r="372">
          <cell r="B372">
            <v>8</v>
          </cell>
          <cell r="C372">
            <v>-3</v>
          </cell>
          <cell r="D372">
            <v>1.5</v>
          </cell>
        </row>
        <row r="373">
          <cell r="D373">
            <v>1.5</v>
          </cell>
        </row>
        <row r="374">
          <cell r="E374">
            <v>-54</v>
          </cell>
        </row>
        <row r="375">
          <cell r="B375">
            <v>8</v>
          </cell>
          <cell r="C375">
            <v>-3</v>
          </cell>
          <cell r="D375">
            <v>1.2</v>
          </cell>
        </row>
        <row r="376">
          <cell r="D376">
            <v>1.5</v>
          </cell>
        </row>
        <row r="377">
          <cell r="E377">
            <v>-43.199999999999996</v>
          </cell>
        </row>
        <row r="378">
          <cell r="B378">
            <v>8</v>
          </cell>
          <cell r="C378">
            <v>-2</v>
          </cell>
          <cell r="D378">
            <v>1</v>
          </cell>
        </row>
        <row r="379">
          <cell r="D379">
            <v>1.5</v>
          </cell>
        </row>
        <row r="380">
          <cell r="E380">
            <v>-24</v>
          </cell>
        </row>
        <row r="381">
          <cell r="B381">
            <v>8</v>
          </cell>
          <cell r="C381">
            <v>-1</v>
          </cell>
          <cell r="D381">
            <v>0.6</v>
          </cell>
        </row>
        <row r="382">
          <cell r="D382">
            <v>0.5</v>
          </cell>
        </row>
        <row r="383">
          <cell r="E383">
            <v>-2.4</v>
          </cell>
        </row>
        <row r="384">
          <cell r="B384">
            <v>4</v>
          </cell>
          <cell r="C384">
            <v>17</v>
          </cell>
          <cell r="D384">
            <v>0.4</v>
          </cell>
        </row>
        <row r="385">
          <cell r="D385">
            <v>2.6</v>
          </cell>
        </row>
        <row r="386">
          <cell r="E386">
            <v>70.720000000000013</v>
          </cell>
        </row>
        <row r="387">
          <cell r="B387">
            <v>4</v>
          </cell>
          <cell r="C387">
            <v>2</v>
          </cell>
          <cell r="D387">
            <v>0.3</v>
          </cell>
        </row>
        <row r="388">
          <cell r="D388">
            <v>2.6</v>
          </cell>
        </row>
        <row r="389">
          <cell r="E389">
            <v>6.24</v>
          </cell>
        </row>
        <row r="390">
          <cell r="B390">
            <v>4</v>
          </cell>
          <cell r="C390">
            <v>9</v>
          </cell>
          <cell r="D390">
            <v>0.25</v>
          </cell>
        </row>
        <row r="391">
          <cell r="D391">
            <v>2.6</v>
          </cell>
        </row>
        <row r="392">
          <cell r="E392">
            <v>23.400000000000002</v>
          </cell>
        </row>
        <row r="393">
          <cell r="B393">
            <v>4</v>
          </cell>
          <cell r="C393">
            <v>19</v>
          </cell>
          <cell r="D393">
            <v>0.2</v>
          </cell>
        </row>
        <row r="394">
          <cell r="D394">
            <v>2.6</v>
          </cell>
        </row>
        <row r="395">
          <cell r="E395">
            <v>39.520000000000003</v>
          </cell>
        </row>
        <row r="396">
          <cell r="B396">
            <v>4</v>
          </cell>
          <cell r="C396">
            <v>6</v>
          </cell>
          <cell r="D396">
            <v>0.15</v>
          </cell>
        </row>
        <row r="397">
          <cell r="D397">
            <v>2.6</v>
          </cell>
        </row>
        <row r="398">
          <cell r="E398">
            <v>9.36</v>
          </cell>
        </row>
        <row r="399">
          <cell r="B399">
            <v>4</v>
          </cell>
          <cell r="C399">
            <v>27</v>
          </cell>
          <cell r="D399">
            <v>0.05</v>
          </cell>
        </row>
        <row r="400">
          <cell r="D400">
            <v>2.6</v>
          </cell>
        </row>
        <row r="401">
          <cell r="E401">
            <v>14.040000000000001</v>
          </cell>
        </row>
        <row r="402">
          <cell r="B402">
            <v>4</v>
          </cell>
          <cell r="C402">
            <v>1</v>
          </cell>
          <cell r="D402">
            <v>73.200000000000017</v>
          </cell>
        </row>
        <row r="403">
          <cell r="D403">
            <v>0.2</v>
          </cell>
        </row>
        <row r="404">
          <cell r="E404">
            <v>58.560000000000016</v>
          </cell>
        </row>
        <row r="405">
          <cell r="B405">
            <v>1</v>
          </cell>
          <cell r="C405">
            <v>2</v>
          </cell>
          <cell r="D405">
            <v>1</v>
          </cell>
          <cell r="E405" t="e">
            <v>#REF!</v>
          </cell>
        </row>
        <row r="406">
          <cell r="B406">
            <v>1</v>
          </cell>
          <cell r="C406">
            <v>1</v>
          </cell>
          <cell r="D406">
            <v>1</v>
          </cell>
          <cell r="E406" t="e">
            <v>#REF!</v>
          </cell>
        </row>
        <row r="410">
          <cell r="B410">
            <v>4</v>
          </cell>
          <cell r="C410">
            <v>4</v>
          </cell>
          <cell r="D410">
            <v>0.1</v>
          </cell>
        </row>
        <row r="411">
          <cell r="D411">
            <v>2.6</v>
          </cell>
        </row>
        <row r="412">
          <cell r="E412">
            <v>4.16</v>
          </cell>
        </row>
        <row r="413">
          <cell r="B413">
            <v>4</v>
          </cell>
          <cell r="C413">
            <v>1</v>
          </cell>
          <cell r="D413">
            <v>52</v>
          </cell>
        </row>
        <row r="414">
          <cell r="D414">
            <v>0.2</v>
          </cell>
        </row>
        <row r="415">
          <cell r="E415">
            <v>41.6</v>
          </cell>
        </row>
        <row r="416">
          <cell r="B416">
            <v>1</v>
          </cell>
          <cell r="C416">
            <v>1</v>
          </cell>
          <cell r="D416">
            <v>1</v>
          </cell>
          <cell r="E416">
            <v>-202.875</v>
          </cell>
        </row>
        <row r="421">
          <cell r="B421">
            <v>1</v>
          </cell>
          <cell r="C421">
            <v>1</v>
          </cell>
          <cell r="D421">
            <v>15.879999999999999</v>
          </cell>
        </row>
        <row r="422">
          <cell r="D422">
            <v>2.88</v>
          </cell>
        </row>
        <row r="423">
          <cell r="E423">
            <v>45.734399999999994</v>
          </cell>
        </row>
        <row r="424">
          <cell r="B424">
            <v>1</v>
          </cell>
          <cell r="C424">
            <v>1</v>
          </cell>
          <cell r="D424">
            <v>25.779000000000003</v>
          </cell>
        </row>
        <row r="425">
          <cell r="D425">
            <v>2.88</v>
          </cell>
        </row>
        <row r="426">
          <cell r="E426">
            <v>74.243520000000004</v>
          </cell>
        </row>
        <row r="427">
          <cell r="B427">
            <v>1</v>
          </cell>
          <cell r="C427">
            <v>1</v>
          </cell>
          <cell r="D427">
            <v>14.199999999999998</v>
          </cell>
        </row>
        <row r="428">
          <cell r="D428">
            <v>2.88</v>
          </cell>
        </row>
        <row r="429">
          <cell r="E429">
            <v>40.895999999999994</v>
          </cell>
        </row>
        <row r="430">
          <cell r="B430">
            <v>1</v>
          </cell>
          <cell r="C430">
            <v>1</v>
          </cell>
          <cell r="D430">
            <v>14.199999999999998</v>
          </cell>
        </row>
        <row r="431">
          <cell r="D431">
            <v>2.88</v>
          </cell>
        </row>
        <row r="432">
          <cell r="E432">
            <v>40.895999999999994</v>
          </cell>
        </row>
        <row r="433">
          <cell r="B433">
            <v>1</v>
          </cell>
          <cell r="C433">
            <v>1</v>
          </cell>
          <cell r="D433">
            <v>2.06</v>
          </cell>
        </row>
        <row r="434">
          <cell r="D434">
            <v>2.88</v>
          </cell>
        </row>
        <row r="435">
          <cell r="E435">
            <v>5.9328000000000003</v>
          </cell>
        </row>
        <row r="436">
          <cell r="B436">
            <v>1</v>
          </cell>
          <cell r="C436">
            <v>1</v>
          </cell>
          <cell r="D436">
            <v>8.6</v>
          </cell>
        </row>
        <row r="437">
          <cell r="D437">
            <v>2.88</v>
          </cell>
        </row>
        <row r="438">
          <cell r="E438">
            <v>24.767999999999997</v>
          </cell>
        </row>
        <row r="439">
          <cell r="B439">
            <v>1</v>
          </cell>
          <cell r="C439">
            <v>4</v>
          </cell>
          <cell r="D439">
            <v>7.6999999999999993</v>
          </cell>
        </row>
        <row r="440">
          <cell r="D440">
            <v>2.88</v>
          </cell>
        </row>
        <row r="441">
          <cell r="E441">
            <v>88.703999999999994</v>
          </cell>
        </row>
        <row r="442">
          <cell r="B442">
            <v>1</v>
          </cell>
          <cell r="C442">
            <v>2</v>
          </cell>
          <cell r="D442">
            <v>3.8500000000000005</v>
          </cell>
        </row>
        <row r="443">
          <cell r="D443">
            <v>2.88</v>
          </cell>
        </row>
        <row r="444">
          <cell r="E444">
            <v>22.176000000000002</v>
          </cell>
        </row>
        <row r="445">
          <cell r="B445">
            <v>1</v>
          </cell>
          <cell r="C445">
            <v>1</v>
          </cell>
          <cell r="D445">
            <v>38.220000000000013</v>
          </cell>
        </row>
        <row r="446">
          <cell r="D446">
            <v>2.88</v>
          </cell>
        </row>
        <row r="447">
          <cell r="E447">
            <v>110.07360000000003</v>
          </cell>
        </row>
        <row r="448">
          <cell r="B448">
            <v>1</v>
          </cell>
          <cell r="C448">
            <v>1</v>
          </cell>
          <cell r="D448">
            <v>6.58</v>
          </cell>
        </row>
        <row r="449">
          <cell r="D449">
            <v>2.88</v>
          </cell>
        </row>
        <row r="450">
          <cell r="E450">
            <v>18.950399999999998</v>
          </cell>
        </row>
        <row r="451">
          <cell r="B451">
            <v>1</v>
          </cell>
          <cell r="C451">
            <v>1</v>
          </cell>
          <cell r="D451">
            <v>18.560000000000002</v>
          </cell>
        </row>
        <row r="452">
          <cell r="D452">
            <v>2.88</v>
          </cell>
        </row>
        <row r="453">
          <cell r="E453">
            <v>53.452800000000003</v>
          </cell>
        </row>
        <row r="456">
          <cell r="B456">
            <v>1</v>
          </cell>
          <cell r="C456">
            <v>-3</v>
          </cell>
          <cell r="D456">
            <v>1.2</v>
          </cell>
        </row>
        <row r="457">
          <cell r="D457">
            <v>1.5</v>
          </cell>
        </row>
        <row r="458">
          <cell r="E458">
            <v>-5.3999999999999995</v>
          </cell>
        </row>
        <row r="459">
          <cell r="B459">
            <v>1</v>
          </cell>
          <cell r="C459">
            <v>-4</v>
          </cell>
          <cell r="D459">
            <v>1</v>
          </cell>
        </row>
        <row r="460">
          <cell r="D460">
            <v>1.5</v>
          </cell>
        </row>
        <row r="461">
          <cell r="E461">
            <v>-6</v>
          </cell>
        </row>
        <row r="462">
          <cell r="B462">
            <v>1</v>
          </cell>
          <cell r="C462">
            <v>-3</v>
          </cell>
          <cell r="D462">
            <v>0.6</v>
          </cell>
        </row>
        <row r="463">
          <cell r="D463">
            <v>0.5</v>
          </cell>
        </row>
        <row r="464">
          <cell r="E464">
            <v>-0.89999999999999991</v>
          </cell>
        </row>
        <row r="465">
          <cell r="B465">
            <v>1</v>
          </cell>
          <cell r="C465">
            <v>-2</v>
          </cell>
          <cell r="D465">
            <v>2</v>
          </cell>
        </row>
        <row r="466">
          <cell r="D466">
            <v>1.5</v>
          </cell>
        </row>
        <row r="467">
          <cell r="E467">
            <v>-6</v>
          </cell>
        </row>
        <row r="468">
          <cell r="B468">
            <v>2</v>
          </cell>
          <cell r="C468">
            <v>-3</v>
          </cell>
          <cell r="D468">
            <v>1.5</v>
          </cell>
        </row>
        <row r="469">
          <cell r="D469">
            <v>1.5</v>
          </cell>
        </row>
        <row r="470">
          <cell r="E470">
            <v>-13.5</v>
          </cell>
        </row>
        <row r="471">
          <cell r="B471">
            <v>2</v>
          </cell>
          <cell r="C471">
            <v>-3</v>
          </cell>
          <cell r="D471">
            <v>1.2</v>
          </cell>
        </row>
        <row r="472">
          <cell r="D472">
            <v>1.5</v>
          </cell>
        </row>
        <row r="473">
          <cell r="E473">
            <v>-10.799999999999999</v>
          </cell>
        </row>
        <row r="474">
          <cell r="B474">
            <v>2</v>
          </cell>
          <cell r="C474">
            <v>-2</v>
          </cell>
          <cell r="D474">
            <v>1</v>
          </cell>
        </row>
        <row r="475">
          <cell r="D475">
            <v>1.5</v>
          </cell>
        </row>
        <row r="476">
          <cell r="E476">
            <v>-6</v>
          </cell>
        </row>
        <row r="477">
          <cell r="B477">
            <v>2</v>
          </cell>
          <cell r="C477">
            <v>-1</v>
          </cell>
          <cell r="D477">
            <v>0.6</v>
          </cell>
        </row>
        <row r="478">
          <cell r="D478">
            <v>0.5</v>
          </cell>
        </row>
        <row r="479">
          <cell r="E479">
            <v>-0.6</v>
          </cell>
        </row>
        <row r="480">
          <cell r="B480">
            <v>1</v>
          </cell>
          <cell r="C480">
            <v>17</v>
          </cell>
          <cell r="D480">
            <v>0.4</v>
          </cell>
        </row>
        <row r="481">
          <cell r="D481">
            <v>2.88</v>
          </cell>
        </row>
        <row r="482">
          <cell r="E482">
            <v>19.584</v>
          </cell>
        </row>
        <row r="483">
          <cell r="B483">
            <v>1</v>
          </cell>
          <cell r="C483">
            <v>2</v>
          </cell>
          <cell r="D483">
            <v>0.3</v>
          </cell>
        </row>
        <row r="484">
          <cell r="D484">
            <v>2.88</v>
          </cell>
        </row>
        <row r="485">
          <cell r="E485">
            <v>1.728</v>
          </cell>
        </row>
        <row r="486">
          <cell r="B486">
            <v>1</v>
          </cell>
          <cell r="C486">
            <v>9</v>
          </cell>
          <cell r="D486">
            <v>0.25</v>
          </cell>
        </row>
        <row r="487">
          <cell r="D487">
            <v>2.88</v>
          </cell>
        </row>
        <row r="488">
          <cell r="E488">
            <v>6.4799999999999995</v>
          </cell>
        </row>
        <row r="489">
          <cell r="B489">
            <v>1</v>
          </cell>
          <cell r="C489">
            <v>19</v>
          </cell>
          <cell r="D489">
            <v>0.2</v>
          </cell>
        </row>
        <row r="490">
          <cell r="D490">
            <v>2.88</v>
          </cell>
        </row>
        <row r="491">
          <cell r="E491">
            <v>10.944000000000001</v>
          </cell>
        </row>
        <row r="492">
          <cell r="B492">
            <v>1</v>
          </cell>
          <cell r="C492">
            <v>6</v>
          </cell>
          <cell r="D492">
            <v>0.15</v>
          </cell>
        </row>
        <row r="493">
          <cell r="D493">
            <v>2.88</v>
          </cell>
        </row>
        <row r="494">
          <cell r="E494">
            <v>2.5919999999999996</v>
          </cell>
        </row>
        <row r="495">
          <cell r="B495">
            <v>1</v>
          </cell>
          <cell r="C495">
            <v>27</v>
          </cell>
          <cell r="D495">
            <v>0.05</v>
          </cell>
        </row>
        <row r="496">
          <cell r="D496">
            <v>2.88</v>
          </cell>
        </row>
        <row r="497">
          <cell r="E497">
            <v>3.8879999999999999</v>
          </cell>
        </row>
        <row r="498">
          <cell r="B498">
            <v>1</v>
          </cell>
          <cell r="C498">
            <v>2</v>
          </cell>
          <cell r="D498">
            <v>41.894999999999989</v>
          </cell>
        </row>
        <row r="499">
          <cell r="D499">
            <v>0.3</v>
          </cell>
        </row>
        <row r="500">
          <cell r="E500">
            <v>25.136999999999993</v>
          </cell>
        </row>
        <row r="503">
          <cell r="B503">
            <v>1</v>
          </cell>
          <cell r="C503">
            <v>4</v>
          </cell>
          <cell r="D503">
            <v>0.1</v>
          </cell>
        </row>
        <row r="504">
          <cell r="D504">
            <v>2.88</v>
          </cell>
        </row>
        <row r="505">
          <cell r="E505">
            <v>1.1519999999999999</v>
          </cell>
        </row>
        <row r="506">
          <cell r="B506">
            <v>1</v>
          </cell>
          <cell r="C506">
            <v>1</v>
          </cell>
          <cell r="D506">
            <v>52</v>
          </cell>
        </row>
        <row r="507">
          <cell r="D507">
            <v>0.2</v>
          </cell>
        </row>
        <row r="508">
          <cell r="E508">
            <v>10.4</v>
          </cell>
        </row>
        <row r="509">
          <cell r="E509" t="e">
            <v>#REF!</v>
          </cell>
        </row>
        <row r="512">
          <cell r="E512">
            <v>1300.6675</v>
          </cell>
        </row>
        <row r="513">
          <cell r="B513">
            <v>4</v>
          </cell>
          <cell r="C513">
            <v>2</v>
          </cell>
          <cell r="D513">
            <v>2.96</v>
          </cell>
        </row>
        <row r="514">
          <cell r="D514">
            <v>1.37</v>
          </cell>
        </row>
        <row r="515">
          <cell r="E515">
            <v>32.441600000000001</v>
          </cell>
        </row>
        <row r="516">
          <cell r="B516">
            <v>4</v>
          </cell>
          <cell r="C516">
            <v>1</v>
          </cell>
          <cell r="D516">
            <v>2.8299999999999996</v>
          </cell>
        </row>
        <row r="517">
          <cell r="D517">
            <v>0.4</v>
          </cell>
        </row>
        <row r="518">
          <cell r="E518">
            <v>4.5279999999999996</v>
          </cell>
        </row>
        <row r="519">
          <cell r="B519">
            <v>4</v>
          </cell>
          <cell r="C519">
            <v>1</v>
          </cell>
          <cell r="D519">
            <v>2.8299999999999996</v>
          </cell>
        </row>
        <row r="520">
          <cell r="D520">
            <v>0.24</v>
          </cell>
        </row>
        <row r="521">
          <cell r="E521">
            <v>2.7167999999999997</v>
          </cell>
        </row>
        <row r="522">
          <cell r="B522">
            <v>4</v>
          </cell>
          <cell r="C522">
            <v>1</v>
          </cell>
          <cell r="D522">
            <v>1.67</v>
          </cell>
        </row>
        <row r="523">
          <cell r="D523">
            <v>2.8299999999999996</v>
          </cell>
        </row>
        <row r="524">
          <cell r="E524">
            <v>18.904399999999995</v>
          </cell>
        </row>
        <row r="526">
          <cell r="B526">
            <v>1</v>
          </cell>
          <cell r="C526">
            <v>1</v>
          </cell>
          <cell r="D526">
            <v>46.245000000000005</v>
          </cell>
        </row>
        <row r="527">
          <cell r="D527">
            <v>0.2</v>
          </cell>
        </row>
        <row r="528">
          <cell r="E528">
            <v>9.2490000000000006</v>
          </cell>
        </row>
        <row r="529">
          <cell r="B529">
            <v>1</v>
          </cell>
          <cell r="C529">
            <v>1</v>
          </cell>
          <cell r="D529">
            <v>45.274999999999991</v>
          </cell>
        </row>
        <row r="530">
          <cell r="D530">
            <v>0.2</v>
          </cell>
        </row>
        <row r="531">
          <cell r="E531">
            <v>9.0549999999999979</v>
          </cell>
        </row>
        <row r="532">
          <cell r="B532">
            <v>1</v>
          </cell>
          <cell r="C532">
            <v>1</v>
          </cell>
          <cell r="D532">
            <v>5.57</v>
          </cell>
        </row>
        <row r="533">
          <cell r="D533">
            <v>0.1</v>
          </cell>
        </row>
        <row r="534">
          <cell r="E534">
            <v>0.55700000000000005</v>
          </cell>
        </row>
        <row r="535">
          <cell r="B535">
            <v>5</v>
          </cell>
          <cell r="C535">
            <v>1</v>
          </cell>
          <cell r="D535">
            <v>23.099999999999998</v>
          </cell>
        </row>
        <row r="536">
          <cell r="D536">
            <v>0.2</v>
          </cell>
        </row>
        <row r="537">
          <cell r="E537">
            <v>23.099999999999998</v>
          </cell>
        </row>
        <row r="539">
          <cell r="E539">
            <v>1401.2193</v>
          </cell>
        </row>
        <row r="541">
          <cell r="B541">
            <v>5</v>
          </cell>
          <cell r="C541">
            <v>1</v>
          </cell>
          <cell r="D541">
            <v>9.1</v>
          </cell>
        </row>
        <row r="542">
          <cell r="D542">
            <v>2.88</v>
          </cell>
        </row>
        <row r="543">
          <cell r="E543">
            <v>131.04</v>
          </cell>
        </row>
        <row r="544">
          <cell r="B544">
            <v>5</v>
          </cell>
          <cell r="C544">
            <v>1</v>
          </cell>
          <cell r="D544">
            <v>1.33</v>
          </cell>
        </row>
        <row r="545">
          <cell r="D545">
            <v>2.88</v>
          </cell>
        </row>
        <row r="546">
          <cell r="E546">
            <v>19.152000000000001</v>
          </cell>
        </row>
        <row r="547">
          <cell r="B547">
            <v>5</v>
          </cell>
          <cell r="C547">
            <v>1</v>
          </cell>
          <cell r="D547">
            <v>5.1499999999999995</v>
          </cell>
        </row>
        <row r="548">
          <cell r="D548">
            <v>2.88</v>
          </cell>
        </row>
        <row r="549">
          <cell r="E549">
            <v>74.159999999999982</v>
          </cell>
        </row>
        <row r="550">
          <cell r="B550">
            <v>5</v>
          </cell>
          <cell r="C550">
            <v>1</v>
          </cell>
          <cell r="D550">
            <v>7.58</v>
          </cell>
        </row>
        <row r="551">
          <cell r="D551">
            <v>2.88</v>
          </cell>
        </row>
        <row r="552">
          <cell r="E552">
            <v>109.15199999999999</v>
          </cell>
        </row>
        <row r="553">
          <cell r="B553">
            <v>5</v>
          </cell>
          <cell r="C553">
            <v>1</v>
          </cell>
          <cell r="D553">
            <v>14.610000000000001</v>
          </cell>
        </row>
        <row r="554">
          <cell r="D554">
            <v>2.88</v>
          </cell>
        </row>
        <row r="555">
          <cell r="E555">
            <v>210.38400000000001</v>
          </cell>
        </row>
        <row r="556">
          <cell r="B556">
            <v>5</v>
          </cell>
          <cell r="C556">
            <v>1</v>
          </cell>
          <cell r="D556">
            <v>11.2</v>
          </cell>
        </row>
        <row r="557">
          <cell r="D557">
            <v>2.88</v>
          </cell>
        </row>
        <row r="558">
          <cell r="E558">
            <v>161.28</v>
          </cell>
        </row>
        <row r="559">
          <cell r="B559">
            <v>5</v>
          </cell>
          <cell r="C559">
            <v>1</v>
          </cell>
          <cell r="D559">
            <v>9.0389999999999997</v>
          </cell>
        </row>
        <row r="560">
          <cell r="D560">
            <v>2.88</v>
          </cell>
        </row>
        <row r="561">
          <cell r="E561">
            <v>130.16159999999999</v>
          </cell>
        </row>
        <row r="562">
          <cell r="B562">
            <v>5</v>
          </cell>
          <cell r="C562">
            <v>1</v>
          </cell>
          <cell r="D562">
            <v>1.23</v>
          </cell>
        </row>
        <row r="563">
          <cell r="D563">
            <v>2.88</v>
          </cell>
        </row>
        <row r="564">
          <cell r="E564">
            <v>17.712</v>
          </cell>
        </row>
        <row r="565">
          <cell r="B565">
            <v>5</v>
          </cell>
          <cell r="C565">
            <v>1</v>
          </cell>
          <cell r="D565">
            <v>9.65</v>
          </cell>
        </row>
        <row r="566">
          <cell r="D566">
            <v>2.88</v>
          </cell>
        </row>
        <row r="567">
          <cell r="E567">
            <v>138.96</v>
          </cell>
        </row>
        <row r="568">
          <cell r="B568">
            <v>1</v>
          </cell>
          <cell r="C568">
            <v>1</v>
          </cell>
          <cell r="D568">
            <v>1</v>
          </cell>
          <cell r="E568" t="e">
            <v>#REF!</v>
          </cell>
        </row>
        <row r="569">
          <cell r="B569">
            <v>4</v>
          </cell>
          <cell r="C569">
            <v>1</v>
          </cell>
          <cell r="D569">
            <v>22.26</v>
          </cell>
        </row>
        <row r="570">
          <cell r="D570">
            <v>0.2</v>
          </cell>
        </row>
        <row r="571">
          <cell r="E571">
            <v>17.808000000000003</v>
          </cell>
        </row>
        <row r="573">
          <cell r="B573">
            <v>5</v>
          </cell>
          <cell r="C573">
            <v>-3</v>
          </cell>
          <cell r="D573">
            <v>1.2</v>
          </cell>
        </row>
        <row r="574">
          <cell r="D574">
            <v>1.5</v>
          </cell>
        </row>
        <row r="575">
          <cell r="E575">
            <v>-26.999999999999996</v>
          </cell>
        </row>
        <row r="576">
          <cell r="B576">
            <v>5</v>
          </cell>
          <cell r="C576">
            <v>-4</v>
          </cell>
          <cell r="D576">
            <v>1</v>
          </cell>
        </row>
        <row r="577">
          <cell r="D577">
            <v>1.5</v>
          </cell>
        </row>
        <row r="578">
          <cell r="E578">
            <v>-30</v>
          </cell>
        </row>
        <row r="579">
          <cell r="B579">
            <v>5</v>
          </cell>
          <cell r="C579">
            <v>-3</v>
          </cell>
          <cell r="D579">
            <v>0.6</v>
          </cell>
        </row>
        <row r="580">
          <cell r="D580">
            <v>0.5</v>
          </cell>
        </row>
        <row r="581">
          <cell r="E581">
            <v>-4.5</v>
          </cell>
        </row>
        <row r="582">
          <cell r="B582">
            <v>5</v>
          </cell>
          <cell r="C582">
            <v>-2</v>
          </cell>
          <cell r="D582">
            <v>2</v>
          </cell>
        </row>
        <row r="583">
          <cell r="D583">
            <v>1.5</v>
          </cell>
        </row>
        <row r="584">
          <cell r="E584">
            <v>-30</v>
          </cell>
        </row>
        <row r="585">
          <cell r="E585" t="e">
            <v>#REF!</v>
          </cell>
        </row>
        <row r="587">
          <cell r="E587">
            <v>202.875</v>
          </cell>
        </row>
        <row r="588">
          <cell r="B588">
            <v>5</v>
          </cell>
          <cell r="C588">
            <v>1</v>
          </cell>
          <cell r="D588">
            <v>7.1999999999999993</v>
          </cell>
        </row>
        <row r="589">
          <cell r="D589">
            <v>1.5</v>
          </cell>
        </row>
        <row r="590">
          <cell r="E590">
            <v>54</v>
          </cell>
        </row>
        <row r="591">
          <cell r="B591">
            <v>5</v>
          </cell>
          <cell r="C591">
            <v>1</v>
          </cell>
          <cell r="D591">
            <v>6.5499999999999989</v>
          </cell>
        </row>
        <row r="592">
          <cell r="D592">
            <v>1.5</v>
          </cell>
        </row>
        <row r="593">
          <cell r="E593">
            <v>49.124999999999986</v>
          </cell>
        </row>
        <row r="595">
          <cell r="B595">
            <v>5</v>
          </cell>
          <cell r="C595">
            <v>1</v>
          </cell>
          <cell r="D595">
            <v>6.85</v>
          </cell>
        </row>
        <row r="596">
          <cell r="D596">
            <v>1.5</v>
          </cell>
        </row>
        <row r="597">
          <cell r="E597">
            <v>51.375</v>
          </cell>
        </row>
        <row r="598">
          <cell r="B598">
            <v>5</v>
          </cell>
          <cell r="C598">
            <v>1</v>
          </cell>
          <cell r="D598">
            <v>6.4499999999999993</v>
          </cell>
        </row>
        <row r="599">
          <cell r="D599">
            <v>1.5</v>
          </cell>
        </row>
        <row r="600">
          <cell r="E600">
            <v>48.375</v>
          </cell>
        </row>
        <row r="605">
          <cell r="E605">
            <v>202.875</v>
          </cell>
        </row>
        <row r="607">
          <cell r="B607">
            <v>4</v>
          </cell>
          <cell r="C607">
            <v>2</v>
          </cell>
          <cell r="D607">
            <v>12.330000000000002</v>
          </cell>
          <cell r="E607">
            <v>98.640000000000015</v>
          </cell>
        </row>
        <row r="608">
          <cell r="B608">
            <v>4</v>
          </cell>
          <cell r="C608">
            <v>2</v>
          </cell>
          <cell r="D608">
            <v>12.330000000000002</v>
          </cell>
          <cell r="E608">
            <v>98.640000000000015</v>
          </cell>
        </row>
        <row r="610">
          <cell r="B610">
            <v>5</v>
          </cell>
          <cell r="C610">
            <v>1</v>
          </cell>
          <cell r="D610">
            <v>23.099999999999998</v>
          </cell>
          <cell r="E610">
            <v>115.49999999999999</v>
          </cell>
        </row>
        <row r="614">
          <cell r="B614">
            <v>5</v>
          </cell>
          <cell r="C614">
            <v>1</v>
          </cell>
          <cell r="D614">
            <v>35.6</v>
          </cell>
          <cell r="E614">
            <v>178</v>
          </cell>
        </row>
        <row r="615">
          <cell r="B615">
            <v>5</v>
          </cell>
          <cell r="C615">
            <v>1</v>
          </cell>
          <cell r="D615">
            <v>4.160099999999999</v>
          </cell>
          <cell r="E615">
            <v>20.800499999999996</v>
          </cell>
        </row>
        <row r="616">
          <cell r="B616">
            <v>5</v>
          </cell>
          <cell r="C616">
            <v>1</v>
          </cell>
          <cell r="D616">
            <v>7.2927</v>
          </cell>
          <cell r="E616">
            <v>36.463499999999996</v>
          </cell>
        </row>
        <row r="617">
          <cell r="E617">
            <v>235.26400000000001</v>
          </cell>
        </row>
        <row r="618">
          <cell r="B618">
            <v>5</v>
          </cell>
          <cell r="C618">
            <v>1</v>
          </cell>
          <cell r="D618">
            <v>17.893599999999999</v>
          </cell>
          <cell r="E618">
            <v>89.467999999999989</v>
          </cell>
        </row>
        <row r="619">
          <cell r="B619">
            <v>5</v>
          </cell>
          <cell r="C619">
            <v>1</v>
          </cell>
          <cell r="D619">
            <v>13.556400000000002</v>
          </cell>
          <cell r="E619">
            <v>67.782000000000011</v>
          </cell>
        </row>
        <row r="620">
          <cell r="B620">
            <v>5</v>
          </cell>
          <cell r="C620">
            <v>1</v>
          </cell>
          <cell r="D620">
            <v>8.4230000000000018</v>
          </cell>
          <cell r="E620">
            <v>42.115000000000009</v>
          </cell>
        </row>
        <row r="621">
          <cell r="B621">
            <v>5</v>
          </cell>
          <cell r="C621">
            <v>1</v>
          </cell>
          <cell r="D621">
            <v>10.5075</v>
          </cell>
          <cell r="E621">
            <v>52.537500000000001</v>
          </cell>
        </row>
        <row r="622">
          <cell r="B622">
            <v>5</v>
          </cell>
          <cell r="C622">
            <v>1</v>
          </cell>
          <cell r="D622">
            <v>8.2330000000000005</v>
          </cell>
          <cell r="E622">
            <v>41.165000000000006</v>
          </cell>
        </row>
        <row r="623">
          <cell r="B623">
            <v>5</v>
          </cell>
          <cell r="C623">
            <v>1</v>
          </cell>
          <cell r="D623">
            <v>5.1274999999999995</v>
          </cell>
          <cell r="E623">
            <v>25.637499999999996</v>
          </cell>
        </row>
        <row r="624">
          <cell r="B624">
            <v>5</v>
          </cell>
          <cell r="C624">
            <v>1</v>
          </cell>
          <cell r="D624">
            <v>14.7895</v>
          </cell>
          <cell r="E624">
            <v>73.947500000000005</v>
          </cell>
        </row>
        <row r="625">
          <cell r="B625">
            <v>5</v>
          </cell>
          <cell r="C625">
            <v>1</v>
          </cell>
          <cell r="D625">
            <v>11.642500000000002</v>
          </cell>
          <cell r="E625">
            <v>58.212500000000006</v>
          </cell>
        </row>
        <row r="626">
          <cell r="B626">
            <v>5</v>
          </cell>
          <cell r="C626">
            <v>1</v>
          </cell>
          <cell r="D626">
            <v>4.556</v>
          </cell>
          <cell r="E626">
            <v>22.78</v>
          </cell>
        </row>
        <row r="627">
          <cell r="B627">
            <v>5</v>
          </cell>
          <cell r="C627">
            <v>1</v>
          </cell>
          <cell r="D627">
            <v>1.3</v>
          </cell>
          <cell r="E627">
            <v>6.5</v>
          </cell>
        </row>
        <row r="628">
          <cell r="B628">
            <v>5</v>
          </cell>
          <cell r="C628">
            <v>1</v>
          </cell>
          <cell r="D628">
            <v>25.854799999999997</v>
          </cell>
          <cell r="E628">
            <v>129.274</v>
          </cell>
        </row>
        <row r="629">
          <cell r="B629">
            <v>5</v>
          </cell>
          <cell r="C629">
            <v>1</v>
          </cell>
          <cell r="D629">
            <v>9.9853000000000023</v>
          </cell>
          <cell r="E629">
            <v>49.926500000000011</v>
          </cell>
        </row>
        <row r="630">
          <cell r="B630">
            <v>5</v>
          </cell>
          <cell r="C630">
            <v>1</v>
          </cell>
          <cell r="D630">
            <v>12.3795</v>
          </cell>
          <cell r="E630">
            <v>61.897500000000001</v>
          </cell>
        </row>
        <row r="631">
          <cell r="B631">
            <v>5</v>
          </cell>
          <cell r="C631">
            <v>1</v>
          </cell>
          <cell r="D631">
            <v>10.119600000000002</v>
          </cell>
          <cell r="E631">
            <v>50.598000000000013</v>
          </cell>
        </row>
        <row r="632">
          <cell r="B632">
            <v>5</v>
          </cell>
          <cell r="C632">
            <v>1</v>
          </cell>
          <cell r="D632">
            <v>8.3470000000000013</v>
          </cell>
          <cell r="E632">
            <v>41.735000000000007</v>
          </cell>
        </row>
        <row r="633">
          <cell r="B633">
            <v>5</v>
          </cell>
          <cell r="C633">
            <v>1</v>
          </cell>
          <cell r="D633">
            <v>4.3254999999999999</v>
          </cell>
          <cell r="E633">
            <v>21.627499999999998</v>
          </cell>
        </row>
        <row r="634">
          <cell r="B634">
            <v>5</v>
          </cell>
          <cell r="C634">
            <v>1</v>
          </cell>
          <cell r="D634">
            <v>13.587499999999999</v>
          </cell>
          <cell r="E634">
            <v>67.9375</v>
          </cell>
        </row>
        <row r="635">
          <cell r="B635">
            <v>5</v>
          </cell>
          <cell r="C635">
            <v>1</v>
          </cell>
          <cell r="D635">
            <v>11.297500000000001</v>
          </cell>
          <cell r="E635">
            <v>56.487500000000004</v>
          </cell>
        </row>
        <row r="636">
          <cell r="B636">
            <v>5</v>
          </cell>
          <cell r="C636">
            <v>1</v>
          </cell>
          <cell r="D636">
            <v>4.335</v>
          </cell>
          <cell r="E636">
            <v>21.675000000000001</v>
          </cell>
        </row>
        <row r="637">
          <cell r="B637">
            <v>5</v>
          </cell>
          <cell r="C637">
            <v>1</v>
          </cell>
          <cell r="D637">
            <v>4.0200000000000005</v>
          </cell>
          <cell r="E637">
            <v>20.100000000000001</v>
          </cell>
        </row>
        <row r="638">
          <cell r="E638">
            <v>1001.4035</v>
          </cell>
        </row>
        <row r="639">
          <cell r="B639">
            <v>5</v>
          </cell>
          <cell r="C639">
            <v>1</v>
          </cell>
          <cell r="D639">
            <v>3.3300000000000005</v>
          </cell>
          <cell r="E639">
            <v>16.650000000000002</v>
          </cell>
        </row>
        <row r="640">
          <cell r="B640">
            <v>5</v>
          </cell>
          <cell r="C640">
            <v>1</v>
          </cell>
          <cell r="D640">
            <v>3.1399999999999997</v>
          </cell>
          <cell r="E640">
            <v>15.7</v>
          </cell>
        </row>
        <row r="641">
          <cell r="B641">
            <v>5</v>
          </cell>
          <cell r="C641">
            <v>1</v>
          </cell>
          <cell r="D641">
            <v>3.3300000000000005</v>
          </cell>
          <cell r="E641">
            <v>16.650000000000002</v>
          </cell>
        </row>
        <row r="642">
          <cell r="B642">
            <v>5</v>
          </cell>
          <cell r="C642">
            <v>1</v>
          </cell>
          <cell r="D642">
            <v>3.0000000000000004</v>
          </cell>
          <cell r="E642">
            <v>15.000000000000002</v>
          </cell>
        </row>
        <row r="643">
          <cell r="E643">
            <v>64</v>
          </cell>
        </row>
        <row r="649">
          <cell r="B649">
            <v>4</v>
          </cell>
          <cell r="C649">
            <v>1</v>
          </cell>
          <cell r="D649">
            <v>93.186399999999963</v>
          </cell>
          <cell r="E649">
            <v>372.74559999999985</v>
          </cell>
        </row>
        <row r="650">
          <cell r="B650">
            <v>1</v>
          </cell>
          <cell r="C650">
            <v>1</v>
          </cell>
          <cell r="D650">
            <v>105.65031999999995</v>
          </cell>
          <cell r="E650">
            <v>105.65031999999995</v>
          </cell>
        </row>
        <row r="651">
          <cell r="E651" t="e">
            <v>#REF!</v>
          </cell>
        </row>
        <row r="653">
          <cell r="B653">
            <v>1</v>
          </cell>
          <cell r="C653">
            <v>1</v>
          </cell>
          <cell r="D653">
            <v>1</v>
          </cell>
          <cell r="E653" t="e">
            <v>#REF!</v>
          </cell>
        </row>
        <row r="654">
          <cell r="B654">
            <v>5</v>
          </cell>
          <cell r="C654">
            <v>1</v>
          </cell>
          <cell r="D654">
            <v>1</v>
          </cell>
          <cell r="E654" t="e">
            <v>#REF!</v>
          </cell>
        </row>
        <row r="656">
          <cell r="E656" t="e">
            <v>#REF!</v>
          </cell>
        </row>
        <row r="659">
          <cell r="E659">
            <v>21.220000000000002</v>
          </cell>
        </row>
        <row r="660">
          <cell r="E660">
            <v>0.2</v>
          </cell>
        </row>
        <row r="661">
          <cell r="D661">
            <v>2</v>
          </cell>
        </row>
        <row r="663">
          <cell r="E663">
            <v>22.42</v>
          </cell>
        </row>
        <row r="664">
          <cell r="E664">
            <v>0.48</v>
          </cell>
        </row>
        <row r="668">
          <cell r="E668">
            <v>8.2550000000000008</v>
          </cell>
        </row>
      </sheetData>
      <sheetData sheetId="11"/>
      <sheetData sheetId="12"/>
      <sheetData sheetId="13"/>
      <sheetData sheetId="14"/>
      <sheetData sheetId="15"/>
      <sheetData sheetId="16"/>
      <sheetData sheetId="17"/>
      <sheetData sheetId="1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8 Summary"/>
      <sheetName val="08 Ar &amp; St"/>
      <sheetName val="08 A-2 200kp Resi Sup St."/>
      <sheetName val="08 RB A-2 Super St with 16mm"/>
    </sheetNames>
    <sheetDataSet>
      <sheetData sheetId="0">
        <row r="13">
          <cell r="E13">
            <v>0</v>
          </cell>
        </row>
        <row r="20">
          <cell r="E20">
            <v>0</v>
          </cell>
        </row>
        <row r="36">
          <cell r="E36">
            <v>138690.42000000001</v>
          </cell>
        </row>
      </sheetData>
      <sheetData sheetId="1">
        <row r="3">
          <cell r="E3" t="str">
            <v xml:space="preserve">  Payment №:</v>
          </cell>
        </row>
        <row r="4">
          <cell r="E4" t="str">
            <v>Date:</v>
          </cell>
          <cell r="F4">
            <v>40778</v>
          </cell>
        </row>
        <row r="6">
          <cell r="E6" t="str">
            <v>UNIT PRICE</v>
          </cell>
          <cell r="F6" t="str">
            <v>Todate Qty</v>
          </cell>
        </row>
        <row r="11">
          <cell r="E11">
            <v>980</v>
          </cell>
          <cell r="F11">
            <v>6.1899999999999995</v>
          </cell>
        </row>
        <row r="12">
          <cell r="E12">
            <v>980</v>
          </cell>
          <cell r="F12">
            <v>15.39</v>
          </cell>
        </row>
        <row r="13">
          <cell r="E13">
            <v>980</v>
          </cell>
          <cell r="F13">
            <v>2.9299999999999997</v>
          </cell>
        </row>
        <row r="14">
          <cell r="E14">
            <v>980</v>
          </cell>
          <cell r="F14">
            <v>0.63</v>
          </cell>
        </row>
        <row r="15">
          <cell r="E15">
            <v>980</v>
          </cell>
          <cell r="F15">
            <v>1</v>
          </cell>
        </row>
        <row r="17">
          <cell r="E17">
            <v>117</v>
          </cell>
          <cell r="F17">
            <v>259.81</v>
          </cell>
        </row>
        <row r="18">
          <cell r="E18">
            <v>280</v>
          </cell>
          <cell r="F18">
            <v>53</v>
          </cell>
        </row>
        <row r="19">
          <cell r="E19">
            <v>212</v>
          </cell>
          <cell r="F19">
            <v>26</v>
          </cell>
        </row>
        <row r="20">
          <cell r="E20">
            <v>160</v>
          </cell>
          <cell r="F20">
            <v>7</v>
          </cell>
        </row>
        <row r="21">
          <cell r="E21">
            <v>4070.4</v>
          </cell>
        </row>
        <row r="23">
          <cell r="E23">
            <v>55</v>
          </cell>
          <cell r="F23">
            <v>78.960000000000008</v>
          </cell>
        </row>
        <row r="24">
          <cell r="E24">
            <v>65</v>
          </cell>
          <cell r="F24">
            <v>120.00999999999996</v>
          </cell>
        </row>
        <row r="25">
          <cell r="E25">
            <v>65</v>
          </cell>
          <cell r="F25">
            <v>20.689999999999998</v>
          </cell>
        </row>
        <row r="26">
          <cell r="E26">
            <v>65</v>
          </cell>
          <cell r="F26">
            <v>2.89</v>
          </cell>
        </row>
        <row r="28">
          <cell r="E28">
            <v>9.1999999999999993</v>
          </cell>
          <cell r="F28">
            <v>321.23</v>
          </cell>
        </row>
        <row r="29">
          <cell r="E29">
            <v>9.1999999999999993</v>
          </cell>
          <cell r="F29">
            <v>681.07</v>
          </cell>
        </row>
        <row r="30">
          <cell r="E30">
            <v>9.1999999999999993</v>
          </cell>
          <cell r="F30">
            <v>147.5</v>
          </cell>
        </row>
        <row r="31">
          <cell r="E31">
            <v>9.1999999999999993</v>
          </cell>
          <cell r="F31">
            <v>481.3</v>
          </cell>
        </row>
        <row r="32">
          <cell r="E32">
            <v>9.1999999999999993</v>
          </cell>
          <cell r="F32">
            <v>1087.28</v>
          </cell>
        </row>
        <row r="33">
          <cell r="E33">
            <v>9.1999999999999993</v>
          </cell>
          <cell r="F33">
            <v>541.15</v>
          </cell>
        </row>
        <row r="34">
          <cell r="E34">
            <v>9.1999999999999993</v>
          </cell>
          <cell r="F34">
            <v>1906.48</v>
          </cell>
        </row>
      </sheetData>
      <sheetData sheetId="2">
        <row r="1">
          <cell r="B1" t="str">
            <v>Project: Low Cost Housing Development Project</v>
          </cell>
        </row>
        <row r="2">
          <cell r="B2" t="str">
            <v xml:space="preserve">Location: </v>
          </cell>
        </row>
        <row r="3">
          <cell r="B3" t="str">
            <v xml:space="preserve">Client: </v>
          </cell>
        </row>
        <row r="4">
          <cell r="B4" t="str">
            <v>Contractor:</v>
          </cell>
        </row>
        <row r="5">
          <cell r="B5" t="str">
            <v>Consultant: MGM Consult PLC</v>
          </cell>
        </row>
        <row r="6">
          <cell r="A6" t="str">
            <v>Code</v>
          </cell>
          <cell r="B6" t="str">
            <v>Timizing</v>
          </cell>
          <cell r="E6" t="str">
            <v>Dimension</v>
          </cell>
          <cell r="F6" t="str">
            <v>Qty</v>
          </cell>
        </row>
        <row r="13">
          <cell r="B13">
            <v>1</v>
          </cell>
          <cell r="C13">
            <v>1</v>
          </cell>
          <cell r="D13">
            <v>23</v>
          </cell>
          <cell r="E13">
            <v>0.25</v>
          </cell>
        </row>
        <row r="14">
          <cell r="E14">
            <v>0.4</v>
          </cell>
        </row>
        <row r="15">
          <cell r="E15">
            <v>2.4</v>
          </cell>
        </row>
        <row r="16">
          <cell r="F16">
            <v>5.52</v>
          </cell>
        </row>
        <row r="17">
          <cell r="B17">
            <v>1</v>
          </cell>
          <cell r="C17">
            <v>1</v>
          </cell>
          <cell r="D17">
            <v>2</v>
          </cell>
          <cell r="E17">
            <v>0.35</v>
          </cell>
        </row>
        <row r="18">
          <cell r="E18">
            <v>0.4</v>
          </cell>
        </row>
        <row r="19">
          <cell r="E19">
            <v>2.4</v>
          </cell>
        </row>
        <row r="20">
          <cell r="F20">
            <v>0.67</v>
          </cell>
        </row>
        <row r="21">
          <cell r="A21" t="str">
            <v>C1.1a</v>
          </cell>
          <cell r="F21">
            <v>6.1899999999999995</v>
          </cell>
        </row>
        <row r="25">
          <cell r="C25">
            <v>1</v>
          </cell>
          <cell r="D25">
            <v>1</v>
          </cell>
          <cell r="E25">
            <v>7.71</v>
          </cell>
        </row>
        <row r="26">
          <cell r="E26">
            <v>0.48</v>
          </cell>
        </row>
        <row r="27">
          <cell r="E27">
            <v>0.2</v>
          </cell>
        </row>
        <row r="28">
          <cell r="F28">
            <v>0.74</v>
          </cell>
        </row>
        <row r="29">
          <cell r="C29">
            <v>1</v>
          </cell>
          <cell r="D29">
            <v>1</v>
          </cell>
          <cell r="E29">
            <v>8.84</v>
          </cell>
        </row>
        <row r="30">
          <cell r="E30">
            <v>0.48</v>
          </cell>
        </row>
        <row r="31">
          <cell r="E31">
            <v>0.2</v>
          </cell>
        </row>
        <row r="32">
          <cell r="F32">
            <v>0.85</v>
          </cell>
        </row>
        <row r="33">
          <cell r="C33">
            <v>1</v>
          </cell>
          <cell r="D33">
            <v>1</v>
          </cell>
          <cell r="E33">
            <v>23.28</v>
          </cell>
        </row>
        <row r="34">
          <cell r="E34">
            <v>0.48</v>
          </cell>
        </row>
        <row r="35">
          <cell r="E35">
            <v>0.2</v>
          </cell>
        </row>
        <row r="36">
          <cell r="F36">
            <v>2.23</v>
          </cell>
        </row>
        <row r="37">
          <cell r="C37">
            <v>1</v>
          </cell>
          <cell r="D37">
            <v>1</v>
          </cell>
          <cell r="E37">
            <v>9.4100000000000019</v>
          </cell>
        </row>
        <row r="38">
          <cell r="E38">
            <v>0.48</v>
          </cell>
        </row>
        <row r="39">
          <cell r="E39">
            <v>0.2</v>
          </cell>
        </row>
        <row r="40">
          <cell r="F40">
            <v>0.9</v>
          </cell>
        </row>
        <row r="41">
          <cell r="C41">
            <v>1</v>
          </cell>
          <cell r="D41">
            <v>1</v>
          </cell>
          <cell r="E41">
            <v>4.8499999999999996</v>
          </cell>
        </row>
        <row r="42">
          <cell r="E42">
            <v>0.48</v>
          </cell>
        </row>
        <row r="43">
          <cell r="E43">
            <v>0.2</v>
          </cell>
        </row>
        <row r="44">
          <cell r="F44">
            <v>0.47</v>
          </cell>
        </row>
        <row r="45">
          <cell r="C45">
            <v>1</v>
          </cell>
          <cell r="D45">
            <v>1</v>
          </cell>
          <cell r="E45">
            <v>13.364999999999998</v>
          </cell>
        </row>
        <row r="46">
          <cell r="E46">
            <v>0.48</v>
          </cell>
        </row>
        <row r="47">
          <cell r="E47">
            <v>0.2</v>
          </cell>
        </row>
        <row r="48">
          <cell r="F48">
            <v>1.28</v>
          </cell>
        </row>
        <row r="49">
          <cell r="C49">
            <v>1</v>
          </cell>
          <cell r="D49">
            <v>1</v>
          </cell>
          <cell r="E49">
            <v>13.34</v>
          </cell>
        </row>
        <row r="50">
          <cell r="E50">
            <v>0.48</v>
          </cell>
        </row>
        <row r="51">
          <cell r="E51">
            <v>0.2</v>
          </cell>
        </row>
        <row r="52">
          <cell r="F52">
            <v>1.28</v>
          </cell>
        </row>
        <row r="53">
          <cell r="C53">
            <v>1</v>
          </cell>
          <cell r="D53">
            <v>1</v>
          </cell>
          <cell r="E53">
            <v>5.25</v>
          </cell>
        </row>
        <row r="54">
          <cell r="E54">
            <v>0.48</v>
          </cell>
        </row>
        <row r="55">
          <cell r="E55">
            <v>0.2</v>
          </cell>
        </row>
        <row r="56">
          <cell r="F56">
            <v>0.5</v>
          </cell>
        </row>
        <row r="57">
          <cell r="C57">
            <v>1</v>
          </cell>
          <cell r="D57">
            <v>1</v>
          </cell>
          <cell r="E57">
            <v>9.09</v>
          </cell>
        </row>
        <row r="58">
          <cell r="E58">
            <v>0.48</v>
          </cell>
        </row>
        <row r="59">
          <cell r="E59">
            <v>0.2</v>
          </cell>
        </row>
        <row r="60">
          <cell r="F60">
            <v>0.87</v>
          </cell>
        </row>
        <row r="61">
          <cell r="C61">
            <v>1</v>
          </cell>
          <cell r="D61">
            <v>1</v>
          </cell>
          <cell r="E61">
            <v>3.7649999999999997</v>
          </cell>
        </row>
        <row r="62">
          <cell r="E62">
            <v>0.28000000000000003</v>
          </cell>
        </row>
        <row r="63">
          <cell r="E63">
            <v>0.2</v>
          </cell>
        </row>
        <row r="64">
          <cell r="F64">
            <v>0.21</v>
          </cell>
        </row>
        <row r="65">
          <cell r="C65">
            <v>1</v>
          </cell>
          <cell r="D65">
            <v>1</v>
          </cell>
          <cell r="E65">
            <v>13.574999999999999</v>
          </cell>
        </row>
        <row r="66">
          <cell r="E66">
            <v>0.48</v>
          </cell>
        </row>
        <row r="67">
          <cell r="E67">
            <v>0.2</v>
          </cell>
        </row>
        <row r="68">
          <cell r="F68">
            <v>1.3</v>
          </cell>
        </row>
        <row r="69">
          <cell r="C69">
            <v>1</v>
          </cell>
          <cell r="D69">
            <v>2</v>
          </cell>
          <cell r="E69">
            <v>8.6000000000000014</v>
          </cell>
        </row>
        <row r="70">
          <cell r="E70">
            <v>0.48</v>
          </cell>
        </row>
        <row r="71">
          <cell r="E71">
            <v>0.2</v>
          </cell>
        </row>
        <row r="72">
          <cell r="F72">
            <v>1.65</v>
          </cell>
        </row>
        <row r="73">
          <cell r="C73">
            <v>1</v>
          </cell>
          <cell r="D73">
            <v>2</v>
          </cell>
          <cell r="E73">
            <v>9.93</v>
          </cell>
        </row>
        <row r="74">
          <cell r="E74">
            <v>0.48</v>
          </cell>
        </row>
        <row r="75">
          <cell r="E75">
            <v>0.2</v>
          </cell>
        </row>
        <row r="76">
          <cell r="F76">
            <v>1.91</v>
          </cell>
        </row>
        <row r="77">
          <cell r="B77">
            <v>1</v>
          </cell>
          <cell r="C77">
            <v>1</v>
          </cell>
          <cell r="D77">
            <v>25</v>
          </cell>
          <cell r="E77">
            <v>0.25</v>
          </cell>
        </row>
        <row r="78">
          <cell r="E78">
            <v>0.4</v>
          </cell>
        </row>
        <row r="79">
          <cell r="E79">
            <v>0.48</v>
          </cell>
        </row>
        <row r="80">
          <cell r="F80">
            <v>1.2</v>
          </cell>
        </row>
        <row r="81">
          <cell r="A81" t="str">
            <v>C1.1b</v>
          </cell>
          <cell r="F81">
            <v>15.39</v>
          </cell>
        </row>
        <row r="84">
          <cell r="C84">
            <v>1</v>
          </cell>
          <cell r="D84">
            <v>1</v>
          </cell>
          <cell r="E84">
            <v>1.04</v>
          </cell>
        </row>
        <row r="85">
          <cell r="E85">
            <v>1.35</v>
          </cell>
        </row>
        <row r="86">
          <cell r="F86">
            <v>1.4</v>
          </cell>
        </row>
        <row r="87">
          <cell r="C87">
            <v>1</v>
          </cell>
          <cell r="D87">
            <v>1</v>
          </cell>
          <cell r="E87">
            <v>1.05</v>
          </cell>
        </row>
        <row r="88">
          <cell r="E88">
            <v>1.35</v>
          </cell>
        </row>
        <row r="89">
          <cell r="F89">
            <v>1.42</v>
          </cell>
        </row>
        <row r="90">
          <cell r="B90">
            <v>1</v>
          </cell>
          <cell r="C90">
            <v>1</v>
          </cell>
          <cell r="D90">
            <v>1</v>
          </cell>
          <cell r="E90">
            <v>1.46</v>
          </cell>
        </row>
        <row r="91">
          <cell r="E91">
            <v>0.3</v>
          </cell>
        </row>
        <row r="92">
          <cell r="E92">
            <v>0.19</v>
          </cell>
        </row>
        <row r="93">
          <cell r="F93">
            <v>0.08</v>
          </cell>
        </row>
        <row r="94">
          <cell r="C94">
            <v>1</v>
          </cell>
          <cell r="D94">
            <v>1</v>
          </cell>
          <cell r="E94">
            <v>0.31</v>
          </cell>
        </row>
        <row r="95">
          <cell r="E95">
            <v>0.1</v>
          </cell>
        </row>
        <row r="96">
          <cell r="F96">
            <v>0.03</v>
          </cell>
        </row>
        <row r="97">
          <cell r="A97" t="str">
            <v>C1.1c</v>
          </cell>
          <cell r="F97">
            <v>2.9299999999999997</v>
          </cell>
        </row>
        <row r="101">
          <cell r="B101">
            <v>1</v>
          </cell>
          <cell r="C101">
            <v>1</v>
          </cell>
          <cell r="D101">
            <v>37</v>
          </cell>
          <cell r="E101">
            <v>0.52</v>
          </cell>
        </row>
        <row r="102">
          <cell r="E102">
            <v>0.15</v>
          </cell>
        </row>
        <row r="103">
          <cell r="E103">
            <v>0.22</v>
          </cell>
        </row>
        <row r="104">
          <cell r="F104">
            <v>0.63</v>
          </cell>
        </row>
        <row r="105">
          <cell r="A105" t="str">
            <v>C1.1d</v>
          </cell>
          <cell r="F105">
            <v>0.63</v>
          </cell>
        </row>
        <row r="107">
          <cell r="B107">
            <v>1</v>
          </cell>
          <cell r="C107">
            <v>1</v>
          </cell>
          <cell r="D107">
            <v>1</v>
          </cell>
          <cell r="E107">
            <v>3</v>
          </cell>
        </row>
        <row r="108">
          <cell r="E108">
            <v>1.62</v>
          </cell>
        </row>
        <row r="109">
          <cell r="E109">
            <v>0.06</v>
          </cell>
        </row>
        <row r="110">
          <cell r="F110">
            <v>0.28999999999999998</v>
          </cell>
        </row>
        <row r="111">
          <cell r="B111">
            <v>1</v>
          </cell>
          <cell r="C111">
            <v>1</v>
          </cell>
          <cell r="D111">
            <v>1</v>
          </cell>
          <cell r="E111">
            <v>2.38</v>
          </cell>
        </row>
        <row r="112">
          <cell r="E112">
            <v>1.52</v>
          </cell>
        </row>
        <row r="113">
          <cell r="E113">
            <v>0.06</v>
          </cell>
        </row>
        <row r="114">
          <cell r="F114">
            <v>0.22</v>
          </cell>
        </row>
        <row r="115">
          <cell r="B115">
            <v>1</v>
          </cell>
          <cell r="C115">
            <v>1</v>
          </cell>
          <cell r="D115">
            <v>1</v>
          </cell>
          <cell r="E115">
            <v>1.5</v>
          </cell>
        </row>
        <row r="116">
          <cell r="E116">
            <v>2.4</v>
          </cell>
        </row>
        <row r="117">
          <cell r="E117">
            <v>0.06</v>
          </cell>
        </row>
        <row r="118">
          <cell r="F118">
            <v>0.22</v>
          </cell>
        </row>
        <row r="119">
          <cell r="B119">
            <v>1</v>
          </cell>
          <cell r="C119">
            <v>1</v>
          </cell>
          <cell r="D119">
            <v>1</v>
          </cell>
          <cell r="E119">
            <v>2.38</v>
          </cell>
        </row>
        <row r="120">
          <cell r="E120">
            <v>1.92</v>
          </cell>
        </row>
        <row r="121">
          <cell r="E121">
            <v>0.06</v>
          </cell>
        </row>
        <row r="122">
          <cell r="F122">
            <v>0.27</v>
          </cell>
        </row>
        <row r="123">
          <cell r="A123" t="str">
            <v>C1.1e</v>
          </cell>
          <cell r="F123">
            <v>1</v>
          </cell>
        </row>
        <row r="126">
          <cell r="B126">
            <v>1</v>
          </cell>
          <cell r="C126">
            <v>1</v>
          </cell>
          <cell r="D126">
            <v>1</v>
          </cell>
          <cell r="E126">
            <v>8.5100000000000016</v>
          </cell>
        </row>
        <row r="127">
          <cell r="E127">
            <v>3.84</v>
          </cell>
        </row>
        <row r="128">
          <cell r="F128">
            <v>32.68</v>
          </cell>
        </row>
        <row r="129">
          <cell r="B129">
            <v>1</v>
          </cell>
          <cell r="C129">
            <v>1</v>
          </cell>
          <cell r="D129">
            <v>1</v>
          </cell>
          <cell r="E129">
            <v>9.6399999999999988</v>
          </cell>
        </row>
        <row r="130">
          <cell r="E130">
            <v>4.8499999999999996</v>
          </cell>
        </row>
        <row r="131">
          <cell r="F131">
            <v>46.75</v>
          </cell>
        </row>
        <row r="132">
          <cell r="B132">
            <v>1</v>
          </cell>
          <cell r="C132">
            <v>1</v>
          </cell>
          <cell r="D132">
            <v>1</v>
          </cell>
          <cell r="E132">
            <v>7.38</v>
          </cell>
        </row>
        <row r="133">
          <cell r="E133">
            <v>4.8499999999999996</v>
          </cell>
        </row>
        <row r="134">
          <cell r="F134">
            <v>35.79</v>
          </cell>
        </row>
        <row r="135">
          <cell r="B135">
            <v>1</v>
          </cell>
          <cell r="C135">
            <v>1</v>
          </cell>
          <cell r="D135">
            <v>1</v>
          </cell>
          <cell r="E135">
            <v>2.83</v>
          </cell>
        </row>
        <row r="136">
          <cell r="E136">
            <v>4.9000000000000004</v>
          </cell>
        </row>
        <row r="137">
          <cell r="F137">
            <v>13.87</v>
          </cell>
        </row>
        <row r="138">
          <cell r="B138">
            <v>1</v>
          </cell>
          <cell r="C138">
            <v>1</v>
          </cell>
          <cell r="D138">
            <v>1</v>
          </cell>
          <cell r="E138">
            <v>9.25</v>
          </cell>
        </row>
        <row r="139">
          <cell r="E139">
            <v>4.8499999999999996</v>
          </cell>
        </row>
        <row r="140">
          <cell r="F140">
            <v>44.86</v>
          </cell>
        </row>
        <row r="141">
          <cell r="B141">
            <v>1</v>
          </cell>
          <cell r="C141">
            <v>1</v>
          </cell>
          <cell r="D141">
            <v>1</v>
          </cell>
          <cell r="E141">
            <v>10.38</v>
          </cell>
        </row>
        <row r="142">
          <cell r="E142">
            <v>4.8499999999999996</v>
          </cell>
        </row>
        <row r="143">
          <cell r="F143">
            <v>50.34</v>
          </cell>
        </row>
        <row r="144">
          <cell r="B144">
            <v>1</v>
          </cell>
          <cell r="C144">
            <v>1</v>
          </cell>
          <cell r="D144">
            <v>1</v>
          </cell>
          <cell r="E144">
            <v>9.25</v>
          </cell>
        </row>
        <row r="145">
          <cell r="E145">
            <v>3.84</v>
          </cell>
        </row>
        <row r="146">
          <cell r="F146">
            <v>35.520000000000003</v>
          </cell>
        </row>
        <row r="147">
          <cell r="F147">
            <v>259.81</v>
          </cell>
        </row>
        <row r="150">
          <cell r="A150" t="str">
            <v>C1.2a</v>
          </cell>
          <cell r="F150">
            <v>259.81</v>
          </cell>
        </row>
        <row r="153">
          <cell r="D153">
            <v>1</v>
          </cell>
          <cell r="E153">
            <v>53</v>
          </cell>
        </row>
        <row r="154">
          <cell r="F154">
            <v>53</v>
          </cell>
        </row>
        <row r="156">
          <cell r="A156" t="str">
            <v>C1.2e</v>
          </cell>
          <cell r="F156">
            <v>53</v>
          </cell>
        </row>
        <row r="159">
          <cell r="D159">
            <v>1</v>
          </cell>
          <cell r="E159">
            <v>26</v>
          </cell>
        </row>
        <row r="160">
          <cell r="F160">
            <v>26</v>
          </cell>
        </row>
        <row r="162">
          <cell r="A162" t="str">
            <v>C1.2f</v>
          </cell>
          <cell r="F162">
            <v>26</v>
          </cell>
        </row>
        <row r="165">
          <cell r="D165">
            <v>1</v>
          </cell>
          <cell r="E165">
            <v>7</v>
          </cell>
        </row>
        <row r="166">
          <cell r="F166">
            <v>7</v>
          </cell>
        </row>
        <row r="168">
          <cell r="A168" t="str">
            <v>C1.2f'</v>
          </cell>
          <cell r="F168">
            <v>7</v>
          </cell>
        </row>
        <row r="173">
          <cell r="B173">
            <v>1</v>
          </cell>
          <cell r="C173">
            <v>1</v>
          </cell>
          <cell r="D173">
            <v>23</v>
          </cell>
          <cell r="E173">
            <v>1.3</v>
          </cell>
        </row>
        <row r="174">
          <cell r="E174">
            <v>2.4</v>
          </cell>
        </row>
        <row r="175">
          <cell r="F175">
            <v>71.760000000000005</v>
          </cell>
        </row>
        <row r="176">
          <cell r="B176">
            <v>1</v>
          </cell>
          <cell r="C176">
            <v>1</v>
          </cell>
          <cell r="D176">
            <v>2</v>
          </cell>
          <cell r="E176">
            <v>1.5</v>
          </cell>
        </row>
        <row r="177">
          <cell r="E177">
            <v>2.4</v>
          </cell>
        </row>
        <row r="178">
          <cell r="F178">
            <v>7.2</v>
          </cell>
        </row>
        <row r="179">
          <cell r="A179" t="str">
            <v>C1.3a</v>
          </cell>
          <cell r="F179">
            <v>78.960000000000008</v>
          </cell>
        </row>
        <row r="183">
          <cell r="B183">
            <v>1</v>
          </cell>
          <cell r="C183">
            <v>1</v>
          </cell>
          <cell r="D183">
            <v>1</v>
          </cell>
          <cell r="E183">
            <v>89.67</v>
          </cell>
        </row>
        <row r="184">
          <cell r="E184">
            <v>0.48</v>
          </cell>
        </row>
        <row r="185">
          <cell r="F185">
            <v>43.04</v>
          </cell>
        </row>
        <row r="187">
          <cell r="B187">
            <v>1</v>
          </cell>
          <cell r="C187">
            <v>1</v>
          </cell>
          <cell r="D187">
            <v>1</v>
          </cell>
          <cell r="E187">
            <v>25.1</v>
          </cell>
        </row>
        <row r="188">
          <cell r="E188">
            <v>0.2</v>
          </cell>
        </row>
        <row r="189">
          <cell r="F189">
            <v>5.0199999999999996</v>
          </cell>
        </row>
        <row r="190">
          <cell r="B190">
            <v>1</v>
          </cell>
          <cell r="C190">
            <v>1</v>
          </cell>
          <cell r="D190">
            <v>1</v>
          </cell>
          <cell r="E190">
            <v>48.38</v>
          </cell>
        </row>
        <row r="191">
          <cell r="E191">
            <v>0.2</v>
          </cell>
        </row>
        <row r="192">
          <cell r="F192">
            <v>9.68</v>
          </cell>
        </row>
        <row r="193">
          <cell r="B193">
            <v>1</v>
          </cell>
          <cell r="C193">
            <v>1</v>
          </cell>
          <cell r="D193">
            <v>1</v>
          </cell>
          <cell r="E193">
            <v>24.46</v>
          </cell>
        </row>
        <row r="194">
          <cell r="E194">
            <v>0.2</v>
          </cell>
        </row>
        <row r="195">
          <cell r="F195">
            <v>4.8899999999999997</v>
          </cell>
        </row>
        <row r="196">
          <cell r="B196">
            <v>1</v>
          </cell>
          <cell r="C196">
            <v>1</v>
          </cell>
          <cell r="D196">
            <v>1</v>
          </cell>
          <cell r="E196">
            <v>15.46</v>
          </cell>
        </row>
        <row r="197">
          <cell r="E197">
            <v>0.2</v>
          </cell>
        </row>
        <row r="198">
          <cell r="F198">
            <v>3.09</v>
          </cell>
        </row>
        <row r="199">
          <cell r="B199">
            <v>1</v>
          </cell>
          <cell r="C199">
            <v>1</v>
          </cell>
          <cell r="D199">
            <v>1</v>
          </cell>
          <cell r="E199">
            <v>28.2</v>
          </cell>
        </row>
        <row r="200">
          <cell r="E200">
            <v>0.2</v>
          </cell>
        </row>
        <row r="201">
          <cell r="F201">
            <v>5.64</v>
          </cell>
        </row>
        <row r="202">
          <cell r="B202">
            <v>1</v>
          </cell>
          <cell r="C202">
            <v>1</v>
          </cell>
          <cell r="D202">
            <v>1</v>
          </cell>
          <cell r="E202">
            <v>40.159999999999997</v>
          </cell>
        </row>
        <row r="203">
          <cell r="E203">
            <v>0.2</v>
          </cell>
        </row>
        <row r="204">
          <cell r="F204">
            <v>8.0299999999999994</v>
          </cell>
        </row>
        <row r="205">
          <cell r="B205">
            <v>1</v>
          </cell>
          <cell r="C205">
            <v>1</v>
          </cell>
          <cell r="D205">
            <v>1</v>
          </cell>
          <cell r="E205">
            <v>26.18</v>
          </cell>
        </row>
        <row r="206">
          <cell r="E206">
            <v>0.2</v>
          </cell>
        </row>
        <row r="207">
          <cell r="F207">
            <v>5.24</v>
          </cell>
        </row>
        <row r="208">
          <cell r="B208">
            <v>1</v>
          </cell>
          <cell r="C208">
            <v>1</v>
          </cell>
          <cell r="D208">
            <v>1</v>
          </cell>
          <cell r="E208">
            <v>2.83</v>
          </cell>
        </row>
        <row r="209">
          <cell r="E209">
            <v>0.28999999999999998</v>
          </cell>
        </row>
        <row r="210">
          <cell r="F210">
            <v>0.82</v>
          </cell>
        </row>
        <row r="211">
          <cell r="B211">
            <v>1</v>
          </cell>
          <cell r="C211">
            <v>1</v>
          </cell>
          <cell r="D211">
            <v>1</v>
          </cell>
          <cell r="E211">
            <v>4.1500000000000004</v>
          </cell>
        </row>
        <row r="212">
          <cell r="E212">
            <v>0.48</v>
          </cell>
        </row>
        <row r="213">
          <cell r="F213">
            <v>1.99</v>
          </cell>
        </row>
        <row r="214">
          <cell r="B214">
            <v>1</v>
          </cell>
          <cell r="C214">
            <v>1</v>
          </cell>
          <cell r="D214">
            <v>1</v>
          </cell>
          <cell r="E214">
            <v>4.4000000000000004</v>
          </cell>
        </row>
        <row r="215">
          <cell r="E215">
            <v>0.48</v>
          </cell>
        </row>
        <row r="216">
          <cell r="F216">
            <v>2.11</v>
          </cell>
        </row>
        <row r="217">
          <cell r="B217">
            <v>1</v>
          </cell>
          <cell r="C217">
            <v>1</v>
          </cell>
          <cell r="D217">
            <v>1</v>
          </cell>
          <cell r="E217">
            <v>7.9099999999999993</v>
          </cell>
        </row>
        <row r="218">
          <cell r="E218">
            <v>0.2</v>
          </cell>
        </row>
        <row r="219">
          <cell r="F219">
            <v>1.58</v>
          </cell>
        </row>
        <row r="220">
          <cell r="B220">
            <v>1</v>
          </cell>
          <cell r="C220">
            <v>1</v>
          </cell>
          <cell r="D220">
            <v>1</v>
          </cell>
          <cell r="E220">
            <v>9.2399999999999984</v>
          </cell>
        </row>
        <row r="221">
          <cell r="E221">
            <v>0.2</v>
          </cell>
        </row>
        <row r="222">
          <cell r="F222">
            <v>1.85</v>
          </cell>
        </row>
        <row r="223">
          <cell r="B223">
            <v>1</v>
          </cell>
          <cell r="C223">
            <v>1</v>
          </cell>
          <cell r="D223">
            <v>1</v>
          </cell>
          <cell r="E223">
            <v>23.48</v>
          </cell>
        </row>
        <row r="224">
          <cell r="E224">
            <v>0.2</v>
          </cell>
        </row>
        <row r="225">
          <cell r="F225">
            <v>4.7</v>
          </cell>
        </row>
        <row r="226">
          <cell r="B226">
            <v>1</v>
          </cell>
          <cell r="C226">
            <v>1</v>
          </cell>
          <cell r="D226">
            <v>1</v>
          </cell>
          <cell r="E226">
            <v>9.41</v>
          </cell>
        </row>
        <row r="227">
          <cell r="E227">
            <v>0.2</v>
          </cell>
        </row>
        <row r="228">
          <cell r="F228">
            <v>1.88</v>
          </cell>
        </row>
        <row r="229">
          <cell r="B229">
            <v>1</v>
          </cell>
          <cell r="C229">
            <v>1</v>
          </cell>
          <cell r="D229">
            <v>1</v>
          </cell>
          <cell r="E229">
            <v>16.12</v>
          </cell>
        </row>
        <row r="230">
          <cell r="E230">
            <v>0.2</v>
          </cell>
        </row>
        <row r="231">
          <cell r="F231">
            <v>3.22</v>
          </cell>
        </row>
        <row r="232">
          <cell r="B232">
            <v>1</v>
          </cell>
          <cell r="C232">
            <v>1</v>
          </cell>
          <cell r="D232">
            <v>1</v>
          </cell>
          <cell r="E232">
            <v>5.25</v>
          </cell>
        </row>
        <row r="233">
          <cell r="E233">
            <v>0.2</v>
          </cell>
        </row>
        <row r="234">
          <cell r="F234">
            <v>1.05</v>
          </cell>
        </row>
        <row r="235">
          <cell r="B235">
            <v>1</v>
          </cell>
          <cell r="C235">
            <v>1</v>
          </cell>
          <cell r="D235">
            <v>1</v>
          </cell>
          <cell r="E235">
            <v>4.8499999999999996</v>
          </cell>
        </row>
        <row r="236">
          <cell r="E236">
            <v>0.2</v>
          </cell>
        </row>
        <row r="237">
          <cell r="F237">
            <v>0.97</v>
          </cell>
        </row>
        <row r="238">
          <cell r="B238">
            <v>1</v>
          </cell>
          <cell r="C238">
            <v>1</v>
          </cell>
          <cell r="D238">
            <v>1</v>
          </cell>
          <cell r="E238">
            <v>13.34</v>
          </cell>
        </row>
        <row r="239">
          <cell r="E239">
            <v>0.2</v>
          </cell>
        </row>
        <row r="240">
          <cell r="F240">
            <v>2.67</v>
          </cell>
        </row>
        <row r="241">
          <cell r="B241">
            <v>1</v>
          </cell>
          <cell r="C241">
            <v>1</v>
          </cell>
          <cell r="D241">
            <v>1</v>
          </cell>
          <cell r="E241">
            <v>17.34</v>
          </cell>
        </row>
        <row r="242">
          <cell r="E242">
            <v>0.2</v>
          </cell>
        </row>
        <row r="243">
          <cell r="F243">
            <v>3.47</v>
          </cell>
        </row>
        <row r="244">
          <cell r="B244">
            <v>1</v>
          </cell>
          <cell r="C244">
            <v>1</v>
          </cell>
          <cell r="D244">
            <v>1</v>
          </cell>
          <cell r="E244">
            <v>8.69</v>
          </cell>
        </row>
        <row r="245">
          <cell r="E245">
            <v>0.2</v>
          </cell>
        </row>
        <row r="246">
          <cell r="F246">
            <v>1.74</v>
          </cell>
        </row>
        <row r="247">
          <cell r="B247">
            <v>1</v>
          </cell>
          <cell r="C247">
            <v>1</v>
          </cell>
          <cell r="D247">
            <v>2</v>
          </cell>
          <cell r="E247">
            <v>8.6</v>
          </cell>
        </row>
        <row r="248">
          <cell r="E248">
            <v>0.2</v>
          </cell>
        </row>
        <row r="249">
          <cell r="F249">
            <v>3.44</v>
          </cell>
        </row>
        <row r="250">
          <cell r="B250">
            <v>1</v>
          </cell>
          <cell r="C250">
            <v>1</v>
          </cell>
          <cell r="D250">
            <v>2</v>
          </cell>
          <cell r="E250">
            <v>9.73</v>
          </cell>
        </row>
        <row r="251">
          <cell r="E251">
            <v>0.2</v>
          </cell>
        </row>
        <row r="252">
          <cell r="F252">
            <v>3.89</v>
          </cell>
        </row>
        <row r="253">
          <cell r="A253" t="str">
            <v>C1.3b</v>
          </cell>
          <cell r="F253">
            <v>120.00999999999996</v>
          </cell>
        </row>
        <row r="257">
          <cell r="B257">
            <v>1</v>
          </cell>
          <cell r="C257">
            <v>1</v>
          </cell>
          <cell r="D257">
            <v>1</v>
          </cell>
          <cell r="E257">
            <v>1.35</v>
          </cell>
        </row>
        <row r="258">
          <cell r="E258">
            <v>4.51</v>
          </cell>
        </row>
        <row r="259">
          <cell r="F259">
            <v>6.09</v>
          </cell>
        </row>
        <row r="260">
          <cell r="B260">
            <v>1</v>
          </cell>
          <cell r="C260">
            <v>1</v>
          </cell>
          <cell r="D260">
            <v>1</v>
          </cell>
          <cell r="E260">
            <v>1.35</v>
          </cell>
        </row>
        <row r="261">
          <cell r="E261">
            <v>4.2300000000000004</v>
          </cell>
        </row>
        <row r="262">
          <cell r="F262">
            <v>5.71</v>
          </cell>
        </row>
        <row r="263">
          <cell r="B263">
            <v>1</v>
          </cell>
          <cell r="C263">
            <v>1</v>
          </cell>
          <cell r="D263">
            <v>1</v>
          </cell>
          <cell r="E263">
            <v>1.5</v>
          </cell>
        </row>
        <row r="264">
          <cell r="E264">
            <v>0.1</v>
          </cell>
        </row>
        <row r="265">
          <cell r="F265">
            <v>0.15</v>
          </cell>
        </row>
        <row r="267">
          <cell r="B267">
            <v>1</v>
          </cell>
          <cell r="C267">
            <v>2</v>
          </cell>
          <cell r="D267">
            <v>1</v>
          </cell>
          <cell r="E267">
            <v>0.73</v>
          </cell>
        </row>
        <row r="268">
          <cell r="E268">
            <v>1</v>
          </cell>
        </row>
        <row r="269">
          <cell r="F269">
            <v>1.46</v>
          </cell>
        </row>
        <row r="270">
          <cell r="B270">
            <v>1</v>
          </cell>
          <cell r="C270">
            <v>2</v>
          </cell>
          <cell r="D270">
            <v>1</v>
          </cell>
          <cell r="E270">
            <v>0.8</v>
          </cell>
        </row>
        <row r="271">
          <cell r="E271">
            <v>1</v>
          </cell>
        </row>
        <row r="272">
          <cell r="F272">
            <v>1.6</v>
          </cell>
        </row>
        <row r="273">
          <cell r="B273">
            <v>1</v>
          </cell>
          <cell r="C273">
            <v>1</v>
          </cell>
          <cell r="D273">
            <v>18</v>
          </cell>
          <cell r="E273">
            <v>1.35</v>
          </cell>
        </row>
        <row r="274">
          <cell r="E274">
            <v>0.16</v>
          </cell>
        </row>
        <row r="275">
          <cell r="F275">
            <v>3.89</v>
          </cell>
        </row>
        <row r="276">
          <cell r="B276">
            <v>1</v>
          </cell>
          <cell r="C276">
            <v>1</v>
          </cell>
          <cell r="D276">
            <v>1</v>
          </cell>
          <cell r="E276">
            <v>2.78</v>
          </cell>
        </row>
        <row r="277">
          <cell r="E277">
            <v>0.4</v>
          </cell>
        </row>
        <row r="278">
          <cell r="F278">
            <v>1.1100000000000001</v>
          </cell>
        </row>
        <row r="279">
          <cell r="B279">
            <v>1</v>
          </cell>
          <cell r="C279">
            <v>1</v>
          </cell>
          <cell r="D279">
            <v>1</v>
          </cell>
          <cell r="E279">
            <v>2.83</v>
          </cell>
        </row>
        <row r="280">
          <cell r="E280">
            <v>0.24</v>
          </cell>
        </row>
        <row r="281">
          <cell r="F281">
            <v>0.68</v>
          </cell>
        </row>
        <row r="282">
          <cell r="A282" t="str">
            <v>C1.3c</v>
          </cell>
          <cell r="F282">
            <v>20.689999999999998</v>
          </cell>
        </row>
        <row r="286">
          <cell r="B286">
            <v>1</v>
          </cell>
          <cell r="C286">
            <v>1</v>
          </cell>
          <cell r="D286">
            <v>37</v>
          </cell>
          <cell r="E286">
            <v>0.52</v>
          </cell>
        </row>
        <row r="287">
          <cell r="E287">
            <v>0.15</v>
          </cell>
        </row>
        <row r="288">
          <cell r="F288">
            <v>2.89</v>
          </cell>
        </row>
        <row r="289">
          <cell r="A289" t="str">
            <v>C1.3d</v>
          </cell>
          <cell r="F289">
            <v>2.89</v>
          </cell>
        </row>
        <row r="292">
          <cell r="A292" t="str">
            <v>C1.4a</v>
          </cell>
          <cell r="F292">
            <v>321.23</v>
          </cell>
        </row>
        <row r="294">
          <cell r="A294" t="str">
            <v>C1.4b</v>
          </cell>
          <cell r="F294">
            <v>681.07</v>
          </cell>
        </row>
        <row r="296">
          <cell r="A296" t="str">
            <v>C1.4c</v>
          </cell>
          <cell r="F296">
            <v>147.5</v>
          </cell>
        </row>
        <row r="298">
          <cell r="A298" t="str">
            <v>C1.4d</v>
          </cell>
          <cell r="F298">
            <v>481.3</v>
          </cell>
        </row>
        <row r="300">
          <cell r="A300" t="str">
            <v>C1.4e</v>
          </cell>
          <cell r="F300">
            <v>1087.28</v>
          </cell>
        </row>
        <row r="302">
          <cell r="A302" t="str">
            <v>C1.4f</v>
          </cell>
          <cell r="F302">
            <v>541.15</v>
          </cell>
        </row>
        <row r="304">
          <cell r="A304" t="str">
            <v>C1.4g</v>
          </cell>
          <cell r="F304">
            <v>1906.48</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308"/>
      <sheetName val="308m2"/>
      <sheetName val="price"/>
      <sheetName val="OPD"/>
      <sheetName val="Waiting"/>
      <sheetName val="IPD"/>
      <sheetName val="OR"/>
      <sheetName val="Emergency"/>
      <sheetName val="Diagnostic"/>
      <sheetName val="Administration"/>
      <sheetName val="Staff"/>
      <sheetName val="Service quarter"/>
      <sheetName val="Generator"/>
      <sheetName val="Transformer"/>
      <sheetName val="Kitchen"/>
      <sheetName val="Store"/>
      <sheetName val="Morgue"/>
      <sheetName val="Guard house"/>
      <sheetName val="Dry latrine"/>
      <sheetName val="Civil"/>
      <sheetName val="site san"/>
      <sheetName val="electrical site work"/>
      <sheetName val="Variation work"/>
      <sheetName val="OPD take off"/>
      <sheetName val="Waiting Takeoff"/>
      <sheetName val="IPD Takeoff"/>
      <sheetName val="OR takeoff"/>
      <sheetName val="wa"/>
      <sheetName val="Break Down  "/>
      <sheetName val="Aca. Off - I"/>
      <sheetName val="PROJECT TRACKING"/>
      <sheetName val="Date"/>
      <sheetName val="Sheet2"/>
      <sheetName val="Break_Down__7"/>
      <sheetName val="Aca__Off_-_I7"/>
      <sheetName val="PROJECT_TRACKING7"/>
      <sheetName val="Break_Down__5"/>
      <sheetName val="Aca__Off_-_I5"/>
      <sheetName val="PROJECT_TRACKING5"/>
      <sheetName val="Break_Down__1"/>
      <sheetName val="Aca__Off_-_I1"/>
      <sheetName val="PROJECT_TRACKING1"/>
      <sheetName val="Break_Down__"/>
      <sheetName val="Aca__Off_-_I"/>
      <sheetName val="PROJECT_TRACKING"/>
      <sheetName val="Break_Down__2"/>
      <sheetName val="Aca__Off_-_I2"/>
      <sheetName val="PROJECT_TRACKING2"/>
      <sheetName val="Break_Down__3"/>
      <sheetName val="Aca__Off_-_I3"/>
      <sheetName val="PROJECT_TRACKING3"/>
      <sheetName val="Break_Down__4"/>
      <sheetName val="Aca__Off_-_I4"/>
      <sheetName val="PROJECT_TRACKING4"/>
      <sheetName val="Break_Down__6"/>
      <sheetName val="Aca__Off_-_I6"/>
      <sheetName val="PROJECT_TRACKING6"/>
      <sheetName val="Break_Down__8"/>
      <sheetName val="Aca__Off_-_I8"/>
      <sheetName val="PROJECT_TRACKING8"/>
      <sheetName val="Labor Budget"/>
      <sheetName val="08 Ar &amp; St"/>
      <sheetName val="08 Summary"/>
      <sheetName val="08 A-2 200kp Resi Sup St."/>
      <sheetName val="Income Stmnt"/>
      <sheetName val="Summary"/>
      <sheetName val="Dining Room "/>
      <sheetName val="Cash flow schedule Phase 1&amp;2"/>
      <sheetName val="BOQ block 3"/>
      <sheetName val="Week 4"/>
      <sheetName val="FEB"/>
      <sheetName val="Lab. BOQ."/>
      <sheetName val="05 Ar &amp; St"/>
      <sheetName val="A-2 blcok work Res."/>
      <sheetName val="Sheet1"/>
      <sheetName val="05 RB A-2 200kp Res. Sub St."/>
      <sheetName val="05 A-2 300kp Sup St."/>
      <sheetName val="Sum"/>
    </sheetNames>
    <sheetDataSet>
      <sheetData sheetId="0">
        <row r="51">
          <cell r="G51">
            <v>11.8125</v>
          </cell>
        </row>
      </sheetData>
      <sheetData sheetId="1">
        <row r="51">
          <cell r="G51">
            <v>11.8125</v>
          </cell>
        </row>
      </sheetData>
      <sheetData sheetId="2">
        <row r="51">
          <cell r="G51">
            <v>11.8125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ificate"/>
      <sheetName val="P.adjust Factor (Final)"/>
      <sheetName val="P.adjustment(Final)"/>
      <sheetName val="Summary of Bills "/>
      <sheetName val="Back-up General"/>
      <sheetName val="Back-up Site clearance"/>
      <sheetName val="Back-up Excavation&amp;Backfill"/>
      <sheetName val="Back-up pipe&amp;Armco"/>
      <sheetName val="Back-upbliding,conc,reinf,formw"/>
      <sheetName val="Back-upRemval,200,300mm,classB"/>
      <sheetName val="Back-up Earth work"/>
      <sheetName val="Backup subase,base c&amp; surfacing"/>
      <sheetName val="Backup Retai.wall&amp;Kako brid."/>
      <sheetName val="Bill-1"/>
      <sheetName val="Bill-(1')"/>
      <sheetName val="Bill-2"/>
      <sheetName val="Bill-3(1)"/>
      <sheetName val="Bill-3(2)"/>
      <sheetName val="Bill-3(3)"/>
      <sheetName val="Bill-(4)"/>
      <sheetName val="Bill-(5,6)"/>
      <sheetName val="Bill-(7)"/>
      <sheetName val="Bill-(8.1)"/>
      <sheetName val="Bill-(8.1')"/>
      <sheetName val="Bill-(8.2) "/>
      <sheetName val="Bill-(8.2')"/>
      <sheetName val="Bill-(9)"/>
      <sheetName val="Mesh. "/>
      <sheetName val="Vehc.atten."/>
      <sheetName val="Ext.mat test"/>
      <sheetName val="New MAt on site."/>
      <sheetName val=" R.W Adjuustment"/>
      <sheetName val="Asphalt app.calc"/>
      <sheetName val="41% For Adj"/>
    </sheetNames>
    <sheetDataSet>
      <sheetData sheetId="0"/>
      <sheetData sheetId="1"/>
      <sheetData sheetId="2"/>
      <sheetData sheetId="3">
        <row r="7">
          <cell r="F7" t="str">
            <v>May 16, 2006</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
      <sheetName val="Summary"/>
      <sheetName val="Calander of Working Days"/>
      <sheetName val="Workload distribut kilometer"/>
      <sheetName val="Workload distribut in working d"/>
      <sheetName val="Workload distribut in quantitie"/>
      <sheetName val="Cash flow "/>
      <sheetName val="UNIT CONSUMPTION"/>
      <sheetName val="Consumption per unit "/>
      <sheetName val="Mouthly Equipment Schedule "/>
      <sheetName val="设备汇总"/>
      <sheetName val="Summary of equipment Schedule"/>
      <sheetName val="wheell loader 2.7m3"/>
      <sheetName val="Bulldozer sd32 235kw"/>
      <sheetName val="Gradercat 140k"/>
      <sheetName val="Excavator 1.3m3"/>
      <sheetName val="Concrete 0.25m3"/>
      <sheetName val="Single wheeled roller 18t"/>
      <sheetName val="Water truck 20t"/>
      <sheetName val="Dumptruck 20t"/>
      <sheetName val="Light truck 3.5t"/>
      <sheetName val="Truck mounted crane 12t"/>
      <sheetName val="Truck mounted crane 12t (2)"/>
      <sheetName val="Manpower Schedule"/>
      <sheetName val="Material Schedule "/>
      <sheetName val="Fuel"/>
      <sheetName val="Cement"/>
      <sheetName val="Sand for concrete"/>
      <sheetName val="Aggregate "/>
      <sheetName val="Reforcement"/>
      <sheetName val="profiled Bar"/>
      <sheetName val="Steel Plate"/>
      <sheetName val="Welding Electrode J422"/>
      <sheetName val="Iron Wire"/>
      <sheetName val="Nail"/>
      <sheetName val="清单"/>
      <sheetName val="单价"/>
      <sheetName val="台时"/>
      <sheetName val="材料"/>
      <sheetName val="人工"/>
      <sheetName val="日工表"/>
      <sheetName val="主材"/>
      <sheetName val="主要进口材料计算"/>
      <sheetName val="比例费用"/>
      <sheetName val="配比"/>
      <sheetName val="材料消耗"/>
      <sheetName val="业主提供设施"/>
      <sheetName val="综合人工预算价格构成表"/>
      <sheetName val="附件指数"/>
      <sheetName val="Sheet2"/>
      <sheetName val="调差系数"/>
      <sheetName val="清单（2）"/>
      <sheetName val="石料及骨料"/>
      <sheetName val="子单价"/>
      <sheetName val="风水电"/>
      <sheetName val="费率"/>
      <sheetName val="砂石料运输单价"/>
      <sheetName val="主要生产设备"/>
      <sheetName val="施工机械台时费计算表"/>
      <sheetName val="清单2"/>
      <sheetName val="清单3"/>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4">
          <cell r="A4">
            <v>3000</v>
          </cell>
        </row>
        <row r="5">
          <cell r="A5">
            <v>5000</v>
          </cell>
        </row>
        <row r="6">
          <cell r="A6">
            <v>5001</v>
          </cell>
        </row>
        <row r="7">
          <cell r="A7">
            <v>5002</v>
          </cell>
        </row>
        <row r="9">
          <cell r="A9">
            <v>5005</v>
          </cell>
        </row>
        <row r="10">
          <cell r="A10">
            <v>5006</v>
          </cell>
        </row>
        <row r="11">
          <cell r="A11">
            <v>5007</v>
          </cell>
        </row>
        <row r="12">
          <cell r="A12">
            <v>5008</v>
          </cell>
        </row>
        <row r="13">
          <cell r="A13">
            <v>5009</v>
          </cell>
        </row>
        <row r="14">
          <cell r="A14">
            <v>5010</v>
          </cell>
        </row>
        <row r="15">
          <cell r="A15">
            <v>5011</v>
          </cell>
        </row>
        <row r="16">
          <cell r="A16">
            <v>5012</v>
          </cell>
        </row>
        <row r="17">
          <cell r="A17">
            <v>5013</v>
          </cell>
        </row>
        <row r="18">
          <cell r="A18">
            <v>5014</v>
          </cell>
        </row>
        <row r="19">
          <cell r="A19">
            <v>5015</v>
          </cell>
        </row>
        <row r="20">
          <cell r="A20">
            <v>5016</v>
          </cell>
        </row>
        <row r="21">
          <cell r="A21">
            <v>5017</v>
          </cell>
        </row>
        <row r="22">
          <cell r="A22">
            <v>5018</v>
          </cell>
        </row>
        <row r="23">
          <cell r="A23">
            <v>5019</v>
          </cell>
        </row>
        <row r="24">
          <cell r="A24">
            <v>5020</v>
          </cell>
        </row>
        <row r="25">
          <cell r="A25">
            <v>5021</v>
          </cell>
        </row>
        <row r="26">
          <cell r="A26">
            <v>5022</v>
          </cell>
        </row>
        <row r="27">
          <cell r="A27">
            <v>5023</v>
          </cell>
        </row>
        <row r="28">
          <cell r="A28">
            <v>5024</v>
          </cell>
        </row>
        <row r="29">
          <cell r="A29">
            <v>5025</v>
          </cell>
        </row>
        <row r="30">
          <cell r="A30">
            <v>5026</v>
          </cell>
        </row>
        <row r="31">
          <cell r="A31">
            <v>5027</v>
          </cell>
        </row>
        <row r="32">
          <cell r="A32">
            <v>5028</v>
          </cell>
        </row>
        <row r="33">
          <cell r="A33">
            <v>5029</v>
          </cell>
        </row>
        <row r="34">
          <cell r="A34">
            <v>5030</v>
          </cell>
        </row>
        <row r="35">
          <cell r="A35">
            <v>5031</v>
          </cell>
        </row>
        <row r="36">
          <cell r="A36">
            <v>5032</v>
          </cell>
        </row>
        <row r="37">
          <cell r="A37">
            <v>5033</v>
          </cell>
        </row>
        <row r="38">
          <cell r="A38">
            <v>5034</v>
          </cell>
        </row>
        <row r="39">
          <cell r="A39">
            <v>5035</v>
          </cell>
        </row>
        <row r="40">
          <cell r="A40">
            <v>5036</v>
          </cell>
        </row>
        <row r="41">
          <cell r="A41">
            <v>5037</v>
          </cell>
        </row>
        <row r="42">
          <cell r="A42">
            <v>5038</v>
          </cell>
        </row>
        <row r="43">
          <cell r="A43">
            <v>5039</v>
          </cell>
        </row>
        <row r="44">
          <cell r="A44">
            <v>5040</v>
          </cell>
        </row>
        <row r="45">
          <cell r="A45">
            <v>5041</v>
          </cell>
        </row>
        <row r="46">
          <cell r="A46">
            <v>5042</v>
          </cell>
        </row>
        <row r="47">
          <cell r="A47">
            <v>5043</v>
          </cell>
        </row>
        <row r="48">
          <cell r="A48">
            <v>5044</v>
          </cell>
        </row>
        <row r="49">
          <cell r="A49">
            <v>5045</v>
          </cell>
        </row>
        <row r="50">
          <cell r="A50">
            <v>5046</v>
          </cell>
        </row>
        <row r="51">
          <cell r="A51">
            <v>5047</v>
          </cell>
        </row>
        <row r="52">
          <cell r="A52">
            <v>5048</v>
          </cell>
        </row>
        <row r="53">
          <cell r="A53">
            <v>5049</v>
          </cell>
        </row>
        <row r="54">
          <cell r="A54">
            <v>5050</v>
          </cell>
        </row>
        <row r="55">
          <cell r="A55">
            <v>5051</v>
          </cell>
        </row>
        <row r="56">
          <cell r="A56">
            <v>5052</v>
          </cell>
        </row>
        <row r="57">
          <cell r="A57">
            <v>5053</v>
          </cell>
        </row>
        <row r="58">
          <cell r="A58">
            <v>5054</v>
          </cell>
        </row>
        <row r="59">
          <cell r="A59">
            <v>5055</v>
          </cell>
        </row>
        <row r="60">
          <cell r="A60">
            <v>5056</v>
          </cell>
        </row>
        <row r="61">
          <cell r="A61">
            <v>5057</v>
          </cell>
        </row>
        <row r="62">
          <cell r="A62">
            <v>5058</v>
          </cell>
        </row>
        <row r="63">
          <cell r="A63">
            <v>5059</v>
          </cell>
        </row>
        <row r="64">
          <cell r="A64">
            <v>5060</v>
          </cell>
        </row>
        <row r="65">
          <cell r="A65">
            <v>5061</v>
          </cell>
        </row>
        <row r="66">
          <cell r="A66">
            <v>5062</v>
          </cell>
        </row>
        <row r="67">
          <cell r="A67">
            <v>5063</v>
          </cell>
        </row>
        <row r="68">
          <cell r="A68">
            <v>5064</v>
          </cell>
        </row>
        <row r="69">
          <cell r="A69">
            <v>5065</v>
          </cell>
        </row>
        <row r="70">
          <cell r="A70">
            <v>5066</v>
          </cell>
        </row>
        <row r="71">
          <cell r="A71">
            <v>5067</v>
          </cell>
        </row>
        <row r="72">
          <cell r="A72">
            <v>5068</v>
          </cell>
        </row>
        <row r="73">
          <cell r="A73">
            <v>5069</v>
          </cell>
        </row>
        <row r="74">
          <cell r="A74">
            <v>5070</v>
          </cell>
        </row>
        <row r="75">
          <cell r="A75">
            <v>5071</v>
          </cell>
        </row>
        <row r="76">
          <cell r="A76">
            <v>5072</v>
          </cell>
        </row>
        <row r="77">
          <cell r="A77">
            <v>5073</v>
          </cell>
        </row>
        <row r="78">
          <cell r="A78">
            <v>5074</v>
          </cell>
        </row>
        <row r="79">
          <cell r="A79">
            <v>5075</v>
          </cell>
        </row>
        <row r="80">
          <cell r="A80">
            <v>5076</v>
          </cell>
        </row>
        <row r="81">
          <cell r="A81">
            <v>5077</v>
          </cell>
        </row>
        <row r="82">
          <cell r="A82">
            <v>5078</v>
          </cell>
        </row>
        <row r="83">
          <cell r="A83">
            <v>5079</v>
          </cell>
        </row>
        <row r="84">
          <cell r="A84">
            <v>5080</v>
          </cell>
        </row>
        <row r="85">
          <cell r="A85">
            <v>5081</v>
          </cell>
        </row>
        <row r="86">
          <cell r="A86">
            <v>5082</v>
          </cell>
        </row>
        <row r="87">
          <cell r="A87">
            <v>5083</v>
          </cell>
        </row>
        <row r="88">
          <cell r="A88">
            <v>5084</v>
          </cell>
        </row>
        <row r="89">
          <cell r="A89">
            <v>5085</v>
          </cell>
        </row>
        <row r="90">
          <cell r="A90">
            <v>5086</v>
          </cell>
        </row>
        <row r="91">
          <cell r="A91">
            <v>5087</v>
          </cell>
        </row>
        <row r="92">
          <cell r="A92">
            <v>5088</v>
          </cell>
        </row>
        <row r="93">
          <cell r="A93">
            <v>5089</v>
          </cell>
        </row>
        <row r="94">
          <cell r="A94">
            <v>5090</v>
          </cell>
        </row>
        <row r="95">
          <cell r="A95">
            <v>5091</v>
          </cell>
        </row>
        <row r="96">
          <cell r="A96">
            <v>5092</v>
          </cell>
        </row>
        <row r="97">
          <cell r="A97">
            <v>5093</v>
          </cell>
        </row>
        <row r="98">
          <cell r="A98">
            <v>5094</v>
          </cell>
        </row>
        <row r="99">
          <cell r="A99">
            <v>5095</v>
          </cell>
        </row>
        <row r="100">
          <cell r="A100">
            <v>5096</v>
          </cell>
        </row>
        <row r="101">
          <cell r="A101">
            <v>5097</v>
          </cell>
        </row>
        <row r="102">
          <cell r="A102">
            <v>5098</v>
          </cell>
        </row>
        <row r="103">
          <cell r="A103">
            <v>5099</v>
          </cell>
        </row>
        <row r="104">
          <cell r="A104">
            <v>5100</v>
          </cell>
        </row>
        <row r="105">
          <cell r="A105">
            <v>5101</v>
          </cell>
        </row>
        <row r="106">
          <cell r="A106">
            <v>5102</v>
          </cell>
        </row>
        <row r="107">
          <cell r="A107">
            <v>5103</v>
          </cell>
        </row>
        <row r="108">
          <cell r="A108">
            <v>5104</v>
          </cell>
        </row>
        <row r="109">
          <cell r="A109">
            <v>5105</v>
          </cell>
        </row>
        <row r="110">
          <cell r="A110">
            <v>5106</v>
          </cell>
        </row>
        <row r="111">
          <cell r="A111">
            <v>5107</v>
          </cell>
        </row>
        <row r="112">
          <cell r="A112">
            <v>5108</v>
          </cell>
        </row>
        <row r="113">
          <cell r="A113">
            <v>5109</v>
          </cell>
        </row>
        <row r="114">
          <cell r="A114">
            <v>5110</v>
          </cell>
        </row>
        <row r="115">
          <cell r="A115">
            <v>5111</v>
          </cell>
        </row>
        <row r="116">
          <cell r="A116">
            <v>5112</v>
          </cell>
        </row>
        <row r="117">
          <cell r="A117">
            <v>5113</v>
          </cell>
        </row>
        <row r="118">
          <cell r="A118">
            <v>5114</v>
          </cell>
        </row>
        <row r="119">
          <cell r="A119">
            <v>5115</v>
          </cell>
        </row>
        <row r="120">
          <cell r="A120">
            <v>5116</v>
          </cell>
        </row>
        <row r="121">
          <cell r="A121">
            <v>5117</v>
          </cell>
        </row>
        <row r="122">
          <cell r="A122">
            <v>5118</v>
          </cell>
        </row>
        <row r="123">
          <cell r="A123">
            <v>5119</v>
          </cell>
        </row>
        <row r="124">
          <cell r="A124">
            <v>5120</v>
          </cell>
        </row>
        <row r="125">
          <cell r="A125">
            <v>5121</v>
          </cell>
        </row>
        <row r="126">
          <cell r="A126">
            <v>5122</v>
          </cell>
        </row>
        <row r="127">
          <cell r="A127">
            <v>5123</v>
          </cell>
        </row>
        <row r="128">
          <cell r="A128">
            <v>5124</v>
          </cell>
        </row>
        <row r="129">
          <cell r="A129">
            <v>5125</v>
          </cell>
        </row>
        <row r="130">
          <cell r="A130">
            <v>5126</v>
          </cell>
        </row>
        <row r="131">
          <cell r="A131">
            <v>5127</v>
          </cell>
        </row>
        <row r="132">
          <cell r="A132">
            <v>5128</v>
          </cell>
        </row>
        <row r="133">
          <cell r="A133">
            <v>5129</v>
          </cell>
        </row>
        <row r="134">
          <cell r="A134">
            <v>5130</v>
          </cell>
        </row>
        <row r="135">
          <cell r="A135">
            <v>5131</v>
          </cell>
        </row>
        <row r="136">
          <cell r="A136">
            <v>5132</v>
          </cell>
        </row>
        <row r="137">
          <cell r="A137">
            <v>5133</v>
          </cell>
        </row>
        <row r="138">
          <cell r="A138">
            <v>5134</v>
          </cell>
        </row>
        <row r="139">
          <cell r="A139">
            <v>5135</v>
          </cell>
        </row>
        <row r="140">
          <cell r="A140">
            <v>5136</v>
          </cell>
        </row>
        <row r="141">
          <cell r="A141">
            <v>5137</v>
          </cell>
        </row>
        <row r="142">
          <cell r="A142">
            <v>5138</v>
          </cell>
        </row>
        <row r="143">
          <cell r="A143">
            <v>5139</v>
          </cell>
        </row>
        <row r="144">
          <cell r="A144">
            <v>5140</v>
          </cell>
        </row>
        <row r="145">
          <cell r="A145">
            <v>5141</v>
          </cell>
        </row>
        <row r="146">
          <cell r="A146">
            <v>5142</v>
          </cell>
        </row>
        <row r="147">
          <cell r="A147">
            <v>5143</v>
          </cell>
        </row>
        <row r="148">
          <cell r="A148">
            <v>5144</v>
          </cell>
        </row>
        <row r="149">
          <cell r="A149">
            <v>5145</v>
          </cell>
        </row>
        <row r="150">
          <cell r="A150">
            <v>5146</v>
          </cell>
        </row>
        <row r="151">
          <cell r="A151">
            <v>5147</v>
          </cell>
        </row>
        <row r="152">
          <cell r="A152">
            <v>5148</v>
          </cell>
        </row>
        <row r="153">
          <cell r="A153">
            <v>5149</v>
          </cell>
        </row>
        <row r="154">
          <cell r="A154">
            <v>5150</v>
          </cell>
        </row>
        <row r="155">
          <cell r="A155">
            <v>5151</v>
          </cell>
        </row>
        <row r="156">
          <cell r="A156">
            <v>5152</v>
          </cell>
        </row>
        <row r="157">
          <cell r="A157">
            <v>5153</v>
          </cell>
        </row>
        <row r="158">
          <cell r="A158">
            <v>5154</v>
          </cell>
        </row>
        <row r="159">
          <cell r="A159">
            <v>5155</v>
          </cell>
        </row>
        <row r="160">
          <cell r="A160">
            <v>5156</v>
          </cell>
        </row>
        <row r="161">
          <cell r="A161">
            <v>5157</v>
          </cell>
        </row>
        <row r="162">
          <cell r="A162">
            <v>5158</v>
          </cell>
        </row>
        <row r="163">
          <cell r="A163">
            <v>5159</v>
          </cell>
        </row>
        <row r="164">
          <cell r="A164">
            <v>5160</v>
          </cell>
        </row>
        <row r="165">
          <cell r="A165">
            <v>5161</v>
          </cell>
        </row>
        <row r="166">
          <cell r="A166">
            <v>5162</v>
          </cell>
        </row>
        <row r="167">
          <cell r="A167">
            <v>5163</v>
          </cell>
        </row>
        <row r="168">
          <cell r="A168">
            <v>5164</v>
          </cell>
        </row>
        <row r="169">
          <cell r="A169">
            <v>5165</v>
          </cell>
        </row>
        <row r="170">
          <cell r="A170">
            <v>5166</v>
          </cell>
        </row>
        <row r="171">
          <cell r="A171">
            <v>5167</v>
          </cell>
        </row>
        <row r="172">
          <cell r="A172">
            <v>5168</v>
          </cell>
        </row>
        <row r="173">
          <cell r="A173">
            <v>5169</v>
          </cell>
        </row>
        <row r="174">
          <cell r="A174">
            <v>5170</v>
          </cell>
        </row>
        <row r="175">
          <cell r="A175">
            <v>5171</v>
          </cell>
        </row>
        <row r="176">
          <cell r="A176">
            <v>5172</v>
          </cell>
        </row>
        <row r="177">
          <cell r="A177">
            <v>5173</v>
          </cell>
        </row>
        <row r="178">
          <cell r="A178">
            <v>5174</v>
          </cell>
        </row>
        <row r="179">
          <cell r="A179">
            <v>5175</v>
          </cell>
        </row>
        <row r="180">
          <cell r="A180">
            <v>5176</v>
          </cell>
        </row>
        <row r="181">
          <cell r="A181">
            <v>5177</v>
          </cell>
        </row>
        <row r="182">
          <cell r="A182">
            <v>5178</v>
          </cell>
        </row>
        <row r="183">
          <cell r="A183">
            <v>5179</v>
          </cell>
        </row>
        <row r="184">
          <cell r="A184">
            <v>5180</v>
          </cell>
        </row>
        <row r="185">
          <cell r="A185">
            <v>5181</v>
          </cell>
        </row>
        <row r="186">
          <cell r="A186">
            <v>5182</v>
          </cell>
        </row>
        <row r="187">
          <cell r="A187">
            <v>5183</v>
          </cell>
        </row>
        <row r="188">
          <cell r="A188">
            <v>5184</v>
          </cell>
        </row>
        <row r="189">
          <cell r="A189">
            <v>5185</v>
          </cell>
        </row>
        <row r="190">
          <cell r="A190">
            <v>5186</v>
          </cell>
        </row>
        <row r="191">
          <cell r="A191">
            <v>5187</v>
          </cell>
        </row>
        <row r="192">
          <cell r="A192">
            <v>5188</v>
          </cell>
        </row>
        <row r="193">
          <cell r="A193">
            <v>5189</v>
          </cell>
        </row>
        <row r="194">
          <cell r="A194">
            <v>5190</v>
          </cell>
        </row>
        <row r="195">
          <cell r="A195">
            <v>5191</v>
          </cell>
        </row>
        <row r="196">
          <cell r="A196">
            <v>5192</v>
          </cell>
        </row>
        <row r="197">
          <cell r="A197">
            <v>5193</v>
          </cell>
        </row>
        <row r="198">
          <cell r="A198">
            <v>5194</v>
          </cell>
        </row>
        <row r="199">
          <cell r="A199">
            <v>5195</v>
          </cell>
        </row>
        <row r="200">
          <cell r="A200">
            <v>5196</v>
          </cell>
        </row>
        <row r="201">
          <cell r="A201">
            <v>5197</v>
          </cell>
        </row>
        <row r="202">
          <cell r="A202">
            <v>5198</v>
          </cell>
        </row>
        <row r="203">
          <cell r="A203">
            <v>5199</v>
          </cell>
        </row>
        <row r="204">
          <cell r="A204">
            <v>5200</v>
          </cell>
        </row>
        <row r="205">
          <cell r="A205">
            <v>5201</v>
          </cell>
        </row>
        <row r="206">
          <cell r="A206">
            <v>5202</v>
          </cell>
        </row>
        <row r="207">
          <cell r="A207">
            <v>5203</v>
          </cell>
        </row>
        <row r="208">
          <cell r="A208">
            <v>5204</v>
          </cell>
        </row>
        <row r="209">
          <cell r="A209">
            <v>5205</v>
          </cell>
        </row>
        <row r="210">
          <cell r="A210">
            <v>5206</v>
          </cell>
        </row>
        <row r="211">
          <cell r="A211">
            <v>5207</v>
          </cell>
        </row>
        <row r="212">
          <cell r="A212">
            <v>5208</v>
          </cell>
        </row>
        <row r="213">
          <cell r="A213">
            <v>5209</v>
          </cell>
        </row>
        <row r="214">
          <cell r="A214">
            <v>5210</v>
          </cell>
        </row>
        <row r="215">
          <cell r="A215">
            <v>5211</v>
          </cell>
        </row>
        <row r="216">
          <cell r="A216">
            <v>5212</v>
          </cell>
        </row>
        <row r="217">
          <cell r="A217">
            <v>5213</v>
          </cell>
        </row>
        <row r="218">
          <cell r="A218">
            <v>5214</v>
          </cell>
        </row>
        <row r="219">
          <cell r="A219">
            <v>5215</v>
          </cell>
        </row>
        <row r="220">
          <cell r="A220">
            <v>5216</v>
          </cell>
        </row>
        <row r="221">
          <cell r="A221">
            <v>5217</v>
          </cell>
        </row>
        <row r="222">
          <cell r="A222">
            <v>5218</v>
          </cell>
        </row>
        <row r="223">
          <cell r="A223">
            <v>5219</v>
          </cell>
        </row>
        <row r="224">
          <cell r="A224">
            <v>5220</v>
          </cell>
        </row>
        <row r="225">
          <cell r="A225">
            <v>5221</v>
          </cell>
        </row>
        <row r="226">
          <cell r="A226">
            <v>5222</v>
          </cell>
        </row>
        <row r="227">
          <cell r="A227">
            <v>5223</v>
          </cell>
        </row>
        <row r="228">
          <cell r="A228">
            <v>5224</v>
          </cell>
        </row>
        <row r="229">
          <cell r="A229">
            <v>5225</v>
          </cell>
        </row>
        <row r="230">
          <cell r="A230">
            <v>5226</v>
          </cell>
        </row>
        <row r="231">
          <cell r="A231">
            <v>5227</v>
          </cell>
        </row>
        <row r="232">
          <cell r="A232">
            <v>5228</v>
          </cell>
        </row>
        <row r="233">
          <cell r="A233">
            <v>5229</v>
          </cell>
        </row>
        <row r="234">
          <cell r="A234">
            <v>5230</v>
          </cell>
        </row>
        <row r="235">
          <cell r="A235">
            <v>5231</v>
          </cell>
        </row>
        <row r="236">
          <cell r="A236">
            <v>5232</v>
          </cell>
        </row>
        <row r="237">
          <cell r="A237">
            <v>5233</v>
          </cell>
        </row>
        <row r="238">
          <cell r="A238">
            <v>5234</v>
          </cell>
        </row>
        <row r="239">
          <cell r="A239">
            <v>5235</v>
          </cell>
        </row>
        <row r="240">
          <cell r="A240">
            <v>5236</v>
          </cell>
        </row>
        <row r="241">
          <cell r="A241">
            <v>5237</v>
          </cell>
        </row>
        <row r="242">
          <cell r="A242">
            <v>5238</v>
          </cell>
        </row>
        <row r="243">
          <cell r="A243">
            <v>5239</v>
          </cell>
        </row>
        <row r="244">
          <cell r="A244">
            <v>5240</v>
          </cell>
        </row>
        <row r="245">
          <cell r="A245">
            <v>5241</v>
          </cell>
        </row>
        <row r="246">
          <cell r="A246">
            <v>5242</v>
          </cell>
        </row>
        <row r="247">
          <cell r="A247">
            <v>5243</v>
          </cell>
        </row>
        <row r="248">
          <cell r="A248">
            <v>5244</v>
          </cell>
        </row>
        <row r="249">
          <cell r="A249">
            <v>5245</v>
          </cell>
        </row>
        <row r="250">
          <cell r="A250">
            <v>5246</v>
          </cell>
        </row>
        <row r="251">
          <cell r="A251">
            <v>5247</v>
          </cell>
        </row>
        <row r="252">
          <cell r="A252">
            <v>5248</v>
          </cell>
        </row>
        <row r="253">
          <cell r="A253">
            <v>5249</v>
          </cell>
        </row>
        <row r="254">
          <cell r="A254">
            <v>5250</v>
          </cell>
        </row>
        <row r="255">
          <cell r="A255">
            <v>5251</v>
          </cell>
        </row>
        <row r="256">
          <cell r="A256">
            <v>5252</v>
          </cell>
        </row>
        <row r="257">
          <cell r="A257">
            <v>5253</v>
          </cell>
        </row>
        <row r="258">
          <cell r="A258">
            <v>5254</v>
          </cell>
        </row>
        <row r="259">
          <cell r="A259">
            <v>5255</v>
          </cell>
        </row>
        <row r="260">
          <cell r="A260">
            <v>5256</v>
          </cell>
        </row>
        <row r="261">
          <cell r="A261">
            <v>5257</v>
          </cell>
        </row>
        <row r="262">
          <cell r="A262">
            <v>5258</v>
          </cell>
        </row>
        <row r="263">
          <cell r="A263">
            <v>5259</v>
          </cell>
        </row>
        <row r="264">
          <cell r="A264">
            <v>5260</v>
          </cell>
        </row>
        <row r="265">
          <cell r="A265">
            <v>5261</v>
          </cell>
        </row>
        <row r="266">
          <cell r="A266">
            <v>5262</v>
          </cell>
        </row>
        <row r="267">
          <cell r="A267">
            <v>5263</v>
          </cell>
        </row>
        <row r="268">
          <cell r="A268">
            <v>5264</v>
          </cell>
        </row>
        <row r="269">
          <cell r="A269">
            <v>5265</v>
          </cell>
        </row>
        <row r="270">
          <cell r="A270">
            <v>5266</v>
          </cell>
        </row>
        <row r="271">
          <cell r="A271">
            <v>5267</v>
          </cell>
        </row>
        <row r="272">
          <cell r="A272">
            <v>5268</v>
          </cell>
        </row>
        <row r="273">
          <cell r="A273">
            <v>5269</v>
          </cell>
        </row>
        <row r="274">
          <cell r="A274">
            <v>5270</v>
          </cell>
        </row>
        <row r="275">
          <cell r="A275">
            <v>5271</v>
          </cell>
        </row>
        <row r="276">
          <cell r="A276">
            <v>5272</v>
          </cell>
        </row>
        <row r="277">
          <cell r="A277">
            <v>5273</v>
          </cell>
        </row>
        <row r="278">
          <cell r="A278">
            <v>5274</v>
          </cell>
        </row>
        <row r="279">
          <cell r="A279">
            <v>5275</v>
          </cell>
        </row>
        <row r="280">
          <cell r="A280">
            <v>5276</v>
          </cell>
        </row>
        <row r="281">
          <cell r="A281">
            <v>5277</v>
          </cell>
        </row>
        <row r="282">
          <cell r="A282">
            <v>5278</v>
          </cell>
        </row>
        <row r="283">
          <cell r="A283">
            <v>5279</v>
          </cell>
        </row>
        <row r="284">
          <cell r="A284">
            <v>5280</v>
          </cell>
        </row>
        <row r="285">
          <cell r="A285">
            <v>5281</v>
          </cell>
        </row>
        <row r="286">
          <cell r="A286">
            <v>5282</v>
          </cell>
        </row>
        <row r="287">
          <cell r="A287">
            <v>5283</v>
          </cell>
        </row>
        <row r="288">
          <cell r="A288">
            <v>5284</v>
          </cell>
        </row>
        <row r="289">
          <cell r="A289">
            <v>5285</v>
          </cell>
        </row>
        <row r="290">
          <cell r="A290">
            <v>5286</v>
          </cell>
        </row>
        <row r="291">
          <cell r="A291">
            <v>5287</v>
          </cell>
        </row>
        <row r="292">
          <cell r="A292">
            <v>5288</v>
          </cell>
        </row>
        <row r="293">
          <cell r="A293">
            <v>5289</v>
          </cell>
        </row>
        <row r="294">
          <cell r="A294">
            <v>5290</v>
          </cell>
        </row>
        <row r="295">
          <cell r="A295">
            <v>5291</v>
          </cell>
        </row>
        <row r="296">
          <cell r="A296">
            <v>5292</v>
          </cell>
        </row>
        <row r="297">
          <cell r="A297">
            <v>5293</v>
          </cell>
        </row>
        <row r="298">
          <cell r="A298">
            <v>5294</v>
          </cell>
        </row>
        <row r="299">
          <cell r="A299">
            <v>5295</v>
          </cell>
        </row>
        <row r="300">
          <cell r="A300">
            <v>5296</v>
          </cell>
        </row>
        <row r="301">
          <cell r="A301">
            <v>5297</v>
          </cell>
        </row>
        <row r="302">
          <cell r="A302">
            <v>5298</v>
          </cell>
        </row>
        <row r="303">
          <cell r="A303">
            <v>5299</v>
          </cell>
        </row>
        <row r="304">
          <cell r="A304">
            <v>5300</v>
          </cell>
        </row>
        <row r="305">
          <cell r="A305">
            <v>5301</v>
          </cell>
        </row>
        <row r="306">
          <cell r="A306">
            <v>5302</v>
          </cell>
        </row>
        <row r="307">
          <cell r="A307">
            <v>5303</v>
          </cell>
        </row>
        <row r="308">
          <cell r="A308">
            <v>5304</v>
          </cell>
        </row>
        <row r="309">
          <cell r="A309">
            <v>5305</v>
          </cell>
        </row>
        <row r="310">
          <cell r="A310">
            <v>5306</v>
          </cell>
        </row>
        <row r="311">
          <cell r="A311">
            <v>5307</v>
          </cell>
        </row>
        <row r="312">
          <cell r="A312">
            <v>5308</v>
          </cell>
        </row>
        <row r="313">
          <cell r="A313">
            <v>5309</v>
          </cell>
        </row>
        <row r="314">
          <cell r="A314">
            <v>5310</v>
          </cell>
        </row>
        <row r="315">
          <cell r="A315">
            <v>5311</v>
          </cell>
        </row>
        <row r="316">
          <cell r="A316">
            <v>5312</v>
          </cell>
        </row>
        <row r="317">
          <cell r="A317">
            <v>5313</v>
          </cell>
        </row>
        <row r="318">
          <cell r="A318">
            <v>5314</v>
          </cell>
        </row>
        <row r="319">
          <cell r="A319">
            <v>5315</v>
          </cell>
        </row>
        <row r="320">
          <cell r="A320">
            <v>5316</v>
          </cell>
        </row>
        <row r="321">
          <cell r="A321">
            <v>5317</v>
          </cell>
        </row>
        <row r="322">
          <cell r="A322">
            <v>5318</v>
          </cell>
        </row>
        <row r="323">
          <cell r="A323">
            <v>5319</v>
          </cell>
        </row>
        <row r="324">
          <cell r="A324">
            <v>5320</v>
          </cell>
        </row>
        <row r="325">
          <cell r="A325">
            <v>5321</v>
          </cell>
        </row>
        <row r="326">
          <cell r="A326">
            <v>5322</v>
          </cell>
        </row>
        <row r="327">
          <cell r="A327">
            <v>5323</v>
          </cell>
        </row>
        <row r="328">
          <cell r="A328">
            <v>5324</v>
          </cell>
        </row>
        <row r="329">
          <cell r="A329">
            <v>5325</v>
          </cell>
        </row>
        <row r="330">
          <cell r="A330">
            <v>5326</v>
          </cell>
        </row>
        <row r="331">
          <cell r="A331">
            <v>5327</v>
          </cell>
        </row>
        <row r="332">
          <cell r="A332">
            <v>5328</v>
          </cell>
        </row>
        <row r="333">
          <cell r="A333">
            <v>5329</v>
          </cell>
        </row>
        <row r="334">
          <cell r="A334">
            <v>5330</v>
          </cell>
        </row>
        <row r="335">
          <cell r="A335">
            <v>5331</v>
          </cell>
        </row>
        <row r="336">
          <cell r="A336">
            <v>5332</v>
          </cell>
        </row>
        <row r="337">
          <cell r="A337">
            <v>5333</v>
          </cell>
        </row>
        <row r="338">
          <cell r="A338">
            <v>5334</v>
          </cell>
        </row>
        <row r="339">
          <cell r="A339">
            <v>5335</v>
          </cell>
        </row>
        <row r="340">
          <cell r="A340">
            <v>5336</v>
          </cell>
        </row>
        <row r="341">
          <cell r="A341">
            <v>5337</v>
          </cell>
        </row>
        <row r="342">
          <cell r="A342">
            <v>5338</v>
          </cell>
        </row>
        <row r="343">
          <cell r="A343">
            <v>5339</v>
          </cell>
        </row>
        <row r="344">
          <cell r="A344">
            <v>5340</v>
          </cell>
        </row>
        <row r="345">
          <cell r="A345">
            <v>5341</v>
          </cell>
        </row>
        <row r="346">
          <cell r="A346">
            <v>5342</v>
          </cell>
        </row>
        <row r="347">
          <cell r="A347">
            <v>5343</v>
          </cell>
        </row>
        <row r="348">
          <cell r="A348">
            <v>5344</v>
          </cell>
        </row>
        <row r="349">
          <cell r="A349">
            <v>5345</v>
          </cell>
        </row>
        <row r="350">
          <cell r="A350">
            <v>5346</v>
          </cell>
        </row>
        <row r="351">
          <cell r="A351">
            <v>5347</v>
          </cell>
        </row>
        <row r="352">
          <cell r="A352">
            <v>5348</v>
          </cell>
        </row>
        <row r="353">
          <cell r="A353">
            <v>5349</v>
          </cell>
        </row>
        <row r="354">
          <cell r="A354">
            <v>5350</v>
          </cell>
        </row>
        <row r="355">
          <cell r="A355">
            <v>5351</v>
          </cell>
        </row>
        <row r="356">
          <cell r="A356">
            <v>5352</v>
          </cell>
        </row>
        <row r="357">
          <cell r="A357">
            <v>5353</v>
          </cell>
        </row>
        <row r="358">
          <cell r="A358">
            <v>5354</v>
          </cell>
        </row>
        <row r="359">
          <cell r="A359">
            <v>5355</v>
          </cell>
        </row>
        <row r="360">
          <cell r="A360">
            <v>5356</v>
          </cell>
        </row>
        <row r="361">
          <cell r="A361">
            <v>5357</v>
          </cell>
        </row>
        <row r="362">
          <cell r="A362">
            <v>5358</v>
          </cell>
        </row>
        <row r="363">
          <cell r="A363">
            <v>5359</v>
          </cell>
        </row>
        <row r="364">
          <cell r="A364">
            <v>5360</v>
          </cell>
        </row>
        <row r="365">
          <cell r="A365">
            <v>5361</v>
          </cell>
        </row>
        <row r="366">
          <cell r="A366">
            <v>5362</v>
          </cell>
        </row>
        <row r="367">
          <cell r="A367">
            <v>5363</v>
          </cell>
        </row>
        <row r="368">
          <cell r="A368">
            <v>5364</v>
          </cell>
        </row>
        <row r="369">
          <cell r="A369">
            <v>5365</v>
          </cell>
        </row>
        <row r="370">
          <cell r="A370">
            <v>5366</v>
          </cell>
        </row>
        <row r="371">
          <cell r="A371">
            <v>5367</v>
          </cell>
        </row>
        <row r="372">
          <cell r="A372">
            <v>5368</v>
          </cell>
        </row>
        <row r="373">
          <cell r="A373">
            <v>5369</v>
          </cell>
        </row>
        <row r="374">
          <cell r="A374">
            <v>5370</v>
          </cell>
        </row>
        <row r="375">
          <cell r="A375">
            <v>5371</v>
          </cell>
        </row>
        <row r="376">
          <cell r="A376">
            <v>5372</v>
          </cell>
        </row>
        <row r="377">
          <cell r="A377">
            <v>5373</v>
          </cell>
        </row>
        <row r="378">
          <cell r="A378">
            <v>5374</v>
          </cell>
        </row>
        <row r="379">
          <cell r="A379">
            <v>5375</v>
          </cell>
        </row>
        <row r="380">
          <cell r="A380">
            <v>5376</v>
          </cell>
        </row>
        <row r="381">
          <cell r="A381">
            <v>5377</v>
          </cell>
        </row>
        <row r="382">
          <cell r="A382">
            <v>5378</v>
          </cell>
        </row>
        <row r="383">
          <cell r="A383">
            <v>5379</v>
          </cell>
        </row>
        <row r="384">
          <cell r="A384">
            <v>5380</v>
          </cell>
        </row>
        <row r="385">
          <cell r="A385">
            <v>5381</v>
          </cell>
        </row>
        <row r="386">
          <cell r="A386">
            <v>5382</v>
          </cell>
        </row>
        <row r="387">
          <cell r="A387">
            <v>5383</v>
          </cell>
        </row>
        <row r="388">
          <cell r="A388">
            <v>5384</v>
          </cell>
        </row>
        <row r="389">
          <cell r="A389">
            <v>5385</v>
          </cell>
        </row>
        <row r="390">
          <cell r="A390">
            <v>5386</v>
          </cell>
        </row>
        <row r="391">
          <cell r="A391">
            <v>5387</v>
          </cell>
        </row>
        <row r="392">
          <cell r="A392">
            <v>5388</v>
          </cell>
        </row>
        <row r="393">
          <cell r="A393">
            <v>5389</v>
          </cell>
        </row>
        <row r="394">
          <cell r="A394">
            <v>5390</v>
          </cell>
        </row>
        <row r="395">
          <cell r="A395">
            <v>5391</v>
          </cell>
        </row>
        <row r="396">
          <cell r="A396">
            <v>5392</v>
          </cell>
        </row>
        <row r="397">
          <cell r="A397">
            <v>5393</v>
          </cell>
        </row>
        <row r="398">
          <cell r="A398">
            <v>5394</v>
          </cell>
        </row>
        <row r="399">
          <cell r="A399">
            <v>5395</v>
          </cell>
        </row>
        <row r="400">
          <cell r="A400">
            <v>5396</v>
          </cell>
        </row>
        <row r="401">
          <cell r="A401">
            <v>5397</v>
          </cell>
        </row>
        <row r="402">
          <cell r="A402">
            <v>5398</v>
          </cell>
        </row>
        <row r="403">
          <cell r="A403">
            <v>5399</v>
          </cell>
        </row>
        <row r="404">
          <cell r="A404">
            <v>5400</v>
          </cell>
        </row>
        <row r="405">
          <cell r="A405">
            <v>5401</v>
          </cell>
        </row>
        <row r="406">
          <cell r="A406">
            <v>5402</v>
          </cell>
        </row>
        <row r="407">
          <cell r="A407">
            <v>5403</v>
          </cell>
        </row>
        <row r="408">
          <cell r="A408">
            <v>5404</v>
          </cell>
        </row>
        <row r="409">
          <cell r="A409">
            <v>5405</v>
          </cell>
        </row>
        <row r="410">
          <cell r="A410">
            <v>5406</v>
          </cell>
        </row>
        <row r="411">
          <cell r="A411">
            <v>5407</v>
          </cell>
        </row>
        <row r="412">
          <cell r="A412">
            <v>5408</v>
          </cell>
        </row>
        <row r="413">
          <cell r="A413">
            <v>5409</v>
          </cell>
        </row>
        <row r="414">
          <cell r="A414">
            <v>5410</v>
          </cell>
        </row>
        <row r="415">
          <cell r="A415">
            <v>5411</v>
          </cell>
        </row>
        <row r="416">
          <cell r="A416">
            <v>5412</v>
          </cell>
        </row>
        <row r="417">
          <cell r="A417">
            <v>5413</v>
          </cell>
        </row>
        <row r="418">
          <cell r="A418">
            <v>5414</v>
          </cell>
        </row>
        <row r="419">
          <cell r="A419">
            <v>5415</v>
          </cell>
        </row>
        <row r="420">
          <cell r="A420">
            <v>5416</v>
          </cell>
        </row>
        <row r="421">
          <cell r="A421">
            <v>5417</v>
          </cell>
        </row>
        <row r="422">
          <cell r="A422">
            <v>5418</v>
          </cell>
        </row>
        <row r="423">
          <cell r="A423">
            <v>5419</v>
          </cell>
        </row>
        <row r="424">
          <cell r="A424">
            <v>5420</v>
          </cell>
        </row>
        <row r="425">
          <cell r="A425">
            <v>5421</v>
          </cell>
        </row>
        <row r="426">
          <cell r="A426">
            <v>5422</v>
          </cell>
        </row>
        <row r="427">
          <cell r="A427">
            <v>5423</v>
          </cell>
        </row>
        <row r="428">
          <cell r="A428">
            <v>5424</v>
          </cell>
        </row>
        <row r="429">
          <cell r="A429">
            <v>5425</v>
          </cell>
        </row>
        <row r="430">
          <cell r="A430">
            <v>5426</v>
          </cell>
        </row>
        <row r="431">
          <cell r="A431">
            <v>5427</v>
          </cell>
        </row>
        <row r="432">
          <cell r="A432">
            <v>5428</v>
          </cell>
        </row>
        <row r="433">
          <cell r="A433">
            <v>5429</v>
          </cell>
        </row>
        <row r="434">
          <cell r="A434">
            <v>5430</v>
          </cell>
        </row>
        <row r="435">
          <cell r="A435">
            <v>5431</v>
          </cell>
        </row>
        <row r="436">
          <cell r="A436">
            <v>5432</v>
          </cell>
        </row>
        <row r="437">
          <cell r="A437">
            <v>5433</v>
          </cell>
        </row>
        <row r="438">
          <cell r="A438">
            <v>5434</v>
          </cell>
        </row>
        <row r="439">
          <cell r="A439">
            <v>5435</v>
          </cell>
        </row>
        <row r="440">
          <cell r="A440">
            <v>5436</v>
          </cell>
        </row>
        <row r="441">
          <cell r="A441">
            <v>5437</v>
          </cell>
        </row>
        <row r="442">
          <cell r="A442">
            <v>5438</v>
          </cell>
        </row>
        <row r="443">
          <cell r="A443">
            <v>5439</v>
          </cell>
        </row>
        <row r="444">
          <cell r="A444">
            <v>5440</v>
          </cell>
        </row>
        <row r="445">
          <cell r="A445">
            <v>5441</v>
          </cell>
        </row>
        <row r="446">
          <cell r="A446">
            <v>5442</v>
          </cell>
        </row>
        <row r="447">
          <cell r="A447">
            <v>5443</v>
          </cell>
        </row>
        <row r="448">
          <cell r="A448">
            <v>5444</v>
          </cell>
        </row>
        <row r="449">
          <cell r="A449">
            <v>5445</v>
          </cell>
        </row>
        <row r="450">
          <cell r="A450">
            <v>5446</v>
          </cell>
        </row>
        <row r="451">
          <cell r="A451">
            <v>5447</v>
          </cell>
        </row>
        <row r="452">
          <cell r="A452">
            <v>5448</v>
          </cell>
        </row>
        <row r="453">
          <cell r="A453">
            <v>5449</v>
          </cell>
        </row>
        <row r="454">
          <cell r="A454">
            <v>5450</v>
          </cell>
        </row>
        <row r="455">
          <cell r="A455">
            <v>5451</v>
          </cell>
        </row>
        <row r="456">
          <cell r="A456">
            <v>5452</v>
          </cell>
        </row>
        <row r="457">
          <cell r="A457">
            <v>5453</v>
          </cell>
        </row>
        <row r="458">
          <cell r="A458">
            <v>5454</v>
          </cell>
        </row>
        <row r="459">
          <cell r="A459">
            <v>5455</v>
          </cell>
        </row>
        <row r="460">
          <cell r="A460">
            <v>5456</v>
          </cell>
        </row>
        <row r="461">
          <cell r="A461">
            <v>5457</v>
          </cell>
        </row>
        <row r="462">
          <cell r="A462">
            <v>5458</v>
          </cell>
        </row>
        <row r="463">
          <cell r="A463">
            <v>5459</v>
          </cell>
        </row>
        <row r="464">
          <cell r="A464">
            <v>5460</v>
          </cell>
        </row>
        <row r="465">
          <cell r="A465">
            <v>5461</v>
          </cell>
        </row>
        <row r="466">
          <cell r="A466">
            <v>5462</v>
          </cell>
        </row>
        <row r="467">
          <cell r="A467">
            <v>5463</v>
          </cell>
        </row>
        <row r="468">
          <cell r="A468">
            <v>5464</v>
          </cell>
        </row>
        <row r="469">
          <cell r="A469">
            <v>5465</v>
          </cell>
        </row>
        <row r="470">
          <cell r="A470">
            <v>5466</v>
          </cell>
        </row>
        <row r="471">
          <cell r="A471">
            <v>5467</v>
          </cell>
        </row>
        <row r="472">
          <cell r="A472">
            <v>5468</v>
          </cell>
        </row>
        <row r="473">
          <cell r="A473">
            <v>5469</v>
          </cell>
        </row>
        <row r="474">
          <cell r="A474">
            <v>5470</v>
          </cell>
        </row>
        <row r="475">
          <cell r="A475">
            <v>5471</v>
          </cell>
        </row>
        <row r="476">
          <cell r="A476">
            <v>5472</v>
          </cell>
        </row>
        <row r="477">
          <cell r="A477">
            <v>5473</v>
          </cell>
        </row>
        <row r="478">
          <cell r="A478">
            <v>5474</v>
          </cell>
        </row>
        <row r="479">
          <cell r="A479">
            <v>5475</v>
          </cell>
        </row>
        <row r="480">
          <cell r="A480">
            <v>5476</v>
          </cell>
        </row>
        <row r="481">
          <cell r="A481">
            <v>5477</v>
          </cell>
        </row>
        <row r="482">
          <cell r="A482">
            <v>5478</v>
          </cell>
        </row>
        <row r="483">
          <cell r="A483">
            <v>5479</v>
          </cell>
        </row>
        <row r="484">
          <cell r="A484">
            <v>5480</v>
          </cell>
        </row>
        <row r="485">
          <cell r="A485">
            <v>5481</v>
          </cell>
        </row>
        <row r="486">
          <cell r="A486">
            <v>5482</v>
          </cell>
        </row>
        <row r="487">
          <cell r="A487">
            <v>5483</v>
          </cell>
        </row>
        <row r="488">
          <cell r="A488">
            <v>5484</v>
          </cell>
        </row>
        <row r="489">
          <cell r="A489">
            <v>5485</v>
          </cell>
        </row>
        <row r="490">
          <cell r="A490">
            <v>5486</v>
          </cell>
        </row>
        <row r="491">
          <cell r="A491">
            <v>5487</v>
          </cell>
        </row>
        <row r="492">
          <cell r="A492">
            <v>5488</v>
          </cell>
        </row>
        <row r="493">
          <cell r="A493">
            <v>5489</v>
          </cell>
        </row>
        <row r="494">
          <cell r="A494">
            <v>5490</v>
          </cell>
        </row>
        <row r="495">
          <cell r="A495">
            <v>5491</v>
          </cell>
        </row>
        <row r="496">
          <cell r="A496">
            <v>5492</v>
          </cell>
        </row>
        <row r="497">
          <cell r="A497">
            <v>5493</v>
          </cell>
        </row>
        <row r="498">
          <cell r="A498">
            <v>5494</v>
          </cell>
        </row>
        <row r="499">
          <cell r="A499">
            <v>5495</v>
          </cell>
        </row>
        <row r="500">
          <cell r="A500">
            <v>5496</v>
          </cell>
        </row>
        <row r="501">
          <cell r="A501">
            <v>5497</v>
          </cell>
        </row>
        <row r="502">
          <cell r="A502">
            <v>5498</v>
          </cell>
        </row>
        <row r="503">
          <cell r="A503">
            <v>5499</v>
          </cell>
        </row>
        <row r="504">
          <cell r="A504">
            <v>5500</v>
          </cell>
        </row>
        <row r="505">
          <cell r="A505">
            <v>5501</v>
          </cell>
        </row>
        <row r="506">
          <cell r="A506">
            <v>5502</v>
          </cell>
        </row>
        <row r="507">
          <cell r="A507">
            <v>5503</v>
          </cell>
        </row>
        <row r="508">
          <cell r="A508">
            <v>5504</v>
          </cell>
        </row>
        <row r="509">
          <cell r="A509">
            <v>5505</v>
          </cell>
        </row>
        <row r="510">
          <cell r="A510">
            <v>5506</v>
          </cell>
        </row>
        <row r="511">
          <cell r="A511">
            <v>5507</v>
          </cell>
        </row>
        <row r="512">
          <cell r="A512">
            <v>5508</v>
          </cell>
        </row>
        <row r="513">
          <cell r="A513">
            <v>5509</v>
          </cell>
        </row>
        <row r="514">
          <cell r="A514">
            <v>5510</v>
          </cell>
        </row>
        <row r="515">
          <cell r="A515">
            <v>5511</v>
          </cell>
        </row>
        <row r="516">
          <cell r="A516">
            <v>5512</v>
          </cell>
        </row>
        <row r="517">
          <cell r="A517">
            <v>5513</v>
          </cell>
        </row>
        <row r="518">
          <cell r="A518">
            <v>5514</v>
          </cell>
        </row>
        <row r="519">
          <cell r="A519">
            <v>5515</v>
          </cell>
        </row>
        <row r="520">
          <cell r="A520">
            <v>5516</v>
          </cell>
        </row>
        <row r="521">
          <cell r="A521">
            <v>5517</v>
          </cell>
        </row>
        <row r="522">
          <cell r="A522">
            <v>5518</v>
          </cell>
        </row>
        <row r="523">
          <cell r="A523">
            <v>5519</v>
          </cell>
        </row>
        <row r="524">
          <cell r="A524">
            <v>5520</v>
          </cell>
        </row>
        <row r="525">
          <cell r="A525">
            <v>5521</v>
          </cell>
        </row>
        <row r="526">
          <cell r="A526">
            <v>5522</v>
          </cell>
        </row>
        <row r="527">
          <cell r="A527">
            <v>5523</v>
          </cell>
        </row>
        <row r="528">
          <cell r="A528">
            <v>5524</v>
          </cell>
        </row>
        <row r="529">
          <cell r="A529">
            <v>5525</v>
          </cell>
        </row>
        <row r="530">
          <cell r="A530">
            <v>5526</v>
          </cell>
        </row>
        <row r="531">
          <cell r="A531">
            <v>5527</v>
          </cell>
        </row>
        <row r="532">
          <cell r="A532">
            <v>5528</v>
          </cell>
        </row>
        <row r="533">
          <cell r="A533">
            <v>5529</v>
          </cell>
        </row>
        <row r="534">
          <cell r="A534">
            <v>5530</v>
          </cell>
        </row>
        <row r="535">
          <cell r="A535">
            <v>5531</v>
          </cell>
        </row>
        <row r="536">
          <cell r="A536">
            <v>5532</v>
          </cell>
        </row>
        <row r="537">
          <cell r="A537">
            <v>5533</v>
          </cell>
        </row>
        <row r="538">
          <cell r="A538">
            <v>5534</v>
          </cell>
        </row>
        <row r="539">
          <cell r="A539">
            <v>5535</v>
          </cell>
        </row>
        <row r="540">
          <cell r="A540">
            <v>5536</v>
          </cell>
        </row>
        <row r="541">
          <cell r="A541">
            <v>5537</v>
          </cell>
        </row>
        <row r="542">
          <cell r="A542">
            <v>5538</v>
          </cell>
        </row>
        <row r="543">
          <cell r="A543">
            <v>5539</v>
          </cell>
        </row>
        <row r="544">
          <cell r="A544">
            <v>5540</v>
          </cell>
        </row>
        <row r="545">
          <cell r="A545">
            <v>5541</v>
          </cell>
        </row>
        <row r="546">
          <cell r="A546">
            <v>5542</v>
          </cell>
        </row>
        <row r="547">
          <cell r="A547">
            <v>5543</v>
          </cell>
        </row>
        <row r="548">
          <cell r="A548">
            <v>5544</v>
          </cell>
        </row>
        <row r="549">
          <cell r="A549">
            <v>5545</v>
          </cell>
        </row>
        <row r="550">
          <cell r="A550">
            <v>5546</v>
          </cell>
        </row>
        <row r="551">
          <cell r="A551">
            <v>5547</v>
          </cell>
        </row>
        <row r="552">
          <cell r="A552">
            <v>5548</v>
          </cell>
        </row>
        <row r="553">
          <cell r="A553">
            <v>5549</v>
          </cell>
        </row>
        <row r="554">
          <cell r="A554">
            <v>5550</v>
          </cell>
        </row>
        <row r="555">
          <cell r="A555">
            <v>5551</v>
          </cell>
        </row>
        <row r="556">
          <cell r="A556">
            <v>5552</v>
          </cell>
        </row>
        <row r="557">
          <cell r="A557">
            <v>5553</v>
          </cell>
        </row>
        <row r="558">
          <cell r="A558">
            <v>5554</v>
          </cell>
        </row>
        <row r="559">
          <cell r="A559">
            <v>5555</v>
          </cell>
        </row>
        <row r="560">
          <cell r="A560">
            <v>5556</v>
          </cell>
        </row>
        <row r="561">
          <cell r="A561">
            <v>5557</v>
          </cell>
        </row>
        <row r="562">
          <cell r="A562">
            <v>5558</v>
          </cell>
        </row>
        <row r="563">
          <cell r="A563">
            <v>5559</v>
          </cell>
        </row>
        <row r="564">
          <cell r="A564">
            <v>5560</v>
          </cell>
        </row>
        <row r="565">
          <cell r="A565">
            <v>5561</v>
          </cell>
        </row>
        <row r="566">
          <cell r="A566">
            <v>5562</v>
          </cell>
        </row>
        <row r="567">
          <cell r="A567">
            <v>5563</v>
          </cell>
        </row>
        <row r="568">
          <cell r="A568">
            <v>5564</v>
          </cell>
        </row>
        <row r="569">
          <cell r="A569">
            <v>5565</v>
          </cell>
        </row>
        <row r="570">
          <cell r="A570">
            <v>5566</v>
          </cell>
        </row>
        <row r="571">
          <cell r="A571">
            <v>5567</v>
          </cell>
        </row>
        <row r="572">
          <cell r="A572">
            <v>5568</v>
          </cell>
        </row>
        <row r="573">
          <cell r="A573">
            <v>5569</v>
          </cell>
        </row>
        <row r="574">
          <cell r="A574">
            <v>5570</v>
          </cell>
        </row>
        <row r="575">
          <cell r="A575">
            <v>5571</v>
          </cell>
        </row>
        <row r="576">
          <cell r="A576">
            <v>5572</v>
          </cell>
        </row>
        <row r="577">
          <cell r="A577">
            <v>5573</v>
          </cell>
        </row>
        <row r="578">
          <cell r="A578">
            <v>5574</v>
          </cell>
        </row>
        <row r="579">
          <cell r="A579">
            <v>5575</v>
          </cell>
        </row>
        <row r="580">
          <cell r="A580">
            <v>5576</v>
          </cell>
        </row>
        <row r="581">
          <cell r="A581">
            <v>5577</v>
          </cell>
        </row>
        <row r="582">
          <cell r="A582">
            <v>5578</v>
          </cell>
        </row>
        <row r="583">
          <cell r="A583">
            <v>5579</v>
          </cell>
        </row>
        <row r="584">
          <cell r="A584">
            <v>5580</v>
          </cell>
        </row>
        <row r="585">
          <cell r="A585">
            <v>5581</v>
          </cell>
        </row>
        <row r="586">
          <cell r="A586">
            <v>5582</v>
          </cell>
        </row>
        <row r="587">
          <cell r="A587">
            <v>5583</v>
          </cell>
        </row>
        <row r="588">
          <cell r="A588">
            <v>5584</v>
          </cell>
        </row>
        <row r="589">
          <cell r="A589">
            <v>5585</v>
          </cell>
        </row>
        <row r="590">
          <cell r="A590">
            <v>5586</v>
          </cell>
        </row>
        <row r="591">
          <cell r="A591">
            <v>5587</v>
          </cell>
        </row>
        <row r="592">
          <cell r="A592">
            <v>5588</v>
          </cell>
        </row>
        <row r="593">
          <cell r="A593">
            <v>5589</v>
          </cell>
        </row>
        <row r="594">
          <cell r="A594">
            <v>5590</v>
          </cell>
        </row>
        <row r="595">
          <cell r="A595">
            <v>5591</v>
          </cell>
        </row>
        <row r="596">
          <cell r="A596">
            <v>5592</v>
          </cell>
        </row>
        <row r="597">
          <cell r="A597">
            <v>5593</v>
          </cell>
        </row>
        <row r="598">
          <cell r="A598">
            <v>5594</v>
          </cell>
        </row>
        <row r="599">
          <cell r="A599">
            <v>5595</v>
          </cell>
        </row>
        <row r="600">
          <cell r="A600">
            <v>5596</v>
          </cell>
        </row>
        <row r="601">
          <cell r="A601">
            <v>5597</v>
          </cell>
        </row>
        <row r="602">
          <cell r="A602">
            <v>5598</v>
          </cell>
        </row>
        <row r="603">
          <cell r="A603">
            <v>5599</v>
          </cell>
        </row>
        <row r="604">
          <cell r="A604">
            <v>5600</v>
          </cell>
        </row>
        <row r="605">
          <cell r="A605">
            <v>5601</v>
          </cell>
        </row>
        <row r="606">
          <cell r="A606">
            <v>5602</v>
          </cell>
        </row>
        <row r="607">
          <cell r="A607">
            <v>5603</v>
          </cell>
        </row>
        <row r="608">
          <cell r="A608">
            <v>5604</v>
          </cell>
        </row>
        <row r="609">
          <cell r="A609">
            <v>5605</v>
          </cell>
        </row>
        <row r="610">
          <cell r="A610">
            <v>5606</v>
          </cell>
        </row>
        <row r="611">
          <cell r="A611">
            <v>5607</v>
          </cell>
        </row>
        <row r="612">
          <cell r="A612">
            <v>5608</v>
          </cell>
        </row>
        <row r="613">
          <cell r="A613">
            <v>5609</v>
          </cell>
        </row>
        <row r="614">
          <cell r="A614">
            <v>5610</v>
          </cell>
        </row>
        <row r="615">
          <cell r="A615">
            <v>5611</v>
          </cell>
        </row>
        <row r="616">
          <cell r="A616">
            <v>5612</v>
          </cell>
        </row>
        <row r="617">
          <cell r="A617">
            <v>5613</v>
          </cell>
        </row>
        <row r="618">
          <cell r="A618">
            <v>5614</v>
          </cell>
        </row>
        <row r="619">
          <cell r="A619">
            <v>5615</v>
          </cell>
        </row>
        <row r="620">
          <cell r="A620">
            <v>5616</v>
          </cell>
        </row>
        <row r="621">
          <cell r="A621">
            <v>5617</v>
          </cell>
        </row>
        <row r="622">
          <cell r="A622">
            <v>5618</v>
          </cell>
        </row>
        <row r="623">
          <cell r="A623">
            <v>5619</v>
          </cell>
        </row>
        <row r="624">
          <cell r="A624">
            <v>5620</v>
          </cell>
        </row>
        <row r="625">
          <cell r="A625">
            <v>5621</v>
          </cell>
        </row>
        <row r="626">
          <cell r="A626">
            <v>5622</v>
          </cell>
        </row>
        <row r="627">
          <cell r="A627">
            <v>5623</v>
          </cell>
        </row>
        <row r="628">
          <cell r="A628">
            <v>5624</v>
          </cell>
        </row>
        <row r="629">
          <cell r="A629">
            <v>5625</v>
          </cell>
        </row>
        <row r="630">
          <cell r="A630">
            <v>5626</v>
          </cell>
        </row>
        <row r="631">
          <cell r="A631">
            <v>5627</v>
          </cell>
        </row>
        <row r="632">
          <cell r="A632">
            <v>5628</v>
          </cell>
        </row>
        <row r="633">
          <cell r="A633">
            <v>5629</v>
          </cell>
        </row>
        <row r="634">
          <cell r="A634">
            <v>5630</v>
          </cell>
        </row>
        <row r="635">
          <cell r="A635">
            <v>5631</v>
          </cell>
        </row>
        <row r="636">
          <cell r="A636">
            <v>5632</v>
          </cell>
        </row>
        <row r="637">
          <cell r="A637">
            <v>5633</v>
          </cell>
        </row>
        <row r="638">
          <cell r="A638">
            <v>5634</v>
          </cell>
        </row>
        <row r="639">
          <cell r="A639">
            <v>5635</v>
          </cell>
        </row>
        <row r="640">
          <cell r="A640">
            <v>5636</v>
          </cell>
        </row>
        <row r="641">
          <cell r="A641">
            <v>5637</v>
          </cell>
        </row>
        <row r="642">
          <cell r="A642">
            <v>5638</v>
          </cell>
        </row>
        <row r="643">
          <cell r="A643">
            <v>5639</v>
          </cell>
        </row>
        <row r="644">
          <cell r="A644">
            <v>5640</v>
          </cell>
        </row>
        <row r="645">
          <cell r="A645">
            <v>5641</v>
          </cell>
        </row>
        <row r="646">
          <cell r="A646">
            <v>5642</v>
          </cell>
        </row>
        <row r="647">
          <cell r="A647">
            <v>5643</v>
          </cell>
        </row>
        <row r="648">
          <cell r="A648">
            <v>5644</v>
          </cell>
        </row>
        <row r="649">
          <cell r="A649">
            <v>5645</v>
          </cell>
        </row>
        <row r="650">
          <cell r="A650">
            <v>5646</v>
          </cell>
        </row>
        <row r="651">
          <cell r="A651">
            <v>5647</v>
          </cell>
        </row>
        <row r="652">
          <cell r="A652">
            <v>5648</v>
          </cell>
        </row>
        <row r="653">
          <cell r="A653">
            <v>5649</v>
          </cell>
        </row>
        <row r="654">
          <cell r="A654">
            <v>5650</v>
          </cell>
        </row>
        <row r="655">
          <cell r="A655">
            <v>5651</v>
          </cell>
        </row>
        <row r="656">
          <cell r="A656">
            <v>5652</v>
          </cell>
        </row>
        <row r="657">
          <cell r="A657">
            <v>5653</v>
          </cell>
        </row>
        <row r="658">
          <cell r="A658">
            <v>5654</v>
          </cell>
        </row>
        <row r="659">
          <cell r="A659">
            <v>5655</v>
          </cell>
        </row>
        <row r="660">
          <cell r="A660">
            <v>5656</v>
          </cell>
        </row>
        <row r="661">
          <cell r="A661">
            <v>5657</v>
          </cell>
        </row>
        <row r="662">
          <cell r="A662">
            <v>5658</v>
          </cell>
        </row>
        <row r="663">
          <cell r="A663">
            <v>5659</v>
          </cell>
        </row>
        <row r="664">
          <cell r="A664">
            <v>5660</v>
          </cell>
        </row>
        <row r="665">
          <cell r="A665">
            <v>5661</v>
          </cell>
        </row>
        <row r="666">
          <cell r="A666">
            <v>5662</v>
          </cell>
        </row>
        <row r="667">
          <cell r="A667">
            <v>5663</v>
          </cell>
        </row>
        <row r="668">
          <cell r="A668">
            <v>5664</v>
          </cell>
        </row>
        <row r="669">
          <cell r="A669">
            <v>5665</v>
          </cell>
        </row>
        <row r="670">
          <cell r="A670">
            <v>5666</v>
          </cell>
        </row>
        <row r="671">
          <cell r="A671">
            <v>5667</v>
          </cell>
        </row>
        <row r="672">
          <cell r="A672">
            <v>5668</v>
          </cell>
        </row>
        <row r="673">
          <cell r="A673">
            <v>5669</v>
          </cell>
        </row>
        <row r="674">
          <cell r="A674">
            <v>5670</v>
          </cell>
        </row>
        <row r="675">
          <cell r="A675">
            <v>5671</v>
          </cell>
        </row>
        <row r="676">
          <cell r="A676">
            <v>5672</v>
          </cell>
        </row>
        <row r="677">
          <cell r="A677">
            <v>5673</v>
          </cell>
        </row>
        <row r="678">
          <cell r="A678">
            <v>5674</v>
          </cell>
        </row>
        <row r="679">
          <cell r="A679">
            <v>5675</v>
          </cell>
        </row>
        <row r="680">
          <cell r="A680">
            <v>5676</v>
          </cell>
        </row>
        <row r="681">
          <cell r="A681">
            <v>5677</v>
          </cell>
        </row>
        <row r="682">
          <cell r="A682">
            <v>5678</v>
          </cell>
        </row>
        <row r="683">
          <cell r="A683">
            <v>5679</v>
          </cell>
        </row>
        <row r="684">
          <cell r="A684">
            <v>5680</v>
          </cell>
        </row>
        <row r="685">
          <cell r="A685">
            <v>5681</v>
          </cell>
        </row>
        <row r="686">
          <cell r="A686">
            <v>5682</v>
          </cell>
        </row>
        <row r="687">
          <cell r="A687">
            <v>5683</v>
          </cell>
        </row>
        <row r="688">
          <cell r="A688">
            <v>5684</v>
          </cell>
        </row>
        <row r="689">
          <cell r="A689">
            <v>5685</v>
          </cell>
        </row>
        <row r="690">
          <cell r="A690">
            <v>5686</v>
          </cell>
        </row>
        <row r="691">
          <cell r="A691">
            <v>5687</v>
          </cell>
        </row>
        <row r="692">
          <cell r="A692">
            <v>5688</v>
          </cell>
        </row>
        <row r="693">
          <cell r="A693">
            <v>5689</v>
          </cell>
        </row>
        <row r="694">
          <cell r="A694">
            <v>5690</v>
          </cell>
        </row>
        <row r="695">
          <cell r="A695">
            <v>5691</v>
          </cell>
        </row>
        <row r="696">
          <cell r="A696">
            <v>5692</v>
          </cell>
        </row>
        <row r="697">
          <cell r="A697">
            <v>5693</v>
          </cell>
        </row>
        <row r="698">
          <cell r="A698">
            <v>5694</v>
          </cell>
        </row>
        <row r="699">
          <cell r="A699">
            <v>5695</v>
          </cell>
        </row>
        <row r="700">
          <cell r="A700">
            <v>5696</v>
          </cell>
        </row>
        <row r="701">
          <cell r="A701">
            <v>5697</v>
          </cell>
        </row>
        <row r="702">
          <cell r="A702">
            <v>5698</v>
          </cell>
        </row>
        <row r="703">
          <cell r="A703">
            <v>5699</v>
          </cell>
        </row>
        <row r="704">
          <cell r="A704">
            <v>5700</v>
          </cell>
        </row>
        <row r="705">
          <cell r="A705">
            <v>5701</v>
          </cell>
        </row>
        <row r="706">
          <cell r="A706">
            <v>5702</v>
          </cell>
        </row>
        <row r="707">
          <cell r="A707">
            <v>5703</v>
          </cell>
        </row>
        <row r="708">
          <cell r="A708">
            <v>5704</v>
          </cell>
        </row>
        <row r="709">
          <cell r="A709">
            <v>5705</v>
          </cell>
        </row>
        <row r="710">
          <cell r="A710">
            <v>5706</v>
          </cell>
        </row>
        <row r="711">
          <cell r="A711">
            <v>5707</v>
          </cell>
        </row>
        <row r="712">
          <cell r="A712">
            <v>5708</v>
          </cell>
        </row>
        <row r="713">
          <cell r="A713">
            <v>5709</v>
          </cell>
        </row>
        <row r="714">
          <cell r="A714">
            <v>5710</v>
          </cell>
        </row>
        <row r="715">
          <cell r="A715">
            <v>5711</v>
          </cell>
        </row>
        <row r="716">
          <cell r="A716">
            <v>5712</v>
          </cell>
        </row>
        <row r="717">
          <cell r="A717">
            <v>5713</v>
          </cell>
        </row>
        <row r="718">
          <cell r="A718">
            <v>5714</v>
          </cell>
        </row>
        <row r="719">
          <cell r="A719">
            <v>5715</v>
          </cell>
        </row>
        <row r="720">
          <cell r="A720">
            <v>5716</v>
          </cell>
        </row>
        <row r="721">
          <cell r="A721">
            <v>5717</v>
          </cell>
        </row>
        <row r="722">
          <cell r="A722">
            <v>5718</v>
          </cell>
        </row>
        <row r="723">
          <cell r="A723">
            <v>5719</v>
          </cell>
        </row>
        <row r="724">
          <cell r="A724">
            <v>5720</v>
          </cell>
        </row>
        <row r="725">
          <cell r="A725">
            <v>5721</v>
          </cell>
        </row>
        <row r="726">
          <cell r="A726">
            <v>5722</v>
          </cell>
        </row>
        <row r="727">
          <cell r="A727">
            <v>5723</v>
          </cell>
        </row>
        <row r="728">
          <cell r="A728">
            <v>5724</v>
          </cell>
        </row>
        <row r="729">
          <cell r="A729">
            <v>5725</v>
          </cell>
        </row>
        <row r="730">
          <cell r="A730">
            <v>5726</v>
          </cell>
        </row>
        <row r="731">
          <cell r="A731">
            <v>5727</v>
          </cell>
        </row>
        <row r="732">
          <cell r="A732">
            <v>5728</v>
          </cell>
        </row>
        <row r="733">
          <cell r="A733">
            <v>5729</v>
          </cell>
        </row>
        <row r="734">
          <cell r="A734">
            <v>5730</v>
          </cell>
        </row>
        <row r="735">
          <cell r="A735">
            <v>5731</v>
          </cell>
        </row>
        <row r="736">
          <cell r="A736">
            <v>5732</v>
          </cell>
        </row>
        <row r="737">
          <cell r="A737">
            <v>5733</v>
          </cell>
        </row>
        <row r="738">
          <cell r="A738">
            <v>5734</v>
          </cell>
        </row>
        <row r="739">
          <cell r="A739">
            <v>5735</v>
          </cell>
        </row>
        <row r="740">
          <cell r="A740">
            <v>5736</v>
          </cell>
        </row>
        <row r="741">
          <cell r="A741">
            <v>5737</v>
          </cell>
        </row>
        <row r="742">
          <cell r="A742">
            <v>5738</v>
          </cell>
        </row>
        <row r="743">
          <cell r="A743">
            <v>5739</v>
          </cell>
        </row>
        <row r="744">
          <cell r="A744">
            <v>5740</v>
          </cell>
        </row>
        <row r="745">
          <cell r="A745">
            <v>5741</v>
          </cell>
        </row>
        <row r="746">
          <cell r="A746">
            <v>5742</v>
          </cell>
        </row>
        <row r="747">
          <cell r="A747">
            <v>5743</v>
          </cell>
        </row>
        <row r="748">
          <cell r="A748">
            <v>5744</v>
          </cell>
        </row>
        <row r="749">
          <cell r="A749">
            <v>5745</v>
          </cell>
        </row>
        <row r="750">
          <cell r="A750">
            <v>5746</v>
          </cell>
        </row>
        <row r="751">
          <cell r="A751">
            <v>5747</v>
          </cell>
        </row>
        <row r="752">
          <cell r="A752">
            <v>5748</v>
          </cell>
        </row>
        <row r="753">
          <cell r="A753">
            <v>5749</v>
          </cell>
        </row>
        <row r="754">
          <cell r="A754">
            <v>5750</v>
          </cell>
        </row>
        <row r="755">
          <cell r="A755">
            <v>5751</v>
          </cell>
        </row>
        <row r="756">
          <cell r="A756">
            <v>5752</v>
          </cell>
        </row>
        <row r="757">
          <cell r="A757">
            <v>5753</v>
          </cell>
        </row>
        <row r="758">
          <cell r="A758">
            <v>5754</v>
          </cell>
        </row>
        <row r="759">
          <cell r="A759">
            <v>5755</v>
          </cell>
        </row>
        <row r="760">
          <cell r="A760">
            <v>5756</v>
          </cell>
        </row>
        <row r="761">
          <cell r="A761">
            <v>5757</v>
          </cell>
        </row>
        <row r="762">
          <cell r="A762">
            <v>5758</v>
          </cell>
        </row>
        <row r="763">
          <cell r="A763">
            <v>5759</v>
          </cell>
        </row>
        <row r="764">
          <cell r="A764">
            <v>5760</v>
          </cell>
        </row>
        <row r="765">
          <cell r="A765">
            <v>5761</v>
          </cell>
        </row>
        <row r="766">
          <cell r="A766">
            <v>5762</v>
          </cell>
        </row>
        <row r="767">
          <cell r="A767">
            <v>5763</v>
          </cell>
        </row>
        <row r="768">
          <cell r="A768">
            <v>5764</v>
          </cell>
        </row>
        <row r="769">
          <cell r="A769">
            <v>5765</v>
          </cell>
        </row>
        <row r="770">
          <cell r="A770">
            <v>5766</v>
          </cell>
        </row>
        <row r="771">
          <cell r="A771">
            <v>5767</v>
          </cell>
        </row>
        <row r="772">
          <cell r="A772">
            <v>5768</v>
          </cell>
        </row>
        <row r="773">
          <cell r="A773">
            <v>5769</v>
          </cell>
        </row>
        <row r="774">
          <cell r="A774">
            <v>5770</v>
          </cell>
        </row>
        <row r="775">
          <cell r="A775">
            <v>5771</v>
          </cell>
        </row>
        <row r="776">
          <cell r="A776">
            <v>5772</v>
          </cell>
        </row>
        <row r="777">
          <cell r="A777">
            <v>5773</v>
          </cell>
        </row>
        <row r="778">
          <cell r="A778">
            <v>5774</v>
          </cell>
        </row>
        <row r="779">
          <cell r="A779">
            <v>5775</v>
          </cell>
        </row>
        <row r="780">
          <cell r="A780">
            <v>5776</v>
          </cell>
        </row>
        <row r="781">
          <cell r="A781">
            <v>5777</v>
          </cell>
        </row>
        <row r="782">
          <cell r="A782">
            <v>5778</v>
          </cell>
        </row>
        <row r="783">
          <cell r="A783">
            <v>5779</v>
          </cell>
        </row>
        <row r="784">
          <cell r="A784">
            <v>5780</v>
          </cell>
        </row>
        <row r="785">
          <cell r="A785">
            <v>5781</v>
          </cell>
        </row>
        <row r="786">
          <cell r="A786">
            <v>5782</v>
          </cell>
        </row>
        <row r="787">
          <cell r="A787">
            <v>5783</v>
          </cell>
        </row>
        <row r="788">
          <cell r="A788">
            <v>5784</v>
          </cell>
        </row>
        <row r="789">
          <cell r="A789">
            <v>5785</v>
          </cell>
        </row>
        <row r="790">
          <cell r="A790">
            <v>5786</v>
          </cell>
        </row>
        <row r="791">
          <cell r="A791">
            <v>5787</v>
          </cell>
        </row>
        <row r="792">
          <cell r="A792">
            <v>5788</v>
          </cell>
        </row>
        <row r="793">
          <cell r="A793">
            <v>5789</v>
          </cell>
        </row>
        <row r="794">
          <cell r="A794">
            <v>5790</v>
          </cell>
        </row>
        <row r="795">
          <cell r="A795">
            <v>5791</v>
          </cell>
        </row>
        <row r="796">
          <cell r="A796">
            <v>5792</v>
          </cell>
        </row>
        <row r="797">
          <cell r="A797">
            <v>5793</v>
          </cell>
        </row>
        <row r="798">
          <cell r="A798">
            <v>5794</v>
          </cell>
        </row>
        <row r="799">
          <cell r="A799">
            <v>5795</v>
          </cell>
        </row>
        <row r="800">
          <cell r="A800">
            <v>5796</v>
          </cell>
        </row>
        <row r="801">
          <cell r="A801">
            <v>5797</v>
          </cell>
        </row>
        <row r="802">
          <cell r="A802">
            <v>5798</v>
          </cell>
        </row>
        <row r="803">
          <cell r="A803">
            <v>5799</v>
          </cell>
        </row>
        <row r="804">
          <cell r="A804">
            <v>5800</v>
          </cell>
        </row>
        <row r="805">
          <cell r="A805">
            <v>5801</v>
          </cell>
        </row>
        <row r="806">
          <cell r="A806">
            <v>5802</v>
          </cell>
        </row>
        <row r="807">
          <cell r="A807">
            <v>5803</v>
          </cell>
        </row>
        <row r="808">
          <cell r="A808">
            <v>5804</v>
          </cell>
        </row>
        <row r="809">
          <cell r="A809">
            <v>5805</v>
          </cell>
        </row>
        <row r="810">
          <cell r="A810">
            <v>5806</v>
          </cell>
        </row>
        <row r="811">
          <cell r="A811">
            <v>5807</v>
          </cell>
        </row>
        <row r="812">
          <cell r="A812">
            <v>5808</v>
          </cell>
        </row>
        <row r="813">
          <cell r="A813">
            <v>5809</v>
          </cell>
        </row>
        <row r="814">
          <cell r="A814">
            <v>5810</v>
          </cell>
        </row>
        <row r="815">
          <cell r="A815">
            <v>5811</v>
          </cell>
        </row>
        <row r="816">
          <cell r="A816">
            <v>5812</v>
          </cell>
        </row>
        <row r="817">
          <cell r="A817">
            <v>5813</v>
          </cell>
        </row>
        <row r="818">
          <cell r="A818">
            <v>5814</v>
          </cell>
        </row>
        <row r="819">
          <cell r="A819">
            <v>5815</v>
          </cell>
        </row>
        <row r="820">
          <cell r="A820">
            <v>5816</v>
          </cell>
        </row>
        <row r="821">
          <cell r="A821">
            <v>5817</v>
          </cell>
        </row>
        <row r="822">
          <cell r="A822">
            <v>5818</v>
          </cell>
        </row>
        <row r="823">
          <cell r="A823">
            <v>5819</v>
          </cell>
        </row>
        <row r="824">
          <cell r="A824">
            <v>5820</v>
          </cell>
        </row>
        <row r="825">
          <cell r="A825">
            <v>5821</v>
          </cell>
        </row>
        <row r="826">
          <cell r="A826">
            <v>5822</v>
          </cell>
        </row>
        <row r="827">
          <cell r="A827">
            <v>5823</v>
          </cell>
        </row>
        <row r="828">
          <cell r="A828">
            <v>5824</v>
          </cell>
        </row>
        <row r="829">
          <cell r="A829">
            <v>5825</v>
          </cell>
        </row>
        <row r="830">
          <cell r="A830">
            <v>5826</v>
          </cell>
        </row>
        <row r="831">
          <cell r="A831">
            <v>5827</v>
          </cell>
        </row>
        <row r="832">
          <cell r="A832">
            <v>5828</v>
          </cell>
        </row>
        <row r="833">
          <cell r="A833">
            <v>5829</v>
          </cell>
        </row>
        <row r="834">
          <cell r="A834">
            <v>5830</v>
          </cell>
        </row>
        <row r="835">
          <cell r="A835">
            <v>5831</v>
          </cell>
        </row>
        <row r="836">
          <cell r="A836">
            <v>5832</v>
          </cell>
        </row>
        <row r="837">
          <cell r="A837">
            <v>5833</v>
          </cell>
        </row>
        <row r="838">
          <cell r="A838">
            <v>5834</v>
          </cell>
        </row>
        <row r="839">
          <cell r="A839">
            <v>5835</v>
          </cell>
        </row>
        <row r="840">
          <cell r="A840">
            <v>5836</v>
          </cell>
        </row>
        <row r="841">
          <cell r="A841">
            <v>5837</v>
          </cell>
        </row>
        <row r="842">
          <cell r="A842">
            <v>5838</v>
          </cell>
        </row>
        <row r="843">
          <cell r="A843">
            <v>5839</v>
          </cell>
        </row>
        <row r="844">
          <cell r="A844">
            <v>5840</v>
          </cell>
        </row>
        <row r="845">
          <cell r="A845">
            <v>5841</v>
          </cell>
        </row>
        <row r="846">
          <cell r="A846">
            <v>5842</v>
          </cell>
        </row>
        <row r="847">
          <cell r="A847">
            <v>5843</v>
          </cell>
        </row>
        <row r="848">
          <cell r="A848">
            <v>5844</v>
          </cell>
        </row>
        <row r="849">
          <cell r="A849">
            <v>5845</v>
          </cell>
        </row>
        <row r="850">
          <cell r="A850">
            <v>5846</v>
          </cell>
        </row>
        <row r="851">
          <cell r="A851">
            <v>5847</v>
          </cell>
        </row>
        <row r="852">
          <cell r="A852">
            <v>5848</v>
          </cell>
        </row>
        <row r="853">
          <cell r="A853">
            <v>5849</v>
          </cell>
        </row>
        <row r="854">
          <cell r="A854">
            <v>5850</v>
          </cell>
        </row>
        <row r="855">
          <cell r="A855">
            <v>5851</v>
          </cell>
        </row>
        <row r="856">
          <cell r="A856">
            <v>5852</v>
          </cell>
        </row>
        <row r="857">
          <cell r="A857">
            <v>5853</v>
          </cell>
        </row>
        <row r="858">
          <cell r="A858">
            <v>5854</v>
          </cell>
        </row>
        <row r="859">
          <cell r="A859">
            <v>5855</v>
          </cell>
        </row>
        <row r="860">
          <cell r="A860">
            <v>5856</v>
          </cell>
        </row>
        <row r="861">
          <cell r="A861">
            <v>5857</v>
          </cell>
        </row>
        <row r="862">
          <cell r="A862">
            <v>5858</v>
          </cell>
        </row>
        <row r="863">
          <cell r="A863">
            <v>5859</v>
          </cell>
        </row>
        <row r="864">
          <cell r="A864">
            <v>5860</v>
          </cell>
        </row>
        <row r="865">
          <cell r="A865">
            <v>5861</v>
          </cell>
        </row>
        <row r="866">
          <cell r="A866">
            <v>5862</v>
          </cell>
        </row>
        <row r="867">
          <cell r="A867">
            <v>5863</v>
          </cell>
        </row>
        <row r="868">
          <cell r="A868">
            <v>5864</v>
          </cell>
        </row>
        <row r="869">
          <cell r="A869">
            <v>5865</v>
          </cell>
        </row>
        <row r="870">
          <cell r="A870">
            <v>5866</v>
          </cell>
        </row>
        <row r="871">
          <cell r="A871">
            <v>5867</v>
          </cell>
        </row>
        <row r="872">
          <cell r="A872">
            <v>5868</v>
          </cell>
        </row>
        <row r="873">
          <cell r="A873">
            <v>5869</v>
          </cell>
        </row>
        <row r="874">
          <cell r="A874">
            <v>5870</v>
          </cell>
        </row>
        <row r="875">
          <cell r="A875">
            <v>5871</v>
          </cell>
        </row>
        <row r="876">
          <cell r="A876">
            <v>5872</v>
          </cell>
        </row>
        <row r="877">
          <cell r="A877">
            <v>5873</v>
          </cell>
        </row>
        <row r="878">
          <cell r="A878">
            <v>5874</v>
          </cell>
        </row>
        <row r="879">
          <cell r="A879">
            <v>5875</v>
          </cell>
        </row>
        <row r="880">
          <cell r="A880">
            <v>5876</v>
          </cell>
        </row>
        <row r="881">
          <cell r="A881">
            <v>5877</v>
          </cell>
        </row>
        <row r="882">
          <cell r="A882">
            <v>5878</v>
          </cell>
        </row>
        <row r="883">
          <cell r="A883">
            <v>5879</v>
          </cell>
        </row>
        <row r="884">
          <cell r="A884">
            <v>5880</v>
          </cell>
        </row>
        <row r="885">
          <cell r="A885">
            <v>5881</v>
          </cell>
        </row>
        <row r="886">
          <cell r="A886">
            <v>5882</v>
          </cell>
        </row>
        <row r="887">
          <cell r="A887">
            <v>5883</v>
          </cell>
        </row>
        <row r="888">
          <cell r="A888">
            <v>5884</v>
          </cell>
        </row>
        <row r="889">
          <cell r="A889">
            <v>5885</v>
          </cell>
        </row>
        <row r="890">
          <cell r="A890">
            <v>5886</v>
          </cell>
        </row>
        <row r="891">
          <cell r="A891">
            <v>5887</v>
          </cell>
        </row>
        <row r="892">
          <cell r="A892">
            <v>5888</v>
          </cell>
        </row>
        <row r="893">
          <cell r="A893">
            <v>5889</v>
          </cell>
        </row>
        <row r="894">
          <cell r="A894">
            <v>5890</v>
          </cell>
        </row>
        <row r="895">
          <cell r="A895">
            <v>5891</v>
          </cell>
        </row>
        <row r="896">
          <cell r="A896">
            <v>5892</v>
          </cell>
        </row>
        <row r="897">
          <cell r="A897">
            <v>5893</v>
          </cell>
        </row>
        <row r="898">
          <cell r="A898">
            <v>5894</v>
          </cell>
        </row>
        <row r="899">
          <cell r="A899">
            <v>5895</v>
          </cell>
        </row>
        <row r="900">
          <cell r="A900">
            <v>5896</v>
          </cell>
        </row>
        <row r="901">
          <cell r="A901">
            <v>5897</v>
          </cell>
        </row>
        <row r="902">
          <cell r="A902">
            <v>5898</v>
          </cell>
        </row>
        <row r="903">
          <cell r="A903">
            <v>5899</v>
          </cell>
        </row>
        <row r="904">
          <cell r="A904">
            <v>5900</v>
          </cell>
        </row>
        <row r="905">
          <cell r="A905">
            <v>5901</v>
          </cell>
        </row>
        <row r="906">
          <cell r="A906">
            <v>5902</v>
          </cell>
        </row>
        <row r="907">
          <cell r="A907">
            <v>5903</v>
          </cell>
        </row>
        <row r="908">
          <cell r="A908">
            <v>5904</v>
          </cell>
        </row>
        <row r="909">
          <cell r="A909">
            <v>5905</v>
          </cell>
        </row>
        <row r="910">
          <cell r="A910">
            <v>5906</v>
          </cell>
        </row>
        <row r="911">
          <cell r="A911">
            <v>5907</v>
          </cell>
        </row>
        <row r="912">
          <cell r="A912">
            <v>5908</v>
          </cell>
        </row>
        <row r="913">
          <cell r="A913">
            <v>5909</v>
          </cell>
        </row>
        <row r="914">
          <cell r="A914">
            <v>5910</v>
          </cell>
        </row>
        <row r="915">
          <cell r="A915">
            <v>5911</v>
          </cell>
        </row>
        <row r="916">
          <cell r="A916">
            <v>5912</v>
          </cell>
        </row>
        <row r="917">
          <cell r="A917">
            <v>5913</v>
          </cell>
        </row>
        <row r="918">
          <cell r="A918">
            <v>5914</v>
          </cell>
        </row>
        <row r="919">
          <cell r="A919">
            <v>5915</v>
          </cell>
        </row>
        <row r="920">
          <cell r="A920">
            <v>5916</v>
          </cell>
        </row>
        <row r="921">
          <cell r="A921">
            <v>5917</v>
          </cell>
        </row>
        <row r="922">
          <cell r="A922">
            <v>5918</v>
          </cell>
        </row>
        <row r="923">
          <cell r="A923">
            <v>5919</v>
          </cell>
        </row>
        <row r="924">
          <cell r="A924">
            <v>5920</v>
          </cell>
        </row>
        <row r="925">
          <cell r="A925">
            <v>5921</v>
          </cell>
        </row>
        <row r="926">
          <cell r="A926">
            <v>5922</v>
          </cell>
        </row>
        <row r="927">
          <cell r="A927">
            <v>5923</v>
          </cell>
        </row>
        <row r="928">
          <cell r="A928">
            <v>5924</v>
          </cell>
        </row>
        <row r="929">
          <cell r="A929">
            <v>5925</v>
          </cell>
        </row>
        <row r="930">
          <cell r="A930">
            <v>5926</v>
          </cell>
        </row>
        <row r="931">
          <cell r="A931">
            <v>5927</v>
          </cell>
        </row>
        <row r="932">
          <cell r="A932">
            <v>5928</v>
          </cell>
        </row>
        <row r="933">
          <cell r="A933">
            <v>5929</v>
          </cell>
        </row>
        <row r="934">
          <cell r="A934">
            <v>5930</v>
          </cell>
        </row>
        <row r="935">
          <cell r="A935">
            <v>5931</v>
          </cell>
        </row>
        <row r="936">
          <cell r="A936">
            <v>5932</v>
          </cell>
        </row>
        <row r="937">
          <cell r="A937">
            <v>5933</v>
          </cell>
        </row>
        <row r="938">
          <cell r="A938">
            <v>5934</v>
          </cell>
        </row>
        <row r="939">
          <cell r="A939">
            <v>5935</v>
          </cell>
        </row>
        <row r="940">
          <cell r="A940">
            <v>5936</v>
          </cell>
        </row>
        <row r="941">
          <cell r="A941">
            <v>5937</v>
          </cell>
        </row>
        <row r="942">
          <cell r="A942">
            <v>5938</v>
          </cell>
        </row>
        <row r="943">
          <cell r="A943">
            <v>5939</v>
          </cell>
        </row>
        <row r="944">
          <cell r="A944">
            <v>5940</v>
          </cell>
        </row>
        <row r="945">
          <cell r="A945">
            <v>5941</v>
          </cell>
        </row>
        <row r="946">
          <cell r="A946">
            <v>5942</v>
          </cell>
        </row>
        <row r="947">
          <cell r="A947">
            <v>5943</v>
          </cell>
        </row>
        <row r="948">
          <cell r="A948">
            <v>5944</v>
          </cell>
        </row>
        <row r="949">
          <cell r="A949">
            <v>5945</v>
          </cell>
        </row>
        <row r="950">
          <cell r="A950">
            <v>5946</v>
          </cell>
        </row>
        <row r="951">
          <cell r="A951">
            <v>5947</v>
          </cell>
        </row>
        <row r="952">
          <cell r="A952">
            <v>5948</v>
          </cell>
        </row>
        <row r="953">
          <cell r="A953">
            <v>5949</v>
          </cell>
        </row>
        <row r="954">
          <cell r="A954">
            <v>5950</v>
          </cell>
        </row>
        <row r="955">
          <cell r="A955">
            <v>5951</v>
          </cell>
        </row>
        <row r="956">
          <cell r="A956">
            <v>5952</v>
          </cell>
        </row>
        <row r="957">
          <cell r="A957">
            <v>5953</v>
          </cell>
        </row>
        <row r="958">
          <cell r="A958">
            <v>5954</v>
          </cell>
        </row>
        <row r="959">
          <cell r="A959">
            <v>5955</v>
          </cell>
        </row>
        <row r="960">
          <cell r="A960">
            <v>5956</v>
          </cell>
        </row>
        <row r="961">
          <cell r="A961">
            <v>5957</v>
          </cell>
        </row>
        <row r="962">
          <cell r="A962">
            <v>5958</v>
          </cell>
        </row>
        <row r="963">
          <cell r="A963">
            <v>5959</v>
          </cell>
        </row>
        <row r="964">
          <cell r="A964">
            <v>5960</v>
          </cell>
        </row>
        <row r="965">
          <cell r="A965">
            <v>5961</v>
          </cell>
        </row>
        <row r="966">
          <cell r="A966">
            <v>5962</v>
          </cell>
        </row>
        <row r="967">
          <cell r="A967">
            <v>5963</v>
          </cell>
        </row>
        <row r="968">
          <cell r="A968">
            <v>5964</v>
          </cell>
        </row>
        <row r="969">
          <cell r="A969">
            <v>5965</v>
          </cell>
        </row>
        <row r="970">
          <cell r="A970">
            <v>5966</v>
          </cell>
        </row>
        <row r="971">
          <cell r="A971">
            <v>5967</v>
          </cell>
        </row>
        <row r="972">
          <cell r="A972">
            <v>5968</v>
          </cell>
        </row>
        <row r="973">
          <cell r="A973">
            <v>5969</v>
          </cell>
        </row>
        <row r="974">
          <cell r="A974">
            <v>5970</v>
          </cell>
        </row>
        <row r="975">
          <cell r="A975">
            <v>5971</v>
          </cell>
        </row>
        <row r="976">
          <cell r="A976">
            <v>5972</v>
          </cell>
        </row>
        <row r="977">
          <cell r="A977">
            <v>5973</v>
          </cell>
        </row>
        <row r="978">
          <cell r="A978">
            <v>5974</v>
          </cell>
        </row>
        <row r="979">
          <cell r="A979">
            <v>5975</v>
          </cell>
        </row>
        <row r="980">
          <cell r="A980">
            <v>5976</v>
          </cell>
        </row>
        <row r="981">
          <cell r="A981">
            <v>5977</v>
          </cell>
        </row>
        <row r="982">
          <cell r="A982">
            <v>5978</v>
          </cell>
        </row>
        <row r="983">
          <cell r="A983">
            <v>5979</v>
          </cell>
        </row>
        <row r="984">
          <cell r="A984">
            <v>5980</v>
          </cell>
        </row>
        <row r="985">
          <cell r="A985">
            <v>5981</v>
          </cell>
        </row>
        <row r="986">
          <cell r="A986">
            <v>5982</v>
          </cell>
        </row>
        <row r="987">
          <cell r="A987">
            <v>5983</v>
          </cell>
        </row>
        <row r="988">
          <cell r="A988">
            <v>5984</v>
          </cell>
        </row>
        <row r="989">
          <cell r="A989">
            <v>5985</v>
          </cell>
        </row>
        <row r="990">
          <cell r="A990">
            <v>5986</v>
          </cell>
        </row>
        <row r="991">
          <cell r="A991">
            <v>5987</v>
          </cell>
        </row>
        <row r="992">
          <cell r="A992">
            <v>5988</v>
          </cell>
        </row>
        <row r="993">
          <cell r="A993">
            <v>5989</v>
          </cell>
        </row>
        <row r="994">
          <cell r="A994">
            <v>5990</v>
          </cell>
        </row>
        <row r="995">
          <cell r="A995">
            <v>5991</v>
          </cell>
        </row>
        <row r="996">
          <cell r="A996">
            <v>5992</v>
          </cell>
        </row>
        <row r="997">
          <cell r="A997">
            <v>5993</v>
          </cell>
        </row>
        <row r="998">
          <cell r="A998">
            <v>5994</v>
          </cell>
        </row>
        <row r="999">
          <cell r="A999">
            <v>5995</v>
          </cell>
        </row>
        <row r="1000">
          <cell r="A1000">
            <v>5996</v>
          </cell>
        </row>
        <row r="1001">
          <cell r="A1001">
            <v>5997</v>
          </cell>
        </row>
        <row r="1002">
          <cell r="A1002">
            <v>5998</v>
          </cell>
        </row>
        <row r="1003">
          <cell r="A1003">
            <v>5999</v>
          </cell>
        </row>
        <row r="1004">
          <cell r="A1004">
            <v>6000</v>
          </cell>
        </row>
        <row r="1005">
          <cell r="A1005">
            <v>6001</v>
          </cell>
        </row>
        <row r="1006">
          <cell r="A1006">
            <v>6002</v>
          </cell>
        </row>
        <row r="1007">
          <cell r="A1007">
            <v>6003</v>
          </cell>
        </row>
        <row r="1008">
          <cell r="A1008">
            <v>6004</v>
          </cell>
        </row>
        <row r="1009">
          <cell r="A1009">
            <v>6005</v>
          </cell>
        </row>
        <row r="1010">
          <cell r="A1010">
            <v>6006</v>
          </cell>
        </row>
        <row r="1011">
          <cell r="A1011">
            <v>6007</v>
          </cell>
        </row>
        <row r="1012">
          <cell r="A1012">
            <v>6008</v>
          </cell>
        </row>
        <row r="1013">
          <cell r="A1013">
            <v>6009</v>
          </cell>
        </row>
        <row r="1014">
          <cell r="A1014" t="str">
            <v>6010A</v>
          </cell>
        </row>
        <row r="1015">
          <cell r="A1015">
            <v>6010</v>
          </cell>
        </row>
        <row r="1016">
          <cell r="A1016">
            <v>6011</v>
          </cell>
        </row>
        <row r="1017">
          <cell r="A1017">
            <v>6012</v>
          </cell>
        </row>
        <row r="1018">
          <cell r="A1018">
            <v>6013</v>
          </cell>
        </row>
        <row r="1019">
          <cell r="A1019">
            <v>6014</v>
          </cell>
        </row>
        <row r="1020">
          <cell r="A1020">
            <v>6015</v>
          </cell>
        </row>
        <row r="1021">
          <cell r="A1021">
            <v>6016</v>
          </cell>
        </row>
        <row r="1022">
          <cell r="A1022">
            <v>6017</v>
          </cell>
        </row>
        <row r="1023">
          <cell r="A1023">
            <v>6018</v>
          </cell>
        </row>
        <row r="1024">
          <cell r="A1024">
            <v>6019</v>
          </cell>
        </row>
        <row r="1025">
          <cell r="A1025">
            <v>6020</v>
          </cell>
        </row>
        <row r="1026">
          <cell r="A1026">
            <v>6021</v>
          </cell>
        </row>
        <row r="1027">
          <cell r="A1027">
            <v>6022</v>
          </cell>
        </row>
        <row r="1028">
          <cell r="A1028">
            <v>6023</v>
          </cell>
        </row>
        <row r="1029">
          <cell r="A1029">
            <v>6024</v>
          </cell>
        </row>
        <row r="1030">
          <cell r="A1030">
            <v>6025</v>
          </cell>
        </row>
        <row r="1031">
          <cell r="A1031">
            <v>6026</v>
          </cell>
        </row>
        <row r="1032">
          <cell r="A1032">
            <v>6027</v>
          </cell>
        </row>
        <row r="1033">
          <cell r="A1033">
            <v>6028</v>
          </cell>
        </row>
        <row r="1034">
          <cell r="A1034">
            <v>6029</v>
          </cell>
        </row>
        <row r="1035">
          <cell r="A1035">
            <v>6030</v>
          </cell>
        </row>
        <row r="1036">
          <cell r="A1036">
            <v>6031</v>
          </cell>
        </row>
        <row r="1037">
          <cell r="A1037">
            <v>6032</v>
          </cell>
        </row>
        <row r="1038">
          <cell r="A1038">
            <v>6033</v>
          </cell>
        </row>
        <row r="1039">
          <cell r="A1039">
            <v>6034</v>
          </cell>
        </row>
        <row r="1040">
          <cell r="A1040">
            <v>6035</v>
          </cell>
        </row>
        <row r="1041">
          <cell r="A1041">
            <v>6036</v>
          </cell>
        </row>
        <row r="1042">
          <cell r="A1042">
            <v>6037</v>
          </cell>
        </row>
        <row r="1043">
          <cell r="A1043">
            <v>6038</v>
          </cell>
        </row>
        <row r="1044">
          <cell r="A1044">
            <v>6039</v>
          </cell>
        </row>
        <row r="1045">
          <cell r="A1045">
            <v>6040</v>
          </cell>
        </row>
        <row r="1046">
          <cell r="A1046">
            <v>6041</v>
          </cell>
        </row>
        <row r="1047">
          <cell r="A1047">
            <v>6042</v>
          </cell>
        </row>
        <row r="1048">
          <cell r="A1048">
            <v>6043</v>
          </cell>
        </row>
        <row r="1049">
          <cell r="A1049">
            <v>6044</v>
          </cell>
        </row>
        <row r="1050">
          <cell r="A1050">
            <v>6045</v>
          </cell>
        </row>
        <row r="1051">
          <cell r="A1051">
            <v>6046</v>
          </cell>
        </row>
        <row r="1052">
          <cell r="A1052">
            <v>6047</v>
          </cell>
        </row>
        <row r="1053">
          <cell r="A1053">
            <v>6048</v>
          </cell>
        </row>
        <row r="1054">
          <cell r="A1054">
            <v>6049</v>
          </cell>
        </row>
        <row r="1055">
          <cell r="A1055">
            <v>6050</v>
          </cell>
        </row>
        <row r="1056">
          <cell r="A1056">
            <v>6051</v>
          </cell>
        </row>
        <row r="1057">
          <cell r="A1057">
            <v>6052</v>
          </cell>
        </row>
        <row r="1058">
          <cell r="A1058">
            <v>6053</v>
          </cell>
        </row>
        <row r="1059">
          <cell r="A1059">
            <v>6054</v>
          </cell>
        </row>
        <row r="1060">
          <cell r="A1060">
            <v>6055</v>
          </cell>
        </row>
        <row r="1061">
          <cell r="A1061">
            <v>6056</v>
          </cell>
        </row>
        <row r="1062">
          <cell r="A1062">
            <v>6057</v>
          </cell>
        </row>
        <row r="1063">
          <cell r="A1063">
            <v>6058</v>
          </cell>
        </row>
        <row r="1064">
          <cell r="A1064">
            <v>6059</v>
          </cell>
        </row>
        <row r="1065">
          <cell r="A1065">
            <v>6060</v>
          </cell>
        </row>
        <row r="1066">
          <cell r="A1066">
            <v>6061</v>
          </cell>
        </row>
        <row r="1067">
          <cell r="A1067">
            <v>6062</v>
          </cell>
        </row>
        <row r="1068">
          <cell r="A1068">
            <v>6063</v>
          </cell>
        </row>
        <row r="1069">
          <cell r="A1069">
            <v>6064</v>
          </cell>
        </row>
        <row r="1070">
          <cell r="A1070">
            <v>6065</v>
          </cell>
        </row>
        <row r="1071">
          <cell r="A1071">
            <v>6066</v>
          </cell>
        </row>
        <row r="1072">
          <cell r="A1072">
            <v>6067</v>
          </cell>
        </row>
        <row r="1073">
          <cell r="A1073">
            <v>6068</v>
          </cell>
        </row>
        <row r="1074">
          <cell r="A1074">
            <v>6069</v>
          </cell>
        </row>
        <row r="1075">
          <cell r="A1075">
            <v>6070</v>
          </cell>
        </row>
        <row r="1076">
          <cell r="A1076">
            <v>6071</v>
          </cell>
        </row>
        <row r="1077">
          <cell r="A1077">
            <v>6072</v>
          </cell>
        </row>
        <row r="1078">
          <cell r="A1078">
            <v>6073</v>
          </cell>
        </row>
        <row r="1079">
          <cell r="A1079">
            <v>6074</v>
          </cell>
        </row>
        <row r="1080">
          <cell r="A1080">
            <v>6075</v>
          </cell>
        </row>
        <row r="1081">
          <cell r="A1081">
            <v>6076</v>
          </cell>
        </row>
        <row r="1082">
          <cell r="A1082">
            <v>6077</v>
          </cell>
        </row>
        <row r="1083">
          <cell r="A1083">
            <v>6078</v>
          </cell>
        </row>
        <row r="1084">
          <cell r="A1084">
            <v>6079</v>
          </cell>
        </row>
        <row r="1085">
          <cell r="A1085">
            <v>6080</v>
          </cell>
        </row>
        <row r="1086">
          <cell r="A1086">
            <v>6081</v>
          </cell>
        </row>
        <row r="1087">
          <cell r="A1087">
            <v>6082</v>
          </cell>
        </row>
        <row r="1088">
          <cell r="A1088">
            <v>6083</v>
          </cell>
        </row>
        <row r="1089">
          <cell r="A1089">
            <v>6084</v>
          </cell>
        </row>
        <row r="1090">
          <cell r="A1090">
            <v>6085</v>
          </cell>
        </row>
        <row r="1091">
          <cell r="A1091">
            <v>6086</v>
          </cell>
        </row>
        <row r="1092">
          <cell r="A1092">
            <v>6087</v>
          </cell>
        </row>
        <row r="1093">
          <cell r="A1093">
            <v>6088</v>
          </cell>
        </row>
        <row r="1094">
          <cell r="A1094">
            <v>6089</v>
          </cell>
        </row>
        <row r="1095">
          <cell r="A1095">
            <v>6090</v>
          </cell>
        </row>
        <row r="1096">
          <cell r="A1096">
            <v>6091</v>
          </cell>
        </row>
        <row r="1097">
          <cell r="A1097">
            <v>6092</v>
          </cell>
        </row>
        <row r="1098">
          <cell r="A1098">
            <v>6093</v>
          </cell>
        </row>
        <row r="1099">
          <cell r="A1099">
            <v>6094</v>
          </cell>
        </row>
        <row r="1100">
          <cell r="A1100">
            <v>6095</v>
          </cell>
        </row>
        <row r="1101">
          <cell r="A1101">
            <v>6096</v>
          </cell>
        </row>
        <row r="1102">
          <cell r="A1102">
            <v>6097</v>
          </cell>
        </row>
        <row r="1103">
          <cell r="A1103">
            <v>6098</v>
          </cell>
        </row>
        <row r="1104">
          <cell r="A1104">
            <v>6099</v>
          </cell>
        </row>
        <row r="1105">
          <cell r="A1105">
            <v>6100</v>
          </cell>
        </row>
        <row r="1106">
          <cell r="A1106">
            <v>6101</v>
          </cell>
        </row>
        <row r="1107">
          <cell r="A1107">
            <v>6102</v>
          </cell>
        </row>
        <row r="1108">
          <cell r="A1108">
            <v>6103</v>
          </cell>
        </row>
        <row r="1109">
          <cell r="A1109">
            <v>6104</v>
          </cell>
        </row>
        <row r="1110">
          <cell r="A1110">
            <v>6105</v>
          </cell>
        </row>
        <row r="1111">
          <cell r="A1111">
            <v>6106</v>
          </cell>
        </row>
        <row r="1112">
          <cell r="A1112">
            <v>6107</v>
          </cell>
        </row>
        <row r="1113">
          <cell r="A1113">
            <v>6108</v>
          </cell>
        </row>
        <row r="1114">
          <cell r="A1114">
            <v>6109</v>
          </cell>
        </row>
        <row r="1115">
          <cell r="A1115">
            <v>6110</v>
          </cell>
        </row>
        <row r="1116">
          <cell r="A1116">
            <v>6111</v>
          </cell>
        </row>
        <row r="1117">
          <cell r="A1117">
            <v>6112</v>
          </cell>
        </row>
        <row r="1118">
          <cell r="A1118">
            <v>6113</v>
          </cell>
        </row>
        <row r="1119">
          <cell r="A1119">
            <v>6114</v>
          </cell>
        </row>
        <row r="1120">
          <cell r="A1120">
            <v>6115</v>
          </cell>
        </row>
        <row r="1121">
          <cell r="A1121">
            <v>6116</v>
          </cell>
        </row>
        <row r="1122">
          <cell r="A1122">
            <v>6117</v>
          </cell>
        </row>
        <row r="1123">
          <cell r="A1123">
            <v>6118</v>
          </cell>
        </row>
        <row r="1124">
          <cell r="A1124">
            <v>6119</v>
          </cell>
        </row>
        <row r="1125">
          <cell r="A1125">
            <v>6120</v>
          </cell>
        </row>
        <row r="1126">
          <cell r="A1126">
            <v>6121</v>
          </cell>
        </row>
        <row r="1127">
          <cell r="A1127">
            <v>6122</v>
          </cell>
        </row>
        <row r="1128">
          <cell r="A1128">
            <v>6123</v>
          </cell>
        </row>
        <row r="1129">
          <cell r="A1129">
            <v>6124</v>
          </cell>
        </row>
        <row r="1130">
          <cell r="A1130">
            <v>6125</v>
          </cell>
        </row>
        <row r="1131">
          <cell r="A1131">
            <v>6126</v>
          </cell>
        </row>
        <row r="1132">
          <cell r="A1132">
            <v>6127</v>
          </cell>
        </row>
        <row r="1133">
          <cell r="A1133">
            <v>6128</v>
          </cell>
        </row>
        <row r="1134">
          <cell r="A1134">
            <v>6129</v>
          </cell>
        </row>
        <row r="1135">
          <cell r="A1135">
            <v>6130</v>
          </cell>
        </row>
        <row r="1136">
          <cell r="A1136">
            <v>6131</v>
          </cell>
        </row>
        <row r="1137">
          <cell r="A1137">
            <v>6132</v>
          </cell>
        </row>
        <row r="1138">
          <cell r="A1138">
            <v>6133</v>
          </cell>
        </row>
        <row r="1139">
          <cell r="A1139">
            <v>6134</v>
          </cell>
        </row>
        <row r="1140">
          <cell r="A1140">
            <v>6135</v>
          </cell>
        </row>
        <row r="1141">
          <cell r="A1141">
            <v>6136</v>
          </cell>
        </row>
        <row r="1142">
          <cell r="A1142">
            <v>6137</v>
          </cell>
        </row>
        <row r="1143">
          <cell r="A1143">
            <v>6138</v>
          </cell>
        </row>
        <row r="1144">
          <cell r="A1144">
            <v>6139</v>
          </cell>
        </row>
        <row r="1145">
          <cell r="A1145">
            <v>6140</v>
          </cell>
        </row>
        <row r="1146">
          <cell r="A1146">
            <v>6141</v>
          </cell>
        </row>
        <row r="1147">
          <cell r="A1147">
            <v>6142</v>
          </cell>
        </row>
        <row r="1148">
          <cell r="A1148">
            <v>6143</v>
          </cell>
        </row>
        <row r="1149">
          <cell r="A1149">
            <v>6144</v>
          </cell>
        </row>
        <row r="1150">
          <cell r="A1150">
            <v>6145</v>
          </cell>
        </row>
        <row r="1151">
          <cell r="A1151">
            <v>6146</v>
          </cell>
        </row>
        <row r="1152">
          <cell r="A1152">
            <v>6147</v>
          </cell>
        </row>
        <row r="1153">
          <cell r="A1153">
            <v>6148</v>
          </cell>
        </row>
        <row r="1154">
          <cell r="A1154">
            <v>6149</v>
          </cell>
        </row>
        <row r="1155">
          <cell r="A1155">
            <v>6150</v>
          </cell>
        </row>
        <row r="1156">
          <cell r="A1156">
            <v>6151</v>
          </cell>
        </row>
        <row r="1157">
          <cell r="A1157">
            <v>6152</v>
          </cell>
        </row>
        <row r="1158">
          <cell r="A1158">
            <v>6153</v>
          </cell>
        </row>
        <row r="1159">
          <cell r="A1159">
            <v>6154</v>
          </cell>
        </row>
        <row r="1160">
          <cell r="A1160">
            <v>6155</v>
          </cell>
        </row>
        <row r="1161">
          <cell r="A1161">
            <v>6156</v>
          </cell>
        </row>
        <row r="1162">
          <cell r="A1162">
            <v>6157</v>
          </cell>
        </row>
        <row r="1163">
          <cell r="A1163">
            <v>6158</v>
          </cell>
        </row>
        <row r="1164">
          <cell r="A1164">
            <v>6159</v>
          </cell>
        </row>
        <row r="1165">
          <cell r="A1165">
            <v>6160</v>
          </cell>
        </row>
        <row r="1166">
          <cell r="A1166">
            <v>6161</v>
          </cell>
        </row>
        <row r="1167">
          <cell r="A1167">
            <v>6162</v>
          </cell>
        </row>
        <row r="1168">
          <cell r="A1168">
            <v>6163</v>
          </cell>
        </row>
        <row r="1169">
          <cell r="A1169">
            <v>6164</v>
          </cell>
        </row>
        <row r="1170">
          <cell r="A1170">
            <v>6165</v>
          </cell>
        </row>
        <row r="1171">
          <cell r="A1171">
            <v>6166</v>
          </cell>
        </row>
        <row r="1172">
          <cell r="A1172">
            <v>6167</v>
          </cell>
        </row>
        <row r="1173">
          <cell r="A1173">
            <v>6168</v>
          </cell>
        </row>
        <row r="1174">
          <cell r="A1174">
            <v>6169</v>
          </cell>
        </row>
        <row r="1175">
          <cell r="A1175">
            <v>6170</v>
          </cell>
        </row>
        <row r="1176">
          <cell r="A1176">
            <v>6171</v>
          </cell>
        </row>
        <row r="1177">
          <cell r="A1177">
            <v>6172</v>
          </cell>
        </row>
        <row r="1178">
          <cell r="A1178">
            <v>6173</v>
          </cell>
        </row>
        <row r="1179">
          <cell r="A1179">
            <v>6174</v>
          </cell>
        </row>
        <row r="1180">
          <cell r="A1180">
            <v>6175</v>
          </cell>
        </row>
        <row r="1181">
          <cell r="A1181">
            <v>6176</v>
          </cell>
        </row>
        <row r="1182">
          <cell r="A1182">
            <v>6177</v>
          </cell>
        </row>
        <row r="1183">
          <cell r="A1183">
            <v>6178</v>
          </cell>
        </row>
        <row r="1184">
          <cell r="A1184">
            <v>6179</v>
          </cell>
        </row>
        <row r="1185">
          <cell r="A1185">
            <v>6180</v>
          </cell>
        </row>
        <row r="1186">
          <cell r="A1186">
            <v>6181</v>
          </cell>
        </row>
        <row r="1187">
          <cell r="A1187">
            <v>6182</v>
          </cell>
        </row>
        <row r="1188">
          <cell r="A1188">
            <v>6183</v>
          </cell>
        </row>
        <row r="1189">
          <cell r="A1189">
            <v>6184</v>
          </cell>
        </row>
        <row r="1190">
          <cell r="A1190">
            <v>6185</v>
          </cell>
        </row>
        <row r="1191">
          <cell r="A1191">
            <v>6186</v>
          </cell>
        </row>
        <row r="1192">
          <cell r="A1192">
            <v>6187</v>
          </cell>
        </row>
        <row r="1193">
          <cell r="A1193">
            <v>6188</v>
          </cell>
        </row>
        <row r="1194">
          <cell r="A1194">
            <v>6189</v>
          </cell>
        </row>
        <row r="1195">
          <cell r="A1195">
            <v>6190</v>
          </cell>
        </row>
        <row r="1196">
          <cell r="A1196">
            <v>6191</v>
          </cell>
        </row>
        <row r="1197">
          <cell r="A1197">
            <v>6192</v>
          </cell>
        </row>
        <row r="1198">
          <cell r="A1198">
            <v>6193</v>
          </cell>
        </row>
        <row r="1199">
          <cell r="A1199">
            <v>6194</v>
          </cell>
        </row>
        <row r="1200">
          <cell r="A1200">
            <v>6195</v>
          </cell>
        </row>
        <row r="1201">
          <cell r="A1201">
            <v>6196</v>
          </cell>
        </row>
        <row r="1202">
          <cell r="A1202">
            <v>6197</v>
          </cell>
        </row>
        <row r="1203">
          <cell r="A1203">
            <v>6198</v>
          </cell>
        </row>
        <row r="1204">
          <cell r="A1204">
            <v>6199</v>
          </cell>
        </row>
        <row r="1205">
          <cell r="A1205">
            <v>6200</v>
          </cell>
        </row>
        <row r="1206">
          <cell r="A1206">
            <v>6201</v>
          </cell>
        </row>
        <row r="1207">
          <cell r="A1207">
            <v>6202</v>
          </cell>
        </row>
        <row r="1208">
          <cell r="A1208">
            <v>6203</v>
          </cell>
        </row>
        <row r="1209">
          <cell r="A1209">
            <v>6204</v>
          </cell>
        </row>
        <row r="1210">
          <cell r="A1210">
            <v>6205</v>
          </cell>
        </row>
        <row r="1211">
          <cell r="A1211">
            <v>6206</v>
          </cell>
        </row>
        <row r="1212">
          <cell r="A1212">
            <v>6207</v>
          </cell>
        </row>
        <row r="1213">
          <cell r="A1213">
            <v>6208</v>
          </cell>
        </row>
        <row r="1214">
          <cell r="A1214">
            <v>6209</v>
          </cell>
        </row>
        <row r="1215">
          <cell r="A1215">
            <v>6210</v>
          </cell>
        </row>
        <row r="1216">
          <cell r="A1216">
            <v>6211</v>
          </cell>
        </row>
        <row r="1217">
          <cell r="A1217">
            <v>6212</v>
          </cell>
        </row>
        <row r="1218">
          <cell r="A1218">
            <v>6213</v>
          </cell>
        </row>
        <row r="1219">
          <cell r="A1219">
            <v>6214</v>
          </cell>
        </row>
        <row r="1220">
          <cell r="A1220">
            <v>6215</v>
          </cell>
        </row>
        <row r="1221">
          <cell r="A1221">
            <v>6216</v>
          </cell>
        </row>
        <row r="1222">
          <cell r="A1222">
            <v>6217</v>
          </cell>
        </row>
        <row r="1223">
          <cell r="A1223">
            <v>6218</v>
          </cell>
        </row>
        <row r="1224">
          <cell r="A1224">
            <v>6219</v>
          </cell>
        </row>
        <row r="1225">
          <cell r="A1225">
            <v>6220</v>
          </cell>
        </row>
        <row r="1226">
          <cell r="A1226">
            <v>6221</v>
          </cell>
        </row>
        <row r="1227">
          <cell r="A1227">
            <v>6222</v>
          </cell>
        </row>
        <row r="1228">
          <cell r="A1228">
            <v>6223</v>
          </cell>
        </row>
        <row r="1229">
          <cell r="A1229">
            <v>6224</v>
          </cell>
        </row>
        <row r="1230">
          <cell r="A1230">
            <v>6225</v>
          </cell>
        </row>
        <row r="1231">
          <cell r="A1231">
            <v>6226</v>
          </cell>
        </row>
        <row r="1232">
          <cell r="A1232">
            <v>6227</v>
          </cell>
        </row>
        <row r="1233">
          <cell r="A1233">
            <v>6228</v>
          </cell>
        </row>
        <row r="1234">
          <cell r="A1234">
            <v>6229</v>
          </cell>
        </row>
        <row r="1235">
          <cell r="A1235">
            <v>6230</v>
          </cell>
        </row>
        <row r="1236">
          <cell r="A1236">
            <v>6231</v>
          </cell>
        </row>
        <row r="1237">
          <cell r="A1237">
            <v>6232</v>
          </cell>
        </row>
        <row r="1238">
          <cell r="A1238">
            <v>6233</v>
          </cell>
        </row>
        <row r="1239">
          <cell r="A1239">
            <v>6234</v>
          </cell>
        </row>
        <row r="1240">
          <cell r="A1240">
            <v>6235</v>
          </cell>
        </row>
        <row r="1241">
          <cell r="A1241">
            <v>6236</v>
          </cell>
        </row>
        <row r="1242">
          <cell r="A1242">
            <v>6237</v>
          </cell>
        </row>
        <row r="1243">
          <cell r="A1243">
            <v>6238</v>
          </cell>
        </row>
        <row r="1244">
          <cell r="A1244">
            <v>6239</v>
          </cell>
        </row>
        <row r="1245">
          <cell r="A1245">
            <v>6240</v>
          </cell>
        </row>
        <row r="1246">
          <cell r="A1246">
            <v>6241</v>
          </cell>
        </row>
        <row r="1247">
          <cell r="A1247">
            <v>6242</v>
          </cell>
        </row>
        <row r="1248">
          <cell r="A1248">
            <v>6243</v>
          </cell>
        </row>
        <row r="1249">
          <cell r="A1249">
            <v>6244</v>
          </cell>
        </row>
        <row r="1250">
          <cell r="A1250">
            <v>6245</v>
          </cell>
        </row>
        <row r="1251">
          <cell r="A1251">
            <v>6246</v>
          </cell>
        </row>
        <row r="1252">
          <cell r="A1252">
            <v>6247</v>
          </cell>
        </row>
        <row r="1253">
          <cell r="A1253">
            <v>6248</v>
          </cell>
        </row>
        <row r="1254">
          <cell r="A1254">
            <v>6249</v>
          </cell>
        </row>
        <row r="1255">
          <cell r="A1255">
            <v>6250</v>
          </cell>
        </row>
        <row r="1256">
          <cell r="A1256">
            <v>6251</v>
          </cell>
        </row>
        <row r="1257">
          <cell r="A1257">
            <v>6252</v>
          </cell>
        </row>
        <row r="1258">
          <cell r="A1258">
            <v>6253</v>
          </cell>
        </row>
        <row r="1259">
          <cell r="A1259">
            <v>6254</v>
          </cell>
        </row>
        <row r="1260">
          <cell r="A1260">
            <v>6255</v>
          </cell>
        </row>
        <row r="1261">
          <cell r="A1261">
            <v>6256</v>
          </cell>
        </row>
        <row r="1262">
          <cell r="A1262">
            <v>6257</v>
          </cell>
        </row>
        <row r="1263">
          <cell r="A1263">
            <v>6258</v>
          </cell>
        </row>
        <row r="1264">
          <cell r="A1264">
            <v>6259</v>
          </cell>
        </row>
        <row r="1265">
          <cell r="A1265">
            <v>6260</v>
          </cell>
        </row>
        <row r="1266">
          <cell r="A1266">
            <v>6261</v>
          </cell>
        </row>
        <row r="1267">
          <cell r="A1267">
            <v>6262</v>
          </cell>
        </row>
        <row r="1268">
          <cell r="A1268">
            <v>6263</v>
          </cell>
        </row>
        <row r="1269">
          <cell r="A1269">
            <v>6264</v>
          </cell>
        </row>
        <row r="1270">
          <cell r="A1270">
            <v>6265</v>
          </cell>
        </row>
        <row r="1271">
          <cell r="A1271">
            <v>6266</v>
          </cell>
        </row>
        <row r="1272">
          <cell r="A1272">
            <v>6267</v>
          </cell>
        </row>
        <row r="1273">
          <cell r="A1273">
            <v>6268</v>
          </cell>
        </row>
        <row r="1274">
          <cell r="A1274">
            <v>6269</v>
          </cell>
        </row>
        <row r="1275">
          <cell r="A1275">
            <v>6270</v>
          </cell>
        </row>
        <row r="1276">
          <cell r="A1276">
            <v>6271</v>
          </cell>
        </row>
        <row r="1277">
          <cell r="A1277">
            <v>6272</v>
          </cell>
        </row>
        <row r="1278">
          <cell r="A1278">
            <v>6273</v>
          </cell>
        </row>
        <row r="1279">
          <cell r="A1279">
            <v>6274</v>
          </cell>
        </row>
        <row r="1280">
          <cell r="A1280">
            <v>6275</v>
          </cell>
        </row>
        <row r="1281">
          <cell r="A1281">
            <v>6276</v>
          </cell>
        </row>
        <row r="1282">
          <cell r="A1282">
            <v>6277</v>
          </cell>
        </row>
        <row r="1283">
          <cell r="A1283">
            <v>6278</v>
          </cell>
        </row>
        <row r="1284">
          <cell r="A1284">
            <v>6279</v>
          </cell>
        </row>
        <row r="1285">
          <cell r="A1285">
            <v>6280</v>
          </cell>
        </row>
        <row r="1286">
          <cell r="A1286">
            <v>6281</v>
          </cell>
        </row>
        <row r="1287">
          <cell r="A1287">
            <v>6282</v>
          </cell>
        </row>
        <row r="1288">
          <cell r="A1288">
            <v>6283</v>
          </cell>
        </row>
        <row r="1289">
          <cell r="A1289">
            <v>6284</v>
          </cell>
        </row>
        <row r="1290">
          <cell r="A1290">
            <v>6285</v>
          </cell>
        </row>
        <row r="1291">
          <cell r="A1291">
            <v>6286</v>
          </cell>
        </row>
        <row r="1292">
          <cell r="A1292">
            <v>6287</v>
          </cell>
        </row>
        <row r="1293">
          <cell r="A1293">
            <v>6288</v>
          </cell>
        </row>
        <row r="1294">
          <cell r="A1294">
            <v>6289</v>
          </cell>
        </row>
        <row r="1295">
          <cell r="A1295">
            <v>6290</v>
          </cell>
        </row>
        <row r="1296">
          <cell r="A1296">
            <v>6291</v>
          </cell>
        </row>
        <row r="1297">
          <cell r="A1297">
            <v>6292</v>
          </cell>
        </row>
        <row r="1298">
          <cell r="A1298">
            <v>6293</v>
          </cell>
        </row>
        <row r="1299">
          <cell r="A1299">
            <v>6294</v>
          </cell>
        </row>
        <row r="1300">
          <cell r="A1300">
            <v>6295</v>
          </cell>
        </row>
        <row r="1301">
          <cell r="A1301">
            <v>6298</v>
          </cell>
        </row>
        <row r="1302">
          <cell r="A1302">
            <v>6301</v>
          </cell>
        </row>
        <row r="1303">
          <cell r="A1303">
            <v>6302</v>
          </cell>
        </row>
        <row r="1304">
          <cell r="A1304">
            <v>6303</v>
          </cell>
        </row>
        <row r="1305">
          <cell r="A1305">
            <v>6304</v>
          </cell>
        </row>
        <row r="1306">
          <cell r="A1306">
            <v>6305</v>
          </cell>
        </row>
        <row r="1307">
          <cell r="A1307">
            <v>6306</v>
          </cell>
        </row>
        <row r="1308">
          <cell r="A1308">
            <v>6307</v>
          </cell>
        </row>
        <row r="1309">
          <cell r="A1309">
            <v>6308</v>
          </cell>
        </row>
        <row r="1310">
          <cell r="A1310">
            <v>6309</v>
          </cell>
        </row>
        <row r="1311">
          <cell r="A1311">
            <v>6310</v>
          </cell>
        </row>
        <row r="1312">
          <cell r="A1312">
            <v>6311</v>
          </cell>
        </row>
        <row r="1313">
          <cell r="A1313">
            <v>6312</v>
          </cell>
        </row>
        <row r="1314">
          <cell r="A1314">
            <v>6313</v>
          </cell>
        </row>
        <row r="1315">
          <cell r="A1315">
            <v>6314</v>
          </cell>
        </row>
        <row r="1316">
          <cell r="A1316">
            <v>6315</v>
          </cell>
        </row>
        <row r="1317">
          <cell r="A1317">
            <v>6316</v>
          </cell>
        </row>
        <row r="1318">
          <cell r="A1318">
            <v>6317</v>
          </cell>
        </row>
        <row r="1319">
          <cell r="A1319">
            <v>6318</v>
          </cell>
        </row>
        <row r="1320">
          <cell r="A1320">
            <v>6319</v>
          </cell>
        </row>
        <row r="1321">
          <cell r="A1321">
            <v>6320</v>
          </cell>
        </row>
        <row r="1322">
          <cell r="A1322">
            <v>6321</v>
          </cell>
        </row>
        <row r="1323">
          <cell r="A1323">
            <v>6322</v>
          </cell>
        </row>
        <row r="1324">
          <cell r="A1324">
            <v>6323</v>
          </cell>
        </row>
        <row r="1325">
          <cell r="A1325">
            <v>6324</v>
          </cell>
        </row>
        <row r="1326">
          <cell r="A1326">
            <v>6325</v>
          </cell>
        </row>
        <row r="1327">
          <cell r="A1327">
            <v>6326</v>
          </cell>
        </row>
        <row r="1328">
          <cell r="A1328">
            <v>6327</v>
          </cell>
        </row>
        <row r="1329">
          <cell r="A1329">
            <v>6328</v>
          </cell>
        </row>
        <row r="1330">
          <cell r="A1330">
            <v>6329</v>
          </cell>
        </row>
        <row r="1331">
          <cell r="A1331">
            <v>6330</v>
          </cell>
        </row>
        <row r="1332">
          <cell r="A1332">
            <v>6331</v>
          </cell>
        </row>
        <row r="1333">
          <cell r="A1333">
            <v>6332</v>
          </cell>
        </row>
        <row r="1334">
          <cell r="A1334">
            <v>6333</v>
          </cell>
        </row>
        <row r="1335">
          <cell r="A1335">
            <v>6334</v>
          </cell>
        </row>
        <row r="1336">
          <cell r="A1336">
            <v>6335</v>
          </cell>
        </row>
        <row r="1337">
          <cell r="A1337">
            <v>6336</v>
          </cell>
        </row>
        <row r="1338">
          <cell r="A1338">
            <v>6337</v>
          </cell>
        </row>
        <row r="1339">
          <cell r="A1339">
            <v>6338</v>
          </cell>
        </row>
        <row r="1340">
          <cell r="A1340">
            <v>6339</v>
          </cell>
        </row>
        <row r="1341">
          <cell r="A1341">
            <v>6340</v>
          </cell>
        </row>
        <row r="1342">
          <cell r="A1342">
            <v>6341</v>
          </cell>
        </row>
        <row r="1343">
          <cell r="A1343">
            <v>6342</v>
          </cell>
        </row>
        <row r="1344">
          <cell r="A1344">
            <v>6343</v>
          </cell>
        </row>
        <row r="1345">
          <cell r="A1345">
            <v>6344</v>
          </cell>
        </row>
        <row r="1346">
          <cell r="A1346">
            <v>6345</v>
          </cell>
        </row>
        <row r="1347">
          <cell r="A1347">
            <v>6346</v>
          </cell>
        </row>
        <row r="1348">
          <cell r="A1348">
            <v>6347</v>
          </cell>
        </row>
        <row r="1349">
          <cell r="A1349">
            <v>6348</v>
          </cell>
        </row>
        <row r="1350">
          <cell r="A1350">
            <v>6349</v>
          </cell>
        </row>
        <row r="1351">
          <cell r="A1351">
            <v>6350</v>
          </cell>
        </row>
        <row r="1352">
          <cell r="A1352">
            <v>6351</v>
          </cell>
        </row>
        <row r="1353">
          <cell r="A1353">
            <v>6352</v>
          </cell>
        </row>
        <row r="1354">
          <cell r="A1354">
            <v>6353</v>
          </cell>
        </row>
        <row r="1355">
          <cell r="A1355">
            <v>6354</v>
          </cell>
        </row>
        <row r="1356">
          <cell r="A1356">
            <v>6355</v>
          </cell>
        </row>
        <row r="1357">
          <cell r="A1357">
            <v>6356</v>
          </cell>
        </row>
        <row r="1358">
          <cell r="A1358">
            <v>6357</v>
          </cell>
        </row>
        <row r="1359">
          <cell r="A1359">
            <v>6358</v>
          </cell>
        </row>
        <row r="1360">
          <cell r="A1360">
            <v>6359</v>
          </cell>
        </row>
        <row r="1361">
          <cell r="A1361">
            <v>6360</v>
          </cell>
        </row>
        <row r="1362">
          <cell r="A1362">
            <v>6361</v>
          </cell>
        </row>
        <row r="1363">
          <cell r="A1363">
            <v>6362</v>
          </cell>
        </row>
        <row r="1364">
          <cell r="A1364">
            <v>6363</v>
          </cell>
        </row>
        <row r="1365">
          <cell r="A1365">
            <v>6364</v>
          </cell>
        </row>
        <row r="1366">
          <cell r="A1366">
            <v>6365</v>
          </cell>
        </row>
        <row r="1367">
          <cell r="A1367">
            <v>6366</v>
          </cell>
        </row>
        <row r="1368">
          <cell r="A1368">
            <v>6367</v>
          </cell>
        </row>
        <row r="1369">
          <cell r="A1369">
            <v>6368</v>
          </cell>
        </row>
        <row r="1370">
          <cell r="A1370">
            <v>6369</v>
          </cell>
        </row>
        <row r="1371">
          <cell r="A1371">
            <v>6370</v>
          </cell>
        </row>
        <row r="1372">
          <cell r="A1372">
            <v>6371</v>
          </cell>
        </row>
        <row r="1373">
          <cell r="A1373">
            <v>6372</v>
          </cell>
        </row>
        <row r="1374">
          <cell r="A1374">
            <v>6373</v>
          </cell>
        </row>
        <row r="1375">
          <cell r="A1375">
            <v>6374</v>
          </cell>
        </row>
        <row r="1376">
          <cell r="A1376">
            <v>6375</v>
          </cell>
        </row>
        <row r="1377">
          <cell r="A1377">
            <v>6376</v>
          </cell>
        </row>
        <row r="1378">
          <cell r="A1378">
            <v>6377</v>
          </cell>
        </row>
        <row r="1379">
          <cell r="A1379">
            <v>6378</v>
          </cell>
        </row>
        <row r="1380">
          <cell r="A1380">
            <v>6379</v>
          </cell>
        </row>
        <row r="1381">
          <cell r="A1381">
            <v>6380</v>
          </cell>
        </row>
        <row r="1382">
          <cell r="A1382">
            <v>6381</v>
          </cell>
        </row>
        <row r="1383">
          <cell r="A1383">
            <v>6382</v>
          </cell>
        </row>
        <row r="1384">
          <cell r="A1384">
            <v>6383</v>
          </cell>
        </row>
        <row r="1385">
          <cell r="A1385">
            <v>6384</v>
          </cell>
        </row>
        <row r="1386">
          <cell r="A1386">
            <v>6385</v>
          </cell>
        </row>
        <row r="1387">
          <cell r="A1387">
            <v>6386</v>
          </cell>
        </row>
        <row r="1388">
          <cell r="A1388">
            <v>6387</v>
          </cell>
        </row>
        <row r="1389">
          <cell r="A1389">
            <v>6388</v>
          </cell>
        </row>
        <row r="1390">
          <cell r="A1390">
            <v>6389</v>
          </cell>
        </row>
        <row r="1391">
          <cell r="A1391">
            <v>6390</v>
          </cell>
        </row>
        <row r="1392">
          <cell r="A1392">
            <v>6391</v>
          </cell>
        </row>
        <row r="1393">
          <cell r="A1393">
            <v>6392</v>
          </cell>
        </row>
        <row r="1394">
          <cell r="A1394">
            <v>6393</v>
          </cell>
        </row>
        <row r="1395">
          <cell r="A1395">
            <v>6394</v>
          </cell>
        </row>
        <row r="1396">
          <cell r="A1396">
            <v>6395</v>
          </cell>
        </row>
        <row r="1397">
          <cell r="A1397">
            <v>6396</v>
          </cell>
        </row>
        <row r="1398">
          <cell r="A1398">
            <v>6397</v>
          </cell>
        </row>
        <row r="1399">
          <cell r="A1399">
            <v>6398</v>
          </cell>
        </row>
        <row r="1400">
          <cell r="A1400">
            <v>6399</v>
          </cell>
        </row>
        <row r="1401">
          <cell r="A1401">
            <v>6400</v>
          </cell>
        </row>
        <row r="1402">
          <cell r="A1402">
            <v>6401</v>
          </cell>
        </row>
        <row r="1403">
          <cell r="A1403">
            <v>6402</v>
          </cell>
        </row>
        <row r="1404">
          <cell r="A1404">
            <v>6403</v>
          </cell>
        </row>
        <row r="1405">
          <cell r="A1405">
            <v>6404</v>
          </cell>
        </row>
        <row r="1406">
          <cell r="A1406">
            <v>6405</v>
          </cell>
        </row>
        <row r="1407">
          <cell r="A1407">
            <v>6406</v>
          </cell>
        </row>
        <row r="1408">
          <cell r="A1408">
            <v>6407</v>
          </cell>
        </row>
        <row r="1409">
          <cell r="A1409">
            <v>6408</v>
          </cell>
        </row>
        <row r="1410">
          <cell r="A1410">
            <v>6409</v>
          </cell>
        </row>
        <row r="1411">
          <cell r="A1411">
            <v>6410</v>
          </cell>
        </row>
        <row r="1412">
          <cell r="A1412">
            <v>6411</v>
          </cell>
        </row>
        <row r="1413">
          <cell r="A1413">
            <v>6412</v>
          </cell>
        </row>
        <row r="1414">
          <cell r="A1414">
            <v>6413</v>
          </cell>
        </row>
        <row r="1415">
          <cell r="A1415">
            <v>6414</v>
          </cell>
        </row>
        <row r="1416">
          <cell r="A1416">
            <v>6415</v>
          </cell>
        </row>
        <row r="1417">
          <cell r="A1417">
            <v>6416</v>
          </cell>
        </row>
        <row r="1418">
          <cell r="A1418">
            <v>6417</v>
          </cell>
        </row>
        <row r="1419">
          <cell r="A1419">
            <v>6418</v>
          </cell>
        </row>
        <row r="1420">
          <cell r="A1420">
            <v>6419</v>
          </cell>
        </row>
        <row r="1421">
          <cell r="A1421">
            <v>6420</v>
          </cell>
        </row>
        <row r="1422">
          <cell r="A1422">
            <v>6421</v>
          </cell>
        </row>
        <row r="1423">
          <cell r="A1423">
            <v>6422</v>
          </cell>
        </row>
        <row r="1424">
          <cell r="A1424">
            <v>6423</v>
          </cell>
        </row>
        <row r="1425">
          <cell r="A1425">
            <v>6424</v>
          </cell>
        </row>
        <row r="1426">
          <cell r="A1426">
            <v>6425</v>
          </cell>
        </row>
        <row r="1427">
          <cell r="A1427">
            <v>6426</v>
          </cell>
        </row>
        <row r="1428">
          <cell r="A1428">
            <v>6427</v>
          </cell>
        </row>
        <row r="1429">
          <cell r="A1429">
            <v>6428</v>
          </cell>
        </row>
        <row r="1430">
          <cell r="A1430">
            <v>6429</v>
          </cell>
        </row>
        <row r="1431">
          <cell r="A1431">
            <v>6430</v>
          </cell>
        </row>
        <row r="1432">
          <cell r="A1432">
            <v>6431</v>
          </cell>
        </row>
        <row r="1433">
          <cell r="A1433">
            <v>6432</v>
          </cell>
        </row>
        <row r="1434">
          <cell r="A1434">
            <v>6433</v>
          </cell>
        </row>
        <row r="1435">
          <cell r="A1435">
            <v>6434</v>
          </cell>
        </row>
        <row r="1436">
          <cell r="A1436">
            <v>6435</v>
          </cell>
        </row>
        <row r="1437">
          <cell r="A1437">
            <v>6436</v>
          </cell>
        </row>
        <row r="1438">
          <cell r="A1438">
            <v>6437</v>
          </cell>
        </row>
        <row r="1439">
          <cell r="A1439">
            <v>6438</v>
          </cell>
        </row>
        <row r="1440">
          <cell r="A1440">
            <v>6439</v>
          </cell>
        </row>
        <row r="1441">
          <cell r="A1441">
            <v>6440</v>
          </cell>
        </row>
        <row r="1442">
          <cell r="A1442">
            <v>6441</v>
          </cell>
        </row>
        <row r="1443">
          <cell r="A1443">
            <v>6442</v>
          </cell>
        </row>
        <row r="1444">
          <cell r="A1444">
            <v>6443</v>
          </cell>
        </row>
        <row r="1445">
          <cell r="A1445">
            <v>6444</v>
          </cell>
        </row>
        <row r="1446">
          <cell r="A1446">
            <v>6445</v>
          </cell>
        </row>
        <row r="1447">
          <cell r="A1447">
            <v>6446</v>
          </cell>
        </row>
        <row r="1448">
          <cell r="A1448">
            <v>6447</v>
          </cell>
        </row>
        <row r="1449">
          <cell r="A1449">
            <v>6448</v>
          </cell>
        </row>
        <row r="1450">
          <cell r="A1450">
            <v>6449</v>
          </cell>
        </row>
        <row r="1451">
          <cell r="A1451">
            <v>6450</v>
          </cell>
        </row>
        <row r="1452">
          <cell r="A1452">
            <v>6451</v>
          </cell>
        </row>
        <row r="1453">
          <cell r="A1453">
            <v>6452</v>
          </cell>
        </row>
        <row r="1454">
          <cell r="A1454">
            <v>6453</v>
          </cell>
        </row>
        <row r="1455">
          <cell r="A1455">
            <v>6454</v>
          </cell>
        </row>
        <row r="1456">
          <cell r="A1456">
            <v>6455</v>
          </cell>
        </row>
        <row r="1457">
          <cell r="A1457">
            <v>6456</v>
          </cell>
        </row>
        <row r="1458">
          <cell r="A1458">
            <v>6457</v>
          </cell>
        </row>
        <row r="1459">
          <cell r="A1459">
            <v>6458</v>
          </cell>
        </row>
        <row r="1460">
          <cell r="A1460">
            <v>6459</v>
          </cell>
        </row>
        <row r="1461">
          <cell r="A1461">
            <v>6460</v>
          </cell>
        </row>
        <row r="1462">
          <cell r="A1462">
            <v>6461</v>
          </cell>
        </row>
        <row r="1463">
          <cell r="A1463">
            <v>6462</v>
          </cell>
        </row>
        <row r="1464">
          <cell r="A1464">
            <v>6463</v>
          </cell>
        </row>
        <row r="1465">
          <cell r="A1465">
            <v>6464</v>
          </cell>
        </row>
        <row r="1466">
          <cell r="A1466">
            <v>6465</v>
          </cell>
        </row>
        <row r="1467">
          <cell r="A1467">
            <v>6466</v>
          </cell>
        </row>
        <row r="1468">
          <cell r="A1468">
            <v>6467</v>
          </cell>
        </row>
        <row r="1469">
          <cell r="A1469">
            <v>6468</v>
          </cell>
        </row>
        <row r="1470">
          <cell r="A1470">
            <v>6469</v>
          </cell>
        </row>
        <row r="1471">
          <cell r="A1471">
            <v>6470</v>
          </cell>
        </row>
        <row r="1472">
          <cell r="A1472">
            <v>6471</v>
          </cell>
        </row>
        <row r="1473">
          <cell r="A1473">
            <v>6472</v>
          </cell>
        </row>
        <row r="1474">
          <cell r="A1474">
            <v>6473</v>
          </cell>
        </row>
        <row r="1475">
          <cell r="A1475">
            <v>6474</v>
          </cell>
        </row>
        <row r="1476">
          <cell r="A1476">
            <v>6475</v>
          </cell>
        </row>
        <row r="1477">
          <cell r="A1477">
            <v>6476</v>
          </cell>
        </row>
        <row r="1478">
          <cell r="A1478">
            <v>6477</v>
          </cell>
        </row>
        <row r="1479">
          <cell r="A1479">
            <v>6478</v>
          </cell>
        </row>
        <row r="1480">
          <cell r="A1480">
            <v>6479</v>
          </cell>
        </row>
        <row r="1481">
          <cell r="A1481">
            <v>6480</v>
          </cell>
        </row>
        <row r="1482">
          <cell r="A1482">
            <v>6481</v>
          </cell>
        </row>
        <row r="1483">
          <cell r="A1483">
            <v>6482</v>
          </cell>
        </row>
        <row r="1484">
          <cell r="A1484">
            <v>6483</v>
          </cell>
        </row>
        <row r="1485">
          <cell r="A1485">
            <v>6484</v>
          </cell>
        </row>
        <row r="1486">
          <cell r="A1486">
            <v>6485</v>
          </cell>
        </row>
        <row r="1487">
          <cell r="A1487">
            <v>6486</v>
          </cell>
        </row>
        <row r="1488">
          <cell r="A1488">
            <v>6487</v>
          </cell>
        </row>
        <row r="1489">
          <cell r="A1489">
            <v>6488</v>
          </cell>
        </row>
        <row r="1490">
          <cell r="A1490">
            <v>6489</v>
          </cell>
        </row>
        <row r="1491">
          <cell r="A1491">
            <v>6490</v>
          </cell>
        </row>
        <row r="1492">
          <cell r="A1492">
            <v>6491</v>
          </cell>
        </row>
        <row r="1493">
          <cell r="A1493">
            <v>6492</v>
          </cell>
        </row>
        <row r="1494">
          <cell r="A1494">
            <v>6493</v>
          </cell>
        </row>
        <row r="1495">
          <cell r="A1495">
            <v>6494</v>
          </cell>
        </row>
        <row r="1496">
          <cell r="A1496">
            <v>6495</v>
          </cell>
        </row>
        <row r="1497">
          <cell r="A1497">
            <v>6496</v>
          </cell>
        </row>
        <row r="1498">
          <cell r="A1498">
            <v>6497</v>
          </cell>
        </row>
        <row r="1499">
          <cell r="A1499">
            <v>6498</v>
          </cell>
        </row>
        <row r="1500">
          <cell r="A1500">
            <v>6499</v>
          </cell>
        </row>
        <row r="1501">
          <cell r="A1501">
            <v>6500</v>
          </cell>
        </row>
        <row r="1502">
          <cell r="A1502">
            <v>6501</v>
          </cell>
        </row>
        <row r="1503">
          <cell r="A1503">
            <v>6502</v>
          </cell>
        </row>
        <row r="1504">
          <cell r="A1504">
            <v>6503</v>
          </cell>
        </row>
        <row r="1505">
          <cell r="A1505">
            <v>6504</v>
          </cell>
        </row>
        <row r="1506">
          <cell r="A1506">
            <v>6505</v>
          </cell>
        </row>
        <row r="1507">
          <cell r="A1507">
            <v>6506</v>
          </cell>
        </row>
        <row r="1508">
          <cell r="A1508">
            <v>6507</v>
          </cell>
        </row>
        <row r="1509">
          <cell r="A1509">
            <v>6508</v>
          </cell>
        </row>
        <row r="1510">
          <cell r="A1510">
            <v>6509</v>
          </cell>
        </row>
        <row r="1511">
          <cell r="A1511">
            <v>6510</v>
          </cell>
        </row>
        <row r="1512">
          <cell r="A1512">
            <v>6511</v>
          </cell>
        </row>
        <row r="1513">
          <cell r="A1513">
            <v>6512</v>
          </cell>
        </row>
        <row r="1514">
          <cell r="A1514">
            <v>6513</v>
          </cell>
        </row>
        <row r="1515">
          <cell r="A1515">
            <v>6514</v>
          </cell>
        </row>
        <row r="1516">
          <cell r="A1516">
            <v>6515</v>
          </cell>
        </row>
        <row r="1517">
          <cell r="A1517">
            <v>6516</v>
          </cell>
        </row>
        <row r="1518">
          <cell r="A1518">
            <v>6517</v>
          </cell>
        </row>
        <row r="1519">
          <cell r="A1519">
            <v>6518</v>
          </cell>
        </row>
        <row r="1520">
          <cell r="A1520">
            <v>6519</v>
          </cell>
        </row>
        <row r="1521">
          <cell r="A1521">
            <v>6520</v>
          </cell>
        </row>
        <row r="1522">
          <cell r="A1522">
            <v>6521</v>
          </cell>
        </row>
        <row r="1523">
          <cell r="A1523">
            <v>6522</v>
          </cell>
        </row>
        <row r="1524">
          <cell r="A1524">
            <v>6523</v>
          </cell>
        </row>
        <row r="1525">
          <cell r="A1525">
            <v>6524</v>
          </cell>
        </row>
        <row r="1526">
          <cell r="A1526">
            <v>6525</v>
          </cell>
        </row>
        <row r="1527">
          <cell r="A1527">
            <v>6526</v>
          </cell>
        </row>
        <row r="1528">
          <cell r="A1528">
            <v>6527</v>
          </cell>
        </row>
        <row r="1529">
          <cell r="A1529">
            <v>6528</v>
          </cell>
        </row>
        <row r="1530">
          <cell r="A1530">
            <v>6529</v>
          </cell>
        </row>
        <row r="1531">
          <cell r="A1531">
            <v>6530</v>
          </cell>
        </row>
        <row r="1532">
          <cell r="A1532">
            <v>6531</v>
          </cell>
        </row>
        <row r="1533">
          <cell r="A1533">
            <v>6532</v>
          </cell>
        </row>
        <row r="1534">
          <cell r="A1534">
            <v>6533</v>
          </cell>
        </row>
        <row r="1535">
          <cell r="A1535">
            <v>6534</v>
          </cell>
        </row>
        <row r="1536">
          <cell r="A1536">
            <v>6535</v>
          </cell>
        </row>
        <row r="1537">
          <cell r="A1537">
            <v>6536</v>
          </cell>
        </row>
        <row r="1538">
          <cell r="A1538">
            <v>6537</v>
          </cell>
        </row>
        <row r="1539">
          <cell r="A1539">
            <v>6538</v>
          </cell>
        </row>
        <row r="1540">
          <cell r="A1540">
            <v>6539</v>
          </cell>
        </row>
        <row r="1541">
          <cell r="A1541">
            <v>6540</v>
          </cell>
        </row>
        <row r="1542">
          <cell r="A1542">
            <v>6541</v>
          </cell>
        </row>
        <row r="1543">
          <cell r="A1543">
            <v>6542</v>
          </cell>
        </row>
        <row r="1544">
          <cell r="A1544">
            <v>6543</v>
          </cell>
        </row>
        <row r="1545">
          <cell r="A1545">
            <v>6544</v>
          </cell>
        </row>
        <row r="1546">
          <cell r="A1546">
            <v>6545</v>
          </cell>
        </row>
        <row r="1547">
          <cell r="A1547">
            <v>6546</v>
          </cell>
        </row>
        <row r="1548">
          <cell r="A1548">
            <v>6547</v>
          </cell>
        </row>
        <row r="1549">
          <cell r="A1549">
            <v>6548</v>
          </cell>
        </row>
        <row r="1550">
          <cell r="A1550">
            <v>6549</v>
          </cell>
        </row>
        <row r="1551">
          <cell r="A1551">
            <v>6550</v>
          </cell>
        </row>
        <row r="1552">
          <cell r="A1552">
            <v>6551</v>
          </cell>
        </row>
        <row r="1553">
          <cell r="A1553">
            <v>6552</v>
          </cell>
        </row>
        <row r="1554">
          <cell r="A1554">
            <v>6553</v>
          </cell>
        </row>
        <row r="1555">
          <cell r="A1555">
            <v>6554</v>
          </cell>
        </row>
        <row r="1556">
          <cell r="A1556">
            <v>6555</v>
          </cell>
        </row>
        <row r="1557">
          <cell r="A1557">
            <v>6556</v>
          </cell>
        </row>
        <row r="1558">
          <cell r="A1558">
            <v>6557</v>
          </cell>
        </row>
        <row r="1559">
          <cell r="A1559">
            <v>6558</v>
          </cell>
        </row>
        <row r="1560">
          <cell r="A1560">
            <v>6559</v>
          </cell>
        </row>
        <row r="1561">
          <cell r="A1561">
            <v>6560</v>
          </cell>
        </row>
        <row r="1562">
          <cell r="A1562">
            <v>6561</v>
          </cell>
        </row>
        <row r="1563">
          <cell r="A1563">
            <v>6562</v>
          </cell>
        </row>
        <row r="1564">
          <cell r="A1564">
            <v>6563</v>
          </cell>
        </row>
        <row r="1565">
          <cell r="A1565">
            <v>6564</v>
          </cell>
        </row>
        <row r="1566">
          <cell r="A1566">
            <v>6565</v>
          </cell>
        </row>
        <row r="1567">
          <cell r="A1567">
            <v>6566</v>
          </cell>
        </row>
        <row r="1568">
          <cell r="A1568">
            <v>6567</v>
          </cell>
        </row>
        <row r="1569">
          <cell r="A1569">
            <v>6568</v>
          </cell>
        </row>
        <row r="1570">
          <cell r="A1570">
            <v>6569</v>
          </cell>
        </row>
        <row r="1571">
          <cell r="A1571">
            <v>6570</v>
          </cell>
        </row>
        <row r="1572">
          <cell r="A1572">
            <v>6571</v>
          </cell>
        </row>
        <row r="1573">
          <cell r="A1573">
            <v>6572</v>
          </cell>
        </row>
        <row r="1574">
          <cell r="A1574">
            <v>6573</v>
          </cell>
        </row>
        <row r="1575">
          <cell r="A1575">
            <v>6574</v>
          </cell>
        </row>
        <row r="1576">
          <cell r="A1576">
            <v>6575</v>
          </cell>
        </row>
        <row r="1577">
          <cell r="A1577">
            <v>6576</v>
          </cell>
        </row>
        <row r="1579">
          <cell r="A1579">
            <v>7200</v>
          </cell>
        </row>
        <row r="1580">
          <cell r="A1580">
            <v>7201</v>
          </cell>
        </row>
        <row r="1581">
          <cell r="A1581">
            <v>7202</v>
          </cell>
        </row>
        <row r="1582">
          <cell r="A1582">
            <v>7203</v>
          </cell>
        </row>
        <row r="1583">
          <cell r="A1583">
            <v>7204</v>
          </cell>
        </row>
        <row r="1584">
          <cell r="A1584">
            <v>7205</v>
          </cell>
        </row>
        <row r="1585">
          <cell r="A1585">
            <v>7206</v>
          </cell>
        </row>
        <row r="1586">
          <cell r="A1586">
            <v>7207</v>
          </cell>
        </row>
        <row r="1587">
          <cell r="A1587">
            <v>7208</v>
          </cell>
        </row>
        <row r="1588">
          <cell r="A1588">
            <v>7209</v>
          </cell>
        </row>
        <row r="1589">
          <cell r="A1589">
            <v>7210</v>
          </cell>
        </row>
        <row r="1590">
          <cell r="A1590">
            <v>7211</v>
          </cell>
        </row>
        <row r="1591">
          <cell r="A1591">
            <v>7212</v>
          </cell>
        </row>
        <row r="1592">
          <cell r="A1592">
            <v>7213</v>
          </cell>
        </row>
        <row r="1593">
          <cell r="A1593">
            <v>7214</v>
          </cell>
        </row>
        <row r="1594">
          <cell r="A1594">
            <v>7215</v>
          </cell>
        </row>
        <row r="1595">
          <cell r="A1595">
            <v>7216</v>
          </cell>
        </row>
        <row r="1596">
          <cell r="A1596">
            <v>7217</v>
          </cell>
        </row>
        <row r="1597">
          <cell r="A1597">
            <v>7218</v>
          </cell>
        </row>
        <row r="1598">
          <cell r="A1598">
            <v>7219</v>
          </cell>
        </row>
        <row r="1599">
          <cell r="A1599">
            <v>7220</v>
          </cell>
        </row>
        <row r="1600">
          <cell r="A1600">
            <v>7221</v>
          </cell>
        </row>
        <row r="1601">
          <cell r="A1601">
            <v>7222</v>
          </cell>
        </row>
        <row r="1602">
          <cell r="A1602">
            <v>7223</v>
          </cell>
        </row>
        <row r="1603">
          <cell r="A1603">
            <v>7224</v>
          </cell>
        </row>
        <row r="1604">
          <cell r="A1604">
            <v>7225</v>
          </cell>
        </row>
        <row r="1605">
          <cell r="A1605">
            <v>7226</v>
          </cell>
        </row>
        <row r="1606">
          <cell r="A1606">
            <v>7227</v>
          </cell>
        </row>
        <row r="1607">
          <cell r="A1607">
            <v>7228</v>
          </cell>
        </row>
        <row r="1608">
          <cell r="A1608">
            <v>7229</v>
          </cell>
        </row>
        <row r="1609">
          <cell r="A1609">
            <v>7230</v>
          </cell>
        </row>
        <row r="1610">
          <cell r="A1610">
            <v>7231</v>
          </cell>
        </row>
        <row r="1611">
          <cell r="A1611">
            <v>7232</v>
          </cell>
        </row>
        <row r="1612">
          <cell r="A1612">
            <v>7233</v>
          </cell>
        </row>
        <row r="1613">
          <cell r="A1613">
            <v>7234</v>
          </cell>
        </row>
        <row r="1614">
          <cell r="A1614">
            <v>7235</v>
          </cell>
        </row>
        <row r="1615">
          <cell r="A1615">
            <v>7236</v>
          </cell>
        </row>
        <row r="1616">
          <cell r="A1616">
            <v>7237</v>
          </cell>
        </row>
        <row r="1617">
          <cell r="A1617">
            <v>7238</v>
          </cell>
        </row>
        <row r="1618">
          <cell r="A1618">
            <v>7239</v>
          </cell>
        </row>
        <row r="1619">
          <cell r="A1619">
            <v>7240</v>
          </cell>
        </row>
        <row r="1620">
          <cell r="A1620">
            <v>7241</v>
          </cell>
        </row>
        <row r="1621">
          <cell r="A1621">
            <v>7242</v>
          </cell>
        </row>
        <row r="1622">
          <cell r="A1622">
            <v>7243</v>
          </cell>
        </row>
        <row r="1623">
          <cell r="A1623">
            <v>7244</v>
          </cell>
        </row>
        <row r="1624">
          <cell r="A1624">
            <v>7245</v>
          </cell>
        </row>
        <row r="1625">
          <cell r="A1625">
            <v>7246</v>
          </cell>
        </row>
        <row r="1626">
          <cell r="A1626">
            <v>7247</v>
          </cell>
        </row>
        <row r="1627">
          <cell r="A1627">
            <v>7248</v>
          </cell>
        </row>
        <row r="1628">
          <cell r="A1628">
            <v>7249</v>
          </cell>
        </row>
        <row r="1629">
          <cell r="A1629">
            <v>7250</v>
          </cell>
        </row>
        <row r="1630">
          <cell r="A1630">
            <v>7251</v>
          </cell>
        </row>
        <row r="1631">
          <cell r="A1631">
            <v>7252</v>
          </cell>
        </row>
        <row r="1632">
          <cell r="A1632">
            <v>7253</v>
          </cell>
        </row>
        <row r="1633">
          <cell r="A1633">
            <v>7254</v>
          </cell>
        </row>
        <row r="1634">
          <cell r="A1634">
            <v>7255</v>
          </cell>
        </row>
        <row r="1635">
          <cell r="A1635">
            <v>7256</v>
          </cell>
        </row>
        <row r="1636">
          <cell r="A1636">
            <v>7257</v>
          </cell>
        </row>
        <row r="1637">
          <cell r="A1637">
            <v>7258</v>
          </cell>
        </row>
        <row r="1638">
          <cell r="A1638">
            <v>7259</v>
          </cell>
        </row>
        <row r="1639">
          <cell r="A1639">
            <v>7260</v>
          </cell>
        </row>
        <row r="1640">
          <cell r="A1640">
            <v>7261</v>
          </cell>
        </row>
        <row r="1641">
          <cell r="A1641">
            <v>7262</v>
          </cell>
        </row>
        <row r="1642">
          <cell r="A1642">
            <v>7263</v>
          </cell>
        </row>
        <row r="1643">
          <cell r="A1643">
            <v>7264</v>
          </cell>
        </row>
        <row r="1644">
          <cell r="A1644">
            <v>7265</v>
          </cell>
        </row>
        <row r="1645">
          <cell r="A1645">
            <v>7266</v>
          </cell>
        </row>
        <row r="1646">
          <cell r="A1646">
            <v>7267</v>
          </cell>
        </row>
        <row r="1647">
          <cell r="A1647">
            <v>7268</v>
          </cell>
        </row>
        <row r="1648">
          <cell r="A1648">
            <v>7269</v>
          </cell>
        </row>
        <row r="1649">
          <cell r="A1649">
            <v>7270</v>
          </cell>
        </row>
        <row r="1650">
          <cell r="A1650">
            <v>7271</v>
          </cell>
        </row>
        <row r="1651">
          <cell r="A1651">
            <v>7272</v>
          </cell>
        </row>
        <row r="1652">
          <cell r="A1652">
            <v>7273</v>
          </cell>
        </row>
        <row r="1653">
          <cell r="A1653">
            <v>7274</v>
          </cell>
        </row>
        <row r="1654">
          <cell r="A1654">
            <v>7275</v>
          </cell>
        </row>
        <row r="1655">
          <cell r="A1655">
            <v>7276</v>
          </cell>
        </row>
        <row r="1656">
          <cell r="A1656">
            <v>7277</v>
          </cell>
        </row>
        <row r="1657">
          <cell r="A1657">
            <v>7278</v>
          </cell>
        </row>
        <row r="1658">
          <cell r="A1658">
            <v>7279</v>
          </cell>
        </row>
        <row r="1659">
          <cell r="A1659">
            <v>7280</v>
          </cell>
        </row>
        <row r="1660">
          <cell r="A1660">
            <v>7281</v>
          </cell>
        </row>
        <row r="1661">
          <cell r="A1661">
            <v>7282</v>
          </cell>
        </row>
        <row r="1662">
          <cell r="A1662">
            <v>7283</v>
          </cell>
        </row>
        <row r="1663">
          <cell r="A1663">
            <v>7284</v>
          </cell>
        </row>
        <row r="1664">
          <cell r="A1664">
            <v>7285</v>
          </cell>
        </row>
        <row r="1665">
          <cell r="A1665">
            <v>7286</v>
          </cell>
        </row>
        <row r="1666">
          <cell r="A1666">
            <v>7287</v>
          </cell>
        </row>
        <row r="1667">
          <cell r="A1667">
            <v>7288</v>
          </cell>
        </row>
        <row r="1668">
          <cell r="A1668">
            <v>7289</v>
          </cell>
        </row>
        <row r="1669">
          <cell r="A1669">
            <v>7290</v>
          </cell>
        </row>
        <row r="1670">
          <cell r="A1670">
            <v>7291</v>
          </cell>
        </row>
        <row r="1671">
          <cell r="A1671">
            <v>7292</v>
          </cell>
        </row>
        <row r="1672">
          <cell r="A1672">
            <v>7293</v>
          </cell>
        </row>
        <row r="1673">
          <cell r="A1673">
            <v>7294</v>
          </cell>
        </row>
        <row r="1674">
          <cell r="A1674">
            <v>7295</v>
          </cell>
        </row>
        <row r="1675">
          <cell r="A1675">
            <v>7296</v>
          </cell>
        </row>
        <row r="1676">
          <cell r="A1676">
            <v>7297</v>
          </cell>
        </row>
        <row r="1677">
          <cell r="A1677">
            <v>7298</v>
          </cell>
        </row>
        <row r="1678">
          <cell r="A1678">
            <v>7299</v>
          </cell>
        </row>
        <row r="1679">
          <cell r="A1679">
            <v>7300</v>
          </cell>
        </row>
        <row r="1680">
          <cell r="A1680">
            <v>7301</v>
          </cell>
        </row>
        <row r="1681">
          <cell r="A1681">
            <v>7302</v>
          </cell>
        </row>
        <row r="1682">
          <cell r="A1682">
            <v>7303</v>
          </cell>
        </row>
        <row r="1683">
          <cell r="A1683">
            <v>7304</v>
          </cell>
        </row>
        <row r="1684">
          <cell r="A1684">
            <v>7305</v>
          </cell>
        </row>
        <row r="1685">
          <cell r="A1685">
            <v>7306</v>
          </cell>
        </row>
        <row r="1686">
          <cell r="A1686">
            <v>7307</v>
          </cell>
        </row>
        <row r="1687">
          <cell r="A1687">
            <v>7308</v>
          </cell>
        </row>
        <row r="1688">
          <cell r="A1688">
            <v>7309</v>
          </cell>
        </row>
        <row r="1689">
          <cell r="A1689">
            <v>7310</v>
          </cell>
        </row>
        <row r="1690">
          <cell r="A1690">
            <v>7311</v>
          </cell>
        </row>
        <row r="1691">
          <cell r="A1691">
            <v>7312</v>
          </cell>
        </row>
        <row r="1692">
          <cell r="A1692">
            <v>7313</v>
          </cell>
        </row>
        <row r="1693">
          <cell r="A1693">
            <v>7314</v>
          </cell>
        </row>
        <row r="1694">
          <cell r="A1694">
            <v>7315</v>
          </cell>
        </row>
        <row r="1695">
          <cell r="A1695">
            <v>7316</v>
          </cell>
        </row>
        <row r="1696">
          <cell r="A1696">
            <v>7317</v>
          </cell>
        </row>
        <row r="1697">
          <cell r="A1697">
            <v>7318</v>
          </cell>
        </row>
        <row r="1698">
          <cell r="A1698">
            <v>7319</v>
          </cell>
        </row>
        <row r="1699">
          <cell r="A1699">
            <v>7320</v>
          </cell>
        </row>
        <row r="1700">
          <cell r="A1700">
            <v>7321</v>
          </cell>
        </row>
        <row r="1701">
          <cell r="A1701">
            <v>7322</v>
          </cell>
        </row>
        <row r="1702">
          <cell r="A1702">
            <v>7323</v>
          </cell>
        </row>
        <row r="1703">
          <cell r="A1703">
            <v>7324</v>
          </cell>
        </row>
        <row r="1704">
          <cell r="A1704">
            <v>7325</v>
          </cell>
        </row>
        <row r="1705">
          <cell r="A1705">
            <v>7326</v>
          </cell>
        </row>
        <row r="1706">
          <cell r="A1706">
            <v>7327</v>
          </cell>
        </row>
        <row r="1707">
          <cell r="A1707">
            <v>7328</v>
          </cell>
        </row>
        <row r="1708">
          <cell r="A1708">
            <v>7329</v>
          </cell>
        </row>
        <row r="1709">
          <cell r="A1709">
            <v>7330</v>
          </cell>
        </row>
        <row r="1710">
          <cell r="A1710">
            <v>7331</v>
          </cell>
        </row>
        <row r="1711">
          <cell r="A1711">
            <v>7332</v>
          </cell>
        </row>
        <row r="1712">
          <cell r="A1712">
            <v>7333</v>
          </cell>
        </row>
        <row r="1713">
          <cell r="A1713">
            <v>7334</v>
          </cell>
        </row>
        <row r="1714">
          <cell r="A1714">
            <v>7335</v>
          </cell>
        </row>
        <row r="1715">
          <cell r="A1715">
            <v>7336</v>
          </cell>
        </row>
        <row r="1716">
          <cell r="A1716">
            <v>7337</v>
          </cell>
        </row>
        <row r="1717">
          <cell r="A1717">
            <v>7338</v>
          </cell>
        </row>
        <row r="1718">
          <cell r="A1718">
            <v>7339</v>
          </cell>
        </row>
        <row r="1719">
          <cell r="A1719">
            <v>7340</v>
          </cell>
        </row>
        <row r="1720">
          <cell r="A1720">
            <v>7341</v>
          </cell>
        </row>
        <row r="1721">
          <cell r="A1721">
            <v>7342</v>
          </cell>
        </row>
        <row r="1722">
          <cell r="A1722">
            <v>7343</v>
          </cell>
        </row>
        <row r="1723">
          <cell r="A1723">
            <v>7344</v>
          </cell>
        </row>
        <row r="1724">
          <cell r="A1724">
            <v>7345</v>
          </cell>
        </row>
        <row r="1725">
          <cell r="A1725">
            <v>7346</v>
          </cell>
        </row>
        <row r="1726">
          <cell r="A1726">
            <v>7347</v>
          </cell>
        </row>
        <row r="1727">
          <cell r="A1727">
            <v>7348</v>
          </cell>
        </row>
        <row r="1728">
          <cell r="A1728">
            <v>7349</v>
          </cell>
        </row>
        <row r="1729">
          <cell r="A1729">
            <v>7350</v>
          </cell>
        </row>
        <row r="1730">
          <cell r="A1730">
            <v>7351</v>
          </cell>
        </row>
        <row r="1731">
          <cell r="A1731">
            <v>7352</v>
          </cell>
        </row>
        <row r="1732">
          <cell r="A1732">
            <v>7353</v>
          </cell>
        </row>
        <row r="1733">
          <cell r="A1733">
            <v>7354</v>
          </cell>
        </row>
        <row r="1734">
          <cell r="A1734">
            <v>7355</v>
          </cell>
        </row>
        <row r="1735">
          <cell r="A1735">
            <v>7356</v>
          </cell>
        </row>
        <row r="1736">
          <cell r="A1736">
            <v>7357</v>
          </cell>
        </row>
        <row r="1737">
          <cell r="A1737">
            <v>7358</v>
          </cell>
        </row>
        <row r="1738">
          <cell r="A1738">
            <v>7359</v>
          </cell>
        </row>
        <row r="1739">
          <cell r="A1739">
            <v>7360</v>
          </cell>
        </row>
        <row r="1740">
          <cell r="A1740">
            <v>7361</v>
          </cell>
        </row>
        <row r="1741">
          <cell r="A1741">
            <v>7362</v>
          </cell>
        </row>
        <row r="1742">
          <cell r="A1742">
            <v>7363</v>
          </cell>
        </row>
        <row r="1743">
          <cell r="A1743">
            <v>7364</v>
          </cell>
        </row>
        <row r="1744">
          <cell r="A1744">
            <v>7365</v>
          </cell>
        </row>
        <row r="1745">
          <cell r="A1745">
            <v>7366</v>
          </cell>
        </row>
        <row r="1746">
          <cell r="A1746">
            <v>7367</v>
          </cell>
        </row>
        <row r="1747">
          <cell r="A1747">
            <v>7368</v>
          </cell>
        </row>
        <row r="1748">
          <cell r="A1748">
            <v>7369</v>
          </cell>
        </row>
        <row r="1749">
          <cell r="A1749">
            <v>7370</v>
          </cell>
        </row>
        <row r="1750">
          <cell r="A1750">
            <v>7371</v>
          </cell>
        </row>
        <row r="1751">
          <cell r="A1751">
            <v>7372</v>
          </cell>
        </row>
        <row r="1752">
          <cell r="A1752">
            <v>7373</v>
          </cell>
        </row>
        <row r="1753">
          <cell r="A1753">
            <v>7374</v>
          </cell>
        </row>
        <row r="1754">
          <cell r="A1754">
            <v>7375</v>
          </cell>
        </row>
        <row r="1755">
          <cell r="A1755">
            <v>7376</v>
          </cell>
        </row>
        <row r="1756">
          <cell r="A1756">
            <v>7377</v>
          </cell>
        </row>
        <row r="1757">
          <cell r="A1757">
            <v>7378</v>
          </cell>
        </row>
        <row r="1758">
          <cell r="A1758">
            <v>7379</v>
          </cell>
        </row>
        <row r="1759">
          <cell r="A1759">
            <v>7380</v>
          </cell>
        </row>
        <row r="1760">
          <cell r="A1760">
            <v>7381</v>
          </cell>
        </row>
        <row r="1761">
          <cell r="A1761">
            <v>7382</v>
          </cell>
        </row>
        <row r="1762">
          <cell r="A1762">
            <v>7383</v>
          </cell>
        </row>
        <row r="1763">
          <cell r="A1763">
            <v>7384</v>
          </cell>
        </row>
        <row r="1764">
          <cell r="A1764">
            <v>7385</v>
          </cell>
        </row>
        <row r="1765">
          <cell r="A1765">
            <v>7386</v>
          </cell>
        </row>
        <row r="1766">
          <cell r="A1766">
            <v>7387</v>
          </cell>
        </row>
        <row r="1767">
          <cell r="A1767">
            <v>7388</v>
          </cell>
        </row>
        <row r="1768">
          <cell r="A1768">
            <v>7389</v>
          </cell>
        </row>
        <row r="1769">
          <cell r="A1769">
            <v>7390</v>
          </cell>
        </row>
        <row r="1770">
          <cell r="A1770">
            <v>7391</v>
          </cell>
        </row>
        <row r="1771">
          <cell r="A1771">
            <v>7392</v>
          </cell>
        </row>
        <row r="1772">
          <cell r="A1772">
            <v>7393</v>
          </cell>
        </row>
        <row r="1773">
          <cell r="A1773">
            <v>7394</v>
          </cell>
        </row>
        <row r="1774">
          <cell r="A1774">
            <v>7395</v>
          </cell>
        </row>
        <row r="1775">
          <cell r="A1775">
            <v>7396</v>
          </cell>
        </row>
        <row r="1776">
          <cell r="A1776">
            <v>7397</v>
          </cell>
        </row>
        <row r="1777">
          <cell r="A1777">
            <v>7398</v>
          </cell>
        </row>
        <row r="1778">
          <cell r="A1778">
            <v>7399</v>
          </cell>
        </row>
        <row r="1779">
          <cell r="A1779">
            <v>7400</v>
          </cell>
        </row>
        <row r="1780">
          <cell r="A1780">
            <v>7401</v>
          </cell>
        </row>
        <row r="1781">
          <cell r="A1781">
            <v>7402</v>
          </cell>
        </row>
        <row r="1782">
          <cell r="A1782">
            <v>7403</v>
          </cell>
        </row>
        <row r="1783">
          <cell r="A1783">
            <v>7404</v>
          </cell>
        </row>
        <row r="1784">
          <cell r="A1784">
            <v>7405</v>
          </cell>
        </row>
        <row r="1785">
          <cell r="A1785">
            <v>7406</v>
          </cell>
        </row>
        <row r="1786">
          <cell r="A1786">
            <v>7407</v>
          </cell>
        </row>
        <row r="1787">
          <cell r="A1787">
            <v>7408</v>
          </cell>
        </row>
        <row r="1788">
          <cell r="A1788">
            <v>7409</v>
          </cell>
        </row>
        <row r="1789">
          <cell r="A1789">
            <v>7410</v>
          </cell>
        </row>
        <row r="1790">
          <cell r="A1790">
            <v>7411</v>
          </cell>
        </row>
        <row r="1791">
          <cell r="A1791">
            <v>7412</v>
          </cell>
        </row>
        <row r="1792">
          <cell r="A1792">
            <v>7413</v>
          </cell>
        </row>
        <row r="1793">
          <cell r="A1793">
            <v>7414</v>
          </cell>
        </row>
        <row r="1794">
          <cell r="A1794">
            <v>7415</v>
          </cell>
        </row>
        <row r="1795">
          <cell r="A1795">
            <v>7416</v>
          </cell>
        </row>
        <row r="1796">
          <cell r="A1796">
            <v>7417</v>
          </cell>
        </row>
        <row r="1797">
          <cell r="A1797">
            <v>7418</v>
          </cell>
        </row>
        <row r="1798">
          <cell r="A1798">
            <v>7419</v>
          </cell>
        </row>
        <row r="1799">
          <cell r="A1799">
            <v>7420</v>
          </cell>
        </row>
        <row r="1800">
          <cell r="A1800">
            <v>7421</v>
          </cell>
        </row>
        <row r="1801">
          <cell r="A1801">
            <v>7422</v>
          </cell>
        </row>
        <row r="1802">
          <cell r="A1802">
            <v>7423</v>
          </cell>
        </row>
        <row r="1803">
          <cell r="A1803">
            <v>7424</v>
          </cell>
        </row>
        <row r="1804">
          <cell r="A1804">
            <v>7425</v>
          </cell>
        </row>
        <row r="1805">
          <cell r="A1805">
            <v>7426</v>
          </cell>
        </row>
        <row r="1806">
          <cell r="A1806">
            <v>7427</v>
          </cell>
        </row>
        <row r="1807">
          <cell r="A1807">
            <v>7428</v>
          </cell>
        </row>
        <row r="1808">
          <cell r="A1808">
            <v>7429</v>
          </cell>
        </row>
        <row r="1809">
          <cell r="A1809">
            <v>7430</v>
          </cell>
        </row>
        <row r="1810">
          <cell r="A1810">
            <v>7431</v>
          </cell>
        </row>
        <row r="1811">
          <cell r="A1811">
            <v>7432</v>
          </cell>
        </row>
        <row r="1812">
          <cell r="A1812">
            <v>7433</v>
          </cell>
        </row>
        <row r="1813">
          <cell r="A1813">
            <v>7434</v>
          </cell>
        </row>
        <row r="1814">
          <cell r="A1814">
            <v>7435</v>
          </cell>
        </row>
        <row r="1815">
          <cell r="A1815">
            <v>7436</v>
          </cell>
        </row>
        <row r="1816">
          <cell r="A1816">
            <v>7437</v>
          </cell>
        </row>
        <row r="1817">
          <cell r="A1817">
            <v>7438</v>
          </cell>
        </row>
        <row r="1818">
          <cell r="A1818">
            <v>7439</v>
          </cell>
        </row>
        <row r="1819">
          <cell r="A1819">
            <v>7440</v>
          </cell>
        </row>
        <row r="1820">
          <cell r="A1820">
            <v>7441</v>
          </cell>
        </row>
        <row r="1821">
          <cell r="A1821">
            <v>7442</v>
          </cell>
        </row>
        <row r="1822">
          <cell r="A1822">
            <v>7443</v>
          </cell>
        </row>
        <row r="1823">
          <cell r="A1823">
            <v>7444</v>
          </cell>
        </row>
        <row r="1824">
          <cell r="A1824">
            <v>7445</v>
          </cell>
        </row>
        <row r="1825">
          <cell r="A1825">
            <v>7446</v>
          </cell>
        </row>
        <row r="1826">
          <cell r="A1826">
            <v>7447</v>
          </cell>
        </row>
        <row r="1827">
          <cell r="A1827">
            <v>7448</v>
          </cell>
        </row>
        <row r="1828">
          <cell r="A1828">
            <v>7449</v>
          </cell>
        </row>
        <row r="1829">
          <cell r="A1829">
            <v>7450</v>
          </cell>
        </row>
        <row r="1830">
          <cell r="A1830">
            <v>7451</v>
          </cell>
        </row>
        <row r="1831">
          <cell r="A1831">
            <v>7452</v>
          </cell>
        </row>
        <row r="1832">
          <cell r="A1832">
            <v>7453</v>
          </cell>
        </row>
        <row r="1833">
          <cell r="A1833">
            <v>7454</v>
          </cell>
        </row>
        <row r="1834">
          <cell r="A1834">
            <v>7455</v>
          </cell>
        </row>
        <row r="1835">
          <cell r="A1835">
            <v>7456</v>
          </cell>
        </row>
        <row r="1836">
          <cell r="A1836">
            <v>7457</v>
          </cell>
        </row>
        <row r="1837">
          <cell r="A1837">
            <v>7458</v>
          </cell>
        </row>
        <row r="1838">
          <cell r="A1838">
            <v>7459</v>
          </cell>
        </row>
        <row r="1839">
          <cell r="A1839">
            <v>7460</v>
          </cell>
        </row>
        <row r="1840">
          <cell r="A1840">
            <v>7461</v>
          </cell>
        </row>
        <row r="1841">
          <cell r="A1841">
            <v>7462</v>
          </cell>
        </row>
        <row r="1842">
          <cell r="A1842">
            <v>7463</v>
          </cell>
        </row>
        <row r="1843">
          <cell r="A1843">
            <v>7464</v>
          </cell>
        </row>
        <row r="1844">
          <cell r="A1844">
            <v>7465</v>
          </cell>
        </row>
        <row r="1845">
          <cell r="A1845">
            <v>7466</v>
          </cell>
        </row>
        <row r="1846">
          <cell r="A1846">
            <v>7467</v>
          </cell>
        </row>
        <row r="1847">
          <cell r="A1847">
            <v>7468</v>
          </cell>
        </row>
        <row r="1848">
          <cell r="A1848">
            <v>7469</v>
          </cell>
        </row>
        <row r="1849">
          <cell r="A1849">
            <v>7470</v>
          </cell>
        </row>
        <row r="1850">
          <cell r="A1850">
            <v>7471</v>
          </cell>
        </row>
        <row r="1851">
          <cell r="A1851">
            <v>7472</v>
          </cell>
        </row>
        <row r="1852">
          <cell r="A1852">
            <v>7473</v>
          </cell>
        </row>
        <row r="1853">
          <cell r="A1853">
            <v>7474</v>
          </cell>
        </row>
        <row r="1854">
          <cell r="A1854">
            <v>7475</v>
          </cell>
        </row>
        <row r="1855">
          <cell r="A1855">
            <v>7476</v>
          </cell>
        </row>
        <row r="1856">
          <cell r="A1856">
            <v>7477</v>
          </cell>
        </row>
        <row r="1857">
          <cell r="A1857">
            <v>7478</v>
          </cell>
        </row>
        <row r="1858">
          <cell r="A1858">
            <v>7479</v>
          </cell>
        </row>
        <row r="1859">
          <cell r="A1859">
            <v>7480</v>
          </cell>
        </row>
        <row r="1860">
          <cell r="A1860">
            <v>7481</v>
          </cell>
        </row>
        <row r="1861">
          <cell r="A1861">
            <v>7482</v>
          </cell>
        </row>
        <row r="1862">
          <cell r="A1862">
            <v>7483</v>
          </cell>
        </row>
        <row r="1863">
          <cell r="A1863">
            <v>7484</v>
          </cell>
        </row>
        <row r="1864">
          <cell r="A1864">
            <v>7485</v>
          </cell>
        </row>
        <row r="1865">
          <cell r="A1865">
            <v>7486</v>
          </cell>
        </row>
        <row r="1866">
          <cell r="A1866">
            <v>7487</v>
          </cell>
        </row>
        <row r="1867">
          <cell r="A1867">
            <v>7488</v>
          </cell>
        </row>
        <row r="1868">
          <cell r="A1868">
            <v>7489</v>
          </cell>
        </row>
        <row r="1869">
          <cell r="A1869">
            <v>7490</v>
          </cell>
        </row>
        <row r="1870">
          <cell r="A1870">
            <v>7491</v>
          </cell>
        </row>
        <row r="1871">
          <cell r="A1871">
            <v>7492</v>
          </cell>
        </row>
        <row r="1872">
          <cell r="A1872">
            <v>7493</v>
          </cell>
        </row>
        <row r="1873">
          <cell r="A1873">
            <v>7494</v>
          </cell>
        </row>
        <row r="1874">
          <cell r="A1874">
            <v>7495</v>
          </cell>
        </row>
        <row r="1875">
          <cell r="A1875">
            <v>7496</v>
          </cell>
        </row>
        <row r="1876">
          <cell r="A1876">
            <v>7497</v>
          </cell>
        </row>
        <row r="1877">
          <cell r="A1877">
            <v>7498</v>
          </cell>
        </row>
        <row r="1878">
          <cell r="A1878">
            <v>7499</v>
          </cell>
        </row>
        <row r="1879">
          <cell r="A1879">
            <v>7500</v>
          </cell>
        </row>
        <row r="1880">
          <cell r="A1880">
            <v>7501</v>
          </cell>
        </row>
        <row r="1881">
          <cell r="A1881">
            <v>7502</v>
          </cell>
        </row>
        <row r="1882">
          <cell r="A1882">
            <v>7503</v>
          </cell>
        </row>
        <row r="1883">
          <cell r="A1883">
            <v>7504</v>
          </cell>
        </row>
        <row r="1884">
          <cell r="A1884">
            <v>7505</v>
          </cell>
        </row>
        <row r="1885">
          <cell r="A1885">
            <v>7506</v>
          </cell>
        </row>
        <row r="1886">
          <cell r="A1886">
            <v>7507</v>
          </cell>
        </row>
        <row r="1887">
          <cell r="A1887">
            <v>7508</v>
          </cell>
        </row>
        <row r="1888">
          <cell r="A1888">
            <v>7509</v>
          </cell>
        </row>
        <row r="1889">
          <cell r="A1889">
            <v>7510</v>
          </cell>
        </row>
        <row r="1890">
          <cell r="A1890">
            <v>7511</v>
          </cell>
        </row>
        <row r="1891">
          <cell r="A1891">
            <v>7512</v>
          </cell>
        </row>
        <row r="1892">
          <cell r="A1892">
            <v>7513</v>
          </cell>
        </row>
        <row r="1893">
          <cell r="A1893">
            <v>7514</v>
          </cell>
        </row>
        <row r="1894">
          <cell r="A1894">
            <v>7515</v>
          </cell>
        </row>
        <row r="1895">
          <cell r="A1895">
            <v>7516</v>
          </cell>
        </row>
        <row r="1896">
          <cell r="A1896">
            <v>7517</v>
          </cell>
        </row>
        <row r="1897">
          <cell r="A1897">
            <v>7518</v>
          </cell>
        </row>
        <row r="1898">
          <cell r="A1898">
            <v>7519</v>
          </cell>
        </row>
        <row r="1899">
          <cell r="A1899">
            <v>7520</v>
          </cell>
        </row>
        <row r="1900">
          <cell r="A1900">
            <v>7521</v>
          </cell>
        </row>
        <row r="1901">
          <cell r="A1901">
            <v>7522</v>
          </cell>
        </row>
        <row r="1902">
          <cell r="A1902">
            <v>7523</v>
          </cell>
        </row>
        <row r="1903">
          <cell r="A1903">
            <v>7524</v>
          </cell>
        </row>
        <row r="1904">
          <cell r="A1904">
            <v>7525</v>
          </cell>
        </row>
        <row r="1905">
          <cell r="A1905">
            <v>7526</v>
          </cell>
        </row>
        <row r="1906">
          <cell r="A1906">
            <v>7527</v>
          </cell>
        </row>
        <row r="1907">
          <cell r="A1907">
            <v>7528</v>
          </cell>
        </row>
        <row r="1908">
          <cell r="A1908">
            <v>7529</v>
          </cell>
        </row>
        <row r="1909">
          <cell r="A1909">
            <v>7530</v>
          </cell>
        </row>
        <row r="1910">
          <cell r="A1910">
            <v>7531</v>
          </cell>
        </row>
        <row r="1911">
          <cell r="A1911">
            <v>7532</v>
          </cell>
        </row>
        <row r="1912">
          <cell r="A1912">
            <v>7533</v>
          </cell>
        </row>
        <row r="1913">
          <cell r="A1913">
            <v>7534</v>
          </cell>
        </row>
        <row r="1914">
          <cell r="A1914">
            <v>7535</v>
          </cell>
        </row>
        <row r="1915">
          <cell r="A1915">
            <v>7536</v>
          </cell>
        </row>
        <row r="1916">
          <cell r="A1916">
            <v>7537</v>
          </cell>
        </row>
        <row r="1917">
          <cell r="A1917">
            <v>7538</v>
          </cell>
        </row>
        <row r="1918">
          <cell r="A1918">
            <v>7539</v>
          </cell>
        </row>
        <row r="1919">
          <cell r="A1919">
            <v>7540</v>
          </cell>
        </row>
        <row r="1920">
          <cell r="A1920">
            <v>7541</v>
          </cell>
        </row>
        <row r="1921">
          <cell r="A1921">
            <v>7542</v>
          </cell>
        </row>
        <row r="1922">
          <cell r="A1922">
            <v>7543</v>
          </cell>
        </row>
        <row r="1923">
          <cell r="A1923">
            <v>7544</v>
          </cell>
        </row>
        <row r="1924">
          <cell r="A1924">
            <v>7545</v>
          </cell>
        </row>
        <row r="1925">
          <cell r="A1925">
            <v>7546</v>
          </cell>
        </row>
        <row r="1926">
          <cell r="A1926">
            <v>7547</v>
          </cell>
        </row>
        <row r="1927">
          <cell r="A1927">
            <v>7548</v>
          </cell>
        </row>
        <row r="1928">
          <cell r="A1928">
            <v>7549</v>
          </cell>
        </row>
        <row r="1929">
          <cell r="A1929">
            <v>7550</v>
          </cell>
        </row>
        <row r="1930">
          <cell r="A1930">
            <v>7551</v>
          </cell>
        </row>
        <row r="1931">
          <cell r="A1931">
            <v>7552</v>
          </cell>
        </row>
        <row r="1932">
          <cell r="A1932">
            <v>7553</v>
          </cell>
        </row>
        <row r="1933">
          <cell r="A1933">
            <v>7554</v>
          </cell>
        </row>
        <row r="1934">
          <cell r="A1934">
            <v>7555</v>
          </cell>
        </row>
        <row r="1935">
          <cell r="A1935">
            <v>7556</v>
          </cell>
        </row>
        <row r="1936">
          <cell r="A1936">
            <v>7557</v>
          </cell>
        </row>
        <row r="1937">
          <cell r="A1937">
            <v>7558</v>
          </cell>
        </row>
        <row r="1938">
          <cell r="A1938">
            <v>7559</v>
          </cell>
        </row>
        <row r="1939">
          <cell r="A1939">
            <v>7560</v>
          </cell>
        </row>
        <row r="1940">
          <cell r="A1940">
            <v>7561</v>
          </cell>
        </row>
        <row r="1941">
          <cell r="A1941">
            <v>7562</v>
          </cell>
        </row>
        <row r="1942">
          <cell r="A1942">
            <v>7563</v>
          </cell>
        </row>
        <row r="1943">
          <cell r="A1943">
            <v>7564</v>
          </cell>
        </row>
        <row r="1944">
          <cell r="A1944">
            <v>7565</v>
          </cell>
        </row>
        <row r="1945">
          <cell r="A1945">
            <v>7566</v>
          </cell>
        </row>
        <row r="1946">
          <cell r="A1946">
            <v>7567</v>
          </cell>
        </row>
        <row r="1947">
          <cell r="A1947">
            <v>7568</v>
          </cell>
        </row>
        <row r="1948">
          <cell r="A1948">
            <v>7569</v>
          </cell>
        </row>
        <row r="1949">
          <cell r="A1949">
            <v>7570</v>
          </cell>
        </row>
        <row r="1950">
          <cell r="A1950">
            <v>7571</v>
          </cell>
        </row>
        <row r="1951">
          <cell r="A1951">
            <v>7572</v>
          </cell>
        </row>
        <row r="1952">
          <cell r="A1952">
            <v>7573</v>
          </cell>
        </row>
        <row r="1953">
          <cell r="A1953">
            <v>7574</v>
          </cell>
        </row>
        <row r="1954">
          <cell r="A1954">
            <v>7575</v>
          </cell>
        </row>
        <row r="1955">
          <cell r="A1955">
            <v>7576</v>
          </cell>
        </row>
        <row r="1956">
          <cell r="A1956">
            <v>7577</v>
          </cell>
        </row>
        <row r="1957">
          <cell r="A1957">
            <v>7578</v>
          </cell>
        </row>
        <row r="1958">
          <cell r="A1958">
            <v>7579</v>
          </cell>
        </row>
        <row r="1959">
          <cell r="A1959">
            <v>7580</v>
          </cell>
        </row>
        <row r="1960">
          <cell r="A1960">
            <v>7581</v>
          </cell>
        </row>
        <row r="1961">
          <cell r="A1961">
            <v>7582</v>
          </cell>
        </row>
        <row r="1962">
          <cell r="A1962">
            <v>7583</v>
          </cell>
        </row>
        <row r="1963">
          <cell r="A1963">
            <v>7584</v>
          </cell>
        </row>
        <row r="1964">
          <cell r="A1964">
            <v>7585</v>
          </cell>
        </row>
        <row r="1965">
          <cell r="A1965">
            <v>7586</v>
          </cell>
        </row>
        <row r="1966">
          <cell r="A1966">
            <v>7587</v>
          </cell>
        </row>
        <row r="1967">
          <cell r="A1967">
            <v>7588</v>
          </cell>
        </row>
        <row r="1968">
          <cell r="A1968">
            <v>7589</v>
          </cell>
        </row>
        <row r="1969">
          <cell r="A1969">
            <v>7590</v>
          </cell>
        </row>
        <row r="1970">
          <cell r="A1970">
            <v>7591</v>
          </cell>
        </row>
        <row r="1971">
          <cell r="A1971">
            <v>7592</v>
          </cell>
        </row>
        <row r="1972">
          <cell r="A1972">
            <v>7593</v>
          </cell>
        </row>
        <row r="1973">
          <cell r="A1973">
            <v>7594</v>
          </cell>
        </row>
        <row r="1974">
          <cell r="A1974">
            <v>7595</v>
          </cell>
        </row>
        <row r="1975">
          <cell r="A1975">
            <v>7596</v>
          </cell>
        </row>
        <row r="1976">
          <cell r="A1976">
            <v>7597</v>
          </cell>
        </row>
        <row r="1977">
          <cell r="A1977">
            <v>7598</v>
          </cell>
        </row>
        <row r="1978">
          <cell r="A1978">
            <v>7599</v>
          </cell>
        </row>
        <row r="1979">
          <cell r="A1979">
            <v>7600</v>
          </cell>
        </row>
        <row r="1980">
          <cell r="A1980">
            <v>7601</v>
          </cell>
        </row>
        <row r="1981">
          <cell r="A1981">
            <v>7602</v>
          </cell>
        </row>
        <row r="1982">
          <cell r="A1982">
            <v>7603</v>
          </cell>
        </row>
        <row r="1983">
          <cell r="A1983">
            <v>7604</v>
          </cell>
        </row>
        <row r="1984">
          <cell r="A1984">
            <v>7605</v>
          </cell>
        </row>
        <row r="1985">
          <cell r="A1985">
            <v>7606</v>
          </cell>
        </row>
        <row r="1986">
          <cell r="A1986">
            <v>7607</v>
          </cell>
        </row>
        <row r="1987">
          <cell r="A1987">
            <v>7608</v>
          </cell>
        </row>
        <row r="1988">
          <cell r="A1988">
            <v>7609</v>
          </cell>
        </row>
        <row r="1989">
          <cell r="A1989">
            <v>7610</v>
          </cell>
        </row>
        <row r="1990">
          <cell r="A1990">
            <v>7611</v>
          </cell>
        </row>
        <row r="1991">
          <cell r="A1991">
            <v>7612</v>
          </cell>
        </row>
        <row r="1992">
          <cell r="A1992">
            <v>7613</v>
          </cell>
        </row>
        <row r="1993">
          <cell r="A1993">
            <v>7614</v>
          </cell>
        </row>
        <row r="1994">
          <cell r="A1994">
            <v>7615</v>
          </cell>
        </row>
        <row r="1995">
          <cell r="A1995">
            <v>7616</v>
          </cell>
        </row>
        <row r="1996">
          <cell r="A1996">
            <v>7617</v>
          </cell>
        </row>
        <row r="1997">
          <cell r="A1997">
            <v>7618</v>
          </cell>
        </row>
        <row r="1998">
          <cell r="A1998">
            <v>7619</v>
          </cell>
        </row>
        <row r="1999">
          <cell r="A1999">
            <v>7620</v>
          </cell>
        </row>
        <row r="2000">
          <cell r="A2000">
            <v>7621</v>
          </cell>
        </row>
        <row r="2001">
          <cell r="A2001">
            <v>7622</v>
          </cell>
        </row>
        <row r="2002">
          <cell r="A2002">
            <v>7623</v>
          </cell>
        </row>
        <row r="2003">
          <cell r="A2003">
            <v>7624</v>
          </cell>
        </row>
        <row r="2004">
          <cell r="A2004">
            <v>7625</v>
          </cell>
        </row>
        <row r="2005">
          <cell r="A2005">
            <v>7626</v>
          </cell>
        </row>
        <row r="2006">
          <cell r="A2006">
            <v>7627</v>
          </cell>
        </row>
        <row r="2007">
          <cell r="A2007">
            <v>7628</v>
          </cell>
        </row>
        <row r="2008">
          <cell r="A2008">
            <v>7629</v>
          </cell>
        </row>
        <row r="2009">
          <cell r="A2009">
            <v>7630</v>
          </cell>
        </row>
        <row r="2010">
          <cell r="A2010">
            <v>7631</v>
          </cell>
        </row>
        <row r="2011">
          <cell r="A2011">
            <v>7632</v>
          </cell>
        </row>
        <row r="2012">
          <cell r="A2012">
            <v>7633</v>
          </cell>
        </row>
        <row r="2013">
          <cell r="A2013">
            <v>7634</v>
          </cell>
        </row>
        <row r="2014">
          <cell r="A2014">
            <v>7635</v>
          </cell>
        </row>
        <row r="2015">
          <cell r="A2015">
            <v>7636</v>
          </cell>
        </row>
        <row r="2016">
          <cell r="A2016">
            <v>7637</v>
          </cell>
        </row>
        <row r="2017">
          <cell r="A2017">
            <v>7638</v>
          </cell>
        </row>
        <row r="2018">
          <cell r="A2018">
            <v>7639</v>
          </cell>
        </row>
        <row r="2019">
          <cell r="A2019">
            <v>7640</v>
          </cell>
        </row>
        <row r="2020">
          <cell r="A2020">
            <v>7641</v>
          </cell>
        </row>
        <row r="2021">
          <cell r="A2021">
            <v>7642</v>
          </cell>
        </row>
        <row r="2022">
          <cell r="A2022">
            <v>7643</v>
          </cell>
        </row>
        <row r="2023">
          <cell r="A2023">
            <v>7644</v>
          </cell>
        </row>
        <row r="2024">
          <cell r="A2024">
            <v>7645</v>
          </cell>
        </row>
        <row r="2025">
          <cell r="A2025">
            <v>7646</v>
          </cell>
        </row>
        <row r="2026">
          <cell r="A2026">
            <v>7647</v>
          </cell>
        </row>
        <row r="2027">
          <cell r="A2027">
            <v>7648</v>
          </cell>
        </row>
        <row r="2028">
          <cell r="A2028">
            <v>7649</v>
          </cell>
        </row>
        <row r="2029">
          <cell r="A2029">
            <v>7650</v>
          </cell>
        </row>
        <row r="2030">
          <cell r="A2030">
            <v>7651</v>
          </cell>
        </row>
        <row r="2031">
          <cell r="A2031">
            <v>7652</v>
          </cell>
        </row>
        <row r="2032">
          <cell r="A2032">
            <v>7653</v>
          </cell>
        </row>
        <row r="2033">
          <cell r="A2033">
            <v>7654</v>
          </cell>
        </row>
        <row r="2034">
          <cell r="A2034">
            <v>7655</v>
          </cell>
        </row>
        <row r="2035">
          <cell r="A2035">
            <v>7656</v>
          </cell>
        </row>
        <row r="2036">
          <cell r="A2036">
            <v>7657</v>
          </cell>
        </row>
        <row r="2037">
          <cell r="A2037">
            <v>7658</v>
          </cell>
        </row>
        <row r="2038">
          <cell r="A2038">
            <v>7659</v>
          </cell>
        </row>
        <row r="2039">
          <cell r="A2039">
            <v>7660</v>
          </cell>
        </row>
        <row r="2040">
          <cell r="A2040">
            <v>7661</v>
          </cell>
        </row>
        <row r="2041">
          <cell r="A2041">
            <v>7662</v>
          </cell>
        </row>
        <row r="2042">
          <cell r="A2042">
            <v>7663</v>
          </cell>
        </row>
        <row r="2043">
          <cell r="A2043">
            <v>7664</v>
          </cell>
        </row>
        <row r="2044">
          <cell r="A2044">
            <v>7665</v>
          </cell>
        </row>
        <row r="2045">
          <cell r="A2045">
            <v>7666</v>
          </cell>
        </row>
        <row r="2046">
          <cell r="A2046">
            <v>7667</v>
          </cell>
        </row>
        <row r="2047">
          <cell r="A2047">
            <v>7668</v>
          </cell>
        </row>
        <row r="2048">
          <cell r="A2048">
            <v>7669</v>
          </cell>
        </row>
        <row r="2049">
          <cell r="A2049">
            <v>7670</v>
          </cell>
        </row>
        <row r="2050">
          <cell r="A2050">
            <v>7671</v>
          </cell>
        </row>
        <row r="2051">
          <cell r="A2051">
            <v>7672</v>
          </cell>
        </row>
        <row r="2052">
          <cell r="A2052">
            <v>7673</v>
          </cell>
        </row>
        <row r="2053">
          <cell r="A2053">
            <v>7674</v>
          </cell>
        </row>
        <row r="2054">
          <cell r="A2054">
            <v>7675</v>
          </cell>
        </row>
        <row r="2055">
          <cell r="A2055">
            <v>7676</v>
          </cell>
        </row>
        <row r="2056">
          <cell r="A2056">
            <v>7677</v>
          </cell>
        </row>
        <row r="2057">
          <cell r="A2057">
            <v>7678</v>
          </cell>
        </row>
        <row r="2058">
          <cell r="A2058">
            <v>7679</v>
          </cell>
        </row>
        <row r="2059">
          <cell r="A2059">
            <v>7680</v>
          </cell>
        </row>
        <row r="2060">
          <cell r="A2060">
            <v>7681</v>
          </cell>
        </row>
        <row r="2061">
          <cell r="A2061">
            <v>7682</v>
          </cell>
        </row>
        <row r="2062">
          <cell r="A2062">
            <v>7683</v>
          </cell>
        </row>
        <row r="2063">
          <cell r="A2063">
            <v>7684</v>
          </cell>
        </row>
        <row r="2064">
          <cell r="A2064">
            <v>7685</v>
          </cell>
        </row>
        <row r="2065">
          <cell r="A2065">
            <v>7686</v>
          </cell>
        </row>
        <row r="2066">
          <cell r="A2066">
            <v>7687</v>
          </cell>
        </row>
        <row r="2067">
          <cell r="A2067">
            <v>7688</v>
          </cell>
        </row>
        <row r="2068">
          <cell r="A2068">
            <v>7689</v>
          </cell>
        </row>
        <row r="2069">
          <cell r="A2069">
            <v>7690</v>
          </cell>
        </row>
        <row r="2070">
          <cell r="A2070">
            <v>7691</v>
          </cell>
        </row>
        <row r="2071">
          <cell r="A2071">
            <v>7692</v>
          </cell>
        </row>
        <row r="2072">
          <cell r="A2072">
            <v>7693</v>
          </cell>
        </row>
        <row r="2073">
          <cell r="A2073">
            <v>7694</v>
          </cell>
        </row>
        <row r="2074">
          <cell r="A2074">
            <v>7695</v>
          </cell>
        </row>
        <row r="2075">
          <cell r="A2075">
            <v>7696</v>
          </cell>
        </row>
        <row r="2076">
          <cell r="A2076">
            <v>7697</v>
          </cell>
        </row>
        <row r="2077">
          <cell r="A2077">
            <v>7698</v>
          </cell>
        </row>
        <row r="2078">
          <cell r="A2078">
            <v>7699</v>
          </cell>
        </row>
        <row r="2079">
          <cell r="A2079">
            <v>7700</v>
          </cell>
        </row>
        <row r="2080">
          <cell r="A2080">
            <v>7701</v>
          </cell>
        </row>
        <row r="2081">
          <cell r="A2081">
            <v>7702</v>
          </cell>
        </row>
        <row r="2082">
          <cell r="A2082">
            <v>7703</v>
          </cell>
        </row>
        <row r="2083">
          <cell r="A2083">
            <v>7704</v>
          </cell>
        </row>
        <row r="2084">
          <cell r="A2084">
            <v>7705</v>
          </cell>
        </row>
        <row r="2085">
          <cell r="A2085">
            <v>7706</v>
          </cell>
        </row>
        <row r="2086">
          <cell r="A2086">
            <v>7707</v>
          </cell>
        </row>
        <row r="2087">
          <cell r="A2087">
            <v>7708</v>
          </cell>
        </row>
        <row r="2088">
          <cell r="A2088">
            <v>7709</v>
          </cell>
        </row>
        <row r="2089">
          <cell r="A2089">
            <v>7710</v>
          </cell>
        </row>
        <row r="2090">
          <cell r="A2090">
            <v>7711</v>
          </cell>
        </row>
        <row r="2091">
          <cell r="A2091">
            <v>7712</v>
          </cell>
        </row>
        <row r="2092">
          <cell r="A2092">
            <v>7713</v>
          </cell>
        </row>
        <row r="2093">
          <cell r="A2093">
            <v>7714</v>
          </cell>
        </row>
        <row r="2094">
          <cell r="A2094">
            <v>7715</v>
          </cell>
        </row>
        <row r="2095">
          <cell r="A2095">
            <v>7716</v>
          </cell>
        </row>
        <row r="2096">
          <cell r="A2096">
            <v>7717</v>
          </cell>
        </row>
        <row r="2097">
          <cell r="A2097">
            <v>7718</v>
          </cell>
        </row>
        <row r="2098">
          <cell r="A2098">
            <v>7719</v>
          </cell>
        </row>
        <row r="2099">
          <cell r="A2099">
            <v>7720</v>
          </cell>
        </row>
        <row r="2100">
          <cell r="A2100">
            <v>7721</v>
          </cell>
        </row>
        <row r="2101">
          <cell r="A2101">
            <v>7722</v>
          </cell>
        </row>
        <row r="2102">
          <cell r="A2102">
            <v>7723</v>
          </cell>
        </row>
        <row r="2103">
          <cell r="A2103">
            <v>7724</v>
          </cell>
        </row>
        <row r="2104">
          <cell r="A2104">
            <v>7725</v>
          </cell>
        </row>
        <row r="2105">
          <cell r="A2105">
            <v>7726</v>
          </cell>
        </row>
        <row r="2106">
          <cell r="A2106">
            <v>7727</v>
          </cell>
        </row>
        <row r="2107">
          <cell r="A2107">
            <v>7728</v>
          </cell>
        </row>
        <row r="2108">
          <cell r="A2108">
            <v>7729</v>
          </cell>
        </row>
        <row r="2109">
          <cell r="A2109">
            <v>7730</v>
          </cell>
        </row>
        <row r="2110">
          <cell r="A2110">
            <v>7731</v>
          </cell>
        </row>
        <row r="2111">
          <cell r="A2111">
            <v>7732</v>
          </cell>
        </row>
        <row r="2112">
          <cell r="A2112">
            <v>7733</v>
          </cell>
        </row>
        <row r="2113">
          <cell r="A2113">
            <v>7734</v>
          </cell>
        </row>
        <row r="2114">
          <cell r="A2114">
            <v>7735</v>
          </cell>
        </row>
        <row r="2115">
          <cell r="A2115">
            <v>7736</v>
          </cell>
        </row>
        <row r="2116">
          <cell r="A2116">
            <v>7737</v>
          </cell>
        </row>
        <row r="2117">
          <cell r="A2117">
            <v>7738</v>
          </cell>
        </row>
        <row r="2118">
          <cell r="A2118">
            <v>7739</v>
          </cell>
        </row>
        <row r="2119">
          <cell r="A2119">
            <v>7740</v>
          </cell>
        </row>
        <row r="2120">
          <cell r="A2120">
            <v>7741</v>
          </cell>
        </row>
        <row r="2121">
          <cell r="A2121">
            <v>7742</v>
          </cell>
        </row>
        <row r="2122">
          <cell r="A2122">
            <v>7743</v>
          </cell>
        </row>
        <row r="2123">
          <cell r="A2123">
            <v>7744</v>
          </cell>
        </row>
        <row r="2124">
          <cell r="A2124">
            <v>7745</v>
          </cell>
        </row>
        <row r="2125">
          <cell r="A2125">
            <v>7746</v>
          </cell>
        </row>
        <row r="2126">
          <cell r="A2126">
            <v>7747</v>
          </cell>
        </row>
        <row r="2127">
          <cell r="A2127">
            <v>7748</v>
          </cell>
        </row>
        <row r="2128">
          <cell r="A2128">
            <v>7749</v>
          </cell>
        </row>
        <row r="2129">
          <cell r="A2129">
            <v>7750</v>
          </cell>
        </row>
        <row r="2130">
          <cell r="A2130">
            <v>7751</v>
          </cell>
        </row>
        <row r="2131">
          <cell r="A2131">
            <v>7752</v>
          </cell>
        </row>
        <row r="2132">
          <cell r="A2132">
            <v>7753</v>
          </cell>
        </row>
        <row r="2133">
          <cell r="A2133">
            <v>7754</v>
          </cell>
        </row>
        <row r="2134">
          <cell r="A2134">
            <v>7755</v>
          </cell>
        </row>
        <row r="2135">
          <cell r="A2135">
            <v>7756</v>
          </cell>
        </row>
        <row r="2136">
          <cell r="A2136">
            <v>7757</v>
          </cell>
        </row>
        <row r="2137">
          <cell r="A2137">
            <v>7758</v>
          </cell>
        </row>
        <row r="2138">
          <cell r="A2138">
            <v>7759</v>
          </cell>
        </row>
        <row r="2139">
          <cell r="A2139">
            <v>7760</v>
          </cell>
        </row>
        <row r="2140">
          <cell r="A2140">
            <v>7761</v>
          </cell>
        </row>
        <row r="2141">
          <cell r="A2141">
            <v>7762</v>
          </cell>
        </row>
        <row r="2142">
          <cell r="A2142">
            <v>7763</v>
          </cell>
        </row>
        <row r="2143">
          <cell r="A2143">
            <v>7764</v>
          </cell>
        </row>
        <row r="2144">
          <cell r="A2144">
            <v>7765</v>
          </cell>
        </row>
        <row r="2145">
          <cell r="A2145">
            <v>7766</v>
          </cell>
        </row>
        <row r="2146">
          <cell r="A2146">
            <v>7767</v>
          </cell>
        </row>
        <row r="2147">
          <cell r="A2147">
            <v>7768</v>
          </cell>
        </row>
        <row r="2148">
          <cell r="A2148">
            <v>7769</v>
          </cell>
        </row>
        <row r="2149">
          <cell r="A2149">
            <v>7770</v>
          </cell>
        </row>
        <row r="2150">
          <cell r="A2150">
            <v>7771</v>
          </cell>
        </row>
        <row r="2151">
          <cell r="A2151">
            <v>7772</v>
          </cell>
        </row>
        <row r="2152">
          <cell r="A2152">
            <v>7773</v>
          </cell>
        </row>
        <row r="2153">
          <cell r="A2153">
            <v>7774</v>
          </cell>
        </row>
        <row r="2154">
          <cell r="A2154">
            <v>7775</v>
          </cell>
        </row>
        <row r="2155">
          <cell r="A2155">
            <v>7776</v>
          </cell>
        </row>
        <row r="2156">
          <cell r="A2156">
            <v>7777</v>
          </cell>
        </row>
        <row r="2157">
          <cell r="A2157">
            <v>7778</v>
          </cell>
        </row>
        <row r="2158">
          <cell r="A2158">
            <v>7779</v>
          </cell>
        </row>
        <row r="2159">
          <cell r="A2159">
            <v>7780</v>
          </cell>
        </row>
        <row r="2160">
          <cell r="A2160">
            <v>7781</v>
          </cell>
        </row>
        <row r="2161">
          <cell r="A2161">
            <v>7782</v>
          </cell>
        </row>
        <row r="2162">
          <cell r="A2162">
            <v>7783</v>
          </cell>
        </row>
        <row r="2163">
          <cell r="A2163">
            <v>7784</v>
          </cell>
        </row>
        <row r="2164">
          <cell r="A2164">
            <v>7785</v>
          </cell>
        </row>
        <row r="2165">
          <cell r="A2165">
            <v>7786</v>
          </cell>
        </row>
        <row r="2166">
          <cell r="A2166">
            <v>7787</v>
          </cell>
        </row>
        <row r="2167">
          <cell r="A2167">
            <v>7788</v>
          </cell>
        </row>
        <row r="2168">
          <cell r="A2168">
            <v>7789</v>
          </cell>
        </row>
        <row r="2169">
          <cell r="A2169">
            <v>7790</v>
          </cell>
        </row>
        <row r="2170">
          <cell r="A2170">
            <v>7791</v>
          </cell>
        </row>
        <row r="2171">
          <cell r="A2171">
            <v>7792</v>
          </cell>
        </row>
        <row r="2172">
          <cell r="A2172">
            <v>7793</v>
          </cell>
        </row>
        <row r="2173">
          <cell r="A2173">
            <v>7794</v>
          </cell>
        </row>
        <row r="2174">
          <cell r="A2174">
            <v>7795</v>
          </cell>
        </row>
        <row r="2175">
          <cell r="A2175">
            <v>7796</v>
          </cell>
        </row>
        <row r="2176">
          <cell r="A2176">
            <v>7797</v>
          </cell>
        </row>
        <row r="2177">
          <cell r="A2177">
            <v>7798</v>
          </cell>
        </row>
        <row r="2178">
          <cell r="A2178">
            <v>7799</v>
          </cell>
        </row>
        <row r="2179">
          <cell r="A2179">
            <v>7800</v>
          </cell>
        </row>
        <row r="2180">
          <cell r="A2180">
            <v>7801</v>
          </cell>
        </row>
        <row r="2181">
          <cell r="A2181">
            <v>7802</v>
          </cell>
        </row>
        <row r="2182">
          <cell r="A2182">
            <v>7803</v>
          </cell>
        </row>
        <row r="2183">
          <cell r="A2183">
            <v>7804</v>
          </cell>
        </row>
        <row r="2184">
          <cell r="A2184">
            <v>7805</v>
          </cell>
        </row>
        <row r="2185">
          <cell r="A2185">
            <v>7806</v>
          </cell>
        </row>
        <row r="2186">
          <cell r="A2186">
            <v>7807</v>
          </cell>
        </row>
        <row r="2187">
          <cell r="A2187">
            <v>7808</v>
          </cell>
        </row>
        <row r="2188">
          <cell r="A2188">
            <v>7809</v>
          </cell>
        </row>
        <row r="2189">
          <cell r="A2189">
            <v>7810</v>
          </cell>
        </row>
        <row r="2190">
          <cell r="A2190">
            <v>7811</v>
          </cell>
        </row>
        <row r="2191">
          <cell r="A2191">
            <v>7812</v>
          </cell>
        </row>
        <row r="2192">
          <cell r="A2192">
            <v>7813</v>
          </cell>
        </row>
        <row r="2193">
          <cell r="A2193">
            <v>7814</v>
          </cell>
        </row>
        <row r="2194">
          <cell r="A2194">
            <v>7815</v>
          </cell>
        </row>
        <row r="2195">
          <cell r="A2195">
            <v>7816</v>
          </cell>
        </row>
        <row r="2196">
          <cell r="A2196">
            <v>7817</v>
          </cell>
        </row>
        <row r="2197">
          <cell r="A2197">
            <v>7818</v>
          </cell>
        </row>
        <row r="2198">
          <cell r="A2198">
            <v>7819</v>
          </cell>
        </row>
        <row r="2199">
          <cell r="A2199">
            <v>7820</v>
          </cell>
        </row>
        <row r="2200">
          <cell r="A2200">
            <v>7821</v>
          </cell>
        </row>
        <row r="2201">
          <cell r="A2201">
            <v>7822</v>
          </cell>
        </row>
        <row r="2202">
          <cell r="A2202">
            <v>7823</v>
          </cell>
        </row>
        <row r="2203">
          <cell r="A2203">
            <v>7824</v>
          </cell>
        </row>
        <row r="2204">
          <cell r="A2204">
            <v>7825</v>
          </cell>
        </row>
        <row r="2205">
          <cell r="A2205">
            <v>7826</v>
          </cell>
        </row>
        <row r="2206">
          <cell r="A2206">
            <v>7827</v>
          </cell>
        </row>
        <row r="2207">
          <cell r="A2207">
            <v>7828</v>
          </cell>
        </row>
        <row r="2208">
          <cell r="A2208">
            <v>7829</v>
          </cell>
        </row>
        <row r="2209">
          <cell r="A2209">
            <v>7830</v>
          </cell>
        </row>
        <row r="2210">
          <cell r="A2210">
            <v>7831</v>
          </cell>
        </row>
        <row r="2211">
          <cell r="A2211">
            <v>7832</v>
          </cell>
        </row>
        <row r="2212">
          <cell r="A2212">
            <v>7833</v>
          </cell>
        </row>
        <row r="2213">
          <cell r="A2213">
            <v>7834</v>
          </cell>
        </row>
        <row r="2214">
          <cell r="A2214">
            <v>7835</v>
          </cell>
        </row>
        <row r="2215">
          <cell r="A2215">
            <v>7836</v>
          </cell>
        </row>
        <row r="2216">
          <cell r="A2216">
            <v>7837</v>
          </cell>
        </row>
        <row r="2217">
          <cell r="A2217">
            <v>7838</v>
          </cell>
        </row>
        <row r="2218">
          <cell r="A2218">
            <v>7839</v>
          </cell>
        </row>
        <row r="2219">
          <cell r="A2219">
            <v>7840</v>
          </cell>
        </row>
        <row r="2220">
          <cell r="A2220">
            <v>7841</v>
          </cell>
        </row>
        <row r="2221">
          <cell r="A2221">
            <v>7842</v>
          </cell>
        </row>
        <row r="2222">
          <cell r="A2222">
            <v>7843</v>
          </cell>
        </row>
        <row r="2223">
          <cell r="A2223">
            <v>7844</v>
          </cell>
        </row>
        <row r="2224">
          <cell r="A2224">
            <v>7845</v>
          </cell>
        </row>
      </sheetData>
      <sheetData sheetId="38" refreshError="1">
        <row r="4">
          <cell r="A4">
            <v>5000</v>
          </cell>
        </row>
        <row r="6">
          <cell r="H6">
            <v>9.3109858212948087</v>
          </cell>
        </row>
        <row r="7">
          <cell r="H7">
            <v>1.1193419565217391</v>
          </cell>
        </row>
        <row r="8">
          <cell r="H8">
            <v>0.59362554347826091</v>
          </cell>
        </row>
        <row r="12">
          <cell r="H12">
            <v>9.6000000000000002E-2</v>
          </cell>
        </row>
        <row r="13">
          <cell r="H13">
            <v>0.41599999999999998</v>
          </cell>
        </row>
        <row r="14">
          <cell r="H14">
            <v>2</v>
          </cell>
        </row>
        <row r="36">
          <cell r="H36">
            <v>0.29015729618773595</v>
          </cell>
        </row>
        <row r="38">
          <cell r="H38">
            <v>0.20612619545047067</v>
          </cell>
        </row>
        <row r="40">
          <cell r="H40">
            <v>0.20612619545047067</v>
          </cell>
        </row>
        <row r="42">
          <cell r="H42">
            <v>1.1561345115365738</v>
          </cell>
        </row>
        <row r="45">
          <cell r="I45">
            <v>1.7921206625766874E-2</v>
          </cell>
        </row>
        <row r="50">
          <cell r="H50">
            <v>1.264884620816269</v>
          </cell>
        </row>
        <row r="63">
          <cell r="H63">
            <v>0.29015729618773595</v>
          </cell>
        </row>
        <row r="65">
          <cell r="H65">
            <v>0.17194382525773197</v>
          </cell>
        </row>
        <row r="89">
          <cell r="H89">
            <v>0.19764000000000001</v>
          </cell>
        </row>
        <row r="90">
          <cell r="H90">
            <v>0.18</v>
          </cell>
        </row>
        <row r="709">
          <cell r="H709">
            <v>0.56951477987930177</v>
          </cell>
        </row>
        <row r="2811">
          <cell r="A2811">
            <v>3880</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row r="2">
          <cell r="D2">
            <v>4</v>
          </cell>
        </row>
      </sheetData>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구조직"/>
      <sheetName val="견적기준"/>
      <sheetName val="공사개요"/>
      <sheetName val="실행집계"/>
      <sheetName val="노"/>
      <sheetName val="재"/>
      <sheetName val="장1"/>
      <sheetName val="장2"/>
      <sheetName val="공종별집계"/>
      <sheetName val="비목별집계"/>
      <sheetName val="외주비집계"/>
      <sheetName val="장비-인원"/>
      <sheetName val="간접비집계"/>
      <sheetName val="간접비내역"/>
      <sheetName val="일반경비집계"/>
      <sheetName val="일반경비내역"/>
      <sheetName val="예정공정"/>
      <sheetName val="Sheet6"/>
      <sheetName val="Date"/>
      <sheetName val="ADB6실행예산"/>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Prog Eva."/>
      <sheetName val="MTL"/>
      <sheetName val="Man p."/>
      <sheetName val="fuel "/>
      <sheetName val="spare"/>
      <sheetName val="eq't "/>
      <sheetName val="Exp Eva."/>
      <sheetName val="Claim"/>
      <sheetName val="Prob."/>
      <sheetName val="Fuel Eva."/>
      <sheetName val="Eqt Eva."/>
      <sheetName val="Mat Eva."/>
      <sheetName val="Lab Eva."/>
      <sheetName val="Equ sta."/>
      <sheetName val="eq't plan"/>
      <sheetName val="Exp. plan"/>
      <sheetName val="Summary"/>
      <sheetName val="Work plan"/>
      <sheetName val="Plan 1"/>
      <sheetName val="Sheet3"/>
      <sheetName val="Sheet1"/>
      <sheetName val="Summary of Bills "/>
    </sheetNames>
    <sheetDataSet>
      <sheetData sheetId="0" refreshError="1">
        <row r="2">
          <cell r="B2" t="str">
            <v>Week No. :Week 47</v>
          </cell>
        </row>
        <row r="3">
          <cell r="B3" t="str">
            <v>Duration:Tikemet 7 to Tikemet 13</v>
          </cell>
        </row>
        <row r="4">
          <cell r="B4" t="str">
            <v>Reporting:Date Tikemet 14</v>
          </cell>
        </row>
        <row r="6">
          <cell r="B6" t="str">
            <v>Week No. :Week 48</v>
          </cell>
        </row>
        <row r="7">
          <cell r="B7" t="str">
            <v>Duration:Tikemet 14 to Tikemet 20</v>
          </cell>
        </row>
        <row r="8">
          <cell r="B8" t="str">
            <v>Reporting:Date Tikemet 16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Plan Summary"/>
      <sheetName val="Exp Eva"/>
      <sheetName val="Prog Eva."/>
      <sheetName val="MTL"/>
      <sheetName val="man p sum."/>
      <sheetName val="fuel "/>
      <sheetName val="spare"/>
      <sheetName val="eq't "/>
      <sheetName val="Summary"/>
      <sheetName val="Fuel Eva."/>
      <sheetName val="Eqt Eva."/>
      <sheetName val="Eqt Eva.m"/>
      <sheetName val="Mat Eva."/>
      <sheetName val="Lab Eva."/>
      <sheetName val="Claim"/>
      <sheetName val="Prob."/>
      <sheetName val="Sheet1"/>
      <sheetName val="Sheet1 (2)"/>
    </sheetNames>
    <sheetDataSet>
      <sheetData sheetId="0" refreshError="1">
        <row r="2">
          <cell r="B2" t="str">
            <v>Reporting:Date Tikemet 5</v>
          </cell>
        </row>
        <row r="3">
          <cell r="B3" t="str">
            <v>Week No. 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eq't plan"/>
      <sheetName val="Work plan"/>
      <sheetName val="cost plan"/>
      <sheetName val="OT work"/>
      <sheetName val="OT cost"/>
      <sheetName val="Summary"/>
      <sheetName val="Sheet4"/>
    </sheetNames>
    <sheetDataSet>
      <sheetData sheetId="0">
        <row r="2">
          <cell r="B2" t="str">
            <v>Reporting:Date Tikemet 23</v>
          </cell>
        </row>
        <row r="3">
          <cell r="B3" t="str">
            <v>Reporting Week:Tekemt 21-Tekemt 27,1996(Week No. 49)</v>
          </cell>
        </row>
      </sheetData>
      <sheetData sheetId="1"/>
      <sheetData sheetId="2"/>
      <sheetData sheetId="3"/>
      <sheetData sheetId="4"/>
      <sheetData sheetId="5"/>
      <sheetData sheetId="6"/>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ES"/>
      <sheetName val="IS  "/>
      <sheetName val="I&amp;ES"/>
      <sheetName val="PvsAC "/>
      <sheetName val="mtl"/>
      <sheetName val="man"/>
      <sheetName val="sum eq't "/>
      <sheetName val="spare"/>
      <sheetName val="fuel"/>
      <sheetName val="m.status"/>
      <sheetName val="fuel Eva. (2)"/>
      <sheetName val="Eqt Eva."/>
      <sheetName val="man (sh.)"/>
      <sheetName val="eq't (sh.)"/>
      <sheetName val="O.STANDING PRO."/>
      <sheetName val="Bills of Quantities"/>
      <sheetName val="Sheet4"/>
    </sheetNames>
    <sheetDataSet>
      <sheetData sheetId="0" refreshError="1">
        <row r="2">
          <cell r="B2" t="str">
            <v>Reporting month :Meskerem 1996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s of Quantities"/>
      <sheetName val="Dayworks Bill"/>
      <sheetName val="Summary of Contract"/>
      <sheetName val="MOTOR"/>
      <sheetName val="Sheet4"/>
      <sheetName val="Sheet1"/>
    </sheetNames>
    <sheetDataSet>
      <sheetData sheetId="0">
        <row r="17">
          <cell r="O17">
            <v>327.05</v>
          </cell>
        </row>
        <row r="30">
          <cell r="O30">
            <v>13065</v>
          </cell>
        </row>
        <row r="89">
          <cell r="O89">
            <v>77233.5</v>
          </cell>
        </row>
        <row r="126">
          <cell r="O126">
            <v>363006.8</v>
          </cell>
        </row>
        <row r="151">
          <cell r="O151">
            <v>11442</v>
          </cell>
        </row>
        <row r="201">
          <cell r="O201">
            <v>11134045</v>
          </cell>
        </row>
      </sheetData>
      <sheetData sheetId="1"/>
      <sheetData sheetId="2" refreshError="1"/>
      <sheetData sheetId="3" refreshError="1"/>
      <sheetData sheetId="4" refreshError="1"/>
      <sheetData sheetId="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EQ (270.1~273.1)"/>
      <sheetName val="Detail (2)"/>
      <sheetName val="Sheet1"/>
      <sheetName val="Calculation Sheet (2)"/>
      <sheetName val="Cut to Spoil"/>
      <sheetName val="EQ"/>
      <sheetName val="USM"/>
      <sheetName val="Oddometer"/>
      <sheetName val="Areka Town "/>
      <sheetName val=" Clearing width(260.9~288)"/>
      <sheetName val="Roadbed "/>
      <sheetName val="SubBase"/>
      <sheetName val="LSM"/>
      <sheetName val="Calculation"/>
      <sheetName val="PA(B-2)L"/>
      <sheetName val="PA Summery"/>
      <sheetName val="PA(B-2)F"/>
      <sheetName val="PA Summery (2)"/>
      <sheetName val="PA(B-3)L"/>
      <sheetName val="PA(B-3)F"/>
      <sheetName val="PA(B-4)L"/>
      <sheetName val="PA(B-4)F"/>
      <sheetName val="PA(B-5)L"/>
      <sheetName val="PA(B-5)F"/>
      <sheetName val="PA(B-6)L"/>
      <sheetName val="PA(B-6)F"/>
      <sheetName val="Rebar"/>
      <sheetName val="Material  (2)"/>
      <sheetName val="Material "/>
      <sheetName val="intrmid. Material"/>
      <sheetName val="JU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2">
          <cell r="E12">
            <v>2.7</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견적갑지"/>
      <sheetName val="입찰참가보고 (2)"/>
      <sheetName val="집계표"/>
      <sheetName val="내역"/>
      <sheetName val="부대공II"/>
      <sheetName val="가설사무실"/>
      <sheetName val="조직도"/>
      <sheetName val="카메라"/>
      <sheetName val="토목원가계산서"/>
      <sheetName val="토목원가"/>
      <sheetName val="집계장"/>
      <sheetName val="설계내역"/>
      <sheetName val="제외공종"/>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공정현황보고(3.20) (2)"/>
      <sheetName val="추진공정(법인)3.20"/>
      <sheetName val="공정현황보고(3.27) (2)"/>
      <sheetName val="추진공정(법인)3.27"/>
      <sheetName val="공정현황보고(4.2)"/>
      <sheetName val="표지"/>
      <sheetName val="원가계산"/>
      <sheetName val="원가계산기준"/>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적쒩2002"/>
      <sheetName val="단위내엍목록"/>
      <sheetName val="원가계산서"/>
      <sheetName val="설계내역서"/>
      <sheetName val="제어반공량"/>
      <sheetName val="가격조사"/>
      <sheetName val="제어반견적"/>
      <sheetName val="주요물량"/>
      <sheetName val="ITEM"/>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일반공사"/>
      <sheetName val="정부노임단가"/>
      <sheetName val="DS-LOAD"/>
      <sheetName val="2F 회의실견적(5_14 일대)"/>
      <sheetName val="CONCRETE"/>
      <sheetName val="D-3503"/>
      <sheetName val="P礔CKAGE"/>
      <sheetName val="운반비(전선륐)"/>
      <sheetName val="지급자재"/>
      <sheetName val="차액보증"/>
      <sheetName val="A-4"/>
      <sheetName val="남양시작동자105노65기1.3화1.2"/>
      <sheetName val="건축내역"/>
      <sheetName val="날개벽"/>
      <sheetName val="전기일위대가"/>
      <sheetName val="Y-WORK"/>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공통비"/>
      <sheetName val="경비"/>
      <sheetName val="전차선로 물량표"/>
      <sheetName val="코드"/>
      <sheetName val="설계예산내역서"/>
      <sheetName val="노원열병합  건축공사기성내역서"/>
      <sheetName val="공통가설"/>
      <sheetName val="타공종이기"/>
      <sheetName val="소비자가"/>
      <sheetName val="내역분기"/>
      <sheetName val="자재단가"/>
      <sheetName val="Sheet1 (2)"/>
      <sheetName val="31.고_x0000_RTU"/>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결과조달"/>
      <sheetName val="CODE"/>
      <sheetName val="98지급계획"/>
      <sheetName val="데이타"/>
      <sheetName val="11.자재단가"/>
      <sheetName val="중기사용료"/>
      <sheetName val="부대내역"/>
      <sheetName val="BLOCK(1)"/>
      <sheetName val="일위대가목차"/>
      <sheetName val="ilch"/>
      <sheetName val="터널조도"/>
      <sheetName val="실행내역"/>
      <sheetName val="노무비"/>
      <sheetName val="출근부"/>
      <sheetName val="설계조건"/>
      <sheetName val="안정계산"/>
      <sheetName val="단면검토"/>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G"/>
      <sheetName val="sw1"/>
      <sheetName val="NOMUBI"/>
      <sheetName val="공사비집계"/>
      <sheetName val="투찰"/>
      <sheetName val="TEL"/>
      <sheetName val="I.설계조건"/>
      <sheetName val="단위중량"/>
      <sheetName val="토공(완충)"/>
      <sheetName val="CTEMCOST"/>
      <sheetName val="c_balju"/>
      <sheetName val="토공"/>
      <sheetName val="001"/>
      <sheetName val="금액내역서"/>
      <sheetName val="L형옹벽(key)"/>
      <sheetName val="연결임시"/>
      <sheetName val="현금"/>
      <sheetName val="#REF"/>
      <sheetName val="수량산출"/>
      <sheetName val="DATE"/>
      <sheetName val="토공계산서(부체도로)"/>
      <sheetName val="K1자재(3차등)"/>
      <sheetName val="총계"/>
      <sheetName val="내역서 "/>
      <sheetName val="준검 내역서"/>
      <sheetName val="기초공"/>
      <sheetName val="기둥(원형)"/>
      <sheetName val="구조물철거타공정이월"/>
      <sheetName val="BQ"/>
      <sheetName val="정렬"/>
      <sheetName val="경비2내역"/>
      <sheetName val="BID"/>
      <sheetName val="ABUT수량-A1"/>
      <sheetName val="건축"/>
      <sheetName val="수목단가"/>
      <sheetName val="시설수량표"/>
      <sheetName val="식재수량표"/>
      <sheetName val="일위목록"/>
      <sheetName val="보합"/>
      <sheetName val="견적시담(송포2공구)"/>
      <sheetName val="현장지지물물량"/>
      <sheetName val="집1"/>
      <sheetName val="8.PILE  (돌출)"/>
      <sheetName val="산거각호표"/>
      <sheetName val="판"/>
      <sheetName val="인건비"/>
      <sheetName val="한강운반비"/>
      <sheetName val="기계내역"/>
      <sheetName val="공통부대비"/>
      <sheetName val="단가조사서"/>
      <sheetName val="간선계산"/>
      <sheetName val="맨홀수량집계"/>
      <sheetName val="7.1유효폭"/>
      <sheetName val="백호우계수"/>
      <sheetName val="말뚝물량"/>
      <sheetName val="중기일위대가"/>
      <sheetName val="BJJIN"/>
      <sheetName val="내역서(총)"/>
      <sheetName val="횡배위치"/>
      <sheetName val="관람석제출"/>
      <sheetName val="danga"/>
      <sheetName val="단가"/>
      <sheetName val="시설물일위"/>
      <sheetName val="B"/>
      <sheetName val="환률"/>
      <sheetName val="토목주소"/>
      <sheetName val="프랜트면허"/>
      <sheetName val="공사개요"/>
      <sheetName val="6호기"/>
      <sheetName val="NEWDRAW"/>
      <sheetName val="겉장"/>
      <sheetName val="기성검사원"/>
      <sheetName val="원가"/>
      <sheetName val="토목"/>
      <sheetName val="조도계산서 (도서)"/>
      <sheetName val="몰탈재료산출"/>
      <sheetName val="TOTAL"/>
      <sheetName val="교각1"/>
      <sheetName val="총집계표"/>
      <sheetName val="교각계산"/>
      <sheetName val="3BL공동구 수량"/>
      <sheetName val="BOQ-Summary_Form A2"/>
      <sheetName val="최초침전지집계표"/>
      <sheetName val="설계예산서"/>
      <sheetName val="가공비"/>
      <sheetName val="수량집계"/>
      <sheetName val="총괄집계표"/>
      <sheetName val="자재집계"/>
      <sheetName val="총투자비산정"/>
      <sheetName val="ROE(FI)"/>
      <sheetName val="Sens&amp;Anal"/>
      <sheetName val="단중표"/>
      <sheetName val="#230,#235"/>
      <sheetName val="JUCK"/>
      <sheetName val="토공총괄집계"/>
      <sheetName val="2000년1차"/>
      <sheetName val="2000전체분"/>
      <sheetName val="FACTOR"/>
      <sheetName val="Sheet4"/>
      <sheetName val="손익분석"/>
      <sheetName val="화재 탐지 설비"/>
      <sheetName val="32.銅기기초"/>
      <sheetName val="Site Expenses"/>
      <sheetName val="DIAPHRAGM"/>
      <sheetName val="조경"/>
      <sheetName val="입찰"/>
      <sheetName val="현경"/>
      <sheetName val="노임"/>
      <sheetName val="118.세금과공과"/>
      <sheetName val="March"/>
      <sheetName val="실행예산"/>
      <sheetName val="현장"/>
      <sheetName val="Sheet2"/>
      <sheetName val="(2)"/>
      <sheetName val="fitting"/>
      <sheetName val="기계실"/>
      <sheetName val="조건표"/>
      <sheetName val="DATA(BAC)"/>
      <sheetName val="신공"/>
      <sheetName val="공종별 집계"/>
      <sheetName val="소업1교"/>
      <sheetName val="단면 (2)"/>
      <sheetName val="설변물량"/>
      <sheetName val="점수계산1-2"/>
      <sheetName val="일위대가 (목록)"/>
      <sheetName val="TYPE-B 평균H"/>
      <sheetName val="회사99"/>
      <sheetName val="STORAGE"/>
      <sheetName val="eq_data"/>
      <sheetName val="Dae_Jiju"/>
      <sheetName val="Sikje_ingun"/>
      <sheetName val="TREE_D"/>
      <sheetName val="골조시행"/>
      <sheetName val="EUPDAT2"/>
      <sheetName val="산업개발안내서"/>
      <sheetName val="31.고"/>
      <sheetName val="35_x000e_장주신설"/>
      <sheetName val="FRP배관단가(만수)"/>
      <sheetName val="만수배관단가"/>
      <sheetName val="계산근거"/>
      <sheetName val="년"/>
      <sheetName val="금액집계"/>
      <sheetName val="귀래 설계 공내역서"/>
      <sheetName val="대비표"/>
      <sheetName val="품목"/>
      <sheetName val="dtxl"/>
      <sheetName val="수량산출서"/>
      <sheetName val="woo(mac)"/>
      <sheetName val="장비집계"/>
      <sheetName val="기계경비"/>
      <sheetName val="9GNG운반"/>
      <sheetName val="을"/>
      <sheetName val="여흥"/>
      <sheetName val="Explanation for Page 17"/>
      <sheetName val="사용성검토"/>
      <sheetName val="토목내역"/>
      <sheetName val="터파기및재료"/>
      <sheetName val="단면가정"/>
      <sheetName val="Customer Databas"/>
      <sheetName val="난방열교"/>
      <sheetName val="급탕열교"/>
      <sheetName val="Macro1"/>
      <sheetName val="UNIT"/>
      <sheetName val="장문교(대전)"/>
      <sheetName val="건축(충일분)"/>
      <sheetName val="TABLE"/>
      <sheetName val="입력DATA"/>
      <sheetName val="장비"/>
      <sheetName val="제경비"/>
      <sheetName val="P.M 별"/>
      <sheetName val="견적서"/>
      <sheetName val="전신환매도율"/>
      <sheetName val="일위대가목록"/>
      <sheetName val="한전고리-을"/>
      <sheetName val="아파트건축"/>
      <sheetName val="직노"/>
      <sheetName val="일위대가표"/>
      <sheetName val="내역1"/>
      <sheetName val="연수동"/>
      <sheetName val="Breakdown"/>
      <sheetName val="건축원가계산서"/>
      <sheetName val="1.수인터널"/>
      <sheetName val="공틀공사"/>
      <sheetName val="단가대비표"/>
      <sheetName val="C &amp; G RHS"/>
      <sheetName val="예산변경사항"/>
      <sheetName val="Sheet5"/>
      <sheetName val="2.대외공문"/>
      <sheetName val="원형맨홀수량"/>
      <sheetName val="실시설계"/>
      <sheetName val="8.자재단가"/>
      <sheetName val="45,46"/>
      <sheetName val="계획"/>
      <sheetName val="계획세부"/>
      <sheetName val="사용내역서"/>
      <sheetName val="항목별내역서"/>
      <sheetName val="안전담당자"/>
      <sheetName val="유도원"/>
      <sheetName val="안전사진"/>
      <sheetName val="철거수량"/>
      <sheetName val="전기일위목록"/>
      <sheetName val="설계산출표지"/>
      <sheetName val="공사원가계산서"/>
      <sheetName val="설계산출기초"/>
      <sheetName val="도급예산내역서총괄표"/>
      <sheetName val="을부담운반비"/>
      <sheetName val="운반비산출"/>
      <sheetName val="공사설명서"/>
      <sheetName val="품질 및 특성 보정계수"/>
      <sheetName val="5공철탑검토표"/>
      <sheetName val="4공철탑검토"/>
      <sheetName val="2.예산냴역검토서"/>
      <sheetName val=" 견적서"/>
      <sheetName val="총괄내역서"/>
      <sheetName val="실행철강하도"/>
      <sheetName val="FILE1"/>
      <sheetName val="바닥판"/>
      <sheetName val="TYPE1"/>
      <sheetName val="unit 4"/>
      <sheetName val="단면(RW1)"/>
      <sheetName val="SE-611"/>
      <sheetName val="건물현황"/>
      <sheetName val="재무가정"/>
      <sheetName val="hvac(제어동)"/>
      <sheetName val="major"/>
      <sheetName val="플랜트 설치"/>
      <sheetName val="BOM-Form A.1.III"/>
      <sheetName val="FLANGE"/>
      <sheetName val="VALVE"/>
      <sheetName val="물량산출근거"/>
      <sheetName val="구왤집계표"/>
      <sheetName val="Ⅴ-2.공종별내역"/>
      <sheetName val="관거공사비"/>
      <sheetName val="예산서"/>
      <sheetName val="sum1 (2)"/>
      <sheetName val="개요"/>
      <sheetName val="IMP(MAIN)"/>
      <sheetName val="IMP (REACTOR)"/>
      <sheetName val="PRO_DCI"/>
      <sheetName val="INST_DCI"/>
      <sheetName val="HVAC_DCI"/>
      <sheetName val="PIPE_DCI"/>
      <sheetName val="공사비 내역 (가)"/>
      <sheetName val="1.설계조건"/>
      <sheetName val="지계"/>
      <sheetName val="Sitec120"/>
      <sheetName val="장비당단가 (1)"/>
      <sheetName val="전체총괄표"/>
      <sheetName val="요소별"/>
      <sheetName val="전기요금"/>
      <sheetName val="도급대비"/>
      <sheetName val="조건"/>
      <sheetName val="한전위탁공사비2"/>
      <sheetName val="자료"/>
      <sheetName val="을지"/>
      <sheetName val="1을"/>
      <sheetName val="토 적 표"/>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16_R-C_BANK"/>
      <sheetName val="17_모선배선"/>
      <sheetName val="18_제어및전력케이블"/>
      <sheetName val="19_핏트"/>
      <sheetName val="20_배수로"/>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공구손료_산출내역"/>
      <sheetName val="2F_회의실견적(5_14_일대)"/>
      <sheetName val="남양시작동자105노65기1_3화1_2"/>
      <sheetName val="관리비"/>
      <sheetName val="검색"/>
      <sheetName val="CIVIL"/>
      <sheetName val="dg"/>
      <sheetName val="설계명세서"/>
      <sheetName val="변화치수"/>
      <sheetName val="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61">
          <cell r="B61">
            <v>2.5</v>
          </cell>
          <cell r="C61" t="str">
            <v>KA</v>
          </cell>
          <cell r="D61">
            <v>4.1717686147384132</v>
          </cell>
          <cell r="E61">
            <v>5.5</v>
          </cell>
        </row>
        <row r="62">
          <cell r="B62">
            <v>5</v>
          </cell>
          <cell r="C62" t="str">
            <v>KA</v>
          </cell>
          <cell r="D62">
            <v>8.3435372294768264</v>
          </cell>
          <cell r="E62">
            <v>14</v>
          </cell>
        </row>
        <row r="63">
          <cell r="B63">
            <v>8</v>
          </cell>
          <cell r="C63" t="str">
            <v>KA</v>
          </cell>
          <cell r="D63">
            <v>13.349659567162922</v>
          </cell>
          <cell r="E63">
            <v>14</v>
          </cell>
        </row>
        <row r="64">
          <cell r="B64">
            <v>12.5</v>
          </cell>
          <cell r="C64" t="str">
            <v>KA</v>
          </cell>
          <cell r="D64">
            <v>20.858843073692068</v>
          </cell>
          <cell r="E64">
            <v>22</v>
          </cell>
        </row>
        <row r="65">
          <cell r="B65">
            <v>16</v>
          </cell>
          <cell r="C65" t="str">
            <v>KA</v>
          </cell>
          <cell r="D65">
            <v>26.699319134325844</v>
          </cell>
          <cell r="E65">
            <v>38</v>
          </cell>
        </row>
        <row r="66">
          <cell r="B66">
            <v>20</v>
          </cell>
          <cell r="C66" t="str">
            <v>KA</v>
          </cell>
          <cell r="D66">
            <v>33.374148917907306</v>
          </cell>
          <cell r="E66">
            <v>38</v>
          </cell>
        </row>
        <row r="67">
          <cell r="B67">
            <v>25</v>
          </cell>
          <cell r="C67" t="str">
            <v>KA</v>
          </cell>
          <cell r="D67">
            <v>41.717686147384136</v>
          </cell>
          <cell r="E67">
            <v>60</v>
          </cell>
        </row>
        <row r="68">
          <cell r="B68">
            <v>40</v>
          </cell>
          <cell r="C68" t="str">
            <v>KA</v>
          </cell>
          <cell r="D68">
            <v>66.748297835814611</v>
          </cell>
          <cell r="E68">
            <v>100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CK"/>
      <sheetName val="BID"/>
      <sheetName val="Inquiry"/>
      <sheetName val="MOTOR"/>
      <sheetName val="INPUT"/>
      <sheetName val="001"/>
      <sheetName val="가설건물"/>
      <sheetName val="LNG 1호선 운임"/>
      <sheetName val="공통(20-91)"/>
      <sheetName val="물가시세"/>
      <sheetName val="노임단가"/>
      <sheetName val="대비"/>
      <sheetName val="Summary of Bills "/>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YES"/>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UCK"/>
      <sheetName val="2000년1차"/>
      <sheetName val="2000전체분"/>
      <sheetName val="Sheet1"/>
      <sheetName val="MOTOR"/>
      <sheetName val="guard(mac)"/>
      <sheetName val="REACTION(USD지진시)"/>
      <sheetName val="안정검토"/>
      <sheetName val="REACTION(USE평시)"/>
      <sheetName val="가설건물"/>
      <sheetName val="입찰안"/>
      <sheetName val="세부내역"/>
      <sheetName val="LAB"/>
      <sheetName val="Macro1"/>
      <sheetName val="간접"/>
      <sheetName val="Inquiry"/>
      <sheetName val="INPUT"/>
      <sheetName val="Date"/>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nsistancy"/>
      <sheetName val="Sheet4"/>
      <sheetName val="Exp Eva"/>
      <sheetName val="Prog Eva."/>
      <sheetName val="MTL"/>
      <sheetName val="man p sum."/>
      <sheetName val="spare"/>
      <sheetName val="fuel "/>
      <sheetName val="eq't "/>
      <sheetName val="Summary"/>
      <sheetName val="Fuel Eva."/>
      <sheetName val="Eqt Eva."/>
      <sheetName val="Mat Eva."/>
      <sheetName val="Lab Eva."/>
      <sheetName val="Prob."/>
      <sheetName val="Office Eng'g"/>
      <sheetName val="Beza"/>
      <sheetName val="Dozer"/>
      <sheetName val="Grader"/>
      <sheetName val="Loader"/>
      <sheetName val="DT"/>
      <sheetName val="Excavator"/>
      <sheetName val="crusher"/>
      <sheetName val="Compressor"/>
      <sheetName val="Minor Drainage"/>
      <sheetName val="Data"/>
      <sheetName val="Sheet1"/>
      <sheetName val="Week 34"/>
    </sheetNames>
    <sheetDataSet>
      <sheetData sheetId="0"/>
      <sheetData sheetId="1">
        <row r="2">
          <cell r="B2" t="str">
            <v>Reporting Date: Yekatit 28</v>
          </cell>
        </row>
        <row r="4">
          <cell r="B4" t="str">
            <v>Duration:  Yek 19- Yek 25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wbari Sup"/>
      <sheetName val="Awbari Sewage"/>
      <sheetName val="Ghat Sup"/>
      <sheetName val="Ghat Sewage"/>
      <sheetName val="PAL"/>
      <sheetName val="Ma"/>
      <sheetName val="Eq"/>
      <sheetName val="BOQ"/>
      <sheetName val="txf"/>
      <sheetName val="jjf"/>
      <sheetName val="Rate"/>
      <sheetName val="Data"/>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C2">
            <v>1.29</v>
          </cell>
        </row>
      </sheetData>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ES"/>
      <sheetName val="IS  "/>
      <sheetName val="I&amp;ES"/>
      <sheetName val="PvsAC "/>
      <sheetName val="mtl"/>
      <sheetName val="man "/>
      <sheetName val="sum eq't "/>
      <sheetName val="Equ Uti"/>
      <sheetName val="spare"/>
      <sheetName val="fuel"/>
      <sheetName val="fuel Eva. (2)"/>
      <sheetName val="fuel Eva."/>
      <sheetName val="man (sh.)"/>
      <sheetName val="eq't (sh.)"/>
      <sheetName val="O.STANDING PRO."/>
      <sheetName val="Sheet4"/>
      <sheetName val="장비"/>
      <sheetName val="노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2"/>
      <sheetName val="Sheet1"/>
      <sheetName val="ES"/>
      <sheetName val="I&amp;ES"/>
      <sheetName val="PvsAC "/>
      <sheetName val="man"/>
      <sheetName val="mtl"/>
      <sheetName val="eq't "/>
      <sheetName val="spare"/>
      <sheetName val="fuel"/>
      <sheetName val="m.status"/>
      <sheetName val="Fuel Eva  (2)"/>
      <sheetName val="Eqt Eva."/>
      <sheetName val="man (sh.)"/>
      <sheetName val="eq't (sh.)"/>
      <sheetName val="Prob."/>
      <sheetName val="O.STANDING PRO."/>
      <sheetName val="자압"/>
      <sheetName val="材料"/>
      <sheetName val="Data"/>
    </sheetNames>
    <sheetDataSet>
      <sheetData sheetId="0"/>
      <sheetData sheetId="1"/>
      <sheetData sheetId="2">
        <row r="3">
          <cell r="B3" t="str">
            <v>Reporting Month:Tir, 1996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락"/>
      <sheetName val="진행"/>
      <sheetName val="일정"/>
      <sheetName val="지분"/>
      <sheetName val="봉투"/>
      <sheetName val="업체"/>
      <sheetName val="FAX"/>
      <sheetName val="또FAX"/>
      <sheetName val="자압"/>
      <sheetName val="부대"/>
      <sheetName val="☞참고"/>
      <sheetName val="구수"/>
      <sheetName val="자료"/>
      <sheetName val="현협"/>
      <sheetName val="견출"/>
      <sheetName val="larou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B2" t="str">
            <v>명    칭</v>
          </cell>
          <cell r="D2" t="str">
            <v>단위</v>
          </cell>
          <cell r="E2" t="str">
            <v>수  량</v>
          </cell>
        </row>
        <row r="3">
          <cell r="B3" t="str">
            <v>1. 앙성-산척간 도로 확장 및 포장공사</v>
          </cell>
        </row>
        <row r="4">
          <cell r="B4" t="str">
            <v>교통표지판</v>
          </cell>
          <cell r="D4" t="str">
            <v>M2</v>
          </cell>
          <cell r="E4">
            <v>927</v>
          </cell>
        </row>
        <row r="5">
          <cell r="B5" t="str">
            <v>삼각표지판 단주식</v>
          </cell>
        </row>
        <row r="6">
          <cell r="B6" t="str">
            <v>단주식</v>
          </cell>
          <cell r="C6" t="str">
            <v>1 변1200 M/M</v>
          </cell>
          <cell r="D6" t="str">
            <v>EA</v>
          </cell>
          <cell r="E6">
            <v>39</v>
          </cell>
        </row>
        <row r="7">
          <cell r="B7" t="str">
            <v>내민식</v>
          </cell>
          <cell r="C7" t="str">
            <v>1 변1500 M/M</v>
          </cell>
          <cell r="D7" t="str">
            <v>EA</v>
          </cell>
          <cell r="E7">
            <v>31</v>
          </cell>
        </row>
        <row r="8">
          <cell r="B8" t="str">
            <v>원형표지판</v>
          </cell>
        </row>
        <row r="9">
          <cell r="B9" t="str">
            <v>단주식</v>
          </cell>
          <cell r="C9" t="str">
            <v>Φ 900 M/M</v>
          </cell>
          <cell r="D9" t="str">
            <v>EA</v>
          </cell>
          <cell r="E9">
            <v>23</v>
          </cell>
        </row>
        <row r="10">
          <cell r="B10" t="str">
            <v>내민식</v>
          </cell>
          <cell r="C10" t="str">
            <v>Φ 1200 M/M</v>
          </cell>
          <cell r="D10" t="str">
            <v>EA</v>
          </cell>
          <cell r="E10">
            <v>18</v>
          </cell>
        </row>
        <row r="11">
          <cell r="B11" t="str">
            <v>부착식</v>
          </cell>
          <cell r="C11" t="str">
            <v>Φ 600 M/M</v>
          </cell>
          <cell r="D11" t="str">
            <v>EA</v>
          </cell>
          <cell r="E11">
            <v>12</v>
          </cell>
        </row>
        <row r="12">
          <cell r="B12" t="str">
            <v>안내표지판</v>
          </cell>
        </row>
        <row r="13">
          <cell r="B13" t="str">
            <v>2방향예고표지</v>
          </cell>
        </row>
        <row r="14">
          <cell r="B14" t="str">
            <v>복주식</v>
          </cell>
          <cell r="C14" t="str">
            <v>2500*1750 M/M</v>
          </cell>
          <cell r="D14" t="str">
            <v>EA</v>
          </cell>
          <cell r="E14">
            <v>11</v>
          </cell>
        </row>
        <row r="15">
          <cell r="B15" t="str">
            <v>내민식</v>
          </cell>
          <cell r="C15" t="str">
            <v>2900*2000 M/M</v>
          </cell>
          <cell r="D15" t="str">
            <v>EA</v>
          </cell>
          <cell r="E15">
            <v>1</v>
          </cell>
        </row>
        <row r="16">
          <cell r="B16" t="str">
            <v>3방향예고표지</v>
          </cell>
        </row>
        <row r="17">
          <cell r="B17" t="str">
            <v>복주식</v>
          </cell>
          <cell r="C17" t="str">
            <v>3850*1900 M/M</v>
          </cell>
          <cell r="D17" t="str">
            <v>EA</v>
          </cell>
          <cell r="E17">
            <v>10</v>
          </cell>
        </row>
        <row r="18">
          <cell r="B18" t="str">
            <v>내민식</v>
          </cell>
          <cell r="C18" t="str">
            <v>4450*2200 M/M</v>
          </cell>
          <cell r="D18" t="str">
            <v>EA</v>
          </cell>
          <cell r="E18">
            <v>10</v>
          </cell>
        </row>
        <row r="19">
          <cell r="B19" t="str">
            <v>출구점예고표지</v>
          </cell>
          <cell r="C19" t="str">
            <v>2600*1450,복주식</v>
          </cell>
          <cell r="D19" t="str">
            <v>EA</v>
          </cell>
          <cell r="E19">
            <v>22</v>
          </cell>
        </row>
        <row r="20">
          <cell r="B20" t="str">
            <v>보조표지판</v>
          </cell>
          <cell r="C20" t="str">
            <v>한변900M/M,600*200</v>
          </cell>
          <cell r="D20" t="str">
            <v>EA</v>
          </cell>
          <cell r="E20">
            <v>2</v>
          </cell>
        </row>
        <row r="21">
          <cell r="B21" t="str">
            <v>면경계표지</v>
          </cell>
          <cell r="C21" t="str">
            <v>1400*700,복주식</v>
          </cell>
          <cell r="D21" t="str">
            <v>EA</v>
          </cell>
          <cell r="E21">
            <v>10</v>
          </cell>
        </row>
        <row r="22">
          <cell r="B22" t="str">
            <v>시선유도표지</v>
          </cell>
        </row>
        <row r="23">
          <cell r="B23" t="str">
            <v>갈매기표지판</v>
          </cell>
        </row>
        <row r="24">
          <cell r="B24" t="str">
            <v>"</v>
          </cell>
          <cell r="C24" t="str">
            <v>단면,AL 600*300M/M</v>
          </cell>
          <cell r="D24" t="str">
            <v>EA</v>
          </cell>
          <cell r="E24">
            <v>12</v>
          </cell>
        </row>
        <row r="25">
          <cell r="B25" t="str">
            <v>"</v>
          </cell>
          <cell r="C25" t="str">
            <v>양면,AL 600*300M/M</v>
          </cell>
          <cell r="D25" t="str">
            <v>EA</v>
          </cell>
          <cell r="E25">
            <v>4</v>
          </cell>
        </row>
        <row r="26">
          <cell r="B26" t="str">
            <v>데리네이터</v>
          </cell>
        </row>
        <row r="27">
          <cell r="B27" t="str">
            <v>"</v>
          </cell>
          <cell r="C27" t="str">
            <v>토 공 용</v>
          </cell>
          <cell r="D27" t="str">
            <v>EA</v>
          </cell>
          <cell r="E27">
            <v>126</v>
          </cell>
        </row>
        <row r="28">
          <cell r="B28" t="str">
            <v>"</v>
          </cell>
          <cell r="C28" t="str">
            <v>가드레일용</v>
          </cell>
          <cell r="D28" t="str">
            <v>EA</v>
          </cell>
          <cell r="E28">
            <v>233</v>
          </cell>
        </row>
        <row r="29">
          <cell r="B29" t="str">
            <v>"</v>
          </cell>
          <cell r="C29" t="str">
            <v>교 량 용</v>
          </cell>
          <cell r="D29" t="str">
            <v>EA</v>
          </cell>
          <cell r="E29">
            <v>70</v>
          </cell>
        </row>
        <row r="30">
          <cell r="B30" t="str">
            <v>"</v>
          </cell>
          <cell r="C30" t="str">
            <v>옹 벽 용</v>
          </cell>
          <cell r="D30" t="str">
            <v>EA</v>
          </cell>
          <cell r="E30">
            <v>119</v>
          </cell>
        </row>
        <row r="31">
          <cell r="B31" t="str">
            <v>도로표지병</v>
          </cell>
          <cell r="D31" t="str">
            <v>EA</v>
          </cell>
          <cell r="E31">
            <v>2434</v>
          </cell>
        </row>
        <row r="32">
          <cell r="B32" t="str">
            <v>가드레일</v>
          </cell>
        </row>
        <row r="33">
          <cell r="B33" t="str">
            <v>표준레일</v>
          </cell>
          <cell r="C33" t="str">
            <v>H700*W4000 M/M</v>
          </cell>
          <cell r="D33" t="str">
            <v>경간</v>
          </cell>
          <cell r="E33">
            <v>3940</v>
          </cell>
        </row>
        <row r="34">
          <cell r="B34" t="str">
            <v>단부구간</v>
          </cell>
          <cell r="C34" t="str">
            <v>H700*W765 M/M</v>
          </cell>
          <cell r="D34" t="str">
            <v>EA소</v>
          </cell>
          <cell r="E34">
            <v>92</v>
          </cell>
        </row>
        <row r="35">
          <cell r="B35" t="str">
            <v>낙석방지책</v>
          </cell>
        </row>
        <row r="36">
          <cell r="B36" t="str">
            <v>표준구간</v>
          </cell>
          <cell r="C36" t="str">
            <v>H3000*W2000 M/M</v>
          </cell>
          <cell r="D36" t="str">
            <v>경간</v>
          </cell>
          <cell r="E36">
            <v>2287</v>
          </cell>
        </row>
        <row r="37">
          <cell r="B37" t="str">
            <v>단부구간</v>
          </cell>
          <cell r="C37" t="str">
            <v>H3000*W2000 M/M</v>
          </cell>
          <cell r="D37" t="str">
            <v>EA소</v>
          </cell>
          <cell r="E37">
            <v>54</v>
          </cell>
        </row>
        <row r="38">
          <cell r="B38" t="str">
            <v>낙석방지망</v>
          </cell>
          <cell r="C38" t="str">
            <v>H3000*3000 M/M</v>
          </cell>
          <cell r="D38" t="str">
            <v>㎡</v>
          </cell>
          <cell r="E38">
            <v>1218</v>
          </cell>
        </row>
        <row r="39">
          <cell r="B39" t="str">
            <v>방 음 벽</v>
          </cell>
        </row>
        <row r="40">
          <cell r="B40" t="str">
            <v>토 공 용</v>
          </cell>
        </row>
        <row r="41">
          <cell r="B41" t="str">
            <v>"</v>
          </cell>
          <cell r="C41" t="str">
            <v>H=2.0M</v>
          </cell>
          <cell r="D41" t="str">
            <v>M</v>
          </cell>
          <cell r="E41">
            <v>1040</v>
          </cell>
        </row>
        <row r="42">
          <cell r="B42" t="str">
            <v>"</v>
          </cell>
          <cell r="C42" t="str">
            <v>H=4.5M</v>
          </cell>
          <cell r="D42" t="str">
            <v>M</v>
          </cell>
          <cell r="E42">
            <v>400</v>
          </cell>
        </row>
        <row r="43">
          <cell r="B43" t="str">
            <v>교 량 용</v>
          </cell>
          <cell r="C43" t="str">
            <v>H=2.0M</v>
          </cell>
          <cell r="D43" t="str">
            <v>M</v>
          </cell>
          <cell r="E43">
            <v>120</v>
          </cell>
        </row>
        <row r="45">
          <cell r="B45" t="str">
            <v>2. 강진-장흥간 도로 확장 및 포장공사</v>
          </cell>
        </row>
        <row r="46">
          <cell r="B46" t="str">
            <v>교통표지판(삼각)</v>
          </cell>
          <cell r="C46" t="str">
            <v>(L=1200)</v>
          </cell>
          <cell r="D46" t="str">
            <v>EA</v>
          </cell>
          <cell r="E46">
            <v>34</v>
          </cell>
        </row>
        <row r="47">
          <cell r="B47" t="str">
            <v>교통표지판(원형)</v>
          </cell>
          <cell r="C47" t="str">
            <v>(φ900)</v>
          </cell>
          <cell r="D47" t="str">
            <v>EA</v>
          </cell>
          <cell r="E47">
            <v>6</v>
          </cell>
        </row>
        <row r="48">
          <cell r="B48" t="str">
            <v>교통표지판(이중원형)</v>
          </cell>
          <cell r="C48" t="str">
            <v>(D=0.9+0.9)</v>
          </cell>
          <cell r="D48" t="str">
            <v>EA</v>
          </cell>
          <cell r="E48">
            <v>26</v>
          </cell>
        </row>
        <row r="49">
          <cell r="B49" t="str">
            <v>원형표지판</v>
          </cell>
          <cell r="C49" t="str">
            <v>(φ0.9부착식)</v>
          </cell>
          <cell r="D49" t="str">
            <v>EA</v>
          </cell>
          <cell r="E49">
            <v>6</v>
          </cell>
        </row>
        <row r="50">
          <cell r="B50" t="str">
            <v>2방향예고403-3</v>
          </cell>
          <cell r="C50" t="str">
            <v>(2.9*2.0)(내민식)</v>
          </cell>
          <cell r="D50" t="str">
            <v>EA</v>
          </cell>
          <cell r="E50">
            <v>10</v>
          </cell>
        </row>
        <row r="51">
          <cell r="B51" t="str">
            <v>2방향표지403-4</v>
          </cell>
          <cell r="C51" t="str">
            <v>(2.9*2.0)(내민식)</v>
          </cell>
          <cell r="D51" t="str">
            <v>EA</v>
          </cell>
          <cell r="E51">
            <v>10</v>
          </cell>
        </row>
        <row r="52">
          <cell r="B52" t="str">
            <v>2방향예고403-5</v>
          </cell>
          <cell r="C52" t="str">
            <v>(3.0*2.0)(복주식)</v>
          </cell>
          <cell r="D52" t="str">
            <v>EA</v>
          </cell>
          <cell r="E52">
            <v>3</v>
          </cell>
        </row>
        <row r="53">
          <cell r="B53" t="str">
            <v>2방향표지403-6</v>
          </cell>
          <cell r="C53" t="str">
            <v>(3.0*2.0)(복주식)</v>
          </cell>
          <cell r="D53" t="str">
            <v>EA</v>
          </cell>
          <cell r="E53">
            <v>5</v>
          </cell>
        </row>
        <row r="54">
          <cell r="B54" t="str">
            <v>버스정류장표지판</v>
          </cell>
          <cell r="C54" t="str">
            <v>(2.42*1.2)(복주식)</v>
          </cell>
          <cell r="D54" t="str">
            <v>EA</v>
          </cell>
          <cell r="E54">
            <v>4</v>
          </cell>
        </row>
        <row r="55">
          <cell r="B55" t="str">
            <v>이정표지402-2</v>
          </cell>
          <cell r="C55" t="str">
            <v>(3.05*2.1)(내민식)</v>
          </cell>
          <cell r="D55" t="str">
            <v>EA</v>
          </cell>
          <cell r="E55">
            <v>4</v>
          </cell>
        </row>
        <row r="56">
          <cell r="B56" t="str">
            <v>소형사각표지판</v>
          </cell>
          <cell r="C56" t="str">
            <v>(0.6*0.2)</v>
          </cell>
          <cell r="D56" t="str">
            <v>EA</v>
          </cell>
          <cell r="E56">
            <v>2</v>
          </cell>
        </row>
        <row r="57">
          <cell r="B57" t="str">
            <v>하천안내표지</v>
          </cell>
          <cell r="C57" t="str">
            <v>(2.5*1.65)</v>
          </cell>
          <cell r="D57" t="str">
            <v>EA</v>
          </cell>
          <cell r="E57">
            <v>2</v>
          </cell>
        </row>
        <row r="58">
          <cell r="B58" t="str">
            <v>출구점2방향표지</v>
          </cell>
          <cell r="C58" t="str">
            <v>(3.4*0.95)(복주식)</v>
          </cell>
          <cell r="D58" t="str">
            <v>EA</v>
          </cell>
          <cell r="E58">
            <v>6</v>
          </cell>
        </row>
        <row r="59">
          <cell r="B59" t="str">
            <v>군계표지</v>
          </cell>
          <cell r="C59" t="str">
            <v>(1.4*0.70+1.4*0.3)</v>
          </cell>
          <cell r="D59" t="str">
            <v>EA</v>
          </cell>
          <cell r="E59">
            <v>2</v>
          </cell>
        </row>
        <row r="60">
          <cell r="B60" t="str">
            <v>소분리대반사판</v>
          </cell>
          <cell r="C60" t="str">
            <v>(500*300)</v>
          </cell>
          <cell r="D60" t="str">
            <v>EA</v>
          </cell>
          <cell r="E60">
            <v>6</v>
          </cell>
        </row>
        <row r="61">
          <cell r="B61" t="str">
            <v>가드레일</v>
          </cell>
        </row>
        <row r="62">
          <cell r="B62" t="str">
            <v>가드레일</v>
          </cell>
          <cell r="C62" t="str">
            <v>(표준레일)</v>
          </cell>
          <cell r="D62" t="str">
            <v>m</v>
          </cell>
          <cell r="E62">
            <v>61784</v>
          </cell>
        </row>
        <row r="63">
          <cell r="B63" t="str">
            <v>가드레일</v>
          </cell>
          <cell r="C63" t="str">
            <v>(단부레일)</v>
          </cell>
          <cell r="D63" t="str">
            <v>EA</v>
          </cell>
          <cell r="E63">
            <v>99</v>
          </cell>
        </row>
        <row r="64">
          <cell r="B64" t="str">
            <v>가드레일포스트</v>
          </cell>
          <cell r="C64" t="str">
            <v>(L=2.2m)</v>
          </cell>
          <cell r="D64" t="str">
            <v>EA</v>
          </cell>
          <cell r="E64">
            <v>14412</v>
          </cell>
        </row>
        <row r="65">
          <cell r="B65" t="str">
            <v>가드레일포스트</v>
          </cell>
          <cell r="C65" t="str">
            <v>(L=1.93m)</v>
          </cell>
          <cell r="D65" t="str">
            <v>EA</v>
          </cell>
          <cell r="E65">
            <v>27</v>
          </cell>
        </row>
        <row r="66">
          <cell r="B66" t="str">
            <v>가드레일포스트</v>
          </cell>
          <cell r="C66" t="str">
            <v>(L=1.76m)</v>
          </cell>
          <cell r="D66" t="str">
            <v>EA</v>
          </cell>
          <cell r="E66">
            <v>27</v>
          </cell>
        </row>
        <row r="67">
          <cell r="B67" t="str">
            <v>가드레일포스트</v>
          </cell>
          <cell r="C67" t="str">
            <v>(L=1.1m)중분대</v>
          </cell>
          <cell r="D67" t="str">
            <v>EA</v>
          </cell>
          <cell r="E67">
            <v>1092</v>
          </cell>
        </row>
        <row r="68">
          <cell r="B68" t="str">
            <v>라운드레일</v>
          </cell>
          <cell r="C68" t="str">
            <v>(중분대)</v>
          </cell>
          <cell r="D68" t="str">
            <v>EA</v>
          </cell>
          <cell r="E68">
            <v>70</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ock Summary"/>
      <sheetName val="Summary"/>
      <sheetName val="Sub Structure BC = 300"/>
      <sheetName val="Ar &amp; St"/>
      <sheetName val="E-1 300kp Res. Sup St."/>
      <sheetName val="RB E-1 300kp Res. Super St."/>
      <sheetName val="Structural Steel Works"/>
      <sheetName val="roofing"/>
      <sheetName val="truss"/>
      <sheetName val="lattice purlin"/>
      <sheetName val="Sheet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량산출서"/>
      <sheetName val="수량산출서"/>
      <sheetName val="공량산출서약전"/>
      <sheetName val="수량산출서약전"/>
      <sheetName val="JUCKEYK"/>
      <sheetName val="공종별집계"/>
      <sheetName val="자압"/>
      <sheetName val="V-VESSEL (WITH DEMISTER)"/>
      <sheetName val="MOTOR"/>
      <sheetName val="영업소실적"/>
      <sheetName val="97 사업추정(WEKI)"/>
      <sheetName val="자압1"/>
      <sheetName val="Date"/>
      <sheetName val="1-PAGE"/>
      <sheetName val="1-IPC"/>
      <sheetName val="P.adjust Factor"/>
      <sheetName val="P.adjustment"/>
      <sheetName val="5-Material Credit"/>
      <sheetName val="6-Late Pay.&amp;Intr."/>
      <sheetName val="7-Summary"/>
      <sheetName val="8-Bill-1"/>
      <sheetName val="9-Bill-2"/>
      <sheetName val="10-Bill-3"/>
      <sheetName val="11-Bill-4"/>
      <sheetName val="12-Bill-5"/>
      <sheetName val="13-Bill-6"/>
      <sheetName val="14-Bill-7"/>
      <sheetName val="15-Bill-8.1 (Weito)"/>
      <sheetName val="16-Bill-8.2 (Kako)"/>
      <sheetName val="17-Bill-9 (Ancillary)"/>
      <sheetName val="19-Dayworks 1"/>
      <sheetName val="19-Dayworks 2"/>
      <sheetName val="20-Prov. Sums"/>
      <sheetName val="B-1-1"/>
      <sheetName val="B-1-2"/>
      <sheetName val="B-1-3"/>
      <sheetName val="B-1-4"/>
      <sheetName val="B-1-5"/>
      <sheetName val="B-1-6"/>
      <sheetName val="B-1-7"/>
      <sheetName val="B-1-8"/>
      <sheetName val="B-1-9"/>
      <sheetName val="B-1-10"/>
      <sheetName val="B-1-11"/>
      <sheetName val="B-2-1"/>
      <sheetName val="B-2-2"/>
      <sheetName val="B-2-3"/>
      <sheetName val="B-3-1"/>
      <sheetName val="B-3-2"/>
      <sheetName val="B-3-3"/>
      <sheetName val="B-3-4"/>
      <sheetName val="B-3-5"/>
      <sheetName val="B-3-6"/>
      <sheetName val="B-3-7"/>
      <sheetName val="B-3-8"/>
      <sheetName val="B-3-9"/>
      <sheetName val="B-3-10"/>
      <sheetName val="B-3-11"/>
      <sheetName val="B-3-12"/>
      <sheetName val="B-3-13"/>
      <sheetName val="B-3-14"/>
      <sheetName val="B-3-15"/>
      <sheetName val="B-3-16"/>
      <sheetName val="B-4-1"/>
      <sheetName val="B-4-2"/>
      <sheetName val="B-4-3"/>
      <sheetName val="B-4-4"/>
      <sheetName val="B-4-5"/>
      <sheetName val="B-4-6"/>
      <sheetName val="B-4-7"/>
      <sheetName val="B-5-1"/>
      <sheetName val="B-5-2"/>
      <sheetName val="B-6-1"/>
      <sheetName val="B-6-2"/>
      <sheetName val="B-6-3"/>
      <sheetName val="B-6-4"/>
      <sheetName val="B-7-1"/>
      <sheetName val="B-7-2"/>
      <sheetName val="B-7-3"/>
      <sheetName val="B-7-4"/>
      <sheetName val="Summary of Measure"/>
      <sheetName val="Sheet4"/>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8 Summary"/>
      <sheetName val="08 Ar &amp; St"/>
      <sheetName val="08 A-2 200kp Resi Sup St."/>
      <sheetName val="08 RB A-2 Super St with 16mm"/>
    </sheetNames>
    <sheetDataSet>
      <sheetData sheetId="0">
        <row r="13">
          <cell r="E13">
            <v>0</v>
          </cell>
        </row>
      </sheetData>
      <sheetData sheetId="1">
        <row r="3">
          <cell r="E3" t="str">
            <v xml:space="preserve">  Payment №:</v>
          </cell>
        </row>
      </sheetData>
      <sheetData sheetId="2">
        <row r="1">
          <cell r="B1" t="str">
            <v>Project: Low Cost Housing Development Project</v>
          </cell>
        </row>
      </sheetData>
      <sheetData sheetId="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BDUC"/>
      <sheetName val="BDUC-Summary"/>
      <sheetName val="Summary-Amount"/>
      <sheetName val="Work Load"/>
      <sheetName val="Weekly"/>
      <sheetName val="Cash Flow"/>
      <sheetName val="Equipment sch.Amount (2)"/>
      <sheetName val="Equipment sch."/>
      <sheetName val="Man power sch.Amount"/>
      <sheetName val="Man power sch."/>
      <sheetName val="Material supp sch. Amount"/>
      <sheetName val="Material supp sch."/>
      <sheetName val="Sheet3"/>
    </sheetNames>
    <sheetDataSet>
      <sheetData sheetId="0">
        <row r="1">
          <cell r="A1" t="str">
            <v xml:space="preserve">Dozer </v>
          </cell>
          <cell r="B1">
            <v>1200</v>
          </cell>
        </row>
        <row r="2">
          <cell r="A2" t="str">
            <v xml:space="preserve">Grader </v>
          </cell>
          <cell r="B2">
            <v>975</v>
          </cell>
        </row>
        <row r="3">
          <cell r="A3" t="str">
            <v xml:space="preserve">Vibratory Roller </v>
          </cell>
          <cell r="B3">
            <v>300</v>
          </cell>
        </row>
        <row r="4">
          <cell r="A4" t="str">
            <v xml:space="preserve">Loader </v>
          </cell>
          <cell r="B4">
            <v>600</v>
          </cell>
        </row>
        <row r="5">
          <cell r="A5" t="str">
            <v>Excavator</v>
          </cell>
          <cell r="B5">
            <v>900</v>
          </cell>
        </row>
        <row r="6">
          <cell r="A6" t="str">
            <v xml:space="preserve">Rock Breaker </v>
          </cell>
          <cell r="B6">
            <v>1050</v>
          </cell>
        </row>
        <row r="7">
          <cell r="A7" t="str">
            <v>Dump Truck</v>
          </cell>
          <cell r="B7">
            <v>361.11</v>
          </cell>
        </row>
        <row r="8">
          <cell r="A8" t="str">
            <v>Dump Truck-Qarry Body</v>
          </cell>
          <cell r="B8">
            <v>361.11</v>
          </cell>
        </row>
        <row r="9">
          <cell r="A9" t="str">
            <v xml:space="preserve">Water Truck </v>
          </cell>
          <cell r="B9">
            <v>234</v>
          </cell>
        </row>
        <row r="10">
          <cell r="A10" t="str">
            <v xml:space="preserve">Truck Mixer </v>
          </cell>
          <cell r="B10">
            <v>500</v>
          </cell>
        </row>
        <row r="11">
          <cell r="A11" t="str">
            <v xml:space="preserve">Concrete Mixer </v>
          </cell>
          <cell r="B11">
            <v>60</v>
          </cell>
        </row>
        <row r="12">
          <cell r="A12" t="str">
            <v xml:space="preserve">Vibrator </v>
          </cell>
          <cell r="B12">
            <v>24</v>
          </cell>
        </row>
        <row r="13">
          <cell r="A13" t="str">
            <v>Mini Loader</v>
          </cell>
          <cell r="B13">
            <v>90</v>
          </cell>
        </row>
        <row r="14">
          <cell r="A14" t="str">
            <v>Mini Roller</v>
          </cell>
          <cell r="B14">
            <v>96</v>
          </cell>
        </row>
        <row r="15">
          <cell r="A15" t="str">
            <v xml:space="preserve">Cruhser </v>
          </cell>
          <cell r="B15">
            <v>2640</v>
          </cell>
        </row>
        <row r="16">
          <cell r="A16" t="str">
            <v xml:space="preserve">Generator for crusher </v>
          </cell>
          <cell r="B16">
            <v>300</v>
          </cell>
        </row>
        <row r="17">
          <cell r="A17" t="str">
            <v>Welding Machine</v>
          </cell>
          <cell r="B17">
            <v>40</v>
          </cell>
        </row>
        <row r="18">
          <cell r="A18" t="str">
            <v xml:space="preserve">Welding Generator </v>
          </cell>
          <cell r="B18">
            <v>40</v>
          </cell>
        </row>
        <row r="19">
          <cell r="A19" t="str">
            <v>Mobile Crane</v>
          </cell>
          <cell r="B19">
            <v>1000</v>
          </cell>
        </row>
        <row r="20">
          <cell r="A20" t="str">
            <v>Low Bed</v>
          </cell>
          <cell r="B20">
            <v>300</v>
          </cell>
        </row>
        <row r="26">
          <cell r="A26" t="str">
            <v>Super site Intendant</v>
          </cell>
          <cell r="B26">
            <v>192.30769230769232</v>
          </cell>
        </row>
        <row r="27">
          <cell r="A27" t="str">
            <v>Construction Foreman</v>
          </cell>
          <cell r="B27">
            <v>76.92307692307692</v>
          </cell>
        </row>
        <row r="28">
          <cell r="A28" t="str">
            <v>Construction Foreman (Ass.)</v>
          </cell>
          <cell r="B28">
            <v>38.46153846153846</v>
          </cell>
        </row>
        <row r="29">
          <cell r="A29" t="str">
            <v>Surveyor</v>
          </cell>
          <cell r="B29">
            <v>46.153846153846153</v>
          </cell>
        </row>
        <row r="30">
          <cell r="A30" t="str">
            <v>Level man</v>
          </cell>
          <cell r="B30">
            <v>30.76923076923077</v>
          </cell>
        </row>
        <row r="31">
          <cell r="A31" t="str">
            <v>Chain Man</v>
          </cell>
          <cell r="B31">
            <v>30.76923076923077</v>
          </cell>
        </row>
        <row r="32">
          <cell r="A32" t="str">
            <v>Asphalt Foreman</v>
          </cell>
          <cell r="B32">
            <v>76.92307692307692</v>
          </cell>
        </row>
        <row r="33">
          <cell r="A33" t="str">
            <v>Asphalt Plant Operator</v>
          </cell>
          <cell r="B33">
            <v>115.38461538461539</v>
          </cell>
        </row>
        <row r="34">
          <cell r="A34" t="str">
            <v>Aspalt Plant Foreman</v>
          </cell>
          <cell r="B34">
            <v>92.307692307692307</v>
          </cell>
        </row>
        <row r="35">
          <cell r="A35" t="str">
            <v>Asphalt Plant Electrician</v>
          </cell>
          <cell r="B35">
            <v>123.07692307692308</v>
          </cell>
        </row>
        <row r="36">
          <cell r="A36" t="str">
            <v>Asphalt Paver operator</v>
          </cell>
          <cell r="B36">
            <v>61.53846153846154</v>
          </cell>
        </row>
        <row r="37">
          <cell r="A37" t="str">
            <v>Asphalt Roller operator</v>
          </cell>
          <cell r="B37">
            <v>38.46153846153846</v>
          </cell>
        </row>
        <row r="38">
          <cell r="A38" t="str">
            <v>Crusher Forman</v>
          </cell>
          <cell r="B38">
            <v>138.46153846153845</v>
          </cell>
        </row>
        <row r="39">
          <cell r="A39" t="str">
            <v xml:space="preserve">Crusher Technician </v>
          </cell>
          <cell r="B39">
            <v>61.53846153846154</v>
          </cell>
        </row>
        <row r="40">
          <cell r="A40" t="str">
            <v>Structural Forman</v>
          </cell>
          <cell r="B40">
            <v>46.153846153846153</v>
          </cell>
        </row>
        <row r="41">
          <cell r="A41" t="str">
            <v xml:space="preserve">Mason Forman </v>
          </cell>
          <cell r="B41">
            <v>30.76923076923077</v>
          </cell>
        </row>
        <row r="42">
          <cell r="A42" t="str">
            <v xml:space="preserve">Carpenter Forman </v>
          </cell>
          <cell r="B42">
            <v>30.76923076923077</v>
          </cell>
        </row>
        <row r="43">
          <cell r="A43" t="str">
            <v>Blasting Forman</v>
          </cell>
          <cell r="B43">
            <v>76.92307692307692</v>
          </cell>
        </row>
        <row r="44">
          <cell r="A44" t="str">
            <v>Wagon drill Operator</v>
          </cell>
          <cell r="B44">
            <v>61.53846153846154</v>
          </cell>
        </row>
        <row r="45">
          <cell r="A45" t="str">
            <v>Dozer Operator</v>
          </cell>
          <cell r="B45">
            <v>69.230769230769226</v>
          </cell>
        </row>
        <row r="46">
          <cell r="A46" t="str">
            <v xml:space="preserve">Grader Operator </v>
          </cell>
          <cell r="B46">
            <v>107.69230769230769</v>
          </cell>
        </row>
        <row r="47">
          <cell r="A47" t="str">
            <v xml:space="preserve">Excavator Operator </v>
          </cell>
          <cell r="B47">
            <v>61.53846153846154</v>
          </cell>
        </row>
        <row r="48">
          <cell r="A48" t="str">
            <v>Loader Operator</v>
          </cell>
          <cell r="B48">
            <v>46.153846153846153</v>
          </cell>
        </row>
        <row r="49">
          <cell r="A49" t="str">
            <v xml:space="preserve">Roller Operator </v>
          </cell>
          <cell r="B49">
            <v>30.76923076923077</v>
          </cell>
        </row>
        <row r="50">
          <cell r="A50" t="str">
            <v xml:space="preserve">Water Truck Driver </v>
          </cell>
          <cell r="B50">
            <v>30.76923076923077</v>
          </cell>
        </row>
        <row r="51">
          <cell r="A51" t="str">
            <v>Truck Mixer Driver</v>
          </cell>
          <cell r="B51">
            <v>30.76923076923077</v>
          </cell>
        </row>
        <row r="52">
          <cell r="A52" t="str">
            <v xml:space="preserve">Dump Truck Driver </v>
          </cell>
          <cell r="B52">
            <v>30.76923076923077</v>
          </cell>
        </row>
        <row r="53">
          <cell r="A53" t="str">
            <v xml:space="preserve">Service vehicle Driver </v>
          </cell>
          <cell r="B53">
            <v>23.076923076923077</v>
          </cell>
        </row>
        <row r="54">
          <cell r="A54" t="str">
            <v>Dozer Operator -Ass</v>
          </cell>
          <cell r="B54">
            <v>12.25</v>
          </cell>
        </row>
        <row r="55">
          <cell r="A55" t="str">
            <v>Grader Operator -Ass</v>
          </cell>
          <cell r="B55">
            <v>12.25</v>
          </cell>
        </row>
        <row r="56">
          <cell r="A56" t="str">
            <v>Excavator Operator  Ass</v>
          </cell>
          <cell r="B56">
            <v>12.25</v>
          </cell>
        </row>
        <row r="57">
          <cell r="A57" t="str">
            <v>Loader Operator  Ass</v>
          </cell>
          <cell r="B57">
            <v>12.25</v>
          </cell>
        </row>
        <row r="58">
          <cell r="A58" t="str">
            <v xml:space="preserve">Mini Loader Operator </v>
          </cell>
          <cell r="B58">
            <v>12.25</v>
          </cell>
        </row>
        <row r="59">
          <cell r="A59" t="str">
            <v>Operator Helpers</v>
          </cell>
          <cell r="B59">
            <v>12.25</v>
          </cell>
        </row>
        <row r="60">
          <cell r="A60" t="str">
            <v xml:space="preserve">Mini Roller Operator </v>
          </cell>
          <cell r="B60">
            <v>12.25</v>
          </cell>
        </row>
        <row r="61">
          <cell r="A61" t="str">
            <v xml:space="preserve">Semi skilled labour </v>
          </cell>
          <cell r="B61">
            <v>16.826923076923077</v>
          </cell>
        </row>
        <row r="62">
          <cell r="A62" t="str">
            <v xml:space="preserve">Grade Checker </v>
          </cell>
          <cell r="B62">
            <v>10</v>
          </cell>
        </row>
        <row r="63">
          <cell r="A63" t="str">
            <v>Mason</v>
          </cell>
          <cell r="B63">
            <v>15</v>
          </cell>
        </row>
        <row r="64">
          <cell r="A64" t="str">
            <v xml:space="preserve">Carpenter </v>
          </cell>
          <cell r="B64">
            <v>15</v>
          </cell>
        </row>
        <row r="65">
          <cell r="A65" t="str">
            <v xml:space="preserve">Barbender </v>
          </cell>
          <cell r="B65">
            <v>15</v>
          </cell>
        </row>
        <row r="66">
          <cell r="A66" t="str">
            <v xml:space="preserve">Ass Barbender </v>
          </cell>
          <cell r="B66">
            <v>5</v>
          </cell>
        </row>
        <row r="67">
          <cell r="A67" t="str">
            <v>Daily Labourers</v>
          </cell>
          <cell r="B67">
            <v>5</v>
          </cell>
        </row>
        <row r="68">
          <cell r="A68" t="str">
            <v xml:space="preserve">Mixer Operator </v>
          </cell>
          <cell r="B68">
            <v>16.826923076923077</v>
          </cell>
        </row>
        <row r="69">
          <cell r="A69" t="str">
            <v>Data Collector</v>
          </cell>
          <cell r="B69">
            <v>6.25</v>
          </cell>
        </row>
        <row r="70">
          <cell r="A70" t="str">
            <v xml:space="preserve">Load Counter </v>
          </cell>
          <cell r="B70">
            <v>6.25</v>
          </cell>
        </row>
        <row r="71">
          <cell r="A71" t="str">
            <v xml:space="preserve">Earthwork Forman </v>
          </cell>
          <cell r="B71">
            <v>46.153846153846153</v>
          </cell>
        </row>
        <row r="72">
          <cell r="A72" t="str">
            <v xml:space="preserve">Quary Forman </v>
          </cell>
          <cell r="B72">
            <v>46.153846153846153</v>
          </cell>
        </row>
        <row r="73">
          <cell r="A73" t="str">
            <v>Welder</v>
          </cell>
          <cell r="B73">
            <v>38.46153846153846</v>
          </cell>
        </row>
        <row r="74">
          <cell r="A74" t="str">
            <v>Low Bed Driver</v>
          </cell>
          <cell r="B74">
            <v>72.115384615384613</v>
          </cell>
        </row>
        <row r="76">
          <cell r="A76" t="str">
            <v xml:space="preserve">Fuel </v>
          </cell>
          <cell r="B76">
            <v>15</v>
          </cell>
        </row>
        <row r="77">
          <cell r="A77" t="str">
            <v>Cement OPC</v>
          </cell>
          <cell r="B77">
            <v>280</v>
          </cell>
        </row>
        <row r="78">
          <cell r="A78" t="str">
            <v>Cement PPC</v>
          </cell>
          <cell r="B78">
            <v>210</v>
          </cell>
        </row>
        <row r="79">
          <cell r="A79" t="str">
            <v>Re-Bar G-60</v>
          </cell>
          <cell r="B79">
            <v>23.57</v>
          </cell>
        </row>
        <row r="80">
          <cell r="A80" t="str">
            <v>Re-Bar G-40</v>
          </cell>
          <cell r="B80">
            <v>21</v>
          </cell>
        </row>
        <row r="81">
          <cell r="A81" t="str">
            <v>Black Wire 1.5mm</v>
          </cell>
          <cell r="B81">
            <v>35</v>
          </cell>
        </row>
        <row r="82">
          <cell r="A82" t="str">
            <v xml:space="preserve">Nails </v>
          </cell>
          <cell r="B82">
            <v>37</v>
          </cell>
        </row>
        <row r="83">
          <cell r="A83" t="str">
            <v xml:space="preserve">Sand </v>
          </cell>
          <cell r="B83">
            <v>42.857142857142854</v>
          </cell>
        </row>
        <row r="84">
          <cell r="A84" t="str">
            <v xml:space="preserve">Aggregate </v>
          </cell>
          <cell r="B84">
            <v>504.54</v>
          </cell>
        </row>
        <row r="85">
          <cell r="A85" t="str">
            <v>Masonry stone</v>
          </cell>
          <cell r="B85">
            <v>250</v>
          </cell>
        </row>
        <row r="86">
          <cell r="A86" t="str">
            <v>Hydrated Lime</v>
          </cell>
          <cell r="B86">
            <v>3.6</v>
          </cell>
        </row>
        <row r="87">
          <cell r="A87" t="str">
            <v>Gabion Walls (1*1*0.5)</v>
          </cell>
          <cell r="B87">
            <v>298.3</v>
          </cell>
        </row>
        <row r="88">
          <cell r="A88" t="str">
            <v>Gabion Walls (1*1*1)</v>
          </cell>
          <cell r="B88">
            <v>383.5</v>
          </cell>
        </row>
        <row r="89">
          <cell r="A89" t="str">
            <v>Gabion Mattress Box (4*3*0.3)</v>
          </cell>
          <cell r="B89">
            <v>2130.5</v>
          </cell>
        </row>
        <row r="90">
          <cell r="A90" t="str">
            <v>Gabion Mattress Box (5*2*0.3)</v>
          </cell>
          <cell r="B90">
            <v>2469.6</v>
          </cell>
        </row>
        <row r="91">
          <cell r="A91" t="str">
            <v>Form Work</v>
          </cell>
          <cell r="B91">
            <v>102</v>
          </cell>
        </row>
        <row r="92">
          <cell r="A92" t="str">
            <v>ANFO</v>
          </cell>
          <cell r="B92">
            <v>24</v>
          </cell>
        </row>
        <row r="93">
          <cell r="A93" t="str">
            <v>Dynamite</v>
          </cell>
          <cell r="B93">
            <v>48.199999999999996</v>
          </cell>
        </row>
        <row r="94">
          <cell r="A94" t="str">
            <v>Detonator</v>
          </cell>
          <cell r="B94">
            <v>52</v>
          </cell>
        </row>
        <row r="95">
          <cell r="A95" t="str">
            <v>Cord</v>
          </cell>
          <cell r="B95">
            <v>4.4000000000000004</v>
          </cell>
        </row>
        <row r="96">
          <cell r="A96" t="str">
            <v>Mc 30</v>
          </cell>
          <cell r="B96">
            <v>33.45739130434783</v>
          </cell>
        </row>
        <row r="97">
          <cell r="A97" t="str">
            <v>Mc 3000</v>
          </cell>
          <cell r="B97">
            <v>31.178260869565218</v>
          </cell>
        </row>
        <row r="98">
          <cell r="A98" t="str">
            <v>Bitumen 60/70</v>
          </cell>
          <cell r="B98">
            <v>22.160869565217393</v>
          </cell>
        </row>
        <row r="99">
          <cell r="A99" t="str">
            <v>Bitumen 85/100</v>
          </cell>
          <cell r="B99">
            <v>22.160869565217393</v>
          </cell>
        </row>
        <row r="100">
          <cell r="A100" t="str">
            <v>Metal Panel</v>
          </cell>
          <cell r="B100">
            <v>801</v>
          </cell>
        </row>
        <row r="101">
          <cell r="A101" t="str">
            <v>Eucalyptus  Dia 6cm</v>
          </cell>
          <cell r="B101">
            <v>11</v>
          </cell>
        </row>
        <row r="102">
          <cell r="A102" t="str">
            <v>Eucalyptus  Dia 10cm</v>
          </cell>
          <cell r="B102">
            <v>17</v>
          </cell>
        </row>
        <row r="103">
          <cell r="A103" t="str">
            <v xml:space="preserve">Cobble Stone </v>
          </cell>
          <cell r="B103">
            <v>2</v>
          </cell>
        </row>
        <row r="104">
          <cell r="A104" t="str">
            <v>Crushed Sand</v>
          </cell>
          <cell r="B104">
            <v>450</v>
          </cell>
        </row>
        <row r="105">
          <cell r="A105" t="str">
            <v xml:space="preserve">Geotextile Filter Fabric </v>
          </cell>
          <cell r="B105">
            <v>51</v>
          </cell>
        </row>
      </sheetData>
      <sheetData sheetId="1" refreshError="1"/>
      <sheetData sheetId="2" refreshError="1"/>
      <sheetData sheetId="3" refreshError="1"/>
      <sheetData sheetId="4">
        <row r="89">
          <cell r="I89">
            <v>0</v>
          </cell>
        </row>
      </sheetData>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5 Block Summary"/>
      <sheetName val="05 Summary"/>
      <sheetName val="05 Sub Structure BC = 200"/>
      <sheetName val="05 Ar &amp; St"/>
      <sheetName val="05 A-2 200kp Res. Sub St."/>
      <sheetName val="excavation data for Eshetu Y."/>
      <sheetName val="Trench &amp; Masonry data"/>
      <sheetName val="05 RB A-2 200kp Res. Sub St."/>
      <sheetName val="05 A-2 300kp Sup St."/>
      <sheetName val="05 RB A-2 300kp Res. Super St."/>
      <sheetName val="A-2 blcok work Res."/>
      <sheetName val="Roofing"/>
      <sheetName val="Structural Steel Works old drwg"/>
      <sheetName val="truss old drwg"/>
      <sheetName val="lattice purline old drwg"/>
      <sheetName val="Plastering&amp;Floor Finishing "/>
      <sheetName val="Structural Steel Works "/>
      <sheetName val="truss  new drwg"/>
      <sheetName val="lattice purline new drwg"/>
    </sheetNames>
    <sheetDataSet>
      <sheetData sheetId="0"/>
      <sheetData sheetId="1"/>
      <sheetData sheetId="2"/>
      <sheetData sheetId="3">
        <row r="47">
          <cell r="M47">
            <v>175907</v>
          </cell>
        </row>
      </sheetData>
      <sheetData sheetId="4"/>
      <sheetData sheetId="5"/>
      <sheetData sheetId="6"/>
      <sheetData sheetId="7">
        <row r="1">
          <cell r="G1" t="str">
            <v>PROJECT:</v>
          </cell>
        </row>
      </sheetData>
      <sheetData sheetId="8">
        <row r="1">
          <cell r="B1" t="str">
            <v>Project: Low Cost Housing Development Project</v>
          </cell>
        </row>
      </sheetData>
      <sheetData sheetId="9"/>
      <sheetData sheetId="10">
        <row r="1">
          <cell r="B1" t="str">
            <v>Project: Low Cost Housing Development Project</v>
          </cell>
        </row>
      </sheetData>
      <sheetData sheetId="11"/>
      <sheetData sheetId="12"/>
      <sheetData sheetId="13"/>
      <sheetData sheetId="14"/>
      <sheetData sheetId="15"/>
      <sheetData sheetId="16"/>
      <sheetData sheetId="17"/>
      <sheetData sheetId="18"/>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2"/>
      <sheetName val="Sheet1"/>
      <sheetName val="ES"/>
      <sheetName val="I&amp;ES"/>
      <sheetName val="PvsAC "/>
      <sheetName val="man"/>
      <sheetName val="mtl"/>
      <sheetName val="eq't "/>
      <sheetName val="spare"/>
      <sheetName val="fuel"/>
      <sheetName val="m.status"/>
      <sheetName val="Fuel Eva  (2)"/>
      <sheetName val="Eqt Eva."/>
      <sheetName val="man (sh.)"/>
      <sheetName val="eq't (sh.)"/>
      <sheetName val="Prob."/>
      <sheetName val="O.STANDING PRO."/>
      <sheetName val="cash inflow detail"/>
      <sheetName val="17.SWIMMING POOL FURNITURE"/>
      <sheetName val="MOTOR"/>
      <sheetName val="05 Ar &amp; St"/>
    </sheetNames>
    <sheetDataSet>
      <sheetData sheetId="0"/>
      <sheetData sheetId="1"/>
      <sheetData sheetId="2">
        <row r="3">
          <cell r="B3" t="str">
            <v>Reporting Month:Tir, 1996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UNP"/>
      <sheetName val=" BOQ  ST   UNP"/>
      <sheetName val="SUMMARY  P"/>
      <sheetName val=" BOQ  ST  P "/>
      <sheetName val="TAKEOFF SHEET SUB"/>
      <sheetName val="SUB ST"/>
      <sheetName val="TAKEOFF SHEET SUPER "/>
      <sheetName val="SUPER ST "/>
      <sheetName val="TRUSS T-OFF "/>
    </sheetNames>
    <sheetDataSet>
      <sheetData sheetId="0"/>
      <sheetData sheetId="1"/>
      <sheetData sheetId="2"/>
      <sheetData sheetId="3"/>
      <sheetData sheetId="4"/>
      <sheetData sheetId="5"/>
      <sheetData sheetId="6"/>
      <sheetData sheetId="7">
        <row r="1983">
          <cell r="K1983">
            <v>18214</v>
          </cell>
          <cell r="L1983">
            <v>62291</v>
          </cell>
          <cell r="M1983">
            <v>39852</v>
          </cell>
          <cell r="N1983">
            <v>22448</v>
          </cell>
          <cell r="O1983">
            <v>12261</v>
          </cell>
          <cell r="P1983">
            <v>78030</v>
          </cell>
          <cell r="Q1983">
            <v>22259</v>
          </cell>
        </row>
      </sheetData>
      <sheetData sheetId="8"/>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curve (2)"/>
      <sheetName val="S curve"/>
      <sheetName val="Cash Flow"/>
      <sheetName val="Sheet1"/>
      <sheetName val="Sheet2"/>
      <sheetName val="Sheet3"/>
      <sheetName val="공종별집계"/>
      <sheetName val="Sheet6"/>
      <sheetName val="장비"/>
      <sheetName val="산근1"/>
      <sheetName val="노무"/>
      <sheetName val="자재"/>
      <sheetName val="Cash Flow-1"/>
      <sheetName val="공문 (2)"/>
      <sheetName val="Date"/>
      <sheetName val="Data"/>
    </sheetNames>
    <sheetDataSet>
      <sheetData sheetId="0"/>
      <sheetData sheetId="1"/>
      <sheetData sheetId="2" refreshError="1">
        <row r="6">
          <cell r="G6">
            <v>184376476</v>
          </cell>
        </row>
        <row r="10">
          <cell r="K10">
            <v>0.71446958566088004</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emaining work"/>
      <sheetName val="In qty"/>
      <sheetName val="Mainbuilding"/>
      <sheetName val="Material coded"/>
      <sheetName val="cashinflow"/>
      <sheetName val="Sub Contract"/>
      <sheetName val="Equipment"/>
      <sheetName val="profit-loss"/>
      <sheetName val="Revenue"/>
      <sheetName val="Summary of Cash inflow"/>
      <sheetName val="Summary of Budget"/>
      <sheetName val="Phy. Status &amp; Critical Issues"/>
      <sheetName val="cash inflow detail"/>
      <sheetName val="CBD miazia"/>
      <sheetName val="CBD Ginbot"/>
      <sheetName val="CBD Sene"/>
      <sheetName val="Material quantity"/>
      <sheetName val="Material cost"/>
      <sheetName val="Sub-contract expense"/>
      <sheetName val="sparepart"/>
      <sheetName val="summery"/>
      <sheetName val=" sub-contract expense"/>
      <sheetName val="Lab&amp;subco"/>
      <sheetName val="Labor"/>
      <sheetName val="Lubricant"/>
      <sheetName val="Machinary  (2)"/>
      <sheetName val="Fuel per ma"/>
      <sheetName val="Fuel"/>
      <sheetName val="MP(Skilled Unskilled) "/>
      <sheetName val="MP(Main staffhidar)"/>
      <sheetName val="other overhead cost"/>
    </sheetNames>
    <sheetDataSet>
      <sheetData sheetId="0"/>
      <sheetData sheetId="1"/>
      <sheetData sheetId="2"/>
      <sheetData sheetId="3"/>
      <sheetData sheetId="4"/>
      <sheetData sheetId="5"/>
      <sheetData sheetId="6"/>
      <sheetData sheetId="7"/>
      <sheetData sheetId="8"/>
      <sheetData sheetId="9"/>
      <sheetData sheetId="10">
        <row r="26">
          <cell r="D26">
            <v>16988705.5145</v>
          </cell>
        </row>
      </sheetData>
      <sheetData sheetId="11"/>
      <sheetData sheetId="12"/>
      <sheetData sheetId="13"/>
      <sheetData sheetId="14"/>
      <sheetData sheetId="15"/>
      <sheetData sheetId="16"/>
      <sheetData sheetId="17"/>
      <sheetData sheetId="18">
        <row r="88">
          <cell r="H88">
            <v>8309366.5116384262</v>
          </cell>
        </row>
      </sheetData>
      <sheetData sheetId="19">
        <row r="36">
          <cell r="G36">
            <v>1471008.5515000001</v>
          </cell>
        </row>
      </sheetData>
      <sheetData sheetId="20">
        <row r="13">
          <cell r="J13">
            <v>5384.2800000000007</v>
          </cell>
        </row>
      </sheetData>
      <sheetData sheetId="21"/>
      <sheetData sheetId="22"/>
      <sheetData sheetId="23"/>
      <sheetData sheetId="24"/>
      <sheetData sheetId="25">
        <row r="14">
          <cell r="J14">
            <v>5400</v>
          </cell>
        </row>
      </sheetData>
      <sheetData sheetId="26">
        <row r="26">
          <cell r="J26">
            <v>703850.47200000007</v>
          </cell>
        </row>
      </sheetData>
      <sheetData sheetId="27">
        <row r="26">
          <cell r="G26">
            <v>244436.63999999998</v>
          </cell>
        </row>
      </sheetData>
      <sheetData sheetId="28"/>
      <sheetData sheetId="29">
        <row r="29">
          <cell r="F29">
            <v>472544.80000000005</v>
          </cell>
        </row>
      </sheetData>
      <sheetData sheetId="30">
        <row r="41">
          <cell r="F41">
            <v>306653.25</v>
          </cell>
        </row>
      </sheetData>
      <sheetData sheetId="3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1.OUTDOOR"/>
      <sheetName val="2.LOBBY EQUIPMENT"/>
      <sheetName val="3.HOUSEKEEPING AND CLEANING EQP"/>
      <sheetName val="4.ROOM FURNITURE AND ACCESSORIE"/>
      <sheetName val="5.ROOM LINEN "/>
      <sheetName val="6.BATH LINEN WITH LOGO "/>
      <sheetName val="7.AMENITIES WITH LOGO"/>
      <sheetName val="8.F&amp;B CROCKERY CHARLOTTENBURG G"/>
      <sheetName val="9.GLASSWARE CHEF &amp; SOMMELIER"/>
      <sheetName val="10.CUTLERY ETERNUM CONTOUR"/>
      <sheetName val="11.BANQUET AND RESTAURANT"/>
      <sheetName val="12.TABLE LINEN"/>
      <sheetName val="13.BUFFET EQUIPMENT"/>
      <sheetName val="14.KITCHEN UTENSILS"/>
      <sheetName val="15.BAR ACCESSORIES"/>
      <sheetName val="16.TABLE ACCESSORIES"/>
      <sheetName val="17.SWIMMING POOL FURNITURE"/>
      <sheetName val="17.BAKERY EQUIPMENTS"/>
      <sheetName val="SUMMARY 2"/>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ow r="5">
          <cell r="I5">
            <v>0</v>
          </cell>
        </row>
      </sheetData>
      <sheetData sheetId="18"/>
      <sheetData sheetId="19" refreshError="1"/>
      <sheetData sheetId="20" refreshError="1"/>
      <sheetData sheetId="2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5 Block Summary"/>
      <sheetName val="05 Summary"/>
      <sheetName val="05 Sub Structure BC = 300"/>
      <sheetName val="06 to 08 Ar &amp; St"/>
      <sheetName val="06 to 08 A-2 300kp Res. Sub St."/>
      <sheetName val="05 RB A-2 300kp Res. Sub St."/>
      <sheetName val="05 A-2 300kp Res. Sup St."/>
      <sheetName val="05 RB A-2 300kp Res. Super St."/>
      <sheetName val="A-2 blcok work Res."/>
      <sheetName val="Structural Steel Works"/>
      <sheetName val="Photographs.."/>
      <sheetName val="Photographs"/>
      <sheetName val="progress details "/>
      <sheetName val="project follow-up pg1"/>
      <sheetName val="project follow-up pg2"/>
      <sheetName val="Progress Summary"/>
      <sheetName val="Payment Status"/>
      <sheetName val="Sheet1"/>
      <sheetName val="Sheet2"/>
      <sheetName val="Sheet3"/>
      <sheetName val="Summery Excuted Vs Planned"/>
      <sheetName val="Sub-Contract Prepared"/>
      <sheetName val="Sheet5"/>
      <sheetName val="Material Approval"/>
      <sheetName val="problems encountered  Revis (2"/>
      <sheetName val="Problem encountered"/>
      <sheetName val="problems encountered  Revised"/>
      <sheetName val="problems encountered "/>
      <sheetName val="cash flow (3)"/>
      <sheetName val="Phy. Status &amp; Critical Issues"/>
      <sheetName val="Summary of cashflow backlog"/>
      <sheetName val="cash flow (1)"/>
      <sheetName val="cash flow (2)"/>
      <sheetName val="cash flow ()"/>
      <sheetName val="cash flow"/>
      <sheetName val="Backlog subcontract"/>
      <sheetName val=" Backlog material"/>
      <sheetName val="sub contractor expense  (2)"/>
      <sheetName val="sub contractor expense "/>
      <sheetName val="summary budget"/>
      <sheetName val="Income Statment"/>
      <sheetName val="material balance"/>
      <sheetName val="Sub Contract Evaluation.."/>
      <sheetName val="Sub Contract Evaluation"/>
      <sheetName val="subcontract evaluation"/>
      <sheetName val="material balance (4)"/>
      <sheetName val="material balance (3)"/>
      <sheetName val="Sub Contract Evaluation (2)"/>
      <sheetName val="material balance  (2)"/>
      <sheetName val="material balance "/>
      <sheetName val="Machinery.."/>
      <sheetName val="machinery report11"/>
      <sheetName val="material balance (5)"/>
      <sheetName val="Machineryy"/>
      <sheetName val="Machenery"/>
      <sheetName val="Mahinery"/>
      <sheetName val="Machinery"/>
      <sheetName val="Machinery reportt."/>
      <sheetName val="machinery report3"/>
      <sheetName val="machinery report2"/>
      <sheetName val="machinery report1"/>
      <sheetName val="material balance (2)"/>
      <sheetName val="machinery report"/>
      <sheetName val="material requisition "/>
      <sheetName val="requested but not delivered mat"/>
      <sheetName val="sub contractor expense"/>
      <sheetName val=" analysis"/>
    </sheetNames>
    <sheetDataSet>
      <sheetData sheetId="0" refreshError="1"/>
      <sheetData sheetId="1"/>
      <sheetData sheetId="2"/>
      <sheetData sheetId="3">
        <row r="69">
          <cell r="M69">
            <v>6342</v>
          </cell>
        </row>
      </sheetData>
      <sheetData sheetId="4" refreshError="1"/>
      <sheetData sheetId="5"/>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485">
          <cell r="O485">
            <v>6131758.8908083346</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of Cost"/>
      <sheetName val="Data"/>
      <sheetName val="Plan February ACTUAL Revised"/>
      <sheetName val="Bill"/>
      <sheetName val="Sheet1"/>
      <sheetName val="Equipment Hour Per Section "/>
      <sheetName val="Material Per Section "/>
      <sheetName val="Manpower Per Section"/>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Other Expen. "/>
      <sheetName val="IS"/>
      <sheetName val="Summary"/>
      <sheetName val="Claim"/>
      <sheetName val="MTL"/>
      <sheetName val="Man p."/>
      <sheetName val="fuel "/>
      <sheetName val="spare"/>
      <sheetName val="eq't "/>
      <sheetName val="CPVSA "/>
      <sheetName val="Fuel Eva"/>
      <sheetName val="Eqt Eva."/>
      <sheetName val="Map Eva."/>
      <sheetName val="Plan"/>
      <sheetName val="Plan 1"/>
      <sheetName val="Sheet3"/>
      <sheetName val="Progress"/>
      <sheetName val="Expense"/>
      <sheetName val="Cement"/>
      <sheetName val="Labour "/>
      <sheetName val="Equipment "/>
      <sheetName val="요율"/>
      <sheetName val="자재대"/>
    </sheetNames>
    <sheetDataSet>
      <sheetData sheetId="0">
        <row r="3">
          <cell r="B3" t="str">
            <v>Reporting Week:Tekemt 7-Tekemt 13,1996(Week No. 47)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
    </sheetNames>
    <sheetDataSet>
      <sheetData sheetId="0">
        <row r="16">
          <cell r="C16" t="str">
            <v>Netstation Erection and 400mts H.T line Ext.</v>
          </cell>
          <cell r="D16" t="str">
            <v>1x300/5 A(A/R) KWHM connection.</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 Progeress  (1)"/>
      <sheetName val="work Progeress  2"/>
      <sheetName val="office work (2)"/>
      <sheetName val="Equipment"/>
      <sheetName val="Problem Encounter"/>
      <sheetName val=" TABLE  "/>
      <sheetName val="Detail 2"/>
      <sheetName val="Progress (2)"/>
      <sheetName val="Progress "/>
      <sheetName val="Design status (2)"/>
      <sheetName val="structure plan (2)"/>
      <sheetName val="earthwaork and machinary plan"/>
      <sheetName val="Structure cons. summary (2)"/>
      <sheetName val="STORE BALANCE(2)"/>
      <sheetName val="Structural  (2)"/>
      <sheetName val="Contractors"/>
      <sheetName val="Labratory "/>
      <sheetName val="Surveyor"/>
      <sheetName val="Machinary "/>
      <sheetName val="Earth work "/>
      <sheetName val="Status"/>
      <sheetName val="G001 (3)"/>
      <sheetName val="Detail"/>
      <sheetName val="Earth Work (2)"/>
      <sheetName val="1-b Income VS Expence"/>
      <sheetName val="Status 2"/>
      <sheetName val="1-C Graphical Update"/>
      <sheetName val="Equpiment demand"/>
      <sheetName val="Progress summery"/>
      <sheetName val="Progress"/>
      <sheetName val="Plan Vs. Executed"/>
      <sheetName val="4-1 Man power"/>
      <sheetName val="Material"/>
      <sheetName val="OID"/>
      <sheetName val="4-3 Equipment Rent"/>
      <sheetName val="6-Fuel consumtion"/>
      <sheetName val="Crew formation"/>
      <sheetName val="7-Rental dump truck "/>
      <sheetName val="8-OWN DT Hauling"/>
      <sheetName val="Store Expense"/>
      <sheetName val="indirect and direct  Man Power"/>
      <sheetName val="Direct Man Power"/>
      <sheetName val="Structure"/>
      <sheetName val="Act.Brea.Down Total"/>
      <sheetName val="Sum- Time"/>
      <sheetName val="Sum-Inc &amp; PC"/>
      <sheetName val="Descr.1"/>
      <sheetName val="Sm Act 1"/>
      <sheetName val="Desc.r2"/>
      <sheetName val="Work Exe."/>
      <sheetName val="Descr. 3"/>
      <sheetName val="Descr. 4"/>
      <sheetName val="Descr. 5"/>
      <sheetName val="Descr. 7"/>
      <sheetName val="Descr. 6"/>
      <sheetName val="Sum Inc EQ"/>
      <sheetName val="Others"/>
      <sheetName val="Sum fuel"/>
      <sheetName val="Camp facility"/>
      <sheetName val="Admin D.L"/>
      <sheetName val="Material D.L"/>
      <sheetName val="Structure D.L"/>
      <sheetName val="Surveyor D.L"/>
      <sheetName val="Earth Work"/>
      <sheetName val="Equi &amp; Maintenance"/>
      <sheetName val="Descr.8"/>
      <sheetName val="sm eq"/>
      <sheetName val="sm Fuel"/>
      <sheetName val="sm Lub"/>
      <sheetName val="sm Spare"/>
      <sheetName val="Sum sk lab"/>
      <sheetName val="Sum Inc Lab"/>
      <sheetName val="Con.mat"/>
      <sheetName val="OT(Beza)(w28)"/>
      <sheetName val="Exep."/>
      <sheetName val="Prog Eva.(W28)"/>
      <sheetName val="Descr. 9"/>
      <sheetName val="Plan 4"/>
      <sheetName val="Plan 3"/>
      <sheetName val="Bitumen Escalation"/>
      <sheetName val="expence others"/>
      <sheetName val="Sheet1"/>
      <sheetName val="Sheet2"/>
      <sheetName val="Sheet3"/>
      <sheetName val="Sheet4"/>
      <sheetName val="Sheet6"/>
      <sheetName val="Sheet7"/>
      <sheetName val="Sheet5"/>
      <sheetName val="Sheet9"/>
      <sheetName val="Sheet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virus"/>
      <sheetName val="현장조직도"/>
      <sheetName val="월별직원투입현황"/>
      <sheetName val="현장관리비 산출내역"/>
      <sheetName val="투자및환수내역서"/>
      <sheetName val="현장관리비 집계표"/>
      <sheetName val="물동량변동비"/>
      <sheetName val="예비비산근"/>
      <sheetName val="용역비"/>
      <sheetName val="BOQ-Summary_Form A1"/>
      <sheetName val="BOQ-Summary_Form A2"/>
      <sheetName val="BOQ-Summary_Form A3"/>
      <sheetName val="Attachment_A"/>
      <sheetName val="elect QC"/>
      <sheetName val="Quezon"/>
      <sheetName val="bulcan"/>
      <sheetName val="Bulacan"/>
      <sheetName val="1공구 건정토건 토공"/>
      <sheetName val="1공구 건정토건 철콘"/>
      <sheetName val="내역"/>
      <sheetName val="공량산출서"/>
      <sheetName val="입찰내역서"/>
      <sheetName val="예산변경사항"/>
      <sheetName val="제출내역 (2)"/>
      <sheetName val="woo(mac)"/>
      <sheetName val="BID"/>
      <sheetName val="투찰"/>
      <sheetName val="데리네이타현황"/>
      <sheetName val="0102-poi"/>
      <sheetName val="JUCKEYK"/>
      <sheetName val="노임"/>
      <sheetName val="P-산#1-1(WOWA1)"/>
      <sheetName val="예정(3)"/>
      <sheetName val="주요공사"/>
      <sheetName val="자압"/>
      <sheetName val="B.O.M"/>
      <sheetName val="평가데이터"/>
      <sheetName val="가도공"/>
      <sheetName val="S0"/>
      <sheetName val="동해title"/>
      <sheetName val="SG"/>
      <sheetName val="3.바닥판설계"/>
      <sheetName val="청천내"/>
      <sheetName val="기기리스트"/>
      <sheetName val="단중표-ST"/>
      <sheetName val="실행(경비)"/>
      <sheetName val="A-4"/>
      <sheetName val="집계표"/>
      <sheetName val="날개벽(TYPE2)"/>
      <sheetName val="공종별집계"/>
      <sheetName val="Cash Flow"/>
      <sheetName val="주형"/>
      <sheetName val="WV"/>
      <sheetName val="Sheet1"/>
      <sheetName val="날개벽"/>
      <sheetName val="전체"/>
      <sheetName val="도급내역서(재노경)"/>
      <sheetName val="D-623D"/>
      <sheetName val="DATA"/>
      <sheetName val="유동표"/>
      <sheetName val="단가"/>
      <sheetName val="unit"/>
      <sheetName val="Sheet2"/>
      <sheetName val="GI-LIST"/>
      <sheetName val="집수정(600-700)"/>
      <sheetName val="NHATKY"/>
      <sheetName val="교량전기"/>
      <sheetName val="하수급견적대비"/>
      <sheetName val="제수변수량"/>
      <sheetName val="철거수량(전송)"/>
      <sheetName val="부대내역"/>
      <sheetName val="수량산출"/>
      <sheetName val="장비"/>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1"/>
      <sheetName val="Sheet2"/>
      <sheetName val="Workexc."/>
      <sheetName val="Phy"/>
      <sheetName val="Mat."/>
      <sheetName val="Equ"/>
      <sheetName val="Eqt sta."/>
      <sheetName val="man"/>
      <sheetName val="PRO.LOS"/>
      <sheetName val="Claim"/>
      <sheetName val="Fuel eva."/>
      <sheetName val="노무비"/>
    </sheetNames>
    <sheetDataSet>
      <sheetData sheetId="0"/>
      <sheetData sheetId="1"/>
      <sheetData sheetId="2">
        <row r="2">
          <cell r="B2" t="str">
            <v>Reporting Year:1995</v>
          </cell>
        </row>
      </sheetData>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평야부물량"/>
      <sheetName val="평야공사비"/>
      <sheetName val="수원물량"/>
      <sheetName val="진입도로공사비"/>
      <sheetName val="공사비예비관리공감측설산출내역"/>
      <sheetName val="수원공공사비"/>
      <sheetName val="부대공사"/>
      <sheetName val="시험비산출내역"/>
      <sheetName val="중기운반산출"/>
      <sheetName val="총괄표"/>
      <sheetName val="요율"/>
      <sheetName val="자재대"/>
      <sheetName val="수지예산"/>
      <sheetName val="잡지출산출내역"/>
      <sheetName val="Sheet2"/>
      <sheetName val="표지"/>
      <sheetName val="건축"/>
      <sheetName val="관리,공감"/>
      <sheetName val="설계내역"/>
      <sheetName val="간접"/>
      <sheetName val="이방공사"/>
      <sheetName val="P-Parking"/>
      <sheetName val="단가"/>
      <sheetName val="청천내"/>
      <sheetName val="Date"/>
      <sheetName val="Sheet1"/>
      <sheetName val="설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9">
          <cell r="M19">
            <v>2.8900000000000002E-2</v>
          </cell>
        </row>
        <row r="20">
          <cell r="M20">
            <v>4.3400000000000001E-2</v>
          </cell>
        </row>
        <row r="21">
          <cell r="M21">
            <v>1.52E-2</v>
          </cell>
        </row>
      </sheetData>
      <sheetData sheetId="12" refreshError="1">
        <row r="22">
          <cell r="BE22">
            <v>283445000</v>
          </cell>
          <cell r="BG22">
            <v>244052000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WORK"/>
      <sheetName val="BOQ-Summary_Form A1"/>
      <sheetName val="BOQ-Summary_Form A2"/>
      <sheetName val="BOQ-Summary_Form A3"/>
      <sheetName val="Attachment_A"/>
      <sheetName val="elect QC"/>
      <sheetName val="Quezon"/>
      <sheetName val="bulcan"/>
      <sheetName val="Bulacan"/>
      <sheetName val="YES"/>
      <sheetName val="노무비"/>
      <sheetName val="요율"/>
      <sheetName val="자재대"/>
      <sheetName val="2000년1차"/>
      <sheetName val="전 기"/>
      <sheetName val="CON'C"/>
      <sheetName val="부표총괄"/>
      <sheetName val="Cash Flow"/>
      <sheetName val="Sheet1"/>
      <sheetName val="설계"/>
    </sheetNames>
    <definedNames>
      <definedName name="Macro10"/>
    </defined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옥외보안등"/>
      <sheetName val="전기실"/>
      <sheetName val="전력간선"/>
      <sheetName val="동력설비"/>
      <sheetName val="전등설비"/>
      <sheetName val="전열공사"/>
      <sheetName val="피뢰침설비"/>
      <sheetName val="SNOW"/>
      <sheetName val="주차관제"/>
      <sheetName val="자탐.유도등"/>
      <sheetName val="전화설비"/>
      <sheetName val="TV설비"/>
      <sheetName val="방송설비"/>
      <sheetName val="강당음향"/>
      <sheetName val="CCTV"/>
      <sheetName val="무선통신"/>
      <sheetName val="전기내역서"/>
      <sheetName val="통신내역서"/>
      <sheetName val="전기지급자재"/>
      <sheetName val="통신지급자재"/>
      <sheetName val="감독차량비"/>
      <sheetName val="원가계산"/>
      <sheetName val="총괄표"/>
      <sheetName val="노무비"/>
      <sheetName val="Cash Flow"/>
      <sheetName val="간선계산"/>
      <sheetName val="경북"/>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조명율표"/>
      <sheetName val="기계공사"/>
      <sheetName val="실행대비"/>
      <sheetName val="일반공사"/>
      <sheetName val="적격분석"/>
      <sheetName val="6공구(당초)"/>
      <sheetName val="G.R300경비"/>
      <sheetName val="투찰추정"/>
      <sheetName val="내역서"/>
      <sheetName val="견적서"/>
      <sheetName val="입찰"/>
      <sheetName val="현경"/>
      <sheetName val="인건비"/>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2">
          <cell r="B2">
            <v>53181</v>
          </cell>
        </row>
        <row r="8">
          <cell r="B8">
            <v>70804</v>
          </cell>
        </row>
        <row r="10">
          <cell r="B10">
            <v>73709</v>
          </cell>
        </row>
        <row r="12">
          <cell r="B12">
            <v>103707</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
      <sheetName val="비교(전체)"/>
      <sheetName val="현장경비(전체)"/>
      <sheetName val="비교(삼척교)"/>
      <sheetName val="비교(분할)"/>
      <sheetName val="현장경비(분할)"/>
      <sheetName val="비교(삼척교) (2)"/>
      <sheetName val="Sheet3"/>
      <sheetName val="Sheet2"/>
      <sheetName val="Sheet1"/>
    </sheetNames>
    <sheetDataSet>
      <sheetData sheetId="0" refreshError="1">
        <row r="3">
          <cell r="B3" t="str">
            <v>ITNUM</v>
          </cell>
          <cell r="C3" t="str">
            <v>공    종</v>
          </cell>
          <cell r="D3" t="str">
            <v>규    격</v>
          </cell>
          <cell r="E3" t="str">
            <v>수  량</v>
          </cell>
          <cell r="F3" t="str">
            <v>단위</v>
          </cell>
          <cell r="G3" t="str">
            <v>단  가</v>
          </cell>
          <cell r="H3" t="str">
            <v>금   액</v>
          </cell>
        </row>
        <row r="4">
          <cell r="B4">
            <v>1</v>
          </cell>
          <cell r="C4" t="str">
            <v>토      공</v>
          </cell>
          <cell r="H4">
            <v>22243667455</v>
          </cell>
        </row>
        <row r="5">
          <cell r="B5">
            <v>2</v>
          </cell>
          <cell r="C5" t="str">
            <v>배  수  공</v>
          </cell>
          <cell r="H5">
            <v>5967567764</v>
          </cell>
        </row>
        <row r="6">
          <cell r="B6">
            <v>3</v>
          </cell>
          <cell r="C6" t="str">
            <v>구조물  공</v>
          </cell>
          <cell r="H6">
            <v>25604531247</v>
          </cell>
        </row>
        <row r="7">
          <cell r="B7">
            <v>4</v>
          </cell>
          <cell r="C7" t="str">
            <v>터  널  공</v>
          </cell>
          <cell r="H7">
            <v>11753390470</v>
          </cell>
        </row>
        <row r="8">
          <cell r="B8">
            <v>5</v>
          </cell>
          <cell r="C8" t="str">
            <v>포  장  공</v>
          </cell>
          <cell r="H8">
            <v>8838290340</v>
          </cell>
        </row>
        <row r="9">
          <cell r="B9">
            <v>6</v>
          </cell>
          <cell r="C9" t="str">
            <v>안전시설공</v>
          </cell>
          <cell r="H9">
            <v>1808475120</v>
          </cell>
        </row>
        <row r="10">
          <cell r="B10">
            <v>7</v>
          </cell>
          <cell r="C10" t="str">
            <v>부  대  공</v>
          </cell>
          <cell r="H10">
            <v>9616005090</v>
          </cell>
        </row>
        <row r="12">
          <cell r="C12" t="str">
            <v>순공사비 계</v>
          </cell>
          <cell r="H12">
            <v>85831927486</v>
          </cell>
        </row>
        <row r="13">
          <cell r="C13" t="str">
            <v>간접 노무비</v>
          </cell>
          <cell r="E13">
            <v>1</v>
          </cell>
          <cell r="F13" t="str">
            <v>식</v>
          </cell>
          <cell r="H13">
            <v>5993476000</v>
          </cell>
        </row>
        <row r="14">
          <cell r="C14" t="str">
            <v>산재 보험료</v>
          </cell>
          <cell r="E14">
            <v>1</v>
          </cell>
          <cell r="F14" t="str">
            <v>식</v>
          </cell>
          <cell r="H14">
            <v>1400000000</v>
          </cell>
        </row>
        <row r="15">
          <cell r="C15" t="str">
            <v>안전 관리비</v>
          </cell>
          <cell r="E15">
            <v>1</v>
          </cell>
          <cell r="F15" t="str">
            <v>식</v>
          </cell>
          <cell r="H15">
            <v>1322394000</v>
          </cell>
        </row>
        <row r="16">
          <cell r="C16" t="str">
            <v>기타   경비</v>
          </cell>
          <cell r="E16">
            <v>1</v>
          </cell>
          <cell r="F16" t="str">
            <v>식</v>
          </cell>
          <cell r="H16">
            <v>4994563000</v>
          </cell>
        </row>
        <row r="18">
          <cell r="C18" t="str">
            <v>계</v>
          </cell>
          <cell r="H18">
            <v>99542360486</v>
          </cell>
        </row>
        <row r="19">
          <cell r="C19" t="str">
            <v>일반 관리비</v>
          </cell>
          <cell r="E19">
            <v>1</v>
          </cell>
          <cell r="F19" t="str">
            <v>식</v>
          </cell>
          <cell r="H19">
            <v>4495107000</v>
          </cell>
        </row>
        <row r="20">
          <cell r="C20" t="str">
            <v>이       윤</v>
          </cell>
          <cell r="E20">
            <v>1</v>
          </cell>
          <cell r="F20" t="str">
            <v>식</v>
          </cell>
          <cell r="H20">
            <v>5091354514</v>
          </cell>
        </row>
        <row r="21">
          <cell r="C21" t="str">
            <v>전  기   공</v>
          </cell>
          <cell r="E21">
            <v>1</v>
          </cell>
          <cell r="F21" t="str">
            <v>식</v>
          </cell>
          <cell r="H21">
            <v>1650000000</v>
          </cell>
        </row>
        <row r="22">
          <cell r="C22" t="str">
            <v>고용 보험료</v>
          </cell>
          <cell r="E22">
            <v>1</v>
          </cell>
          <cell r="F22" t="str">
            <v>식</v>
          </cell>
          <cell r="H22">
            <v>221178000</v>
          </cell>
        </row>
        <row r="24">
          <cell r="C24" t="str">
            <v>합        계</v>
          </cell>
          <cell r="H24">
            <v>111000000000</v>
          </cell>
        </row>
        <row r="25">
          <cell r="C25" t="str">
            <v>부가 가치세</v>
          </cell>
          <cell r="E25">
            <v>1</v>
          </cell>
          <cell r="F25" t="str">
            <v>식</v>
          </cell>
          <cell r="H25">
            <v>11100000000</v>
          </cell>
        </row>
        <row r="27">
          <cell r="C27" t="str">
            <v>총       계</v>
          </cell>
          <cell r="H27">
            <v>122100000000</v>
          </cell>
        </row>
        <row r="37">
          <cell r="B37" t="str">
            <v>1.</v>
          </cell>
          <cell r="C37" t="str">
            <v>토  공</v>
          </cell>
          <cell r="H37">
            <v>22243667455</v>
          </cell>
        </row>
        <row r="38">
          <cell r="B38" t="str">
            <v>1)</v>
          </cell>
          <cell r="C38" t="str">
            <v>구조물철거</v>
          </cell>
        </row>
        <row r="39">
          <cell r="B39" t="str">
            <v>가.</v>
          </cell>
          <cell r="C39" t="str">
            <v>철근콘크리트깨기</v>
          </cell>
          <cell r="D39" t="str">
            <v>(T=30cm미만)</v>
          </cell>
          <cell r="E39">
            <v>368</v>
          </cell>
          <cell r="F39" t="str">
            <v>M3</v>
          </cell>
          <cell r="G39">
            <v>100000</v>
          </cell>
          <cell r="H39">
            <v>36800000</v>
          </cell>
        </row>
        <row r="40">
          <cell r="B40" t="str">
            <v>나.</v>
          </cell>
          <cell r="C40" t="str">
            <v>무근콘크리트깨기</v>
          </cell>
          <cell r="D40" t="str">
            <v>(T=30Cm미만)</v>
          </cell>
          <cell r="E40">
            <v>49</v>
          </cell>
          <cell r="F40" t="str">
            <v>M3</v>
          </cell>
          <cell r="G40">
            <v>40000</v>
          </cell>
          <cell r="H40">
            <v>1960000</v>
          </cell>
        </row>
        <row r="41">
          <cell r="B41" t="str">
            <v>다.</v>
          </cell>
          <cell r="C41" t="str">
            <v>P.C BEAM 철거</v>
          </cell>
          <cell r="D41" t="str">
            <v>(L=30M)</v>
          </cell>
          <cell r="E41">
            <v>20</v>
          </cell>
          <cell r="F41" t="str">
            <v>본</v>
          </cell>
          <cell r="G41">
            <v>700000</v>
          </cell>
          <cell r="H41">
            <v>14000000</v>
          </cell>
        </row>
        <row r="42">
          <cell r="B42" t="str">
            <v>라.</v>
          </cell>
          <cell r="C42" t="str">
            <v>아스팔트포장깨기</v>
          </cell>
          <cell r="D42" t="str">
            <v>(기계100%)</v>
          </cell>
          <cell r="E42">
            <v>67</v>
          </cell>
          <cell r="F42" t="str">
            <v>M3</v>
          </cell>
          <cell r="G42">
            <v>8500</v>
          </cell>
          <cell r="H42">
            <v>569500</v>
          </cell>
        </row>
        <row r="43">
          <cell r="B43" t="str">
            <v>마.</v>
          </cell>
          <cell r="C43" t="str">
            <v>아스팔트절단</v>
          </cell>
          <cell r="E43">
            <v>121</v>
          </cell>
          <cell r="F43" t="str">
            <v>M</v>
          </cell>
          <cell r="G43">
            <v>1800</v>
          </cell>
          <cell r="H43">
            <v>217800</v>
          </cell>
        </row>
        <row r="44">
          <cell r="B44" t="str">
            <v>2)</v>
          </cell>
          <cell r="C44" t="str">
            <v>표토제거</v>
          </cell>
          <cell r="H44">
            <v>0</v>
          </cell>
        </row>
        <row r="45">
          <cell r="B45" t="str">
            <v>가.</v>
          </cell>
          <cell r="C45" t="str">
            <v>표토제거</v>
          </cell>
          <cell r="D45" t="str">
            <v>(답구간)</v>
          </cell>
          <cell r="E45">
            <v>5345</v>
          </cell>
          <cell r="F45" t="str">
            <v>M2</v>
          </cell>
          <cell r="G45">
            <v>260</v>
          </cell>
          <cell r="H45">
            <v>1389700</v>
          </cell>
        </row>
        <row r="46">
          <cell r="B46" t="str">
            <v>나.</v>
          </cell>
          <cell r="C46" t="str">
            <v>표토제거</v>
          </cell>
          <cell r="D46" t="str">
            <v>(답외구간)</v>
          </cell>
          <cell r="E46">
            <v>333154</v>
          </cell>
          <cell r="F46" t="str">
            <v>M2</v>
          </cell>
          <cell r="G46">
            <v>190</v>
          </cell>
          <cell r="H46">
            <v>63299260</v>
          </cell>
        </row>
        <row r="47">
          <cell r="B47" t="str">
            <v>3)</v>
          </cell>
          <cell r="C47" t="str">
            <v>벌개 제근</v>
          </cell>
          <cell r="E47">
            <v>307806</v>
          </cell>
          <cell r="F47" t="str">
            <v>M2</v>
          </cell>
          <cell r="G47">
            <v>200</v>
          </cell>
          <cell r="H47">
            <v>61561200</v>
          </cell>
        </row>
        <row r="48">
          <cell r="B48" t="str">
            <v>4)</v>
          </cell>
          <cell r="C48" t="str">
            <v>노반준비공</v>
          </cell>
          <cell r="D48" t="str">
            <v>(절토구간)</v>
          </cell>
          <cell r="E48">
            <v>36928</v>
          </cell>
          <cell r="F48" t="str">
            <v>M2</v>
          </cell>
          <cell r="G48">
            <v>35</v>
          </cell>
          <cell r="H48">
            <v>1292480</v>
          </cell>
        </row>
        <row r="49">
          <cell r="B49" t="str">
            <v>5)</v>
          </cell>
          <cell r="C49" t="str">
            <v>흙깍기공</v>
          </cell>
          <cell r="H49">
            <v>0</v>
          </cell>
        </row>
        <row r="50">
          <cell r="B50" t="str">
            <v>가.</v>
          </cell>
          <cell r="C50" t="str">
            <v>흙깍기</v>
          </cell>
          <cell r="D50" t="str">
            <v>(토  사)</v>
          </cell>
          <cell r="E50">
            <v>337555</v>
          </cell>
          <cell r="F50" t="str">
            <v>M3</v>
          </cell>
          <cell r="G50">
            <v>480</v>
          </cell>
          <cell r="H50">
            <v>162026400</v>
          </cell>
        </row>
        <row r="51">
          <cell r="B51" t="str">
            <v>나.</v>
          </cell>
          <cell r="C51" t="str">
            <v>흙깍기</v>
          </cell>
          <cell r="D51" t="str">
            <v>(리핑암)</v>
          </cell>
          <cell r="E51">
            <v>356727</v>
          </cell>
          <cell r="F51" t="str">
            <v>M3</v>
          </cell>
          <cell r="G51">
            <v>1000</v>
          </cell>
          <cell r="H51">
            <v>356727000</v>
          </cell>
        </row>
        <row r="52">
          <cell r="B52" t="str">
            <v>다.</v>
          </cell>
          <cell r="C52" t="str">
            <v>흙깍기</v>
          </cell>
          <cell r="D52" t="str">
            <v>(발파암,편절)</v>
          </cell>
          <cell r="E52">
            <v>13887</v>
          </cell>
          <cell r="F52" t="str">
            <v>M3</v>
          </cell>
          <cell r="G52">
            <v>15000</v>
          </cell>
          <cell r="H52">
            <v>208305000</v>
          </cell>
        </row>
        <row r="53">
          <cell r="B53" t="str">
            <v>라.</v>
          </cell>
          <cell r="C53" t="str">
            <v>흙깍기</v>
          </cell>
          <cell r="D53" t="str">
            <v>(발파암,브레이카)</v>
          </cell>
          <cell r="E53">
            <v>26034</v>
          </cell>
          <cell r="F53" t="str">
            <v>M3</v>
          </cell>
          <cell r="G53">
            <v>12000</v>
          </cell>
          <cell r="H53">
            <v>312408000</v>
          </cell>
        </row>
        <row r="54">
          <cell r="B54" t="str">
            <v>마.</v>
          </cell>
          <cell r="C54" t="str">
            <v>흙깍기</v>
          </cell>
          <cell r="D54" t="str">
            <v>(발파암,크로울러)</v>
          </cell>
          <cell r="E54">
            <v>1321466</v>
          </cell>
          <cell r="F54" t="str">
            <v>M3</v>
          </cell>
          <cell r="G54">
            <v>6600</v>
          </cell>
          <cell r="H54">
            <v>8721675600</v>
          </cell>
        </row>
        <row r="55">
          <cell r="B55" t="str">
            <v>6)</v>
          </cell>
          <cell r="C55" t="str">
            <v>흙운반공</v>
          </cell>
          <cell r="H55">
            <v>0</v>
          </cell>
        </row>
        <row r="56">
          <cell r="B56" t="str">
            <v>가.</v>
          </cell>
          <cell r="C56" t="str">
            <v>무대</v>
          </cell>
          <cell r="D56" t="str">
            <v>(토  사)</v>
          </cell>
          <cell r="E56">
            <v>189005</v>
          </cell>
          <cell r="F56" t="str">
            <v>M3</v>
          </cell>
          <cell r="H56">
            <v>0</v>
          </cell>
        </row>
        <row r="57">
          <cell r="B57" t="str">
            <v>나.</v>
          </cell>
          <cell r="C57" t="str">
            <v>무대</v>
          </cell>
          <cell r="D57" t="str">
            <v>(리핑암)</v>
          </cell>
          <cell r="E57">
            <v>33404</v>
          </cell>
          <cell r="F57" t="str">
            <v>M3</v>
          </cell>
          <cell r="H57">
            <v>0</v>
          </cell>
        </row>
        <row r="58">
          <cell r="B58" t="str">
            <v>다.</v>
          </cell>
          <cell r="C58" t="str">
            <v>무대</v>
          </cell>
          <cell r="D58" t="str">
            <v>(발파암)</v>
          </cell>
          <cell r="E58">
            <v>48631</v>
          </cell>
          <cell r="F58" t="str">
            <v>M3</v>
          </cell>
          <cell r="G58">
            <v>1600</v>
          </cell>
          <cell r="H58">
            <v>77809600</v>
          </cell>
        </row>
        <row r="59">
          <cell r="B59" t="str">
            <v>라.</v>
          </cell>
          <cell r="C59" t="str">
            <v>도자운반</v>
          </cell>
          <cell r="D59" t="str">
            <v>(토  사)</v>
          </cell>
          <cell r="E59">
            <v>32189</v>
          </cell>
          <cell r="F59" t="str">
            <v>M3</v>
          </cell>
          <cell r="G59">
            <v>430</v>
          </cell>
          <cell r="H59">
            <v>13841270</v>
          </cell>
        </row>
        <row r="60">
          <cell r="B60" t="str">
            <v>마.</v>
          </cell>
          <cell r="C60" t="str">
            <v>도쟈운반</v>
          </cell>
          <cell r="D60" t="str">
            <v>(리핑암)</v>
          </cell>
          <cell r="E60">
            <v>22448</v>
          </cell>
          <cell r="F60" t="str">
            <v>M3</v>
          </cell>
          <cell r="G60">
            <v>450</v>
          </cell>
          <cell r="H60">
            <v>10101600</v>
          </cell>
        </row>
        <row r="61">
          <cell r="B61" t="str">
            <v>바.</v>
          </cell>
          <cell r="C61" t="str">
            <v>도쟈운반</v>
          </cell>
          <cell r="D61" t="str">
            <v>(발파암)</v>
          </cell>
          <cell r="E61">
            <v>56508</v>
          </cell>
          <cell r="F61" t="str">
            <v>M3</v>
          </cell>
          <cell r="G61">
            <v>2600</v>
          </cell>
          <cell r="H61">
            <v>146920800</v>
          </cell>
        </row>
        <row r="62">
          <cell r="B62" t="str">
            <v>사.</v>
          </cell>
          <cell r="C62" t="str">
            <v>덤프운반</v>
          </cell>
          <cell r="D62" t="str">
            <v>(토  사)</v>
          </cell>
          <cell r="E62">
            <v>310096</v>
          </cell>
          <cell r="F62" t="str">
            <v>M3</v>
          </cell>
          <cell r="G62">
            <v>1500</v>
          </cell>
          <cell r="H62">
            <v>465144000</v>
          </cell>
        </row>
        <row r="63">
          <cell r="B63" t="str">
            <v>아.</v>
          </cell>
          <cell r="C63" t="str">
            <v>덤프운반</v>
          </cell>
          <cell r="D63" t="str">
            <v>(리핑암)</v>
          </cell>
          <cell r="E63">
            <v>302569</v>
          </cell>
          <cell r="F63" t="str">
            <v>M3</v>
          </cell>
          <cell r="G63">
            <v>2100</v>
          </cell>
          <cell r="H63">
            <v>635394900</v>
          </cell>
        </row>
        <row r="64">
          <cell r="B64" t="str">
            <v>자.</v>
          </cell>
          <cell r="C64" t="str">
            <v>덤프운반</v>
          </cell>
          <cell r="D64" t="str">
            <v>(발파암)</v>
          </cell>
          <cell r="E64">
            <v>1157191</v>
          </cell>
          <cell r="F64" t="str">
            <v>M3</v>
          </cell>
          <cell r="G64">
            <v>6400</v>
          </cell>
          <cell r="H64">
            <v>7406022400</v>
          </cell>
        </row>
        <row r="65">
          <cell r="B65" t="str">
            <v>차.</v>
          </cell>
          <cell r="C65" t="str">
            <v>순성토운반</v>
          </cell>
          <cell r="D65" t="str">
            <v>(토  사)</v>
          </cell>
          <cell r="E65">
            <v>127366</v>
          </cell>
          <cell r="F65" t="str">
            <v>M3</v>
          </cell>
          <cell r="G65">
            <v>2700</v>
          </cell>
          <cell r="H65">
            <v>343888200</v>
          </cell>
        </row>
        <row r="66">
          <cell r="B66" t="str">
            <v>7)</v>
          </cell>
          <cell r="C66" t="str">
            <v>흙쌓기 및 다짐공</v>
          </cell>
          <cell r="H66">
            <v>0</v>
          </cell>
        </row>
        <row r="67">
          <cell r="B67" t="str">
            <v>가.</v>
          </cell>
          <cell r="C67" t="str">
            <v>흙쌓기</v>
          </cell>
          <cell r="D67" t="str">
            <v>(노체)</v>
          </cell>
          <cell r="E67">
            <v>2234880</v>
          </cell>
          <cell r="F67" t="str">
            <v>M3</v>
          </cell>
          <cell r="G67">
            <v>550</v>
          </cell>
          <cell r="H67">
            <v>1229184000</v>
          </cell>
        </row>
        <row r="68">
          <cell r="B68" t="str">
            <v>나.</v>
          </cell>
          <cell r="C68" t="str">
            <v>흙쌓기</v>
          </cell>
          <cell r="D68" t="str">
            <v>(노상)</v>
          </cell>
          <cell r="E68">
            <v>277285</v>
          </cell>
          <cell r="F68" t="str">
            <v>M3</v>
          </cell>
          <cell r="G68">
            <v>800</v>
          </cell>
          <cell r="H68">
            <v>221828000</v>
          </cell>
        </row>
        <row r="69">
          <cell r="B69" t="str">
            <v>다.</v>
          </cell>
          <cell r="C69" t="str">
            <v>비다짐 성토</v>
          </cell>
          <cell r="D69" t="str">
            <v>(녹지대조성)</v>
          </cell>
          <cell r="E69">
            <v>43865</v>
          </cell>
          <cell r="F69" t="str">
            <v>M3</v>
          </cell>
          <cell r="G69">
            <v>120</v>
          </cell>
          <cell r="H69">
            <v>5263800</v>
          </cell>
        </row>
        <row r="70">
          <cell r="B70" t="str">
            <v>8)</v>
          </cell>
          <cell r="C70" t="str">
            <v>측구뚝쌓기</v>
          </cell>
          <cell r="E70">
            <v>1038</v>
          </cell>
          <cell r="F70" t="str">
            <v>M3</v>
          </cell>
          <cell r="G70">
            <v>2100</v>
          </cell>
          <cell r="H70">
            <v>2179800</v>
          </cell>
        </row>
        <row r="71">
          <cell r="B71" t="str">
            <v>9)</v>
          </cell>
          <cell r="C71" t="str">
            <v>비탈면보호공</v>
          </cell>
          <cell r="H71">
            <v>0</v>
          </cell>
        </row>
        <row r="72">
          <cell r="B72" t="str">
            <v>가.</v>
          </cell>
          <cell r="C72" t="str">
            <v>성토부법면다짐</v>
          </cell>
          <cell r="E72">
            <v>277599</v>
          </cell>
          <cell r="F72" t="str">
            <v>M2</v>
          </cell>
          <cell r="G72">
            <v>75</v>
          </cell>
          <cell r="H72">
            <v>20819925</v>
          </cell>
        </row>
        <row r="73">
          <cell r="B73" t="str">
            <v>나.</v>
          </cell>
          <cell r="C73" t="str">
            <v>줄떼</v>
          </cell>
          <cell r="E73">
            <v>277599</v>
          </cell>
          <cell r="F73" t="str">
            <v>M2</v>
          </cell>
          <cell r="G73">
            <v>3500</v>
          </cell>
          <cell r="H73">
            <v>971596500</v>
          </cell>
        </row>
        <row r="74">
          <cell r="B74" t="str">
            <v>다.</v>
          </cell>
          <cell r="C74" t="str">
            <v>평떼</v>
          </cell>
          <cell r="E74">
            <v>48072</v>
          </cell>
          <cell r="F74" t="str">
            <v>M2</v>
          </cell>
          <cell r="G74">
            <v>6800</v>
          </cell>
          <cell r="H74">
            <v>326889600</v>
          </cell>
        </row>
        <row r="75">
          <cell r="B75" t="str">
            <v>라.</v>
          </cell>
          <cell r="C75" t="str">
            <v>암절개면보호식재공</v>
          </cell>
          <cell r="D75" t="str">
            <v>(T=10cm)</v>
          </cell>
          <cell r="E75">
            <v>196</v>
          </cell>
          <cell r="F75" t="str">
            <v>M2</v>
          </cell>
          <cell r="G75">
            <v>36000</v>
          </cell>
          <cell r="H75">
            <v>7056000</v>
          </cell>
        </row>
        <row r="76">
          <cell r="B76" t="str">
            <v>마.</v>
          </cell>
          <cell r="C76" t="str">
            <v>암절개면보호식재공</v>
          </cell>
          <cell r="D76" t="str">
            <v>(T=15cm)</v>
          </cell>
          <cell r="E76">
            <v>235</v>
          </cell>
          <cell r="F76" t="str">
            <v>M2</v>
          </cell>
          <cell r="G76">
            <v>46000</v>
          </cell>
          <cell r="H76">
            <v>10810000</v>
          </cell>
        </row>
        <row r="77">
          <cell r="B77" t="str">
            <v>10)</v>
          </cell>
          <cell r="C77" t="str">
            <v>면고르기</v>
          </cell>
          <cell r="H77">
            <v>0</v>
          </cell>
        </row>
        <row r="78">
          <cell r="B78" t="str">
            <v>가.</v>
          </cell>
          <cell r="C78" t="str">
            <v>절토부면고르기</v>
          </cell>
          <cell r="D78" t="str">
            <v>(리핑암)</v>
          </cell>
          <cell r="E78">
            <v>33435</v>
          </cell>
          <cell r="F78" t="str">
            <v>M2</v>
          </cell>
          <cell r="G78">
            <v>2100</v>
          </cell>
          <cell r="H78">
            <v>70213500</v>
          </cell>
        </row>
        <row r="79">
          <cell r="B79" t="str">
            <v>나.</v>
          </cell>
          <cell r="C79" t="str">
            <v>절토부면고르기</v>
          </cell>
          <cell r="D79" t="str">
            <v>(발파암)</v>
          </cell>
          <cell r="E79">
            <v>90295</v>
          </cell>
          <cell r="F79" t="str">
            <v>M2</v>
          </cell>
          <cell r="G79">
            <v>3500</v>
          </cell>
          <cell r="H79">
            <v>316032500</v>
          </cell>
        </row>
        <row r="80">
          <cell r="B80" t="str">
            <v>11)</v>
          </cell>
          <cell r="C80" t="str">
            <v>층따기</v>
          </cell>
          <cell r="E80">
            <v>26204</v>
          </cell>
          <cell r="F80" t="str">
            <v>M3</v>
          </cell>
          <cell r="G80">
            <v>780</v>
          </cell>
          <cell r="H80">
            <v>20439120</v>
          </cell>
        </row>
        <row r="81">
          <cell r="B81" t="str">
            <v>2.</v>
          </cell>
          <cell r="C81" t="str">
            <v>배수공</v>
          </cell>
          <cell r="H81">
            <v>5967567764</v>
          </cell>
        </row>
        <row r="82">
          <cell r="B82" t="str">
            <v>1)</v>
          </cell>
          <cell r="C82" t="str">
            <v>측구터파기</v>
          </cell>
          <cell r="H82">
            <v>0</v>
          </cell>
        </row>
        <row r="83">
          <cell r="B83" t="str">
            <v>가.</v>
          </cell>
          <cell r="C83" t="str">
            <v>측구터파기</v>
          </cell>
          <cell r="D83" t="str">
            <v>(토사)</v>
          </cell>
          <cell r="E83">
            <v>29532</v>
          </cell>
          <cell r="F83" t="str">
            <v>M3</v>
          </cell>
          <cell r="G83">
            <v>3800</v>
          </cell>
          <cell r="H83">
            <v>112221600</v>
          </cell>
        </row>
        <row r="84">
          <cell r="B84" t="str">
            <v>나.</v>
          </cell>
          <cell r="C84" t="str">
            <v>측구터파기</v>
          </cell>
          <cell r="D84" t="str">
            <v>(발파암)</v>
          </cell>
          <cell r="E84">
            <v>2238</v>
          </cell>
          <cell r="F84" t="str">
            <v>M3</v>
          </cell>
          <cell r="G84">
            <v>120000</v>
          </cell>
          <cell r="H84">
            <v>268560000</v>
          </cell>
        </row>
        <row r="85">
          <cell r="B85" t="str">
            <v>2)</v>
          </cell>
          <cell r="C85" t="str">
            <v>구조물터파기</v>
          </cell>
          <cell r="H85">
            <v>0</v>
          </cell>
        </row>
        <row r="86">
          <cell r="B86" t="str">
            <v>가.</v>
          </cell>
          <cell r="C86" t="str">
            <v>육상터파기</v>
          </cell>
          <cell r="H86">
            <v>0</v>
          </cell>
        </row>
        <row r="87">
          <cell r="B87" t="str">
            <v>a.</v>
          </cell>
          <cell r="C87" t="str">
            <v>구조물터파기</v>
          </cell>
          <cell r="D87" t="str">
            <v>(육상토사0∼4m)</v>
          </cell>
          <cell r="E87">
            <v>40402</v>
          </cell>
          <cell r="F87" t="str">
            <v>M3</v>
          </cell>
          <cell r="G87">
            <v>3200</v>
          </cell>
          <cell r="H87">
            <v>129286400</v>
          </cell>
        </row>
        <row r="88">
          <cell r="B88" t="str">
            <v>b.</v>
          </cell>
          <cell r="C88" t="str">
            <v>구조물터파기</v>
          </cell>
          <cell r="D88" t="str">
            <v>(육상풍화암0∼4m)</v>
          </cell>
          <cell r="E88">
            <v>129</v>
          </cell>
          <cell r="F88" t="str">
            <v>M3</v>
          </cell>
          <cell r="G88">
            <v>55000</v>
          </cell>
          <cell r="H88">
            <v>7095000</v>
          </cell>
        </row>
        <row r="89">
          <cell r="B89" t="str">
            <v>c.</v>
          </cell>
          <cell r="C89" t="str">
            <v>구조물터파기</v>
          </cell>
          <cell r="D89" t="str">
            <v>(육상발파암0∼4m)</v>
          </cell>
          <cell r="E89">
            <v>4166</v>
          </cell>
          <cell r="F89" t="str">
            <v>M3</v>
          </cell>
          <cell r="G89">
            <v>100000</v>
          </cell>
          <cell r="H89">
            <v>416600000</v>
          </cell>
        </row>
        <row r="90">
          <cell r="B90" t="str">
            <v>나.</v>
          </cell>
          <cell r="C90" t="str">
            <v>수중터파기</v>
          </cell>
          <cell r="H90">
            <v>0</v>
          </cell>
        </row>
        <row r="91">
          <cell r="B91" t="str">
            <v>a.</v>
          </cell>
          <cell r="C91" t="str">
            <v>구조물터파기</v>
          </cell>
          <cell r="D91" t="str">
            <v>(수중토사0∼4m)</v>
          </cell>
          <cell r="E91">
            <v>1500</v>
          </cell>
          <cell r="F91" t="str">
            <v>M3</v>
          </cell>
          <cell r="G91">
            <v>6500</v>
          </cell>
          <cell r="H91">
            <v>9750000</v>
          </cell>
        </row>
        <row r="92">
          <cell r="B92" t="str">
            <v>3)</v>
          </cell>
          <cell r="C92" t="str">
            <v>되메우기 및 다짐공</v>
          </cell>
          <cell r="D92" t="str">
            <v>(인력10％+기계90％)</v>
          </cell>
          <cell r="E92">
            <v>35369</v>
          </cell>
          <cell r="F92" t="str">
            <v>M3</v>
          </cell>
          <cell r="G92">
            <v>2000</v>
          </cell>
          <cell r="H92">
            <v>70738000</v>
          </cell>
        </row>
        <row r="93">
          <cell r="B93" t="str">
            <v>4)</v>
          </cell>
          <cell r="C93" t="str">
            <v>측구공</v>
          </cell>
          <cell r="H93">
            <v>0</v>
          </cell>
        </row>
        <row r="94">
          <cell r="B94" t="str">
            <v>가.</v>
          </cell>
          <cell r="C94" t="str">
            <v>V형 측구 TYPE-2</v>
          </cell>
          <cell r="D94" t="str">
            <v>(H=0.60M)</v>
          </cell>
          <cell r="E94">
            <v>5096</v>
          </cell>
          <cell r="F94" t="str">
            <v>M</v>
          </cell>
          <cell r="G94">
            <v>48000</v>
          </cell>
          <cell r="H94">
            <v>244608000</v>
          </cell>
        </row>
        <row r="95">
          <cell r="B95" t="str">
            <v>나.</v>
          </cell>
          <cell r="C95" t="str">
            <v>산마루측구</v>
          </cell>
          <cell r="E95">
            <v>4061</v>
          </cell>
          <cell r="F95" t="str">
            <v>M</v>
          </cell>
          <cell r="G95">
            <v>51000</v>
          </cell>
          <cell r="H95">
            <v>207111000</v>
          </cell>
        </row>
        <row r="96">
          <cell r="B96" t="str">
            <v>다.</v>
          </cell>
          <cell r="C96" t="str">
            <v>L형 측구</v>
          </cell>
          <cell r="H96">
            <v>0</v>
          </cell>
        </row>
        <row r="97">
          <cell r="B97" t="str">
            <v>a.</v>
          </cell>
          <cell r="C97" t="str">
            <v>L형측구 TYPE-1</v>
          </cell>
          <cell r="D97" t="str">
            <v>(H=0.45)</v>
          </cell>
          <cell r="E97">
            <v>7088</v>
          </cell>
          <cell r="F97" t="str">
            <v>M</v>
          </cell>
          <cell r="G97">
            <v>2700</v>
          </cell>
          <cell r="H97">
            <v>19137600</v>
          </cell>
        </row>
        <row r="98">
          <cell r="B98" t="str">
            <v>b.</v>
          </cell>
          <cell r="C98" t="str">
            <v>L형측구 TYPE-2</v>
          </cell>
          <cell r="D98" t="str">
            <v>(H=1.2M)</v>
          </cell>
          <cell r="E98">
            <v>3355</v>
          </cell>
          <cell r="F98" t="str">
            <v>M</v>
          </cell>
          <cell r="G98">
            <v>61000</v>
          </cell>
          <cell r="H98">
            <v>204655000</v>
          </cell>
        </row>
        <row r="99">
          <cell r="B99" t="str">
            <v>c.</v>
          </cell>
          <cell r="C99" t="str">
            <v>L형측구 TYPE-3</v>
          </cell>
          <cell r="D99" t="str">
            <v>(부체도로)</v>
          </cell>
          <cell r="E99">
            <v>2960</v>
          </cell>
          <cell r="F99" t="str">
            <v>M</v>
          </cell>
          <cell r="G99">
            <v>11500</v>
          </cell>
          <cell r="H99">
            <v>34040000</v>
          </cell>
        </row>
        <row r="100">
          <cell r="B100" t="str">
            <v>라.</v>
          </cell>
          <cell r="C100" t="str">
            <v>U형측구</v>
          </cell>
          <cell r="H100">
            <v>0</v>
          </cell>
        </row>
        <row r="101">
          <cell r="B101" t="str">
            <v>a.</v>
          </cell>
          <cell r="C101" t="str">
            <v>U형측구 TYPE-1</v>
          </cell>
          <cell r="D101" t="str">
            <v>(H=0.15)</v>
          </cell>
          <cell r="E101">
            <v>180</v>
          </cell>
          <cell r="F101" t="str">
            <v>M</v>
          </cell>
          <cell r="G101">
            <v>31000</v>
          </cell>
          <cell r="H101">
            <v>5580000</v>
          </cell>
        </row>
        <row r="102">
          <cell r="B102" t="str">
            <v>b.</v>
          </cell>
          <cell r="C102" t="str">
            <v>U형측구 TYPE-4</v>
          </cell>
          <cell r="D102" t="str">
            <v>(H=1.00M)</v>
          </cell>
          <cell r="E102">
            <v>420</v>
          </cell>
          <cell r="F102" t="str">
            <v>M</v>
          </cell>
          <cell r="G102">
            <v>126000</v>
          </cell>
          <cell r="H102">
            <v>52920000</v>
          </cell>
        </row>
        <row r="103">
          <cell r="B103" t="str">
            <v>c.</v>
          </cell>
          <cell r="C103" t="str">
            <v>U형측구 TYPE-5</v>
          </cell>
          <cell r="D103" t="str">
            <v>(H=0.60M)</v>
          </cell>
          <cell r="E103">
            <v>360</v>
          </cell>
          <cell r="F103" t="str">
            <v>M</v>
          </cell>
          <cell r="G103">
            <v>43000</v>
          </cell>
          <cell r="H103">
            <v>15480000</v>
          </cell>
        </row>
        <row r="104">
          <cell r="B104" t="str">
            <v>d.</v>
          </cell>
          <cell r="C104" t="str">
            <v>U형측구 TYPE-6</v>
          </cell>
          <cell r="D104" t="str">
            <v>(H=0.50M)</v>
          </cell>
          <cell r="E104">
            <v>2093</v>
          </cell>
          <cell r="F104" t="str">
            <v>M</v>
          </cell>
          <cell r="G104">
            <v>40000</v>
          </cell>
          <cell r="H104">
            <v>83720000</v>
          </cell>
        </row>
        <row r="105">
          <cell r="B105" t="str">
            <v>마.</v>
          </cell>
          <cell r="C105" t="str">
            <v>맹암거</v>
          </cell>
          <cell r="H105">
            <v>0</v>
          </cell>
        </row>
        <row r="106">
          <cell r="B106" t="str">
            <v>a.</v>
          </cell>
          <cell r="C106" t="str">
            <v>맹암거 TYPE-1</v>
          </cell>
          <cell r="D106" t="str">
            <v>(유공관+부직포)</v>
          </cell>
          <cell r="E106">
            <v>1492</v>
          </cell>
          <cell r="F106" t="str">
            <v>M</v>
          </cell>
          <cell r="G106">
            <v>8500</v>
          </cell>
          <cell r="H106">
            <v>12682000</v>
          </cell>
        </row>
        <row r="107">
          <cell r="B107" t="str">
            <v>b.</v>
          </cell>
          <cell r="C107" t="str">
            <v>맹암거 TYPE-2</v>
          </cell>
          <cell r="D107" t="str">
            <v>(유공관)</v>
          </cell>
          <cell r="E107">
            <v>9002</v>
          </cell>
          <cell r="F107" t="str">
            <v>M</v>
          </cell>
          <cell r="G107">
            <v>6000</v>
          </cell>
          <cell r="H107">
            <v>54012000</v>
          </cell>
        </row>
        <row r="108">
          <cell r="B108" t="str">
            <v>c.</v>
          </cell>
          <cell r="C108" t="str">
            <v>맹암거 TYPE-3</v>
          </cell>
          <cell r="D108" t="str">
            <v>(부직포)</v>
          </cell>
          <cell r="E108">
            <v>1182</v>
          </cell>
          <cell r="F108" t="str">
            <v>M</v>
          </cell>
          <cell r="G108">
            <v>5300</v>
          </cell>
          <cell r="H108">
            <v>6264600</v>
          </cell>
        </row>
        <row r="109">
          <cell r="B109" t="str">
            <v>5)</v>
          </cell>
          <cell r="C109" t="str">
            <v>배수관공</v>
          </cell>
          <cell r="H109">
            <v>0</v>
          </cell>
        </row>
        <row r="110">
          <cell r="B110" t="str">
            <v>가.</v>
          </cell>
          <cell r="C110" t="str">
            <v>횡배수관</v>
          </cell>
          <cell r="H110">
            <v>0</v>
          </cell>
        </row>
        <row r="111">
          <cell r="B111" t="str">
            <v>a.</v>
          </cell>
          <cell r="C111" t="str">
            <v>횡배수관접합및부설</v>
          </cell>
          <cell r="D111" t="str">
            <v>(Φ 800m/m)</v>
          </cell>
          <cell r="E111">
            <v>822</v>
          </cell>
          <cell r="F111" t="str">
            <v>M</v>
          </cell>
          <cell r="G111">
            <v>112000</v>
          </cell>
          <cell r="H111">
            <v>92064000</v>
          </cell>
        </row>
        <row r="112">
          <cell r="B112" t="str">
            <v>b.</v>
          </cell>
          <cell r="C112" t="str">
            <v>횡배수관접합및부설</v>
          </cell>
          <cell r="D112" t="str">
            <v>(Φ 1000m/m)</v>
          </cell>
          <cell r="E112">
            <v>112</v>
          </cell>
          <cell r="F112" t="str">
            <v>M</v>
          </cell>
          <cell r="G112">
            <v>159000</v>
          </cell>
          <cell r="H112">
            <v>17808000</v>
          </cell>
        </row>
        <row r="113">
          <cell r="B113" t="str">
            <v>c.</v>
          </cell>
          <cell r="C113" t="str">
            <v>횡배수관접합및부설</v>
          </cell>
          <cell r="D113" t="str">
            <v>(Φ 1200m/m)</v>
          </cell>
          <cell r="E113">
            <v>33</v>
          </cell>
          <cell r="F113" t="str">
            <v>M</v>
          </cell>
          <cell r="G113">
            <v>230000</v>
          </cell>
          <cell r="H113">
            <v>7590000</v>
          </cell>
        </row>
        <row r="114">
          <cell r="B114" t="str">
            <v>나.</v>
          </cell>
          <cell r="C114" t="str">
            <v>보강흄관</v>
          </cell>
          <cell r="H114">
            <v>0</v>
          </cell>
        </row>
        <row r="115">
          <cell r="B115" t="str">
            <v>a.</v>
          </cell>
          <cell r="C115" t="str">
            <v>보강흄관접합및부설</v>
          </cell>
          <cell r="D115" t="str">
            <v>(Φ 800M/M)</v>
          </cell>
          <cell r="E115">
            <v>2026</v>
          </cell>
          <cell r="F115" t="str">
            <v>M</v>
          </cell>
          <cell r="G115">
            <v>133000</v>
          </cell>
          <cell r="H115">
            <v>269458000</v>
          </cell>
        </row>
        <row r="116">
          <cell r="B116" t="str">
            <v>b.</v>
          </cell>
          <cell r="C116" t="str">
            <v>보강흄관접합및부설</v>
          </cell>
          <cell r="D116" t="str">
            <v>(Φ 1000M/M)</v>
          </cell>
          <cell r="E116">
            <v>332</v>
          </cell>
          <cell r="F116" t="str">
            <v>M</v>
          </cell>
          <cell r="G116">
            <v>184000</v>
          </cell>
          <cell r="H116">
            <v>61088000</v>
          </cell>
        </row>
        <row r="117">
          <cell r="B117" t="str">
            <v>c.</v>
          </cell>
          <cell r="C117" t="str">
            <v>보강흄관접합및부설</v>
          </cell>
          <cell r="D117" t="str">
            <v>(Φ 1200M/M)</v>
          </cell>
          <cell r="E117">
            <v>544</v>
          </cell>
          <cell r="F117" t="str">
            <v>M</v>
          </cell>
          <cell r="G117">
            <v>261000</v>
          </cell>
          <cell r="H117">
            <v>141984000</v>
          </cell>
        </row>
        <row r="118">
          <cell r="B118" t="str">
            <v>다.</v>
          </cell>
          <cell r="C118" t="str">
            <v>종배수관</v>
          </cell>
          <cell r="H118">
            <v>0</v>
          </cell>
        </row>
        <row r="119">
          <cell r="B119" t="str">
            <v>a.</v>
          </cell>
          <cell r="C119" t="str">
            <v>종배수관접합및부설</v>
          </cell>
          <cell r="D119" t="str">
            <v>(Φ 600 m/m)</v>
          </cell>
          <cell r="E119">
            <v>733</v>
          </cell>
          <cell r="F119" t="str">
            <v>M</v>
          </cell>
          <cell r="G119">
            <v>55000</v>
          </cell>
          <cell r="H119">
            <v>40315000</v>
          </cell>
        </row>
        <row r="120">
          <cell r="B120" t="str">
            <v>b.</v>
          </cell>
          <cell r="C120" t="str">
            <v>종배수관접합및부설</v>
          </cell>
          <cell r="D120" t="str">
            <v>(Φ 800m/m)</v>
          </cell>
          <cell r="E120">
            <v>223</v>
          </cell>
          <cell r="F120" t="str">
            <v>M</v>
          </cell>
          <cell r="G120">
            <v>88000</v>
          </cell>
          <cell r="H120">
            <v>19624000</v>
          </cell>
        </row>
        <row r="121">
          <cell r="B121" t="str">
            <v>c.</v>
          </cell>
          <cell r="C121" t="str">
            <v>종배수관접합및부설</v>
          </cell>
          <cell r="D121" t="str">
            <v>(Φ 1000m/m)</v>
          </cell>
          <cell r="E121">
            <v>205</v>
          </cell>
          <cell r="F121" t="str">
            <v>M</v>
          </cell>
          <cell r="G121">
            <v>164000</v>
          </cell>
          <cell r="H121">
            <v>33620000</v>
          </cell>
        </row>
        <row r="122">
          <cell r="B122" t="str">
            <v>라.</v>
          </cell>
          <cell r="C122" t="str">
            <v>기존배수관접합부세척</v>
          </cell>
          <cell r="E122">
            <v>2</v>
          </cell>
          <cell r="F122" t="str">
            <v>EA</v>
          </cell>
          <cell r="G122">
            <v>3400</v>
          </cell>
          <cell r="H122">
            <v>6800</v>
          </cell>
        </row>
        <row r="123">
          <cell r="B123" t="str">
            <v>마.</v>
          </cell>
          <cell r="C123" t="str">
            <v>면벽공</v>
          </cell>
          <cell r="H123">
            <v>0</v>
          </cell>
        </row>
        <row r="124">
          <cell r="B124" t="str">
            <v>a.</v>
          </cell>
          <cell r="C124" t="str">
            <v>합판거푸집</v>
          </cell>
          <cell r="D124" t="str">
            <v>(3회)</v>
          </cell>
          <cell r="E124">
            <v>1150</v>
          </cell>
          <cell r="F124" t="str">
            <v>M2</v>
          </cell>
          <cell r="G124">
            <v>17000</v>
          </cell>
          <cell r="H124">
            <v>19550000</v>
          </cell>
        </row>
        <row r="125">
          <cell r="B125" t="str">
            <v>b.</v>
          </cell>
          <cell r="C125" t="str">
            <v>합판거푸집</v>
          </cell>
          <cell r="D125" t="str">
            <v>(4회)</v>
          </cell>
          <cell r="E125">
            <v>401</v>
          </cell>
          <cell r="F125" t="str">
            <v>M2</v>
          </cell>
          <cell r="G125">
            <v>14500</v>
          </cell>
          <cell r="H125">
            <v>5814500</v>
          </cell>
        </row>
        <row r="126">
          <cell r="B126" t="str">
            <v>c.</v>
          </cell>
          <cell r="C126" t="str">
            <v>콘크리트타설</v>
          </cell>
          <cell r="D126" t="str">
            <v>(소형,진동기제외)</v>
          </cell>
          <cell r="E126">
            <v>269</v>
          </cell>
          <cell r="F126" t="str">
            <v>M3</v>
          </cell>
          <cell r="G126">
            <v>28000</v>
          </cell>
          <cell r="H126">
            <v>7532000</v>
          </cell>
        </row>
        <row r="127">
          <cell r="B127" t="str">
            <v>6)</v>
          </cell>
          <cell r="C127" t="str">
            <v>집수정</v>
          </cell>
          <cell r="H127">
            <v>0</v>
          </cell>
        </row>
        <row r="128">
          <cell r="B128" t="str">
            <v>가.</v>
          </cell>
          <cell r="C128" t="str">
            <v>합판거푸집</v>
          </cell>
          <cell r="D128" t="str">
            <v>(4회)</v>
          </cell>
          <cell r="E128">
            <v>2555</v>
          </cell>
          <cell r="F128" t="str">
            <v>M2</v>
          </cell>
          <cell r="G128">
            <v>14500</v>
          </cell>
          <cell r="H128">
            <v>37047500</v>
          </cell>
        </row>
        <row r="129">
          <cell r="B129" t="str">
            <v>나.</v>
          </cell>
          <cell r="C129" t="str">
            <v>콘크리트타설</v>
          </cell>
          <cell r="D129" t="str">
            <v>(철근,진동기포함)</v>
          </cell>
          <cell r="E129">
            <v>2</v>
          </cell>
          <cell r="F129" t="str">
            <v>M3</v>
          </cell>
          <cell r="G129">
            <v>18000</v>
          </cell>
          <cell r="H129">
            <v>36000</v>
          </cell>
        </row>
        <row r="130">
          <cell r="B130" t="str">
            <v>다.</v>
          </cell>
          <cell r="C130" t="str">
            <v>콘크리트타설</v>
          </cell>
          <cell r="D130" t="str">
            <v>(소형,진동기제외)</v>
          </cell>
          <cell r="E130">
            <v>267</v>
          </cell>
          <cell r="F130" t="str">
            <v>M3</v>
          </cell>
          <cell r="G130">
            <v>28000</v>
          </cell>
          <cell r="H130">
            <v>7476000</v>
          </cell>
        </row>
        <row r="131">
          <cell r="B131" t="str">
            <v>라.</v>
          </cell>
          <cell r="C131" t="str">
            <v>철근가공조립</v>
          </cell>
          <cell r="D131" t="str">
            <v>(간단)</v>
          </cell>
          <cell r="E131">
            <v>15.754</v>
          </cell>
          <cell r="F131" t="str">
            <v>TON</v>
          </cell>
          <cell r="G131">
            <v>230000</v>
          </cell>
          <cell r="H131">
            <v>3623420</v>
          </cell>
        </row>
        <row r="132">
          <cell r="B132" t="str">
            <v>마.</v>
          </cell>
          <cell r="C132" t="str">
            <v>집수정뚜껑소형</v>
          </cell>
          <cell r="D132" t="str">
            <v>(1130×860)</v>
          </cell>
          <cell r="E132">
            <v>70</v>
          </cell>
          <cell r="F132" t="str">
            <v>EA</v>
          </cell>
          <cell r="G132">
            <v>91000</v>
          </cell>
          <cell r="H132">
            <v>6370000</v>
          </cell>
        </row>
        <row r="133">
          <cell r="B133" t="str">
            <v>바.</v>
          </cell>
          <cell r="C133" t="str">
            <v>콘크리트뚜껑</v>
          </cell>
          <cell r="D133" t="str">
            <v>(부체도로용뚜껑)</v>
          </cell>
          <cell r="E133">
            <v>29</v>
          </cell>
          <cell r="F133" t="str">
            <v>EA</v>
          </cell>
          <cell r="G133">
            <v>11000</v>
          </cell>
          <cell r="H133">
            <v>319000</v>
          </cell>
        </row>
        <row r="134">
          <cell r="B134" t="str">
            <v>사.</v>
          </cell>
          <cell r="C134" t="str">
            <v>집수정연결관</v>
          </cell>
          <cell r="D134" t="str">
            <v>(D=300m/m)</v>
          </cell>
          <cell r="E134">
            <v>17</v>
          </cell>
          <cell r="F134" t="str">
            <v>M</v>
          </cell>
          <cell r="G134">
            <v>6000</v>
          </cell>
          <cell r="H134">
            <v>102000</v>
          </cell>
        </row>
        <row r="135">
          <cell r="B135" t="str">
            <v>7)</v>
          </cell>
          <cell r="C135" t="str">
            <v>암 거</v>
          </cell>
          <cell r="H135">
            <v>0</v>
          </cell>
        </row>
        <row r="136">
          <cell r="B136" t="str">
            <v>가.</v>
          </cell>
          <cell r="C136" t="str">
            <v>합판거푸집</v>
          </cell>
          <cell r="D136" t="str">
            <v>(3회)</v>
          </cell>
          <cell r="E136">
            <v>33494</v>
          </cell>
          <cell r="F136" t="str">
            <v>M2</v>
          </cell>
          <cell r="G136">
            <v>17000</v>
          </cell>
          <cell r="H136">
            <v>569398000</v>
          </cell>
        </row>
        <row r="137">
          <cell r="B137" t="str">
            <v>나.</v>
          </cell>
          <cell r="C137" t="str">
            <v>합판거푸집</v>
          </cell>
          <cell r="D137" t="str">
            <v>(4회)</v>
          </cell>
          <cell r="E137">
            <v>1579</v>
          </cell>
          <cell r="F137" t="str">
            <v>M2</v>
          </cell>
          <cell r="G137">
            <v>14500</v>
          </cell>
          <cell r="H137">
            <v>22895500</v>
          </cell>
        </row>
        <row r="138">
          <cell r="B138" t="str">
            <v>다.</v>
          </cell>
          <cell r="C138" t="str">
            <v>코팅거푸집</v>
          </cell>
          <cell r="D138" t="str">
            <v>(3회)</v>
          </cell>
          <cell r="E138">
            <v>2820</v>
          </cell>
          <cell r="F138" t="str">
            <v>M2</v>
          </cell>
          <cell r="G138">
            <v>17000</v>
          </cell>
          <cell r="H138">
            <v>47940000</v>
          </cell>
        </row>
        <row r="139">
          <cell r="B139" t="str">
            <v>라.</v>
          </cell>
          <cell r="C139" t="str">
            <v>콘크리트타설</v>
          </cell>
          <cell r="D139" t="str">
            <v>(펌프카타설,0~15m)</v>
          </cell>
          <cell r="E139">
            <v>14318</v>
          </cell>
          <cell r="F139" t="str">
            <v>M3</v>
          </cell>
          <cell r="G139">
            <v>9000</v>
          </cell>
          <cell r="H139">
            <v>128862000</v>
          </cell>
        </row>
        <row r="140">
          <cell r="B140" t="str">
            <v>마.</v>
          </cell>
          <cell r="C140" t="str">
            <v>콘크리트타설</v>
          </cell>
          <cell r="D140" t="str">
            <v>(무근,진동기제외)</v>
          </cell>
          <cell r="E140">
            <v>1914</v>
          </cell>
          <cell r="F140" t="str">
            <v>M3</v>
          </cell>
          <cell r="G140">
            <v>17000</v>
          </cell>
          <cell r="H140">
            <v>32538000</v>
          </cell>
        </row>
        <row r="141">
          <cell r="B141" t="str">
            <v>바.</v>
          </cell>
          <cell r="C141" t="str">
            <v>철근가공조립</v>
          </cell>
          <cell r="D141" t="str">
            <v>(복잡)</v>
          </cell>
          <cell r="E141">
            <v>1598.5730000000001</v>
          </cell>
          <cell r="F141" t="str">
            <v>TON</v>
          </cell>
          <cell r="G141">
            <v>390000</v>
          </cell>
          <cell r="H141">
            <v>623443470</v>
          </cell>
        </row>
        <row r="142">
          <cell r="B142" t="str">
            <v>사.</v>
          </cell>
          <cell r="C142" t="str">
            <v>P.V.C PIPE</v>
          </cell>
          <cell r="D142" t="str">
            <v>(D=100 m/m)</v>
          </cell>
          <cell r="E142">
            <v>948</v>
          </cell>
          <cell r="F142" t="str">
            <v>M</v>
          </cell>
          <cell r="G142">
            <v>960</v>
          </cell>
          <cell r="H142">
            <v>910080</v>
          </cell>
        </row>
        <row r="143">
          <cell r="B143" t="str">
            <v>아.</v>
          </cell>
          <cell r="C143" t="str">
            <v>시공이음</v>
          </cell>
          <cell r="D143" t="str">
            <v>(지수판)</v>
          </cell>
          <cell r="E143">
            <v>934</v>
          </cell>
          <cell r="F143" t="str">
            <v>M</v>
          </cell>
          <cell r="G143">
            <v>9500</v>
          </cell>
          <cell r="H143">
            <v>8873000</v>
          </cell>
        </row>
        <row r="144">
          <cell r="B144" t="str">
            <v>자.</v>
          </cell>
          <cell r="C144" t="str">
            <v>뒷채움</v>
          </cell>
          <cell r="D144" t="str">
            <v>(선택층재 암거,교량)</v>
          </cell>
          <cell r="E144">
            <v>44755</v>
          </cell>
          <cell r="F144" t="str">
            <v>M3</v>
          </cell>
          <cell r="G144">
            <v>11500</v>
          </cell>
          <cell r="H144">
            <v>514682500</v>
          </cell>
        </row>
        <row r="145">
          <cell r="B145" t="str">
            <v>차.</v>
          </cell>
          <cell r="C145" t="str">
            <v>기초 잡석깔기</v>
          </cell>
          <cell r="E145">
            <v>1233</v>
          </cell>
          <cell r="F145" t="str">
            <v>M3</v>
          </cell>
          <cell r="G145">
            <v>28000</v>
          </cell>
          <cell r="H145">
            <v>34524000</v>
          </cell>
        </row>
        <row r="146">
          <cell r="B146" t="str">
            <v>카.</v>
          </cell>
          <cell r="C146" t="str">
            <v>아스팔트 코팅</v>
          </cell>
          <cell r="D146" t="str">
            <v>(2회)</v>
          </cell>
          <cell r="E146">
            <v>12515</v>
          </cell>
          <cell r="F146" t="str">
            <v>M2</v>
          </cell>
          <cell r="G146">
            <v>4000</v>
          </cell>
          <cell r="H146">
            <v>50060000</v>
          </cell>
        </row>
        <row r="147">
          <cell r="B147" t="str">
            <v>타.</v>
          </cell>
          <cell r="C147" t="str">
            <v>부직포설치</v>
          </cell>
          <cell r="E147">
            <v>351</v>
          </cell>
          <cell r="F147" t="str">
            <v>M2</v>
          </cell>
          <cell r="G147">
            <v>2100</v>
          </cell>
          <cell r="H147">
            <v>737100</v>
          </cell>
        </row>
        <row r="148">
          <cell r="B148" t="str">
            <v>파.</v>
          </cell>
          <cell r="C148" t="str">
            <v>물푸기</v>
          </cell>
          <cell r="D148" t="str">
            <v>(암거)</v>
          </cell>
          <cell r="E148">
            <v>1</v>
          </cell>
          <cell r="F148" t="str">
            <v>식</v>
          </cell>
          <cell r="G148">
            <v>1600000</v>
          </cell>
          <cell r="H148">
            <v>1600000</v>
          </cell>
        </row>
        <row r="149">
          <cell r="B149" t="str">
            <v>하.</v>
          </cell>
          <cell r="C149" t="str">
            <v>비 계(암거)</v>
          </cell>
          <cell r="D149" t="str">
            <v>(강관)</v>
          </cell>
          <cell r="E149">
            <v>1</v>
          </cell>
          <cell r="F149" t="str">
            <v>식</v>
          </cell>
          <cell r="G149">
            <v>140000000</v>
          </cell>
          <cell r="H149">
            <v>140000000</v>
          </cell>
        </row>
        <row r="150">
          <cell r="B150" t="str">
            <v>거.</v>
          </cell>
          <cell r="C150" t="str">
            <v>강관동바리(암거)</v>
          </cell>
          <cell r="D150" t="str">
            <v>(3개월)</v>
          </cell>
          <cell r="E150">
            <v>1</v>
          </cell>
          <cell r="F150" t="str">
            <v>식</v>
          </cell>
          <cell r="G150">
            <v>105000000</v>
          </cell>
          <cell r="H150">
            <v>105000000</v>
          </cell>
        </row>
        <row r="151">
          <cell r="B151" t="str">
            <v>8)</v>
          </cell>
          <cell r="C151" t="str">
            <v>수로보호공</v>
          </cell>
          <cell r="H151">
            <v>0</v>
          </cell>
        </row>
        <row r="152">
          <cell r="B152" t="str">
            <v>가.</v>
          </cell>
          <cell r="C152" t="str">
            <v>합판거푸집</v>
          </cell>
          <cell r="D152" t="str">
            <v>(4회)</v>
          </cell>
          <cell r="E152">
            <v>88</v>
          </cell>
          <cell r="F152" t="str">
            <v>M2</v>
          </cell>
          <cell r="G152">
            <v>14500</v>
          </cell>
          <cell r="H152">
            <v>1276000</v>
          </cell>
        </row>
        <row r="153">
          <cell r="B153" t="str">
            <v>나.</v>
          </cell>
          <cell r="C153" t="str">
            <v>합판거푸집</v>
          </cell>
          <cell r="D153" t="str">
            <v>(6회)</v>
          </cell>
          <cell r="E153">
            <v>211</v>
          </cell>
          <cell r="F153" t="str">
            <v>M2</v>
          </cell>
          <cell r="G153">
            <v>11900</v>
          </cell>
          <cell r="H153">
            <v>2510900</v>
          </cell>
        </row>
        <row r="154">
          <cell r="B154" t="str">
            <v>다.</v>
          </cell>
          <cell r="C154" t="str">
            <v>콘크리트타설</v>
          </cell>
          <cell r="D154" t="str">
            <v>(무근,진동기제외)</v>
          </cell>
          <cell r="E154">
            <v>512</v>
          </cell>
          <cell r="F154" t="str">
            <v>M3</v>
          </cell>
          <cell r="G154">
            <v>17000</v>
          </cell>
          <cell r="H154">
            <v>8704000</v>
          </cell>
        </row>
        <row r="155">
          <cell r="B155" t="str">
            <v>라.</v>
          </cell>
          <cell r="C155" t="str">
            <v>돌붙임</v>
          </cell>
          <cell r="D155" t="str">
            <v>(뒷길이30cm,깬잡석)</v>
          </cell>
          <cell r="E155">
            <v>924</v>
          </cell>
          <cell r="F155" t="str">
            <v>M2</v>
          </cell>
          <cell r="G155">
            <v>20000</v>
          </cell>
          <cell r="H155">
            <v>18480000</v>
          </cell>
        </row>
        <row r="156">
          <cell r="B156" t="str">
            <v>마.</v>
          </cell>
          <cell r="C156" t="str">
            <v>깬잡석 뒷채움</v>
          </cell>
          <cell r="E156">
            <v>92</v>
          </cell>
          <cell r="F156" t="str">
            <v>M3</v>
          </cell>
          <cell r="G156">
            <v>38000</v>
          </cell>
          <cell r="H156">
            <v>3496000</v>
          </cell>
        </row>
        <row r="157">
          <cell r="B157" t="str">
            <v>바.</v>
          </cell>
          <cell r="C157" t="str">
            <v>몰탈</v>
          </cell>
          <cell r="D157" t="str">
            <v>1:1</v>
          </cell>
          <cell r="E157">
            <v>16.396000000000001</v>
          </cell>
          <cell r="F157" t="str">
            <v>M3</v>
          </cell>
          <cell r="G157">
            <v>34000</v>
          </cell>
          <cell r="H157">
            <v>557464</v>
          </cell>
        </row>
        <row r="158">
          <cell r="B158" t="str">
            <v>사.</v>
          </cell>
          <cell r="C158" t="str">
            <v>P.V.C PIPE</v>
          </cell>
          <cell r="D158" t="str">
            <v>(φ50m/m)</v>
          </cell>
          <cell r="E158">
            <v>166</v>
          </cell>
          <cell r="F158" t="str">
            <v>M</v>
          </cell>
          <cell r="G158">
            <v>950</v>
          </cell>
          <cell r="H158">
            <v>157700</v>
          </cell>
        </row>
        <row r="159">
          <cell r="B159" t="str">
            <v>9)</v>
          </cell>
          <cell r="C159" t="str">
            <v>콘크리트다이크</v>
          </cell>
          <cell r="H159">
            <v>0</v>
          </cell>
        </row>
        <row r="160">
          <cell r="B160" t="str">
            <v>가.</v>
          </cell>
          <cell r="C160" t="str">
            <v>콘크리트다이크</v>
          </cell>
          <cell r="D160" t="str">
            <v>(기계타설)</v>
          </cell>
          <cell r="E160">
            <v>24518</v>
          </cell>
          <cell r="F160" t="str">
            <v>M</v>
          </cell>
          <cell r="G160">
            <v>600</v>
          </cell>
          <cell r="H160">
            <v>14710800</v>
          </cell>
        </row>
        <row r="161">
          <cell r="B161" t="str">
            <v>나.</v>
          </cell>
          <cell r="C161" t="str">
            <v>콘크리트다이크</v>
          </cell>
          <cell r="D161" t="str">
            <v>(프리캐스트)</v>
          </cell>
          <cell r="E161">
            <v>388</v>
          </cell>
          <cell r="F161" t="str">
            <v>M</v>
          </cell>
          <cell r="G161">
            <v>9300</v>
          </cell>
          <cell r="H161">
            <v>3608400</v>
          </cell>
        </row>
        <row r="162">
          <cell r="B162" t="str">
            <v>다.</v>
          </cell>
          <cell r="C162" t="str">
            <v>L형측구 TYPE-3</v>
          </cell>
          <cell r="D162" t="str">
            <v>(부체도로)</v>
          </cell>
          <cell r="E162">
            <v>902</v>
          </cell>
          <cell r="F162" t="str">
            <v>M</v>
          </cell>
          <cell r="G162">
            <v>11500</v>
          </cell>
          <cell r="H162">
            <v>10373000</v>
          </cell>
        </row>
        <row r="163">
          <cell r="B163" t="str">
            <v>10)</v>
          </cell>
          <cell r="C163" t="str">
            <v>절토부 소단배수로</v>
          </cell>
          <cell r="D163" t="str">
            <v>(암구간)</v>
          </cell>
          <cell r="E163">
            <v>1521</v>
          </cell>
          <cell r="F163" t="str">
            <v>M</v>
          </cell>
          <cell r="G163">
            <v>6800</v>
          </cell>
          <cell r="H163">
            <v>10342800</v>
          </cell>
        </row>
        <row r="164">
          <cell r="B164" t="str">
            <v>11)</v>
          </cell>
          <cell r="C164" t="str">
            <v>길어깨다이크집수거</v>
          </cell>
          <cell r="H164">
            <v>0</v>
          </cell>
        </row>
        <row r="165">
          <cell r="B165" t="str">
            <v>가.</v>
          </cell>
          <cell r="C165" t="str">
            <v>노견다이크집수거</v>
          </cell>
          <cell r="D165" t="str">
            <v>(TYPE-1, L형)</v>
          </cell>
          <cell r="E165">
            <v>190</v>
          </cell>
          <cell r="F165" t="str">
            <v>EA</v>
          </cell>
          <cell r="G165">
            <v>75000</v>
          </cell>
          <cell r="H165">
            <v>14250000</v>
          </cell>
        </row>
        <row r="166">
          <cell r="B166" t="str">
            <v>나.</v>
          </cell>
          <cell r="C166" t="str">
            <v>노견다이크집수거</v>
          </cell>
          <cell r="D166" t="str">
            <v>(TYPE-2, T형)</v>
          </cell>
          <cell r="E166">
            <v>9</v>
          </cell>
          <cell r="F166" t="str">
            <v>EA</v>
          </cell>
          <cell r="G166">
            <v>140000</v>
          </cell>
          <cell r="H166">
            <v>1260000</v>
          </cell>
        </row>
        <row r="167">
          <cell r="B167" t="str">
            <v>12)</v>
          </cell>
          <cell r="C167" t="str">
            <v>도수로 설치공</v>
          </cell>
          <cell r="H167">
            <v>0</v>
          </cell>
        </row>
        <row r="168">
          <cell r="B168" t="str">
            <v>가.</v>
          </cell>
          <cell r="C168" t="str">
            <v>합판거푸집</v>
          </cell>
          <cell r="D168" t="str">
            <v>(4회)</v>
          </cell>
          <cell r="E168">
            <v>9363</v>
          </cell>
          <cell r="F168" t="str">
            <v>M2</v>
          </cell>
          <cell r="G168">
            <v>14500</v>
          </cell>
          <cell r="H168">
            <v>135763500</v>
          </cell>
        </row>
        <row r="169">
          <cell r="B169" t="str">
            <v>나.</v>
          </cell>
          <cell r="C169" t="str">
            <v>철근가공조립</v>
          </cell>
          <cell r="D169" t="str">
            <v>(간단)</v>
          </cell>
          <cell r="E169">
            <v>54.887999999999998</v>
          </cell>
          <cell r="F169" t="str">
            <v>TON</v>
          </cell>
          <cell r="G169">
            <v>230000</v>
          </cell>
          <cell r="H169">
            <v>12624240</v>
          </cell>
        </row>
        <row r="170">
          <cell r="B170" t="str">
            <v>다.</v>
          </cell>
          <cell r="C170" t="str">
            <v>콘크리트타설</v>
          </cell>
          <cell r="D170" t="str">
            <v>(철근,진동기제외)</v>
          </cell>
          <cell r="E170">
            <v>152</v>
          </cell>
          <cell r="F170" t="str">
            <v>M3</v>
          </cell>
          <cell r="G170">
            <v>18000</v>
          </cell>
          <cell r="H170">
            <v>2736000</v>
          </cell>
        </row>
        <row r="171">
          <cell r="B171" t="str">
            <v>라.</v>
          </cell>
          <cell r="C171" t="str">
            <v>콘크리트타설</v>
          </cell>
          <cell r="D171" t="str">
            <v>(소형,진동기제외)</v>
          </cell>
          <cell r="E171">
            <v>1107</v>
          </cell>
          <cell r="F171" t="str">
            <v>M3</v>
          </cell>
          <cell r="G171">
            <v>28000</v>
          </cell>
          <cell r="H171">
            <v>30996000</v>
          </cell>
        </row>
        <row r="172">
          <cell r="B172" t="str">
            <v>13)</v>
          </cell>
          <cell r="C172" t="str">
            <v>노면배수공</v>
          </cell>
          <cell r="H172">
            <v>0</v>
          </cell>
        </row>
        <row r="173">
          <cell r="B173" t="str">
            <v>가.</v>
          </cell>
          <cell r="C173" t="str">
            <v>중분대용횡배수관</v>
          </cell>
          <cell r="D173" t="str">
            <v>(D=300M/M)</v>
          </cell>
          <cell r="E173">
            <v>488</v>
          </cell>
          <cell r="F173" t="str">
            <v>M</v>
          </cell>
          <cell r="G173">
            <v>44000</v>
          </cell>
          <cell r="H173">
            <v>21472000</v>
          </cell>
        </row>
        <row r="174">
          <cell r="B174" t="str">
            <v>나.</v>
          </cell>
          <cell r="C174" t="str">
            <v>중분대종배수관</v>
          </cell>
          <cell r="D174" t="str">
            <v>(L형측구용,D=300M/M)</v>
          </cell>
          <cell r="E174">
            <v>4311</v>
          </cell>
          <cell r="F174" t="str">
            <v>M</v>
          </cell>
          <cell r="G174">
            <v>25000</v>
          </cell>
          <cell r="H174">
            <v>107775000</v>
          </cell>
        </row>
        <row r="175">
          <cell r="B175" t="str">
            <v>다.</v>
          </cell>
          <cell r="C175" t="str">
            <v>중분대종배수관</v>
          </cell>
          <cell r="D175" t="str">
            <v>(L형측구용,D=600M/M)</v>
          </cell>
          <cell r="E175">
            <v>4087</v>
          </cell>
          <cell r="F175" t="str">
            <v>M</v>
          </cell>
          <cell r="G175">
            <v>54000</v>
          </cell>
          <cell r="H175">
            <v>220698000</v>
          </cell>
        </row>
        <row r="176">
          <cell r="B176" t="str">
            <v>라.</v>
          </cell>
          <cell r="C176" t="str">
            <v>중분대집수정</v>
          </cell>
          <cell r="D176" t="str">
            <v>(형식1,양종방향)</v>
          </cell>
          <cell r="E176">
            <v>35</v>
          </cell>
          <cell r="F176" t="str">
            <v>EA</v>
          </cell>
          <cell r="G176">
            <v>221000</v>
          </cell>
          <cell r="H176">
            <v>7735000</v>
          </cell>
        </row>
        <row r="177">
          <cell r="B177" t="str">
            <v>마.</v>
          </cell>
          <cell r="C177" t="str">
            <v>중분대집수정</v>
          </cell>
          <cell r="D177" t="str">
            <v>(형식2,종횡방향)</v>
          </cell>
          <cell r="E177">
            <v>187</v>
          </cell>
          <cell r="F177" t="str">
            <v>EA</v>
          </cell>
          <cell r="G177">
            <v>218000</v>
          </cell>
          <cell r="H177">
            <v>40766000</v>
          </cell>
        </row>
        <row r="178">
          <cell r="B178" t="str">
            <v>바.</v>
          </cell>
          <cell r="C178" t="str">
            <v>중분대집수정</v>
          </cell>
          <cell r="D178" t="str">
            <v>(형식3,양종횡방향)</v>
          </cell>
          <cell r="E178">
            <v>4</v>
          </cell>
          <cell r="F178" t="str">
            <v>EA</v>
          </cell>
          <cell r="G178">
            <v>214000</v>
          </cell>
          <cell r="H178">
            <v>856000</v>
          </cell>
        </row>
        <row r="179">
          <cell r="B179" t="str">
            <v>14)</v>
          </cell>
          <cell r="C179" t="str">
            <v>용배수로</v>
          </cell>
          <cell r="H179">
            <v>0</v>
          </cell>
        </row>
        <row r="180">
          <cell r="B180" t="str">
            <v>가.</v>
          </cell>
          <cell r="C180" t="str">
            <v>합판거푸집</v>
          </cell>
          <cell r="D180" t="str">
            <v>(3회)</v>
          </cell>
          <cell r="E180">
            <v>2082</v>
          </cell>
          <cell r="F180" t="str">
            <v>M2</v>
          </cell>
          <cell r="G180">
            <v>17000</v>
          </cell>
          <cell r="H180">
            <v>35394000</v>
          </cell>
        </row>
        <row r="181">
          <cell r="B181" t="str">
            <v>나.</v>
          </cell>
          <cell r="C181" t="str">
            <v>합판거푸집</v>
          </cell>
          <cell r="D181" t="str">
            <v>(4회)</v>
          </cell>
          <cell r="E181">
            <v>2326</v>
          </cell>
          <cell r="F181" t="str">
            <v>M2</v>
          </cell>
          <cell r="G181">
            <v>14500</v>
          </cell>
          <cell r="H181">
            <v>33727000</v>
          </cell>
        </row>
        <row r="182">
          <cell r="B182" t="str">
            <v>다.</v>
          </cell>
          <cell r="C182" t="str">
            <v>철근가공조립</v>
          </cell>
          <cell r="D182" t="str">
            <v>(간단)</v>
          </cell>
          <cell r="E182">
            <v>20.663</v>
          </cell>
          <cell r="F182" t="str">
            <v>TON</v>
          </cell>
          <cell r="G182">
            <v>230000</v>
          </cell>
          <cell r="H182">
            <v>4752490</v>
          </cell>
        </row>
        <row r="183">
          <cell r="B183" t="str">
            <v>라.</v>
          </cell>
          <cell r="C183" t="str">
            <v>콘크리트타설</v>
          </cell>
          <cell r="D183" t="str">
            <v>(철근,진동기포함)</v>
          </cell>
          <cell r="E183">
            <v>567</v>
          </cell>
          <cell r="F183" t="str">
            <v>M3</v>
          </cell>
          <cell r="G183">
            <v>18000</v>
          </cell>
          <cell r="H183">
            <v>10206000</v>
          </cell>
        </row>
        <row r="184">
          <cell r="B184" t="str">
            <v>마.</v>
          </cell>
          <cell r="C184" t="str">
            <v>콘크리트타설</v>
          </cell>
          <cell r="D184" t="str">
            <v>(무근,진동기제외)</v>
          </cell>
          <cell r="E184">
            <v>100</v>
          </cell>
          <cell r="F184" t="str">
            <v>M3</v>
          </cell>
          <cell r="G184">
            <v>17000</v>
          </cell>
          <cell r="H184">
            <v>1700000</v>
          </cell>
        </row>
        <row r="185">
          <cell r="B185" t="str">
            <v>15)</v>
          </cell>
          <cell r="C185" t="str">
            <v>맨 홀</v>
          </cell>
          <cell r="H185">
            <v>0</v>
          </cell>
        </row>
        <row r="186">
          <cell r="B186" t="str">
            <v>가.</v>
          </cell>
          <cell r="C186" t="str">
            <v>합판거푸집</v>
          </cell>
          <cell r="D186" t="str">
            <v>(4회)</v>
          </cell>
          <cell r="E186">
            <v>17</v>
          </cell>
          <cell r="F186" t="str">
            <v>M2</v>
          </cell>
          <cell r="G186">
            <v>14500</v>
          </cell>
          <cell r="H186">
            <v>246500</v>
          </cell>
        </row>
        <row r="187">
          <cell r="B187" t="str">
            <v>나.</v>
          </cell>
          <cell r="C187" t="str">
            <v>합판거푸집</v>
          </cell>
          <cell r="D187" t="str">
            <v>(6회)</v>
          </cell>
          <cell r="E187">
            <v>1</v>
          </cell>
          <cell r="F187" t="str">
            <v>M2</v>
          </cell>
          <cell r="G187">
            <v>11900</v>
          </cell>
          <cell r="H187">
            <v>11900</v>
          </cell>
        </row>
        <row r="188">
          <cell r="B188" t="str">
            <v>다.</v>
          </cell>
          <cell r="C188" t="str">
            <v>강재거푸집</v>
          </cell>
          <cell r="E188">
            <v>1</v>
          </cell>
          <cell r="F188" t="str">
            <v>M2</v>
          </cell>
          <cell r="G188">
            <v>5800</v>
          </cell>
          <cell r="H188">
            <v>5800</v>
          </cell>
        </row>
        <row r="189">
          <cell r="B189" t="str">
            <v>라.</v>
          </cell>
          <cell r="C189" t="str">
            <v>목재거푸집</v>
          </cell>
          <cell r="D189" t="str">
            <v>(3회)</v>
          </cell>
          <cell r="E189">
            <v>15</v>
          </cell>
          <cell r="F189" t="str">
            <v>M2</v>
          </cell>
          <cell r="G189">
            <v>27000</v>
          </cell>
          <cell r="H189">
            <v>405000</v>
          </cell>
        </row>
        <row r="190">
          <cell r="B190" t="str">
            <v>마.</v>
          </cell>
          <cell r="C190" t="str">
            <v>콘크리트타설</v>
          </cell>
          <cell r="D190" t="str">
            <v>(철근,진동기포함)</v>
          </cell>
          <cell r="E190">
            <v>1</v>
          </cell>
          <cell r="F190" t="str">
            <v>M3</v>
          </cell>
          <cell r="G190">
            <v>18000</v>
          </cell>
          <cell r="H190">
            <v>18000</v>
          </cell>
        </row>
        <row r="191">
          <cell r="B191" t="str">
            <v>바.</v>
          </cell>
          <cell r="C191" t="str">
            <v>콘크리트타설</v>
          </cell>
          <cell r="D191" t="str">
            <v>(무근,진동기제외)</v>
          </cell>
          <cell r="E191">
            <v>4</v>
          </cell>
          <cell r="F191" t="str">
            <v>M3</v>
          </cell>
          <cell r="G191">
            <v>17000</v>
          </cell>
          <cell r="H191">
            <v>68000</v>
          </cell>
        </row>
        <row r="192">
          <cell r="B192" t="str">
            <v>사.</v>
          </cell>
          <cell r="C192" t="str">
            <v>철근가공조립</v>
          </cell>
          <cell r="D192" t="str">
            <v>(간단)</v>
          </cell>
          <cell r="E192">
            <v>4.5999999999999999E-2</v>
          </cell>
          <cell r="F192" t="str">
            <v>TON</v>
          </cell>
          <cell r="G192">
            <v>230000</v>
          </cell>
          <cell r="H192">
            <v>10580</v>
          </cell>
        </row>
        <row r="193">
          <cell r="B193" t="str">
            <v>16)</v>
          </cell>
          <cell r="C193" t="str">
            <v>용수잠관</v>
          </cell>
          <cell r="H193">
            <v>0</v>
          </cell>
        </row>
        <row r="194">
          <cell r="B194" t="str">
            <v>가.</v>
          </cell>
          <cell r="C194" t="str">
            <v>합판거푸집</v>
          </cell>
          <cell r="D194" t="str">
            <v>(4회)</v>
          </cell>
          <cell r="E194">
            <v>86</v>
          </cell>
          <cell r="F194" t="str">
            <v>M2</v>
          </cell>
          <cell r="G194">
            <v>14500</v>
          </cell>
          <cell r="H194">
            <v>1247000</v>
          </cell>
        </row>
        <row r="195">
          <cell r="B195" t="str">
            <v>나.</v>
          </cell>
          <cell r="C195" t="str">
            <v>철근가공조립</v>
          </cell>
          <cell r="D195" t="str">
            <v>(간단)</v>
          </cell>
          <cell r="E195">
            <v>1.744</v>
          </cell>
          <cell r="F195" t="str">
            <v>TON</v>
          </cell>
          <cell r="G195">
            <v>230000</v>
          </cell>
          <cell r="H195">
            <v>401120</v>
          </cell>
        </row>
        <row r="196">
          <cell r="B196" t="str">
            <v>다.</v>
          </cell>
          <cell r="C196" t="str">
            <v>콘크리트타설</v>
          </cell>
          <cell r="D196" t="str">
            <v>(철근,진동기포함)</v>
          </cell>
          <cell r="E196">
            <v>1</v>
          </cell>
          <cell r="F196" t="str">
            <v>M3</v>
          </cell>
          <cell r="G196">
            <v>18000</v>
          </cell>
          <cell r="H196">
            <v>18000</v>
          </cell>
        </row>
        <row r="197">
          <cell r="B197" t="str">
            <v>라.</v>
          </cell>
          <cell r="C197" t="str">
            <v>콘크리트타설</v>
          </cell>
          <cell r="D197" t="str">
            <v>(무근,진동기제외)</v>
          </cell>
          <cell r="E197">
            <v>17</v>
          </cell>
          <cell r="F197" t="str">
            <v>M3</v>
          </cell>
          <cell r="G197">
            <v>17000</v>
          </cell>
          <cell r="H197">
            <v>289000</v>
          </cell>
        </row>
        <row r="198">
          <cell r="B198" t="str">
            <v>마.</v>
          </cell>
          <cell r="C198" t="str">
            <v>덮개</v>
          </cell>
          <cell r="D198" t="str">
            <v>(1.8×4.5)</v>
          </cell>
          <cell r="E198">
            <v>24</v>
          </cell>
          <cell r="F198" t="str">
            <v>EA</v>
          </cell>
          <cell r="G198">
            <v>14000</v>
          </cell>
          <cell r="H198">
            <v>336000</v>
          </cell>
        </row>
        <row r="199">
          <cell r="B199" t="str">
            <v>17)</v>
          </cell>
          <cell r="C199" t="str">
            <v>콘크리트생산및운반</v>
          </cell>
          <cell r="H199">
            <v>0</v>
          </cell>
        </row>
        <row r="200">
          <cell r="B200" t="str">
            <v>가.</v>
          </cell>
          <cell r="C200" t="str">
            <v>콘크리트생산</v>
          </cell>
          <cell r="D200" t="str">
            <v>32-240-15</v>
          </cell>
          <cell r="E200">
            <v>14318</v>
          </cell>
          <cell r="F200" t="str">
            <v>M3</v>
          </cell>
          <cell r="G200">
            <v>5000</v>
          </cell>
          <cell r="H200">
            <v>71590000</v>
          </cell>
        </row>
        <row r="201">
          <cell r="B201" t="str">
            <v>나.</v>
          </cell>
          <cell r="C201" t="str">
            <v>콘크리트생산</v>
          </cell>
          <cell r="D201" t="str">
            <v>19-210-4</v>
          </cell>
          <cell r="E201">
            <v>4027</v>
          </cell>
          <cell r="F201" t="str">
            <v>M3</v>
          </cell>
          <cell r="G201">
            <v>16000</v>
          </cell>
          <cell r="H201">
            <v>64432000</v>
          </cell>
        </row>
        <row r="202">
          <cell r="B202" t="str">
            <v>다.</v>
          </cell>
          <cell r="C202" t="str">
            <v>콘크리트운반</v>
          </cell>
          <cell r="D202" t="str">
            <v>(B/P-현장)</v>
          </cell>
          <cell r="E202">
            <v>18345</v>
          </cell>
          <cell r="F202" t="str">
            <v>M3</v>
          </cell>
          <cell r="G202">
            <v>3500</v>
          </cell>
          <cell r="H202">
            <v>64207500</v>
          </cell>
        </row>
        <row r="203">
          <cell r="B203" t="str">
            <v>3.</v>
          </cell>
          <cell r="C203" t="str">
            <v>구조물공</v>
          </cell>
          <cell r="H203">
            <v>25604531247</v>
          </cell>
        </row>
        <row r="204">
          <cell r="B204" t="str">
            <v>3.1</v>
          </cell>
          <cell r="C204" t="str">
            <v>교량공</v>
          </cell>
          <cell r="H204">
            <v>0</v>
          </cell>
        </row>
        <row r="205">
          <cell r="B205" t="str">
            <v>1)</v>
          </cell>
          <cell r="C205" t="str">
            <v>구조물터파기</v>
          </cell>
          <cell r="H205">
            <v>0</v>
          </cell>
        </row>
        <row r="206">
          <cell r="B206" t="str">
            <v>가.</v>
          </cell>
          <cell r="C206" t="str">
            <v>육상터파기</v>
          </cell>
          <cell r="H206">
            <v>0</v>
          </cell>
        </row>
        <row r="207">
          <cell r="B207" t="str">
            <v>a.</v>
          </cell>
          <cell r="C207" t="str">
            <v>구조물터파기</v>
          </cell>
          <cell r="D207" t="str">
            <v>(육상토사0∼4m)</v>
          </cell>
          <cell r="E207">
            <v>54561</v>
          </cell>
          <cell r="F207" t="str">
            <v>M3</v>
          </cell>
          <cell r="G207">
            <v>3200</v>
          </cell>
          <cell r="H207">
            <v>174595200</v>
          </cell>
        </row>
        <row r="208">
          <cell r="B208" t="str">
            <v>b.</v>
          </cell>
          <cell r="C208" t="str">
            <v>구조물터파기</v>
          </cell>
          <cell r="D208" t="str">
            <v>(육상토사4m이상)</v>
          </cell>
          <cell r="E208">
            <v>8979</v>
          </cell>
          <cell r="F208" t="str">
            <v>M3</v>
          </cell>
          <cell r="G208">
            <v>6000</v>
          </cell>
          <cell r="H208">
            <v>53874000</v>
          </cell>
        </row>
        <row r="209">
          <cell r="B209" t="str">
            <v>c.</v>
          </cell>
          <cell r="C209" t="str">
            <v>구조물터파기</v>
          </cell>
          <cell r="D209" t="str">
            <v>(육상풍화암0∼4m)</v>
          </cell>
          <cell r="E209">
            <v>3215</v>
          </cell>
          <cell r="F209" t="str">
            <v>M3</v>
          </cell>
          <cell r="G209">
            <v>55000</v>
          </cell>
          <cell r="H209">
            <v>176825000</v>
          </cell>
        </row>
        <row r="210">
          <cell r="B210" t="str">
            <v>d.</v>
          </cell>
          <cell r="C210" t="str">
            <v>구조물터파기</v>
          </cell>
          <cell r="D210" t="str">
            <v>(육상풍화암4m이상)</v>
          </cell>
          <cell r="E210">
            <v>3114</v>
          </cell>
          <cell r="F210" t="str">
            <v>M3</v>
          </cell>
          <cell r="G210">
            <v>68000</v>
          </cell>
          <cell r="H210">
            <v>211752000</v>
          </cell>
        </row>
        <row r="211">
          <cell r="B211" t="str">
            <v>e.</v>
          </cell>
          <cell r="C211" t="str">
            <v>구조물터파기</v>
          </cell>
          <cell r="D211" t="str">
            <v>(육상발파암4m이상)</v>
          </cell>
          <cell r="E211">
            <v>1534</v>
          </cell>
          <cell r="F211" t="str">
            <v>M3</v>
          </cell>
          <cell r="G211">
            <v>160000</v>
          </cell>
          <cell r="H211">
            <v>245440000</v>
          </cell>
        </row>
        <row r="212">
          <cell r="B212" t="str">
            <v>f.</v>
          </cell>
          <cell r="C212" t="str">
            <v>크람셸굴착및잔토처리</v>
          </cell>
          <cell r="E212">
            <v>1367</v>
          </cell>
          <cell r="F212" t="str">
            <v>M3</v>
          </cell>
          <cell r="G212">
            <v>5000</v>
          </cell>
          <cell r="H212">
            <v>6835000</v>
          </cell>
        </row>
        <row r="213">
          <cell r="B213" t="str">
            <v>나.</v>
          </cell>
          <cell r="C213" t="str">
            <v>수중터파기</v>
          </cell>
          <cell r="H213">
            <v>0</v>
          </cell>
        </row>
        <row r="214">
          <cell r="B214" t="str">
            <v>a.</v>
          </cell>
          <cell r="C214" t="str">
            <v>구조물터파기</v>
          </cell>
          <cell r="D214" t="str">
            <v>(수중토사0∼4m)</v>
          </cell>
          <cell r="E214">
            <v>21406</v>
          </cell>
          <cell r="F214" t="str">
            <v>M3</v>
          </cell>
          <cell r="G214">
            <v>6500</v>
          </cell>
          <cell r="H214">
            <v>139139000</v>
          </cell>
        </row>
        <row r="215">
          <cell r="B215" t="str">
            <v>b.</v>
          </cell>
          <cell r="C215" t="str">
            <v>구조물터파기</v>
          </cell>
          <cell r="D215" t="str">
            <v>(수중토사4m이상)</v>
          </cell>
          <cell r="E215">
            <v>1412</v>
          </cell>
          <cell r="F215" t="str">
            <v>M3</v>
          </cell>
          <cell r="G215">
            <v>12000</v>
          </cell>
          <cell r="H215">
            <v>16944000</v>
          </cell>
        </row>
        <row r="216">
          <cell r="B216" t="str">
            <v>c.</v>
          </cell>
          <cell r="C216" t="str">
            <v>구조물터파기</v>
          </cell>
          <cell r="D216" t="str">
            <v>(수중터파기4m이상)</v>
          </cell>
          <cell r="E216">
            <v>123</v>
          </cell>
          <cell r="F216" t="str">
            <v>M3</v>
          </cell>
          <cell r="G216">
            <v>130000</v>
          </cell>
          <cell r="H216">
            <v>15990000</v>
          </cell>
        </row>
        <row r="217">
          <cell r="B217" t="str">
            <v>2)</v>
          </cell>
          <cell r="C217" t="str">
            <v>되메우기 및 다짐공</v>
          </cell>
          <cell r="D217" t="str">
            <v>(인력10％+기계90％)</v>
          </cell>
          <cell r="E217">
            <v>61534</v>
          </cell>
          <cell r="F217" t="str">
            <v>M3</v>
          </cell>
          <cell r="G217">
            <v>2000</v>
          </cell>
          <cell r="H217">
            <v>123068000</v>
          </cell>
        </row>
        <row r="218">
          <cell r="B218" t="str">
            <v>3)</v>
          </cell>
          <cell r="C218" t="str">
            <v>뒷채움</v>
          </cell>
          <cell r="D218" t="str">
            <v>(선택층재 암거,교량)</v>
          </cell>
          <cell r="E218">
            <v>11655</v>
          </cell>
          <cell r="F218" t="str">
            <v>M3</v>
          </cell>
          <cell r="G218">
            <v>11500</v>
          </cell>
          <cell r="H218">
            <v>134032500</v>
          </cell>
        </row>
        <row r="219">
          <cell r="B219" t="str">
            <v>4)</v>
          </cell>
          <cell r="C219" t="str">
            <v>가시설공</v>
          </cell>
          <cell r="D219" t="str">
            <v>삼척교</v>
          </cell>
          <cell r="H219">
            <v>0</v>
          </cell>
        </row>
        <row r="220">
          <cell r="B220" t="str">
            <v>가.</v>
          </cell>
          <cell r="C220" t="str">
            <v>SHEET PILE 항타</v>
          </cell>
          <cell r="E220">
            <v>288</v>
          </cell>
          <cell r="F220" t="str">
            <v>본</v>
          </cell>
          <cell r="G220">
            <v>90000</v>
          </cell>
          <cell r="H220">
            <v>25920000</v>
          </cell>
        </row>
        <row r="221">
          <cell r="B221" t="str">
            <v>나.</v>
          </cell>
          <cell r="C221" t="str">
            <v>SHEET PILE 항발</v>
          </cell>
          <cell r="E221">
            <v>288</v>
          </cell>
          <cell r="F221" t="str">
            <v>본</v>
          </cell>
          <cell r="G221">
            <v>28000</v>
          </cell>
          <cell r="H221">
            <v>8064000</v>
          </cell>
        </row>
        <row r="222">
          <cell r="B222" t="str">
            <v>다.</v>
          </cell>
          <cell r="C222" t="str">
            <v>SHEET PILE청소및정리</v>
          </cell>
          <cell r="E222">
            <v>288</v>
          </cell>
          <cell r="F222" t="str">
            <v>본</v>
          </cell>
          <cell r="G222">
            <v>11000</v>
          </cell>
          <cell r="H222">
            <v>3168000</v>
          </cell>
        </row>
        <row r="223">
          <cell r="B223" t="str">
            <v>라.</v>
          </cell>
          <cell r="C223" t="str">
            <v>SHEET PILE 운반</v>
          </cell>
          <cell r="E223">
            <v>206.88399999999999</v>
          </cell>
          <cell r="F223" t="str">
            <v>TON</v>
          </cell>
          <cell r="G223">
            <v>23000</v>
          </cell>
          <cell r="H223">
            <v>4758332</v>
          </cell>
        </row>
        <row r="224">
          <cell r="B224" t="str">
            <v>마.</v>
          </cell>
          <cell r="C224" t="str">
            <v>SHEET PILE 자재손료</v>
          </cell>
          <cell r="E224">
            <v>206.88399999999999</v>
          </cell>
          <cell r="F224" t="str">
            <v>TON</v>
          </cell>
          <cell r="G224">
            <v>120000</v>
          </cell>
          <cell r="H224">
            <v>24826080</v>
          </cell>
        </row>
        <row r="225">
          <cell r="B225" t="str">
            <v>바.</v>
          </cell>
          <cell r="C225" t="str">
            <v>H-PILE 설치및철거</v>
          </cell>
          <cell r="E225">
            <v>750</v>
          </cell>
          <cell r="F225" t="str">
            <v>M</v>
          </cell>
          <cell r="G225">
            <v>12000</v>
          </cell>
          <cell r="H225">
            <v>9000000</v>
          </cell>
        </row>
        <row r="226">
          <cell r="B226" t="str">
            <v>사</v>
          </cell>
          <cell r="C226" t="str">
            <v>버팀보제작및설치</v>
          </cell>
          <cell r="H226">
            <v>0</v>
          </cell>
        </row>
        <row r="227">
          <cell r="B227" t="str">
            <v>a.</v>
          </cell>
          <cell r="C227" t="str">
            <v>DETAIL</v>
          </cell>
          <cell r="D227" t="str">
            <v>"A" 버팀보</v>
          </cell>
          <cell r="E227">
            <v>224</v>
          </cell>
          <cell r="F227" t="str">
            <v>개소</v>
          </cell>
          <cell r="G227">
            <v>60000</v>
          </cell>
          <cell r="H227">
            <v>13440000</v>
          </cell>
        </row>
        <row r="228">
          <cell r="B228" t="str">
            <v>b.</v>
          </cell>
          <cell r="C228" t="str">
            <v>DETAIL</v>
          </cell>
          <cell r="D228" t="str">
            <v>"B" SHEETPILE</v>
          </cell>
          <cell r="E228">
            <v>288</v>
          </cell>
          <cell r="F228" t="str">
            <v>개소</v>
          </cell>
          <cell r="G228">
            <v>28000</v>
          </cell>
          <cell r="H228">
            <v>8064000</v>
          </cell>
        </row>
        <row r="229">
          <cell r="B229" t="str">
            <v>c.</v>
          </cell>
          <cell r="C229" t="str">
            <v>DETAIL</v>
          </cell>
          <cell r="D229" t="str">
            <v>"C" 보걸이</v>
          </cell>
          <cell r="E229">
            <v>224</v>
          </cell>
          <cell r="F229" t="str">
            <v>개소</v>
          </cell>
          <cell r="G229">
            <v>3500</v>
          </cell>
          <cell r="H229">
            <v>784000</v>
          </cell>
        </row>
        <row r="230">
          <cell r="B230" t="str">
            <v>5)</v>
          </cell>
          <cell r="C230" t="str">
            <v>현장타설말뚝</v>
          </cell>
          <cell r="H230">
            <v>0</v>
          </cell>
        </row>
        <row r="231">
          <cell r="B231" t="str">
            <v>가.</v>
          </cell>
          <cell r="C231" t="str">
            <v>삼척교</v>
          </cell>
          <cell r="D231" t="str">
            <v>φ1200</v>
          </cell>
          <cell r="H231">
            <v>0</v>
          </cell>
        </row>
        <row r="232">
          <cell r="B232" t="str">
            <v>a.</v>
          </cell>
          <cell r="C232" t="str">
            <v>장비대운반</v>
          </cell>
          <cell r="E232">
            <v>2</v>
          </cell>
          <cell r="F232" t="str">
            <v>회</v>
          </cell>
          <cell r="G232">
            <v>8500000</v>
          </cell>
          <cell r="H232">
            <v>17000000</v>
          </cell>
        </row>
        <row r="233">
          <cell r="B233" t="str">
            <v>b.</v>
          </cell>
          <cell r="C233" t="str">
            <v>장비조립및해체</v>
          </cell>
          <cell r="E233">
            <v>1</v>
          </cell>
          <cell r="F233" t="str">
            <v>회</v>
          </cell>
          <cell r="G233">
            <v>3200000</v>
          </cell>
          <cell r="H233">
            <v>3200000</v>
          </cell>
        </row>
        <row r="234">
          <cell r="B234" t="str">
            <v>c.</v>
          </cell>
          <cell r="C234" t="str">
            <v>대구경 천공</v>
          </cell>
          <cell r="E234">
            <v>563</v>
          </cell>
          <cell r="F234" t="str">
            <v>M</v>
          </cell>
          <cell r="G234">
            <v>970000</v>
          </cell>
          <cell r="H234">
            <v>546110000</v>
          </cell>
        </row>
        <row r="235">
          <cell r="B235" t="str">
            <v>d.</v>
          </cell>
          <cell r="C235" t="str">
            <v>스페이샤제작</v>
          </cell>
          <cell r="E235">
            <v>960</v>
          </cell>
          <cell r="F235" t="str">
            <v>EA</v>
          </cell>
          <cell r="G235">
            <v>2500</v>
          </cell>
          <cell r="H235">
            <v>2400000</v>
          </cell>
        </row>
        <row r="236">
          <cell r="B236" t="str">
            <v>e.</v>
          </cell>
          <cell r="C236" t="str">
            <v>콘크리트타설</v>
          </cell>
          <cell r="D236" t="str">
            <v>(펌프카타설,0~15m)</v>
          </cell>
          <cell r="E236">
            <v>499</v>
          </cell>
          <cell r="F236" t="str">
            <v>M3</v>
          </cell>
          <cell r="G236">
            <v>9000</v>
          </cell>
          <cell r="H236">
            <v>4491000</v>
          </cell>
        </row>
        <row r="237">
          <cell r="B237" t="str">
            <v>f.</v>
          </cell>
          <cell r="C237" t="str">
            <v>두부정리</v>
          </cell>
          <cell r="E237">
            <v>16</v>
          </cell>
          <cell r="F237" t="str">
            <v>본</v>
          </cell>
          <cell r="G237">
            <v>180000</v>
          </cell>
          <cell r="H237">
            <v>2880000</v>
          </cell>
        </row>
        <row r="238">
          <cell r="B238" t="str">
            <v>g.</v>
          </cell>
          <cell r="C238" t="str">
            <v>철근오름방지제작설치</v>
          </cell>
          <cell r="E238">
            <v>16</v>
          </cell>
          <cell r="F238" t="str">
            <v>본</v>
          </cell>
          <cell r="G238">
            <v>17000</v>
          </cell>
          <cell r="H238">
            <v>272000</v>
          </cell>
        </row>
        <row r="239">
          <cell r="B239" t="str">
            <v>h.</v>
          </cell>
          <cell r="C239" t="str">
            <v>확인코아</v>
          </cell>
          <cell r="E239">
            <v>16</v>
          </cell>
          <cell r="F239" t="str">
            <v>M</v>
          </cell>
          <cell r="G239">
            <v>130000</v>
          </cell>
          <cell r="H239">
            <v>2080000</v>
          </cell>
        </row>
        <row r="240">
          <cell r="B240" t="str">
            <v>나.</v>
          </cell>
          <cell r="C240" t="str">
            <v>현장콘크리트말뚝</v>
          </cell>
          <cell r="E240">
            <v>3967</v>
          </cell>
          <cell r="F240" t="str">
            <v>M</v>
          </cell>
          <cell r="G240">
            <v>540000</v>
          </cell>
          <cell r="H240">
            <v>2142180000</v>
          </cell>
        </row>
        <row r="241">
          <cell r="B241" t="str">
            <v>6)</v>
          </cell>
          <cell r="C241" t="str">
            <v>강관말뚝공</v>
          </cell>
          <cell r="H241">
            <v>0</v>
          </cell>
        </row>
        <row r="242">
          <cell r="B242" t="str">
            <v>가.</v>
          </cell>
          <cell r="C242" t="str">
            <v>강관말뚝</v>
          </cell>
          <cell r="D242" t="str">
            <v>φ406.4,t=9m/m</v>
          </cell>
          <cell r="H242">
            <v>0</v>
          </cell>
        </row>
        <row r="243">
          <cell r="B243" t="str">
            <v>a.</v>
          </cell>
          <cell r="C243" t="str">
            <v>파일자재비</v>
          </cell>
          <cell r="D243" t="str">
            <v>φ406.4,t=9mm)</v>
          </cell>
          <cell r="E243">
            <v>850</v>
          </cell>
          <cell r="F243" t="str">
            <v>M</v>
          </cell>
          <cell r="G243">
            <v>40000</v>
          </cell>
          <cell r="H243">
            <v>34000000</v>
          </cell>
        </row>
        <row r="244">
          <cell r="B244" t="str">
            <v>b.</v>
          </cell>
          <cell r="C244" t="str">
            <v>항타비 수직항</v>
          </cell>
          <cell r="D244" t="str">
            <v>(φ406.4,t=9mm)</v>
          </cell>
          <cell r="E244">
            <v>840</v>
          </cell>
          <cell r="F244" t="str">
            <v>M</v>
          </cell>
          <cell r="G244">
            <v>8000</v>
          </cell>
          <cell r="H244">
            <v>6720000</v>
          </cell>
        </row>
        <row r="245">
          <cell r="B245" t="str">
            <v>c.</v>
          </cell>
          <cell r="C245" t="str">
            <v>두부 및 선단보강</v>
          </cell>
          <cell r="D245" t="str">
            <v>(φ406.4mm)</v>
          </cell>
          <cell r="E245">
            <v>42</v>
          </cell>
          <cell r="F245" t="str">
            <v>EA</v>
          </cell>
          <cell r="G245">
            <v>200000</v>
          </cell>
          <cell r="H245">
            <v>8400000</v>
          </cell>
        </row>
        <row r="246">
          <cell r="B246" t="str">
            <v>d.</v>
          </cell>
          <cell r="C246" t="str">
            <v>강관파일이음</v>
          </cell>
          <cell r="D246" t="str">
            <v>(φ406.4mm)</v>
          </cell>
          <cell r="E246">
            <v>42</v>
          </cell>
          <cell r="F246" t="str">
            <v>EA</v>
          </cell>
          <cell r="G246">
            <v>7000</v>
          </cell>
          <cell r="H246">
            <v>294000</v>
          </cell>
        </row>
        <row r="247">
          <cell r="B247" t="str">
            <v>e.</v>
          </cell>
          <cell r="C247" t="str">
            <v>모래채움</v>
          </cell>
          <cell r="E247">
            <v>108</v>
          </cell>
          <cell r="F247" t="str">
            <v>M3</v>
          </cell>
          <cell r="G247">
            <v>3400</v>
          </cell>
          <cell r="H247">
            <v>367200</v>
          </cell>
        </row>
        <row r="248">
          <cell r="B248" t="str">
            <v>나.</v>
          </cell>
          <cell r="C248" t="str">
            <v>강관말뚝</v>
          </cell>
          <cell r="D248" t="str">
            <v>φ508,t=12mm</v>
          </cell>
          <cell r="H248">
            <v>0</v>
          </cell>
        </row>
        <row r="249">
          <cell r="B249" t="str">
            <v>a.</v>
          </cell>
          <cell r="C249" t="str">
            <v>파일자재비</v>
          </cell>
          <cell r="D249" t="str">
            <v>(φ508,t=12mm)</v>
          </cell>
          <cell r="E249">
            <v>14472</v>
          </cell>
          <cell r="F249" t="str">
            <v>M</v>
          </cell>
          <cell r="G249">
            <v>67000</v>
          </cell>
          <cell r="H249">
            <v>969624000</v>
          </cell>
        </row>
        <row r="250">
          <cell r="B250" t="str">
            <v>b.</v>
          </cell>
          <cell r="C250" t="str">
            <v>항타비</v>
          </cell>
          <cell r="D250" t="str">
            <v>(φ508,t=12mm)</v>
          </cell>
          <cell r="E250">
            <v>13505</v>
          </cell>
          <cell r="F250" t="str">
            <v>M</v>
          </cell>
          <cell r="G250">
            <v>6000</v>
          </cell>
          <cell r="H250">
            <v>81030000</v>
          </cell>
        </row>
        <row r="251">
          <cell r="B251" t="str">
            <v>c.</v>
          </cell>
          <cell r="C251" t="str">
            <v>두부 및 선단보강</v>
          </cell>
          <cell r="D251" t="str">
            <v>(ø508,t=12㎜)</v>
          </cell>
          <cell r="E251">
            <v>1244</v>
          </cell>
          <cell r="F251" t="str">
            <v>EA</v>
          </cell>
          <cell r="G251">
            <v>300000</v>
          </cell>
          <cell r="H251">
            <v>373200000</v>
          </cell>
        </row>
        <row r="252">
          <cell r="B252" t="str">
            <v>d.</v>
          </cell>
          <cell r="C252" t="str">
            <v>강관파일이음</v>
          </cell>
          <cell r="D252" t="str">
            <v>(φ508mm)</v>
          </cell>
          <cell r="E252">
            <v>144</v>
          </cell>
          <cell r="F252" t="str">
            <v>EA</v>
          </cell>
          <cell r="G252">
            <v>6800</v>
          </cell>
          <cell r="H252">
            <v>979200</v>
          </cell>
        </row>
        <row r="253">
          <cell r="B253" t="str">
            <v>7)</v>
          </cell>
          <cell r="C253" t="str">
            <v>거푸집공</v>
          </cell>
          <cell r="H253">
            <v>0</v>
          </cell>
        </row>
        <row r="254">
          <cell r="B254" t="str">
            <v>가.</v>
          </cell>
          <cell r="C254" t="str">
            <v>합판거푸집</v>
          </cell>
          <cell r="D254" t="str">
            <v>(3회) 0-7M</v>
          </cell>
          <cell r="E254">
            <v>58548</v>
          </cell>
          <cell r="F254" t="str">
            <v>M2</v>
          </cell>
          <cell r="G254">
            <v>17000</v>
          </cell>
          <cell r="H254">
            <v>995316000</v>
          </cell>
        </row>
        <row r="255">
          <cell r="B255" t="str">
            <v>나.</v>
          </cell>
          <cell r="C255" t="str">
            <v>합판거푸집</v>
          </cell>
          <cell r="D255" t="str">
            <v>(3회) 7-10M</v>
          </cell>
          <cell r="E255">
            <v>3651</v>
          </cell>
          <cell r="F255" t="str">
            <v>M2</v>
          </cell>
          <cell r="G255">
            <v>18300</v>
          </cell>
          <cell r="H255">
            <v>66813300</v>
          </cell>
        </row>
        <row r="256">
          <cell r="B256" t="str">
            <v>다.</v>
          </cell>
          <cell r="C256" t="str">
            <v>합판거푸집</v>
          </cell>
          <cell r="D256" t="str">
            <v>(3회) 10-13M</v>
          </cell>
          <cell r="E256">
            <v>533</v>
          </cell>
          <cell r="F256" t="str">
            <v>M2</v>
          </cell>
          <cell r="G256">
            <v>19500</v>
          </cell>
          <cell r="H256">
            <v>10393500</v>
          </cell>
        </row>
        <row r="257">
          <cell r="B257" t="str">
            <v>라.</v>
          </cell>
          <cell r="C257" t="str">
            <v>합판거푸집</v>
          </cell>
          <cell r="D257" t="str">
            <v>(3회) 13-16M</v>
          </cell>
          <cell r="E257">
            <v>270</v>
          </cell>
          <cell r="F257" t="str">
            <v>M2</v>
          </cell>
          <cell r="G257">
            <v>20700</v>
          </cell>
          <cell r="H257">
            <v>5589000</v>
          </cell>
        </row>
        <row r="258">
          <cell r="B258" t="str">
            <v>마.</v>
          </cell>
          <cell r="C258" t="str">
            <v>합판거푸집</v>
          </cell>
          <cell r="D258" t="str">
            <v>(3회) 16-19M</v>
          </cell>
          <cell r="E258">
            <v>270</v>
          </cell>
          <cell r="F258" t="str">
            <v>M2</v>
          </cell>
          <cell r="G258">
            <v>21900</v>
          </cell>
          <cell r="H258">
            <v>5913000</v>
          </cell>
        </row>
        <row r="259">
          <cell r="B259" t="str">
            <v>바.</v>
          </cell>
          <cell r="C259" t="str">
            <v>합판거푸집</v>
          </cell>
          <cell r="D259" t="str">
            <v>(3회) 19-22M</v>
          </cell>
          <cell r="E259">
            <v>735</v>
          </cell>
          <cell r="F259" t="str">
            <v>M2</v>
          </cell>
          <cell r="G259">
            <v>23200</v>
          </cell>
          <cell r="H259">
            <v>17052000</v>
          </cell>
        </row>
        <row r="260">
          <cell r="B260" t="str">
            <v>사.</v>
          </cell>
          <cell r="C260" t="str">
            <v>합판거푸집</v>
          </cell>
          <cell r="D260" t="str">
            <v>(3회) 22-25M</v>
          </cell>
          <cell r="E260">
            <v>284</v>
          </cell>
          <cell r="F260" t="str">
            <v>M2</v>
          </cell>
          <cell r="G260">
            <v>24400</v>
          </cell>
          <cell r="H260">
            <v>6929600</v>
          </cell>
        </row>
        <row r="261">
          <cell r="B261" t="str">
            <v>아.</v>
          </cell>
          <cell r="C261" t="str">
            <v>합판거푸집</v>
          </cell>
          <cell r="D261" t="str">
            <v>(4회)</v>
          </cell>
          <cell r="E261">
            <v>7753</v>
          </cell>
          <cell r="F261" t="str">
            <v>M2</v>
          </cell>
          <cell r="G261">
            <v>14500</v>
          </cell>
          <cell r="H261">
            <v>112418500</v>
          </cell>
        </row>
        <row r="262">
          <cell r="B262" t="str">
            <v>자.</v>
          </cell>
          <cell r="C262" t="str">
            <v>합판거푸집</v>
          </cell>
          <cell r="D262" t="str">
            <v>(6회)</v>
          </cell>
          <cell r="E262">
            <v>812</v>
          </cell>
          <cell r="F262" t="str">
            <v>M2</v>
          </cell>
          <cell r="G262">
            <v>11900</v>
          </cell>
          <cell r="H262">
            <v>9662800</v>
          </cell>
        </row>
        <row r="263">
          <cell r="B263" t="str">
            <v>차.</v>
          </cell>
          <cell r="C263" t="str">
            <v>원형거푸집</v>
          </cell>
          <cell r="D263" t="str">
            <v>(3회)</v>
          </cell>
          <cell r="E263">
            <v>3820</v>
          </cell>
          <cell r="F263" t="str">
            <v>M2</v>
          </cell>
          <cell r="G263">
            <v>35900</v>
          </cell>
          <cell r="H263">
            <v>137138000</v>
          </cell>
        </row>
        <row r="264">
          <cell r="B264" t="str">
            <v>카.</v>
          </cell>
          <cell r="C264" t="str">
            <v>원형거푸집</v>
          </cell>
          <cell r="D264" t="str">
            <v>(3회) 7-10M</v>
          </cell>
          <cell r="E264">
            <v>786</v>
          </cell>
          <cell r="F264" t="str">
            <v>M2</v>
          </cell>
          <cell r="G264">
            <v>38800</v>
          </cell>
          <cell r="H264">
            <v>30496800</v>
          </cell>
        </row>
        <row r="265">
          <cell r="B265" t="str">
            <v>타.</v>
          </cell>
          <cell r="C265" t="str">
            <v>원형거푸집</v>
          </cell>
          <cell r="D265" t="str">
            <v>(3회) 10-13M</v>
          </cell>
          <cell r="E265">
            <v>524</v>
          </cell>
          <cell r="F265" t="str">
            <v>M2</v>
          </cell>
          <cell r="G265">
            <v>41600</v>
          </cell>
          <cell r="H265">
            <v>21798400</v>
          </cell>
        </row>
        <row r="266">
          <cell r="B266" t="str">
            <v>파.</v>
          </cell>
          <cell r="C266" t="str">
            <v>원형거푸집</v>
          </cell>
          <cell r="D266" t="str">
            <v>(3회) 13-16M</v>
          </cell>
          <cell r="E266">
            <v>455</v>
          </cell>
          <cell r="F266" t="str">
            <v>M2</v>
          </cell>
          <cell r="G266">
            <v>44400</v>
          </cell>
          <cell r="H266">
            <v>20202000</v>
          </cell>
        </row>
        <row r="267">
          <cell r="B267" t="str">
            <v>하.</v>
          </cell>
          <cell r="C267" t="str">
            <v>원형거푸집</v>
          </cell>
          <cell r="D267" t="str">
            <v>(3회) 16-19M</v>
          </cell>
          <cell r="E267">
            <v>384</v>
          </cell>
          <cell r="F267" t="str">
            <v>M2</v>
          </cell>
          <cell r="G267">
            <v>47300</v>
          </cell>
          <cell r="H267">
            <v>18163200</v>
          </cell>
        </row>
        <row r="268">
          <cell r="B268" t="str">
            <v>거.</v>
          </cell>
          <cell r="C268" t="str">
            <v>원형거푸집</v>
          </cell>
          <cell r="D268" t="str">
            <v>(3회) 19-22M</v>
          </cell>
          <cell r="E268">
            <v>188</v>
          </cell>
          <cell r="F268" t="str">
            <v>M2</v>
          </cell>
          <cell r="G268">
            <v>50100</v>
          </cell>
          <cell r="H268">
            <v>9418800</v>
          </cell>
        </row>
        <row r="269">
          <cell r="B269" t="str">
            <v>너.</v>
          </cell>
          <cell r="C269" t="str">
            <v>원형거푸집</v>
          </cell>
          <cell r="D269" t="str">
            <v>(3회) 22-25M</v>
          </cell>
          <cell r="E269">
            <v>30</v>
          </cell>
          <cell r="F269" t="str">
            <v>M2</v>
          </cell>
          <cell r="G269">
            <v>52900</v>
          </cell>
          <cell r="H269">
            <v>1587000</v>
          </cell>
        </row>
        <row r="270">
          <cell r="B270" t="str">
            <v>더.</v>
          </cell>
          <cell r="C270" t="str">
            <v>강재거푸집(P.F빔용)</v>
          </cell>
          <cell r="D270" t="str">
            <v>(형틀조립 및 탈형)</v>
          </cell>
          <cell r="E270">
            <v>2602</v>
          </cell>
          <cell r="F270" t="str">
            <v>M2</v>
          </cell>
          <cell r="G270">
            <v>14800</v>
          </cell>
          <cell r="H270">
            <v>38509600</v>
          </cell>
        </row>
        <row r="271">
          <cell r="B271" t="str">
            <v>8)</v>
          </cell>
          <cell r="C271" t="str">
            <v>비계공</v>
          </cell>
          <cell r="D271" t="str">
            <v>(교량)</v>
          </cell>
          <cell r="E271">
            <v>1</v>
          </cell>
          <cell r="F271" t="str">
            <v>식</v>
          </cell>
          <cell r="G271">
            <v>300000000</v>
          </cell>
          <cell r="H271">
            <v>300000000</v>
          </cell>
        </row>
        <row r="272">
          <cell r="B272" t="str">
            <v>9)</v>
          </cell>
          <cell r="C272" t="str">
            <v>동바리공</v>
          </cell>
          <cell r="D272" t="str">
            <v>(교량)</v>
          </cell>
          <cell r="E272">
            <v>1</v>
          </cell>
          <cell r="F272" t="str">
            <v>식</v>
          </cell>
          <cell r="G272">
            <v>1170000000</v>
          </cell>
          <cell r="H272">
            <v>1170000000</v>
          </cell>
        </row>
        <row r="273">
          <cell r="B273" t="str">
            <v>10)</v>
          </cell>
          <cell r="C273" t="str">
            <v>시공이음</v>
          </cell>
          <cell r="H273">
            <v>0</v>
          </cell>
        </row>
        <row r="274">
          <cell r="B274" t="str">
            <v>가.</v>
          </cell>
          <cell r="C274" t="str">
            <v>스치로폴</v>
          </cell>
          <cell r="D274" t="str">
            <v>(T=10m/m)</v>
          </cell>
          <cell r="E274">
            <v>369</v>
          </cell>
          <cell r="F274" t="str">
            <v>M2</v>
          </cell>
          <cell r="G274">
            <v>950</v>
          </cell>
          <cell r="H274">
            <v>350550</v>
          </cell>
        </row>
        <row r="275">
          <cell r="B275" t="str">
            <v>나.</v>
          </cell>
          <cell r="C275" t="str">
            <v>스치로폴</v>
          </cell>
          <cell r="D275" t="str">
            <v>(T=20m/m)</v>
          </cell>
          <cell r="E275">
            <v>7</v>
          </cell>
          <cell r="F275" t="str">
            <v>M2</v>
          </cell>
          <cell r="G275">
            <v>1800</v>
          </cell>
          <cell r="H275">
            <v>12600</v>
          </cell>
        </row>
        <row r="276">
          <cell r="B276" t="str">
            <v>11)</v>
          </cell>
          <cell r="C276" t="str">
            <v>물푸기</v>
          </cell>
          <cell r="D276" t="str">
            <v>(교량)</v>
          </cell>
          <cell r="E276">
            <v>1</v>
          </cell>
          <cell r="F276" t="str">
            <v>식</v>
          </cell>
          <cell r="G276">
            <v>40000000</v>
          </cell>
          <cell r="H276">
            <v>40000000</v>
          </cell>
        </row>
        <row r="277">
          <cell r="B277" t="str">
            <v>12)</v>
          </cell>
          <cell r="C277" t="str">
            <v>철근가공조립</v>
          </cell>
          <cell r="H277">
            <v>0</v>
          </cell>
        </row>
        <row r="278">
          <cell r="B278" t="str">
            <v>가.</v>
          </cell>
          <cell r="C278" t="str">
            <v>철근가공조립</v>
          </cell>
          <cell r="D278" t="str">
            <v>(보통)</v>
          </cell>
          <cell r="E278">
            <v>1605.318</v>
          </cell>
          <cell r="F278" t="str">
            <v>TON</v>
          </cell>
          <cell r="G278">
            <v>310000</v>
          </cell>
          <cell r="H278">
            <v>497648580</v>
          </cell>
        </row>
        <row r="279">
          <cell r="B279" t="str">
            <v>나.</v>
          </cell>
          <cell r="C279" t="str">
            <v>철근가공조립</v>
          </cell>
          <cell r="D279" t="str">
            <v>(복잡)</v>
          </cell>
          <cell r="E279">
            <v>3578.1109999999999</v>
          </cell>
          <cell r="F279" t="str">
            <v>TON</v>
          </cell>
          <cell r="G279">
            <v>390000</v>
          </cell>
          <cell r="H279">
            <v>1395463290</v>
          </cell>
        </row>
        <row r="280">
          <cell r="B280" t="str">
            <v>다.</v>
          </cell>
          <cell r="C280" t="str">
            <v>철근가공및조립</v>
          </cell>
          <cell r="D280" t="str">
            <v>(매우복잡)</v>
          </cell>
          <cell r="E280">
            <v>2742</v>
          </cell>
          <cell r="F280" t="str">
            <v>TON</v>
          </cell>
          <cell r="G280">
            <v>450000</v>
          </cell>
          <cell r="H280">
            <v>1233900000</v>
          </cell>
        </row>
        <row r="281">
          <cell r="B281" t="str">
            <v>라.</v>
          </cell>
          <cell r="C281" t="str">
            <v>간격재</v>
          </cell>
          <cell r="D281" t="str">
            <v>(T=50MM)</v>
          </cell>
          <cell r="E281">
            <v>866</v>
          </cell>
          <cell r="F281" t="str">
            <v>EA</v>
          </cell>
          <cell r="G281">
            <v>35</v>
          </cell>
          <cell r="H281">
            <v>30310</v>
          </cell>
        </row>
        <row r="282">
          <cell r="B282" t="str">
            <v>마.</v>
          </cell>
          <cell r="C282" t="str">
            <v>간격재</v>
          </cell>
          <cell r="D282" t="str">
            <v>(T=100MM)</v>
          </cell>
          <cell r="E282">
            <v>444</v>
          </cell>
          <cell r="F282" t="str">
            <v>EA</v>
          </cell>
          <cell r="G282">
            <v>60</v>
          </cell>
          <cell r="H282">
            <v>26640</v>
          </cell>
        </row>
        <row r="283">
          <cell r="B283" t="str">
            <v>바.</v>
          </cell>
          <cell r="C283" t="str">
            <v>몰탈블럭</v>
          </cell>
          <cell r="D283" t="str">
            <v>(T=50MM)</v>
          </cell>
          <cell r="E283">
            <v>3813</v>
          </cell>
          <cell r="F283" t="str">
            <v>EA</v>
          </cell>
          <cell r="G283">
            <v>55</v>
          </cell>
          <cell r="H283">
            <v>209715</v>
          </cell>
        </row>
        <row r="284">
          <cell r="B284" t="str">
            <v>사.</v>
          </cell>
          <cell r="C284" t="str">
            <v>몰탈블럭</v>
          </cell>
          <cell r="D284" t="str">
            <v>(T=100MM)</v>
          </cell>
          <cell r="E284">
            <v>928</v>
          </cell>
          <cell r="F284" t="str">
            <v>EA</v>
          </cell>
          <cell r="G284">
            <v>85</v>
          </cell>
          <cell r="H284">
            <v>78880</v>
          </cell>
        </row>
        <row r="285">
          <cell r="B285" t="str">
            <v>사.</v>
          </cell>
          <cell r="C285" t="str">
            <v>스페이서설치</v>
          </cell>
          <cell r="E285">
            <v>78511</v>
          </cell>
          <cell r="F285" t="str">
            <v>M2</v>
          </cell>
          <cell r="G285">
            <v>650</v>
          </cell>
          <cell r="H285">
            <v>51032150</v>
          </cell>
        </row>
        <row r="286">
          <cell r="B286" t="str">
            <v>13)</v>
          </cell>
          <cell r="C286" t="str">
            <v>콘크리트타설</v>
          </cell>
          <cell r="H286">
            <v>0</v>
          </cell>
        </row>
        <row r="287">
          <cell r="B287" t="str">
            <v>가.</v>
          </cell>
          <cell r="C287" t="str">
            <v>콘크리트타설</v>
          </cell>
          <cell r="D287" t="str">
            <v>(펌프카타설,0~15m)</v>
          </cell>
          <cell r="E287">
            <v>55259</v>
          </cell>
          <cell r="F287" t="str">
            <v>M3</v>
          </cell>
          <cell r="G287">
            <v>9000</v>
          </cell>
          <cell r="H287">
            <v>497331000</v>
          </cell>
        </row>
        <row r="288">
          <cell r="B288" t="str">
            <v>나.</v>
          </cell>
          <cell r="C288" t="str">
            <v>콘크리트타설</v>
          </cell>
          <cell r="D288" t="str">
            <v>(펌프카타설,15M이상)</v>
          </cell>
          <cell r="E288">
            <v>1514</v>
          </cell>
          <cell r="F288" t="str">
            <v>M3</v>
          </cell>
          <cell r="G288">
            <v>12500</v>
          </cell>
          <cell r="H288">
            <v>18925000</v>
          </cell>
        </row>
        <row r="289">
          <cell r="B289" t="str">
            <v>다.</v>
          </cell>
          <cell r="C289" t="str">
            <v>콘크리트타설</v>
          </cell>
          <cell r="D289" t="str">
            <v>(무근,진동기제외)</v>
          </cell>
          <cell r="E289">
            <v>3585</v>
          </cell>
          <cell r="F289" t="str">
            <v>M3</v>
          </cell>
          <cell r="G289">
            <v>17000</v>
          </cell>
          <cell r="H289">
            <v>60945000</v>
          </cell>
        </row>
        <row r="290">
          <cell r="B290" t="str">
            <v>14)</v>
          </cell>
          <cell r="C290" t="str">
            <v>슬래브양생</v>
          </cell>
          <cell r="E290">
            <v>30486</v>
          </cell>
          <cell r="F290" t="str">
            <v>M2</v>
          </cell>
          <cell r="G290">
            <v>150</v>
          </cell>
          <cell r="H290">
            <v>4572900</v>
          </cell>
        </row>
        <row r="291">
          <cell r="B291" t="str">
            <v>15)</v>
          </cell>
          <cell r="C291" t="str">
            <v>데크휘니샤면고르기</v>
          </cell>
          <cell r="E291">
            <v>30266</v>
          </cell>
          <cell r="F291" t="str">
            <v>M2</v>
          </cell>
          <cell r="G291">
            <v>300</v>
          </cell>
          <cell r="H291">
            <v>9079800</v>
          </cell>
        </row>
        <row r="292">
          <cell r="B292" t="str">
            <v>16)</v>
          </cell>
          <cell r="C292" t="str">
            <v>교면방수</v>
          </cell>
          <cell r="D292" t="str">
            <v>(침투식)</v>
          </cell>
          <cell r="E292">
            <v>30266</v>
          </cell>
          <cell r="F292" t="str">
            <v>M2</v>
          </cell>
          <cell r="G292">
            <v>2500</v>
          </cell>
          <cell r="H292">
            <v>75665000</v>
          </cell>
        </row>
        <row r="293">
          <cell r="B293" t="str">
            <v>17)</v>
          </cell>
          <cell r="C293" t="str">
            <v>교좌장치</v>
          </cell>
          <cell r="H293">
            <v>0</v>
          </cell>
        </row>
        <row r="294">
          <cell r="B294" t="str">
            <v>가.</v>
          </cell>
          <cell r="C294" t="str">
            <v>교좌장치</v>
          </cell>
          <cell r="D294" t="str">
            <v>(일방향)75TON</v>
          </cell>
          <cell r="E294">
            <v>8</v>
          </cell>
          <cell r="F294" t="str">
            <v>EA</v>
          </cell>
          <cell r="G294">
            <v>1220000</v>
          </cell>
          <cell r="H294">
            <v>9760000</v>
          </cell>
        </row>
        <row r="295">
          <cell r="B295" t="str">
            <v>나.</v>
          </cell>
          <cell r="C295" t="str">
            <v>교좌장치</v>
          </cell>
          <cell r="D295" t="str">
            <v>(양방향)75TON</v>
          </cell>
          <cell r="E295">
            <v>41</v>
          </cell>
          <cell r="F295" t="str">
            <v>EA</v>
          </cell>
          <cell r="G295">
            <v>920000</v>
          </cell>
          <cell r="H295">
            <v>37720000</v>
          </cell>
        </row>
        <row r="296">
          <cell r="B296" t="str">
            <v>다.</v>
          </cell>
          <cell r="C296" t="str">
            <v>교좌장치</v>
          </cell>
          <cell r="D296" t="str">
            <v>(일방향)100TON</v>
          </cell>
          <cell r="E296">
            <v>8</v>
          </cell>
          <cell r="F296" t="str">
            <v>EA</v>
          </cell>
          <cell r="G296">
            <v>1310000</v>
          </cell>
          <cell r="H296">
            <v>10480000</v>
          </cell>
        </row>
        <row r="297">
          <cell r="B297" t="str">
            <v>라.</v>
          </cell>
          <cell r="C297" t="str">
            <v>교좌장치</v>
          </cell>
          <cell r="D297" t="str">
            <v>(양방향)100TON</v>
          </cell>
          <cell r="E297">
            <v>32</v>
          </cell>
          <cell r="F297" t="str">
            <v>EA</v>
          </cell>
          <cell r="G297">
            <v>1080000</v>
          </cell>
          <cell r="H297">
            <v>34560000</v>
          </cell>
        </row>
        <row r="298">
          <cell r="B298" t="str">
            <v>마.</v>
          </cell>
          <cell r="C298" t="str">
            <v>교좌장치</v>
          </cell>
          <cell r="D298" t="str">
            <v>(일방향,130TON)</v>
          </cell>
          <cell r="E298">
            <v>2</v>
          </cell>
          <cell r="F298" t="str">
            <v>EA</v>
          </cell>
          <cell r="G298">
            <v>920000</v>
          </cell>
          <cell r="H298">
            <v>1840000</v>
          </cell>
        </row>
        <row r="299">
          <cell r="B299" t="str">
            <v>바.</v>
          </cell>
          <cell r="C299" t="str">
            <v>교좌장치</v>
          </cell>
          <cell r="D299" t="str">
            <v>(양방향,130TON)</v>
          </cell>
          <cell r="E299">
            <v>6</v>
          </cell>
          <cell r="F299" t="str">
            <v>EA</v>
          </cell>
          <cell r="G299">
            <v>630000</v>
          </cell>
          <cell r="H299">
            <v>3780000</v>
          </cell>
        </row>
        <row r="300">
          <cell r="B300" t="str">
            <v>사.</v>
          </cell>
          <cell r="C300" t="str">
            <v>교좌장치</v>
          </cell>
          <cell r="D300" t="str">
            <v>(고정단,135TON)</v>
          </cell>
          <cell r="E300">
            <v>55</v>
          </cell>
          <cell r="F300" t="str">
            <v>EA</v>
          </cell>
          <cell r="G300">
            <v>1560000</v>
          </cell>
          <cell r="H300">
            <v>85800000</v>
          </cell>
        </row>
        <row r="301">
          <cell r="B301" t="str">
            <v>아.</v>
          </cell>
          <cell r="C301" t="str">
            <v>교좌장치</v>
          </cell>
          <cell r="D301" t="str">
            <v>(일방향)135TON</v>
          </cell>
          <cell r="E301">
            <v>55</v>
          </cell>
          <cell r="F301" t="str">
            <v>EA</v>
          </cell>
          <cell r="G301">
            <v>1540000</v>
          </cell>
          <cell r="H301">
            <v>84700000</v>
          </cell>
        </row>
        <row r="302">
          <cell r="B302" t="str">
            <v>자.</v>
          </cell>
          <cell r="C302" t="str">
            <v>교좌장치</v>
          </cell>
          <cell r="D302" t="str">
            <v>(횡방향)135TON</v>
          </cell>
          <cell r="E302">
            <v>226</v>
          </cell>
          <cell r="F302" t="str">
            <v>EA</v>
          </cell>
          <cell r="G302">
            <v>1540000</v>
          </cell>
          <cell r="H302">
            <v>348040000</v>
          </cell>
        </row>
        <row r="303">
          <cell r="B303" t="str">
            <v>차.</v>
          </cell>
          <cell r="C303" t="str">
            <v>교좌장치</v>
          </cell>
          <cell r="D303" t="str">
            <v>(양방향)135TON</v>
          </cell>
          <cell r="E303">
            <v>218</v>
          </cell>
          <cell r="F303" t="str">
            <v>EA</v>
          </cell>
          <cell r="G303">
            <v>1300000</v>
          </cell>
          <cell r="H303">
            <v>283400000</v>
          </cell>
        </row>
        <row r="304">
          <cell r="B304" t="str">
            <v>카.</v>
          </cell>
          <cell r="C304" t="str">
            <v>교좌장치</v>
          </cell>
          <cell r="D304" t="str">
            <v>(일방향)160TON</v>
          </cell>
          <cell r="E304">
            <v>8</v>
          </cell>
          <cell r="F304" t="str">
            <v>EA</v>
          </cell>
          <cell r="G304">
            <v>1020000</v>
          </cell>
          <cell r="H304">
            <v>8160000</v>
          </cell>
        </row>
        <row r="305">
          <cell r="B305" t="str">
            <v>타.</v>
          </cell>
          <cell r="C305" t="str">
            <v>교좌장치</v>
          </cell>
          <cell r="D305" t="str">
            <v>(양방향)160TON</v>
          </cell>
          <cell r="E305">
            <v>24</v>
          </cell>
          <cell r="F305" t="str">
            <v>EA</v>
          </cell>
          <cell r="G305">
            <v>690000</v>
          </cell>
          <cell r="H305">
            <v>16560000</v>
          </cell>
        </row>
        <row r="306">
          <cell r="B306" t="str">
            <v>파.</v>
          </cell>
          <cell r="C306" t="str">
            <v>교좌장치</v>
          </cell>
          <cell r="D306" t="str">
            <v>(고정단)175TON</v>
          </cell>
          <cell r="E306">
            <v>6</v>
          </cell>
          <cell r="F306" t="str">
            <v>EA</v>
          </cell>
          <cell r="G306">
            <v>1950000</v>
          </cell>
          <cell r="H306">
            <v>11700000</v>
          </cell>
        </row>
        <row r="307">
          <cell r="B307" t="str">
            <v>하.</v>
          </cell>
          <cell r="C307" t="str">
            <v>교좌장치</v>
          </cell>
          <cell r="D307" t="str">
            <v>(일방향)175TON</v>
          </cell>
          <cell r="E307">
            <v>6</v>
          </cell>
          <cell r="F307" t="str">
            <v>EA</v>
          </cell>
          <cell r="G307">
            <v>1930000</v>
          </cell>
          <cell r="H307">
            <v>11580000</v>
          </cell>
        </row>
        <row r="308">
          <cell r="B308" t="str">
            <v>거.</v>
          </cell>
          <cell r="C308" t="str">
            <v>교좌장치</v>
          </cell>
          <cell r="D308" t="str">
            <v>(횡방향)175TON</v>
          </cell>
          <cell r="E308">
            <v>24</v>
          </cell>
          <cell r="F308" t="str">
            <v>EA</v>
          </cell>
          <cell r="G308">
            <v>2000000</v>
          </cell>
          <cell r="H308">
            <v>48000000</v>
          </cell>
        </row>
        <row r="309">
          <cell r="B309" t="str">
            <v>너.</v>
          </cell>
          <cell r="C309" t="str">
            <v>교좌장치</v>
          </cell>
          <cell r="D309" t="str">
            <v>(양방향)175TON</v>
          </cell>
          <cell r="E309">
            <v>24</v>
          </cell>
          <cell r="F309" t="str">
            <v>EA</v>
          </cell>
          <cell r="G309">
            <v>1710000</v>
          </cell>
          <cell r="H309">
            <v>41040000</v>
          </cell>
        </row>
        <row r="310">
          <cell r="B310" t="str">
            <v>더.</v>
          </cell>
          <cell r="C310" t="str">
            <v>교좌장치</v>
          </cell>
          <cell r="D310" t="str">
            <v>(고정단)225TON</v>
          </cell>
          <cell r="E310">
            <v>4</v>
          </cell>
          <cell r="F310" t="str">
            <v>EA</v>
          </cell>
          <cell r="G310">
            <v>2380000</v>
          </cell>
          <cell r="H310">
            <v>9520000</v>
          </cell>
        </row>
        <row r="311">
          <cell r="B311" t="str">
            <v>러.</v>
          </cell>
          <cell r="C311" t="str">
            <v>교좌장치</v>
          </cell>
          <cell r="D311" t="str">
            <v>(일방향)225TON</v>
          </cell>
          <cell r="E311">
            <v>4</v>
          </cell>
          <cell r="F311" t="str">
            <v>EA</v>
          </cell>
          <cell r="G311">
            <v>2360000</v>
          </cell>
          <cell r="H311">
            <v>9440000</v>
          </cell>
        </row>
        <row r="312">
          <cell r="B312" t="str">
            <v>머.</v>
          </cell>
          <cell r="C312" t="str">
            <v>교좌장치</v>
          </cell>
          <cell r="D312" t="str">
            <v>(횡방향)225TON</v>
          </cell>
          <cell r="E312">
            <v>16</v>
          </cell>
          <cell r="F312" t="str">
            <v>EA</v>
          </cell>
          <cell r="G312">
            <v>2380000</v>
          </cell>
          <cell r="H312">
            <v>38080000</v>
          </cell>
        </row>
        <row r="313">
          <cell r="B313" t="str">
            <v>버.</v>
          </cell>
          <cell r="C313" t="str">
            <v>교좌장치</v>
          </cell>
          <cell r="D313" t="str">
            <v>(양방향)225TON</v>
          </cell>
          <cell r="E313">
            <v>16</v>
          </cell>
          <cell r="F313" t="str">
            <v>EA</v>
          </cell>
          <cell r="G313">
            <v>2100000</v>
          </cell>
          <cell r="H313">
            <v>33600000</v>
          </cell>
        </row>
        <row r="314">
          <cell r="B314" t="str">
            <v>서.</v>
          </cell>
          <cell r="C314" t="str">
            <v>교좌장치</v>
          </cell>
          <cell r="D314" t="str">
            <v>(고정단)350TON</v>
          </cell>
          <cell r="E314">
            <v>4</v>
          </cell>
          <cell r="F314" t="str">
            <v>EA</v>
          </cell>
          <cell r="G314">
            <v>850000</v>
          </cell>
          <cell r="H314">
            <v>3400000</v>
          </cell>
        </row>
        <row r="315">
          <cell r="B315" t="str">
            <v>어.</v>
          </cell>
          <cell r="C315" t="str">
            <v>교좌장치</v>
          </cell>
          <cell r="D315" t="str">
            <v>(일방향)350TON</v>
          </cell>
          <cell r="E315">
            <v>16</v>
          </cell>
          <cell r="F315" t="str">
            <v>EA</v>
          </cell>
          <cell r="G315">
            <v>1500000</v>
          </cell>
          <cell r="H315">
            <v>24000000</v>
          </cell>
        </row>
        <row r="316">
          <cell r="B316" t="str">
            <v>저.</v>
          </cell>
          <cell r="C316" t="str">
            <v>교좌장치</v>
          </cell>
          <cell r="D316" t="str">
            <v>(양방향)350TON</v>
          </cell>
          <cell r="E316">
            <v>12</v>
          </cell>
          <cell r="F316" t="str">
            <v>EA</v>
          </cell>
          <cell r="G316">
            <v>1060000</v>
          </cell>
          <cell r="H316">
            <v>12720000</v>
          </cell>
        </row>
        <row r="317">
          <cell r="B317" t="str">
            <v>처.</v>
          </cell>
          <cell r="C317" t="str">
            <v>교좌장치</v>
          </cell>
          <cell r="D317" t="str">
            <v>(고정단,600TON)</v>
          </cell>
          <cell r="E317">
            <v>1</v>
          </cell>
          <cell r="F317" t="str">
            <v>SET</v>
          </cell>
          <cell r="G317">
            <v>1560000</v>
          </cell>
          <cell r="H317">
            <v>1560000</v>
          </cell>
        </row>
        <row r="318">
          <cell r="B318" t="str">
            <v>커.</v>
          </cell>
          <cell r="C318" t="str">
            <v>교좌장치</v>
          </cell>
          <cell r="D318" t="str">
            <v>(일방향,600TON)</v>
          </cell>
          <cell r="E318">
            <v>4</v>
          </cell>
          <cell r="F318" t="str">
            <v>SET</v>
          </cell>
          <cell r="G318">
            <v>2460000</v>
          </cell>
          <cell r="H318">
            <v>9840000</v>
          </cell>
        </row>
        <row r="319">
          <cell r="B319" t="str">
            <v>터.</v>
          </cell>
          <cell r="C319" t="str">
            <v>교좌장치</v>
          </cell>
          <cell r="D319" t="str">
            <v>(양방향,600TON)</v>
          </cell>
          <cell r="E319">
            <v>3</v>
          </cell>
          <cell r="F319" t="str">
            <v>SET</v>
          </cell>
          <cell r="G319">
            <v>1910000</v>
          </cell>
          <cell r="H319">
            <v>5730000</v>
          </cell>
        </row>
        <row r="320">
          <cell r="B320" t="str">
            <v>18)</v>
          </cell>
          <cell r="C320" t="str">
            <v>신축이음장치</v>
          </cell>
          <cell r="H320">
            <v>0</v>
          </cell>
        </row>
        <row r="321">
          <cell r="B321" t="str">
            <v>가.</v>
          </cell>
          <cell r="C321" t="str">
            <v>신축이음장치</v>
          </cell>
          <cell r="D321" t="str">
            <v>(NO. 50)</v>
          </cell>
          <cell r="E321">
            <v>258</v>
          </cell>
          <cell r="F321" t="str">
            <v>M</v>
          </cell>
          <cell r="G321">
            <v>200000</v>
          </cell>
          <cell r="H321">
            <v>51600000</v>
          </cell>
        </row>
        <row r="322">
          <cell r="B322" t="str">
            <v>나.</v>
          </cell>
          <cell r="C322" t="str">
            <v>신축이음장치</v>
          </cell>
          <cell r="D322" t="str">
            <v>(NO. 80)</v>
          </cell>
          <cell r="E322">
            <v>72</v>
          </cell>
          <cell r="F322" t="str">
            <v>M</v>
          </cell>
          <cell r="G322">
            <v>320000</v>
          </cell>
          <cell r="H322">
            <v>23040000</v>
          </cell>
        </row>
        <row r="323">
          <cell r="B323" t="str">
            <v>다.</v>
          </cell>
          <cell r="C323" t="str">
            <v>신축이음장치</v>
          </cell>
          <cell r="D323" t="str">
            <v>(NO80,WSF)</v>
          </cell>
          <cell r="E323">
            <v>177</v>
          </cell>
          <cell r="F323" t="str">
            <v>M</v>
          </cell>
          <cell r="G323">
            <v>480000</v>
          </cell>
          <cell r="H323">
            <v>84960000</v>
          </cell>
        </row>
        <row r="324">
          <cell r="B324" t="str">
            <v>라.</v>
          </cell>
          <cell r="C324" t="str">
            <v>신축이음장치</v>
          </cell>
          <cell r="D324" t="str">
            <v>(NO100,WSF)</v>
          </cell>
          <cell r="E324">
            <v>257</v>
          </cell>
          <cell r="F324" t="str">
            <v>M</v>
          </cell>
          <cell r="G324">
            <v>560000</v>
          </cell>
          <cell r="H324">
            <v>143920000</v>
          </cell>
        </row>
        <row r="325">
          <cell r="B325" t="str">
            <v>마.</v>
          </cell>
          <cell r="C325" t="str">
            <v>신축이음장치</v>
          </cell>
          <cell r="D325" t="str">
            <v>(NO160,WSF)</v>
          </cell>
          <cell r="E325">
            <v>79</v>
          </cell>
          <cell r="F325" t="str">
            <v>M</v>
          </cell>
          <cell r="G325">
            <v>1850000</v>
          </cell>
          <cell r="H325">
            <v>146150000</v>
          </cell>
        </row>
        <row r="326">
          <cell r="B326" t="str">
            <v>19)</v>
          </cell>
          <cell r="C326" t="str">
            <v>다웰바설치</v>
          </cell>
          <cell r="D326" t="str">
            <v>(φ 25x600)</v>
          </cell>
          <cell r="E326">
            <v>44</v>
          </cell>
          <cell r="F326" t="str">
            <v>EA</v>
          </cell>
          <cell r="G326">
            <v>3500</v>
          </cell>
          <cell r="H326">
            <v>154000</v>
          </cell>
        </row>
        <row r="327">
          <cell r="B327" t="str">
            <v>20)</v>
          </cell>
          <cell r="C327" t="str">
            <v>타르지</v>
          </cell>
          <cell r="E327">
            <v>5</v>
          </cell>
          <cell r="F327" t="str">
            <v>M2</v>
          </cell>
          <cell r="G327">
            <v>34000</v>
          </cell>
          <cell r="H327">
            <v>170000</v>
          </cell>
        </row>
        <row r="328">
          <cell r="B328" t="str">
            <v>21)</v>
          </cell>
          <cell r="C328" t="str">
            <v>무수축콘크리트공</v>
          </cell>
          <cell r="H328">
            <v>0</v>
          </cell>
        </row>
        <row r="329">
          <cell r="B329" t="str">
            <v>가.</v>
          </cell>
          <cell r="C329" t="str">
            <v>무수축 콘크리트</v>
          </cell>
          <cell r="E329">
            <v>101</v>
          </cell>
          <cell r="F329" t="str">
            <v>M3</v>
          </cell>
          <cell r="G329">
            <v>140000</v>
          </cell>
          <cell r="H329">
            <v>14140000</v>
          </cell>
        </row>
        <row r="330">
          <cell r="B330" t="str">
            <v>나.</v>
          </cell>
          <cell r="C330" t="str">
            <v>무수축 몰탈</v>
          </cell>
          <cell r="D330" t="str">
            <v>(1:1)</v>
          </cell>
          <cell r="E330">
            <v>37</v>
          </cell>
          <cell r="F330" t="str">
            <v>M3</v>
          </cell>
          <cell r="G330">
            <v>56000</v>
          </cell>
          <cell r="H330">
            <v>2072000</v>
          </cell>
        </row>
        <row r="331">
          <cell r="B331" t="str">
            <v>22)</v>
          </cell>
          <cell r="C331" t="str">
            <v>몰 탈</v>
          </cell>
          <cell r="D331" t="str">
            <v>(1:3)</v>
          </cell>
          <cell r="E331">
            <v>150</v>
          </cell>
          <cell r="F331" t="str">
            <v>M3</v>
          </cell>
          <cell r="G331">
            <v>34000</v>
          </cell>
          <cell r="H331">
            <v>5100000</v>
          </cell>
        </row>
        <row r="332">
          <cell r="B332" t="str">
            <v>23)</v>
          </cell>
          <cell r="C332" t="str">
            <v>교량배수공</v>
          </cell>
          <cell r="H332">
            <v>0</v>
          </cell>
        </row>
        <row r="333">
          <cell r="B333" t="str">
            <v>가.</v>
          </cell>
          <cell r="C333" t="str">
            <v>하천용</v>
          </cell>
          <cell r="H333">
            <v>0</v>
          </cell>
        </row>
        <row r="334">
          <cell r="B334" t="str">
            <v>a.</v>
          </cell>
          <cell r="C334" t="str">
            <v>배수시설집수구</v>
          </cell>
          <cell r="D334" t="str">
            <v>(주철)</v>
          </cell>
          <cell r="E334">
            <v>129</v>
          </cell>
          <cell r="F334" t="str">
            <v>EA</v>
          </cell>
          <cell r="G334">
            <v>30000</v>
          </cell>
          <cell r="H334">
            <v>3870000</v>
          </cell>
        </row>
        <row r="335">
          <cell r="B335" t="str">
            <v>b.</v>
          </cell>
          <cell r="C335" t="str">
            <v>아연도강관</v>
          </cell>
          <cell r="D335" t="str">
            <v>(R=165.2x4.85)</v>
          </cell>
          <cell r="E335">
            <v>352</v>
          </cell>
          <cell r="F335" t="str">
            <v>M</v>
          </cell>
          <cell r="G335">
            <v>8500</v>
          </cell>
          <cell r="H335">
            <v>2992000</v>
          </cell>
        </row>
        <row r="336">
          <cell r="B336" t="str">
            <v>나.</v>
          </cell>
          <cell r="C336" t="str">
            <v>육교용</v>
          </cell>
          <cell r="H336">
            <v>0</v>
          </cell>
        </row>
        <row r="337">
          <cell r="B337" t="str">
            <v>a.</v>
          </cell>
          <cell r="C337" t="str">
            <v>육교용 집수구</v>
          </cell>
          <cell r="D337" t="str">
            <v>(주철)</v>
          </cell>
          <cell r="E337">
            <v>50</v>
          </cell>
          <cell r="F337" t="str">
            <v>EA</v>
          </cell>
          <cell r="G337">
            <v>64000</v>
          </cell>
          <cell r="H337">
            <v>3200000</v>
          </cell>
        </row>
        <row r="338">
          <cell r="B338" t="str">
            <v>b.</v>
          </cell>
          <cell r="C338" t="str">
            <v>육교용연결집수거</v>
          </cell>
          <cell r="D338" t="str">
            <v>(스텐레스)</v>
          </cell>
          <cell r="E338">
            <v>50</v>
          </cell>
          <cell r="F338" t="str">
            <v>EA</v>
          </cell>
          <cell r="G338">
            <v>110000</v>
          </cell>
          <cell r="H338">
            <v>5500000</v>
          </cell>
        </row>
        <row r="339">
          <cell r="B339" t="str">
            <v>c.</v>
          </cell>
          <cell r="C339" t="str">
            <v>육교용 직관</v>
          </cell>
          <cell r="D339" t="str">
            <v>(□150)</v>
          </cell>
          <cell r="E339">
            <v>408</v>
          </cell>
          <cell r="F339" t="str">
            <v>M</v>
          </cell>
          <cell r="G339">
            <v>75000</v>
          </cell>
          <cell r="H339">
            <v>30600000</v>
          </cell>
        </row>
        <row r="340">
          <cell r="B340" t="str">
            <v>d.</v>
          </cell>
          <cell r="C340" t="str">
            <v>육교용 곡관</v>
          </cell>
          <cell r="E340">
            <v>74</v>
          </cell>
          <cell r="F340" t="str">
            <v>EA</v>
          </cell>
          <cell r="G340">
            <v>29000</v>
          </cell>
          <cell r="H340">
            <v>2146000</v>
          </cell>
        </row>
        <row r="341">
          <cell r="B341" t="str">
            <v>e.</v>
          </cell>
          <cell r="C341" t="str">
            <v>육교용 연결부</v>
          </cell>
          <cell r="D341" t="str">
            <v>(스텐레스)</v>
          </cell>
          <cell r="E341">
            <v>210</v>
          </cell>
          <cell r="F341" t="str">
            <v>EA</v>
          </cell>
          <cell r="G341">
            <v>16000</v>
          </cell>
          <cell r="H341">
            <v>3360000</v>
          </cell>
        </row>
        <row r="342">
          <cell r="B342" t="str">
            <v>24)</v>
          </cell>
          <cell r="C342" t="str">
            <v>교량명판공</v>
          </cell>
          <cell r="H342">
            <v>0</v>
          </cell>
        </row>
        <row r="343">
          <cell r="B343" t="str">
            <v>가.</v>
          </cell>
          <cell r="C343" t="str">
            <v>교명주</v>
          </cell>
          <cell r="D343" t="str">
            <v>(화강석)</v>
          </cell>
          <cell r="E343">
            <v>58</v>
          </cell>
          <cell r="F343" t="str">
            <v>EA</v>
          </cell>
          <cell r="G343">
            <v>1170000</v>
          </cell>
          <cell r="H343">
            <v>67860000</v>
          </cell>
        </row>
        <row r="344">
          <cell r="B344" t="str">
            <v>나.</v>
          </cell>
          <cell r="C344" t="str">
            <v>교명판</v>
          </cell>
          <cell r="D344" t="str">
            <v>(450x200x10)</v>
          </cell>
          <cell r="E344">
            <v>29</v>
          </cell>
          <cell r="F344" t="str">
            <v>EA</v>
          </cell>
          <cell r="G344">
            <v>41000</v>
          </cell>
          <cell r="H344">
            <v>1189000</v>
          </cell>
        </row>
        <row r="345">
          <cell r="B345" t="str">
            <v>다.</v>
          </cell>
          <cell r="C345" t="str">
            <v>설명판</v>
          </cell>
          <cell r="D345" t="str">
            <v>(350x250x10)</v>
          </cell>
          <cell r="E345">
            <v>29</v>
          </cell>
          <cell r="F345" t="str">
            <v>EA</v>
          </cell>
          <cell r="G345">
            <v>40000</v>
          </cell>
          <cell r="H345">
            <v>1160000</v>
          </cell>
        </row>
        <row r="346">
          <cell r="B346" t="str">
            <v>25)</v>
          </cell>
          <cell r="C346" t="str">
            <v>교각및교대보호공</v>
          </cell>
          <cell r="H346">
            <v>0</v>
          </cell>
        </row>
        <row r="347">
          <cell r="B347" t="str">
            <v>가.</v>
          </cell>
          <cell r="C347" t="str">
            <v>쇄굴방지용사석채움</v>
          </cell>
          <cell r="D347" t="str">
            <v>(60KG)</v>
          </cell>
          <cell r="E347">
            <v>8350</v>
          </cell>
          <cell r="F347" t="str">
            <v>M3</v>
          </cell>
          <cell r="G347">
            <v>21000</v>
          </cell>
          <cell r="H347">
            <v>175350000</v>
          </cell>
        </row>
        <row r="348">
          <cell r="B348" t="str">
            <v>나.</v>
          </cell>
          <cell r="C348" t="str">
            <v>교대보호블럭</v>
          </cell>
          <cell r="D348" t="str">
            <v>(육교용)</v>
          </cell>
          <cell r="E348">
            <v>4674</v>
          </cell>
          <cell r="F348" t="str">
            <v>M2</v>
          </cell>
          <cell r="G348">
            <v>21000</v>
          </cell>
          <cell r="H348">
            <v>98154000</v>
          </cell>
        </row>
        <row r="349">
          <cell r="B349" t="str">
            <v>다.</v>
          </cell>
          <cell r="C349" t="str">
            <v>교대보호블럭</v>
          </cell>
          <cell r="D349" t="str">
            <v>(하천용)</v>
          </cell>
          <cell r="E349">
            <v>1382</v>
          </cell>
          <cell r="F349" t="str">
            <v>M2</v>
          </cell>
          <cell r="G349">
            <v>24000</v>
          </cell>
          <cell r="H349">
            <v>33168000</v>
          </cell>
        </row>
        <row r="350">
          <cell r="B350" t="str">
            <v>26)</v>
          </cell>
          <cell r="C350" t="str">
            <v>T.B.M 설치</v>
          </cell>
          <cell r="E350">
            <v>22</v>
          </cell>
          <cell r="F350" t="str">
            <v>EA</v>
          </cell>
          <cell r="G350">
            <v>24000</v>
          </cell>
          <cell r="H350">
            <v>528000</v>
          </cell>
        </row>
        <row r="351">
          <cell r="B351" t="str">
            <v>27)</v>
          </cell>
          <cell r="C351" t="str">
            <v>잡석 채움</v>
          </cell>
          <cell r="E351">
            <v>28</v>
          </cell>
          <cell r="F351" t="str">
            <v>M3</v>
          </cell>
          <cell r="G351">
            <v>30000</v>
          </cell>
          <cell r="H351">
            <v>840000</v>
          </cell>
        </row>
        <row r="352">
          <cell r="B352" t="str">
            <v>28)</v>
          </cell>
          <cell r="C352" t="str">
            <v>부직포설치</v>
          </cell>
          <cell r="E352">
            <v>126</v>
          </cell>
          <cell r="F352" t="str">
            <v>M2</v>
          </cell>
          <cell r="G352">
            <v>2100</v>
          </cell>
          <cell r="H352">
            <v>264600</v>
          </cell>
        </row>
        <row r="353">
          <cell r="B353" t="str">
            <v>29)</v>
          </cell>
          <cell r="C353" t="str">
            <v>전선관설치</v>
          </cell>
          <cell r="H353">
            <v>0</v>
          </cell>
        </row>
        <row r="354">
          <cell r="B354" t="str">
            <v>가.</v>
          </cell>
          <cell r="C354" t="str">
            <v>전선관</v>
          </cell>
          <cell r="D354" t="str">
            <v>(강관φ150M/M)</v>
          </cell>
          <cell r="E354">
            <v>3974</v>
          </cell>
          <cell r="F354" t="str">
            <v>M</v>
          </cell>
          <cell r="G354">
            <v>9500</v>
          </cell>
          <cell r="H354">
            <v>37753000</v>
          </cell>
        </row>
        <row r="355">
          <cell r="B355" t="str">
            <v>나.</v>
          </cell>
          <cell r="C355" t="str">
            <v>전선관</v>
          </cell>
          <cell r="D355" t="str">
            <v>(ø=100 ㎜)</v>
          </cell>
          <cell r="E355">
            <v>326</v>
          </cell>
          <cell r="F355" t="str">
            <v>M</v>
          </cell>
          <cell r="G355">
            <v>2400</v>
          </cell>
          <cell r="H355">
            <v>782400</v>
          </cell>
        </row>
        <row r="356">
          <cell r="B356" t="str">
            <v>30)</v>
          </cell>
          <cell r="C356" t="str">
            <v>P.V.C PIPE</v>
          </cell>
          <cell r="D356" t="str">
            <v>(φ50M/M)</v>
          </cell>
          <cell r="E356">
            <v>544</v>
          </cell>
          <cell r="F356" t="str">
            <v>M</v>
          </cell>
          <cell r="G356">
            <v>950</v>
          </cell>
          <cell r="H356">
            <v>516800</v>
          </cell>
        </row>
        <row r="357">
          <cell r="B357" t="str">
            <v>31)</v>
          </cell>
          <cell r="C357" t="str">
            <v>P.V.C PIPE</v>
          </cell>
          <cell r="D357" t="str">
            <v>(φ 100M/M)</v>
          </cell>
          <cell r="E357">
            <v>128</v>
          </cell>
          <cell r="F357" t="str">
            <v>M</v>
          </cell>
          <cell r="G357">
            <v>2400</v>
          </cell>
          <cell r="H357">
            <v>307200</v>
          </cell>
        </row>
        <row r="358">
          <cell r="B358" t="str">
            <v>32)</v>
          </cell>
          <cell r="C358" t="str">
            <v>P.C BEAM교</v>
          </cell>
          <cell r="H358">
            <v>0</v>
          </cell>
        </row>
        <row r="359">
          <cell r="B359" t="str">
            <v>가.</v>
          </cell>
          <cell r="C359" t="str">
            <v>P.C빔 제작</v>
          </cell>
          <cell r="D359" t="str">
            <v>(L=30.00M)</v>
          </cell>
          <cell r="E359">
            <v>250</v>
          </cell>
          <cell r="F359" t="str">
            <v>본</v>
          </cell>
          <cell r="G359">
            <v>8000000</v>
          </cell>
          <cell r="H359">
            <v>2000000000</v>
          </cell>
        </row>
        <row r="360">
          <cell r="B360" t="str">
            <v>나.</v>
          </cell>
          <cell r="C360" t="str">
            <v>P.C빔 설치</v>
          </cell>
          <cell r="D360" t="str">
            <v>(L=30.00M)</v>
          </cell>
          <cell r="E360">
            <v>250</v>
          </cell>
          <cell r="F360" t="str">
            <v>본</v>
          </cell>
          <cell r="G360">
            <v>800000</v>
          </cell>
          <cell r="H360">
            <v>200000000</v>
          </cell>
        </row>
        <row r="361">
          <cell r="B361" t="str">
            <v>다.</v>
          </cell>
          <cell r="C361" t="str">
            <v>P.C BEAM 지지대</v>
          </cell>
          <cell r="E361">
            <v>1</v>
          </cell>
          <cell r="F361" t="str">
            <v>식</v>
          </cell>
          <cell r="G361">
            <v>3200000</v>
          </cell>
          <cell r="H361">
            <v>3200000</v>
          </cell>
        </row>
        <row r="362">
          <cell r="B362" t="str">
            <v>33)</v>
          </cell>
          <cell r="C362" t="str">
            <v>PRE-FLEX BEAM교</v>
          </cell>
          <cell r="H362">
            <v>0</v>
          </cell>
        </row>
        <row r="363">
          <cell r="B363" t="str">
            <v>가.</v>
          </cell>
          <cell r="C363" t="str">
            <v>PRE-FLEX BEAM제작</v>
          </cell>
          <cell r="H363">
            <v>0</v>
          </cell>
        </row>
        <row r="364">
          <cell r="B364" t="str">
            <v>a.</v>
          </cell>
          <cell r="C364" t="str">
            <v>PRE-FLEX BEAM 제작</v>
          </cell>
          <cell r="D364" t="str">
            <v>(L=30.00M,1.2M,근덕)</v>
          </cell>
          <cell r="E364">
            <v>6</v>
          </cell>
          <cell r="F364" t="str">
            <v>본</v>
          </cell>
          <cell r="G364">
            <v>26200000</v>
          </cell>
          <cell r="H364">
            <v>157200000</v>
          </cell>
        </row>
        <row r="365">
          <cell r="B365" t="str">
            <v>b.</v>
          </cell>
          <cell r="C365" t="str">
            <v>PRE-FLEX BEAM 제작</v>
          </cell>
          <cell r="D365" t="str">
            <v>(L=40.00M,1.5M,광태)</v>
          </cell>
          <cell r="E365">
            <v>10</v>
          </cell>
          <cell r="F365" t="str">
            <v>본</v>
          </cell>
          <cell r="G365">
            <v>40800000</v>
          </cell>
          <cell r="H365">
            <v>408000000</v>
          </cell>
        </row>
        <row r="366">
          <cell r="B366" t="str">
            <v>c.</v>
          </cell>
          <cell r="C366" t="str">
            <v>PRE-FLEX BEAM 제작</v>
          </cell>
          <cell r="D366" t="str">
            <v>(L=40.00M,1.5M,동2)</v>
          </cell>
          <cell r="E366">
            <v>10</v>
          </cell>
          <cell r="F366" t="str">
            <v>본</v>
          </cell>
          <cell r="G366">
            <v>41900000</v>
          </cell>
          <cell r="H366">
            <v>419000000</v>
          </cell>
        </row>
        <row r="367">
          <cell r="B367" t="str">
            <v>d.</v>
          </cell>
          <cell r="C367" t="str">
            <v>PRE-FLEX BEAM 제작</v>
          </cell>
          <cell r="D367" t="str">
            <v>(L=45.00M,1.7M,방2)</v>
          </cell>
          <cell r="E367">
            <v>10</v>
          </cell>
          <cell r="F367" t="str">
            <v>본</v>
          </cell>
          <cell r="G367">
            <v>52600000</v>
          </cell>
          <cell r="H367">
            <v>526000000</v>
          </cell>
        </row>
        <row r="368">
          <cell r="B368" t="str">
            <v>나.</v>
          </cell>
          <cell r="C368" t="str">
            <v>PRE-FLEX BEAM</v>
          </cell>
          <cell r="D368" t="str">
            <v>운반및가설</v>
          </cell>
          <cell r="H368">
            <v>0</v>
          </cell>
        </row>
        <row r="369">
          <cell r="B369" t="str">
            <v>a.</v>
          </cell>
          <cell r="C369" t="str">
            <v>P.F BEAM 운반및가설</v>
          </cell>
          <cell r="D369" t="str">
            <v>(L=30.00M,1.2M,근덕)</v>
          </cell>
          <cell r="E369">
            <v>6</v>
          </cell>
          <cell r="F369" t="str">
            <v>본</v>
          </cell>
          <cell r="G369">
            <v>7700000</v>
          </cell>
          <cell r="H369">
            <v>46200000</v>
          </cell>
        </row>
        <row r="370">
          <cell r="B370" t="str">
            <v>b.</v>
          </cell>
          <cell r="C370" t="str">
            <v>P.F BEAM 운반및가설</v>
          </cell>
          <cell r="D370" t="str">
            <v>(L=40.00M,1.5M,광태)</v>
          </cell>
          <cell r="E370">
            <v>10</v>
          </cell>
          <cell r="F370" t="str">
            <v>본</v>
          </cell>
          <cell r="G370">
            <v>12600000</v>
          </cell>
          <cell r="H370">
            <v>126000000</v>
          </cell>
        </row>
        <row r="371">
          <cell r="B371" t="str">
            <v>c.</v>
          </cell>
          <cell r="C371" t="str">
            <v>P.F BEAM 운반및가설</v>
          </cell>
          <cell r="D371" t="str">
            <v>(L=40.00M,1.5M,동2)</v>
          </cell>
          <cell r="E371">
            <v>10</v>
          </cell>
          <cell r="F371" t="str">
            <v>본</v>
          </cell>
          <cell r="G371">
            <v>13000000</v>
          </cell>
          <cell r="H371">
            <v>130000000</v>
          </cell>
        </row>
        <row r="372">
          <cell r="B372" t="str">
            <v>d.</v>
          </cell>
          <cell r="C372" t="str">
            <v>P.F BEAM 운반및가설</v>
          </cell>
          <cell r="D372" t="str">
            <v>(L=45.00M,1.7M,방2)</v>
          </cell>
          <cell r="E372">
            <v>10</v>
          </cell>
          <cell r="F372" t="str">
            <v>본</v>
          </cell>
          <cell r="G372">
            <v>16500000</v>
          </cell>
          <cell r="H372">
            <v>165000000</v>
          </cell>
        </row>
        <row r="373">
          <cell r="B373" t="str">
            <v>34)</v>
          </cell>
          <cell r="C373" t="str">
            <v>강교</v>
          </cell>
          <cell r="H373">
            <v>0</v>
          </cell>
        </row>
        <row r="374">
          <cell r="B374" t="str">
            <v>가.</v>
          </cell>
          <cell r="C374" t="str">
            <v>강교제작</v>
          </cell>
          <cell r="E374">
            <v>2884.598</v>
          </cell>
          <cell r="F374" t="str">
            <v>TON</v>
          </cell>
          <cell r="G374">
            <v>1400000</v>
          </cell>
          <cell r="H374">
            <v>4038437200</v>
          </cell>
        </row>
        <row r="375">
          <cell r="B375" t="str">
            <v>나.</v>
          </cell>
          <cell r="C375" t="str">
            <v>강교운반 및 가설</v>
          </cell>
          <cell r="E375">
            <v>2884.598</v>
          </cell>
          <cell r="F375" t="str">
            <v>TON</v>
          </cell>
          <cell r="G375">
            <v>200000</v>
          </cell>
          <cell r="H375">
            <v>576919600</v>
          </cell>
        </row>
        <row r="376">
          <cell r="B376" t="str">
            <v>35)</v>
          </cell>
          <cell r="C376" t="str">
            <v>강교도장</v>
          </cell>
          <cell r="H376">
            <v>0</v>
          </cell>
        </row>
        <row r="377">
          <cell r="B377" t="str">
            <v>가.</v>
          </cell>
          <cell r="C377" t="str">
            <v>강교내부도장</v>
          </cell>
          <cell r="D377" t="str">
            <v>(공장)</v>
          </cell>
          <cell r="E377">
            <v>27932</v>
          </cell>
          <cell r="F377" t="str">
            <v>M2</v>
          </cell>
          <cell r="G377">
            <v>10000</v>
          </cell>
          <cell r="H377">
            <v>279320000</v>
          </cell>
        </row>
        <row r="378">
          <cell r="B378" t="str">
            <v>나.</v>
          </cell>
          <cell r="C378" t="str">
            <v>강교외부도장</v>
          </cell>
          <cell r="D378" t="str">
            <v>(공장)</v>
          </cell>
          <cell r="E378">
            <v>17058</v>
          </cell>
          <cell r="F378" t="str">
            <v>M2</v>
          </cell>
          <cell r="G378">
            <v>9000</v>
          </cell>
          <cell r="H378">
            <v>153522000</v>
          </cell>
        </row>
        <row r="379">
          <cell r="B379" t="str">
            <v>다.</v>
          </cell>
          <cell r="C379" t="str">
            <v>강교외부포장면도장</v>
          </cell>
          <cell r="D379" t="str">
            <v>공장</v>
          </cell>
          <cell r="E379">
            <v>4513</v>
          </cell>
          <cell r="F379" t="str">
            <v>M2</v>
          </cell>
          <cell r="G379">
            <v>9000</v>
          </cell>
          <cell r="H379">
            <v>40617000</v>
          </cell>
        </row>
        <row r="380">
          <cell r="B380" t="str">
            <v>라.</v>
          </cell>
          <cell r="C380" t="str">
            <v>강교SPLICER도장</v>
          </cell>
          <cell r="D380" t="str">
            <v>공장</v>
          </cell>
          <cell r="E380">
            <v>2630</v>
          </cell>
          <cell r="F380" t="str">
            <v>M2</v>
          </cell>
          <cell r="G380">
            <v>7200</v>
          </cell>
          <cell r="H380">
            <v>18936000</v>
          </cell>
        </row>
        <row r="381">
          <cell r="B381" t="str">
            <v>마.</v>
          </cell>
          <cell r="C381" t="str">
            <v>강교내부볼트및</v>
          </cell>
          <cell r="D381" t="str">
            <v>SPLICER도장</v>
          </cell>
          <cell r="E381">
            <v>590</v>
          </cell>
          <cell r="F381" t="str">
            <v>M2</v>
          </cell>
          <cell r="G381">
            <v>11000</v>
          </cell>
          <cell r="H381">
            <v>6490000</v>
          </cell>
        </row>
        <row r="382">
          <cell r="B382" t="str">
            <v>바.</v>
          </cell>
          <cell r="C382" t="str">
            <v>강교외부볼트및SPLICE</v>
          </cell>
          <cell r="D382" t="str">
            <v>도장 (현장)</v>
          </cell>
          <cell r="E382">
            <v>589</v>
          </cell>
          <cell r="F382" t="str">
            <v>M2</v>
          </cell>
          <cell r="G382">
            <v>10000</v>
          </cell>
          <cell r="H382">
            <v>5890000</v>
          </cell>
        </row>
        <row r="383">
          <cell r="B383" t="str">
            <v>36)</v>
          </cell>
          <cell r="C383" t="str">
            <v>교각용표지판</v>
          </cell>
          <cell r="D383" t="str">
            <v>교량유지관리용</v>
          </cell>
          <cell r="E383">
            <v>54</v>
          </cell>
          <cell r="F383" t="str">
            <v>개소</v>
          </cell>
          <cell r="G383">
            <v>15000</v>
          </cell>
          <cell r="H383">
            <v>810000</v>
          </cell>
        </row>
        <row r="384">
          <cell r="B384" t="str">
            <v>37)</v>
          </cell>
          <cell r="C384" t="str">
            <v>BOX GIRDER</v>
          </cell>
          <cell r="D384" t="str">
            <v>교량유지관리용</v>
          </cell>
          <cell r="E384">
            <v>58</v>
          </cell>
          <cell r="F384" t="str">
            <v>개소</v>
          </cell>
          <cell r="G384">
            <v>46000</v>
          </cell>
          <cell r="H384">
            <v>2668000</v>
          </cell>
        </row>
        <row r="385">
          <cell r="B385" t="str">
            <v>38)</v>
          </cell>
          <cell r="C385" t="str">
            <v>낙하물 방지공</v>
          </cell>
          <cell r="E385">
            <v>489</v>
          </cell>
          <cell r="F385" t="str">
            <v>M2</v>
          </cell>
          <cell r="G385">
            <v>3000</v>
          </cell>
          <cell r="H385">
            <v>1467000</v>
          </cell>
        </row>
        <row r="386">
          <cell r="B386" t="str">
            <v>39)</v>
          </cell>
          <cell r="C386" t="str">
            <v>난간</v>
          </cell>
          <cell r="D386" t="str">
            <v>(교량용)</v>
          </cell>
          <cell r="E386">
            <v>472</v>
          </cell>
          <cell r="F386" t="str">
            <v>M</v>
          </cell>
          <cell r="G386">
            <v>100000</v>
          </cell>
          <cell r="H386">
            <v>47200000</v>
          </cell>
        </row>
        <row r="387">
          <cell r="B387" t="str">
            <v>40)</v>
          </cell>
          <cell r="C387" t="str">
            <v>가도 및 축도</v>
          </cell>
          <cell r="E387">
            <v>1</v>
          </cell>
          <cell r="F387" t="str">
            <v>식</v>
          </cell>
          <cell r="G387">
            <v>450000000</v>
          </cell>
          <cell r="H387">
            <v>450000000</v>
          </cell>
        </row>
        <row r="388">
          <cell r="B388" t="str">
            <v>41)</v>
          </cell>
          <cell r="C388" t="str">
            <v>안전점검시설</v>
          </cell>
          <cell r="H388">
            <v>0</v>
          </cell>
        </row>
        <row r="389">
          <cell r="B389" t="str">
            <v>가.</v>
          </cell>
          <cell r="C389" t="str">
            <v>안전점검통로</v>
          </cell>
          <cell r="D389" t="str">
            <v>(P.C BEAM용)</v>
          </cell>
          <cell r="E389">
            <v>40</v>
          </cell>
          <cell r="F389" t="str">
            <v>개소</v>
          </cell>
          <cell r="G389">
            <v>8000000</v>
          </cell>
          <cell r="H389">
            <v>320000000</v>
          </cell>
        </row>
        <row r="390">
          <cell r="B390" t="str">
            <v>나.</v>
          </cell>
          <cell r="C390" t="str">
            <v>안전점검통로</v>
          </cell>
          <cell r="D390" t="str">
            <v>(STEEL 용)</v>
          </cell>
          <cell r="E390">
            <v>10</v>
          </cell>
          <cell r="F390" t="str">
            <v>개소</v>
          </cell>
          <cell r="G390">
            <v>8000000</v>
          </cell>
          <cell r="H390">
            <v>80000000</v>
          </cell>
        </row>
        <row r="391">
          <cell r="B391" t="str">
            <v>42)</v>
          </cell>
          <cell r="C391" t="str">
            <v>콘크리트생산</v>
          </cell>
          <cell r="H391">
            <v>0</v>
          </cell>
        </row>
        <row r="392">
          <cell r="B392" t="str">
            <v>가.</v>
          </cell>
          <cell r="C392" t="str">
            <v>콘크리트생산</v>
          </cell>
          <cell r="D392" t="str">
            <v>PC 19-400-15</v>
          </cell>
          <cell r="E392">
            <v>6479</v>
          </cell>
          <cell r="F392" t="str">
            <v>M3</v>
          </cell>
          <cell r="G392">
            <v>7500</v>
          </cell>
          <cell r="H392">
            <v>48592500</v>
          </cell>
        </row>
        <row r="393">
          <cell r="B393" t="str">
            <v>나.</v>
          </cell>
          <cell r="C393" t="str">
            <v>콘크리트생산</v>
          </cell>
          <cell r="D393" t="str">
            <v>25-270-15</v>
          </cell>
          <cell r="E393">
            <v>14750</v>
          </cell>
          <cell r="F393" t="str">
            <v>M3</v>
          </cell>
          <cell r="G393">
            <v>5000</v>
          </cell>
          <cell r="H393">
            <v>73750000</v>
          </cell>
        </row>
        <row r="394">
          <cell r="B394" t="str">
            <v>다.</v>
          </cell>
          <cell r="C394" t="str">
            <v>콘크리트생산</v>
          </cell>
          <cell r="D394" t="str">
            <v>32-240-15</v>
          </cell>
          <cell r="E394">
            <v>35543</v>
          </cell>
          <cell r="F394" t="str">
            <v>M3</v>
          </cell>
          <cell r="G394">
            <v>5000</v>
          </cell>
          <cell r="H394">
            <v>177715000</v>
          </cell>
        </row>
        <row r="395">
          <cell r="B395" t="str">
            <v>43)</v>
          </cell>
          <cell r="C395" t="str">
            <v>콘크리트운반</v>
          </cell>
          <cell r="D395" t="str">
            <v>(B/P-현장)</v>
          </cell>
          <cell r="E395">
            <v>57342</v>
          </cell>
          <cell r="F395" t="str">
            <v>M3</v>
          </cell>
          <cell r="G395">
            <v>3500</v>
          </cell>
          <cell r="H395">
            <v>200697000</v>
          </cell>
        </row>
        <row r="396">
          <cell r="B396" t="str">
            <v>3.2</v>
          </cell>
          <cell r="C396" t="str">
            <v>옹 벽 공</v>
          </cell>
          <cell r="H396">
            <v>0</v>
          </cell>
        </row>
        <row r="397">
          <cell r="B397" t="str">
            <v>1)</v>
          </cell>
          <cell r="C397" t="str">
            <v>구조물터파기</v>
          </cell>
          <cell r="H397">
            <v>0</v>
          </cell>
        </row>
        <row r="398">
          <cell r="B398" t="str">
            <v>가.</v>
          </cell>
          <cell r="C398" t="str">
            <v>구조물터파기</v>
          </cell>
          <cell r="D398" t="str">
            <v>(육상토사0∼4m)</v>
          </cell>
          <cell r="E398">
            <v>4197</v>
          </cell>
          <cell r="F398" t="str">
            <v>M3</v>
          </cell>
          <cell r="G398">
            <v>3200</v>
          </cell>
          <cell r="H398">
            <v>13430400</v>
          </cell>
        </row>
        <row r="399">
          <cell r="B399" t="str">
            <v>2)</v>
          </cell>
          <cell r="C399" t="str">
            <v>되메우기 및 다짐공</v>
          </cell>
          <cell r="D399" t="str">
            <v>(인력10％+기계90％)</v>
          </cell>
          <cell r="E399">
            <v>2642</v>
          </cell>
          <cell r="F399" t="str">
            <v>M3</v>
          </cell>
          <cell r="G399">
            <v>2000</v>
          </cell>
          <cell r="H399">
            <v>5284000</v>
          </cell>
        </row>
        <row r="400">
          <cell r="B400" t="str">
            <v>3)</v>
          </cell>
          <cell r="C400" t="str">
            <v>거푸집공</v>
          </cell>
          <cell r="H400">
            <v>0</v>
          </cell>
        </row>
        <row r="401">
          <cell r="B401" t="str">
            <v>가.</v>
          </cell>
          <cell r="C401" t="str">
            <v>합판거푸집</v>
          </cell>
          <cell r="D401" t="str">
            <v>(3회)</v>
          </cell>
          <cell r="E401">
            <v>5764</v>
          </cell>
          <cell r="F401" t="str">
            <v>M2</v>
          </cell>
          <cell r="G401">
            <v>17000</v>
          </cell>
          <cell r="H401">
            <v>97988000</v>
          </cell>
        </row>
        <row r="402">
          <cell r="B402" t="str">
            <v>나.</v>
          </cell>
          <cell r="C402" t="str">
            <v>합판거푸집</v>
          </cell>
          <cell r="D402" t="str">
            <v>(6회)</v>
          </cell>
          <cell r="E402">
            <v>106</v>
          </cell>
          <cell r="F402" t="str">
            <v>M2</v>
          </cell>
          <cell r="G402">
            <v>11900</v>
          </cell>
          <cell r="H402">
            <v>1261400</v>
          </cell>
        </row>
        <row r="403">
          <cell r="B403" t="str">
            <v>4)</v>
          </cell>
          <cell r="C403" t="str">
            <v>비계공</v>
          </cell>
          <cell r="D403" t="str">
            <v>(옹벽)</v>
          </cell>
          <cell r="E403">
            <v>1</v>
          </cell>
          <cell r="F403" t="str">
            <v>식</v>
          </cell>
          <cell r="G403">
            <v>32000000</v>
          </cell>
          <cell r="H403">
            <v>32000000</v>
          </cell>
        </row>
        <row r="404">
          <cell r="B404" t="str">
            <v>5)</v>
          </cell>
          <cell r="C404" t="str">
            <v>철근가공조립</v>
          </cell>
          <cell r="D404" t="str">
            <v>(복잡)</v>
          </cell>
          <cell r="E404">
            <v>293.05799999999999</v>
          </cell>
          <cell r="F404" t="str">
            <v>TON</v>
          </cell>
          <cell r="G404">
            <v>390000</v>
          </cell>
          <cell r="H404">
            <v>114292620</v>
          </cell>
        </row>
        <row r="405">
          <cell r="B405" t="str">
            <v>6)</v>
          </cell>
          <cell r="C405" t="str">
            <v>콘크리트타설</v>
          </cell>
          <cell r="H405">
            <v>0</v>
          </cell>
        </row>
        <row r="406">
          <cell r="B406" t="str">
            <v>가.</v>
          </cell>
          <cell r="C406" t="str">
            <v>콘크리트타설</v>
          </cell>
          <cell r="D406" t="str">
            <v>(펌프카타설,0~15m)</v>
          </cell>
          <cell r="E406">
            <v>2381</v>
          </cell>
          <cell r="F406" t="str">
            <v>M3</v>
          </cell>
          <cell r="G406">
            <v>9000</v>
          </cell>
          <cell r="H406">
            <v>21429000</v>
          </cell>
        </row>
        <row r="407">
          <cell r="B407" t="str">
            <v>나.</v>
          </cell>
          <cell r="C407" t="str">
            <v>콘크리트타설</v>
          </cell>
          <cell r="D407" t="str">
            <v>(무근,진동기제외)</v>
          </cell>
          <cell r="E407">
            <v>210</v>
          </cell>
          <cell r="F407" t="str">
            <v>M3</v>
          </cell>
          <cell r="G407">
            <v>17000</v>
          </cell>
          <cell r="H407">
            <v>3570000</v>
          </cell>
        </row>
        <row r="408">
          <cell r="B408" t="str">
            <v>7)</v>
          </cell>
          <cell r="C408" t="str">
            <v>P.V.C PIPE</v>
          </cell>
          <cell r="D408" t="str">
            <v>(φ 100M/M)</v>
          </cell>
          <cell r="E408">
            <v>576</v>
          </cell>
          <cell r="F408" t="str">
            <v>M</v>
          </cell>
          <cell r="G408">
            <v>2400</v>
          </cell>
          <cell r="H408">
            <v>1382400</v>
          </cell>
        </row>
        <row r="409">
          <cell r="B409" t="str">
            <v>8)</v>
          </cell>
          <cell r="C409" t="str">
            <v>스치로폴</v>
          </cell>
          <cell r="D409" t="str">
            <v>(T=20m/m)</v>
          </cell>
          <cell r="E409">
            <v>111</v>
          </cell>
          <cell r="F409" t="str">
            <v>M2</v>
          </cell>
          <cell r="G409">
            <v>1800</v>
          </cell>
          <cell r="H409">
            <v>199800</v>
          </cell>
        </row>
        <row r="410">
          <cell r="B410" t="str">
            <v>9)</v>
          </cell>
          <cell r="C410" t="str">
            <v>다웰바설치</v>
          </cell>
          <cell r="D410" t="str">
            <v>(φ 25x600)</v>
          </cell>
          <cell r="E410">
            <v>312</v>
          </cell>
          <cell r="F410" t="str">
            <v>EA</v>
          </cell>
          <cell r="G410">
            <v>3500</v>
          </cell>
          <cell r="H410">
            <v>1092000</v>
          </cell>
        </row>
        <row r="411">
          <cell r="B411" t="str">
            <v>10)</v>
          </cell>
          <cell r="C411" t="str">
            <v>실런트</v>
          </cell>
          <cell r="D411" t="str">
            <v>(비중 1.40)</v>
          </cell>
          <cell r="E411">
            <v>271</v>
          </cell>
          <cell r="F411" t="str">
            <v>M</v>
          </cell>
          <cell r="G411">
            <v>4500</v>
          </cell>
          <cell r="H411">
            <v>1219500</v>
          </cell>
        </row>
        <row r="412">
          <cell r="B412" t="str">
            <v>11)</v>
          </cell>
          <cell r="C412" t="str">
            <v>부직포설치</v>
          </cell>
          <cell r="E412">
            <v>859</v>
          </cell>
          <cell r="F412" t="str">
            <v>M2</v>
          </cell>
          <cell r="G412">
            <v>2100</v>
          </cell>
          <cell r="H412">
            <v>1803900</v>
          </cell>
        </row>
        <row r="413">
          <cell r="B413" t="str">
            <v>12)</v>
          </cell>
          <cell r="C413" t="str">
            <v>기초 잡석깔기</v>
          </cell>
          <cell r="E413">
            <v>191</v>
          </cell>
          <cell r="F413" t="str">
            <v>M3</v>
          </cell>
          <cell r="G413">
            <v>28000</v>
          </cell>
          <cell r="H413">
            <v>5348000</v>
          </cell>
        </row>
        <row r="414">
          <cell r="B414" t="str">
            <v>13)</v>
          </cell>
          <cell r="C414" t="str">
            <v>콘크리트생산및운반</v>
          </cell>
          <cell r="H414">
            <v>0</v>
          </cell>
        </row>
        <row r="415">
          <cell r="B415" t="str">
            <v>가.</v>
          </cell>
          <cell r="C415" t="str">
            <v>콘크리트생산</v>
          </cell>
          <cell r="D415" t="str">
            <v>32-240-15</v>
          </cell>
          <cell r="E415">
            <v>2381</v>
          </cell>
          <cell r="F415" t="str">
            <v>M3</v>
          </cell>
          <cell r="G415">
            <v>5000</v>
          </cell>
          <cell r="H415">
            <v>11905000</v>
          </cell>
        </row>
        <row r="416">
          <cell r="B416" t="str">
            <v>나.</v>
          </cell>
          <cell r="C416" t="str">
            <v>콘크리트운반</v>
          </cell>
          <cell r="D416" t="str">
            <v>(B/P-현장)</v>
          </cell>
          <cell r="E416">
            <v>2405</v>
          </cell>
          <cell r="F416" t="str">
            <v>M3</v>
          </cell>
          <cell r="G416">
            <v>3500</v>
          </cell>
          <cell r="H416">
            <v>8417500</v>
          </cell>
        </row>
        <row r="417">
          <cell r="B417" t="str">
            <v>4.</v>
          </cell>
          <cell r="C417" t="str">
            <v>터널공</v>
          </cell>
          <cell r="H417">
            <v>11753390470</v>
          </cell>
        </row>
        <row r="418">
          <cell r="B418" t="str">
            <v>1)</v>
          </cell>
          <cell r="C418" t="str">
            <v>굴  착</v>
          </cell>
          <cell r="H418">
            <v>0</v>
          </cell>
        </row>
        <row r="419">
          <cell r="B419" t="str">
            <v>가.</v>
          </cell>
          <cell r="C419" t="str">
            <v>전단면굴착</v>
          </cell>
          <cell r="D419" t="str">
            <v>(TYPE - Ⅱ)</v>
          </cell>
          <cell r="E419">
            <v>3185</v>
          </cell>
          <cell r="F419" t="str">
            <v>M3</v>
          </cell>
          <cell r="G419">
            <v>20500</v>
          </cell>
          <cell r="H419">
            <v>65292500</v>
          </cell>
        </row>
        <row r="420">
          <cell r="B420" t="str">
            <v>나.</v>
          </cell>
          <cell r="C420" t="str">
            <v>반단면굴착</v>
          </cell>
          <cell r="D420" t="str">
            <v>(TYPE - Ⅲ,상부)</v>
          </cell>
          <cell r="E420">
            <v>24083</v>
          </cell>
          <cell r="F420" t="str">
            <v>M3</v>
          </cell>
          <cell r="G420">
            <v>27500</v>
          </cell>
          <cell r="H420">
            <v>662282500</v>
          </cell>
        </row>
        <row r="421">
          <cell r="B421" t="str">
            <v>다.</v>
          </cell>
          <cell r="C421" t="str">
            <v>반단면굴착</v>
          </cell>
          <cell r="D421" t="str">
            <v>(TYPE - Ⅲ,하부)</v>
          </cell>
          <cell r="E421">
            <v>15921</v>
          </cell>
          <cell r="F421" t="str">
            <v>M3</v>
          </cell>
          <cell r="G421">
            <v>21500</v>
          </cell>
          <cell r="H421">
            <v>342301500</v>
          </cell>
        </row>
        <row r="422">
          <cell r="B422" t="str">
            <v>라.</v>
          </cell>
          <cell r="C422" t="str">
            <v>반단면굴착</v>
          </cell>
          <cell r="D422" t="str">
            <v>(TYPE - Ⅳ,상부)</v>
          </cell>
          <cell r="E422">
            <v>8916</v>
          </cell>
          <cell r="F422" t="str">
            <v>M3</v>
          </cell>
          <cell r="G422">
            <v>27500</v>
          </cell>
          <cell r="H422">
            <v>245190000</v>
          </cell>
        </row>
        <row r="423">
          <cell r="B423" t="str">
            <v>마.</v>
          </cell>
          <cell r="C423" t="str">
            <v>반단면굴착</v>
          </cell>
          <cell r="D423" t="str">
            <v>(TYPE - Ⅳ,하부)</v>
          </cell>
          <cell r="E423">
            <v>5846</v>
          </cell>
          <cell r="F423" t="str">
            <v>M3</v>
          </cell>
          <cell r="G423">
            <v>21000</v>
          </cell>
          <cell r="H423">
            <v>122766000</v>
          </cell>
        </row>
        <row r="424">
          <cell r="B424" t="str">
            <v>바.</v>
          </cell>
          <cell r="C424" t="str">
            <v>반단면굴착</v>
          </cell>
          <cell r="D424" t="str">
            <v>(TYPE - Ⅴ,상부)</v>
          </cell>
          <cell r="E424">
            <v>9746</v>
          </cell>
          <cell r="F424" t="str">
            <v>M3</v>
          </cell>
          <cell r="G424">
            <v>29500</v>
          </cell>
          <cell r="H424">
            <v>287507000</v>
          </cell>
        </row>
        <row r="425">
          <cell r="B425" t="str">
            <v>사.</v>
          </cell>
          <cell r="C425" t="str">
            <v>반단면굴착</v>
          </cell>
          <cell r="D425" t="str">
            <v>(TYPE - Ⅴ,하부)</v>
          </cell>
          <cell r="E425">
            <v>6227</v>
          </cell>
          <cell r="F425" t="str">
            <v>M3</v>
          </cell>
          <cell r="G425">
            <v>28000</v>
          </cell>
          <cell r="H425">
            <v>174356000</v>
          </cell>
        </row>
        <row r="426">
          <cell r="B426" t="str">
            <v>아.</v>
          </cell>
          <cell r="C426" t="str">
            <v>반단면굴착</v>
          </cell>
          <cell r="D426" t="str">
            <v>(TYPE - Ⅵ,상부좌)</v>
          </cell>
          <cell r="E426">
            <v>5705</v>
          </cell>
          <cell r="F426" t="str">
            <v>M3</v>
          </cell>
          <cell r="G426">
            <v>38000</v>
          </cell>
          <cell r="H426">
            <v>216790000</v>
          </cell>
        </row>
        <row r="427">
          <cell r="B427" t="str">
            <v>자.</v>
          </cell>
          <cell r="C427" t="str">
            <v>반단면굴착</v>
          </cell>
          <cell r="D427" t="str">
            <v>(TYPE - Ⅵ,상부우)</v>
          </cell>
          <cell r="E427">
            <v>3527</v>
          </cell>
          <cell r="F427" t="str">
            <v>M3</v>
          </cell>
          <cell r="G427">
            <v>53000</v>
          </cell>
          <cell r="H427">
            <v>186931000</v>
          </cell>
        </row>
        <row r="428">
          <cell r="B428" t="str">
            <v>차.</v>
          </cell>
          <cell r="C428" t="str">
            <v>반단면굴착</v>
          </cell>
          <cell r="D428" t="str">
            <v>(TYPE - Ⅵ,하부)</v>
          </cell>
          <cell r="E428">
            <v>5899</v>
          </cell>
          <cell r="F428" t="str">
            <v>M3</v>
          </cell>
          <cell r="G428">
            <v>28500</v>
          </cell>
          <cell r="H428">
            <v>168121500</v>
          </cell>
        </row>
        <row r="429">
          <cell r="B429" t="str">
            <v>2)</v>
          </cell>
          <cell r="C429" t="str">
            <v>버럭처리</v>
          </cell>
          <cell r="H429">
            <v>0</v>
          </cell>
        </row>
        <row r="430">
          <cell r="B430" t="str">
            <v>가.</v>
          </cell>
          <cell r="C430" t="str">
            <v>버럭처리</v>
          </cell>
          <cell r="D430" t="str">
            <v>(TYPE - Ⅱ)</v>
          </cell>
          <cell r="E430">
            <v>3377</v>
          </cell>
          <cell r="F430" t="str">
            <v>M3</v>
          </cell>
          <cell r="G430">
            <v>7000</v>
          </cell>
          <cell r="H430">
            <v>23639000</v>
          </cell>
        </row>
        <row r="431">
          <cell r="B431" t="str">
            <v>나.</v>
          </cell>
          <cell r="C431" t="str">
            <v>버럭처리</v>
          </cell>
          <cell r="D431" t="str">
            <v>(TYPE - Ⅲ,상부)</v>
          </cell>
          <cell r="E431">
            <v>25851</v>
          </cell>
          <cell r="F431" t="str">
            <v>M3</v>
          </cell>
          <cell r="G431">
            <v>8100</v>
          </cell>
          <cell r="H431">
            <v>209393100</v>
          </cell>
        </row>
        <row r="432">
          <cell r="B432" t="str">
            <v>다.</v>
          </cell>
          <cell r="C432" t="str">
            <v>버럭처리</v>
          </cell>
          <cell r="D432" t="str">
            <v>(TYPE - Ⅲ,하부)</v>
          </cell>
          <cell r="E432">
            <v>16542</v>
          </cell>
          <cell r="F432" t="str">
            <v>M3</v>
          </cell>
          <cell r="G432">
            <v>7300</v>
          </cell>
          <cell r="H432">
            <v>120756600</v>
          </cell>
        </row>
        <row r="433">
          <cell r="B433" t="str">
            <v>라.</v>
          </cell>
          <cell r="C433" t="str">
            <v>버럭처리</v>
          </cell>
          <cell r="D433" t="str">
            <v>(TYPE - Ⅳ,상부)</v>
          </cell>
          <cell r="E433">
            <v>9564</v>
          </cell>
          <cell r="F433" t="str">
            <v>M3</v>
          </cell>
          <cell r="G433">
            <v>8300</v>
          </cell>
          <cell r="H433">
            <v>79381200</v>
          </cell>
        </row>
        <row r="434">
          <cell r="B434" t="str">
            <v>마.</v>
          </cell>
          <cell r="C434" t="str">
            <v>버럭처리</v>
          </cell>
          <cell r="D434" t="str">
            <v>(TYPE - Ⅳ,하부)</v>
          </cell>
          <cell r="E434">
            <v>6071</v>
          </cell>
          <cell r="F434" t="str">
            <v>M3</v>
          </cell>
          <cell r="G434">
            <v>7400</v>
          </cell>
          <cell r="H434">
            <v>44925400</v>
          </cell>
        </row>
        <row r="435">
          <cell r="B435" t="str">
            <v>바.</v>
          </cell>
          <cell r="C435" t="str">
            <v>버럭처리</v>
          </cell>
          <cell r="D435" t="str">
            <v>(TYPE - Ⅴ,상부)</v>
          </cell>
          <cell r="E435">
            <v>10442</v>
          </cell>
          <cell r="F435" t="str">
            <v>M3</v>
          </cell>
          <cell r="G435">
            <v>8800</v>
          </cell>
          <cell r="H435">
            <v>91889600</v>
          </cell>
        </row>
        <row r="436">
          <cell r="B436" t="str">
            <v>사.</v>
          </cell>
          <cell r="C436" t="str">
            <v>버럭처리</v>
          </cell>
          <cell r="D436" t="str">
            <v>(TYPE - Ⅴ,하부)</v>
          </cell>
          <cell r="E436">
            <v>6467</v>
          </cell>
          <cell r="F436" t="str">
            <v>M3</v>
          </cell>
          <cell r="G436">
            <v>8600</v>
          </cell>
          <cell r="H436">
            <v>55616200</v>
          </cell>
        </row>
        <row r="437">
          <cell r="B437" t="str">
            <v>아.</v>
          </cell>
          <cell r="C437" t="str">
            <v>버럭처리</v>
          </cell>
          <cell r="D437" t="str">
            <v>(TYPE - Ⅵ,상부좌)</v>
          </cell>
          <cell r="E437">
            <v>6035</v>
          </cell>
          <cell r="F437" t="str">
            <v>M3</v>
          </cell>
          <cell r="G437">
            <v>10500</v>
          </cell>
          <cell r="H437">
            <v>63367500</v>
          </cell>
        </row>
        <row r="438">
          <cell r="B438" t="str">
            <v>자.</v>
          </cell>
          <cell r="C438" t="str">
            <v>버럭처리</v>
          </cell>
          <cell r="D438" t="str">
            <v>(TYPE - Ⅵ,상부우)</v>
          </cell>
          <cell r="E438">
            <v>3853</v>
          </cell>
          <cell r="F438" t="str">
            <v>M3</v>
          </cell>
          <cell r="G438">
            <v>13500</v>
          </cell>
          <cell r="H438">
            <v>52015500</v>
          </cell>
        </row>
        <row r="439">
          <cell r="B439" t="str">
            <v>차.</v>
          </cell>
          <cell r="C439" t="str">
            <v>버럭처리</v>
          </cell>
          <cell r="D439" t="str">
            <v>(TYPE - Ⅵ,하부)</v>
          </cell>
          <cell r="E439">
            <v>3127</v>
          </cell>
          <cell r="F439" t="str">
            <v>M3</v>
          </cell>
          <cell r="G439">
            <v>9000</v>
          </cell>
          <cell r="H439">
            <v>28143000</v>
          </cell>
        </row>
        <row r="440">
          <cell r="B440" t="str">
            <v>카.</v>
          </cell>
          <cell r="C440" t="str">
            <v>숏크리트 버럭처리</v>
          </cell>
          <cell r="E440">
            <v>1166</v>
          </cell>
          <cell r="F440" t="str">
            <v>M3</v>
          </cell>
          <cell r="G440">
            <v>7300</v>
          </cell>
          <cell r="H440">
            <v>8511800</v>
          </cell>
        </row>
        <row r="441">
          <cell r="B441" t="str">
            <v>3)</v>
          </cell>
          <cell r="C441" t="str">
            <v>강지보공</v>
          </cell>
          <cell r="H441">
            <v>0</v>
          </cell>
        </row>
        <row r="442">
          <cell r="B442" t="str">
            <v>가.</v>
          </cell>
          <cell r="C442" t="str">
            <v>강지보공</v>
          </cell>
          <cell r="D442" t="str">
            <v>(TYPE - Ⅲ)</v>
          </cell>
          <cell r="E442">
            <v>330</v>
          </cell>
          <cell r="F442" t="str">
            <v>조</v>
          </cell>
          <cell r="G442">
            <v>900000</v>
          </cell>
          <cell r="H442">
            <v>297000000</v>
          </cell>
        </row>
        <row r="443">
          <cell r="B443" t="str">
            <v>나.</v>
          </cell>
          <cell r="C443" t="str">
            <v>강지보공</v>
          </cell>
          <cell r="D443" t="str">
            <v>(TYPE - Ⅳ)</v>
          </cell>
          <cell r="E443">
            <v>149</v>
          </cell>
          <cell r="F443" t="str">
            <v>조</v>
          </cell>
          <cell r="G443">
            <v>880000</v>
          </cell>
          <cell r="H443">
            <v>131120000</v>
          </cell>
        </row>
        <row r="444">
          <cell r="B444" t="str">
            <v>다.</v>
          </cell>
          <cell r="C444" t="str">
            <v>강지보공</v>
          </cell>
          <cell r="D444" t="str">
            <v>(TYPE - Ⅴ)</v>
          </cell>
          <cell r="E444">
            <v>190</v>
          </cell>
          <cell r="F444" t="str">
            <v>조</v>
          </cell>
          <cell r="G444">
            <v>1200000</v>
          </cell>
          <cell r="H444">
            <v>228000000</v>
          </cell>
        </row>
        <row r="445">
          <cell r="B445" t="str">
            <v>라.</v>
          </cell>
          <cell r="C445" t="str">
            <v>강지보공</v>
          </cell>
          <cell r="D445" t="str">
            <v>(TYPE - Ⅵ)</v>
          </cell>
          <cell r="E445">
            <v>360</v>
          </cell>
          <cell r="F445" t="str">
            <v>조</v>
          </cell>
          <cell r="G445">
            <v>1140000</v>
          </cell>
          <cell r="H445">
            <v>410400000</v>
          </cell>
        </row>
        <row r="446">
          <cell r="B446" t="str">
            <v>마.</v>
          </cell>
          <cell r="C446" t="str">
            <v>강지보공</v>
          </cell>
          <cell r="D446" t="str">
            <v>(갱구부)</v>
          </cell>
          <cell r="E446">
            <v>44</v>
          </cell>
          <cell r="F446" t="str">
            <v>조</v>
          </cell>
          <cell r="G446">
            <v>1140000</v>
          </cell>
          <cell r="H446">
            <v>50160000</v>
          </cell>
        </row>
        <row r="447">
          <cell r="B447" t="str">
            <v>바.</v>
          </cell>
          <cell r="C447" t="str">
            <v>와이어매쉬 설치</v>
          </cell>
          <cell r="D447" t="str">
            <v>#4.8-100x100</v>
          </cell>
          <cell r="E447">
            <v>52083</v>
          </cell>
          <cell r="F447" t="str">
            <v>M2</v>
          </cell>
          <cell r="G447">
            <v>3800</v>
          </cell>
          <cell r="H447">
            <v>197915400</v>
          </cell>
        </row>
        <row r="448">
          <cell r="B448" t="str">
            <v>4)</v>
          </cell>
          <cell r="C448" t="str">
            <v>숏크리트공</v>
          </cell>
          <cell r="H448">
            <v>0</v>
          </cell>
        </row>
        <row r="449">
          <cell r="B449" t="str">
            <v>가.</v>
          </cell>
          <cell r="C449" t="str">
            <v>숏크리트공</v>
          </cell>
          <cell r="D449" t="str">
            <v>(TYPE - Ⅱ)</v>
          </cell>
          <cell r="E449">
            <v>221</v>
          </cell>
          <cell r="F449" t="str">
            <v>M3</v>
          </cell>
          <cell r="G449">
            <v>270000</v>
          </cell>
          <cell r="H449">
            <v>59670000</v>
          </cell>
        </row>
        <row r="450">
          <cell r="B450" t="str">
            <v>나.</v>
          </cell>
          <cell r="C450" t="str">
            <v>숏크리트공</v>
          </cell>
          <cell r="D450" t="str">
            <v>(TYPE - Ⅲ)</v>
          </cell>
          <cell r="E450">
            <v>3433</v>
          </cell>
          <cell r="F450" t="str">
            <v>M3</v>
          </cell>
          <cell r="G450">
            <v>190000</v>
          </cell>
          <cell r="H450">
            <v>652270000</v>
          </cell>
        </row>
        <row r="451">
          <cell r="B451" t="str">
            <v>다.</v>
          </cell>
          <cell r="C451" t="str">
            <v>숏크리트공</v>
          </cell>
          <cell r="D451" t="str">
            <v>(TYPE - Ⅳ)</v>
          </cell>
          <cell r="E451">
            <v>1504</v>
          </cell>
          <cell r="F451" t="str">
            <v>M3</v>
          </cell>
          <cell r="G451">
            <v>320000</v>
          </cell>
          <cell r="H451">
            <v>481280000</v>
          </cell>
        </row>
        <row r="452">
          <cell r="B452" t="str">
            <v>라.</v>
          </cell>
          <cell r="C452" t="str">
            <v>숏크리트공</v>
          </cell>
          <cell r="D452" t="str">
            <v>(TYPE - Ⅴ)</v>
          </cell>
          <cell r="E452">
            <v>1612</v>
          </cell>
          <cell r="F452" t="str">
            <v>M3</v>
          </cell>
          <cell r="G452">
            <v>350000</v>
          </cell>
          <cell r="H452">
            <v>564200000</v>
          </cell>
        </row>
        <row r="453">
          <cell r="B453" t="str">
            <v>마.</v>
          </cell>
          <cell r="C453" t="str">
            <v>숏크리트공</v>
          </cell>
          <cell r="D453" t="str">
            <v>(TYPE - Ⅵ)</v>
          </cell>
          <cell r="E453">
            <v>1527</v>
          </cell>
          <cell r="F453" t="str">
            <v>M3</v>
          </cell>
          <cell r="G453">
            <v>430000</v>
          </cell>
          <cell r="H453">
            <v>656610000</v>
          </cell>
        </row>
        <row r="454">
          <cell r="B454" t="str">
            <v>바.</v>
          </cell>
          <cell r="C454" t="str">
            <v>숏크리트공</v>
          </cell>
          <cell r="D454" t="str">
            <v>(갱구부)</v>
          </cell>
          <cell r="E454">
            <v>258</v>
          </cell>
          <cell r="F454" t="str">
            <v>M3</v>
          </cell>
          <cell r="G454">
            <v>68000</v>
          </cell>
          <cell r="H454">
            <v>17544000</v>
          </cell>
        </row>
        <row r="455">
          <cell r="B455" t="str">
            <v>5)</v>
          </cell>
          <cell r="C455" t="str">
            <v>ROCK BOLT공</v>
          </cell>
          <cell r="H455">
            <v>0</v>
          </cell>
        </row>
        <row r="456">
          <cell r="B456" t="str">
            <v>가.</v>
          </cell>
          <cell r="C456" t="str">
            <v>ROCK BOLT</v>
          </cell>
          <cell r="D456" t="str">
            <v>(TYPE - Ⅱ,상부)</v>
          </cell>
          <cell r="E456">
            <v>170</v>
          </cell>
          <cell r="F456" t="str">
            <v>개</v>
          </cell>
          <cell r="G456">
            <v>165000</v>
          </cell>
          <cell r="H456">
            <v>28050000</v>
          </cell>
        </row>
        <row r="457">
          <cell r="B457" t="str">
            <v>나.</v>
          </cell>
          <cell r="C457" t="str">
            <v>ROCK BOLT</v>
          </cell>
          <cell r="D457" t="str">
            <v>(TYPE - Ⅱ,측벽)</v>
          </cell>
          <cell r="E457">
            <v>60</v>
          </cell>
          <cell r="F457" t="str">
            <v>개</v>
          </cell>
          <cell r="G457">
            <v>150000</v>
          </cell>
          <cell r="H457">
            <v>9000000</v>
          </cell>
        </row>
        <row r="458">
          <cell r="B458" t="str">
            <v>다.</v>
          </cell>
          <cell r="C458" t="str">
            <v>ROCK BOLT</v>
          </cell>
          <cell r="D458" t="str">
            <v>(TYPE - Ⅲ,상부)</v>
          </cell>
          <cell r="E458">
            <v>2805</v>
          </cell>
          <cell r="F458" t="str">
            <v>개</v>
          </cell>
          <cell r="G458">
            <v>105000</v>
          </cell>
          <cell r="H458">
            <v>294525000</v>
          </cell>
        </row>
        <row r="459">
          <cell r="B459" t="str">
            <v>라.</v>
          </cell>
          <cell r="C459" t="str">
            <v>ROCK BOLT</v>
          </cell>
          <cell r="D459" t="str">
            <v>(TYPE - Ⅲ,측벽)</v>
          </cell>
          <cell r="E459">
            <v>2310</v>
          </cell>
          <cell r="F459" t="str">
            <v>개</v>
          </cell>
          <cell r="G459">
            <v>90000</v>
          </cell>
          <cell r="H459">
            <v>207900000</v>
          </cell>
        </row>
        <row r="460">
          <cell r="B460" t="str">
            <v>마.</v>
          </cell>
          <cell r="C460" t="str">
            <v>ROCK BOLT</v>
          </cell>
          <cell r="D460" t="str">
            <v>(TYPE - Ⅳ,상부)</v>
          </cell>
          <cell r="E460">
            <v>1274</v>
          </cell>
          <cell r="F460" t="str">
            <v>개</v>
          </cell>
          <cell r="G460">
            <v>95000</v>
          </cell>
          <cell r="H460">
            <v>121030000</v>
          </cell>
        </row>
        <row r="461">
          <cell r="B461" t="str">
            <v>바.</v>
          </cell>
          <cell r="C461" t="str">
            <v>ROCK BOLT</v>
          </cell>
          <cell r="D461" t="str">
            <v>(TYPE - Ⅳ,측벽)</v>
          </cell>
          <cell r="E461">
            <v>1049</v>
          </cell>
          <cell r="F461" t="str">
            <v>개</v>
          </cell>
          <cell r="G461">
            <v>77000</v>
          </cell>
          <cell r="H461">
            <v>80773000</v>
          </cell>
        </row>
        <row r="462">
          <cell r="B462" t="str">
            <v>사.</v>
          </cell>
          <cell r="C462" t="str">
            <v>ROCK BOLT</v>
          </cell>
          <cell r="D462" t="str">
            <v>(TYPE - Ⅴ,상부)</v>
          </cell>
          <cell r="E462">
            <v>1615</v>
          </cell>
          <cell r="F462" t="str">
            <v>개</v>
          </cell>
          <cell r="G462">
            <v>86000</v>
          </cell>
          <cell r="H462">
            <v>138890000</v>
          </cell>
        </row>
        <row r="463">
          <cell r="B463" t="str">
            <v>아.</v>
          </cell>
          <cell r="C463" t="str">
            <v>ROCK BOLT</v>
          </cell>
          <cell r="D463" t="str">
            <v>(TYPE - Ⅴ,측벽)</v>
          </cell>
          <cell r="E463">
            <v>1330</v>
          </cell>
          <cell r="F463" t="str">
            <v>개</v>
          </cell>
          <cell r="G463">
            <v>150000</v>
          </cell>
          <cell r="H463">
            <v>199500000</v>
          </cell>
        </row>
        <row r="464">
          <cell r="B464" t="str">
            <v>자.</v>
          </cell>
          <cell r="C464" t="str">
            <v>ROCK BOLT</v>
          </cell>
          <cell r="D464" t="str">
            <v>(TYPE - Ⅵ,상부좌)</v>
          </cell>
          <cell r="E464">
            <v>900</v>
          </cell>
          <cell r="F464" t="str">
            <v>개</v>
          </cell>
          <cell r="G464">
            <v>105000</v>
          </cell>
          <cell r="H464">
            <v>94500000</v>
          </cell>
        </row>
        <row r="465">
          <cell r="B465" t="str">
            <v>차.</v>
          </cell>
          <cell r="C465" t="str">
            <v>ROCK BOLT</v>
          </cell>
          <cell r="D465" t="str">
            <v>(TYPE - Ⅵ,상부우)</v>
          </cell>
          <cell r="E465">
            <v>630</v>
          </cell>
          <cell r="F465" t="str">
            <v>개</v>
          </cell>
          <cell r="G465">
            <v>130000</v>
          </cell>
          <cell r="H465">
            <v>81900000</v>
          </cell>
        </row>
        <row r="466">
          <cell r="B466" t="str">
            <v>카.</v>
          </cell>
          <cell r="C466" t="str">
            <v>ROCK BOLT</v>
          </cell>
          <cell r="D466" t="str">
            <v>(TYPE - Ⅵ,측벽)</v>
          </cell>
          <cell r="E466">
            <v>1260</v>
          </cell>
          <cell r="F466" t="str">
            <v>개</v>
          </cell>
          <cell r="G466">
            <v>82000</v>
          </cell>
          <cell r="H466">
            <v>103320000</v>
          </cell>
        </row>
        <row r="467">
          <cell r="B467" t="str">
            <v>타.</v>
          </cell>
          <cell r="C467" t="str">
            <v>갱구부</v>
          </cell>
          <cell r="E467">
            <v>323</v>
          </cell>
          <cell r="F467" t="str">
            <v>개</v>
          </cell>
          <cell r="G467">
            <v>32000</v>
          </cell>
          <cell r="H467">
            <v>10336000</v>
          </cell>
        </row>
        <row r="468">
          <cell r="B468" t="str">
            <v>파.</v>
          </cell>
          <cell r="C468" t="str">
            <v>FORE FILING</v>
          </cell>
          <cell r="D468" t="str">
            <v>(L=2.5M)</v>
          </cell>
          <cell r="E468">
            <v>5130</v>
          </cell>
          <cell r="F468" t="str">
            <v>개</v>
          </cell>
          <cell r="G468">
            <v>22000</v>
          </cell>
          <cell r="H468">
            <v>112860000</v>
          </cell>
        </row>
        <row r="469">
          <cell r="B469" t="str">
            <v>하.</v>
          </cell>
          <cell r="C469" t="str">
            <v>FORE FILING</v>
          </cell>
          <cell r="D469" t="str">
            <v>(L=3.0M)</v>
          </cell>
          <cell r="E469">
            <v>4050</v>
          </cell>
          <cell r="F469" t="str">
            <v>개</v>
          </cell>
          <cell r="G469">
            <v>25000</v>
          </cell>
          <cell r="H469">
            <v>101250000</v>
          </cell>
        </row>
        <row r="470">
          <cell r="B470" t="str">
            <v>거.</v>
          </cell>
          <cell r="C470" t="str">
            <v>PRE GROUTING</v>
          </cell>
          <cell r="D470" t="str">
            <v>(L=9.0M)</v>
          </cell>
          <cell r="E470">
            <v>31</v>
          </cell>
          <cell r="F470" t="str">
            <v>SET</v>
          </cell>
          <cell r="G470">
            <v>1000000</v>
          </cell>
          <cell r="H470">
            <v>31000000</v>
          </cell>
        </row>
        <row r="471">
          <cell r="B471" t="str">
            <v>너.</v>
          </cell>
          <cell r="C471" t="str">
            <v>강관다단그라우팅</v>
          </cell>
          <cell r="D471" t="str">
            <v>(φ50.8, L=16.0M)</v>
          </cell>
          <cell r="E471">
            <v>414</v>
          </cell>
          <cell r="F471" t="str">
            <v>공</v>
          </cell>
          <cell r="G471">
            <v>1150000</v>
          </cell>
          <cell r="H471">
            <v>476100000</v>
          </cell>
        </row>
        <row r="472">
          <cell r="B472" t="str">
            <v>6)</v>
          </cell>
          <cell r="C472" t="str">
            <v>방수공</v>
          </cell>
          <cell r="H472">
            <v>0</v>
          </cell>
        </row>
        <row r="473">
          <cell r="B473" t="str">
            <v>가.</v>
          </cell>
          <cell r="C473" t="str">
            <v>필터콘크리트</v>
          </cell>
          <cell r="E473">
            <v>18</v>
          </cell>
          <cell r="F473" t="str">
            <v>M3</v>
          </cell>
          <cell r="G473">
            <v>38000</v>
          </cell>
          <cell r="H473">
            <v>684000</v>
          </cell>
        </row>
        <row r="474">
          <cell r="B474" t="str">
            <v>나.</v>
          </cell>
          <cell r="C474" t="str">
            <v>P.V.C PIPE</v>
          </cell>
          <cell r="D474" t="str">
            <v>(φ 100M/M)</v>
          </cell>
          <cell r="E474">
            <v>141</v>
          </cell>
          <cell r="F474" t="str">
            <v>M</v>
          </cell>
          <cell r="G474">
            <v>2400</v>
          </cell>
          <cell r="H474">
            <v>338400</v>
          </cell>
        </row>
        <row r="475">
          <cell r="B475" t="str">
            <v>다.</v>
          </cell>
          <cell r="C475" t="str">
            <v>P.V.C PIPE</v>
          </cell>
          <cell r="D475" t="str">
            <v>(φ 150M/M)</v>
          </cell>
          <cell r="E475">
            <v>212</v>
          </cell>
          <cell r="F475" t="str">
            <v>M</v>
          </cell>
          <cell r="G475">
            <v>9100</v>
          </cell>
          <cell r="H475">
            <v>1929200</v>
          </cell>
        </row>
        <row r="476">
          <cell r="B476" t="str">
            <v>라.</v>
          </cell>
          <cell r="C476" t="str">
            <v>방수막</v>
          </cell>
          <cell r="E476">
            <v>25939</v>
          </cell>
          <cell r="F476" t="str">
            <v>M2</v>
          </cell>
          <cell r="G476">
            <v>13500</v>
          </cell>
          <cell r="H476">
            <v>350176500</v>
          </cell>
        </row>
        <row r="477">
          <cell r="B477" t="str">
            <v>마.</v>
          </cell>
          <cell r="C477" t="str">
            <v>부직포설치</v>
          </cell>
          <cell r="E477">
            <v>41693</v>
          </cell>
          <cell r="F477" t="str">
            <v>M2</v>
          </cell>
          <cell r="G477">
            <v>2100</v>
          </cell>
          <cell r="H477">
            <v>87555300</v>
          </cell>
        </row>
        <row r="478">
          <cell r="B478" t="str">
            <v>7)</v>
          </cell>
          <cell r="C478" t="str">
            <v>배수공</v>
          </cell>
          <cell r="H478">
            <v>0</v>
          </cell>
        </row>
        <row r="479">
          <cell r="B479" t="str">
            <v>가.</v>
          </cell>
          <cell r="C479" t="str">
            <v>유공관설치</v>
          </cell>
          <cell r="D479" t="str">
            <v>(φ150M/M)</v>
          </cell>
          <cell r="E479">
            <v>2270</v>
          </cell>
          <cell r="F479" t="str">
            <v>M</v>
          </cell>
          <cell r="G479">
            <v>2100</v>
          </cell>
          <cell r="H479">
            <v>4767000</v>
          </cell>
        </row>
        <row r="480">
          <cell r="B480" t="str">
            <v>나.</v>
          </cell>
          <cell r="C480" t="str">
            <v>유공관설치</v>
          </cell>
          <cell r="D480" t="str">
            <v>(φ250M/M)</v>
          </cell>
          <cell r="E480">
            <v>2270</v>
          </cell>
          <cell r="F480" t="str">
            <v>M</v>
          </cell>
          <cell r="G480">
            <v>3800</v>
          </cell>
          <cell r="H480">
            <v>8626000</v>
          </cell>
        </row>
        <row r="481">
          <cell r="B481" t="str">
            <v>다.</v>
          </cell>
          <cell r="C481" t="str">
            <v>배수관설치</v>
          </cell>
          <cell r="D481" t="str">
            <v>(φ400M/M)</v>
          </cell>
          <cell r="E481">
            <v>2270</v>
          </cell>
          <cell r="F481" t="str">
            <v>M</v>
          </cell>
          <cell r="G481">
            <v>75000</v>
          </cell>
          <cell r="H481">
            <v>170250000</v>
          </cell>
        </row>
        <row r="482">
          <cell r="B482" t="str">
            <v>라.</v>
          </cell>
          <cell r="C482" t="str">
            <v>잡석깔기</v>
          </cell>
          <cell r="D482" t="str">
            <v>(발파암유용)</v>
          </cell>
          <cell r="E482">
            <v>1229</v>
          </cell>
          <cell r="F482" t="str">
            <v>M</v>
          </cell>
          <cell r="G482">
            <v>14000</v>
          </cell>
          <cell r="H482">
            <v>17206000</v>
          </cell>
        </row>
        <row r="483">
          <cell r="B483" t="str">
            <v>마.</v>
          </cell>
          <cell r="C483" t="str">
            <v>거푸집</v>
          </cell>
          <cell r="D483" t="str">
            <v>(합판3회 0-7M)</v>
          </cell>
          <cell r="E483">
            <v>4452</v>
          </cell>
          <cell r="F483" t="str">
            <v>M2</v>
          </cell>
          <cell r="G483">
            <v>17000</v>
          </cell>
          <cell r="H483">
            <v>75684000</v>
          </cell>
        </row>
        <row r="484">
          <cell r="B484" t="str">
            <v>바.</v>
          </cell>
          <cell r="C484" t="str">
            <v>철근가공조립</v>
          </cell>
          <cell r="D484" t="str">
            <v>(간단)</v>
          </cell>
          <cell r="E484">
            <v>226.69200000000001</v>
          </cell>
          <cell r="F484" t="str">
            <v>TON</v>
          </cell>
          <cell r="G484">
            <v>230000</v>
          </cell>
          <cell r="H484">
            <v>52139160</v>
          </cell>
        </row>
        <row r="485">
          <cell r="B485" t="str">
            <v>사.</v>
          </cell>
          <cell r="C485" t="str">
            <v>콘크리트타설</v>
          </cell>
          <cell r="D485" t="str">
            <v>(철근,진동기제외)</v>
          </cell>
          <cell r="E485">
            <v>2907</v>
          </cell>
          <cell r="F485" t="str">
            <v>M3</v>
          </cell>
          <cell r="G485">
            <v>18000</v>
          </cell>
          <cell r="H485">
            <v>52326000</v>
          </cell>
        </row>
        <row r="486">
          <cell r="B486" t="str">
            <v>아.</v>
          </cell>
          <cell r="C486" t="str">
            <v>STEEL GRATING</v>
          </cell>
          <cell r="D486" t="str">
            <v>(540*495*75)</v>
          </cell>
          <cell r="E486">
            <v>90</v>
          </cell>
          <cell r="F486" t="str">
            <v>EA</v>
          </cell>
          <cell r="G486">
            <v>38000</v>
          </cell>
          <cell r="H486">
            <v>3420000</v>
          </cell>
        </row>
        <row r="487">
          <cell r="B487" t="str">
            <v>자.</v>
          </cell>
          <cell r="C487" t="str">
            <v>뚜껑제작설치</v>
          </cell>
          <cell r="D487" t="str">
            <v>(공동구 뚜껑)</v>
          </cell>
          <cell r="E487">
            <v>4540</v>
          </cell>
          <cell r="F487" t="str">
            <v>EA</v>
          </cell>
          <cell r="G487">
            <v>6500</v>
          </cell>
          <cell r="H487">
            <v>29510000</v>
          </cell>
        </row>
        <row r="488">
          <cell r="B488" t="str">
            <v>차.</v>
          </cell>
          <cell r="C488" t="str">
            <v>비닐 깔기</v>
          </cell>
          <cell r="E488">
            <v>13247</v>
          </cell>
          <cell r="F488" t="str">
            <v>M2</v>
          </cell>
          <cell r="G488">
            <v>400</v>
          </cell>
          <cell r="H488">
            <v>5298800</v>
          </cell>
        </row>
        <row r="489">
          <cell r="B489" t="str">
            <v>8)</v>
          </cell>
          <cell r="C489" t="str">
            <v>라이닝콘크리트</v>
          </cell>
          <cell r="H489">
            <v>0</v>
          </cell>
        </row>
        <row r="490">
          <cell r="B490" t="str">
            <v>가.</v>
          </cell>
          <cell r="C490" t="str">
            <v>콘크리트타설</v>
          </cell>
          <cell r="D490" t="str">
            <v>(펌프카타설,무근)</v>
          </cell>
          <cell r="E490">
            <v>6431</v>
          </cell>
          <cell r="F490" t="str">
            <v>M3</v>
          </cell>
          <cell r="G490">
            <v>8500</v>
          </cell>
          <cell r="H490">
            <v>54663500</v>
          </cell>
        </row>
        <row r="491">
          <cell r="B491" t="str">
            <v>나.</v>
          </cell>
          <cell r="C491" t="str">
            <v>콘크리트타설</v>
          </cell>
          <cell r="D491" t="str">
            <v>(펌프카타설,0~15m)</v>
          </cell>
          <cell r="E491">
            <v>3991</v>
          </cell>
          <cell r="F491" t="str">
            <v>M3</v>
          </cell>
          <cell r="G491">
            <v>9000</v>
          </cell>
          <cell r="H491">
            <v>35919000</v>
          </cell>
        </row>
        <row r="492">
          <cell r="B492" t="str">
            <v>다.</v>
          </cell>
          <cell r="C492" t="str">
            <v>철근가공조립</v>
          </cell>
          <cell r="D492" t="str">
            <v>(복잡)</v>
          </cell>
          <cell r="E492">
            <v>491.1</v>
          </cell>
          <cell r="F492" t="str">
            <v>TON</v>
          </cell>
          <cell r="G492">
            <v>390000</v>
          </cell>
          <cell r="H492">
            <v>191529000</v>
          </cell>
        </row>
        <row r="493">
          <cell r="B493" t="str">
            <v>라.</v>
          </cell>
          <cell r="C493" t="str">
            <v>강재동바리공 및 거푸</v>
          </cell>
          <cell r="D493" t="str">
            <v>집</v>
          </cell>
          <cell r="E493">
            <v>2</v>
          </cell>
          <cell r="F493" t="str">
            <v>SET</v>
          </cell>
          <cell r="G493">
            <v>120000000</v>
          </cell>
          <cell r="H493">
            <v>240000000</v>
          </cell>
        </row>
        <row r="494">
          <cell r="B494" t="str">
            <v>마.</v>
          </cell>
          <cell r="C494" t="str">
            <v>강재거푸집이동및거치</v>
          </cell>
          <cell r="E494">
            <v>2</v>
          </cell>
          <cell r="F494" t="str">
            <v>SET</v>
          </cell>
          <cell r="G494">
            <v>53000000</v>
          </cell>
          <cell r="H494">
            <v>106000000</v>
          </cell>
        </row>
        <row r="495">
          <cell r="B495" t="str">
            <v>바.</v>
          </cell>
          <cell r="C495" t="str">
            <v>라이닝 콘크리트</v>
          </cell>
          <cell r="D495" t="str">
            <v>(신축이음)</v>
          </cell>
          <cell r="E495">
            <v>831</v>
          </cell>
          <cell r="F495" t="str">
            <v>M</v>
          </cell>
          <cell r="G495">
            <v>8600</v>
          </cell>
          <cell r="H495">
            <v>7146600</v>
          </cell>
        </row>
        <row r="496">
          <cell r="B496" t="str">
            <v>9)</v>
          </cell>
          <cell r="C496" t="str">
            <v>개착터널</v>
          </cell>
          <cell r="H496">
            <v>0</v>
          </cell>
        </row>
        <row r="497">
          <cell r="B497" t="str">
            <v>가.</v>
          </cell>
          <cell r="C497" t="str">
            <v>거푸집</v>
          </cell>
          <cell r="D497" t="str">
            <v>(원형3회)</v>
          </cell>
          <cell r="E497">
            <v>1953</v>
          </cell>
          <cell r="F497" t="str">
            <v>M2</v>
          </cell>
          <cell r="G497">
            <v>44400</v>
          </cell>
          <cell r="H497">
            <v>86713200</v>
          </cell>
        </row>
        <row r="498">
          <cell r="B498" t="str">
            <v>나.</v>
          </cell>
          <cell r="C498" t="str">
            <v>강관동바리</v>
          </cell>
          <cell r="D498" t="str">
            <v>(개착터널용)</v>
          </cell>
          <cell r="E498">
            <v>1</v>
          </cell>
          <cell r="F498" t="str">
            <v>식</v>
          </cell>
          <cell r="G498">
            <v>50000000</v>
          </cell>
          <cell r="H498">
            <v>50000000</v>
          </cell>
        </row>
        <row r="499">
          <cell r="B499" t="str">
            <v>다.</v>
          </cell>
          <cell r="C499" t="str">
            <v>비계공</v>
          </cell>
          <cell r="D499" t="str">
            <v>(개착터널용)</v>
          </cell>
          <cell r="E499">
            <v>1</v>
          </cell>
          <cell r="F499" t="str">
            <v>식</v>
          </cell>
          <cell r="G499">
            <v>5800000</v>
          </cell>
          <cell r="H499">
            <v>5800000</v>
          </cell>
        </row>
        <row r="500">
          <cell r="B500" t="str">
            <v>라.</v>
          </cell>
          <cell r="C500" t="str">
            <v>벽돌쌓기</v>
          </cell>
          <cell r="D500" t="str">
            <v>( 0.5 B )</v>
          </cell>
          <cell r="E500">
            <v>967</v>
          </cell>
          <cell r="F500" t="str">
            <v>M2</v>
          </cell>
          <cell r="G500">
            <v>13500</v>
          </cell>
          <cell r="H500">
            <v>13054500</v>
          </cell>
        </row>
        <row r="501">
          <cell r="B501" t="str">
            <v>마.</v>
          </cell>
          <cell r="C501" t="str">
            <v>철근가공조립</v>
          </cell>
          <cell r="D501" t="str">
            <v>(복잡)</v>
          </cell>
          <cell r="E501">
            <v>119.56</v>
          </cell>
          <cell r="F501" t="str">
            <v>TON</v>
          </cell>
          <cell r="G501">
            <v>390000</v>
          </cell>
          <cell r="H501">
            <v>46628400</v>
          </cell>
        </row>
        <row r="502">
          <cell r="B502" t="str">
            <v>바.</v>
          </cell>
          <cell r="C502" t="str">
            <v>콘크리트타설</v>
          </cell>
          <cell r="D502" t="str">
            <v>(펌프카타설,0~15m)</v>
          </cell>
          <cell r="E502">
            <v>1105</v>
          </cell>
          <cell r="F502" t="str">
            <v>M3</v>
          </cell>
          <cell r="G502">
            <v>9000</v>
          </cell>
          <cell r="H502">
            <v>9945000</v>
          </cell>
        </row>
        <row r="503">
          <cell r="B503" t="str">
            <v>사.</v>
          </cell>
          <cell r="C503" t="str">
            <v>콘크리트타설</v>
          </cell>
          <cell r="D503" t="str">
            <v>(무근,진동기포함)</v>
          </cell>
          <cell r="E503">
            <v>20</v>
          </cell>
          <cell r="F503" t="str">
            <v>M3</v>
          </cell>
          <cell r="G503">
            <v>17000</v>
          </cell>
          <cell r="H503">
            <v>340000</v>
          </cell>
        </row>
        <row r="504">
          <cell r="B504" t="str">
            <v>아.</v>
          </cell>
          <cell r="C504" t="str">
            <v>시공이음</v>
          </cell>
          <cell r="D504" t="str">
            <v>(지수판)</v>
          </cell>
          <cell r="E504">
            <v>5</v>
          </cell>
          <cell r="F504" t="str">
            <v>M</v>
          </cell>
          <cell r="G504">
            <v>9500</v>
          </cell>
          <cell r="H504">
            <v>47500</v>
          </cell>
        </row>
        <row r="505">
          <cell r="B505" t="str">
            <v>자.</v>
          </cell>
          <cell r="C505" t="str">
            <v>신축이음</v>
          </cell>
          <cell r="D505" t="str">
            <v>(실런트)</v>
          </cell>
          <cell r="E505">
            <v>1</v>
          </cell>
          <cell r="F505" t="str">
            <v>M</v>
          </cell>
          <cell r="G505">
            <v>4500</v>
          </cell>
          <cell r="H505">
            <v>4500</v>
          </cell>
        </row>
        <row r="506">
          <cell r="B506" t="str">
            <v>차</v>
          </cell>
          <cell r="C506" t="str">
            <v>보호몰탈</v>
          </cell>
          <cell r="D506" t="str">
            <v>(T=5M/M)</v>
          </cell>
          <cell r="E506">
            <v>5</v>
          </cell>
          <cell r="F506" t="str">
            <v>M2</v>
          </cell>
          <cell r="G506">
            <v>5000</v>
          </cell>
          <cell r="H506">
            <v>25000</v>
          </cell>
        </row>
        <row r="507">
          <cell r="B507" t="str">
            <v>10)</v>
          </cell>
          <cell r="C507" t="str">
            <v>면벽 및 옹벽</v>
          </cell>
          <cell r="H507">
            <v>0</v>
          </cell>
        </row>
        <row r="508">
          <cell r="B508" t="str">
            <v>가.</v>
          </cell>
          <cell r="C508" t="str">
            <v>구조물터파기</v>
          </cell>
          <cell r="D508" t="str">
            <v>(육상풍화암0∼4m)</v>
          </cell>
          <cell r="E508">
            <v>99</v>
          </cell>
          <cell r="F508" t="str">
            <v>M3</v>
          </cell>
          <cell r="G508">
            <v>55000</v>
          </cell>
          <cell r="H508">
            <v>5445000</v>
          </cell>
        </row>
        <row r="509">
          <cell r="B509" t="str">
            <v>나.</v>
          </cell>
          <cell r="C509" t="str">
            <v>구조물터파기</v>
          </cell>
          <cell r="D509" t="str">
            <v>(육상발파암0∼4m)</v>
          </cell>
          <cell r="E509">
            <v>180</v>
          </cell>
          <cell r="F509" t="str">
            <v>M3</v>
          </cell>
          <cell r="G509">
            <v>100000</v>
          </cell>
          <cell r="H509">
            <v>18000000</v>
          </cell>
        </row>
        <row r="510">
          <cell r="B510" t="str">
            <v>다.</v>
          </cell>
          <cell r="C510" t="str">
            <v>되메우기 및 다짐공</v>
          </cell>
          <cell r="D510" t="str">
            <v>(인력10％+기계90％)</v>
          </cell>
          <cell r="E510">
            <v>52</v>
          </cell>
          <cell r="F510" t="str">
            <v>M3</v>
          </cell>
          <cell r="G510">
            <v>2000</v>
          </cell>
          <cell r="H510">
            <v>104000</v>
          </cell>
        </row>
        <row r="511">
          <cell r="B511" t="str">
            <v>라.</v>
          </cell>
          <cell r="C511" t="str">
            <v>무늬거푸집</v>
          </cell>
          <cell r="D511" t="str">
            <v>(0-7M)</v>
          </cell>
          <cell r="E511">
            <v>911</v>
          </cell>
          <cell r="F511" t="str">
            <v>M2</v>
          </cell>
          <cell r="G511">
            <v>22400</v>
          </cell>
          <cell r="H511">
            <v>20406400</v>
          </cell>
        </row>
        <row r="512">
          <cell r="B512" t="str">
            <v>마.</v>
          </cell>
          <cell r="C512" t="str">
            <v>거푸집</v>
          </cell>
          <cell r="D512" t="str">
            <v>(원형3회)</v>
          </cell>
          <cell r="E512">
            <v>99</v>
          </cell>
          <cell r="F512" t="str">
            <v>M2</v>
          </cell>
          <cell r="G512">
            <v>44400</v>
          </cell>
          <cell r="H512">
            <v>4395600</v>
          </cell>
        </row>
        <row r="513">
          <cell r="B513" t="str">
            <v>바.</v>
          </cell>
          <cell r="C513" t="str">
            <v>거푸집</v>
          </cell>
          <cell r="D513" t="str">
            <v>(합판3회 0-7M)</v>
          </cell>
          <cell r="E513">
            <v>806</v>
          </cell>
          <cell r="F513" t="str">
            <v>M2</v>
          </cell>
          <cell r="G513">
            <v>17000</v>
          </cell>
          <cell r="H513">
            <v>13702000</v>
          </cell>
        </row>
        <row r="514">
          <cell r="B514" t="str">
            <v>사.</v>
          </cell>
          <cell r="C514" t="str">
            <v>합판거푸집</v>
          </cell>
          <cell r="D514" t="str">
            <v>(6회)</v>
          </cell>
          <cell r="E514">
            <v>7</v>
          </cell>
          <cell r="F514" t="str">
            <v>M2</v>
          </cell>
          <cell r="G514">
            <v>11900</v>
          </cell>
          <cell r="H514">
            <v>83300</v>
          </cell>
        </row>
        <row r="515">
          <cell r="B515" t="str">
            <v>아.</v>
          </cell>
          <cell r="C515" t="str">
            <v>강관동바리</v>
          </cell>
          <cell r="D515" t="str">
            <v>(터널면벽용)</v>
          </cell>
          <cell r="E515">
            <v>1</v>
          </cell>
          <cell r="F515" t="str">
            <v>식</v>
          </cell>
          <cell r="G515">
            <v>4200000</v>
          </cell>
          <cell r="H515">
            <v>4200000</v>
          </cell>
        </row>
        <row r="516">
          <cell r="B516" t="str">
            <v>자.</v>
          </cell>
          <cell r="C516" t="str">
            <v>비계공</v>
          </cell>
          <cell r="D516" t="str">
            <v>(터널면벽용)</v>
          </cell>
          <cell r="E516">
            <v>1</v>
          </cell>
          <cell r="F516" t="str">
            <v>식</v>
          </cell>
          <cell r="G516">
            <v>8500000</v>
          </cell>
          <cell r="H516">
            <v>8500000</v>
          </cell>
        </row>
        <row r="517">
          <cell r="B517" t="str">
            <v>차.</v>
          </cell>
          <cell r="C517" t="str">
            <v>철근가공조립</v>
          </cell>
          <cell r="D517" t="str">
            <v>(간단)</v>
          </cell>
          <cell r="E517">
            <v>0.107</v>
          </cell>
          <cell r="F517" t="str">
            <v>TON</v>
          </cell>
          <cell r="G517">
            <v>230000</v>
          </cell>
          <cell r="H517">
            <v>24610</v>
          </cell>
        </row>
        <row r="518">
          <cell r="B518" t="str">
            <v>카.</v>
          </cell>
          <cell r="C518" t="str">
            <v>콘크리트타설</v>
          </cell>
          <cell r="D518" t="str">
            <v>(펌프카타설,무근)</v>
          </cell>
          <cell r="E518">
            <v>512</v>
          </cell>
          <cell r="F518" t="str">
            <v>M3</v>
          </cell>
          <cell r="G518">
            <v>8500</v>
          </cell>
          <cell r="H518">
            <v>4352000</v>
          </cell>
        </row>
        <row r="519">
          <cell r="B519" t="str">
            <v>타.</v>
          </cell>
          <cell r="C519" t="str">
            <v>콘크리트타설</v>
          </cell>
          <cell r="D519" t="str">
            <v>(무근,진동기제외)</v>
          </cell>
          <cell r="E519">
            <v>18</v>
          </cell>
          <cell r="F519" t="str">
            <v>M3</v>
          </cell>
          <cell r="G519">
            <v>17000</v>
          </cell>
          <cell r="H519">
            <v>306000</v>
          </cell>
        </row>
        <row r="520">
          <cell r="B520" t="str">
            <v>11)</v>
          </cell>
          <cell r="C520" t="str">
            <v>부대공</v>
          </cell>
          <cell r="H520">
            <v>0</v>
          </cell>
        </row>
        <row r="521">
          <cell r="B521" t="str">
            <v>가.</v>
          </cell>
          <cell r="C521" t="str">
            <v>터널내부타일붙임</v>
          </cell>
          <cell r="D521" t="str">
            <v>(하부)</v>
          </cell>
          <cell r="E521">
            <v>10407</v>
          </cell>
          <cell r="F521" t="str">
            <v>M2</v>
          </cell>
          <cell r="G521">
            <v>31000</v>
          </cell>
          <cell r="H521">
            <v>322617000</v>
          </cell>
        </row>
        <row r="522">
          <cell r="B522" t="str">
            <v>나.</v>
          </cell>
          <cell r="C522" t="str">
            <v>터널내물푸기</v>
          </cell>
          <cell r="E522">
            <v>1</v>
          </cell>
          <cell r="F522" t="str">
            <v>식</v>
          </cell>
          <cell r="G522">
            <v>13000000</v>
          </cell>
          <cell r="H522">
            <v>13000000</v>
          </cell>
        </row>
        <row r="523">
          <cell r="B523" t="str">
            <v>다.</v>
          </cell>
          <cell r="C523" t="str">
            <v>갱문 가시설</v>
          </cell>
          <cell r="E523">
            <v>4</v>
          </cell>
          <cell r="F523" t="str">
            <v>개소</v>
          </cell>
          <cell r="G523">
            <v>9500000</v>
          </cell>
          <cell r="H523">
            <v>38000000</v>
          </cell>
        </row>
        <row r="524">
          <cell r="B524" t="str">
            <v>라.</v>
          </cell>
          <cell r="C524" t="str">
            <v>난간용강재파이프</v>
          </cell>
          <cell r="D524" t="str">
            <v>(갱문및옹벽)</v>
          </cell>
          <cell r="E524">
            <v>96</v>
          </cell>
          <cell r="F524" t="str">
            <v>M</v>
          </cell>
          <cell r="G524">
            <v>1200</v>
          </cell>
          <cell r="H524">
            <v>115200</v>
          </cell>
        </row>
        <row r="525">
          <cell r="B525" t="str">
            <v>마.</v>
          </cell>
          <cell r="C525" t="str">
            <v>터널명판및안내판</v>
          </cell>
          <cell r="E525">
            <v>4</v>
          </cell>
          <cell r="F525" t="str">
            <v>EA</v>
          </cell>
          <cell r="G525">
            <v>450000</v>
          </cell>
          <cell r="H525">
            <v>1800000</v>
          </cell>
        </row>
        <row r="526">
          <cell r="B526" t="str">
            <v>12)</v>
          </cell>
          <cell r="C526" t="str">
            <v>계측비</v>
          </cell>
          <cell r="H526">
            <v>0</v>
          </cell>
        </row>
        <row r="527">
          <cell r="B527" t="str">
            <v>가.</v>
          </cell>
          <cell r="C527" t="str">
            <v>내공 변위 측정용기기</v>
          </cell>
          <cell r="D527" t="str">
            <v>설치</v>
          </cell>
          <cell r="E527">
            <v>162</v>
          </cell>
          <cell r="F527" t="str">
            <v>SET</v>
          </cell>
          <cell r="G527">
            <v>8000</v>
          </cell>
          <cell r="H527">
            <v>1296000</v>
          </cell>
        </row>
        <row r="528">
          <cell r="B528" t="str">
            <v>나.</v>
          </cell>
          <cell r="C528" t="str">
            <v>지중변위 측정용 기기</v>
          </cell>
          <cell r="D528" t="str">
            <v>설치</v>
          </cell>
          <cell r="E528">
            <v>81</v>
          </cell>
          <cell r="F528" t="str">
            <v>SET</v>
          </cell>
          <cell r="G528">
            <v>430000</v>
          </cell>
          <cell r="H528">
            <v>34830000</v>
          </cell>
        </row>
        <row r="529">
          <cell r="B529" t="str">
            <v>다.</v>
          </cell>
          <cell r="C529" t="str">
            <v>천단침하 측정용 기기</v>
          </cell>
          <cell r="D529" t="str">
            <v>설치</v>
          </cell>
          <cell r="E529">
            <v>60</v>
          </cell>
          <cell r="F529" t="str">
            <v>SET</v>
          </cell>
          <cell r="G529">
            <v>8000</v>
          </cell>
          <cell r="H529">
            <v>480000</v>
          </cell>
        </row>
        <row r="530">
          <cell r="B530" t="str">
            <v>라.</v>
          </cell>
          <cell r="C530" t="str">
            <v>숏크리트 응력 측정용</v>
          </cell>
          <cell r="D530" t="str">
            <v>기기설치</v>
          </cell>
          <cell r="E530">
            <v>60</v>
          </cell>
          <cell r="F530" t="str">
            <v>SET</v>
          </cell>
          <cell r="G530">
            <v>700000</v>
          </cell>
          <cell r="H530">
            <v>42000000</v>
          </cell>
        </row>
        <row r="531">
          <cell r="B531" t="str">
            <v>마.</v>
          </cell>
          <cell r="C531" t="str">
            <v>ROCK BOLT 축력측정용</v>
          </cell>
          <cell r="D531" t="str">
            <v>기기설치</v>
          </cell>
          <cell r="E531">
            <v>60</v>
          </cell>
          <cell r="F531" t="str">
            <v>SET</v>
          </cell>
          <cell r="G531">
            <v>430000</v>
          </cell>
          <cell r="H531">
            <v>25800000</v>
          </cell>
        </row>
        <row r="532">
          <cell r="B532" t="str">
            <v>바.</v>
          </cell>
          <cell r="C532" t="str">
            <v>계측관리비</v>
          </cell>
          <cell r="E532">
            <v>1</v>
          </cell>
          <cell r="F532" t="str">
            <v>식</v>
          </cell>
          <cell r="G532">
            <v>135000000</v>
          </cell>
          <cell r="H532">
            <v>135000000</v>
          </cell>
        </row>
        <row r="533">
          <cell r="B533" t="str">
            <v>13)</v>
          </cell>
          <cell r="C533" t="str">
            <v>현장관리공</v>
          </cell>
          <cell r="H533">
            <v>0</v>
          </cell>
        </row>
        <row r="534">
          <cell r="B534" t="str">
            <v>가.</v>
          </cell>
          <cell r="C534" t="str">
            <v>임시환기시설</v>
          </cell>
          <cell r="E534">
            <v>1</v>
          </cell>
          <cell r="F534" t="str">
            <v>식</v>
          </cell>
          <cell r="G534">
            <v>25000000</v>
          </cell>
          <cell r="H534">
            <v>25000000</v>
          </cell>
        </row>
        <row r="535">
          <cell r="B535" t="str">
            <v>나.</v>
          </cell>
          <cell r="C535" t="str">
            <v>임시전기시설</v>
          </cell>
          <cell r="E535">
            <v>1</v>
          </cell>
          <cell r="F535" t="str">
            <v>식</v>
          </cell>
          <cell r="G535">
            <v>4300000</v>
          </cell>
          <cell r="H535">
            <v>4300000</v>
          </cell>
        </row>
        <row r="536">
          <cell r="B536" t="str">
            <v>다.</v>
          </cell>
          <cell r="C536" t="str">
            <v>작업용 비계</v>
          </cell>
          <cell r="D536" t="str">
            <v>(터널용)</v>
          </cell>
          <cell r="E536">
            <v>1</v>
          </cell>
          <cell r="F536" t="str">
            <v>식</v>
          </cell>
          <cell r="G536">
            <v>2100000</v>
          </cell>
          <cell r="H536">
            <v>2100000</v>
          </cell>
        </row>
        <row r="537">
          <cell r="B537" t="str">
            <v>라.</v>
          </cell>
          <cell r="C537" t="str">
            <v>대차</v>
          </cell>
          <cell r="E537">
            <v>1</v>
          </cell>
          <cell r="F537" t="str">
            <v>식</v>
          </cell>
          <cell r="G537">
            <v>105000000</v>
          </cell>
          <cell r="H537">
            <v>105000000</v>
          </cell>
        </row>
        <row r="538">
          <cell r="B538" t="str">
            <v>14)</v>
          </cell>
          <cell r="C538" t="str">
            <v>콘크리트생산및구입</v>
          </cell>
          <cell r="H538">
            <v>0</v>
          </cell>
        </row>
        <row r="539">
          <cell r="B539" t="str">
            <v>가.</v>
          </cell>
          <cell r="C539" t="str">
            <v>콘크리트생산</v>
          </cell>
          <cell r="D539" t="str">
            <v>32-240-15</v>
          </cell>
          <cell r="E539">
            <v>15059</v>
          </cell>
          <cell r="F539" t="str">
            <v>M3</v>
          </cell>
          <cell r="G539">
            <v>5000</v>
          </cell>
          <cell r="H539">
            <v>75295000</v>
          </cell>
        </row>
        <row r="540">
          <cell r="B540" t="str">
            <v>나.</v>
          </cell>
          <cell r="C540" t="str">
            <v>콘크리트운반</v>
          </cell>
          <cell r="D540" t="str">
            <v>(B/P-현장)</v>
          </cell>
          <cell r="E540">
            <v>15209</v>
          </cell>
          <cell r="F540" t="str">
            <v>M3</v>
          </cell>
          <cell r="G540">
            <v>3500</v>
          </cell>
          <cell r="H540">
            <v>53231500</v>
          </cell>
        </row>
        <row r="541">
          <cell r="B541" t="str">
            <v>5.</v>
          </cell>
          <cell r="C541" t="str">
            <v>포장공</v>
          </cell>
          <cell r="H541">
            <v>8838290340</v>
          </cell>
        </row>
        <row r="542">
          <cell r="B542" t="str">
            <v>1)</v>
          </cell>
          <cell r="C542" t="str">
            <v>선택층</v>
          </cell>
          <cell r="H542">
            <v>0</v>
          </cell>
        </row>
        <row r="543">
          <cell r="B543" t="str">
            <v>가.</v>
          </cell>
          <cell r="C543" t="str">
            <v>선택층운반</v>
          </cell>
          <cell r="E543">
            <v>78228</v>
          </cell>
          <cell r="F543" t="str">
            <v>M3</v>
          </cell>
          <cell r="G543">
            <v>3200</v>
          </cell>
          <cell r="H543">
            <v>250329600</v>
          </cell>
        </row>
        <row r="544">
          <cell r="B544" t="str">
            <v>나.</v>
          </cell>
          <cell r="C544" t="str">
            <v>선택층포설및다짐</v>
          </cell>
          <cell r="E544">
            <v>76590</v>
          </cell>
          <cell r="F544" t="str">
            <v>M3</v>
          </cell>
          <cell r="G544">
            <v>1000</v>
          </cell>
          <cell r="H544">
            <v>76590000</v>
          </cell>
        </row>
        <row r="545">
          <cell r="B545" t="str">
            <v>다.</v>
          </cell>
          <cell r="C545" t="str">
            <v>선택층포설및다짐</v>
          </cell>
          <cell r="D545" t="str">
            <v>(백호우포설)</v>
          </cell>
          <cell r="E545">
            <v>1657</v>
          </cell>
          <cell r="F545" t="str">
            <v>M3</v>
          </cell>
          <cell r="G545">
            <v>1100</v>
          </cell>
          <cell r="H545">
            <v>1822700</v>
          </cell>
        </row>
        <row r="546">
          <cell r="B546" t="str">
            <v>2)</v>
          </cell>
          <cell r="C546" t="str">
            <v>보조기층</v>
          </cell>
          <cell r="H546">
            <v>0</v>
          </cell>
        </row>
        <row r="547">
          <cell r="B547" t="str">
            <v>가.</v>
          </cell>
          <cell r="C547" t="str">
            <v>보조기층운반</v>
          </cell>
          <cell r="E547">
            <v>33366</v>
          </cell>
          <cell r="F547" t="str">
            <v>M3</v>
          </cell>
          <cell r="G547">
            <v>3200</v>
          </cell>
          <cell r="H547">
            <v>106771200</v>
          </cell>
        </row>
        <row r="548">
          <cell r="B548" t="str">
            <v>나.</v>
          </cell>
          <cell r="C548" t="str">
            <v>보조기층포설및다짐</v>
          </cell>
          <cell r="D548" t="str">
            <v>(T=20CM)</v>
          </cell>
          <cell r="E548">
            <v>8707</v>
          </cell>
          <cell r="F548" t="str">
            <v>M3</v>
          </cell>
          <cell r="G548">
            <v>1700</v>
          </cell>
          <cell r="H548">
            <v>14801900</v>
          </cell>
        </row>
        <row r="549">
          <cell r="B549" t="str">
            <v>다.</v>
          </cell>
          <cell r="C549" t="str">
            <v>보조기층포설및다짐</v>
          </cell>
          <cell r="D549" t="str">
            <v>(T=30CM)</v>
          </cell>
          <cell r="E549">
            <v>66</v>
          </cell>
          <cell r="F549" t="str">
            <v>M3</v>
          </cell>
          <cell r="G549">
            <v>2100</v>
          </cell>
          <cell r="H549">
            <v>138600</v>
          </cell>
        </row>
        <row r="550">
          <cell r="B550" t="str">
            <v>라..</v>
          </cell>
          <cell r="C550" t="str">
            <v>보조기층포설및다짐</v>
          </cell>
          <cell r="D550" t="str">
            <v>(T=35CM)</v>
          </cell>
          <cell r="E550">
            <v>7979</v>
          </cell>
          <cell r="F550" t="str">
            <v>M3</v>
          </cell>
          <cell r="G550">
            <v>2000</v>
          </cell>
          <cell r="H550">
            <v>15958000</v>
          </cell>
        </row>
        <row r="551">
          <cell r="B551" t="str">
            <v>마.</v>
          </cell>
          <cell r="C551" t="str">
            <v>노견토포설및다짐</v>
          </cell>
          <cell r="E551">
            <v>16678</v>
          </cell>
          <cell r="F551" t="str">
            <v>M3</v>
          </cell>
          <cell r="G551">
            <v>5000</v>
          </cell>
          <cell r="H551">
            <v>83390000</v>
          </cell>
        </row>
        <row r="552">
          <cell r="B552" t="str">
            <v>3)</v>
          </cell>
          <cell r="C552" t="str">
            <v>프라임코팅</v>
          </cell>
          <cell r="D552" t="str">
            <v>(75ℓ/a)</v>
          </cell>
          <cell r="E552">
            <v>942</v>
          </cell>
          <cell r="F552" t="str">
            <v>a</v>
          </cell>
          <cell r="G552">
            <v>12000</v>
          </cell>
          <cell r="H552">
            <v>11304000</v>
          </cell>
        </row>
        <row r="553">
          <cell r="B553" t="str">
            <v>4)</v>
          </cell>
          <cell r="C553" t="str">
            <v>아스콘기층</v>
          </cell>
          <cell r="H553">
            <v>0</v>
          </cell>
        </row>
        <row r="554">
          <cell r="B554" t="str">
            <v>가.</v>
          </cell>
          <cell r="C554" t="str">
            <v>아스콘기층구입,운반</v>
          </cell>
          <cell r="E554">
            <v>26244</v>
          </cell>
          <cell r="F554" t="str">
            <v>TON</v>
          </cell>
          <cell r="G554">
            <v>20000</v>
          </cell>
          <cell r="H554">
            <v>524880000</v>
          </cell>
        </row>
        <row r="555">
          <cell r="B555" t="str">
            <v>나.</v>
          </cell>
          <cell r="C555" t="str">
            <v>아스콘기층포설</v>
          </cell>
          <cell r="D555" t="str">
            <v>(T = 15CM)</v>
          </cell>
          <cell r="E555">
            <v>2</v>
          </cell>
          <cell r="F555" t="str">
            <v>a</v>
          </cell>
          <cell r="G555">
            <v>94000</v>
          </cell>
          <cell r="H555">
            <v>188000</v>
          </cell>
        </row>
        <row r="556">
          <cell r="B556" t="str">
            <v>다.</v>
          </cell>
          <cell r="C556" t="str">
            <v>아스콘기층포설및다짐</v>
          </cell>
          <cell r="D556" t="str">
            <v>(T = 20Cm)</v>
          </cell>
          <cell r="E556">
            <v>548</v>
          </cell>
          <cell r="F556" t="str">
            <v>a</v>
          </cell>
          <cell r="G556">
            <v>114000</v>
          </cell>
          <cell r="H556">
            <v>62472000</v>
          </cell>
        </row>
        <row r="557">
          <cell r="B557" t="str">
            <v>5)</v>
          </cell>
          <cell r="C557" t="str">
            <v>택 코 팅</v>
          </cell>
          <cell r="H557">
            <v>0</v>
          </cell>
        </row>
        <row r="558">
          <cell r="B558" t="str">
            <v>가.</v>
          </cell>
          <cell r="C558" t="str">
            <v>택 코 팅</v>
          </cell>
          <cell r="D558" t="str">
            <v>(30ℓ/a)</v>
          </cell>
          <cell r="E558">
            <v>1098</v>
          </cell>
          <cell r="F558" t="str">
            <v>a</v>
          </cell>
          <cell r="G558">
            <v>18500</v>
          </cell>
          <cell r="H558">
            <v>20313000</v>
          </cell>
        </row>
        <row r="559">
          <cell r="B559" t="str">
            <v>나.</v>
          </cell>
          <cell r="C559" t="str">
            <v>택 코 팅</v>
          </cell>
          <cell r="D559" t="str">
            <v>(50ℓ/a)</v>
          </cell>
          <cell r="E559">
            <v>917</v>
          </cell>
          <cell r="F559" t="str">
            <v>a</v>
          </cell>
          <cell r="G559">
            <v>18000</v>
          </cell>
          <cell r="H559">
            <v>16506000</v>
          </cell>
        </row>
        <row r="560">
          <cell r="B560" t="str">
            <v>6)</v>
          </cell>
          <cell r="C560" t="str">
            <v>아스콘표층</v>
          </cell>
          <cell r="H560">
            <v>0</v>
          </cell>
        </row>
        <row r="561">
          <cell r="B561" t="str">
            <v>가.</v>
          </cell>
          <cell r="C561" t="str">
            <v>아스콘표층구입,운반</v>
          </cell>
          <cell r="E561">
            <v>25514</v>
          </cell>
          <cell r="F561" t="str">
            <v>TON</v>
          </cell>
          <cell r="G561">
            <v>24000</v>
          </cell>
          <cell r="H561">
            <v>612336000</v>
          </cell>
        </row>
        <row r="562">
          <cell r="B562" t="str">
            <v>나.</v>
          </cell>
          <cell r="C562" t="str">
            <v>아스콘표층포설및다짐</v>
          </cell>
          <cell r="D562" t="str">
            <v>(T=5Cm)</v>
          </cell>
          <cell r="E562">
            <v>281</v>
          </cell>
          <cell r="F562" t="str">
            <v>a</v>
          </cell>
          <cell r="G562">
            <v>42000</v>
          </cell>
          <cell r="H562">
            <v>11802000</v>
          </cell>
        </row>
        <row r="563">
          <cell r="B563" t="str">
            <v>다.</v>
          </cell>
          <cell r="C563" t="str">
            <v>아스콘표층포설및다짐</v>
          </cell>
          <cell r="D563" t="str">
            <v>(T=10Cm)</v>
          </cell>
          <cell r="E563">
            <v>637</v>
          </cell>
          <cell r="F563" t="str">
            <v>a</v>
          </cell>
          <cell r="G563">
            <v>84000</v>
          </cell>
          <cell r="H563">
            <v>53508000</v>
          </cell>
        </row>
        <row r="564">
          <cell r="B564" t="str">
            <v>라.</v>
          </cell>
          <cell r="C564" t="str">
            <v>아스콘표층포설및다짐</v>
          </cell>
          <cell r="D564" t="str">
            <v>(T=8mm,교면포장)</v>
          </cell>
          <cell r="E564">
            <v>375</v>
          </cell>
          <cell r="F564" t="str">
            <v>a</v>
          </cell>
          <cell r="G564">
            <v>84000</v>
          </cell>
          <cell r="H564">
            <v>31500000</v>
          </cell>
        </row>
        <row r="565">
          <cell r="B565" t="str">
            <v>7)</v>
          </cell>
          <cell r="C565" t="str">
            <v>린콘크리트기층</v>
          </cell>
          <cell r="H565">
            <v>0</v>
          </cell>
        </row>
        <row r="566">
          <cell r="B566" t="str">
            <v>가.</v>
          </cell>
          <cell r="C566" t="str">
            <v>린콘크리트 생산</v>
          </cell>
          <cell r="E566">
            <v>40483</v>
          </cell>
          <cell r="F566" t="str">
            <v>M3</v>
          </cell>
          <cell r="G566">
            <v>18500</v>
          </cell>
          <cell r="H566">
            <v>748935500</v>
          </cell>
        </row>
        <row r="567">
          <cell r="B567" t="str">
            <v>나.</v>
          </cell>
          <cell r="C567" t="str">
            <v>린콘크리트포설및다짐</v>
          </cell>
          <cell r="D567" t="str">
            <v>(기계포설 T=15CM)</v>
          </cell>
          <cell r="E567">
            <v>40483</v>
          </cell>
          <cell r="F567" t="str">
            <v>M3</v>
          </cell>
          <cell r="G567">
            <v>3400</v>
          </cell>
          <cell r="H567">
            <v>137642200</v>
          </cell>
        </row>
        <row r="568">
          <cell r="B568" t="str">
            <v>8)</v>
          </cell>
          <cell r="C568" t="str">
            <v>콘크리트 포장</v>
          </cell>
          <cell r="H568">
            <v>0</v>
          </cell>
        </row>
        <row r="569">
          <cell r="B569" t="str">
            <v>가.</v>
          </cell>
          <cell r="C569" t="str">
            <v>포장콘크리트생산운반</v>
          </cell>
          <cell r="D569" t="str">
            <v>(σbk=45KG/CM2)</v>
          </cell>
          <cell r="E569">
            <v>75388</v>
          </cell>
          <cell r="F569" t="str">
            <v>M3</v>
          </cell>
          <cell r="G569">
            <v>9000</v>
          </cell>
          <cell r="H569">
            <v>678492000</v>
          </cell>
        </row>
        <row r="570">
          <cell r="B570" t="str">
            <v>나.</v>
          </cell>
          <cell r="C570" t="str">
            <v>기계포설</v>
          </cell>
          <cell r="H570">
            <v>0</v>
          </cell>
        </row>
        <row r="571">
          <cell r="B571" t="str">
            <v>a.</v>
          </cell>
          <cell r="C571" t="str">
            <v>무근2차로포설</v>
          </cell>
          <cell r="D571" t="str">
            <v>(T=30cm)</v>
          </cell>
          <cell r="E571">
            <v>60401</v>
          </cell>
          <cell r="F571" t="str">
            <v>M3</v>
          </cell>
          <cell r="G571">
            <v>5400</v>
          </cell>
          <cell r="H571">
            <v>326165400</v>
          </cell>
        </row>
        <row r="572">
          <cell r="B572" t="str">
            <v>b.</v>
          </cell>
          <cell r="C572" t="str">
            <v>무근1차로포설</v>
          </cell>
          <cell r="D572" t="str">
            <v>(T=30cm)</v>
          </cell>
          <cell r="E572">
            <v>6861</v>
          </cell>
          <cell r="F572" t="str">
            <v>M3</v>
          </cell>
          <cell r="G572">
            <v>3100</v>
          </cell>
          <cell r="H572">
            <v>21269100</v>
          </cell>
        </row>
        <row r="573">
          <cell r="B573" t="str">
            <v>c.</v>
          </cell>
          <cell r="C573" t="str">
            <v>중분대기초콘크리트</v>
          </cell>
          <cell r="D573" t="str">
            <v>(T=15cm)</v>
          </cell>
          <cell r="E573">
            <v>1773</v>
          </cell>
          <cell r="F573" t="str">
            <v>M3</v>
          </cell>
          <cell r="G573">
            <v>26000</v>
          </cell>
          <cell r="H573">
            <v>46098000</v>
          </cell>
        </row>
        <row r="574">
          <cell r="B574" t="str">
            <v>다.</v>
          </cell>
          <cell r="C574" t="str">
            <v>인력포설</v>
          </cell>
          <cell r="H574">
            <v>0</v>
          </cell>
        </row>
        <row r="575">
          <cell r="B575" t="str">
            <v>a.</v>
          </cell>
          <cell r="C575" t="str">
            <v>교량접속및완충슬라브</v>
          </cell>
          <cell r="D575" t="str">
            <v>(T=40cm)</v>
          </cell>
          <cell r="E575">
            <v>3288</v>
          </cell>
          <cell r="F575" t="str">
            <v>M2</v>
          </cell>
          <cell r="G575">
            <v>10500</v>
          </cell>
          <cell r="H575">
            <v>34524000</v>
          </cell>
        </row>
        <row r="576">
          <cell r="B576" t="str">
            <v>b.</v>
          </cell>
          <cell r="C576" t="str">
            <v>연결로과적검문소포장</v>
          </cell>
          <cell r="D576" t="str">
            <v>(T=30cm)</v>
          </cell>
          <cell r="E576">
            <v>2458</v>
          </cell>
          <cell r="F576" t="str">
            <v>M3</v>
          </cell>
          <cell r="G576">
            <v>14000</v>
          </cell>
          <cell r="H576">
            <v>34412000</v>
          </cell>
        </row>
        <row r="577">
          <cell r="B577" t="str">
            <v>c.</v>
          </cell>
          <cell r="C577" t="str">
            <v>부체도로</v>
          </cell>
          <cell r="D577" t="str">
            <v>(T=20CM)</v>
          </cell>
          <cell r="E577">
            <v>524</v>
          </cell>
          <cell r="F577" t="str">
            <v>M3</v>
          </cell>
          <cell r="G577">
            <v>20000</v>
          </cell>
          <cell r="H577">
            <v>10480000</v>
          </cell>
        </row>
        <row r="578">
          <cell r="B578" t="str">
            <v>d.</v>
          </cell>
          <cell r="C578" t="str">
            <v>중분대기초콘크리트</v>
          </cell>
          <cell r="D578" t="str">
            <v>(T=15cm)</v>
          </cell>
          <cell r="E578">
            <v>83</v>
          </cell>
          <cell r="F578" t="str">
            <v>M3</v>
          </cell>
          <cell r="G578">
            <v>27000</v>
          </cell>
          <cell r="H578">
            <v>2241000</v>
          </cell>
        </row>
        <row r="579">
          <cell r="B579" t="str">
            <v>9)</v>
          </cell>
          <cell r="C579" t="str">
            <v>철근설치공</v>
          </cell>
          <cell r="H579">
            <v>0</v>
          </cell>
        </row>
        <row r="580">
          <cell r="B580" t="str">
            <v>가.</v>
          </cell>
          <cell r="C580" t="str">
            <v>철근가공조립</v>
          </cell>
          <cell r="D580" t="str">
            <v>(간단)</v>
          </cell>
          <cell r="E580">
            <v>45.405999999999999</v>
          </cell>
          <cell r="F580" t="str">
            <v>TON</v>
          </cell>
          <cell r="G580">
            <v>230000</v>
          </cell>
          <cell r="H580">
            <v>10443380</v>
          </cell>
        </row>
        <row r="581">
          <cell r="B581" t="str">
            <v>나.</v>
          </cell>
          <cell r="C581" t="str">
            <v>철근가공조립</v>
          </cell>
          <cell r="D581" t="str">
            <v>(보통)</v>
          </cell>
          <cell r="E581">
            <v>552.51700000000005</v>
          </cell>
          <cell r="F581" t="str">
            <v>TON</v>
          </cell>
          <cell r="G581">
            <v>310000</v>
          </cell>
          <cell r="H581">
            <v>171280270</v>
          </cell>
        </row>
        <row r="582">
          <cell r="B582" t="str">
            <v>다.</v>
          </cell>
          <cell r="C582" t="str">
            <v>와이어메쉬설치</v>
          </cell>
          <cell r="E582">
            <v>0.48799999999999999</v>
          </cell>
          <cell r="F582" t="str">
            <v>TON</v>
          </cell>
          <cell r="G582">
            <v>580000</v>
          </cell>
          <cell r="H582">
            <v>283040</v>
          </cell>
        </row>
        <row r="583">
          <cell r="B583" t="str">
            <v>라.</v>
          </cell>
          <cell r="C583" t="str">
            <v>스페이서설치</v>
          </cell>
          <cell r="E583">
            <v>11077</v>
          </cell>
          <cell r="F583" t="str">
            <v>M2</v>
          </cell>
          <cell r="G583">
            <v>650</v>
          </cell>
          <cell r="H583">
            <v>7200050</v>
          </cell>
        </row>
        <row r="584">
          <cell r="B584" t="str">
            <v>10)</v>
          </cell>
          <cell r="C584" t="str">
            <v>비닐깔기</v>
          </cell>
          <cell r="E584">
            <v>237850</v>
          </cell>
          <cell r="F584" t="str">
            <v>M2</v>
          </cell>
          <cell r="G584">
            <v>400</v>
          </cell>
          <cell r="H584">
            <v>95140000</v>
          </cell>
        </row>
        <row r="585">
          <cell r="B585" t="str">
            <v>11)</v>
          </cell>
          <cell r="C585" t="str">
            <v>합판거푸집</v>
          </cell>
          <cell r="D585" t="str">
            <v>(4회)</v>
          </cell>
          <cell r="E585">
            <v>1291</v>
          </cell>
          <cell r="F585" t="str">
            <v>M2</v>
          </cell>
          <cell r="G585">
            <v>14500</v>
          </cell>
          <cell r="H585">
            <v>18719500</v>
          </cell>
        </row>
        <row r="586">
          <cell r="B586" t="str">
            <v>12)</v>
          </cell>
          <cell r="C586" t="str">
            <v>줄눈설치공</v>
          </cell>
          <cell r="H586">
            <v>0</v>
          </cell>
        </row>
        <row r="587">
          <cell r="B587" t="str">
            <v>가.</v>
          </cell>
          <cell r="C587" t="str">
            <v>세로줄눈</v>
          </cell>
          <cell r="H587">
            <v>0</v>
          </cell>
        </row>
        <row r="588">
          <cell r="B588" t="str">
            <v>a.</v>
          </cell>
          <cell r="C588" t="str">
            <v>본선2차로동시포설용</v>
          </cell>
          <cell r="D588" t="str">
            <v>(세로줄눈 형식1-1)</v>
          </cell>
          <cell r="E588">
            <v>27285</v>
          </cell>
          <cell r="F588" t="str">
            <v>M</v>
          </cell>
          <cell r="G588">
            <v>2300</v>
          </cell>
          <cell r="H588">
            <v>62755500</v>
          </cell>
        </row>
        <row r="589">
          <cell r="B589" t="str">
            <v>b.</v>
          </cell>
          <cell r="C589" t="str">
            <v>중분대기초용</v>
          </cell>
          <cell r="D589" t="str">
            <v>(세로줄눈 형식1-4)</v>
          </cell>
          <cell r="E589">
            <v>24133</v>
          </cell>
          <cell r="F589" t="str">
            <v>M</v>
          </cell>
          <cell r="G589">
            <v>1600</v>
          </cell>
          <cell r="H589">
            <v>38612800</v>
          </cell>
        </row>
        <row r="590">
          <cell r="B590" t="str">
            <v>c.</v>
          </cell>
          <cell r="C590" t="str">
            <v>길어깨접속부용</v>
          </cell>
          <cell r="D590" t="str">
            <v>(세로줄눈,형식1-5)</v>
          </cell>
          <cell r="E590">
            <v>24646</v>
          </cell>
          <cell r="F590" t="str">
            <v>M</v>
          </cell>
          <cell r="G590">
            <v>1700</v>
          </cell>
          <cell r="H590">
            <v>41898200</v>
          </cell>
        </row>
        <row r="591">
          <cell r="B591" t="str">
            <v>나.</v>
          </cell>
          <cell r="C591" t="str">
            <v>가로수축줄눈</v>
          </cell>
          <cell r="H591">
            <v>0</v>
          </cell>
        </row>
        <row r="592">
          <cell r="B592" t="str">
            <v>a.</v>
          </cell>
          <cell r="C592" t="str">
            <v>본선2차로용</v>
          </cell>
          <cell r="D592" t="str">
            <v>(가로줄눈,형식2-1,2)</v>
          </cell>
          <cell r="E592">
            <v>36835</v>
          </cell>
          <cell r="F592" t="str">
            <v>M</v>
          </cell>
          <cell r="G592">
            <v>3900</v>
          </cell>
          <cell r="H592">
            <v>143656500</v>
          </cell>
        </row>
        <row r="593">
          <cell r="B593" t="str">
            <v>b.</v>
          </cell>
          <cell r="C593" t="str">
            <v>교량접속부2차로용</v>
          </cell>
          <cell r="D593" t="str">
            <v>(가로줄눈,형식2-3,4)</v>
          </cell>
          <cell r="E593">
            <v>437</v>
          </cell>
          <cell r="F593" t="str">
            <v>M</v>
          </cell>
          <cell r="G593">
            <v>4000</v>
          </cell>
          <cell r="H593">
            <v>1748000</v>
          </cell>
        </row>
        <row r="594">
          <cell r="B594" t="str">
            <v>c.</v>
          </cell>
          <cell r="C594" t="str">
            <v>중분대기초용</v>
          </cell>
          <cell r="D594" t="str">
            <v>(가로줄눈,형식2-5)</v>
          </cell>
          <cell r="E594">
            <v>2007</v>
          </cell>
          <cell r="F594" t="str">
            <v>M</v>
          </cell>
          <cell r="G594">
            <v>2400</v>
          </cell>
          <cell r="H594">
            <v>4816800</v>
          </cell>
        </row>
        <row r="595">
          <cell r="B595" t="str">
            <v>다.</v>
          </cell>
          <cell r="C595" t="str">
            <v>팽창줄눈</v>
          </cell>
          <cell r="H595">
            <v>0</v>
          </cell>
        </row>
        <row r="596">
          <cell r="B596" t="str">
            <v>a.</v>
          </cell>
          <cell r="C596" t="str">
            <v>본선2차로용</v>
          </cell>
          <cell r="D596" t="str">
            <v>(팽창줄눈,형식3-1,2)</v>
          </cell>
          <cell r="E596">
            <v>576</v>
          </cell>
          <cell r="F596" t="str">
            <v>M</v>
          </cell>
          <cell r="G596">
            <v>10000</v>
          </cell>
          <cell r="H596">
            <v>5760000</v>
          </cell>
        </row>
        <row r="597">
          <cell r="B597" t="str">
            <v>b.</v>
          </cell>
          <cell r="C597" t="str">
            <v>교량접속부2차로용</v>
          </cell>
          <cell r="D597" t="str">
            <v>(팽창줄눈,형식3-3,4)</v>
          </cell>
          <cell r="E597">
            <v>439</v>
          </cell>
          <cell r="F597" t="str">
            <v>M</v>
          </cell>
          <cell r="G597">
            <v>8500</v>
          </cell>
          <cell r="H597">
            <v>3731500</v>
          </cell>
        </row>
        <row r="598">
          <cell r="B598" t="str">
            <v>c.</v>
          </cell>
          <cell r="C598" t="str">
            <v>아스콘접속부2차로용</v>
          </cell>
          <cell r="D598" t="str">
            <v>(팽창줄눈,형식3-6,7)</v>
          </cell>
          <cell r="E598">
            <v>71</v>
          </cell>
          <cell r="F598" t="str">
            <v>M</v>
          </cell>
          <cell r="G598">
            <v>10000</v>
          </cell>
          <cell r="H598">
            <v>710000</v>
          </cell>
        </row>
        <row r="599">
          <cell r="B599" t="str">
            <v>d.</v>
          </cell>
          <cell r="C599" t="str">
            <v>중분대기초용</v>
          </cell>
          <cell r="D599" t="str">
            <v>(팽창줄눈,형식3-8)</v>
          </cell>
          <cell r="E599">
            <v>48</v>
          </cell>
          <cell r="F599" t="str">
            <v>M</v>
          </cell>
          <cell r="G599">
            <v>6000</v>
          </cell>
          <cell r="H599">
            <v>288000</v>
          </cell>
        </row>
        <row r="600">
          <cell r="B600" t="str">
            <v>e.</v>
          </cell>
          <cell r="C600" t="str">
            <v>스치로폴</v>
          </cell>
          <cell r="D600" t="str">
            <v>(T=10m/m)</v>
          </cell>
          <cell r="E600">
            <v>236</v>
          </cell>
          <cell r="F600" t="str">
            <v>M2</v>
          </cell>
          <cell r="G600">
            <v>950</v>
          </cell>
          <cell r="H600">
            <v>224200</v>
          </cell>
        </row>
        <row r="601">
          <cell r="B601" t="str">
            <v>f.</v>
          </cell>
          <cell r="C601" t="str">
            <v>스치로폴</v>
          </cell>
          <cell r="D601" t="str">
            <v>(T=20m/m)</v>
          </cell>
          <cell r="E601">
            <v>911</v>
          </cell>
          <cell r="F601" t="str">
            <v>M2</v>
          </cell>
          <cell r="G601">
            <v>1800</v>
          </cell>
          <cell r="H601">
            <v>1639800</v>
          </cell>
        </row>
        <row r="602">
          <cell r="B602" t="str">
            <v>g.</v>
          </cell>
          <cell r="C602" t="str">
            <v>부체도로용줄눈</v>
          </cell>
          <cell r="D602" t="str">
            <v>(판재 200×15)</v>
          </cell>
          <cell r="E602">
            <v>524</v>
          </cell>
          <cell r="F602" t="str">
            <v>M</v>
          </cell>
          <cell r="G602">
            <v>1800</v>
          </cell>
          <cell r="H602">
            <v>943200</v>
          </cell>
        </row>
        <row r="603">
          <cell r="B603" t="str">
            <v>13)</v>
          </cell>
          <cell r="C603" t="str">
            <v>콘크리트 포장면연마</v>
          </cell>
          <cell r="E603">
            <v>1</v>
          </cell>
          <cell r="F603" t="str">
            <v>M2</v>
          </cell>
          <cell r="G603">
            <v>175000000</v>
          </cell>
          <cell r="H603">
            <v>175000000</v>
          </cell>
        </row>
        <row r="604">
          <cell r="B604" t="str">
            <v>14)</v>
          </cell>
          <cell r="C604" t="str">
            <v>크라샤 설치 및 철거</v>
          </cell>
          <cell r="E604">
            <v>1</v>
          </cell>
          <cell r="F604" t="str">
            <v>식</v>
          </cell>
          <cell r="G604">
            <v>38000000</v>
          </cell>
          <cell r="H604">
            <v>38000000</v>
          </cell>
        </row>
        <row r="605">
          <cell r="B605" t="str">
            <v>15)</v>
          </cell>
          <cell r="C605" t="str">
            <v>배치플랜트</v>
          </cell>
          <cell r="H605">
            <v>0</v>
          </cell>
        </row>
        <row r="606">
          <cell r="B606" t="str">
            <v>가.</v>
          </cell>
          <cell r="C606" t="str">
            <v>배치플랜트 설치공</v>
          </cell>
          <cell r="D606" t="str">
            <v>(120m3/hr 1기)</v>
          </cell>
          <cell r="E606">
            <v>1</v>
          </cell>
          <cell r="F606" t="str">
            <v>식</v>
          </cell>
          <cell r="G606">
            <v>165000000</v>
          </cell>
          <cell r="H606">
            <v>165000000</v>
          </cell>
        </row>
        <row r="607">
          <cell r="B607" t="str">
            <v>나.</v>
          </cell>
          <cell r="C607" t="str">
            <v>배치플랜트 철거공</v>
          </cell>
          <cell r="D607" t="str">
            <v>(120m3/hr 1기)</v>
          </cell>
          <cell r="E607">
            <v>1</v>
          </cell>
          <cell r="F607" t="str">
            <v>식</v>
          </cell>
          <cell r="G607">
            <v>7900000</v>
          </cell>
          <cell r="H607">
            <v>7900000</v>
          </cell>
        </row>
        <row r="608">
          <cell r="B608" t="str">
            <v>16)</v>
          </cell>
          <cell r="C608" t="str">
            <v>콘크리트포장장비임대</v>
          </cell>
          <cell r="H608">
            <v>0</v>
          </cell>
        </row>
        <row r="609">
          <cell r="B609" t="str">
            <v>가.</v>
          </cell>
          <cell r="C609" t="str">
            <v>포장장비 임대료</v>
          </cell>
          <cell r="D609" t="str">
            <v>(1차선 포설장비)</v>
          </cell>
          <cell r="E609">
            <v>0.4</v>
          </cell>
          <cell r="F609" t="str">
            <v>개월</v>
          </cell>
          <cell r="G609">
            <v>20000000</v>
          </cell>
          <cell r="H609">
            <v>8000000</v>
          </cell>
        </row>
        <row r="610">
          <cell r="B610" t="str">
            <v>나.</v>
          </cell>
          <cell r="C610" t="str">
            <v>포장장비 임대료</v>
          </cell>
          <cell r="D610" t="str">
            <v>(2차선 포설장비)</v>
          </cell>
          <cell r="E610">
            <v>3.5</v>
          </cell>
          <cell r="F610" t="str">
            <v>개월</v>
          </cell>
          <cell r="G610">
            <v>32000000</v>
          </cell>
          <cell r="H610">
            <v>112000000</v>
          </cell>
        </row>
        <row r="611">
          <cell r="B611" t="str">
            <v>17)</v>
          </cell>
          <cell r="C611" t="str">
            <v>골재생산및운반</v>
          </cell>
          <cell r="H611">
            <v>0</v>
          </cell>
        </row>
        <row r="612">
          <cell r="B612" t="str">
            <v>가.</v>
          </cell>
          <cell r="C612" t="str">
            <v>모래운반</v>
          </cell>
          <cell r="D612" t="str">
            <v>(몰탈용)</v>
          </cell>
          <cell r="E612">
            <v>316</v>
          </cell>
          <cell r="F612" t="str">
            <v>M3</v>
          </cell>
          <cell r="G612">
            <v>10000</v>
          </cell>
          <cell r="H612">
            <v>3160000</v>
          </cell>
        </row>
        <row r="613">
          <cell r="B613" t="str">
            <v>나.</v>
          </cell>
          <cell r="C613" t="str">
            <v>모래운반</v>
          </cell>
          <cell r="D613" t="str">
            <v>(콘크리트용)</v>
          </cell>
          <cell r="E613">
            <v>148369</v>
          </cell>
          <cell r="F613" t="str">
            <v>M3</v>
          </cell>
          <cell r="G613">
            <v>9500</v>
          </cell>
          <cell r="H613">
            <v>1409505500</v>
          </cell>
        </row>
        <row r="614">
          <cell r="B614" t="str">
            <v>다.</v>
          </cell>
          <cell r="C614" t="str">
            <v>쇄석골재 생산</v>
          </cell>
          <cell r="D614" t="str">
            <v>(D=15M/M)</v>
          </cell>
          <cell r="E614">
            <v>4068</v>
          </cell>
          <cell r="F614" t="str">
            <v>TON</v>
          </cell>
          <cell r="G614">
            <v>9000</v>
          </cell>
          <cell r="H614">
            <v>36612000</v>
          </cell>
        </row>
        <row r="615">
          <cell r="B615" t="str">
            <v>라.</v>
          </cell>
          <cell r="C615" t="str">
            <v>쇄석골재 생산</v>
          </cell>
          <cell r="D615" t="str">
            <v>(D=19M/M)</v>
          </cell>
          <cell r="E615">
            <v>8851</v>
          </cell>
          <cell r="F615" t="str">
            <v>TON</v>
          </cell>
          <cell r="G615">
            <v>9000</v>
          </cell>
          <cell r="H615">
            <v>79659000</v>
          </cell>
        </row>
        <row r="616">
          <cell r="B616" t="str">
            <v>마.</v>
          </cell>
          <cell r="C616" t="str">
            <v>쇄석골재 생산</v>
          </cell>
          <cell r="D616" t="str">
            <v>(D=25M/M)</v>
          </cell>
          <cell r="E616">
            <v>9509</v>
          </cell>
          <cell r="F616" t="str">
            <v>TON</v>
          </cell>
          <cell r="G616">
            <v>8000</v>
          </cell>
          <cell r="H616">
            <v>76072000</v>
          </cell>
        </row>
        <row r="617">
          <cell r="B617" t="str">
            <v>바.</v>
          </cell>
          <cell r="C617" t="str">
            <v>쇄석골재 생산</v>
          </cell>
          <cell r="D617" t="str">
            <v>(D=32M/M)</v>
          </cell>
          <cell r="E617">
            <v>98757</v>
          </cell>
          <cell r="F617" t="str">
            <v>TON</v>
          </cell>
          <cell r="G617">
            <v>7300</v>
          </cell>
          <cell r="H617">
            <v>720926100</v>
          </cell>
        </row>
        <row r="618">
          <cell r="B618" t="str">
            <v>사.</v>
          </cell>
          <cell r="C618" t="str">
            <v>쇄석골재 생산</v>
          </cell>
          <cell r="D618" t="str">
            <v>(D=40M/M)</v>
          </cell>
          <cell r="E618">
            <v>35506</v>
          </cell>
          <cell r="F618" t="str">
            <v>TON</v>
          </cell>
          <cell r="G618">
            <v>7000</v>
          </cell>
          <cell r="H618">
            <v>248542000</v>
          </cell>
        </row>
        <row r="619">
          <cell r="B619" t="str">
            <v>아.</v>
          </cell>
          <cell r="C619" t="str">
            <v>보조기층생산</v>
          </cell>
          <cell r="D619" t="str">
            <v>(현장암유용)</v>
          </cell>
          <cell r="E619">
            <v>22478</v>
          </cell>
          <cell r="F619" t="str">
            <v>M3</v>
          </cell>
          <cell r="G619">
            <v>12000</v>
          </cell>
          <cell r="H619">
            <v>269736000</v>
          </cell>
        </row>
        <row r="620">
          <cell r="B620" t="str">
            <v>자.</v>
          </cell>
          <cell r="C620" t="str">
            <v>선택층생산</v>
          </cell>
          <cell r="D620" t="str">
            <v>(현장암유용)</v>
          </cell>
          <cell r="E620">
            <v>90717</v>
          </cell>
          <cell r="F620" t="str">
            <v>M3</v>
          </cell>
          <cell r="G620">
            <v>10400</v>
          </cell>
          <cell r="H620">
            <v>943456800</v>
          </cell>
        </row>
        <row r="621">
          <cell r="B621" t="str">
            <v>6.</v>
          </cell>
          <cell r="C621" t="str">
            <v>안전시설공</v>
          </cell>
          <cell r="H621">
            <v>1808475120</v>
          </cell>
        </row>
        <row r="622">
          <cell r="B622" t="str">
            <v>1)</v>
          </cell>
          <cell r="C622" t="str">
            <v>차선도색</v>
          </cell>
          <cell r="H622">
            <v>0</v>
          </cell>
        </row>
        <row r="623">
          <cell r="B623" t="str">
            <v>가.</v>
          </cell>
          <cell r="C623" t="str">
            <v>차선도색</v>
          </cell>
          <cell r="D623" t="str">
            <v>(백색)</v>
          </cell>
          <cell r="E623">
            <v>10349</v>
          </cell>
          <cell r="F623" t="str">
            <v>M2</v>
          </cell>
          <cell r="G623">
            <v>3000</v>
          </cell>
          <cell r="H623">
            <v>31047000</v>
          </cell>
        </row>
        <row r="624">
          <cell r="B624" t="str">
            <v>나.</v>
          </cell>
          <cell r="C624" t="str">
            <v>차선도색</v>
          </cell>
          <cell r="D624" t="str">
            <v>(황색)</v>
          </cell>
          <cell r="E624">
            <v>5423</v>
          </cell>
          <cell r="F624" t="str">
            <v>M2</v>
          </cell>
          <cell r="G624">
            <v>3800</v>
          </cell>
          <cell r="H624">
            <v>20607400</v>
          </cell>
        </row>
        <row r="625">
          <cell r="B625" t="str">
            <v>2)</v>
          </cell>
          <cell r="C625" t="str">
            <v>도로표지판</v>
          </cell>
          <cell r="H625">
            <v>0</v>
          </cell>
        </row>
        <row r="626">
          <cell r="B626" t="str">
            <v>가.</v>
          </cell>
          <cell r="C626" t="str">
            <v>토공</v>
          </cell>
          <cell r="H626">
            <v>0</v>
          </cell>
        </row>
        <row r="627">
          <cell r="B627" t="str">
            <v>a.</v>
          </cell>
          <cell r="C627" t="str">
            <v>구조물터파기</v>
          </cell>
          <cell r="D627" t="str">
            <v>(육상토사0∼4m)</v>
          </cell>
          <cell r="E627">
            <v>2131</v>
          </cell>
          <cell r="F627" t="str">
            <v>M3</v>
          </cell>
          <cell r="G627">
            <v>3200</v>
          </cell>
          <cell r="H627">
            <v>6819200</v>
          </cell>
        </row>
        <row r="628">
          <cell r="B628" t="str">
            <v>b.</v>
          </cell>
          <cell r="C628" t="str">
            <v>구조물터파기</v>
          </cell>
          <cell r="D628" t="str">
            <v>(육상발파암0∼4m)</v>
          </cell>
          <cell r="E628">
            <v>573</v>
          </cell>
          <cell r="F628" t="str">
            <v>M3</v>
          </cell>
          <cell r="G628">
            <v>100000</v>
          </cell>
          <cell r="H628">
            <v>57300000</v>
          </cell>
        </row>
        <row r="629">
          <cell r="B629" t="str">
            <v>c.</v>
          </cell>
          <cell r="C629" t="str">
            <v>되메우기및다짐</v>
          </cell>
          <cell r="E629">
            <v>2181</v>
          </cell>
          <cell r="F629" t="str">
            <v>M3</v>
          </cell>
          <cell r="G629">
            <v>7000</v>
          </cell>
          <cell r="H629">
            <v>15267000</v>
          </cell>
        </row>
        <row r="630">
          <cell r="B630" t="str">
            <v>나.</v>
          </cell>
          <cell r="C630" t="str">
            <v>콘크리트타설</v>
          </cell>
          <cell r="D630" t="str">
            <v>(소형,진동기포함)</v>
          </cell>
          <cell r="E630">
            <v>466</v>
          </cell>
          <cell r="F630" t="str">
            <v>M3</v>
          </cell>
          <cell r="G630">
            <v>28000</v>
          </cell>
          <cell r="H630">
            <v>13048000</v>
          </cell>
        </row>
        <row r="631">
          <cell r="B631" t="str">
            <v>다.</v>
          </cell>
          <cell r="C631" t="str">
            <v>콘크리트타설</v>
          </cell>
          <cell r="D631" t="str">
            <v>(소형,진동기제외)</v>
          </cell>
          <cell r="E631">
            <v>57</v>
          </cell>
          <cell r="F631" t="str">
            <v>M3</v>
          </cell>
          <cell r="G631">
            <v>28000</v>
          </cell>
          <cell r="H631">
            <v>1596000</v>
          </cell>
        </row>
        <row r="632">
          <cell r="B632" t="str">
            <v>라.</v>
          </cell>
          <cell r="C632" t="str">
            <v>합판거푸집</v>
          </cell>
          <cell r="D632" t="str">
            <v>(6회)</v>
          </cell>
          <cell r="E632">
            <v>1175</v>
          </cell>
          <cell r="F632" t="str">
            <v>M2</v>
          </cell>
          <cell r="G632">
            <v>11900</v>
          </cell>
          <cell r="H632">
            <v>13982500</v>
          </cell>
        </row>
        <row r="633">
          <cell r="B633" t="str">
            <v>마.</v>
          </cell>
          <cell r="C633" t="str">
            <v>철근가공조립</v>
          </cell>
          <cell r="D633" t="str">
            <v>(간단)</v>
          </cell>
          <cell r="E633">
            <v>31.724</v>
          </cell>
          <cell r="F633" t="str">
            <v>TON</v>
          </cell>
          <cell r="G633">
            <v>230000</v>
          </cell>
          <cell r="H633">
            <v>7296520</v>
          </cell>
        </row>
        <row r="634">
          <cell r="B634" t="str">
            <v>바.</v>
          </cell>
          <cell r="C634" t="str">
            <v>표지판</v>
          </cell>
          <cell r="H634">
            <v>0</v>
          </cell>
        </row>
        <row r="635">
          <cell r="B635" t="str">
            <v>a.</v>
          </cell>
          <cell r="C635" t="str">
            <v>삼각표지판</v>
          </cell>
          <cell r="D635" t="str">
            <v>(ㅿ120Cm)</v>
          </cell>
          <cell r="E635">
            <v>53</v>
          </cell>
          <cell r="F635" t="str">
            <v>EA</v>
          </cell>
          <cell r="G635">
            <v>94000</v>
          </cell>
          <cell r="H635">
            <v>4982000</v>
          </cell>
        </row>
        <row r="636">
          <cell r="B636" t="str">
            <v>b.</v>
          </cell>
          <cell r="C636" t="str">
            <v>원형표지판</v>
          </cell>
          <cell r="D636" t="str">
            <v>(D900)</v>
          </cell>
          <cell r="E636">
            <v>11</v>
          </cell>
          <cell r="F636" t="str">
            <v>EA</v>
          </cell>
          <cell r="G636">
            <v>94000</v>
          </cell>
          <cell r="H636">
            <v>1034000</v>
          </cell>
        </row>
        <row r="637">
          <cell r="B637" t="str">
            <v>c.</v>
          </cell>
          <cell r="C637" t="str">
            <v>이중삼각표지판</v>
          </cell>
          <cell r="D637" t="str">
            <v>(1.2×1.039,2EA)</v>
          </cell>
          <cell r="E637">
            <v>15</v>
          </cell>
          <cell r="F637" t="str">
            <v>EA</v>
          </cell>
          <cell r="G637">
            <v>110000</v>
          </cell>
          <cell r="H637">
            <v>1650000</v>
          </cell>
        </row>
        <row r="638">
          <cell r="B638" t="str">
            <v>d.</v>
          </cell>
          <cell r="C638" t="str">
            <v>삼각및원형표지판</v>
          </cell>
          <cell r="D638" t="str">
            <v>(1.2×1.039+D900)</v>
          </cell>
          <cell r="E638">
            <v>6</v>
          </cell>
          <cell r="F638" t="str">
            <v>EA</v>
          </cell>
          <cell r="G638">
            <v>110000</v>
          </cell>
          <cell r="H638">
            <v>660000</v>
          </cell>
        </row>
        <row r="639">
          <cell r="B639" t="str">
            <v>e.</v>
          </cell>
          <cell r="C639" t="str">
            <v>삼각및소형사각표지판</v>
          </cell>
          <cell r="D639" t="str">
            <v>(0.9+0.9×0.45)</v>
          </cell>
          <cell r="E639">
            <v>12</v>
          </cell>
          <cell r="F639" t="str">
            <v>EA</v>
          </cell>
          <cell r="G639">
            <v>110000</v>
          </cell>
          <cell r="H639">
            <v>1320000</v>
          </cell>
        </row>
        <row r="640">
          <cell r="B640" t="str">
            <v>f.</v>
          </cell>
          <cell r="C640" t="str">
            <v>돌아가는 길</v>
          </cell>
          <cell r="D640" t="str">
            <v>(1.66×0.85)</v>
          </cell>
          <cell r="E640">
            <v>1</v>
          </cell>
          <cell r="F640" t="str">
            <v>EA</v>
          </cell>
          <cell r="G640">
            <v>232000</v>
          </cell>
          <cell r="H640">
            <v>232000</v>
          </cell>
        </row>
        <row r="641">
          <cell r="B641" t="str">
            <v>g.</v>
          </cell>
          <cell r="C641" t="str">
            <v>과적단속,중량초과</v>
          </cell>
          <cell r="D641" t="str">
            <v>(0.7×1.0)</v>
          </cell>
          <cell r="E641">
            <v>4</v>
          </cell>
          <cell r="F641" t="str">
            <v>EA</v>
          </cell>
          <cell r="G641">
            <v>140000</v>
          </cell>
          <cell r="H641">
            <v>560000</v>
          </cell>
        </row>
        <row r="642">
          <cell r="B642" t="str">
            <v>h.</v>
          </cell>
          <cell r="C642" t="str">
            <v>면,읍계표지판</v>
          </cell>
          <cell r="D642" t="str">
            <v>(1.4×0.7)</v>
          </cell>
          <cell r="E642">
            <v>1</v>
          </cell>
          <cell r="F642" t="str">
            <v>EA</v>
          </cell>
          <cell r="G642">
            <v>290000</v>
          </cell>
          <cell r="H642">
            <v>290000</v>
          </cell>
        </row>
        <row r="643">
          <cell r="B643" t="str">
            <v>i.</v>
          </cell>
          <cell r="C643" t="str">
            <v>시,군경계표시</v>
          </cell>
          <cell r="D643" t="str">
            <v>(1.75×0.9,0.35)</v>
          </cell>
          <cell r="E643">
            <v>1</v>
          </cell>
          <cell r="F643" t="str">
            <v>EA</v>
          </cell>
          <cell r="G643">
            <v>730000</v>
          </cell>
          <cell r="H643">
            <v>730000</v>
          </cell>
        </row>
        <row r="644">
          <cell r="B644" t="str">
            <v>j.</v>
          </cell>
          <cell r="C644" t="str">
            <v>오르막차선표지판</v>
          </cell>
          <cell r="D644" t="str">
            <v>(2.4×0.95)</v>
          </cell>
          <cell r="E644">
            <v>4</v>
          </cell>
          <cell r="F644" t="str">
            <v>EA</v>
          </cell>
          <cell r="G644">
            <v>562000</v>
          </cell>
          <cell r="H644">
            <v>2248000</v>
          </cell>
        </row>
        <row r="645">
          <cell r="B645" t="str">
            <v>k.</v>
          </cell>
          <cell r="C645" t="str">
            <v>이정표지</v>
          </cell>
          <cell r="D645" t="str">
            <v>(지명둘,2.35×1.6)</v>
          </cell>
          <cell r="E645">
            <v>7</v>
          </cell>
          <cell r="F645" t="str">
            <v>EA</v>
          </cell>
          <cell r="G645">
            <v>720000</v>
          </cell>
          <cell r="H645">
            <v>5040000</v>
          </cell>
        </row>
        <row r="646">
          <cell r="B646" t="str">
            <v>l.</v>
          </cell>
          <cell r="C646" t="str">
            <v>눈비올때, 이상기후시</v>
          </cell>
          <cell r="D646" t="str">
            <v>(2.6×1.45)</v>
          </cell>
          <cell r="E646">
            <v>4</v>
          </cell>
          <cell r="F646" t="str">
            <v>EA</v>
          </cell>
          <cell r="G646">
            <v>750000</v>
          </cell>
          <cell r="H646">
            <v>3000000</v>
          </cell>
        </row>
        <row r="647">
          <cell r="B647" t="str">
            <v>m.</v>
          </cell>
          <cell r="C647" t="str">
            <v>터널예고표시</v>
          </cell>
          <cell r="D647" t="str">
            <v>(3.4×2.25,3.5×0.9)</v>
          </cell>
          <cell r="E647">
            <v>2</v>
          </cell>
          <cell r="F647" t="str">
            <v>EA</v>
          </cell>
          <cell r="G647">
            <v>1520000</v>
          </cell>
          <cell r="H647">
            <v>3040000</v>
          </cell>
        </row>
        <row r="648">
          <cell r="B648" t="str">
            <v>n.</v>
          </cell>
          <cell r="C648" t="str">
            <v>오르막차선</v>
          </cell>
          <cell r="D648" t="str">
            <v>(내민식,2.4x0.95)</v>
          </cell>
          <cell r="E648">
            <v>2</v>
          </cell>
          <cell r="F648" t="str">
            <v>EA</v>
          </cell>
          <cell r="G648">
            <v>1290000</v>
          </cell>
          <cell r="H648">
            <v>2580000</v>
          </cell>
        </row>
        <row r="649">
          <cell r="B649" t="str">
            <v>o.</v>
          </cell>
          <cell r="C649" t="str">
            <v>운행제한과적검문소</v>
          </cell>
          <cell r="D649" t="str">
            <v>(2.4x1.45,내민식)</v>
          </cell>
          <cell r="E649">
            <v>6</v>
          </cell>
          <cell r="F649" t="str">
            <v>EA</v>
          </cell>
          <cell r="G649">
            <v>1400000</v>
          </cell>
          <cell r="H649">
            <v>8400000</v>
          </cell>
        </row>
        <row r="650">
          <cell r="B650" t="str">
            <v>p.</v>
          </cell>
          <cell r="C650" t="str">
            <v>과적차량차선유도표지</v>
          </cell>
          <cell r="D650" t="str">
            <v>(2.4x1.45x2EA내민식)</v>
          </cell>
          <cell r="E650">
            <v>2</v>
          </cell>
          <cell r="F650" t="str">
            <v>EA</v>
          </cell>
          <cell r="G650">
            <v>1400000</v>
          </cell>
          <cell r="H650">
            <v>2800000</v>
          </cell>
        </row>
        <row r="651">
          <cell r="B651" t="str">
            <v>q.</v>
          </cell>
          <cell r="C651" t="str">
            <v>3방향예고표지</v>
          </cell>
          <cell r="D651" t="str">
            <v>(3.85x1.9,내민식)</v>
          </cell>
          <cell r="E651">
            <v>6</v>
          </cell>
          <cell r="F651" t="str">
            <v>EA</v>
          </cell>
          <cell r="G651">
            <v>1700000</v>
          </cell>
          <cell r="H651">
            <v>10200000</v>
          </cell>
        </row>
        <row r="652">
          <cell r="B652" t="str">
            <v>r.</v>
          </cell>
          <cell r="C652" t="str">
            <v>2방향표지판</v>
          </cell>
          <cell r="D652" t="str">
            <v>(2.5x1.75,내민식)</v>
          </cell>
          <cell r="E652">
            <v>22</v>
          </cell>
          <cell r="F652" t="str">
            <v>EA</v>
          </cell>
          <cell r="G652">
            <v>1500000</v>
          </cell>
          <cell r="H652">
            <v>33000000</v>
          </cell>
        </row>
        <row r="653">
          <cell r="B653" t="str">
            <v>s.</v>
          </cell>
          <cell r="C653" t="str">
            <v>2방향표지판</v>
          </cell>
          <cell r="D653" t="str">
            <v>(2.5x1.75,내민식)</v>
          </cell>
          <cell r="E653">
            <v>6</v>
          </cell>
          <cell r="F653" t="str">
            <v>EA</v>
          </cell>
          <cell r="G653">
            <v>1500000</v>
          </cell>
          <cell r="H653">
            <v>9000000</v>
          </cell>
        </row>
        <row r="654">
          <cell r="B654" t="str">
            <v>3)</v>
          </cell>
          <cell r="C654" t="str">
            <v>가드레일</v>
          </cell>
          <cell r="H654">
            <v>0</v>
          </cell>
        </row>
        <row r="655">
          <cell r="B655" t="str">
            <v>가.</v>
          </cell>
          <cell r="C655" t="str">
            <v>표준 레일</v>
          </cell>
          <cell r="E655">
            <v>5526</v>
          </cell>
          <cell r="F655" t="str">
            <v>EA</v>
          </cell>
          <cell r="G655">
            <v>55000</v>
          </cell>
          <cell r="H655">
            <v>303930000</v>
          </cell>
        </row>
        <row r="656">
          <cell r="B656" t="str">
            <v>나.</v>
          </cell>
          <cell r="C656" t="str">
            <v>단부 레일</v>
          </cell>
          <cell r="E656">
            <v>141</v>
          </cell>
          <cell r="F656" t="str">
            <v>EA</v>
          </cell>
          <cell r="G656">
            <v>20000</v>
          </cell>
          <cell r="H656">
            <v>2820000</v>
          </cell>
        </row>
        <row r="657">
          <cell r="B657" t="str">
            <v>다.</v>
          </cell>
          <cell r="C657" t="str">
            <v>레일포스트</v>
          </cell>
          <cell r="D657" t="str">
            <v>(L=2.2m)</v>
          </cell>
          <cell r="E657">
            <v>5572</v>
          </cell>
          <cell r="F657" t="str">
            <v>EA</v>
          </cell>
          <cell r="G657">
            <v>37000</v>
          </cell>
          <cell r="H657">
            <v>206164000</v>
          </cell>
        </row>
        <row r="658">
          <cell r="B658" t="str">
            <v>라.</v>
          </cell>
          <cell r="C658" t="str">
            <v>단부콘크리트</v>
          </cell>
          <cell r="E658">
            <v>49</v>
          </cell>
          <cell r="F658" t="str">
            <v>EA</v>
          </cell>
          <cell r="G658">
            <v>45000</v>
          </cell>
          <cell r="H658">
            <v>2205000</v>
          </cell>
        </row>
        <row r="659">
          <cell r="B659" t="str">
            <v>4)</v>
          </cell>
          <cell r="C659" t="str">
            <v>데리네이타</v>
          </cell>
          <cell r="H659">
            <v>0</v>
          </cell>
        </row>
        <row r="660">
          <cell r="B660" t="str">
            <v>가.</v>
          </cell>
          <cell r="C660" t="str">
            <v>데리네이타</v>
          </cell>
          <cell r="D660" t="str">
            <v>(중분대구체용)</v>
          </cell>
          <cell r="E660">
            <v>344</v>
          </cell>
          <cell r="F660" t="str">
            <v>EA</v>
          </cell>
          <cell r="G660">
            <v>15000</v>
          </cell>
          <cell r="H660">
            <v>5160000</v>
          </cell>
        </row>
        <row r="661">
          <cell r="B661" t="str">
            <v>나.</v>
          </cell>
          <cell r="C661" t="str">
            <v>데리네이타</v>
          </cell>
          <cell r="D661" t="str">
            <v>(중분대단부용)</v>
          </cell>
          <cell r="E661">
            <v>9</v>
          </cell>
          <cell r="F661" t="str">
            <v>EA</v>
          </cell>
          <cell r="G661">
            <v>16000</v>
          </cell>
          <cell r="H661">
            <v>144000</v>
          </cell>
        </row>
        <row r="662">
          <cell r="B662" t="str">
            <v>다.</v>
          </cell>
          <cell r="C662" t="str">
            <v>데리네이터</v>
          </cell>
          <cell r="D662" t="str">
            <v>(가드레일용)</v>
          </cell>
          <cell r="E662">
            <v>679</v>
          </cell>
          <cell r="F662" t="str">
            <v>EA</v>
          </cell>
          <cell r="G662">
            <v>20000</v>
          </cell>
          <cell r="H662">
            <v>13580000</v>
          </cell>
        </row>
        <row r="663">
          <cell r="B663" t="str">
            <v>라.</v>
          </cell>
          <cell r="C663" t="str">
            <v>데리네이터</v>
          </cell>
          <cell r="D663" t="str">
            <v>(교량용)</v>
          </cell>
          <cell r="E663">
            <v>75</v>
          </cell>
          <cell r="F663" t="str">
            <v>EA</v>
          </cell>
          <cell r="G663">
            <v>21000</v>
          </cell>
          <cell r="H663">
            <v>1575000</v>
          </cell>
        </row>
        <row r="664">
          <cell r="B664" t="str">
            <v>마.</v>
          </cell>
          <cell r="C664" t="str">
            <v>데리네이터</v>
          </cell>
          <cell r="D664" t="str">
            <v>(옹벽용)</v>
          </cell>
          <cell r="E664">
            <v>90</v>
          </cell>
          <cell r="F664" t="str">
            <v>EA</v>
          </cell>
          <cell r="G664">
            <v>21000</v>
          </cell>
          <cell r="H664">
            <v>1890000</v>
          </cell>
        </row>
        <row r="665">
          <cell r="B665" t="str">
            <v>바.</v>
          </cell>
          <cell r="C665" t="str">
            <v>데리네이타</v>
          </cell>
          <cell r="D665" t="str">
            <v>(토공용가이드포스트)</v>
          </cell>
          <cell r="E665">
            <v>386</v>
          </cell>
          <cell r="F665" t="str">
            <v>EA</v>
          </cell>
          <cell r="G665">
            <v>21000</v>
          </cell>
          <cell r="H665">
            <v>8106000</v>
          </cell>
        </row>
        <row r="666">
          <cell r="B666" t="str">
            <v>사.</v>
          </cell>
          <cell r="C666" t="str">
            <v>소분리대반사판</v>
          </cell>
          <cell r="E666">
            <v>6</v>
          </cell>
          <cell r="F666" t="str">
            <v>EA</v>
          </cell>
          <cell r="G666">
            <v>168000</v>
          </cell>
          <cell r="H666">
            <v>1008000</v>
          </cell>
        </row>
        <row r="667">
          <cell r="B667" t="str">
            <v>아.</v>
          </cell>
          <cell r="C667" t="str">
            <v>갈매기표지판</v>
          </cell>
          <cell r="D667" t="str">
            <v>(양면)</v>
          </cell>
          <cell r="E667">
            <v>64</v>
          </cell>
          <cell r="F667" t="str">
            <v>EA</v>
          </cell>
          <cell r="G667">
            <v>181000</v>
          </cell>
          <cell r="H667">
            <v>11584000</v>
          </cell>
        </row>
        <row r="668">
          <cell r="B668" t="str">
            <v>자.</v>
          </cell>
          <cell r="C668" t="str">
            <v>갈매기표지판</v>
          </cell>
          <cell r="D668" t="str">
            <v>(단면)</v>
          </cell>
          <cell r="E668">
            <v>63</v>
          </cell>
          <cell r="F668" t="str">
            <v>EA</v>
          </cell>
          <cell r="G668">
            <v>128000</v>
          </cell>
          <cell r="H668">
            <v>8064000</v>
          </cell>
        </row>
        <row r="669">
          <cell r="B669" t="str">
            <v>카.</v>
          </cell>
          <cell r="C669" t="str">
            <v>도로표지병</v>
          </cell>
          <cell r="E669">
            <v>1105</v>
          </cell>
          <cell r="F669" t="str">
            <v>EA</v>
          </cell>
          <cell r="G669">
            <v>18000</v>
          </cell>
          <cell r="H669">
            <v>19890000</v>
          </cell>
        </row>
        <row r="670">
          <cell r="B670" t="str">
            <v>5)</v>
          </cell>
          <cell r="C670" t="str">
            <v>중앙분리대</v>
          </cell>
          <cell r="H670">
            <v>0</v>
          </cell>
        </row>
        <row r="671">
          <cell r="B671" t="str">
            <v>가.</v>
          </cell>
          <cell r="C671" t="str">
            <v>중앙분리대</v>
          </cell>
          <cell r="E671">
            <v>11679</v>
          </cell>
          <cell r="F671" t="str">
            <v>M</v>
          </cell>
          <cell r="G671">
            <v>5500</v>
          </cell>
          <cell r="H671">
            <v>64234500</v>
          </cell>
        </row>
        <row r="672">
          <cell r="B672" t="str">
            <v>나.</v>
          </cell>
          <cell r="C672" t="str">
            <v>중앙분리대</v>
          </cell>
          <cell r="D672" t="str">
            <v>(단부)</v>
          </cell>
          <cell r="E672">
            <v>9</v>
          </cell>
          <cell r="F672" t="str">
            <v>개소</v>
          </cell>
          <cell r="G672">
            <v>16000</v>
          </cell>
          <cell r="H672">
            <v>144000</v>
          </cell>
        </row>
        <row r="673">
          <cell r="B673" t="str">
            <v>다.</v>
          </cell>
          <cell r="C673" t="str">
            <v>중앙분리대</v>
          </cell>
          <cell r="D673" t="str">
            <v>(개구부)</v>
          </cell>
          <cell r="E673">
            <v>9</v>
          </cell>
          <cell r="F673" t="str">
            <v>개소</v>
          </cell>
          <cell r="G673">
            <v>28000</v>
          </cell>
          <cell r="H673">
            <v>252000</v>
          </cell>
        </row>
        <row r="674">
          <cell r="B674" t="str">
            <v>라.</v>
          </cell>
          <cell r="C674" t="str">
            <v>중앙분리대</v>
          </cell>
          <cell r="D674" t="str">
            <v>(조인트 마감처리)</v>
          </cell>
          <cell r="E674">
            <v>375</v>
          </cell>
          <cell r="F674" t="str">
            <v>EA</v>
          </cell>
          <cell r="G674">
            <v>1000</v>
          </cell>
          <cell r="H674">
            <v>375000</v>
          </cell>
        </row>
        <row r="675">
          <cell r="B675" t="str">
            <v>마.</v>
          </cell>
          <cell r="C675" t="str">
            <v>중앙분리대</v>
          </cell>
          <cell r="D675" t="str">
            <v>(램프토공용)</v>
          </cell>
          <cell r="E675">
            <v>406</v>
          </cell>
          <cell r="F675" t="str">
            <v>M</v>
          </cell>
          <cell r="G675">
            <v>3000</v>
          </cell>
          <cell r="H675">
            <v>1218000</v>
          </cell>
        </row>
        <row r="676">
          <cell r="B676" t="str">
            <v>바.</v>
          </cell>
          <cell r="C676" t="str">
            <v>중앙분리대차광망</v>
          </cell>
          <cell r="E676">
            <v>3358</v>
          </cell>
          <cell r="F676" t="str">
            <v>M</v>
          </cell>
          <cell r="G676">
            <v>22000</v>
          </cell>
          <cell r="H676">
            <v>73876000</v>
          </cell>
        </row>
        <row r="677">
          <cell r="B677" t="str">
            <v>6)</v>
          </cell>
          <cell r="C677" t="str">
            <v>낙석방지공</v>
          </cell>
          <cell r="H677">
            <v>0</v>
          </cell>
        </row>
        <row r="678">
          <cell r="B678" t="str">
            <v>가.</v>
          </cell>
          <cell r="C678" t="str">
            <v>낙석방책</v>
          </cell>
          <cell r="D678" t="str">
            <v>(표준구간)</v>
          </cell>
          <cell r="E678">
            <v>2290</v>
          </cell>
          <cell r="F678" t="str">
            <v>M</v>
          </cell>
          <cell r="G678">
            <v>53000</v>
          </cell>
          <cell r="H678">
            <v>121370000</v>
          </cell>
        </row>
        <row r="679">
          <cell r="B679" t="str">
            <v>나.</v>
          </cell>
          <cell r="C679" t="str">
            <v>낙석방책</v>
          </cell>
          <cell r="D679" t="str">
            <v>(단부)</v>
          </cell>
          <cell r="E679">
            <v>58</v>
          </cell>
          <cell r="F679" t="str">
            <v>EA</v>
          </cell>
          <cell r="G679">
            <v>130000</v>
          </cell>
          <cell r="H679">
            <v>7540000</v>
          </cell>
        </row>
        <row r="680">
          <cell r="B680" t="str">
            <v>다.</v>
          </cell>
          <cell r="C680" t="str">
            <v>낙석방지망</v>
          </cell>
          <cell r="E680">
            <v>35840</v>
          </cell>
          <cell r="F680" t="str">
            <v>M2</v>
          </cell>
          <cell r="G680">
            <v>18000</v>
          </cell>
          <cell r="H680">
            <v>645120000</v>
          </cell>
        </row>
        <row r="681">
          <cell r="B681" t="str">
            <v>8)</v>
          </cell>
          <cell r="C681" t="str">
            <v>미끄럼방지시설</v>
          </cell>
          <cell r="E681">
            <v>1578</v>
          </cell>
          <cell r="F681" t="str">
            <v>M2</v>
          </cell>
          <cell r="G681">
            <v>32000</v>
          </cell>
          <cell r="H681">
            <v>50496000</v>
          </cell>
        </row>
        <row r="682">
          <cell r="B682" t="str">
            <v>7.</v>
          </cell>
          <cell r="C682" t="str">
            <v>부대공</v>
          </cell>
          <cell r="H682">
            <v>9616005090</v>
          </cell>
        </row>
        <row r="683">
          <cell r="B683" t="str">
            <v>1)</v>
          </cell>
          <cell r="C683" t="str">
            <v>방음벽</v>
          </cell>
          <cell r="H683">
            <v>0</v>
          </cell>
        </row>
        <row r="684">
          <cell r="B684" t="str">
            <v>가.</v>
          </cell>
          <cell r="C684" t="str">
            <v>방음벽</v>
          </cell>
          <cell r="D684" t="str">
            <v>토공용(H=1.6M)</v>
          </cell>
          <cell r="E684">
            <v>396</v>
          </cell>
          <cell r="F684" t="str">
            <v>M</v>
          </cell>
          <cell r="G684">
            <v>370000</v>
          </cell>
          <cell r="H684">
            <v>146520000</v>
          </cell>
        </row>
        <row r="685">
          <cell r="B685" t="str">
            <v>나.</v>
          </cell>
          <cell r="C685" t="str">
            <v>방음벽</v>
          </cell>
          <cell r="D685" t="str">
            <v>토공용(H=2.0M)</v>
          </cell>
          <cell r="E685">
            <v>200</v>
          </cell>
          <cell r="F685" t="str">
            <v>M</v>
          </cell>
          <cell r="G685">
            <v>415000</v>
          </cell>
          <cell r="H685">
            <v>83000000</v>
          </cell>
        </row>
        <row r="686">
          <cell r="B686" t="str">
            <v>다.</v>
          </cell>
          <cell r="C686" t="str">
            <v>방음벽</v>
          </cell>
          <cell r="D686" t="str">
            <v>토공용(H=3.2M)</v>
          </cell>
          <cell r="E686">
            <v>76</v>
          </cell>
          <cell r="F686" t="str">
            <v>M</v>
          </cell>
          <cell r="G686">
            <v>550000</v>
          </cell>
          <cell r="H686">
            <v>41800000</v>
          </cell>
        </row>
        <row r="687">
          <cell r="B687" t="str">
            <v>라.</v>
          </cell>
          <cell r="C687" t="str">
            <v>방음벽</v>
          </cell>
          <cell r="D687" t="str">
            <v>교량용(H=1.6M)</v>
          </cell>
          <cell r="E687">
            <v>758</v>
          </cell>
          <cell r="F687" t="str">
            <v>M</v>
          </cell>
          <cell r="G687">
            <v>200000</v>
          </cell>
          <cell r="H687">
            <v>151600000</v>
          </cell>
        </row>
        <row r="688">
          <cell r="B688" t="str">
            <v>2)</v>
          </cell>
          <cell r="C688" t="str">
            <v>비탈면보호공</v>
          </cell>
          <cell r="H688">
            <v>0</v>
          </cell>
        </row>
        <row r="689">
          <cell r="B689" t="str">
            <v>가.</v>
          </cell>
          <cell r="C689" t="str">
            <v>측구터파기</v>
          </cell>
          <cell r="D689" t="str">
            <v>(토사)</v>
          </cell>
          <cell r="E689">
            <v>205</v>
          </cell>
          <cell r="F689" t="str">
            <v>M3</v>
          </cell>
          <cell r="G689">
            <v>3800</v>
          </cell>
          <cell r="H689">
            <v>779000</v>
          </cell>
        </row>
        <row r="690">
          <cell r="B690" t="str">
            <v>나.</v>
          </cell>
          <cell r="C690" t="str">
            <v>되메우기 및 다짐공</v>
          </cell>
          <cell r="D690" t="str">
            <v>(인력10％+기계90％)</v>
          </cell>
          <cell r="E690">
            <v>162</v>
          </cell>
          <cell r="F690" t="str">
            <v>M3</v>
          </cell>
          <cell r="G690">
            <v>2000</v>
          </cell>
          <cell r="H690">
            <v>324000</v>
          </cell>
        </row>
        <row r="691">
          <cell r="B691" t="str">
            <v>다.</v>
          </cell>
          <cell r="C691" t="str">
            <v>합판거푸집</v>
          </cell>
          <cell r="D691" t="str">
            <v>(6회)</v>
          </cell>
          <cell r="E691">
            <v>68</v>
          </cell>
          <cell r="F691" t="str">
            <v>M2</v>
          </cell>
          <cell r="G691">
            <v>11900</v>
          </cell>
          <cell r="H691">
            <v>809200</v>
          </cell>
        </row>
        <row r="692">
          <cell r="B692" t="str">
            <v>라.</v>
          </cell>
          <cell r="C692" t="str">
            <v>콘크리트타설</v>
          </cell>
          <cell r="D692" t="str">
            <v>(무근,진동기제외)</v>
          </cell>
          <cell r="E692">
            <v>30</v>
          </cell>
          <cell r="F692" t="str">
            <v>M3</v>
          </cell>
          <cell r="G692">
            <v>17000</v>
          </cell>
          <cell r="H692">
            <v>510000</v>
          </cell>
        </row>
        <row r="693">
          <cell r="B693" t="str">
            <v>마.</v>
          </cell>
          <cell r="C693" t="str">
            <v>호안블록</v>
          </cell>
          <cell r="D693" t="str">
            <v>(400x400x100)</v>
          </cell>
          <cell r="E693">
            <v>652</v>
          </cell>
          <cell r="F693" t="str">
            <v>M2</v>
          </cell>
          <cell r="G693">
            <v>24000</v>
          </cell>
          <cell r="H693">
            <v>15648000</v>
          </cell>
        </row>
        <row r="694">
          <cell r="B694" t="str">
            <v>3)</v>
          </cell>
          <cell r="C694" t="str">
            <v>보도</v>
          </cell>
          <cell r="H694">
            <v>0</v>
          </cell>
        </row>
        <row r="695">
          <cell r="B695" t="str">
            <v>가.</v>
          </cell>
          <cell r="C695" t="str">
            <v>보차도경계블럭</v>
          </cell>
          <cell r="E695">
            <v>20</v>
          </cell>
          <cell r="F695" t="str">
            <v>M</v>
          </cell>
          <cell r="G695">
            <v>17000</v>
          </cell>
          <cell r="H695">
            <v>340000</v>
          </cell>
        </row>
        <row r="696">
          <cell r="B696" t="str">
            <v>나.</v>
          </cell>
          <cell r="C696" t="str">
            <v>보차도경계블럭</v>
          </cell>
          <cell r="D696" t="str">
            <v>(화강석)</v>
          </cell>
          <cell r="E696">
            <v>81</v>
          </cell>
          <cell r="F696" t="str">
            <v>M</v>
          </cell>
          <cell r="G696">
            <v>24000</v>
          </cell>
          <cell r="H696">
            <v>1944000</v>
          </cell>
        </row>
        <row r="697">
          <cell r="B697" t="str">
            <v>다.</v>
          </cell>
          <cell r="C697" t="str">
            <v>도로경계블럭</v>
          </cell>
          <cell r="D697" t="str">
            <v>(150x150x1000)</v>
          </cell>
          <cell r="E697">
            <v>81</v>
          </cell>
          <cell r="F697" t="str">
            <v>M</v>
          </cell>
          <cell r="G697">
            <v>12000</v>
          </cell>
          <cell r="H697">
            <v>972000</v>
          </cell>
        </row>
        <row r="698">
          <cell r="B698" t="str">
            <v>라.</v>
          </cell>
          <cell r="C698" t="str">
            <v>소형 고압블럭포장</v>
          </cell>
          <cell r="D698" t="str">
            <v>(S형)</v>
          </cell>
          <cell r="E698">
            <v>930</v>
          </cell>
          <cell r="F698" t="str">
            <v>M2</v>
          </cell>
          <cell r="G698">
            <v>11000</v>
          </cell>
          <cell r="H698">
            <v>10230000</v>
          </cell>
        </row>
        <row r="699">
          <cell r="B699" t="str">
            <v>4)</v>
          </cell>
          <cell r="C699" t="str">
            <v>세륜세차시설</v>
          </cell>
          <cell r="E699">
            <v>1</v>
          </cell>
          <cell r="F699" t="str">
            <v>식</v>
          </cell>
          <cell r="G699">
            <v>50000000</v>
          </cell>
          <cell r="H699">
            <v>50000000</v>
          </cell>
        </row>
        <row r="700">
          <cell r="B700" t="str">
            <v>5)</v>
          </cell>
          <cell r="C700" t="str">
            <v>암파쇄 방호시설</v>
          </cell>
          <cell r="E700">
            <v>840</v>
          </cell>
          <cell r="F700" t="str">
            <v>M</v>
          </cell>
          <cell r="G700">
            <v>400000</v>
          </cell>
          <cell r="H700">
            <v>336000000</v>
          </cell>
        </row>
        <row r="701">
          <cell r="B701" t="str">
            <v>6)</v>
          </cell>
          <cell r="C701" t="str">
            <v>식재공</v>
          </cell>
          <cell r="E701">
            <v>1</v>
          </cell>
          <cell r="F701" t="str">
            <v>식</v>
          </cell>
          <cell r="G701">
            <v>195000000</v>
          </cell>
          <cell r="H701">
            <v>195000000</v>
          </cell>
        </row>
        <row r="702">
          <cell r="B702" t="str">
            <v>7)</v>
          </cell>
          <cell r="C702" t="str">
            <v>가설사무실</v>
          </cell>
          <cell r="E702">
            <v>1</v>
          </cell>
          <cell r="F702" t="str">
            <v>식</v>
          </cell>
          <cell r="G702">
            <v>107000000</v>
          </cell>
          <cell r="H702">
            <v>107000000</v>
          </cell>
        </row>
        <row r="703">
          <cell r="B703" t="str">
            <v>8)</v>
          </cell>
          <cell r="C703" t="str">
            <v>시험비</v>
          </cell>
          <cell r="E703">
            <v>1</v>
          </cell>
          <cell r="F703" t="str">
            <v>식</v>
          </cell>
          <cell r="G703">
            <v>219000000</v>
          </cell>
          <cell r="H703">
            <v>219000000</v>
          </cell>
        </row>
        <row r="704">
          <cell r="B704" t="str">
            <v>9)</v>
          </cell>
          <cell r="C704" t="str">
            <v>중기 운반비</v>
          </cell>
          <cell r="E704">
            <v>1</v>
          </cell>
          <cell r="F704" t="str">
            <v>식</v>
          </cell>
          <cell r="G704">
            <v>36000000</v>
          </cell>
          <cell r="H704">
            <v>36000000</v>
          </cell>
        </row>
        <row r="705">
          <cell r="B705" t="str">
            <v>10)</v>
          </cell>
          <cell r="C705" t="str">
            <v>준공표지판</v>
          </cell>
          <cell r="E705">
            <v>2</v>
          </cell>
          <cell r="F705" t="str">
            <v>EA</v>
          </cell>
          <cell r="G705">
            <v>1200000</v>
          </cell>
          <cell r="H705">
            <v>2400000</v>
          </cell>
        </row>
        <row r="706">
          <cell r="B706" t="str">
            <v>11)</v>
          </cell>
          <cell r="C706" t="str">
            <v>도로대장(전산화)</v>
          </cell>
          <cell r="E706">
            <v>15.23</v>
          </cell>
          <cell r="F706" t="str">
            <v>M2</v>
          </cell>
          <cell r="G706">
            <v>1700000</v>
          </cell>
          <cell r="H706">
            <v>25891000</v>
          </cell>
        </row>
        <row r="707">
          <cell r="B707" t="str">
            <v>12)</v>
          </cell>
          <cell r="C707" t="str">
            <v>과적검문소관리동</v>
          </cell>
          <cell r="E707">
            <v>1</v>
          </cell>
          <cell r="F707" t="str">
            <v>식</v>
          </cell>
          <cell r="G707">
            <v>48057787</v>
          </cell>
          <cell r="H707">
            <v>48057787</v>
          </cell>
        </row>
        <row r="708">
          <cell r="B708" t="str">
            <v>13)</v>
          </cell>
          <cell r="C708" t="str">
            <v>교통안전시설비</v>
          </cell>
          <cell r="E708">
            <v>1</v>
          </cell>
          <cell r="F708" t="str">
            <v>식</v>
          </cell>
          <cell r="G708">
            <v>2900000</v>
          </cell>
          <cell r="H708">
            <v>2900000</v>
          </cell>
        </row>
        <row r="709">
          <cell r="B709" t="str">
            <v>14)</v>
          </cell>
          <cell r="C709" t="str">
            <v>토질조사비</v>
          </cell>
          <cell r="E709">
            <v>1</v>
          </cell>
          <cell r="F709" t="str">
            <v>식</v>
          </cell>
          <cell r="G709">
            <v>80000000</v>
          </cell>
          <cell r="H709">
            <v>80000000</v>
          </cell>
        </row>
        <row r="710">
          <cell r="B710" t="str">
            <v>15)</v>
          </cell>
          <cell r="C710" t="str">
            <v>토공규준틀</v>
          </cell>
          <cell r="E710">
            <v>1</v>
          </cell>
          <cell r="F710" t="str">
            <v>식</v>
          </cell>
          <cell r="G710">
            <v>13000000</v>
          </cell>
          <cell r="H710">
            <v>13000000</v>
          </cell>
        </row>
        <row r="711">
          <cell r="B711" t="str">
            <v>16)</v>
          </cell>
          <cell r="C711" t="str">
            <v>자재운반</v>
          </cell>
          <cell r="H711">
            <v>0</v>
          </cell>
        </row>
        <row r="712">
          <cell r="B712" t="str">
            <v>가.</v>
          </cell>
          <cell r="C712" t="str">
            <v>시멘트운반</v>
          </cell>
          <cell r="D712" t="str">
            <v>(40kg)</v>
          </cell>
          <cell r="E712">
            <v>113003</v>
          </cell>
          <cell r="F712" t="str">
            <v>대</v>
          </cell>
          <cell r="G712">
            <v>400</v>
          </cell>
          <cell r="H712">
            <v>45201200</v>
          </cell>
        </row>
        <row r="713">
          <cell r="B713" t="str">
            <v>나.</v>
          </cell>
          <cell r="C713" t="str">
            <v>철근 운반</v>
          </cell>
          <cell r="E713">
            <v>11880.52</v>
          </cell>
          <cell r="F713" t="str">
            <v>TON</v>
          </cell>
          <cell r="G713">
            <v>8800</v>
          </cell>
          <cell r="H713">
            <v>104548576</v>
          </cell>
        </row>
        <row r="714">
          <cell r="B714" t="str">
            <v>다.</v>
          </cell>
          <cell r="C714" t="str">
            <v>아스팔트</v>
          </cell>
          <cell r="E714">
            <v>762</v>
          </cell>
          <cell r="F714" t="str">
            <v>D/M</v>
          </cell>
          <cell r="G714">
            <v>2000</v>
          </cell>
          <cell r="H714">
            <v>1524000</v>
          </cell>
        </row>
        <row r="715">
          <cell r="B715" t="str">
            <v>17)</v>
          </cell>
          <cell r="C715" t="str">
            <v>사급자재대</v>
          </cell>
          <cell r="H715">
            <v>0</v>
          </cell>
        </row>
        <row r="716">
          <cell r="B716" t="str">
            <v>가.</v>
          </cell>
          <cell r="C716" t="str">
            <v>시멘트</v>
          </cell>
          <cell r="D716" t="str">
            <v>(40kg/대)</v>
          </cell>
          <cell r="E716">
            <v>113003</v>
          </cell>
          <cell r="F716" t="str">
            <v>대</v>
          </cell>
          <cell r="G716">
            <v>1850</v>
          </cell>
          <cell r="H716">
            <v>209055550</v>
          </cell>
        </row>
        <row r="717">
          <cell r="B717" t="str">
            <v>나.</v>
          </cell>
          <cell r="C717" t="str">
            <v>시멘트</v>
          </cell>
          <cell r="D717" t="str">
            <v>분말</v>
          </cell>
          <cell r="E717">
            <v>67434</v>
          </cell>
          <cell r="F717" t="str">
            <v>TON</v>
          </cell>
          <cell r="G717">
            <v>42757</v>
          </cell>
          <cell r="H717">
            <v>2883275538</v>
          </cell>
        </row>
        <row r="718">
          <cell r="B718" t="str">
            <v>나.</v>
          </cell>
          <cell r="C718" t="str">
            <v>아스팔트.</v>
          </cell>
          <cell r="D718" t="str">
            <v>RSC-4</v>
          </cell>
          <cell r="E718">
            <v>402</v>
          </cell>
          <cell r="F718" t="str">
            <v>D/M</v>
          </cell>
          <cell r="G718">
            <v>38000</v>
          </cell>
          <cell r="H718">
            <v>15276000</v>
          </cell>
        </row>
        <row r="719">
          <cell r="B719" t="str">
            <v>다.</v>
          </cell>
          <cell r="C719" t="str">
            <v>아스팔트.</v>
          </cell>
          <cell r="D719" t="str">
            <v>MC-1</v>
          </cell>
          <cell r="E719">
            <v>360</v>
          </cell>
          <cell r="F719" t="str">
            <v>D/M</v>
          </cell>
          <cell r="G719">
            <v>41000</v>
          </cell>
          <cell r="H719">
            <v>14760000</v>
          </cell>
        </row>
        <row r="720">
          <cell r="B720" t="str">
            <v>라.</v>
          </cell>
          <cell r="C720" t="str">
            <v>콘크리트포장용줄눈</v>
          </cell>
          <cell r="H720">
            <v>0</v>
          </cell>
        </row>
        <row r="721">
          <cell r="B721" t="str">
            <v>a.</v>
          </cell>
          <cell r="C721" t="str">
            <v>형식2-1</v>
          </cell>
          <cell r="E721">
            <v>21073</v>
          </cell>
          <cell r="F721" t="str">
            <v>M</v>
          </cell>
          <cell r="G721">
            <v>12295</v>
          </cell>
          <cell r="H721">
            <v>259092535</v>
          </cell>
        </row>
        <row r="722">
          <cell r="B722" t="str">
            <v>b.</v>
          </cell>
          <cell r="C722" t="str">
            <v>형식2-2</v>
          </cell>
          <cell r="E722">
            <v>16866</v>
          </cell>
          <cell r="F722" t="str">
            <v>M</v>
          </cell>
          <cell r="G722">
            <v>9845</v>
          </cell>
          <cell r="H722">
            <v>166045770</v>
          </cell>
        </row>
        <row r="723">
          <cell r="B723" t="str">
            <v>c.</v>
          </cell>
          <cell r="C723" t="str">
            <v>형식2-3</v>
          </cell>
          <cell r="E723">
            <v>238</v>
          </cell>
          <cell r="F723" t="str">
            <v>M</v>
          </cell>
          <cell r="G723">
            <v>12610</v>
          </cell>
          <cell r="H723">
            <v>3001180</v>
          </cell>
        </row>
        <row r="724">
          <cell r="B724" t="str">
            <v>d.</v>
          </cell>
          <cell r="C724" t="str">
            <v>형식2-4</v>
          </cell>
          <cell r="E724">
            <v>212</v>
          </cell>
          <cell r="F724" t="str">
            <v>M</v>
          </cell>
          <cell r="G724">
            <v>9995</v>
          </cell>
          <cell r="H724">
            <v>2118940</v>
          </cell>
        </row>
        <row r="725">
          <cell r="B725" t="str">
            <v>e.</v>
          </cell>
          <cell r="C725" t="str">
            <v>형식3-1</v>
          </cell>
          <cell r="E725">
            <v>311</v>
          </cell>
          <cell r="F725" t="str">
            <v>M</v>
          </cell>
          <cell r="G725">
            <v>13707</v>
          </cell>
          <cell r="H725">
            <v>4262877</v>
          </cell>
        </row>
        <row r="726">
          <cell r="B726" t="str">
            <v>f.</v>
          </cell>
          <cell r="C726" t="str">
            <v>형식3-2</v>
          </cell>
          <cell r="E726">
            <v>282</v>
          </cell>
          <cell r="F726" t="str">
            <v>M</v>
          </cell>
          <cell r="G726">
            <v>10970</v>
          </cell>
          <cell r="H726">
            <v>3093540</v>
          </cell>
        </row>
        <row r="727">
          <cell r="B727" t="str">
            <v>g.</v>
          </cell>
          <cell r="C727" t="str">
            <v>형식3-3</v>
          </cell>
          <cell r="E727">
            <v>239</v>
          </cell>
          <cell r="F727" t="str">
            <v>M</v>
          </cell>
          <cell r="G727">
            <v>36840</v>
          </cell>
          <cell r="H727">
            <v>8804760</v>
          </cell>
        </row>
        <row r="728">
          <cell r="B728" t="str">
            <v>h.</v>
          </cell>
          <cell r="C728" t="str">
            <v>형식3-4</v>
          </cell>
          <cell r="E728">
            <v>212</v>
          </cell>
          <cell r="F728" t="str">
            <v>M</v>
          </cell>
          <cell r="G728">
            <v>35100</v>
          </cell>
          <cell r="H728">
            <v>7441200</v>
          </cell>
        </row>
        <row r="729">
          <cell r="B729" t="str">
            <v>i.</v>
          </cell>
          <cell r="C729" t="str">
            <v>형식3-6</v>
          </cell>
          <cell r="E729">
            <v>48</v>
          </cell>
          <cell r="F729" t="str">
            <v>M</v>
          </cell>
          <cell r="G729">
            <v>13789</v>
          </cell>
          <cell r="H729">
            <v>661872</v>
          </cell>
        </row>
        <row r="730">
          <cell r="B730" t="str">
            <v>j.</v>
          </cell>
          <cell r="C730" t="str">
            <v>형식3-7</v>
          </cell>
          <cell r="E730">
            <v>24</v>
          </cell>
          <cell r="F730" t="str">
            <v>M</v>
          </cell>
          <cell r="G730">
            <v>10857</v>
          </cell>
          <cell r="H730">
            <v>260568</v>
          </cell>
        </row>
        <row r="731">
          <cell r="B731" t="str">
            <v>마.</v>
          </cell>
          <cell r="C731" t="str">
            <v>레미콘</v>
          </cell>
          <cell r="H731">
            <v>0</v>
          </cell>
        </row>
        <row r="732">
          <cell r="B732" t="str">
            <v>a.</v>
          </cell>
          <cell r="C732" t="str">
            <v>레미콘</v>
          </cell>
          <cell r="D732" t="str">
            <v>25-210-8</v>
          </cell>
          <cell r="E732">
            <v>9622</v>
          </cell>
          <cell r="F732" t="str">
            <v>M3</v>
          </cell>
          <cell r="G732">
            <v>52070</v>
          </cell>
          <cell r="H732">
            <v>501017540</v>
          </cell>
        </row>
        <row r="733">
          <cell r="B733" t="str">
            <v>b.</v>
          </cell>
          <cell r="C733" t="str">
            <v>레미콘</v>
          </cell>
          <cell r="D733" t="str">
            <v>40-210-8</v>
          </cell>
          <cell r="E733">
            <v>8268</v>
          </cell>
          <cell r="F733" t="str">
            <v>M3</v>
          </cell>
          <cell r="G733">
            <v>48072</v>
          </cell>
          <cell r="H733">
            <v>397459296</v>
          </cell>
        </row>
        <row r="734">
          <cell r="B734" t="str">
            <v>c.</v>
          </cell>
          <cell r="C734" t="str">
            <v>레미콘</v>
          </cell>
          <cell r="D734" t="str">
            <v>50-150-8</v>
          </cell>
          <cell r="E734">
            <v>5193</v>
          </cell>
          <cell r="F734" t="str">
            <v>M3</v>
          </cell>
          <cell r="G734">
            <v>39445</v>
          </cell>
          <cell r="H734">
            <v>204837885</v>
          </cell>
        </row>
        <row r="735">
          <cell r="B735" t="str">
            <v>자.</v>
          </cell>
          <cell r="C735" t="str">
            <v>철근</v>
          </cell>
          <cell r="H735">
            <v>0</v>
          </cell>
        </row>
        <row r="736">
          <cell r="C736" t="str">
            <v>철근</v>
          </cell>
          <cell r="D736" t="str">
            <v>연강 D10 m/m</v>
          </cell>
          <cell r="E736">
            <v>88.224000000000004</v>
          </cell>
          <cell r="F736" t="str">
            <v>TON</v>
          </cell>
          <cell r="G736">
            <v>277568</v>
          </cell>
          <cell r="H736">
            <v>24488159</v>
          </cell>
        </row>
        <row r="737">
          <cell r="C737" t="str">
            <v>철근</v>
          </cell>
          <cell r="D737" t="str">
            <v>연강 D13 m/m</v>
          </cell>
          <cell r="E737">
            <v>1037.7170000000001</v>
          </cell>
          <cell r="F737" t="str">
            <v>TON</v>
          </cell>
          <cell r="G737">
            <v>274296</v>
          </cell>
          <cell r="H737">
            <v>284641622</v>
          </cell>
        </row>
        <row r="738">
          <cell r="C738" t="str">
            <v>철근</v>
          </cell>
          <cell r="D738" t="str">
            <v>연강 D16-32 m/m</v>
          </cell>
          <cell r="E738">
            <v>7618.0969999999998</v>
          </cell>
          <cell r="F738" t="str">
            <v>TON</v>
          </cell>
          <cell r="G738">
            <v>269126</v>
          </cell>
          <cell r="H738">
            <v>2050227973</v>
          </cell>
        </row>
        <row r="739">
          <cell r="C739" t="str">
            <v>철근</v>
          </cell>
          <cell r="D739" t="str">
            <v>고강 H13 m/m</v>
          </cell>
          <cell r="E739">
            <v>138.34200000000001</v>
          </cell>
          <cell r="F739" t="str">
            <v>TON</v>
          </cell>
          <cell r="G739">
            <v>284748</v>
          </cell>
          <cell r="H739">
            <v>39392607</v>
          </cell>
        </row>
        <row r="740">
          <cell r="C740" t="str">
            <v>철근</v>
          </cell>
          <cell r="D740" t="str">
            <v>고강 H16-32 m/m</v>
          </cell>
          <cell r="E740">
            <v>2998.14</v>
          </cell>
          <cell r="F740" t="str">
            <v>TON</v>
          </cell>
          <cell r="G740">
            <v>279024</v>
          </cell>
          <cell r="H740">
            <v>836553015</v>
          </cell>
        </row>
        <row r="741">
          <cell r="B741" t="str">
            <v>18)</v>
          </cell>
          <cell r="C741" t="str">
            <v>공제대</v>
          </cell>
          <cell r="E741">
            <v>346.03500000000003</v>
          </cell>
          <cell r="F741" t="str">
            <v>TON</v>
          </cell>
          <cell r="G741">
            <v>-60000</v>
          </cell>
          <cell r="H741">
            <v>-20762100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지예산"/>
      <sheetName val="수지예산(A4종)"/>
      <sheetName val="기본조사비교"/>
      <sheetName val="측,공,관,잡"/>
      <sheetName val="요율"/>
      <sheetName val="공사총괄표"/>
      <sheetName val="Sheet1"/>
      <sheetName val="배수장_토공"/>
      <sheetName val="배수장_구조"/>
      <sheetName val="유수지_토공"/>
      <sheetName val="남지보강"/>
      <sheetName val="도로_토공"/>
      <sheetName val="도로_구조"/>
      <sheetName val="간선_토공"/>
      <sheetName val="간선_구조"/>
      <sheetName val="지선_토공"/>
      <sheetName val="지선_구조"/>
      <sheetName val="부대_공사명세"/>
      <sheetName val="지급자재"/>
      <sheetName val="자재내역"/>
      <sheetName val="배수장구조물"/>
      <sheetName val="1배구조물"/>
      <sheetName val="Sheet12"/>
      <sheetName val="Sheet13"/>
      <sheetName val="Sheet14"/>
      <sheetName val="Sheet15"/>
      <sheetName val="Sheet16"/>
      <sheetName val="설계"/>
      <sheetName val="사업계획"/>
      <sheetName val="[남지사업비(참고).xls\설계"/>
      <sheetName val="#REF"/>
      <sheetName val="교대(A1)"/>
      <sheetName val="수량집계"/>
      <sheetName val="적현로"/>
      <sheetName val="총괄집계표"/>
      <sheetName val="남지사업비(참고)"/>
      <sheetName val="자재대"/>
      <sheetName val="자압"/>
      <sheetName val="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22">
          <cell r="T22">
            <v>513555000</v>
          </cell>
          <cell r="AE22">
            <v>0</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토목데이타"/>
      <sheetName val="설계자료"/>
      <sheetName val="기계공사비"/>
      <sheetName val="단가"/>
      <sheetName val="부안일위"/>
      <sheetName val="지급자재"/>
      <sheetName val="일위대가"/>
      <sheetName val="시설물일위"/>
      <sheetName val="설계"/>
      <sheetName val="실행내역"/>
      <sheetName val="Sheet1"/>
      <sheetName val="총괄표"/>
      <sheetName val="차액보증"/>
      <sheetName val="밭기반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체총괄표"/>
      <sheetName val="수지예산"/>
      <sheetName val="년도별"/>
      <sheetName val="관리,공감"/>
      <sheetName val="지급품조서"/>
      <sheetName val="지급품조서 (2)"/>
      <sheetName val="자재대"/>
      <sheetName val="Sheet1"/>
      <sheetName val="총괄표(평,부)"/>
      <sheetName val="총괄표(평,부) (가라)"/>
      <sheetName val="부대공사"/>
      <sheetName val="평야부총공사비"/>
      <sheetName val="평야부명세서"/>
      <sheetName val="평야부물량"/>
      <sheetName val="분수관( 총집계)"/>
      <sheetName val="암거(총재료집계) "/>
      <sheetName val="용수개거(총집계) "/>
      <sheetName val="암거(토공집계)"/>
      <sheetName val="암거(구조물집계) "/>
      <sheetName val="용수개거(토공집계) "/>
      <sheetName val="용수개거(구조물집계)"/>
      <sheetName val="1.분수관"/>
      <sheetName val="1.암거(토공)"/>
      <sheetName val="1.암거(구조물)"/>
      <sheetName val="1.용수개거(토공)"/>
      <sheetName val="1.용수개거(구조물) "/>
      <sheetName val="소야공정계획표"/>
      <sheetName val="관리_공감"/>
      <sheetName val="단가"/>
      <sheetName val="설계"/>
      <sheetName val="실행내역"/>
      <sheetName val="도로경계블럭"/>
      <sheetName val="Sheet1 (2)"/>
      <sheetName val="VXXXXXXX"/>
      <sheetName val="#REF"/>
      <sheetName val="tggwan(mac)"/>
      <sheetName val="시설물일위"/>
      <sheetName val="일위대가표(DEEP)"/>
      <sheetName val="영업소실적"/>
      <sheetName val="지급자재"/>
      <sheetName val="노무비"/>
      <sheetName val="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개"/>
      <sheetName val="품의"/>
      <sheetName val="현경"/>
      <sheetName val="실행"/>
      <sheetName val="☜사⊥발☞"/>
      <sheetName val="하총"/>
      <sheetName val="하사"/>
      <sheetName val="하내"/>
      <sheetName val="토공"/>
      <sheetName val="토견"/>
      <sheetName val="구조물"/>
      <sheetName val="구자"/>
      <sheetName val="구견"/>
      <sheetName val="☜발⊥검☞"/>
      <sheetName val="입찰"/>
      <sheetName val="관리,공감"/>
      <sheetName val="단가"/>
      <sheetName val="식재인부"/>
      <sheetName val="4차원가계산서"/>
      <sheetName val="관리_공감"/>
      <sheetName val="Sheet1 (2)"/>
      <sheetName val="투찰"/>
      <sheetName val="Sheet6"/>
      <sheetName val="저"/>
      <sheetName val="백호우계수"/>
      <sheetName val="장비가동"/>
      <sheetName val="영업소실적"/>
      <sheetName val="자재(원원+원대)"/>
      <sheetName val="설계"/>
      <sheetName val="공량산출서"/>
      <sheetName val="材料"/>
    </sheetNames>
    <sheetDataSet>
      <sheetData sheetId="0" refreshError="1"/>
      <sheetData sheetId="1" refreshError="1"/>
      <sheetData sheetId="2" refreshError="1">
        <row r="39">
          <cell r="F39">
            <v>13305871442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9">
          <cell r="G9">
            <v>56790017223</v>
          </cell>
        </row>
        <row r="12">
          <cell r="G12">
            <v>551453000</v>
          </cell>
        </row>
        <row r="17">
          <cell r="G17">
            <v>123536000</v>
          </cell>
        </row>
      </sheetData>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총괄"/>
      <sheetName val="내역"/>
      <sheetName val="강교집계"/>
      <sheetName val="강교"/>
      <sheetName val="대비"/>
      <sheetName val="내역 (2)"/>
      <sheetName val="대비 (2)"/>
      <sheetName val="업협"/>
      <sheetName val="BOQ-Summary_Form A1"/>
      <sheetName val="BOQ-Summary_Form A2"/>
      <sheetName val="BOQ-Summary_Form A3"/>
      <sheetName val="Attachment_A"/>
      <sheetName val="elect QC"/>
      <sheetName val="Quezon"/>
      <sheetName val="bulcan"/>
      <sheetName val="Bulacan"/>
      <sheetName val="사업계획1안"/>
      <sheetName val="입찰"/>
      <sheetName val="현경"/>
      <sheetName val="도급내역서(재노경)"/>
      <sheetName val="문학간접"/>
      <sheetName val="지급자재"/>
      <sheetName val="Sheet1"/>
      <sheetName val="내역_(2)"/>
      <sheetName val="대비_(2)"/>
      <sheetName val="BOQ-Summary_Form_A1"/>
      <sheetName val="BOQ-Summary_Form_A2"/>
      <sheetName val="BOQ-Summary_Form_A3"/>
      <sheetName val="elect_QC"/>
      <sheetName val="汇总"/>
    </sheetNames>
    <sheetDataSet>
      <sheetData sheetId="0" refreshError="1"/>
      <sheetData sheetId="1" refreshError="1"/>
      <sheetData sheetId="2" refreshError="1">
        <row r="1">
          <cell r="A1" t="str">
            <v>ITNUM</v>
          </cell>
          <cell r="B1" t="str">
            <v>공    종</v>
          </cell>
          <cell r="C1" t="str">
            <v>규   격</v>
          </cell>
          <cell r="D1" t="str">
            <v>수  량</v>
          </cell>
          <cell r="E1" t="str">
            <v>단위</v>
          </cell>
        </row>
        <row r="2">
          <cell r="A2" t="str">
            <v>◇ Bill of Quantities (Mechanical / Electrical )-QUEZON CITY</v>
          </cell>
          <cell r="D2" t="str">
            <v>Unit : US Dollars</v>
          </cell>
        </row>
        <row r="3">
          <cell r="A3" t="str">
            <v>DESCRIPTION</v>
          </cell>
          <cell r="B3" t="str">
            <v>순공사비</v>
          </cell>
          <cell r="C3" t="str">
            <v>TOTAL AMOUNT</v>
          </cell>
          <cell r="D3" t="str">
            <v>REMARKS</v>
          </cell>
        </row>
        <row r="4">
          <cell r="A4" t="str">
            <v>1</v>
          </cell>
          <cell r="B4" t="str">
            <v>토  공</v>
          </cell>
        </row>
        <row r="5">
          <cell r="A5" t="str">
            <v>1.01</v>
          </cell>
          <cell r="B5" t="str">
            <v>기존구조물철거</v>
          </cell>
          <cell r="C5">
            <v>20225</v>
          </cell>
          <cell r="D5" t="str">
            <v>See breakdown</v>
          </cell>
        </row>
        <row r="6">
          <cell r="A6" t="str">
            <v>a</v>
          </cell>
          <cell r="B6" t="str">
            <v>무근콘크리트깨기</v>
          </cell>
          <cell r="C6" t="str">
            <v>(T=30cm미만)</v>
          </cell>
          <cell r="D6">
            <v>351</v>
          </cell>
          <cell r="E6" t="str">
            <v>㎥</v>
          </cell>
        </row>
        <row r="7">
          <cell r="A7" t="str">
            <v>b</v>
          </cell>
          <cell r="B7" t="str">
            <v>철근콘크리트깨기</v>
          </cell>
          <cell r="C7" t="str">
            <v>(T=30CM미만, 소형)</v>
          </cell>
          <cell r="D7">
            <v>3</v>
          </cell>
          <cell r="E7" t="str">
            <v>㎥</v>
          </cell>
        </row>
        <row r="8">
          <cell r="A8" t="str">
            <v>c</v>
          </cell>
          <cell r="B8" t="str">
            <v>콘크리트포장깨기</v>
          </cell>
          <cell r="C8" t="str">
            <v xml:space="preserve">BY OTHERS </v>
          </cell>
          <cell r="D8">
            <v>247</v>
          </cell>
          <cell r="E8" t="str">
            <v>㎥</v>
          </cell>
        </row>
        <row r="9">
          <cell r="A9" t="str">
            <v>d</v>
          </cell>
          <cell r="B9" t="str">
            <v>아스팔트포장깨기</v>
          </cell>
          <cell r="C9" t="str">
            <v xml:space="preserve">BY OTHERS </v>
          </cell>
          <cell r="D9">
            <v>1638</v>
          </cell>
          <cell r="E9" t="str">
            <v>㎥</v>
          </cell>
        </row>
        <row r="10">
          <cell r="A10" t="str">
            <v>e</v>
          </cell>
          <cell r="B10" t="str">
            <v>콘크리트포장절단</v>
          </cell>
          <cell r="C10">
            <v>93007.166071428583</v>
          </cell>
          <cell r="D10">
            <v>73</v>
          </cell>
          <cell r="E10" t="str">
            <v>M</v>
          </cell>
        </row>
        <row r="11">
          <cell r="A11" t="str">
            <v>f</v>
          </cell>
          <cell r="B11" t="str">
            <v>아스팔트포장절단</v>
          </cell>
          <cell r="C11">
            <v>28264.22</v>
          </cell>
          <cell r="D11">
            <v>148</v>
          </cell>
          <cell r="E11" t="str">
            <v>M</v>
          </cell>
        </row>
        <row r="12">
          <cell r="A12" t="str">
            <v>g</v>
          </cell>
          <cell r="B12" t="str">
            <v>석축헐기</v>
          </cell>
          <cell r="C12" t="str">
            <v xml:space="preserve">BY OTHERS </v>
          </cell>
          <cell r="D12">
            <v>449</v>
          </cell>
          <cell r="E12" t="str">
            <v>㎡</v>
          </cell>
        </row>
        <row r="13">
          <cell r="A13" t="str">
            <v>1.02</v>
          </cell>
          <cell r="B13" t="str">
            <v>표토제거</v>
          </cell>
          <cell r="C13" t="str">
            <v xml:space="preserve">BY OTHERS </v>
          </cell>
          <cell r="D13" t="str">
            <v>no drawings available</v>
          </cell>
        </row>
        <row r="14">
          <cell r="A14" t="str">
            <v>a</v>
          </cell>
          <cell r="B14" t="str">
            <v>답구간표토제거</v>
          </cell>
          <cell r="C14" t="str">
            <v xml:space="preserve">BY OTHERS </v>
          </cell>
          <cell r="D14">
            <v>36605</v>
          </cell>
          <cell r="E14" t="str">
            <v>㎡</v>
          </cell>
        </row>
        <row r="15">
          <cell r="A15" t="str">
            <v>b</v>
          </cell>
          <cell r="B15" t="str">
            <v>답외구간표토제거</v>
          </cell>
          <cell r="D15">
            <v>11189</v>
          </cell>
          <cell r="E15" t="str">
            <v>㎡</v>
          </cell>
        </row>
        <row r="16">
          <cell r="A16" t="str">
            <v>1.03</v>
          </cell>
          <cell r="B16" t="str">
            <v>벌개제근</v>
          </cell>
          <cell r="C16">
            <v>157004.4485714286</v>
          </cell>
          <cell r="D16">
            <v>141333</v>
          </cell>
          <cell r="E16" t="str">
            <v>㎡</v>
          </cell>
        </row>
        <row r="17">
          <cell r="A17" t="str">
            <v>1.04</v>
          </cell>
          <cell r="B17" t="str">
            <v>노반준비공</v>
          </cell>
          <cell r="C17" t="str">
            <v>(절토부)</v>
          </cell>
          <cell r="D17">
            <v>23120</v>
          </cell>
          <cell r="E17" t="str">
            <v>㎡</v>
          </cell>
        </row>
        <row r="18">
          <cell r="A18" t="str">
            <v>1.05</v>
          </cell>
          <cell r="B18" t="str">
            <v>흙깍기</v>
          </cell>
          <cell r="C18">
            <v>35226.5</v>
          </cell>
        </row>
        <row r="19">
          <cell r="A19" t="str">
            <v>a</v>
          </cell>
          <cell r="B19" t="str">
            <v>흙깍기(토사)</v>
          </cell>
          <cell r="C19">
            <v>19987</v>
          </cell>
          <cell r="D19">
            <v>211140</v>
          </cell>
          <cell r="E19" t="str">
            <v>㎥</v>
          </cell>
        </row>
        <row r="20">
          <cell r="A20" t="str">
            <v>b</v>
          </cell>
          <cell r="B20" t="str">
            <v>흙깍기(리핑암)</v>
          </cell>
          <cell r="C20">
            <v>26645.4</v>
          </cell>
          <cell r="D20">
            <v>193199</v>
          </cell>
          <cell r="E20" t="str">
            <v>㎥</v>
          </cell>
        </row>
        <row r="21">
          <cell r="A21" t="str">
            <v>c</v>
          </cell>
          <cell r="B21" t="str">
            <v>흙깎기(발파암)</v>
          </cell>
          <cell r="C21" t="str">
            <v>(크로울러 드릴)</v>
          </cell>
          <cell r="D21">
            <v>1026994</v>
          </cell>
          <cell r="E21" t="str">
            <v>㎥</v>
          </cell>
        </row>
        <row r="22">
          <cell r="A22" t="str">
            <v>1.06</v>
          </cell>
          <cell r="B22" t="str">
            <v>흙운반</v>
          </cell>
          <cell r="C22">
            <v>14230.29</v>
          </cell>
        </row>
        <row r="23">
          <cell r="A23" t="str">
            <v>a</v>
          </cell>
          <cell r="B23" t="str">
            <v>무대운반</v>
          </cell>
          <cell r="C23" t="str">
            <v>발파암 20M이내</v>
          </cell>
          <cell r="D23">
            <v>9180</v>
          </cell>
          <cell r="E23" t="str">
            <v>㎥</v>
          </cell>
        </row>
        <row r="24">
          <cell r="A24" t="str">
            <v>b</v>
          </cell>
          <cell r="B24" t="str">
            <v>도쟈운반</v>
          </cell>
          <cell r="C24">
            <v>12048.3</v>
          </cell>
        </row>
        <row r="25">
          <cell r="A25" t="str">
            <v>-1</v>
          </cell>
          <cell r="B25" t="str">
            <v>도쟈운반</v>
          </cell>
          <cell r="C25" t="str">
            <v>(토사)L=47.8M</v>
          </cell>
          <cell r="D25">
            <v>3579</v>
          </cell>
          <cell r="E25" t="str">
            <v>㎥</v>
          </cell>
        </row>
        <row r="26">
          <cell r="A26" t="str">
            <v>-2</v>
          </cell>
          <cell r="B26" t="str">
            <v>도쟈운반</v>
          </cell>
          <cell r="C26" t="str">
            <v>(리핑암)L=48.0M</v>
          </cell>
          <cell r="D26">
            <v>7490</v>
          </cell>
          <cell r="E26" t="str">
            <v>㎥</v>
          </cell>
        </row>
        <row r="27">
          <cell r="A27" t="str">
            <v>-3</v>
          </cell>
          <cell r="B27" t="str">
            <v>도쟈운반</v>
          </cell>
          <cell r="C27" t="str">
            <v>(발파암)L=45.1M</v>
          </cell>
          <cell r="D27">
            <v>4414</v>
          </cell>
          <cell r="E27" t="str">
            <v>㎥</v>
          </cell>
        </row>
        <row r="28">
          <cell r="A28" t="str">
            <v>c</v>
          </cell>
          <cell r="B28" t="str">
            <v>덤프운반</v>
          </cell>
          <cell r="C28">
            <v>8242.8214285714294</v>
          </cell>
        </row>
        <row r="29">
          <cell r="A29" t="str">
            <v>-1</v>
          </cell>
          <cell r="B29" t="str">
            <v>덤프운반</v>
          </cell>
          <cell r="C29" t="str">
            <v>(토사)L=0.674km</v>
          </cell>
          <cell r="D29">
            <v>101878</v>
          </cell>
          <cell r="E29" t="str">
            <v>㎥</v>
          </cell>
        </row>
        <row r="30">
          <cell r="A30" t="str">
            <v>-2</v>
          </cell>
          <cell r="B30" t="str">
            <v>덤프운반</v>
          </cell>
          <cell r="C30" t="str">
            <v>(리핑암)L=0.673km</v>
          </cell>
          <cell r="D30">
            <v>66901</v>
          </cell>
          <cell r="E30" t="str">
            <v>㎥</v>
          </cell>
        </row>
        <row r="31">
          <cell r="A31" t="str">
            <v>-3</v>
          </cell>
          <cell r="B31" t="str">
            <v>덤프운반</v>
          </cell>
          <cell r="C31" t="str">
            <v>(발파암)L=0.600km</v>
          </cell>
          <cell r="D31">
            <v>175578</v>
          </cell>
          <cell r="E31" t="str">
            <v>㎥</v>
          </cell>
        </row>
        <row r="32">
          <cell r="A32" t="str">
            <v>d</v>
          </cell>
          <cell r="B32" t="str">
            <v>사토운반</v>
          </cell>
          <cell r="C32">
            <v>210006.7714285714</v>
          </cell>
        </row>
        <row r="33">
          <cell r="A33" t="str">
            <v>-1</v>
          </cell>
          <cell r="B33" t="str">
            <v>사토운반</v>
          </cell>
          <cell r="C33" t="str">
            <v>(토사)L=5.70km</v>
          </cell>
          <cell r="D33">
            <v>81956</v>
          </cell>
          <cell r="E33" t="str">
            <v>㎥</v>
          </cell>
        </row>
        <row r="34">
          <cell r="A34" t="str">
            <v>-2</v>
          </cell>
          <cell r="B34" t="str">
            <v>사토운반</v>
          </cell>
          <cell r="C34" t="str">
            <v>(리핑암)L=5.70Km</v>
          </cell>
          <cell r="D34">
            <v>110937</v>
          </cell>
          <cell r="E34" t="str">
            <v>㎥</v>
          </cell>
        </row>
        <row r="35">
          <cell r="A35" t="str">
            <v>-3</v>
          </cell>
          <cell r="B35" t="str">
            <v>사토운반</v>
          </cell>
          <cell r="C35" t="str">
            <v>(발파암)L=5.70Km</v>
          </cell>
          <cell r="D35">
            <v>772928</v>
          </cell>
          <cell r="E35" t="str">
            <v>㎥</v>
          </cell>
        </row>
        <row r="36">
          <cell r="A36" t="str">
            <v>1.07</v>
          </cell>
          <cell r="B36" t="str">
            <v>흙쌓기</v>
          </cell>
          <cell r="C36">
            <v>367011.22</v>
          </cell>
        </row>
        <row r="37">
          <cell r="A37" t="str">
            <v>a</v>
          </cell>
          <cell r="B37" t="str">
            <v>흙쌓기</v>
          </cell>
          <cell r="C37" t="str">
            <v>노상</v>
          </cell>
          <cell r="D37">
            <v>75180</v>
          </cell>
          <cell r="E37" t="str">
            <v>㎥</v>
          </cell>
        </row>
        <row r="38">
          <cell r="A38" t="str">
            <v>b</v>
          </cell>
          <cell r="B38" t="str">
            <v>흙쌓기</v>
          </cell>
          <cell r="C38" t="str">
            <v>노체</v>
          </cell>
          <cell r="D38">
            <v>386828</v>
          </cell>
          <cell r="E38" t="str">
            <v>㎥</v>
          </cell>
        </row>
        <row r="39">
          <cell r="A39" t="str">
            <v>c</v>
          </cell>
          <cell r="B39" t="str">
            <v>녹지대</v>
          </cell>
          <cell r="C39" t="str">
            <v>비다짐</v>
          </cell>
          <cell r="D39">
            <v>9501</v>
          </cell>
          <cell r="E39" t="str">
            <v>M3</v>
          </cell>
        </row>
        <row r="40">
          <cell r="A40" t="str">
            <v>1.08</v>
          </cell>
          <cell r="B40" t="str">
            <v>층따기</v>
          </cell>
          <cell r="C40" t="str">
            <v>(기계)</v>
          </cell>
          <cell r="D40">
            <v>5435</v>
          </cell>
          <cell r="E40" t="str">
            <v>㎥</v>
          </cell>
        </row>
        <row r="41">
          <cell r="A41" t="str">
            <v>1.09</v>
          </cell>
          <cell r="B41" t="str">
            <v>법면보호공</v>
          </cell>
        </row>
        <row r="42">
          <cell r="A42" t="str">
            <v>a</v>
          </cell>
          <cell r="B42" t="str">
            <v>NET잔디</v>
          </cell>
          <cell r="D42">
            <v>72541</v>
          </cell>
          <cell r="E42" t="str">
            <v>㎡</v>
          </cell>
        </row>
        <row r="43">
          <cell r="A43" t="str">
            <v>b</v>
          </cell>
          <cell r="B43" t="str">
            <v>절토면고르기</v>
          </cell>
          <cell r="C43" t="str">
            <v>(리핑암)</v>
          </cell>
          <cell r="D43">
            <v>13802</v>
          </cell>
          <cell r="E43" t="str">
            <v>㎡</v>
          </cell>
        </row>
        <row r="44">
          <cell r="A44" t="str">
            <v>c</v>
          </cell>
          <cell r="B44" t="str">
            <v>절토면고르기</v>
          </cell>
          <cell r="C44" t="str">
            <v>(발파암)</v>
          </cell>
          <cell r="D44">
            <v>69036</v>
          </cell>
          <cell r="E44" t="str">
            <v>㎡</v>
          </cell>
        </row>
        <row r="45">
          <cell r="A45" t="str">
            <v>d</v>
          </cell>
          <cell r="B45" t="str">
            <v>암절개면보호식재공</v>
          </cell>
          <cell r="C45" t="str">
            <v>T=15㎝(보통암,경암)</v>
          </cell>
          <cell r="D45">
            <v>82838</v>
          </cell>
          <cell r="E45" t="str">
            <v>㎡</v>
          </cell>
        </row>
        <row r="46">
          <cell r="A46" t="str">
            <v>e</v>
          </cell>
          <cell r="B46" t="str">
            <v>성토부법면다짐</v>
          </cell>
          <cell r="D46">
            <v>46087</v>
          </cell>
          <cell r="E46" t="str">
            <v>㎡</v>
          </cell>
        </row>
        <row r="47">
          <cell r="A47" t="str">
            <v>1.10</v>
          </cell>
          <cell r="B47" t="str">
            <v>측구터파기(토사)</v>
          </cell>
          <cell r="C47" t="str">
            <v>(0-1 M)</v>
          </cell>
          <cell r="D47">
            <v>1461</v>
          </cell>
          <cell r="E47" t="str">
            <v>㎥</v>
          </cell>
        </row>
        <row r="48">
          <cell r="A48" t="str">
            <v>1.11</v>
          </cell>
          <cell r="B48" t="str">
            <v>측구 뚝쌓기</v>
          </cell>
          <cell r="D48">
            <v>151</v>
          </cell>
          <cell r="E48" t="str">
            <v>㎥</v>
          </cell>
        </row>
        <row r="49">
          <cell r="A49" t="str">
            <v>1.12</v>
          </cell>
          <cell r="B49" t="str">
            <v>토공규준틀</v>
          </cell>
        </row>
        <row r="50">
          <cell r="A50" t="str">
            <v>a</v>
          </cell>
          <cell r="B50" t="str">
            <v>수평규준틀</v>
          </cell>
          <cell r="D50">
            <v>83</v>
          </cell>
          <cell r="E50" t="str">
            <v>EA</v>
          </cell>
        </row>
        <row r="51">
          <cell r="A51" t="str">
            <v>b</v>
          </cell>
          <cell r="B51" t="str">
            <v>비탈규준틀</v>
          </cell>
          <cell r="D51">
            <v>400</v>
          </cell>
          <cell r="E51" t="str">
            <v>EA</v>
          </cell>
        </row>
        <row r="52">
          <cell r="A52" t="str">
            <v>2.</v>
          </cell>
          <cell r="B52" t="str">
            <v>배 수 공</v>
          </cell>
        </row>
        <row r="53">
          <cell r="A53" t="str">
            <v>2.01</v>
          </cell>
          <cell r="B53" t="str">
            <v>측구공</v>
          </cell>
        </row>
        <row r="54">
          <cell r="A54" t="str">
            <v>a</v>
          </cell>
          <cell r="B54" t="str">
            <v>L형측구</v>
          </cell>
        </row>
        <row r="55">
          <cell r="A55" t="str">
            <v>-1</v>
          </cell>
          <cell r="B55" t="str">
            <v>L형측구</v>
          </cell>
          <cell r="C55" t="str">
            <v>(TYPE-1, H=0.15M)</v>
          </cell>
          <cell r="D55">
            <v>727</v>
          </cell>
          <cell r="E55" t="str">
            <v>M</v>
          </cell>
        </row>
        <row r="56">
          <cell r="A56" t="str">
            <v>-2</v>
          </cell>
          <cell r="B56" t="str">
            <v>L형측구</v>
          </cell>
          <cell r="C56" t="str">
            <v>(TYPE-2, H=1.00M)</v>
          </cell>
          <cell r="D56">
            <v>3406</v>
          </cell>
          <cell r="E56" t="str">
            <v>M</v>
          </cell>
        </row>
        <row r="57">
          <cell r="A57" t="str">
            <v>-3</v>
          </cell>
          <cell r="B57" t="str">
            <v>L형측구</v>
          </cell>
          <cell r="C57" t="str">
            <v>(TYPE-3, H=0.15M</v>
          </cell>
          <cell r="D57">
            <v>325</v>
          </cell>
          <cell r="E57" t="str">
            <v>M</v>
          </cell>
        </row>
        <row r="58">
          <cell r="A58" t="str">
            <v>-4</v>
          </cell>
          <cell r="B58" t="str">
            <v>L형측구</v>
          </cell>
          <cell r="C58" t="str">
            <v>(TYPE-6, H=0.20M)</v>
          </cell>
          <cell r="D58">
            <v>2262</v>
          </cell>
          <cell r="E58" t="str">
            <v>M</v>
          </cell>
        </row>
        <row r="59">
          <cell r="A59" t="str">
            <v>-5</v>
          </cell>
          <cell r="B59" t="str">
            <v>성토부다이크</v>
          </cell>
          <cell r="C59" t="str">
            <v>(H=0.15M)</v>
          </cell>
          <cell r="D59">
            <v>3188</v>
          </cell>
          <cell r="E59" t="str">
            <v>M</v>
          </cell>
        </row>
        <row r="60">
          <cell r="A60" t="str">
            <v>b</v>
          </cell>
          <cell r="B60" t="str">
            <v>V형측구</v>
          </cell>
          <cell r="C60" t="str">
            <v>(TYPE-1,H=0.6M)</v>
          </cell>
          <cell r="D60">
            <v>1718</v>
          </cell>
          <cell r="E60" t="str">
            <v>M</v>
          </cell>
        </row>
        <row r="61">
          <cell r="A61" t="str">
            <v>c</v>
          </cell>
          <cell r="B61" t="str">
            <v>산마루측구</v>
          </cell>
          <cell r="C61" t="str">
            <v>(H=0.45M)</v>
          </cell>
          <cell r="D61">
            <v>1512</v>
          </cell>
          <cell r="E61" t="str">
            <v>M</v>
          </cell>
        </row>
        <row r="62">
          <cell r="A62" t="str">
            <v>2.02</v>
          </cell>
          <cell r="B62" t="str">
            <v>맹암거</v>
          </cell>
        </row>
        <row r="63">
          <cell r="A63" t="str">
            <v>a</v>
          </cell>
          <cell r="B63" t="str">
            <v>맹암거설치</v>
          </cell>
          <cell r="C63" t="str">
            <v>(TYPE-1)</v>
          </cell>
          <cell r="D63">
            <v>108</v>
          </cell>
          <cell r="E63" t="str">
            <v>M</v>
          </cell>
        </row>
        <row r="64">
          <cell r="A64" t="str">
            <v>b</v>
          </cell>
          <cell r="B64" t="str">
            <v>맹암거설치</v>
          </cell>
          <cell r="C64" t="str">
            <v>(TYPE-2):리핑암</v>
          </cell>
          <cell r="D64">
            <v>290</v>
          </cell>
          <cell r="E64" t="str">
            <v>M</v>
          </cell>
        </row>
        <row r="65">
          <cell r="A65" t="str">
            <v>c</v>
          </cell>
          <cell r="B65" t="str">
            <v>맹암거설치</v>
          </cell>
          <cell r="C65" t="str">
            <v>(TYPE-2):발파암</v>
          </cell>
          <cell r="D65">
            <v>3080</v>
          </cell>
          <cell r="E65" t="str">
            <v>M</v>
          </cell>
        </row>
        <row r="66">
          <cell r="A66" t="str">
            <v>d</v>
          </cell>
          <cell r="B66" t="str">
            <v>맹암거설치</v>
          </cell>
          <cell r="C66" t="str">
            <v>(TYPE-3)</v>
          </cell>
          <cell r="D66">
            <v>233</v>
          </cell>
          <cell r="E66" t="str">
            <v>M</v>
          </cell>
        </row>
        <row r="67">
          <cell r="A67" t="str">
            <v>2.03</v>
          </cell>
          <cell r="B67" t="str">
            <v>배수관공</v>
          </cell>
        </row>
        <row r="68">
          <cell r="A68" t="str">
            <v>a</v>
          </cell>
          <cell r="B68" t="str">
            <v>구조물터파기</v>
          </cell>
          <cell r="C68" t="str">
            <v>(육상토사:0-2M)</v>
          </cell>
          <cell r="D68">
            <v>2326</v>
          </cell>
          <cell r="E68" t="str">
            <v>㎥</v>
          </cell>
        </row>
        <row r="69">
          <cell r="A69" t="str">
            <v>b</v>
          </cell>
          <cell r="B69" t="str">
            <v>되메우기및다짐</v>
          </cell>
          <cell r="C69" t="str">
            <v>(인력50%+기계50%)</v>
          </cell>
          <cell r="D69">
            <v>1335</v>
          </cell>
          <cell r="E69" t="str">
            <v>㎥</v>
          </cell>
        </row>
        <row r="70">
          <cell r="A70" t="str">
            <v>c</v>
          </cell>
          <cell r="B70" t="str">
            <v>무근콘크리트타설</v>
          </cell>
          <cell r="C70" t="str">
            <v>(진동기포함)</v>
          </cell>
          <cell r="D70">
            <v>571</v>
          </cell>
          <cell r="E70" t="str">
            <v>㎥</v>
          </cell>
        </row>
        <row r="71">
          <cell r="A71" t="str">
            <v>d</v>
          </cell>
          <cell r="B71" t="str">
            <v>합판거푸집</v>
          </cell>
          <cell r="C71" t="str">
            <v>(3회)0-7M</v>
          </cell>
          <cell r="D71">
            <v>424</v>
          </cell>
          <cell r="E71" t="str">
            <v>㎡</v>
          </cell>
        </row>
        <row r="72">
          <cell r="A72" t="str">
            <v>e</v>
          </cell>
          <cell r="B72" t="str">
            <v>합판거푸집</v>
          </cell>
          <cell r="C72" t="str">
            <v>(6회)0-7M</v>
          </cell>
          <cell r="D72">
            <v>1276</v>
          </cell>
          <cell r="E72" t="str">
            <v>㎡</v>
          </cell>
        </row>
        <row r="73">
          <cell r="A73" t="str">
            <v>f</v>
          </cell>
          <cell r="B73" t="str">
            <v>몰탈</v>
          </cell>
          <cell r="C73" t="str">
            <v>1:3</v>
          </cell>
          <cell r="D73">
            <v>1.3919999999999999</v>
          </cell>
          <cell r="E73" t="str">
            <v>㎥</v>
          </cell>
        </row>
        <row r="74">
          <cell r="A74" t="str">
            <v>g</v>
          </cell>
          <cell r="B74" t="str">
            <v>횡배수관운반및부설</v>
          </cell>
          <cell r="C74" t="str">
            <v>(V.R관Φ800M/M)</v>
          </cell>
          <cell r="D74">
            <v>399</v>
          </cell>
          <cell r="E74" t="str">
            <v>M</v>
          </cell>
        </row>
        <row r="75">
          <cell r="A75" t="str">
            <v>h</v>
          </cell>
          <cell r="B75" t="str">
            <v>횡배수관운반및부설</v>
          </cell>
          <cell r="C75" t="str">
            <v>(V.R관Φ1000M/M)</v>
          </cell>
          <cell r="D75">
            <v>195</v>
          </cell>
          <cell r="E75" t="str">
            <v>M</v>
          </cell>
        </row>
        <row r="76">
          <cell r="A76" t="str">
            <v>i</v>
          </cell>
          <cell r="B76" t="str">
            <v>횡배수관운반및부설</v>
          </cell>
          <cell r="C76" t="str">
            <v>(V.R관Φ1200M/M)</v>
          </cell>
          <cell r="D76">
            <v>81</v>
          </cell>
          <cell r="E76" t="str">
            <v>M</v>
          </cell>
        </row>
        <row r="77">
          <cell r="A77" t="str">
            <v>2.04</v>
          </cell>
          <cell r="B77" t="str">
            <v>집수정공</v>
          </cell>
        </row>
        <row r="78">
          <cell r="A78" t="str">
            <v>a</v>
          </cell>
          <cell r="B78" t="str">
            <v>구조물터파기</v>
          </cell>
          <cell r="C78" t="str">
            <v>(육상토사:0-2M)</v>
          </cell>
          <cell r="D78">
            <v>935</v>
          </cell>
          <cell r="E78" t="str">
            <v>㎥</v>
          </cell>
        </row>
        <row r="79">
          <cell r="A79" t="str">
            <v>b</v>
          </cell>
          <cell r="B79" t="str">
            <v>되메우기및다짐</v>
          </cell>
          <cell r="C79" t="str">
            <v>(인력50%+기계50%)</v>
          </cell>
          <cell r="D79">
            <v>834</v>
          </cell>
          <cell r="E79" t="str">
            <v>㎥</v>
          </cell>
        </row>
        <row r="80">
          <cell r="A80" t="str">
            <v>c</v>
          </cell>
          <cell r="B80" t="str">
            <v>무근콘크리트타설</v>
          </cell>
          <cell r="C80" t="str">
            <v>(진동기포함)</v>
          </cell>
          <cell r="D80">
            <v>68</v>
          </cell>
          <cell r="E80" t="str">
            <v>㎥</v>
          </cell>
        </row>
        <row r="81">
          <cell r="A81" t="str">
            <v>d</v>
          </cell>
          <cell r="B81" t="str">
            <v>철근콘크리트타설</v>
          </cell>
          <cell r="C81" t="str">
            <v>(진동기 포함)</v>
          </cell>
          <cell r="D81">
            <v>6</v>
          </cell>
          <cell r="E81" t="str">
            <v>㎥</v>
          </cell>
        </row>
        <row r="82">
          <cell r="A82" t="str">
            <v>e</v>
          </cell>
          <cell r="B82" t="str">
            <v>합판거푸집</v>
          </cell>
          <cell r="C82" t="str">
            <v>(3회)0-7M</v>
          </cell>
          <cell r="D82">
            <v>752</v>
          </cell>
          <cell r="E82" t="str">
            <v>㎡</v>
          </cell>
        </row>
        <row r="83">
          <cell r="A83" t="str">
            <v>f</v>
          </cell>
          <cell r="B83" t="str">
            <v>철근가공조립</v>
          </cell>
          <cell r="C83" t="str">
            <v>(간단)</v>
          </cell>
          <cell r="D83">
            <v>0.55700000000000005</v>
          </cell>
          <cell r="E83" t="str">
            <v>TON</v>
          </cell>
        </row>
        <row r="84">
          <cell r="A84" t="str">
            <v>g</v>
          </cell>
          <cell r="B84" t="str">
            <v>STEEL GRATING설치</v>
          </cell>
          <cell r="C84" t="str">
            <v>(800*800*75)</v>
          </cell>
          <cell r="D84">
            <v>68</v>
          </cell>
          <cell r="E84" t="str">
            <v>EA</v>
          </cell>
        </row>
        <row r="85">
          <cell r="A85" t="str">
            <v>h</v>
          </cell>
          <cell r="B85" t="str">
            <v>STEEL GRATING설치</v>
          </cell>
          <cell r="C85" t="str">
            <v>(600*600*65)</v>
          </cell>
          <cell r="D85">
            <v>10</v>
          </cell>
          <cell r="E85" t="str">
            <v>EA</v>
          </cell>
        </row>
        <row r="86">
          <cell r="A86" t="str">
            <v>2.03</v>
          </cell>
          <cell r="B86" t="str">
            <v>암거공</v>
          </cell>
        </row>
        <row r="87">
          <cell r="A87" t="str">
            <v>a</v>
          </cell>
          <cell r="B87" t="str">
            <v>구조물터파기</v>
          </cell>
          <cell r="C87" t="str">
            <v>(육상토사:0-2M)</v>
          </cell>
          <cell r="D87">
            <v>856</v>
          </cell>
          <cell r="E87" t="str">
            <v>㎥</v>
          </cell>
        </row>
        <row r="88">
          <cell r="A88" t="str">
            <v>b</v>
          </cell>
          <cell r="B88" t="str">
            <v>되메우기및다짐</v>
          </cell>
          <cell r="C88" t="str">
            <v>(인력50%+기계50%)</v>
          </cell>
          <cell r="D88">
            <v>109</v>
          </cell>
          <cell r="E88" t="str">
            <v>㎥</v>
          </cell>
        </row>
        <row r="89">
          <cell r="A89" t="str">
            <v>c</v>
          </cell>
          <cell r="B89" t="str">
            <v>철근콘크리트타설</v>
          </cell>
          <cell r="C89" t="str">
            <v>(진동기 포함)</v>
          </cell>
          <cell r="D89">
            <v>1549</v>
          </cell>
          <cell r="E89" t="str">
            <v>㎥</v>
          </cell>
        </row>
        <row r="90">
          <cell r="A90" t="str">
            <v>d</v>
          </cell>
          <cell r="B90" t="str">
            <v>무근콘크리트타설</v>
          </cell>
          <cell r="C90" t="str">
            <v>(진동기포함)</v>
          </cell>
          <cell r="D90">
            <v>65</v>
          </cell>
          <cell r="E90" t="str">
            <v>㎥</v>
          </cell>
        </row>
        <row r="91">
          <cell r="A91" t="str">
            <v>e</v>
          </cell>
          <cell r="B91" t="str">
            <v>합판거푸집</v>
          </cell>
          <cell r="C91" t="str">
            <v>(3회)0-7M</v>
          </cell>
          <cell r="D91">
            <v>2235</v>
          </cell>
          <cell r="E91" t="str">
            <v>㎡</v>
          </cell>
        </row>
        <row r="92">
          <cell r="A92" t="str">
            <v>f</v>
          </cell>
          <cell r="B92" t="str">
            <v>합판거푸집</v>
          </cell>
          <cell r="C92" t="str">
            <v>(4회)0-7M</v>
          </cell>
          <cell r="D92">
            <v>51</v>
          </cell>
          <cell r="E92" t="str">
            <v>㎡</v>
          </cell>
        </row>
        <row r="93">
          <cell r="A93" t="str">
            <v>g</v>
          </cell>
          <cell r="B93" t="str">
            <v>코팅거푸집</v>
          </cell>
          <cell r="C93" t="str">
            <v>(3회)</v>
          </cell>
          <cell r="D93">
            <v>100</v>
          </cell>
          <cell r="E93" t="str">
            <v>㎡</v>
          </cell>
        </row>
        <row r="94">
          <cell r="A94" t="str">
            <v>h</v>
          </cell>
          <cell r="B94" t="str">
            <v>철근가공조립</v>
          </cell>
          <cell r="C94" t="str">
            <v>(복잡)</v>
          </cell>
          <cell r="D94">
            <v>233.80699999999999</v>
          </cell>
          <cell r="E94" t="str">
            <v>TON</v>
          </cell>
        </row>
        <row r="95">
          <cell r="A95" t="str">
            <v>i</v>
          </cell>
          <cell r="B95" t="str">
            <v>비계</v>
          </cell>
          <cell r="C95" t="str">
            <v>암거용(강관)</v>
          </cell>
          <cell r="D95">
            <v>801</v>
          </cell>
          <cell r="E95" t="str">
            <v>㎡</v>
          </cell>
        </row>
        <row r="96">
          <cell r="A96" t="str">
            <v>j</v>
          </cell>
          <cell r="B96" t="str">
            <v>동바리</v>
          </cell>
          <cell r="C96" t="str">
            <v>암거용(강관3개월)</v>
          </cell>
          <cell r="D96">
            <v>1428</v>
          </cell>
          <cell r="E96" t="str">
            <v>공㎥</v>
          </cell>
        </row>
        <row r="97">
          <cell r="A97" t="str">
            <v>k</v>
          </cell>
          <cell r="B97" t="str">
            <v>P.V.C PIPE</v>
          </cell>
          <cell r="C97" t="str">
            <v>(Φ100 M/M)</v>
          </cell>
          <cell r="D97">
            <v>13</v>
          </cell>
          <cell r="E97" t="str">
            <v>M</v>
          </cell>
        </row>
        <row r="98">
          <cell r="A98" t="str">
            <v>l</v>
          </cell>
          <cell r="B98" t="str">
            <v>아스팔트코팅</v>
          </cell>
          <cell r="C98" t="str">
            <v>2회</v>
          </cell>
          <cell r="D98">
            <v>894</v>
          </cell>
          <cell r="E98" t="str">
            <v>㎡</v>
          </cell>
        </row>
        <row r="99">
          <cell r="A99" t="str">
            <v>m</v>
          </cell>
          <cell r="B99" t="str">
            <v>스치로폴</v>
          </cell>
          <cell r="C99" t="str">
            <v>(신축이음T=20M/M)</v>
          </cell>
          <cell r="D99">
            <v>73</v>
          </cell>
          <cell r="E99" t="str">
            <v>㎡</v>
          </cell>
        </row>
        <row r="100">
          <cell r="A100" t="str">
            <v>n</v>
          </cell>
          <cell r="B100" t="str">
            <v>지수판설치</v>
          </cell>
          <cell r="C100" t="str">
            <v>200*5M/M</v>
          </cell>
          <cell r="D100">
            <v>40</v>
          </cell>
          <cell r="E100" t="str">
            <v>M</v>
          </cell>
        </row>
        <row r="101">
          <cell r="A101" t="str">
            <v>o</v>
          </cell>
          <cell r="B101" t="str">
            <v>뒷채움및다짐</v>
          </cell>
          <cell r="D101">
            <v>3264</v>
          </cell>
          <cell r="E101" t="str">
            <v>㎥</v>
          </cell>
        </row>
        <row r="102">
          <cell r="A102" t="str">
            <v>p</v>
          </cell>
          <cell r="B102" t="str">
            <v>부직포설치</v>
          </cell>
          <cell r="D102">
            <v>5</v>
          </cell>
          <cell r="E102" t="str">
            <v>㎡</v>
          </cell>
        </row>
        <row r="103">
          <cell r="A103" t="str">
            <v>2.04</v>
          </cell>
          <cell r="B103" t="str">
            <v>기타공</v>
          </cell>
        </row>
        <row r="104">
          <cell r="A104" t="str">
            <v>a</v>
          </cell>
          <cell r="B104" t="str">
            <v>중분대횡배수관</v>
          </cell>
        </row>
        <row r="105">
          <cell r="A105" t="str">
            <v>-1</v>
          </cell>
          <cell r="B105" t="str">
            <v>구조물터파기</v>
          </cell>
          <cell r="C105" t="str">
            <v>(육상토사:0-2M)</v>
          </cell>
          <cell r="D105">
            <v>42</v>
          </cell>
          <cell r="E105" t="str">
            <v>㎥</v>
          </cell>
        </row>
        <row r="106">
          <cell r="A106" t="str">
            <v>-2</v>
          </cell>
          <cell r="B106" t="str">
            <v>구조물터파기</v>
          </cell>
          <cell r="C106" t="str">
            <v>(육상리핑암:0-2M)</v>
          </cell>
          <cell r="D106">
            <v>7</v>
          </cell>
          <cell r="E106" t="str">
            <v>㎥</v>
          </cell>
        </row>
        <row r="107">
          <cell r="A107" t="str">
            <v>-3</v>
          </cell>
          <cell r="B107" t="str">
            <v>구조물터파기</v>
          </cell>
          <cell r="C107" t="str">
            <v>(육상발파암:0-2M)</v>
          </cell>
          <cell r="D107">
            <v>29</v>
          </cell>
          <cell r="E107" t="str">
            <v>㎥</v>
          </cell>
        </row>
        <row r="108">
          <cell r="A108" t="str">
            <v>-4</v>
          </cell>
          <cell r="B108" t="str">
            <v>무근콘크리트타설</v>
          </cell>
          <cell r="C108" t="str">
            <v>(진동기포함)</v>
          </cell>
          <cell r="D108">
            <v>62</v>
          </cell>
          <cell r="E108" t="str">
            <v>㎥</v>
          </cell>
        </row>
        <row r="109">
          <cell r="A109" t="str">
            <v>-5</v>
          </cell>
          <cell r="B109" t="str">
            <v>흄관부설및운반</v>
          </cell>
          <cell r="C109" t="str">
            <v>(Φ300M/M)</v>
          </cell>
          <cell r="D109">
            <v>171</v>
          </cell>
          <cell r="E109" t="str">
            <v>M</v>
          </cell>
        </row>
        <row r="110">
          <cell r="A110" t="str">
            <v>b</v>
          </cell>
          <cell r="B110" t="str">
            <v>종배수관</v>
          </cell>
          <cell r="C110" t="str">
            <v>중분대및L형측구</v>
          </cell>
        </row>
        <row r="111">
          <cell r="A111" t="str">
            <v>-1</v>
          </cell>
          <cell r="B111" t="str">
            <v>구조물터파기</v>
          </cell>
          <cell r="C111" t="str">
            <v>(육상토사:0-2M)</v>
          </cell>
          <cell r="D111">
            <v>376</v>
          </cell>
          <cell r="E111" t="str">
            <v>㎥</v>
          </cell>
        </row>
        <row r="112">
          <cell r="A112" t="str">
            <v>-2</v>
          </cell>
          <cell r="B112" t="str">
            <v>구조물터파기</v>
          </cell>
          <cell r="C112" t="str">
            <v>(육상리핑암:0-2M)</v>
          </cell>
          <cell r="D112">
            <v>154</v>
          </cell>
          <cell r="E112" t="str">
            <v>㎥</v>
          </cell>
        </row>
        <row r="113">
          <cell r="A113" t="str">
            <v>-3</v>
          </cell>
          <cell r="B113" t="str">
            <v>구조물터파기</v>
          </cell>
          <cell r="C113" t="str">
            <v>(육상발파암:0-2M)</v>
          </cell>
          <cell r="D113">
            <v>863</v>
          </cell>
          <cell r="E113" t="str">
            <v>㎥</v>
          </cell>
        </row>
        <row r="114">
          <cell r="A114" t="str">
            <v>-4</v>
          </cell>
          <cell r="B114" t="str">
            <v>되메우기및다짐</v>
          </cell>
          <cell r="C114" t="str">
            <v>(인력50%+기계50%)</v>
          </cell>
          <cell r="D114">
            <v>1123</v>
          </cell>
          <cell r="E114" t="str">
            <v>㎥</v>
          </cell>
        </row>
        <row r="115">
          <cell r="A115" t="str">
            <v>-5</v>
          </cell>
          <cell r="B115" t="str">
            <v>몰탈</v>
          </cell>
          <cell r="C115" t="str">
            <v>1:3</v>
          </cell>
          <cell r="D115">
            <v>3.6190000000000002</v>
          </cell>
          <cell r="E115" t="str">
            <v>㎥</v>
          </cell>
        </row>
        <row r="116">
          <cell r="A116" t="str">
            <v>-6</v>
          </cell>
          <cell r="B116" t="str">
            <v>흄관부설및운반</v>
          </cell>
          <cell r="C116" t="str">
            <v>(Φ300M/M)</v>
          </cell>
          <cell r="D116">
            <v>1964</v>
          </cell>
          <cell r="E116" t="str">
            <v>M</v>
          </cell>
        </row>
        <row r="117">
          <cell r="A117" t="str">
            <v>-7</v>
          </cell>
          <cell r="B117" t="str">
            <v>흄관부설및운반</v>
          </cell>
          <cell r="C117" t="str">
            <v>(Φ600M/M)</v>
          </cell>
          <cell r="D117">
            <v>1784</v>
          </cell>
          <cell r="E117" t="str">
            <v>M</v>
          </cell>
        </row>
        <row r="118">
          <cell r="A118" t="str">
            <v>c</v>
          </cell>
          <cell r="B118" t="str">
            <v>중분대집수정</v>
          </cell>
        </row>
        <row r="119">
          <cell r="A119" t="str">
            <v>-1</v>
          </cell>
          <cell r="B119" t="str">
            <v>구조물터파기</v>
          </cell>
          <cell r="C119" t="str">
            <v>(육상토사:0-2M)</v>
          </cell>
          <cell r="D119">
            <v>122</v>
          </cell>
          <cell r="E119" t="str">
            <v>㎥</v>
          </cell>
        </row>
        <row r="120">
          <cell r="A120" t="str">
            <v>-2</v>
          </cell>
          <cell r="B120" t="str">
            <v>구조물터파기</v>
          </cell>
          <cell r="C120" t="str">
            <v>(육상리핑암:0-2M)</v>
          </cell>
          <cell r="D120">
            <v>19</v>
          </cell>
          <cell r="E120" t="str">
            <v>㎥</v>
          </cell>
        </row>
        <row r="121">
          <cell r="A121" t="str">
            <v>-3</v>
          </cell>
          <cell r="B121" t="str">
            <v>구조물터파기</v>
          </cell>
          <cell r="C121" t="str">
            <v>(육상발파암:0-2M)</v>
          </cell>
          <cell r="D121">
            <v>133</v>
          </cell>
          <cell r="E121" t="str">
            <v>㎥</v>
          </cell>
        </row>
        <row r="122">
          <cell r="A122" t="str">
            <v>-4</v>
          </cell>
          <cell r="B122" t="str">
            <v>무근콘크리트타설</v>
          </cell>
          <cell r="C122" t="str">
            <v>(진동기포함)</v>
          </cell>
          <cell r="D122">
            <v>71</v>
          </cell>
          <cell r="E122" t="str">
            <v>㎥</v>
          </cell>
        </row>
        <row r="123">
          <cell r="A123" t="str">
            <v>-5</v>
          </cell>
          <cell r="B123" t="str">
            <v>합판거푸집</v>
          </cell>
          <cell r="C123" t="str">
            <v>(4회)0-7M</v>
          </cell>
          <cell r="D123">
            <v>860</v>
          </cell>
          <cell r="E123" t="str">
            <v>㎡</v>
          </cell>
        </row>
        <row r="124">
          <cell r="A124" t="str">
            <v>-6</v>
          </cell>
          <cell r="B124" t="str">
            <v>철근가공조립</v>
          </cell>
          <cell r="C124" t="str">
            <v>(보통)</v>
          </cell>
          <cell r="D124">
            <v>12.15</v>
          </cell>
          <cell r="E124" t="str">
            <v>TON</v>
          </cell>
        </row>
        <row r="125">
          <cell r="A125" t="str">
            <v>-7</v>
          </cell>
          <cell r="B125" t="str">
            <v>STEEL GRATING설치</v>
          </cell>
          <cell r="C125" t="str">
            <v>(430*1120*75)</v>
          </cell>
          <cell r="D125">
            <v>115</v>
          </cell>
          <cell r="E125" t="str">
            <v>EA</v>
          </cell>
        </row>
        <row r="126">
          <cell r="A126" t="str">
            <v>d</v>
          </cell>
          <cell r="B126" t="str">
            <v>도수로</v>
          </cell>
        </row>
        <row r="127">
          <cell r="A127" t="str">
            <v>-1</v>
          </cell>
          <cell r="B127" t="str">
            <v>측구터파기(토사)</v>
          </cell>
          <cell r="C127" t="str">
            <v>(0-1 M)</v>
          </cell>
          <cell r="D127">
            <v>724</v>
          </cell>
          <cell r="E127" t="str">
            <v>㎥</v>
          </cell>
        </row>
        <row r="128">
          <cell r="A128" t="str">
            <v>-2</v>
          </cell>
          <cell r="B128" t="str">
            <v>측구터파기</v>
          </cell>
          <cell r="C128" t="str">
            <v>(리핑암)</v>
          </cell>
          <cell r="D128">
            <v>20</v>
          </cell>
          <cell r="E128" t="str">
            <v>㎥</v>
          </cell>
        </row>
        <row r="129">
          <cell r="A129" t="str">
            <v>-3</v>
          </cell>
          <cell r="B129" t="str">
            <v>측구터파기</v>
          </cell>
          <cell r="C129" t="str">
            <v>(발파암)</v>
          </cell>
          <cell r="D129">
            <v>83</v>
          </cell>
          <cell r="E129" t="str">
            <v>㎥</v>
          </cell>
        </row>
        <row r="130">
          <cell r="A130" t="str">
            <v>-4</v>
          </cell>
          <cell r="B130" t="str">
            <v>되메우기및다짐</v>
          </cell>
          <cell r="C130" t="str">
            <v>(인력50%+기계50%)</v>
          </cell>
          <cell r="D130">
            <v>243</v>
          </cell>
          <cell r="E130" t="str">
            <v>㎥</v>
          </cell>
        </row>
        <row r="131">
          <cell r="A131" t="str">
            <v>-5</v>
          </cell>
          <cell r="B131" t="str">
            <v>무근콘크리트타설</v>
          </cell>
          <cell r="C131" t="str">
            <v>(진동기포함)</v>
          </cell>
          <cell r="D131">
            <v>260</v>
          </cell>
          <cell r="E131" t="str">
            <v>㎥</v>
          </cell>
        </row>
        <row r="132">
          <cell r="A132" t="str">
            <v>-6</v>
          </cell>
          <cell r="B132" t="str">
            <v>합판거푸집</v>
          </cell>
          <cell r="C132" t="str">
            <v>(4회)0-7M</v>
          </cell>
          <cell r="D132">
            <v>1818</v>
          </cell>
          <cell r="E132" t="str">
            <v>㎡</v>
          </cell>
        </row>
        <row r="133">
          <cell r="A133" t="str">
            <v>-7</v>
          </cell>
          <cell r="B133" t="str">
            <v>철근가공조립</v>
          </cell>
          <cell r="C133" t="str">
            <v>(간단)</v>
          </cell>
          <cell r="D133">
            <v>13.193</v>
          </cell>
          <cell r="E133" t="str">
            <v>TON</v>
          </cell>
        </row>
        <row r="134">
          <cell r="A134" t="str">
            <v>e</v>
          </cell>
          <cell r="B134" t="str">
            <v>절토부소단측구</v>
          </cell>
        </row>
        <row r="135">
          <cell r="A135" t="str">
            <v>-1</v>
          </cell>
          <cell r="B135" t="str">
            <v>무근콘크리트타설</v>
          </cell>
          <cell r="C135" t="str">
            <v>(진동기제외)</v>
          </cell>
          <cell r="D135">
            <v>675</v>
          </cell>
          <cell r="E135" t="str">
            <v>㎥</v>
          </cell>
        </row>
        <row r="136">
          <cell r="A136" t="str">
            <v>-2</v>
          </cell>
          <cell r="B136" t="str">
            <v>합판거푸집</v>
          </cell>
          <cell r="C136" t="str">
            <v>(소형4회)</v>
          </cell>
          <cell r="D136">
            <v>1657</v>
          </cell>
          <cell r="E136" t="str">
            <v>㎡</v>
          </cell>
        </row>
        <row r="137">
          <cell r="A137" t="str">
            <v>g</v>
          </cell>
          <cell r="B137" t="str">
            <v>수로보호공</v>
          </cell>
        </row>
        <row r="138">
          <cell r="A138" t="str">
            <v>-1</v>
          </cell>
          <cell r="B138" t="str">
            <v>구조물터파기</v>
          </cell>
          <cell r="C138" t="str">
            <v>(육상토사:0-2M)</v>
          </cell>
          <cell r="D138">
            <v>34</v>
          </cell>
          <cell r="E138" t="str">
            <v>㎥</v>
          </cell>
        </row>
        <row r="139">
          <cell r="A139" t="str">
            <v>-2</v>
          </cell>
          <cell r="B139" t="str">
            <v>무근콘크리트타설</v>
          </cell>
          <cell r="C139" t="str">
            <v>(진동기제외)</v>
          </cell>
          <cell r="D139">
            <v>4</v>
          </cell>
          <cell r="E139" t="str">
            <v>㎥</v>
          </cell>
        </row>
        <row r="140">
          <cell r="A140" t="str">
            <v>-3</v>
          </cell>
          <cell r="B140" t="str">
            <v>합판거푸집</v>
          </cell>
          <cell r="C140" t="str">
            <v>(소형4회)</v>
          </cell>
          <cell r="D140">
            <v>13</v>
          </cell>
          <cell r="E140" t="str">
            <v>㎡</v>
          </cell>
        </row>
        <row r="141">
          <cell r="A141" t="str">
            <v>2.05</v>
          </cell>
          <cell r="B141" t="str">
            <v>우수맨홀및연결관</v>
          </cell>
        </row>
        <row r="142">
          <cell r="A142" t="str">
            <v>-1</v>
          </cell>
          <cell r="B142" t="str">
            <v>구조물터파기</v>
          </cell>
          <cell r="C142" t="str">
            <v>(육상토사:0-2M)</v>
          </cell>
          <cell r="D142">
            <v>7682</v>
          </cell>
          <cell r="E142" t="str">
            <v>㎥</v>
          </cell>
        </row>
        <row r="143">
          <cell r="A143" t="str">
            <v>-2</v>
          </cell>
          <cell r="B143" t="str">
            <v>되메우기및다짐</v>
          </cell>
          <cell r="C143" t="str">
            <v>(인력50%+기계50%)</v>
          </cell>
          <cell r="D143">
            <v>5548</v>
          </cell>
          <cell r="E143" t="str">
            <v>㎥</v>
          </cell>
        </row>
        <row r="144">
          <cell r="A144" t="str">
            <v>-3</v>
          </cell>
          <cell r="B144" t="str">
            <v>철근콘크리트타설</v>
          </cell>
          <cell r="C144" t="str">
            <v>(진동기 포함)</v>
          </cell>
          <cell r="D144">
            <v>19</v>
          </cell>
          <cell r="E144" t="str">
            <v>㎥</v>
          </cell>
        </row>
        <row r="145">
          <cell r="A145" t="str">
            <v>-4</v>
          </cell>
          <cell r="B145" t="str">
            <v>무근콘크리트타설</v>
          </cell>
          <cell r="C145" t="str">
            <v>(진동기제외)</v>
          </cell>
          <cell r="D145">
            <v>184</v>
          </cell>
          <cell r="E145" t="str">
            <v>㎥</v>
          </cell>
        </row>
        <row r="146">
          <cell r="A146" t="str">
            <v>-5</v>
          </cell>
          <cell r="B146" t="str">
            <v>원형거푸집</v>
          </cell>
          <cell r="C146" t="str">
            <v>(3회 0-7M)</v>
          </cell>
          <cell r="D146">
            <v>1307</v>
          </cell>
          <cell r="E146" t="str">
            <v>㎡</v>
          </cell>
        </row>
        <row r="147">
          <cell r="A147" t="str">
            <v>-6</v>
          </cell>
          <cell r="B147" t="str">
            <v>합판거푸집</v>
          </cell>
          <cell r="C147" t="str">
            <v>(6회)0-7M</v>
          </cell>
          <cell r="D147">
            <v>1877</v>
          </cell>
          <cell r="E147" t="str">
            <v>㎡</v>
          </cell>
        </row>
        <row r="148">
          <cell r="A148" t="str">
            <v>-7</v>
          </cell>
          <cell r="B148" t="str">
            <v>몰탈</v>
          </cell>
          <cell r="C148" t="str">
            <v>1:3</v>
          </cell>
          <cell r="D148">
            <v>7.57</v>
          </cell>
          <cell r="E148" t="str">
            <v>㎥</v>
          </cell>
        </row>
        <row r="149">
          <cell r="A149" t="str">
            <v>-8</v>
          </cell>
          <cell r="B149" t="str">
            <v>철근가공조립</v>
          </cell>
          <cell r="C149" t="str">
            <v>(보통)</v>
          </cell>
          <cell r="D149">
            <v>3.984</v>
          </cell>
          <cell r="E149" t="str">
            <v>TON</v>
          </cell>
        </row>
        <row r="150">
          <cell r="A150" t="str">
            <v>-9</v>
          </cell>
          <cell r="B150" t="str">
            <v>우수관부설및운반</v>
          </cell>
          <cell r="C150" t="str">
            <v>(Φ600M/M)</v>
          </cell>
          <cell r="D150">
            <v>2364</v>
          </cell>
          <cell r="E150" t="str">
            <v>M</v>
          </cell>
        </row>
        <row r="151">
          <cell r="A151" t="str">
            <v>-10</v>
          </cell>
          <cell r="B151" t="str">
            <v>맨홀뚜껑설치</v>
          </cell>
          <cell r="C151" t="str">
            <v>주철(D=648M/M)</v>
          </cell>
          <cell r="D151">
            <v>48</v>
          </cell>
          <cell r="E151" t="str">
            <v>EA</v>
          </cell>
        </row>
        <row r="152">
          <cell r="A152" t="str">
            <v>2.06</v>
          </cell>
          <cell r="B152" t="str">
            <v>우수받이공</v>
          </cell>
        </row>
        <row r="153">
          <cell r="A153" t="str">
            <v>-1</v>
          </cell>
          <cell r="B153" t="str">
            <v>구조물터파기</v>
          </cell>
          <cell r="C153" t="str">
            <v>(육상토사:0-2M)</v>
          </cell>
          <cell r="D153">
            <v>2</v>
          </cell>
          <cell r="E153" t="str">
            <v>㎥</v>
          </cell>
        </row>
        <row r="154">
          <cell r="A154" t="str">
            <v>-2</v>
          </cell>
          <cell r="B154" t="str">
            <v>되메우기및다짐</v>
          </cell>
          <cell r="C154" t="str">
            <v>(인력50%+기계50%)</v>
          </cell>
          <cell r="D154">
            <v>1</v>
          </cell>
          <cell r="E154" t="str">
            <v>㎥</v>
          </cell>
        </row>
        <row r="155">
          <cell r="A155" t="str">
            <v>-3</v>
          </cell>
          <cell r="B155" t="str">
            <v>우수받이설치</v>
          </cell>
          <cell r="C155" t="str">
            <v>(500X400X940)</v>
          </cell>
          <cell r="D155">
            <v>112</v>
          </cell>
          <cell r="E155" t="str">
            <v>조</v>
          </cell>
        </row>
        <row r="156">
          <cell r="A156" t="str">
            <v>-4</v>
          </cell>
          <cell r="B156" t="str">
            <v>우수받이연결관</v>
          </cell>
          <cell r="C156" t="str">
            <v>(D=300M/M)</v>
          </cell>
          <cell r="D156">
            <v>155</v>
          </cell>
          <cell r="E156" t="str">
            <v>M</v>
          </cell>
        </row>
        <row r="157">
          <cell r="A157" t="str">
            <v>2.07</v>
          </cell>
          <cell r="B157" t="str">
            <v>자재비</v>
          </cell>
        </row>
        <row r="158">
          <cell r="A158" t="str">
            <v>a</v>
          </cell>
          <cell r="B158" t="str">
            <v>시멘트</v>
          </cell>
          <cell r="C158" t="str">
            <v>40㎏/대</v>
          </cell>
          <cell r="D158">
            <v>175</v>
          </cell>
          <cell r="E158" t="str">
            <v>대</v>
          </cell>
        </row>
        <row r="159">
          <cell r="A159" t="str">
            <v>b</v>
          </cell>
          <cell r="B159" t="str">
            <v>모래</v>
          </cell>
          <cell r="D159">
            <v>15</v>
          </cell>
          <cell r="E159" t="str">
            <v>㎥</v>
          </cell>
        </row>
        <row r="160">
          <cell r="A160" t="str">
            <v>c</v>
          </cell>
          <cell r="B160" t="str">
            <v>철근</v>
          </cell>
          <cell r="C160" t="str">
            <v>D16M/M 이상</v>
          </cell>
          <cell r="D160">
            <v>255.26599999999999</v>
          </cell>
          <cell r="E160" t="str">
            <v>TON</v>
          </cell>
        </row>
        <row r="161">
          <cell r="A161" t="str">
            <v>d</v>
          </cell>
          <cell r="B161" t="str">
            <v>철근</v>
          </cell>
          <cell r="C161" t="str">
            <v>13M/M</v>
          </cell>
          <cell r="D161">
            <v>34.311999999999998</v>
          </cell>
          <cell r="E161" t="str">
            <v>TON</v>
          </cell>
        </row>
        <row r="162">
          <cell r="A162" t="str">
            <v>e</v>
          </cell>
          <cell r="B162" t="str">
            <v>레미콘</v>
          </cell>
          <cell r="C162" t="str">
            <v>25-210-8</v>
          </cell>
          <cell r="D162">
            <v>1655</v>
          </cell>
          <cell r="E162" t="str">
            <v>㎥</v>
          </cell>
        </row>
        <row r="163">
          <cell r="A163" t="str">
            <v>g</v>
          </cell>
          <cell r="B163" t="str">
            <v>레미콘</v>
          </cell>
          <cell r="C163" t="str">
            <v>40-180-8</v>
          </cell>
          <cell r="D163">
            <v>6634</v>
          </cell>
          <cell r="E163" t="str">
            <v>㎥</v>
          </cell>
        </row>
        <row r="164">
          <cell r="A164" t="str">
            <v>h</v>
          </cell>
          <cell r="B164" t="str">
            <v>레미콘</v>
          </cell>
          <cell r="C164" t="str">
            <v>40-160-8</v>
          </cell>
          <cell r="D164">
            <v>1180</v>
          </cell>
          <cell r="E164" t="str">
            <v>㎥</v>
          </cell>
        </row>
        <row r="165">
          <cell r="A165" t="str">
            <v>3.</v>
          </cell>
          <cell r="B165" t="str">
            <v>구조물공</v>
          </cell>
        </row>
        <row r="166">
          <cell r="A166" t="str">
            <v>3.01</v>
          </cell>
          <cell r="B166" t="str">
            <v>진산교(S.T BOX)</v>
          </cell>
          <cell r="C166" t="str">
            <v>L=288.0, B=21.0</v>
          </cell>
        </row>
        <row r="167">
          <cell r="A167" t="str">
            <v>a</v>
          </cell>
          <cell r="B167" t="str">
            <v>토  공</v>
          </cell>
        </row>
        <row r="168">
          <cell r="A168" t="str">
            <v>-1</v>
          </cell>
          <cell r="B168" t="str">
            <v>구조물터파기</v>
          </cell>
          <cell r="C168" t="str">
            <v>(육상토사:0-4M)</v>
          </cell>
          <cell r="D168">
            <v>3836</v>
          </cell>
          <cell r="E168" t="str">
            <v>㎥</v>
          </cell>
        </row>
        <row r="169">
          <cell r="A169" t="str">
            <v>-2</v>
          </cell>
          <cell r="B169" t="str">
            <v>구조물터파기</v>
          </cell>
          <cell r="C169" t="str">
            <v>(육상토사:4m이상)</v>
          </cell>
          <cell r="D169">
            <v>791</v>
          </cell>
          <cell r="E169" t="str">
            <v>㎥</v>
          </cell>
        </row>
        <row r="170">
          <cell r="A170" t="str">
            <v>-3</v>
          </cell>
          <cell r="B170" t="str">
            <v>구조물터파기</v>
          </cell>
          <cell r="C170" t="str">
            <v>(육상리핑암:0-4M)</v>
          </cell>
          <cell r="D170">
            <v>94</v>
          </cell>
          <cell r="E170" t="str">
            <v>㎥</v>
          </cell>
        </row>
        <row r="171">
          <cell r="A171" t="str">
            <v>-4</v>
          </cell>
          <cell r="B171" t="str">
            <v>구조물터파기</v>
          </cell>
          <cell r="C171" t="str">
            <v>(육상리핑암:4M이상)</v>
          </cell>
          <cell r="D171">
            <v>209</v>
          </cell>
          <cell r="E171" t="str">
            <v>㎥</v>
          </cell>
        </row>
        <row r="172">
          <cell r="A172" t="str">
            <v>-5</v>
          </cell>
          <cell r="B172" t="str">
            <v>구조물터파기</v>
          </cell>
          <cell r="C172" t="str">
            <v>(수중토사:0-4M)</v>
          </cell>
          <cell r="D172">
            <v>2551</v>
          </cell>
          <cell r="E172" t="str">
            <v>㎥</v>
          </cell>
        </row>
        <row r="173">
          <cell r="A173" t="str">
            <v>-6</v>
          </cell>
          <cell r="B173" t="str">
            <v>구조물터파기</v>
          </cell>
          <cell r="C173" t="str">
            <v>(수중리핑암:0-4M)</v>
          </cell>
          <cell r="D173">
            <v>693</v>
          </cell>
          <cell r="E173" t="str">
            <v>㎥</v>
          </cell>
        </row>
        <row r="174">
          <cell r="A174" t="str">
            <v>-7</v>
          </cell>
          <cell r="B174" t="str">
            <v>구조물터파기</v>
          </cell>
          <cell r="C174" t="str">
            <v>(수중리핑암:4M이상)</v>
          </cell>
          <cell r="D174">
            <v>16</v>
          </cell>
          <cell r="E174" t="str">
            <v>㎥</v>
          </cell>
        </row>
        <row r="175">
          <cell r="A175" t="str">
            <v>-8</v>
          </cell>
          <cell r="B175" t="str">
            <v>구조물터파기</v>
          </cell>
          <cell r="C175" t="str">
            <v>(수중발파암:0-4M)</v>
          </cell>
          <cell r="D175">
            <v>91</v>
          </cell>
          <cell r="E175" t="str">
            <v>㎥</v>
          </cell>
        </row>
        <row r="176">
          <cell r="A176" t="str">
            <v>-9</v>
          </cell>
          <cell r="B176" t="str">
            <v>구조물터파기</v>
          </cell>
          <cell r="C176" t="str">
            <v>(수중발파암:4M이상)</v>
          </cell>
          <cell r="D176">
            <v>33</v>
          </cell>
          <cell r="E176" t="str">
            <v>㎥</v>
          </cell>
        </row>
        <row r="177">
          <cell r="A177" t="str">
            <v>-10</v>
          </cell>
          <cell r="B177" t="str">
            <v>되메우기및다짐</v>
          </cell>
          <cell r="C177" t="str">
            <v>(인력30%+기계70%)</v>
          </cell>
          <cell r="D177">
            <v>6122</v>
          </cell>
          <cell r="E177" t="str">
            <v>㎥</v>
          </cell>
        </row>
        <row r="178">
          <cell r="A178" t="str">
            <v>-11</v>
          </cell>
          <cell r="B178" t="str">
            <v>물푸기</v>
          </cell>
          <cell r="C178" t="str">
            <v>(교량등대형구조물)</v>
          </cell>
          <cell r="D178">
            <v>221</v>
          </cell>
          <cell r="E178" t="str">
            <v>HR</v>
          </cell>
        </row>
        <row r="179">
          <cell r="A179" t="str">
            <v>-12</v>
          </cell>
          <cell r="B179" t="str">
            <v>뒷채움및다짐</v>
          </cell>
          <cell r="D179">
            <v>1258</v>
          </cell>
          <cell r="E179" t="str">
            <v>㎥</v>
          </cell>
        </row>
        <row r="180">
          <cell r="A180" t="str">
            <v>-13</v>
          </cell>
          <cell r="B180" t="str">
            <v>면정리및청소</v>
          </cell>
          <cell r="C180" t="str">
            <v>육상</v>
          </cell>
          <cell r="D180">
            <v>81</v>
          </cell>
          <cell r="E180" t="str">
            <v>M2</v>
          </cell>
        </row>
        <row r="181">
          <cell r="A181" t="str">
            <v>b</v>
          </cell>
          <cell r="B181" t="str">
            <v>강관파일공</v>
          </cell>
        </row>
        <row r="182">
          <cell r="A182" t="str">
            <v>-1</v>
          </cell>
          <cell r="B182" t="str">
            <v>강관파일자재비</v>
          </cell>
          <cell r="C182" t="str">
            <v>(Φ508.0M/M*12T)</v>
          </cell>
          <cell r="D182">
            <v>302</v>
          </cell>
          <cell r="E182" t="str">
            <v>M</v>
          </cell>
        </row>
        <row r="183">
          <cell r="A183" t="str">
            <v>-2</v>
          </cell>
          <cell r="B183" t="str">
            <v>항타비직항(진산교)</v>
          </cell>
          <cell r="C183" t="str">
            <v>(Φ508.0*12T)</v>
          </cell>
          <cell r="D183">
            <v>279</v>
          </cell>
          <cell r="E183" t="str">
            <v>M</v>
          </cell>
        </row>
        <row r="184">
          <cell r="A184" t="str">
            <v>-3</v>
          </cell>
          <cell r="B184" t="str">
            <v>두부선단보강</v>
          </cell>
          <cell r="C184" t="str">
            <v>(Φ508.0M/M*12T)</v>
          </cell>
          <cell r="D184">
            <v>36</v>
          </cell>
          <cell r="E184" t="str">
            <v>개소</v>
          </cell>
        </row>
        <row r="185">
          <cell r="A185" t="str">
            <v>c</v>
          </cell>
          <cell r="B185" t="str">
            <v>콘크리트타설</v>
          </cell>
        </row>
        <row r="186">
          <cell r="A186" t="str">
            <v>-1</v>
          </cell>
          <cell r="B186" t="str">
            <v>철근콘크리트타설</v>
          </cell>
          <cell r="C186" t="str">
            <v>펌프카타설(0-15M)</v>
          </cell>
          <cell r="D186">
            <v>5357</v>
          </cell>
          <cell r="E186" t="str">
            <v>㎥</v>
          </cell>
        </row>
        <row r="187">
          <cell r="A187" t="str">
            <v>-2</v>
          </cell>
          <cell r="B187" t="str">
            <v>무근콘크리트타설</v>
          </cell>
          <cell r="C187" t="str">
            <v>(진동기제외)</v>
          </cell>
          <cell r="D187">
            <v>578</v>
          </cell>
          <cell r="E187" t="str">
            <v>㎥</v>
          </cell>
        </row>
        <row r="188">
          <cell r="A188" t="str">
            <v>d</v>
          </cell>
          <cell r="B188" t="str">
            <v>스페이셔설치</v>
          </cell>
        </row>
        <row r="189">
          <cell r="A189" t="str">
            <v>-1</v>
          </cell>
          <cell r="B189" t="str">
            <v>스페이셔설치</v>
          </cell>
          <cell r="C189" t="str">
            <v>벽체용</v>
          </cell>
          <cell r="D189">
            <v>3486</v>
          </cell>
          <cell r="E189" t="str">
            <v>㎡</v>
          </cell>
        </row>
        <row r="190">
          <cell r="A190" t="str">
            <v>-2</v>
          </cell>
          <cell r="B190" t="str">
            <v>스페이서설치</v>
          </cell>
          <cell r="C190" t="str">
            <v>슬라브용</v>
          </cell>
          <cell r="D190">
            <v>6947</v>
          </cell>
          <cell r="E190" t="str">
            <v>㎡</v>
          </cell>
        </row>
        <row r="191">
          <cell r="A191" t="str">
            <v>e</v>
          </cell>
          <cell r="B191" t="str">
            <v>철근가공조립</v>
          </cell>
        </row>
        <row r="192">
          <cell r="A192" t="str">
            <v>-1</v>
          </cell>
          <cell r="B192" t="str">
            <v>철근가공조립</v>
          </cell>
          <cell r="C192" t="str">
            <v>(보통)</v>
          </cell>
          <cell r="D192">
            <v>152.137</v>
          </cell>
          <cell r="E192" t="str">
            <v>TON</v>
          </cell>
        </row>
        <row r="193">
          <cell r="A193" t="str">
            <v>-2</v>
          </cell>
          <cell r="B193" t="str">
            <v>철근가공조립</v>
          </cell>
          <cell r="C193" t="str">
            <v>(복잡)</v>
          </cell>
          <cell r="D193">
            <v>594.23400000000004</v>
          </cell>
          <cell r="E193" t="str">
            <v>TON</v>
          </cell>
        </row>
        <row r="194">
          <cell r="A194" t="str">
            <v>-3</v>
          </cell>
          <cell r="B194" t="str">
            <v>철근가공조립</v>
          </cell>
          <cell r="C194" t="str">
            <v>(매우복잡)</v>
          </cell>
          <cell r="D194">
            <v>599.71100000000001</v>
          </cell>
          <cell r="E194" t="str">
            <v>TON</v>
          </cell>
        </row>
        <row r="195">
          <cell r="A195" t="str">
            <v>f</v>
          </cell>
          <cell r="B195" t="str">
            <v>합판거푸집</v>
          </cell>
        </row>
        <row r="196">
          <cell r="A196" t="str">
            <v>-1</v>
          </cell>
          <cell r="B196" t="str">
            <v>합판거푸집</v>
          </cell>
          <cell r="C196" t="str">
            <v>(3회)0-7M</v>
          </cell>
          <cell r="D196">
            <v>992</v>
          </cell>
          <cell r="E196" t="str">
            <v>㎡</v>
          </cell>
        </row>
        <row r="197">
          <cell r="A197" t="str">
            <v>-2</v>
          </cell>
          <cell r="B197" t="str">
            <v>합판거푸집</v>
          </cell>
          <cell r="C197" t="str">
            <v>(3회)7-10M</v>
          </cell>
          <cell r="D197">
            <v>228</v>
          </cell>
          <cell r="E197" t="str">
            <v>㎡</v>
          </cell>
        </row>
        <row r="198">
          <cell r="A198" t="str">
            <v>-3</v>
          </cell>
          <cell r="B198" t="str">
            <v>합판거푸집</v>
          </cell>
          <cell r="C198" t="str">
            <v>(3회)10-13M</v>
          </cell>
          <cell r="D198">
            <v>750</v>
          </cell>
          <cell r="E198" t="str">
            <v>㎡</v>
          </cell>
        </row>
        <row r="199">
          <cell r="A199" t="str">
            <v>-4</v>
          </cell>
          <cell r="B199" t="str">
            <v>원형거푸집</v>
          </cell>
          <cell r="C199" t="str">
            <v>(3회 0-7M)</v>
          </cell>
          <cell r="D199">
            <v>543</v>
          </cell>
          <cell r="E199" t="str">
            <v>㎡</v>
          </cell>
        </row>
        <row r="200">
          <cell r="A200" t="str">
            <v>-5</v>
          </cell>
          <cell r="B200" t="str">
            <v>원형거푸집</v>
          </cell>
          <cell r="C200" t="str">
            <v>(3회 7-10M)</v>
          </cell>
          <cell r="D200">
            <v>97</v>
          </cell>
          <cell r="E200" t="str">
            <v>㎡</v>
          </cell>
        </row>
        <row r="201">
          <cell r="A201" t="str">
            <v>-6</v>
          </cell>
          <cell r="B201" t="str">
            <v>합판거푸집</v>
          </cell>
          <cell r="C201" t="str">
            <v>(소형3회)</v>
          </cell>
          <cell r="D201">
            <v>4959</v>
          </cell>
          <cell r="E201" t="str">
            <v>㎡</v>
          </cell>
        </row>
        <row r="202">
          <cell r="A202" t="str">
            <v>-7</v>
          </cell>
          <cell r="B202" t="str">
            <v>합판거푸집</v>
          </cell>
          <cell r="C202" t="str">
            <v>(소형4회)</v>
          </cell>
          <cell r="D202">
            <v>877</v>
          </cell>
          <cell r="E202" t="str">
            <v>㎡</v>
          </cell>
        </row>
        <row r="203">
          <cell r="A203" t="str">
            <v>-8</v>
          </cell>
          <cell r="B203" t="str">
            <v>합판거푸집</v>
          </cell>
          <cell r="C203" t="str">
            <v>(소형6회)</v>
          </cell>
          <cell r="D203">
            <v>156</v>
          </cell>
          <cell r="E203" t="str">
            <v>㎡</v>
          </cell>
        </row>
        <row r="204">
          <cell r="A204" t="str">
            <v>g</v>
          </cell>
          <cell r="B204" t="str">
            <v>비계</v>
          </cell>
          <cell r="C204" t="str">
            <v>(강관)0-30M</v>
          </cell>
          <cell r="D204">
            <v>4087</v>
          </cell>
          <cell r="E204" t="str">
            <v>㎡</v>
          </cell>
        </row>
        <row r="205">
          <cell r="A205" t="str">
            <v>h</v>
          </cell>
          <cell r="B205" t="str">
            <v>동바리공</v>
          </cell>
        </row>
        <row r="206">
          <cell r="A206" t="str">
            <v>-1</v>
          </cell>
          <cell r="B206" t="str">
            <v>강관동바리</v>
          </cell>
          <cell r="C206" t="str">
            <v>(교량용)</v>
          </cell>
          <cell r="D206">
            <v>1974</v>
          </cell>
          <cell r="E206" t="str">
            <v>공㎥</v>
          </cell>
        </row>
        <row r="207">
          <cell r="A207" t="str">
            <v>-2</v>
          </cell>
          <cell r="B207" t="str">
            <v>동바리공</v>
          </cell>
          <cell r="C207" t="str">
            <v>(목재4회)</v>
          </cell>
          <cell r="D207">
            <v>6713</v>
          </cell>
          <cell r="E207" t="str">
            <v>공㎥</v>
          </cell>
        </row>
        <row r="208">
          <cell r="A208" t="str">
            <v>i</v>
          </cell>
          <cell r="B208" t="str">
            <v>무수축콘크리트</v>
          </cell>
        </row>
        <row r="209">
          <cell r="A209" t="str">
            <v>-1</v>
          </cell>
          <cell r="B209" t="str">
            <v>무수축몰탈</v>
          </cell>
          <cell r="C209" t="str">
            <v>1:1</v>
          </cell>
          <cell r="D209">
            <v>2.42</v>
          </cell>
          <cell r="E209" t="str">
            <v>㎥</v>
          </cell>
        </row>
        <row r="210">
          <cell r="A210" t="str">
            <v>-2</v>
          </cell>
          <cell r="B210" t="str">
            <v>무수축콘크리트</v>
          </cell>
          <cell r="D210">
            <v>13.27</v>
          </cell>
          <cell r="E210" t="str">
            <v>㎥</v>
          </cell>
        </row>
        <row r="211">
          <cell r="A211" t="str">
            <v>j</v>
          </cell>
          <cell r="B211" t="str">
            <v>교좌장치공</v>
          </cell>
        </row>
        <row r="212">
          <cell r="A212" t="str">
            <v>-1</v>
          </cell>
          <cell r="B212" t="str">
            <v>POT BEARING</v>
          </cell>
          <cell r="C212" t="str">
            <v>일방향(200TON)</v>
          </cell>
          <cell r="D212">
            <v>8</v>
          </cell>
          <cell r="E212" t="str">
            <v>EA</v>
          </cell>
        </row>
        <row r="213">
          <cell r="A213" t="str">
            <v>-2</v>
          </cell>
          <cell r="B213" t="str">
            <v>POT BEARING</v>
          </cell>
          <cell r="C213" t="str">
            <v>양방향(200TON)</v>
          </cell>
          <cell r="D213">
            <v>24</v>
          </cell>
          <cell r="E213" t="str">
            <v>EA</v>
          </cell>
        </row>
        <row r="214">
          <cell r="A214" t="str">
            <v>-3</v>
          </cell>
          <cell r="B214" t="str">
            <v>POT BEARING</v>
          </cell>
          <cell r="C214" t="str">
            <v>고정단(400TON)</v>
          </cell>
          <cell r="D214">
            <v>4</v>
          </cell>
          <cell r="E214" t="str">
            <v>EA</v>
          </cell>
        </row>
        <row r="215">
          <cell r="A215" t="str">
            <v>-4</v>
          </cell>
          <cell r="B215" t="str">
            <v>POT BEARING</v>
          </cell>
          <cell r="C215" t="str">
            <v>일방향(400TON)</v>
          </cell>
          <cell r="D215">
            <v>16</v>
          </cell>
          <cell r="E215" t="str">
            <v>EA</v>
          </cell>
        </row>
        <row r="216">
          <cell r="A216" t="str">
            <v>-5</v>
          </cell>
          <cell r="B216" t="str">
            <v>POT BEARING</v>
          </cell>
          <cell r="C216" t="str">
            <v>양방향(400TON)</v>
          </cell>
          <cell r="D216">
            <v>12</v>
          </cell>
          <cell r="E216" t="str">
            <v>EA</v>
          </cell>
        </row>
        <row r="217">
          <cell r="A217" t="str">
            <v>k</v>
          </cell>
          <cell r="B217" t="str">
            <v>신축이음장치</v>
          </cell>
          <cell r="C217" t="str">
            <v>(NO100)</v>
          </cell>
          <cell r="D217">
            <v>58</v>
          </cell>
          <cell r="E217" t="str">
            <v>M</v>
          </cell>
        </row>
        <row r="218">
          <cell r="A218" t="str">
            <v>l</v>
          </cell>
          <cell r="B218" t="str">
            <v>표면처리공</v>
          </cell>
        </row>
        <row r="219">
          <cell r="A219" t="str">
            <v>-1</v>
          </cell>
          <cell r="B219" t="str">
            <v>면고르기</v>
          </cell>
          <cell r="C219" t="str">
            <v>DECK FINISHER</v>
          </cell>
          <cell r="D219">
            <v>5550</v>
          </cell>
          <cell r="E219" t="str">
            <v>㎡</v>
          </cell>
        </row>
        <row r="220">
          <cell r="A220" t="str">
            <v>-2</v>
          </cell>
          <cell r="B220" t="str">
            <v>슬라브양생</v>
          </cell>
          <cell r="C220" t="str">
            <v>(도막양생)</v>
          </cell>
          <cell r="D220">
            <v>5550</v>
          </cell>
          <cell r="E220" t="str">
            <v>㎡</v>
          </cell>
        </row>
        <row r="221">
          <cell r="A221" t="str">
            <v>-3</v>
          </cell>
          <cell r="B221" t="str">
            <v>교면방수</v>
          </cell>
          <cell r="C221" t="str">
            <v>(도막방수)</v>
          </cell>
          <cell r="D221">
            <v>5550</v>
          </cell>
          <cell r="E221" t="str">
            <v>㎡</v>
          </cell>
        </row>
        <row r="222">
          <cell r="A222" t="str">
            <v>m</v>
          </cell>
          <cell r="B222" t="str">
            <v>교량명판공</v>
          </cell>
        </row>
        <row r="223">
          <cell r="A223" t="str">
            <v>-1</v>
          </cell>
          <cell r="B223" t="str">
            <v>교명주</v>
          </cell>
          <cell r="C223" t="str">
            <v>(1000*500*350)</v>
          </cell>
          <cell r="D223">
            <v>4</v>
          </cell>
          <cell r="E223" t="str">
            <v>EA</v>
          </cell>
        </row>
        <row r="224">
          <cell r="A224" t="str">
            <v>-2</v>
          </cell>
          <cell r="B224" t="str">
            <v>교명판</v>
          </cell>
          <cell r="C224" t="str">
            <v>(200X450X10)</v>
          </cell>
          <cell r="D224">
            <v>2</v>
          </cell>
          <cell r="E224" t="str">
            <v>EA</v>
          </cell>
        </row>
        <row r="225">
          <cell r="A225" t="str">
            <v>-3</v>
          </cell>
          <cell r="B225" t="str">
            <v>설명판</v>
          </cell>
          <cell r="C225" t="str">
            <v>(500X300X10)</v>
          </cell>
          <cell r="D225">
            <v>2</v>
          </cell>
          <cell r="E225" t="str">
            <v>EA</v>
          </cell>
        </row>
        <row r="226">
          <cell r="A226" t="str">
            <v>-4</v>
          </cell>
          <cell r="B226" t="str">
            <v>TBM 설치</v>
          </cell>
          <cell r="D226">
            <v>2</v>
          </cell>
          <cell r="E226" t="str">
            <v>EA</v>
          </cell>
        </row>
        <row r="227">
          <cell r="A227" t="str">
            <v>n</v>
          </cell>
          <cell r="B227" t="str">
            <v>다월바설치</v>
          </cell>
          <cell r="D227">
            <v>92</v>
          </cell>
          <cell r="E227" t="str">
            <v>EA</v>
          </cell>
        </row>
        <row r="228">
          <cell r="A228" t="str">
            <v>o</v>
          </cell>
          <cell r="B228" t="str">
            <v>신축이음</v>
          </cell>
        </row>
        <row r="229">
          <cell r="A229" t="str">
            <v>-1</v>
          </cell>
          <cell r="B229" t="str">
            <v>스치로폴</v>
          </cell>
          <cell r="C229" t="str">
            <v>(시공이음T=10M)</v>
          </cell>
          <cell r="D229">
            <v>71</v>
          </cell>
          <cell r="E229" t="str">
            <v>㎡</v>
          </cell>
        </row>
        <row r="230">
          <cell r="A230" t="str">
            <v>-2</v>
          </cell>
          <cell r="B230" t="str">
            <v>스치로폴</v>
          </cell>
          <cell r="C230" t="str">
            <v>(신축이음T=20M/M)</v>
          </cell>
          <cell r="D230">
            <v>14</v>
          </cell>
          <cell r="E230" t="str">
            <v>㎡</v>
          </cell>
        </row>
        <row r="231">
          <cell r="A231" t="str">
            <v>p</v>
          </cell>
          <cell r="B231" t="str">
            <v>교량용배수구</v>
          </cell>
        </row>
        <row r="232">
          <cell r="A232" t="str">
            <v>-1</v>
          </cell>
          <cell r="B232" t="str">
            <v>집수구</v>
          </cell>
          <cell r="C232" t="str">
            <v>(주철)</v>
          </cell>
          <cell r="D232">
            <v>28</v>
          </cell>
          <cell r="E232" t="str">
            <v>EA</v>
          </cell>
        </row>
        <row r="233">
          <cell r="A233" t="str">
            <v>-2</v>
          </cell>
          <cell r="B233" t="str">
            <v>연결배수구</v>
          </cell>
          <cell r="C233" t="str">
            <v>(스텐레스)</v>
          </cell>
          <cell r="D233">
            <v>10</v>
          </cell>
          <cell r="E233" t="str">
            <v>EA</v>
          </cell>
        </row>
        <row r="234">
          <cell r="A234" t="str">
            <v>-3</v>
          </cell>
          <cell r="B234" t="str">
            <v>직관</v>
          </cell>
          <cell r="C234" t="str">
            <v>(Φ150)</v>
          </cell>
          <cell r="D234">
            <v>192</v>
          </cell>
          <cell r="E234" t="str">
            <v>M</v>
          </cell>
        </row>
        <row r="235">
          <cell r="A235" t="str">
            <v>-4</v>
          </cell>
          <cell r="B235" t="str">
            <v>육교용곡관</v>
          </cell>
          <cell r="D235">
            <v>22</v>
          </cell>
          <cell r="E235" t="str">
            <v>EA</v>
          </cell>
        </row>
        <row r="236">
          <cell r="A236" t="str">
            <v>-5</v>
          </cell>
          <cell r="B236" t="str">
            <v>연결부</v>
          </cell>
          <cell r="C236" t="str">
            <v>(스텐레스)</v>
          </cell>
          <cell r="D236">
            <v>192</v>
          </cell>
          <cell r="E236" t="str">
            <v>EA</v>
          </cell>
        </row>
        <row r="237">
          <cell r="A237" t="str">
            <v>-6</v>
          </cell>
          <cell r="B237" t="str">
            <v>하천용배수구</v>
          </cell>
          <cell r="C237" t="str">
            <v>(아연도강관D=150MM)</v>
          </cell>
          <cell r="D237">
            <v>56</v>
          </cell>
          <cell r="E237" t="str">
            <v>M</v>
          </cell>
        </row>
        <row r="238">
          <cell r="A238" t="str">
            <v>q</v>
          </cell>
          <cell r="B238" t="str">
            <v>전선관</v>
          </cell>
          <cell r="C238" t="str">
            <v>P.V.C PIPE</v>
          </cell>
          <cell r="D238">
            <v>575</v>
          </cell>
          <cell r="E238" t="str">
            <v>M</v>
          </cell>
        </row>
        <row r="239">
          <cell r="A239" t="str">
            <v>r</v>
          </cell>
          <cell r="B239" t="str">
            <v>강교가설</v>
          </cell>
        </row>
        <row r="240">
          <cell r="A240" t="str">
            <v>-1</v>
          </cell>
          <cell r="B240" t="str">
            <v>강교제작</v>
          </cell>
          <cell r="C240" t="str">
            <v>(진산교)</v>
          </cell>
          <cell r="D240">
            <v>2208.748</v>
          </cell>
          <cell r="E240" t="str">
            <v>TON</v>
          </cell>
        </row>
        <row r="241">
          <cell r="A241" t="str">
            <v>-2</v>
          </cell>
          <cell r="B241" t="str">
            <v>강교운반및가설</v>
          </cell>
          <cell r="C241" t="str">
            <v>(진산교)</v>
          </cell>
          <cell r="D241">
            <v>2208.748</v>
          </cell>
          <cell r="E241" t="str">
            <v>TON</v>
          </cell>
        </row>
        <row r="242">
          <cell r="A242" t="str">
            <v>-3</v>
          </cell>
          <cell r="B242" t="str">
            <v>내부도장</v>
          </cell>
          <cell r="C242" t="str">
            <v>(공장)</v>
          </cell>
          <cell r="D242">
            <v>22599</v>
          </cell>
          <cell r="E242" t="str">
            <v>㎡</v>
          </cell>
        </row>
        <row r="243">
          <cell r="A243" t="str">
            <v>-4</v>
          </cell>
          <cell r="B243" t="str">
            <v>연결판도장</v>
          </cell>
          <cell r="C243" t="str">
            <v>(공장)</v>
          </cell>
          <cell r="D243">
            <v>2103</v>
          </cell>
          <cell r="E243" t="str">
            <v>㎡</v>
          </cell>
        </row>
        <row r="244">
          <cell r="A244" t="str">
            <v>-5</v>
          </cell>
          <cell r="B244" t="str">
            <v>내부볼트및연결판도장</v>
          </cell>
          <cell r="C244" t="str">
            <v>(현장)</v>
          </cell>
          <cell r="D244">
            <v>587</v>
          </cell>
          <cell r="E244" t="str">
            <v>㎡</v>
          </cell>
        </row>
        <row r="245">
          <cell r="A245" t="str">
            <v>-6</v>
          </cell>
          <cell r="B245" t="str">
            <v>외부도장</v>
          </cell>
          <cell r="C245" t="str">
            <v>(공장)</v>
          </cell>
          <cell r="D245">
            <v>14727</v>
          </cell>
          <cell r="E245" t="str">
            <v>㎡</v>
          </cell>
        </row>
        <row r="246">
          <cell r="A246" t="str">
            <v>-7</v>
          </cell>
          <cell r="B246" t="str">
            <v>외부포장면도장</v>
          </cell>
          <cell r="C246" t="str">
            <v>(공장)</v>
          </cell>
          <cell r="D246">
            <v>2990</v>
          </cell>
          <cell r="E246" t="str">
            <v>㎡</v>
          </cell>
        </row>
        <row r="247">
          <cell r="A247" t="str">
            <v>-8</v>
          </cell>
          <cell r="B247" t="str">
            <v>외부볼트및연결판도장</v>
          </cell>
          <cell r="C247" t="str">
            <v>(현장)</v>
          </cell>
          <cell r="D247">
            <v>1516</v>
          </cell>
          <cell r="E247" t="str">
            <v>㎡</v>
          </cell>
        </row>
        <row r="248">
          <cell r="A248" t="str">
            <v>-9</v>
          </cell>
          <cell r="B248" t="str">
            <v>외부도장</v>
          </cell>
          <cell r="C248" t="str">
            <v>(현장)</v>
          </cell>
          <cell r="D248">
            <v>2209</v>
          </cell>
          <cell r="E248" t="str">
            <v>㎡</v>
          </cell>
        </row>
        <row r="249">
          <cell r="A249" t="str">
            <v>s</v>
          </cell>
          <cell r="B249" t="str">
            <v>기타공</v>
          </cell>
        </row>
        <row r="250">
          <cell r="A250" t="str">
            <v>-1</v>
          </cell>
          <cell r="B250" t="str">
            <v>낙교방지책</v>
          </cell>
          <cell r="C250" t="str">
            <v>(2SHOE,TYPE-1)</v>
          </cell>
          <cell r="D250">
            <v>8</v>
          </cell>
          <cell r="E250" t="str">
            <v>EA</v>
          </cell>
        </row>
        <row r="251">
          <cell r="A251" t="str">
            <v>-2</v>
          </cell>
          <cell r="B251" t="str">
            <v>낙교방지책</v>
          </cell>
          <cell r="C251" t="str">
            <v>(2SHOE,TYPE-2)</v>
          </cell>
          <cell r="D251">
            <v>16</v>
          </cell>
          <cell r="E251" t="str">
            <v>EA</v>
          </cell>
        </row>
        <row r="252">
          <cell r="A252" t="str">
            <v>-3</v>
          </cell>
          <cell r="B252" t="str">
            <v>낙교방지책</v>
          </cell>
          <cell r="C252" t="str">
            <v>(2SHOE, TYPE-3)</v>
          </cell>
          <cell r="D252">
            <v>8</v>
          </cell>
          <cell r="E252" t="str">
            <v>EA</v>
          </cell>
        </row>
        <row r="253">
          <cell r="A253" t="str">
            <v>-4</v>
          </cell>
          <cell r="B253" t="str">
            <v>안전점검통로</v>
          </cell>
          <cell r="C253" t="str">
            <v>교축방향(TYPE-1)</v>
          </cell>
          <cell r="D253">
            <v>122</v>
          </cell>
          <cell r="E253" t="str">
            <v>개소</v>
          </cell>
        </row>
        <row r="254">
          <cell r="A254" t="str">
            <v>-5</v>
          </cell>
          <cell r="B254" t="str">
            <v>안전점검통로(진산교)</v>
          </cell>
          <cell r="C254" t="str">
            <v>교축직각방향TYPE-1</v>
          </cell>
          <cell r="D254">
            <v>8</v>
          </cell>
          <cell r="E254" t="str">
            <v>개소</v>
          </cell>
        </row>
        <row r="255">
          <cell r="A255" t="str">
            <v>-6</v>
          </cell>
          <cell r="B255" t="str">
            <v>안전점검통로(진산교)</v>
          </cell>
          <cell r="C255" t="str">
            <v>교축직각방향TYPE-2</v>
          </cell>
          <cell r="D255">
            <v>2</v>
          </cell>
          <cell r="E255" t="str">
            <v>개소</v>
          </cell>
        </row>
        <row r="256">
          <cell r="A256" t="str">
            <v>-7</v>
          </cell>
          <cell r="B256" t="str">
            <v>내부출입구설치</v>
          </cell>
          <cell r="C256" t="str">
            <v>LOWER FLANGE</v>
          </cell>
          <cell r="D256">
            <v>16</v>
          </cell>
          <cell r="E256" t="str">
            <v>EA</v>
          </cell>
        </row>
        <row r="257">
          <cell r="A257" t="str">
            <v>-8</v>
          </cell>
          <cell r="B257" t="str">
            <v>내부출입구설치</v>
          </cell>
          <cell r="C257" t="str">
            <v>DIAPHRAGM</v>
          </cell>
          <cell r="D257">
            <v>16</v>
          </cell>
          <cell r="E257" t="str">
            <v>EA</v>
          </cell>
        </row>
        <row r="258">
          <cell r="A258" t="str">
            <v>-9</v>
          </cell>
          <cell r="B258" t="str">
            <v>내부출입구설치</v>
          </cell>
          <cell r="C258" t="str">
            <v>WEB</v>
          </cell>
          <cell r="D258">
            <v>16</v>
          </cell>
          <cell r="E258" t="str">
            <v>EA</v>
          </cell>
        </row>
        <row r="259">
          <cell r="A259" t="str">
            <v>-10</v>
          </cell>
          <cell r="B259" t="str">
            <v>환풍기받침대설치</v>
          </cell>
          <cell r="D259">
            <v>24</v>
          </cell>
          <cell r="E259" t="str">
            <v>EA</v>
          </cell>
        </row>
        <row r="260">
          <cell r="A260" t="str">
            <v>t</v>
          </cell>
          <cell r="B260" t="str">
            <v>가  도</v>
          </cell>
        </row>
        <row r="261">
          <cell r="A261" t="str">
            <v>-1</v>
          </cell>
          <cell r="B261" t="str">
            <v>가도공흙쌓기</v>
          </cell>
          <cell r="D261">
            <v>1973</v>
          </cell>
          <cell r="E261" t="str">
            <v>M3</v>
          </cell>
        </row>
        <row r="262">
          <cell r="A262" t="str">
            <v>-2</v>
          </cell>
          <cell r="B262" t="str">
            <v>가마니쌓기및헐기</v>
          </cell>
          <cell r="D262">
            <v>564</v>
          </cell>
          <cell r="E262" t="str">
            <v>M2</v>
          </cell>
        </row>
        <row r="263">
          <cell r="A263" t="str">
            <v>V</v>
          </cell>
          <cell r="B263" t="str">
            <v>가시설</v>
          </cell>
          <cell r="C263" t="str">
            <v>(교각부)</v>
          </cell>
        </row>
        <row r="264">
          <cell r="A264" t="str">
            <v>-1</v>
          </cell>
          <cell r="B264" t="str">
            <v>강널말뚝자재비</v>
          </cell>
          <cell r="C264" t="str">
            <v>400*150*13</v>
          </cell>
          <cell r="D264">
            <v>252.28</v>
          </cell>
          <cell r="E264" t="str">
            <v>TON</v>
          </cell>
        </row>
        <row r="265">
          <cell r="A265" t="str">
            <v>-2</v>
          </cell>
          <cell r="B265" t="str">
            <v>강널말뚝 항타(진산교</v>
          </cell>
          <cell r="C265" t="str">
            <v>400*150*13(가시설용)</v>
          </cell>
          <cell r="D265">
            <v>2612</v>
          </cell>
          <cell r="E265" t="str">
            <v>M</v>
          </cell>
        </row>
        <row r="266">
          <cell r="A266" t="str">
            <v>-3</v>
          </cell>
          <cell r="B266" t="str">
            <v>강널말뚝 뽑기진산교</v>
          </cell>
          <cell r="C266" t="str">
            <v>(가시설용)</v>
          </cell>
          <cell r="D266">
            <v>2612</v>
          </cell>
          <cell r="E266" t="str">
            <v>M</v>
          </cell>
        </row>
        <row r="267">
          <cell r="A267" t="str">
            <v>-4</v>
          </cell>
          <cell r="B267" t="str">
            <v>띠장설치및철거</v>
          </cell>
          <cell r="C267" t="str">
            <v>진산교300*300*10*15</v>
          </cell>
          <cell r="D267">
            <v>337</v>
          </cell>
          <cell r="E267" t="str">
            <v>M</v>
          </cell>
        </row>
        <row r="268">
          <cell r="A268" t="str">
            <v>-5</v>
          </cell>
          <cell r="B268" t="str">
            <v>L형강설치및철거</v>
          </cell>
          <cell r="C268" t="str">
            <v>100*100*10</v>
          </cell>
          <cell r="D268">
            <v>85</v>
          </cell>
          <cell r="E268" t="str">
            <v>M</v>
          </cell>
        </row>
        <row r="269">
          <cell r="A269" t="str">
            <v>-6</v>
          </cell>
          <cell r="B269" t="str">
            <v>보걸이 설치</v>
          </cell>
          <cell r="D269">
            <v>168</v>
          </cell>
          <cell r="E269" t="str">
            <v>EA</v>
          </cell>
        </row>
        <row r="270">
          <cell r="A270" t="str">
            <v>-7</v>
          </cell>
          <cell r="B270" t="str">
            <v>강판설치</v>
          </cell>
          <cell r="D270">
            <v>17.803999999999998</v>
          </cell>
          <cell r="E270" t="str">
            <v>TON</v>
          </cell>
        </row>
        <row r="271">
          <cell r="A271" t="str">
            <v>w</v>
          </cell>
          <cell r="B271" t="str">
            <v>가교가설(진산교)</v>
          </cell>
          <cell r="C271" t="str">
            <v>(L=120M,B=8.0M)</v>
          </cell>
          <cell r="D271">
            <v>1</v>
          </cell>
          <cell r="E271" t="str">
            <v>L.S</v>
          </cell>
        </row>
        <row r="272">
          <cell r="A272" t="str">
            <v>x</v>
          </cell>
          <cell r="B272" t="str">
            <v>검사시험</v>
          </cell>
        </row>
        <row r="273">
          <cell r="A273" t="str">
            <v>-1</v>
          </cell>
          <cell r="B273" t="str">
            <v>방사선투과검사</v>
          </cell>
          <cell r="C273" t="str">
            <v>R.T</v>
          </cell>
          <cell r="D273">
            <v>77</v>
          </cell>
          <cell r="E273" t="str">
            <v>SHEET</v>
          </cell>
        </row>
        <row r="274">
          <cell r="A274" t="str">
            <v>-2</v>
          </cell>
          <cell r="B274" t="str">
            <v>초음파탐상검사</v>
          </cell>
          <cell r="C274" t="str">
            <v>U.T</v>
          </cell>
          <cell r="D274">
            <v>55</v>
          </cell>
          <cell r="E274" t="str">
            <v>M</v>
          </cell>
        </row>
        <row r="275">
          <cell r="A275" t="str">
            <v>y</v>
          </cell>
          <cell r="B275" t="str">
            <v>자재비</v>
          </cell>
        </row>
        <row r="276">
          <cell r="A276" t="str">
            <v>-1</v>
          </cell>
          <cell r="B276" t="str">
            <v>레미콘</v>
          </cell>
          <cell r="C276" t="str">
            <v>25-240-12</v>
          </cell>
          <cell r="D276">
            <v>1872</v>
          </cell>
          <cell r="E276" t="str">
            <v>㎥</v>
          </cell>
        </row>
        <row r="277">
          <cell r="A277" t="str">
            <v>-2</v>
          </cell>
          <cell r="B277" t="str">
            <v>레미콘</v>
          </cell>
          <cell r="C277" t="str">
            <v>25-210-12</v>
          </cell>
          <cell r="D277">
            <v>3539</v>
          </cell>
          <cell r="E277" t="str">
            <v>㎥</v>
          </cell>
        </row>
        <row r="278">
          <cell r="A278" t="str">
            <v>-3</v>
          </cell>
          <cell r="B278" t="str">
            <v>레미콘</v>
          </cell>
          <cell r="C278" t="str">
            <v>40-180-8</v>
          </cell>
          <cell r="D278">
            <v>239</v>
          </cell>
          <cell r="E278" t="str">
            <v>㎥</v>
          </cell>
        </row>
        <row r="279">
          <cell r="A279" t="str">
            <v>-4</v>
          </cell>
          <cell r="B279" t="str">
            <v>레미콘</v>
          </cell>
          <cell r="C279" t="str">
            <v>40-160-8</v>
          </cell>
          <cell r="D279">
            <v>350</v>
          </cell>
          <cell r="E279" t="str">
            <v>㎥</v>
          </cell>
        </row>
        <row r="280">
          <cell r="A280" t="str">
            <v>-5</v>
          </cell>
          <cell r="B280" t="str">
            <v>시멘트</v>
          </cell>
          <cell r="C280" t="str">
            <v>40㎏/대</v>
          </cell>
          <cell r="D280">
            <v>260</v>
          </cell>
          <cell r="E280" t="str">
            <v>대</v>
          </cell>
        </row>
        <row r="281">
          <cell r="A281" t="str">
            <v>-6</v>
          </cell>
          <cell r="B281" t="str">
            <v>철근</v>
          </cell>
          <cell r="C281" t="str">
            <v>SD40 H16M/M 이상</v>
          </cell>
          <cell r="D281">
            <v>580.03200000000004</v>
          </cell>
          <cell r="E281" t="str">
            <v>TON</v>
          </cell>
        </row>
        <row r="282">
          <cell r="A282" t="str">
            <v>-7</v>
          </cell>
          <cell r="B282" t="str">
            <v>철근</v>
          </cell>
          <cell r="C282" t="str">
            <v>SD40 H13M/M</v>
          </cell>
          <cell r="D282">
            <v>4.556</v>
          </cell>
          <cell r="E282" t="str">
            <v>TON</v>
          </cell>
        </row>
        <row r="283">
          <cell r="A283" t="str">
            <v>-8</v>
          </cell>
          <cell r="B283" t="str">
            <v>철근</v>
          </cell>
          <cell r="C283" t="str">
            <v>SD30 D16M/M 이상</v>
          </cell>
          <cell r="D283">
            <v>788.351</v>
          </cell>
          <cell r="E283" t="str">
            <v>TON</v>
          </cell>
        </row>
        <row r="284">
          <cell r="A284" t="str">
            <v>-9</v>
          </cell>
          <cell r="B284" t="str">
            <v>철근</v>
          </cell>
          <cell r="C284" t="str">
            <v>SD30 D13M/M</v>
          </cell>
          <cell r="D284">
            <v>17.175000000000001</v>
          </cell>
          <cell r="E284" t="str">
            <v>TON</v>
          </cell>
        </row>
        <row r="285">
          <cell r="A285" t="str">
            <v>3.02</v>
          </cell>
          <cell r="B285" t="str">
            <v>건계정교(S.T BOX)</v>
          </cell>
          <cell r="C285" t="str">
            <v>L=188.0, B=21.0</v>
          </cell>
        </row>
        <row r="286">
          <cell r="A286" t="str">
            <v>a</v>
          </cell>
          <cell r="B286" t="str">
            <v>토  공</v>
          </cell>
        </row>
        <row r="287">
          <cell r="A287" t="str">
            <v>-1</v>
          </cell>
          <cell r="B287" t="str">
            <v>구조물터파기</v>
          </cell>
          <cell r="C287" t="str">
            <v>(육상발파암:0-4M)</v>
          </cell>
          <cell r="D287">
            <v>1714</v>
          </cell>
          <cell r="E287" t="str">
            <v>㎥</v>
          </cell>
        </row>
        <row r="288">
          <cell r="A288" t="str">
            <v>-2</v>
          </cell>
          <cell r="B288" t="str">
            <v>구조물터파기</v>
          </cell>
          <cell r="C288" t="str">
            <v>(육상발파암:4M이상)</v>
          </cell>
          <cell r="D288">
            <v>1938</v>
          </cell>
          <cell r="E288" t="str">
            <v>㎥</v>
          </cell>
        </row>
        <row r="289">
          <cell r="A289" t="str">
            <v>-3</v>
          </cell>
          <cell r="B289" t="str">
            <v>구조물터파기</v>
          </cell>
          <cell r="C289" t="str">
            <v>(수중토사:0-4M)</v>
          </cell>
          <cell r="D289">
            <v>1803</v>
          </cell>
          <cell r="E289" t="str">
            <v>㎥</v>
          </cell>
        </row>
        <row r="290">
          <cell r="A290" t="str">
            <v>-4</v>
          </cell>
          <cell r="B290" t="str">
            <v>구조물터파기</v>
          </cell>
          <cell r="C290" t="str">
            <v>(수중발파암:0-4M)</v>
          </cell>
          <cell r="D290">
            <v>2136</v>
          </cell>
          <cell r="E290" t="str">
            <v>㎥</v>
          </cell>
        </row>
        <row r="291">
          <cell r="A291" t="str">
            <v>-5</v>
          </cell>
          <cell r="B291" t="str">
            <v>구조물터파기</v>
          </cell>
          <cell r="C291" t="str">
            <v>(수중발파암:4M이상)</v>
          </cell>
          <cell r="D291">
            <v>1131</v>
          </cell>
          <cell r="E291" t="str">
            <v>㎥</v>
          </cell>
        </row>
        <row r="292">
          <cell r="A292" t="str">
            <v>-6</v>
          </cell>
          <cell r="B292" t="str">
            <v>되메우기및다짐</v>
          </cell>
          <cell r="C292" t="str">
            <v>(인력30%+기계70%)</v>
          </cell>
          <cell r="D292">
            <v>5665</v>
          </cell>
          <cell r="E292" t="str">
            <v>㎥</v>
          </cell>
        </row>
        <row r="293">
          <cell r="A293" t="str">
            <v>-7</v>
          </cell>
          <cell r="B293" t="str">
            <v>물푸기</v>
          </cell>
          <cell r="C293" t="str">
            <v>(교량등대형구조물)</v>
          </cell>
          <cell r="D293">
            <v>213</v>
          </cell>
          <cell r="E293" t="str">
            <v>HR</v>
          </cell>
        </row>
        <row r="294">
          <cell r="A294" t="str">
            <v>-8</v>
          </cell>
          <cell r="B294" t="str">
            <v>뒷채움및다짐</v>
          </cell>
          <cell r="D294">
            <v>1507</v>
          </cell>
          <cell r="E294" t="str">
            <v>㎥</v>
          </cell>
        </row>
        <row r="295">
          <cell r="A295" t="str">
            <v>-9</v>
          </cell>
          <cell r="B295" t="str">
            <v>면정리및청소</v>
          </cell>
          <cell r="C295" t="str">
            <v>육상</v>
          </cell>
          <cell r="D295">
            <v>1001</v>
          </cell>
          <cell r="E295" t="str">
            <v>M2</v>
          </cell>
        </row>
        <row r="296">
          <cell r="A296" t="str">
            <v>b</v>
          </cell>
          <cell r="B296" t="str">
            <v>콘크리트타설</v>
          </cell>
        </row>
        <row r="297">
          <cell r="A297" t="str">
            <v>-1</v>
          </cell>
          <cell r="B297" t="str">
            <v>철근콘크리트타설</v>
          </cell>
          <cell r="C297" t="str">
            <v>펌프카타설(0-15M)</v>
          </cell>
          <cell r="D297">
            <v>4559</v>
          </cell>
          <cell r="E297" t="str">
            <v>㎥</v>
          </cell>
        </row>
        <row r="298">
          <cell r="A298" t="str">
            <v>-2</v>
          </cell>
          <cell r="B298" t="str">
            <v>철근콘크리트타설</v>
          </cell>
          <cell r="C298" t="str">
            <v>펌프카타설(15M이상)</v>
          </cell>
          <cell r="D298">
            <v>741</v>
          </cell>
          <cell r="E298" t="str">
            <v>㎥</v>
          </cell>
        </row>
        <row r="299">
          <cell r="A299" t="str">
            <v>-3</v>
          </cell>
          <cell r="B299" t="str">
            <v>무근콘크리트타설</v>
          </cell>
          <cell r="C299" t="str">
            <v>(진동기제외)</v>
          </cell>
          <cell r="D299">
            <v>183</v>
          </cell>
          <cell r="E299" t="str">
            <v>㎥</v>
          </cell>
        </row>
        <row r="300">
          <cell r="A300" t="str">
            <v>c</v>
          </cell>
          <cell r="B300" t="str">
            <v>스페이셔설치</v>
          </cell>
        </row>
        <row r="301">
          <cell r="A301" t="str">
            <v>-1</v>
          </cell>
          <cell r="B301" t="str">
            <v>스페이셔설치</v>
          </cell>
          <cell r="C301" t="str">
            <v>벽체용</v>
          </cell>
          <cell r="D301">
            <v>3983</v>
          </cell>
          <cell r="E301" t="str">
            <v>㎡</v>
          </cell>
        </row>
        <row r="302">
          <cell r="A302" t="str">
            <v>-2</v>
          </cell>
          <cell r="B302" t="str">
            <v>스페이서설치</v>
          </cell>
          <cell r="C302" t="str">
            <v>슬라브용</v>
          </cell>
          <cell r="D302">
            <v>4728</v>
          </cell>
          <cell r="E302" t="str">
            <v>㎡</v>
          </cell>
        </row>
        <row r="303">
          <cell r="A303" t="str">
            <v>d</v>
          </cell>
          <cell r="B303" t="str">
            <v>철근가공조립</v>
          </cell>
        </row>
        <row r="304">
          <cell r="A304" t="str">
            <v>-1</v>
          </cell>
          <cell r="B304" t="str">
            <v>철근가공조립</v>
          </cell>
          <cell r="C304" t="str">
            <v>(보통)</v>
          </cell>
          <cell r="D304">
            <v>184.49199999999999</v>
          </cell>
          <cell r="E304" t="str">
            <v>TON</v>
          </cell>
        </row>
        <row r="305">
          <cell r="A305" t="str">
            <v>-2</v>
          </cell>
          <cell r="B305" t="str">
            <v>철근가공조립</v>
          </cell>
          <cell r="C305" t="str">
            <v>(복잡)</v>
          </cell>
          <cell r="D305">
            <v>424.32499999999999</v>
          </cell>
          <cell r="E305" t="str">
            <v>TON</v>
          </cell>
        </row>
        <row r="306">
          <cell r="A306" t="str">
            <v>-3</v>
          </cell>
          <cell r="B306" t="str">
            <v>철근가공조립</v>
          </cell>
          <cell r="C306" t="str">
            <v>(매우복잡)</v>
          </cell>
          <cell r="D306">
            <v>705.37199999999996</v>
          </cell>
          <cell r="E306" t="str">
            <v>TON</v>
          </cell>
        </row>
        <row r="307">
          <cell r="A307" t="str">
            <v>e</v>
          </cell>
          <cell r="B307" t="str">
            <v>합판거푸집</v>
          </cell>
        </row>
        <row r="308">
          <cell r="A308" t="str">
            <v>-1</v>
          </cell>
          <cell r="B308" t="str">
            <v>합판거푸집</v>
          </cell>
          <cell r="C308" t="str">
            <v>(3회)0-7M</v>
          </cell>
          <cell r="D308">
            <v>1083</v>
          </cell>
          <cell r="E308" t="str">
            <v>㎡</v>
          </cell>
        </row>
        <row r="309">
          <cell r="A309" t="str">
            <v>-2</v>
          </cell>
          <cell r="B309" t="str">
            <v>합판거푸집</v>
          </cell>
          <cell r="C309" t="str">
            <v>(3회)7-10M</v>
          </cell>
          <cell r="D309">
            <v>292</v>
          </cell>
          <cell r="E309" t="str">
            <v>㎡</v>
          </cell>
        </row>
        <row r="310">
          <cell r="A310" t="str">
            <v>-3</v>
          </cell>
          <cell r="B310" t="str">
            <v>합판거푸집</v>
          </cell>
          <cell r="C310" t="str">
            <v>(3회)19-22M</v>
          </cell>
          <cell r="D310">
            <v>126</v>
          </cell>
          <cell r="E310" t="str">
            <v>㎡</v>
          </cell>
        </row>
        <row r="311">
          <cell r="A311" t="str">
            <v>-4</v>
          </cell>
          <cell r="B311" t="str">
            <v>합판거푸집</v>
          </cell>
          <cell r="C311" t="str">
            <v>(3회)22-25M</v>
          </cell>
          <cell r="D311">
            <v>126</v>
          </cell>
          <cell r="E311" t="str">
            <v>㎡</v>
          </cell>
        </row>
        <row r="312">
          <cell r="A312" t="str">
            <v>-5</v>
          </cell>
          <cell r="B312" t="str">
            <v>합판거푸집</v>
          </cell>
          <cell r="C312" t="str">
            <v>(3회)25-28M</v>
          </cell>
          <cell r="D312">
            <v>125</v>
          </cell>
          <cell r="E312" t="str">
            <v>㎡</v>
          </cell>
        </row>
        <row r="313">
          <cell r="A313" t="str">
            <v>-6</v>
          </cell>
          <cell r="B313" t="str">
            <v>원형거푸집</v>
          </cell>
          <cell r="C313" t="str">
            <v>(3회 0-7M)</v>
          </cell>
          <cell r="D313">
            <v>461</v>
          </cell>
          <cell r="E313" t="str">
            <v>㎡</v>
          </cell>
        </row>
        <row r="314">
          <cell r="A314" t="str">
            <v>-7</v>
          </cell>
          <cell r="B314" t="str">
            <v>원형거푸집</v>
          </cell>
          <cell r="C314" t="str">
            <v>(3회 7-10M)</v>
          </cell>
          <cell r="D314">
            <v>197</v>
          </cell>
          <cell r="E314" t="str">
            <v>㎡</v>
          </cell>
        </row>
        <row r="315">
          <cell r="A315" t="str">
            <v>-8</v>
          </cell>
          <cell r="B315" t="str">
            <v>원형거푸집</v>
          </cell>
          <cell r="C315" t="str">
            <v>(3회 10-13M)</v>
          </cell>
          <cell r="D315">
            <v>197</v>
          </cell>
          <cell r="E315" t="str">
            <v>㎡</v>
          </cell>
        </row>
        <row r="316">
          <cell r="A316" t="str">
            <v>-9</v>
          </cell>
          <cell r="B316" t="str">
            <v>원형거푸집</v>
          </cell>
          <cell r="C316" t="str">
            <v>(3회 13-16M)</v>
          </cell>
          <cell r="D316">
            <v>197</v>
          </cell>
          <cell r="E316" t="str">
            <v>㎡</v>
          </cell>
        </row>
        <row r="317">
          <cell r="A317" t="str">
            <v>-10</v>
          </cell>
          <cell r="B317" t="str">
            <v>원형거푸집</v>
          </cell>
          <cell r="C317" t="str">
            <v>(3회 16-19M)</v>
          </cell>
          <cell r="D317">
            <v>184</v>
          </cell>
          <cell r="E317" t="str">
            <v>㎡</v>
          </cell>
        </row>
        <row r="318">
          <cell r="A318" t="str">
            <v>-11</v>
          </cell>
          <cell r="B318" t="str">
            <v>원형거푸집</v>
          </cell>
          <cell r="C318" t="str">
            <v>(3회 19-22M)</v>
          </cell>
          <cell r="D318">
            <v>107</v>
          </cell>
          <cell r="E318" t="str">
            <v>㎡</v>
          </cell>
        </row>
        <row r="319">
          <cell r="A319" t="str">
            <v>-12</v>
          </cell>
          <cell r="B319" t="str">
            <v>원형거푸집</v>
          </cell>
          <cell r="C319" t="str">
            <v>(3회 22-25M)</v>
          </cell>
          <cell r="D319">
            <v>94</v>
          </cell>
          <cell r="E319" t="str">
            <v>㎡</v>
          </cell>
        </row>
        <row r="320">
          <cell r="A320" t="str">
            <v>-13</v>
          </cell>
          <cell r="B320" t="str">
            <v>원형거푸집</v>
          </cell>
          <cell r="C320" t="str">
            <v>(3회 25-28M)</v>
          </cell>
          <cell r="D320">
            <v>33</v>
          </cell>
          <cell r="E320" t="str">
            <v>㎡</v>
          </cell>
        </row>
        <row r="321">
          <cell r="A321" t="str">
            <v>-14</v>
          </cell>
          <cell r="B321" t="str">
            <v>합판거푸집</v>
          </cell>
          <cell r="C321" t="str">
            <v>(소형6회)</v>
          </cell>
          <cell r="D321">
            <v>44</v>
          </cell>
          <cell r="E321" t="str">
            <v>㎡</v>
          </cell>
        </row>
        <row r="322">
          <cell r="A322" t="str">
            <v>-15</v>
          </cell>
          <cell r="B322" t="str">
            <v>합판거푸집</v>
          </cell>
          <cell r="C322" t="str">
            <v>(소형4회)</v>
          </cell>
          <cell r="D322">
            <v>786</v>
          </cell>
          <cell r="E322" t="str">
            <v>㎡</v>
          </cell>
        </row>
        <row r="323">
          <cell r="A323" t="str">
            <v>-16</v>
          </cell>
          <cell r="B323" t="str">
            <v>합판거푸집</v>
          </cell>
          <cell r="C323" t="str">
            <v>(소형3회)</v>
          </cell>
          <cell r="D323">
            <v>3230</v>
          </cell>
          <cell r="E323" t="str">
            <v>㎡</v>
          </cell>
        </row>
        <row r="324">
          <cell r="A324" t="str">
            <v>f</v>
          </cell>
          <cell r="B324" t="str">
            <v>비계</v>
          </cell>
          <cell r="C324" t="str">
            <v>(강관)0-30M</v>
          </cell>
          <cell r="D324">
            <v>5353</v>
          </cell>
          <cell r="E324" t="str">
            <v>㎡</v>
          </cell>
        </row>
        <row r="325">
          <cell r="A325" t="str">
            <v>g</v>
          </cell>
          <cell r="B325" t="str">
            <v>동바리공</v>
          </cell>
        </row>
        <row r="326">
          <cell r="A326" t="str">
            <v>-1</v>
          </cell>
          <cell r="B326" t="str">
            <v>강관동바리</v>
          </cell>
          <cell r="C326" t="str">
            <v>(교량용)</v>
          </cell>
          <cell r="D326">
            <v>2207</v>
          </cell>
          <cell r="E326" t="str">
            <v>공㎥</v>
          </cell>
        </row>
        <row r="327">
          <cell r="A327" t="str">
            <v>-2</v>
          </cell>
          <cell r="B327" t="str">
            <v>동바리공</v>
          </cell>
          <cell r="C327" t="str">
            <v>(목재4회)</v>
          </cell>
          <cell r="D327">
            <v>4387</v>
          </cell>
          <cell r="E327" t="str">
            <v>공㎥</v>
          </cell>
        </row>
        <row r="328">
          <cell r="A328" t="str">
            <v>h</v>
          </cell>
          <cell r="B328" t="str">
            <v>무수축콘크리트</v>
          </cell>
        </row>
        <row r="329">
          <cell r="A329" t="str">
            <v>-1</v>
          </cell>
          <cell r="B329" t="str">
            <v>무수축몰탈</v>
          </cell>
          <cell r="C329" t="str">
            <v>1:1</v>
          </cell>
          <cell r="D329">
            <v>1.6619999999999999</v>
          </cell>
          <cell r="E329" t="str">
            <v>㎥</v>
          </cell>
        </row>
        <row r="330">
          <cell r="A330" t="str">
            <v>-2</v>
          </cell>
          <cell r="B330" t="str">
            <v>무수축콘크리트</v>
          </cell>
          <cell r="D330">
            <v>9.58</v>
          </cell>
          <cell r="E330" t="str">
            <v>㎥</v>
          </cell>
        </row>
        <row r="331">
          <cell r="A331" t="str">
            <v>i</v>
          </cell>
          <cell r="B331" t="str">
            <v>교좌장치공</v>
          </cell>
        </row>
        <row r="332">
          <cell r="A332" t="str">
            <v>-1</v>
          </cell>
          <cell r="B332" t="str">
            <v>POT BEARING</v>
          </cell>
          <cell r="C332" t="str">
            <v>일방향(200TON)</v>
          </cell>
          <cell r="D332">
            <v>4</v>
          </cell>
          <cell r="E332" t="str">
            <v>EA</v>
          </cell>
        </row>
        <row r="333">
          <cell r="A333" t="str">
            <v>-2</v>
          </cell>
          <cell r="B333" t="str">
            <v>POT BEARING</v>
          </cell>
          <cell r="C333" t="str">
            <v>양방향(200TON)</v>
          </cell>
          <cell r="D333">
            <v>12</v>
          </cell>
          <cell r="E333" t="str">
            <v>EA</v>
          </cell>
        </row>
        <row r="334">
          <cell r="A334" t="str">
            <v>-3</v>
          </cell>
          <cell r="B334" t="str">
            <v>POT BEARING</v>
          </cell>
          <cell r="C334" t="str">
            <v>고정단(400TON)</v>
          </cell>
          <cell r="D334">
            <v>2</v>
          </cell>
          <cell r="E334" t="str">
            <v>EA</v>
          </cell>
        </row>
        <row r="335">
          <cell r="A335" t="str">
            <v>-4</v>
          </cell>
          <cell r="B335" t="str">
            <v>POT BEARING</v>
          </cell>
          <cell r="C335" t="str">
            <v>일방향(400TON).</v>
          </cell>
          <cell r="D335">
            <v>10</v>
          </cell>
          <cell r="E335" t="str">
            <v>EA</v>
          </cell>
        </row>
        <row r="336">
          <cell r="A336" t="str">
            <v>-5</v>
          </cell>
          <cell r="B336" t="str">
            <v>POT BEARING</v>
          </cell>
          <cell r="C336" t="str">
            <v>양방향(400TON)</v>
          </cell>
          <cell r="D336">
            <v>12</v>
          </cell>
          <cell r="E336" t="str">
            <v>EA</v>
          </cell>
        </row>
        <row r="337">
          <cell r="A337" t="str">
            <v>j</v>
          </cell>
          <cell r="B337" t="str">
            <v>신축이음장치</v>
          </cell>
          <cell r="C337" t="str">
            <v>(NO100)</v>
          </cell>
          <cell r="D337">
            <v>39</v>
          </cell>
          <cell r="E337" t="str">
            <v>M</v>
          </cell>
        </row>
        <row r="338">
          <cell r="A338" t="str">
            <v>k</v>
          </cell>
          <cell r="B338" t="str">
            <v>표면처리공</v>
          </cell>
        </row>
        <row r="339">
          <cell r="A339" t="str">
            <v>-1</v>
          </cell>
          <cell r="B339" t="str">
            <v>면고르기</v>
          </cell>
          <cell r="C339" t="str">
            <v>DECK FINISHER</v>
          </cell>
          <cell r="D339">
            <v>3649</v>
          </cell>
          <cell r="E339" t="str">
            <v>㎡</v>
          </cell>
        </row>
        <row r="340">
          <cell r="A340" t="str">
            <v>-2</v>
          </cell>
          <cell r="B340" t="str">
            <v>슬라브양생</v>
          </cell>
          <cell r="C340" t="str">
            <v>(도막양생)</v>
          </cell>
          <cell r="D340">
            <v>3649</v>
          </cell>
          <cell r="E340" t="str">
            <v>㎡</v>
          </cell>
        </row>
        <row r="341">
          <cell r="A341" t="str">
            <v>-3</v>
          </cell>
          <cell r="B341" t="str">
            <v>교면방수</v>
          </cell>
          <cell r="C341" t="str">
            <v>(도막방수)</v>
          </cell>
          <cell r="D341">
            <v>3649</v>
          </cell>
          <cell r="E341" t="str">
            <v>㎡</v>
          </cell>
        </row>
        <row r="342">
          <cell r="A342" t="str">
            <v>l</v>
          </cell>
          <cell r="B342" t="str">
            <v>교량명판공</v>
          </cell>
        </row>
        <row r="343">
          <cell r="A343" t="str">
            <v>-1</v>
          </cell>
          <cell r="B343" t="str">
            <v>교명주</v>
          </cell>
          <cell r="C343" t="str">
            <v>(1000*500*350)</v>
          </cell>
          <cell r="D343">
            <v>4</v>
          </cell>
          <cell r="E343" t="str">
            <v>EA</v>
          </cell>
        </row>
        <row r="344">
          <cell r="A344" t="str">
            <v>-2</v>
          </cell>
          <cell r="B344" t="str">
            <v>교명판</v>
          </cell>
          <cell r="C344" t="str">
            <v>(200X450X10)</v>
          </cell>
          <cell r="D344">
            <v>2</v>
          </cell>
          <cell r="E344" t="str">
            <v>EA</v>
          </cell>
        </row>
        <row r="345">
          <cell r="A345" t="str">
            <v>-3</v>
          </cell>
          <cell r="B345" t="str">
            <v>설명판</v>
          </cell>
          <cell r="C345" t="str">
            <v>(500X300X10)</v>
          </cell>
          <cell r="D345">
            <v>2</v>
          </cell>
          <cell r="E345" t="str">
            <v>EA</v>
          </cell>
        </row>
        <row r="346">
          <cell r="A346" t="str">
            <v>-4</v>
          </cell>
          <cell r="B346" t="str">
            <v>TBM 설치</v>
          </cell>
          <cell r="D346">
            <v>2</v>
          </cell>
          <cell r="E346" t="str">
            <v>EA</v>
          </cell>
        </row>
        <row r="347">
          <cell r="A347" t="str">
            <v>m</v>
          </cell>
          <cell r="B347" t="str">
            <v>다월바설치</v>
          </cell>
          <cell r="D347">
            <v>92</v>
          </cell>
          <cell r="E347" t="str">
            <v>EA</v>
          </cell>
        </row>
        <row r="348">
          <cell r="A348" t="str">
            <v>o</v>
          </cell>
          <cell r="B348" t="str">
            <v>신축이음</v>
          </cell>
        </row>
        <row r="349">
          <cell r="A349" t="str">
            <v>-1</v>
          </cell>
          <cell r="B349" t="str">
            <v>스치로폴</v>
          </cell>
          <cell r="C349" t="str">
            <v>(시공이음T=10M)</v>
          </cell>
          <cell r="D349">
            <v>46</v>
          </cell>
          <cell r="E349" t="str">
            <v>㎡</v>
          </cell>
        </row>
        <row r="350">
          <cell r="A350" t="str">
            <v>-2</v>
          </cell>
          <cell r="B350" t="str">
            <v>스치로폴</v>
          </cell>
          <cell r="C350" t="str">
            <v>(신축이음T=20M/M)</v>
          </cell>
          <cell r="D350">
            <v>14</v>
          </cell>
          <cell r="E350" t="str">
            <v>㎡</v>
          </cell>
        </row>
        <row r="351">
          <cell r="A351" t="str">
            <v>p</v>
          </cell>
          <cell r="B351" t="str">
            <v>교량용집수구</v>
          </cell>
        </row>
        <row r="352">
          <cell r="A352" t="str">
            <v>-1</v>
          </cell>
          <cell r="B352" t="str">
            <v>집수구</v>
          </cell>
          <cell r="C352" t="str">
            <v>(주철)</v>
          </cell>
          <cell r="D352">
            <v>18</v>
          </cell>
          <cell r="E352" t="str">
            <v>EA</v>
          </cell>
        </row>
        <row r="353">
          <cell r="A353" t="str">
            <v>-2</v>
          </cell>
          <cell r="B353" t="str">
            <v>연결배수구</v>
          </cell>
          <cell r="C353" t="str">
            <v>(스텐레스)</v>
          </cell>
          <cell r="D353">
            <v>4</v>
          </cell>
          <cell r="E353" t="str">
            <v>EA</v>
          </cell>
        </row>
        <row r="354">
          <cell r="A354" t="str">
            <v>-3</v>
          </cell>
          <cell r="B354" t="str">
            <v>직관</v>
          </cell>
          <cell r="C354" t="str">
            <v>(Φ150)</v>
          </cell>
          <cell r="D354">
            <v>92</v>
          </cell>
          <cell r="E354" t="str">
            <v>M</v>
          </cell>
        </row>
        <row r="355">
          <cell r="A355" t="str">
            <v>-4</v>
          </cell>
          <cell r="B355" t="str">
            <v>육교용곡관</v>
          </cell>
          <cell r="D355">
            <v>10</v>
          </cell>
          <cell r="E355" t="str">
            <v>EA</v>
          </cell>
        </row>
        <row r="356">
          <cell r="A356" t="str">
            <v>-5</v>
          </cell>
          <cell r="B356" t="str">
            <v>연결부</v>
          </cell>
          <cell r="C356" t="str">
            <v>(스텐레스)</v>
          </cell>
          <cell r="D356">
            <v>92</v>
          </cell>
          <cell r="E356" t="str">
            <v>EA</v>
          </cell>
        </row>
        <row r="357">
          <cell r="A357" t="str">
            <v>-6</v>
          </cell>
          <cell r="B357" t="str">
            <v>하천용배수구</v>
          </cell>
          <cell r="C357" t="str">
            <v>(아연도강관D=150MM)</v>
          </cell>
          <cell r="D357">
            <v>44</v>
          </cell>
          <cell r="E357" t="str">
            <v>M</v>
          </cell>
        </row>
        <row r="358">
          <cell r="A358" t="str">
            <v>q</v>
          </cell>
          <cell r="B358" t="str">
            <v>전선관</v>
          </cell>
          <cell r="C358" t="str">
            <v>P.V.C PIPE</v>
          </cell>
          <cell r="D358">
            <v>375</v>
          </cell>
          <cell r="E358" t="str">
            <v>M</v>
          </cell>
        </row>
        <row r="359">
          <cell r="A359" t="str">
            <v>r</v>
          </cell>
          <cell r="B359" t="str">
            <v>환풍기받침대설치</v>
          </cell>
          <cell r="D359">
            <v>16</v>
          </cell>
          <cell r="E359" t="str">
            <v>EA</v>
          </cell>
        </row>
        <row r="360">
          <cell r="A360" t="str">
            <v>s</v>
          </cell>
          <cell r="B360" t="str">
            <v>강교가설</v>
          </cell>
        </row>
        <row r="361">
          <cell r="A361" t="str">
            <v>-1</v>
          </cell>
          <cell r="B361" t="str">
            <v>강교제작</v>
          </cell>
          <cell r="C361" t="str">
            <v>(건계정교)</v>
          </cell>
          <cell r="D361">
            <v>1395.232</v>
          </cell>
          <cell r="E361" t="str">
            <v>TON</v>
          </cell>
        </row>
        <row r="362">
          <cell r="A362" t="str">
            <v>-2</v>
          </cell>
          <cell r="B362" t="str">
            <v>강교운반및가설</v>
          </cell>
          <cell r="C362" t="str">
            <v>(건계정교)</v>
          </cell>
          <cell r="D362">
            <v>1395.232</v>
          </cell>
          <cell r="E362" t="str">
            <v>TON</v>
          </cell>
        </row>
        <row r="363">
          <cell r="A363" t="str">
            <v>-3</v>
          </cell>
          <cell r="B363" t="str">
            <v>내부도장</v>
          </cell>
          <cell r="C363" t="str">
            <v>(공장)</v>
          </cell>
          <cell r="D363">
            <v>14630</v>
          </cell>
          <cell r="E363" t="str">
            <v>㎡</v>
          </cell>
        </row>
        <row r="364">
          <cell r="A364" t="str">
            <v>-4</v>
          </cell>
          <cell r="B364" t="str">
            <v>연결판도장</v>
          </cell>
          <cell r="C364" t="str">
            <v>(공장)</v>
          </cell>
          <cell r="D364">
            <v>1247</v>
          </cell>
          <cell r="E364" t="str">
            <v>㎡</v>
          </cell>
        </row>
        <row r="365">
          <cell r="A365" t="str">
            <v>-5</v>
          </cell>
          <cell r="B365" t="str">
            <v>내부볼트및연결판도장</v>
          </cell>
          <cell r="C365" t="str">
            <v>(현장)</v>
          </cell>
          <cell r="D365">
            <v>388</v>
          </cell>
          <cell r="E365" t="str">
            <v>㎡</v>
          </cell>
        </row>
        <row r="366">
          <cell r="A366" t="str">
            <v>-6</v>
          </cell>
          <cell r="B366" t="str">
            <v>외부도장</v>
          </cell>
          <cell r="C366" t="str">
            <v>(공장)</v>
          </cell>
          <cell r="D366">
            <v>9286</v>
          </cell>
          <cell r="E366" t="str">
            <v>㎡</v>
          </cell>
        </row>
        <row r="367">
          <cell r="A367" t="str">
            <v>-7</v>
          </cell>
          <cell r="B367" t="str">
            <v>외부포장면도장</v>
          </cell>
          <cell r="C367" t="str">
            <v>(공장)</v>
          </cell>
          <cell r="D367">
            <v>1953</v>
          </cell>
          <cell r="E367" t="str">
            <v>㎡</v>
          </cell>
        </row>
        <row r="368">
          <cell r="A368" t="str">
            <v>-8</v>
          </cell>
          <cell r="B368" t="str">
            <v>외부볼트및연결판도장</v>
          </cell>
          <cell r="C368" t="str">
            <v>(현장)</v>
          </cell>
          <cell r="D368">
            <v>859</v>
          </cell>
          <cell r="E368" t="str">
            <v>㎡</v>
          </cell>
        </row>
        <row r="369">
          <cell r="A369" t="str">
            <v>-9</v>
          </cell>
          <cell r="B369" t="str">
            <v>외부도장</v>
          </cell>
          <cell r="C369" t="str">
            <v>(현장)</v>
          </cell>
          <cell r="D369">
            <v>1393</v>
          </cell>
          <cell r="E369" t="str">
            <v>㎡</v>
          </cell>
        </row>
        <row r="370">
          <cell r="A370" t="str">
            <v>t</v>
          </cell>
          <cell r="B370" t="str">
            <v>기타공</v>
          </cell>
        </row>
        <row r="371">
          <cell r="A371" t="str">
            <v>-1</v>
          </cell>
          <cell r="B371" t="str">
            <v>낙교방지책</v>
          </cell>
          <cell r="C371" t="str">
            <v>(2SHOE,TYPE-1)</v>
          </cell>
          <cell r="D371">
            <v>8</v>
          </cell>
          <cell r="E371" t="str">
            <v>EA</v>
          </cell>
        </row>
        <row r="372">
          <cell r="A372" t="str">
            <v>-2</v>
          </cell>
          <cell r="B372" t="str">
            <v>낙교방지책</v>
          </cell>
          <cell r="C372" t="str">
            <v>(2SHOE,TYPE-2)</v>
          </cell>
          <cell r="D372">
            <v>8</v>
          </cell>
          <cell r="E372" t="str">
            <v>EA</v>
          </cell>
        </row>
        <row r="373">
          <cell r="A373" t="str">
            <v>-3</v>
          </cell>
          <cell r="B373" t="str">
            <v>낙교방지책</v>
          </cell>
          <cell r="C373" t="str">
            <v>(2SHOE, TYPE-3)</v>
          </cell>
          <cell r="D373">
            <v>4</v>
          </cell>
          <cell r="E373" t="str">
            <v>EA</v>
          </cell>
        </row>
        <row r="374">
          <cell r="A374" t="str">
            <v>-4</v>
          </cell>
          <cell r="B374" t="str">
            <v>안전점검통로</v>
          </cell>
          <cell r="C374" t="str">
            <v>교축방향(TYPE-1)</v>
          </cell>
          <cell r="D374">
            <v>38</v>
          </cell>
          <cell r="E374" t="str">
            <v>개소</v>
          </cell>
        </row>
        <row r="375">
          <cell r="A375" t="str">
            <v>-5</v>
          </cell>
          <cell r="B375" t="str">
            <v>안전점검통로</v>
          </cell>
          <cell r="C375" t="str">
            <v>교축방향(TYPE-2)</v>
          </cell>
          <cell r="D375">
            <v>42</v>
          </cell>
          <cell r="E375" t="str">
            <v>개소</v>
          </cell>
        </row>
        <row r="376">
          <cell r="A376" t="str">
            <v>-6</v>
          </cell>
          <cell r="B376" t="str">
            <v>안전점검통로(건계정)</v>
          </cell>
          <cell r="C376" t="str">
            <v>(교축직각방향TYPE-1)</v>
          </cell>
          <cell r="D376">
            <v>6</v>
          </cell>
          <cell r="E376" t="str">
            <v>개소</v>
          </cell>
        </row>
        <row r="377">
          <cell r="A377" t="str">
            <v>-7</v>
          </cell>
          <cell r="B377" t="str">
            <v>내부출입구설치</v>
          </cell>
          <cell r="C377" t="str">
            <v>LOWER FLANGE</v>
          </cell>
          <cell r="D377">
            <v>8</v>
          </cell>
          <cell r="E377" t="str">
            <v>EA</v>
          </cell>
        </row>
        <row r="378">
          <cell r="A378" t="str">
            <v>-8</v>
          </cell>
          <cell r="B378" t="str">
            <v>내부출입구설치</v>
          </cell>
          <cell r="C378" t="str">
            <v>DIAPHRAGM</v>
          </cell>
          <cell r="D378">
            <v>8</v>
          </cell>
          <cell r="E378" t="str">
            <v>EA</v>
          </cell>
        </row>
        <row r="379">
          <cell r="A379" t="str">
            <v>-9</v>
          </cell>
          <cell r="B379" t="str">
            <v>내부출입구설치</v>
          </cell>
          <cell r="C379" t="str">
            <v>WEB</v>
          </cell>
          <cell r="D379">
            <v>12</v>
          </cell>
          <cell r="E379" t="str">
            <v>EA</v>
          </cell>
        </row>
        <row r="380">
          <cell r="A380" t="str">
            <v>u</v>
          </cell>
          <cell r="B380" t="str">
            <v>가 도</v>
          </cell>
        </row>
        <row r="381">
          <cell r="A381" t="str">
            <v>-1</v>
          </cell>
          <cell r="B381" t="str">
            <v>가도공흙쌓기</v>
          </cell>
          <cell r="D381">
            <v>340</v>
          </cell>
          <cell r="E381" t="str">
            <v>M3</v>
          </cell>
        </row>
        <row r="382">
          <cell r="A382" t="str">
            <v>-2</v>
          </cell>
          <cell r="B382" t="str">
            <v>가마니쌓기및헐기</v>
          </cell>
          <cell r="D382">
            <v>130</v>
          </cell>
          <cell r="E382" t="str">
            <v>M2</v>
          </cell>
        </row>
        <row r="383">
          <cell r="A383" t="str">
            <v>v</v>
          </cell>
          <cell r="B383" t="str">
            <v>가시설</v>
          </cell>
          <cell r="C383" t="str">
            <v>(교각부)</v>
          </cell>
        </row>
        <row r="384">
          <cell r="A384" t="str">
            <v>-1</v>
          </cell>
          <cell r="B384" t="str">
            <v>강널말뚝자재비</v>
          </cell>
          <cell r="C384" t="str">
            <v>400*150*13</v>
          </cell>
          <cell r="D384">
            <v>168</v>
          </cell>
          <cell r="E384" t="str">
            <v>TON</v>
          </cell>
        </row>
        <row r="385">
          <cell r="A385" t="str">
            <v>-2</v>
          </cell>
          <cell r="B385" t="str">
            <v>강널말뚝항타</v>
          </cell>
          <cell r="C385" t="str">
            <v>건계정교,가시설용</v>
          </cell>
          <cell r="D385">
            <v>1522</v>
          </cell>
          <cell r="E385" t="str">
            <v>M</v>
          </cell>
        </row>
        <row r="386">
          <cell r="A386" t="str">
            <v>-3</v>
          </cell>
          <cell r="B386" t="str">
            <v>강널말뚝뽑기</v>
          </cell>
          <cell r="C386" t="str">
            <v>건계정교,가시설용</v>
          </cell>
          <cell r="D386">
            <v>1522</v>
          </cell>
          <cell r="E386" t="str">
            <v>M</v>
          </cell>
        </row>
        <row r="387">
          <cell r="A387" t="str">
            <v>-4</v>
          </cell>
          <cell r="B387" t="str">
            <v>띠장설치및철거</v>
          </cell>
          <cell r="C387" t="str">
            <v>건계정교300*300*10*1</v>
          </cell>
          <cell r="D387">
            <v>241</v>
          </cell>
          <cell r="E387" t="str">
            <v>M</v>
          </cell>
        </row>
        <row r="388">
          <cell r="A388" t="str">
            <v>-5</v>
          </cell>
          <cell r="B388" t="str">
            <v>L형강설치및철거</v>
          </cell>
          <cell r="C388" t="str">
            <v>100*100*10</v>
          </cell>
          <cell r="D388">
            <v>63</v>
          </cell>
          <cell r="E388" t="str">
            <v>M</v>
          </cell>
        </row>
        <row r="389">
          <cell r="A389" t="str">
            <v>-6</v>
          </cell>
          <cell r="B389" t="str">
            <v>보걸이 설치</v>
          </cell>
          <cell r="D389">
            <v>120</v>
          </cell>
          <cell r="E389" t="str">
            <v>EA</v>
          </cell>
        </row>
        <row r="390">
          <cell r="A390" t="str">
            <v>-7</v>
          </cell>
          <cell r="B390" t="str">
            <v>강판설치</v>
          </cell>
          <cell r="D390">
            <v>7.7290000000000001</v>
          </cell>
          <cell r="E390" t="str">
            <v>TON</v>
          </cell>
        </row>
        <row r="391">
          <cell r="A391" t="str">
            <v>w</v>
          </cell>
          <cell r="B391" t="str">
            <v>가교가설(건계정교)</v>
          </cell>
          <cell r="C391" t="str">
            <v>(L=70M,B=8.0M)</v>
          </cell>
          <cell r="D391">
            <v>1</v>
          </cell>
          <cell r="E391" t="str">
            <v>L.S</v>
          </cell>
        </row>
        <row r="392">
          <cell r="A392" t="str">
            <v>x</v>
          </cell>
          <cell r="B392" t="str">
            <v>검사시험</v>
          </cell>
        </row>
        <row r="393">
          <cell r="A393" t="str">
            <v>-1</v>
          </cell>
          <cell r="B393" t="str">
            <v>방사선투과검사</v>
          </cell>
          <cell r="C393" t="str">
            <v>R.T</v>
          </cell>
          <cell r="D393">
            <v>48</v>
          </cell>
          <cell r="E393" t="str">
            <v>SHEET</v>
          </cell>
        </row>
        <row r="394">
          <cell r="A394" t="str">
            <v>-2</v>
          </cell>
          <cell r="B394" t="str">
            <v>초음파탐상검사</v>
          </cell>
          <cell r="C394" t="str">
            <v>U.T</v>
          </cell>
          <cell r="D394">
            <v>34</v>
          </cell>
          <cell r="E394" t="str">
            <v>M</v>
          </cell>
        </row>
        <row r="395">
          <cell r="A395" t="str">
            <v>y</v>
          </cell>
          <cell r="B395" t="str">
            <v>자재비</v>
          </cell>
        </row>
        <row r="396">
          <cell r="A396" t="str">
            <v>-1</v>
          </cell>
          <cell r="B396" t="str">
            <v>레미콘</v>
          </cell>
          <cell r="C396" t="str">
            <v>25-240-12</v>
          </cell>
          <cell r="D396">
            <v>1217</v>
          </cell>
          <cell r="E396" t="str">
            <v>㎥</v>
          </cell>
        </row>
        <row r="397">
          <cell r="A397" t="str">
            <v>-2</v>
          </cell>
          <cell r="B397" t="str">
            <v>레미콘</v>
          </cell>
          <cell r="C397" t="str">
            <v>25-210-12</v>
          </cell>
          <cell r="D397">
            <v>4136</v>
          </cell>
          <cell r="E397" t="str">
            <v>㎥</v>
          </cell>
        </row>
        <row r="398">
          <cell r="A398" t="str">
            <v>-3</v>
          </cell>
          <cell r="B398" t="str">
            <v>레미콘</v>
          </cell>
          <cell r="C398" t="str">
            <v>40-160-8</v>
          </cell>
          <cell r="D398">
            <v>186</v>
          </cell>
          <cell r="E398" t="str">
            <v>㎥</v>
          </cell>
        </row>
        <row r="399">
          <cell r="A399" t="str">
            <v>-4</v>
          </cell>
          <cell r="B399" t="str">
            <v>시멘트</v>
          </cell>
          <cell r="C399" t="str">
            <v>40㎏/대</v>
          </cell>
          <cell r="D399">
            <v>186</v>
          </cell>
          <cell r="E399" t="str">
            <v>대</v>
          </cell>
        </row>
        <row r="400">
          <cell r="A400" t="str">
            <v>-7</v>
          </cell>
          <cell r="B400" t="str">
            <v>철근</v>
          </cell>
          <cell r="C400" t="str">
            <v>SD40 H16M/M 이상</v>
          </cell>
          <cell r="D400">
            <v>412.11599999999999</v>
          </cell>
          <cell r="E400" t="str">
            <v>TON</v>
          </cell>
        </row>
        <row r="401">
          <cell r="A401" t="str">
            <v>-8</v>
          </cell>
          <cell r="B401" t="str">
            <v>철근</v>
          </cell>
          <cell r="C401" t="str">
            <v>SD40 H13M/M</v>
          </cell>
          <cell r="D401">
            <v>6.9359999999999999</v>
          </cell>
          <cell r="E401" t="str">
            <v>TON</v>
          </cell>
        </row>
        <row r="402">
          <cell r="A402" t="str">
            <v>-5</v>
          </cell>
          <cell r="B402" t="str">
            <v>철근</v>
          </cell>
          <cell r="C402" t="str">
            <v>SD30 D16M/M 이상</v>
          </cell>
          <cell r="D402">
            <v>922.84900000000005</v>
          </cell>
          <cell r="E402" t="str">
            <v>TON</v>
          </cell>
        </row>
        <row r="403">
          <cell r="A403" t="str">
            <v>-6</v>
          </cell>
          <cell r="B403" t="str">
            <v>철근</v>
          </cell>
          <cell r="C403" t="str">
            <v>SD30 D13M/M</v>
          </cell>
          <cell r="D403">
            <v>12.384</v>
          </cell>
          <cell r="E403" t="str">
            <v>TON</v>
          </cell>
        </row>
        <row r="404">
          <cell r="A404" t="str">
            <v>3.03</v>
          </cell>
          <cell r="B404" t="str">
            <v>송정RAMP-A교(S.T BOX</v>
          </cell>
          <cell r="C404" t="str">
            <v>)L=392.0, B=14.0</v>
          </cell>
        </row>
        <row r="405">
          <cell r="A405" t="str">
            <v>a</v>
          </cell>
          <cell r="B405" t="str">
            <v>토  공</v>
          </cell>
        </row>
        <row r="406">
          <cell r="A406" t="str">
            <v>-1</v>
          </cell>
          <cell r="B406" t="str">
            <v>구조물터파기</v>
          </cell>
          <cell r="C406" t="str">
            <v>(육상발파암:0-4M)</v>
          </cell>
          <cell r="D406">
            <v>9286</v>
          </cell>
          <cell r="E406" t="str">
            <v>㎥</v>
          </cell>
        </row>
        <row r="407">
          <cell r="A407" t="str">
            <v>-2</v>
          </cell>
          <cell r="B407" t="str">
            <v>구조물터파기</v>
          </cell>
          <cell r="C407" t="str">
            <v>(육상발파암:4M이상)</v>
          </cell>
          <cell r="D407">
            <v>4455</v>
          </cell>
          <cell r="E407" t="str">
            <v>㎥</v>
          </cell>
        </row>
        <row r="408">
          <cell r="A408" t="str">
            <v>-3</v>
          </cell>
          <cell r="B408" t="str">
            <v>구조물터파기</v>
          </cell>
          <cell r="C408" t="str">
            <v>(육상리핑암:0-4M)</v>
          </cell>
          <cell r="D408">
            <v>1019</v>
          </cell>
          <cell r="E408" t="str">
            <v>㎥</v>
          </cell>
        </row>
        <row r="409">
          <cell r="A409" t="str">
            <v>-4</v>
          </cell>
          <cell r="B409" t="str">
            <v>구조물터파기</v>
          </cell>
          <cell r="C409" t="str">
            <v>(육상리핑암:4M이상)</v>
          </cell>
          <cell r="D409">
            <v>1051</v>
          </cell>
          <cell r="E409" t="str">
            <v>㎥</v>
          </cell>
        </row>
        <row r="410">
          <cell r="A410" t="str">
            <v>-5</v>
          </cell>
          <cell r="B410" t="str">
            <v>구조물터파기</v>
          </cell>
          <cell r="C410" t="str">
            <v>(수중토사:0-4M)</v>
          </cell>
          <cell r="D410">
            <v>4006</v>
          </cell>
          <cell r="E410" t="str">
            <v>㎥</v>
          </cell>
        </row>
        <row r="411">
          <cell r="A411" t="str">
            <v>-6</v>
          </cell>
          <cell r="B411" t="str">
            <v>구조물터파기</v>
          </cell>
          <cell r="C411" t="str">
            <v>(수중토사:4M이상)</v>
          </cell>
          <cell r="D411">
            <v>2229</v>
          </cell>
          <cell r="E411" t="str">
            <v>㎥</v>
          </cell>
        </row>
        <row r="412">
          <cell r="A412" t="str">
            <v>-7</v>
          </cell>
          <cell r="B412" t="str">
            <v>구조물터파기</v>
          </cell>
          <cell r="C412" t="str">
            <v>(수중리핑암:0-4M)</v>
          </cell>
          <cell r="D412">
            <v>403</v>
          </cell>
          <cell r="E412" t="str">
            <v>㎥</v>
          </cell>
        </row>
        <row r="413">
          <cell r="A413" t="str">
            <v>-8</v>
          </cell>
          <cell r="B413" t="str">
            <v>구조물터파기</v>
          </cell>
          <cell r="C413" t="str">
            <v>(수중리핑암:4M이상)</v>
          </cell>
          <cell r="D413">
            <v>251</v>
          </cell>
          <cell r="E413" t="str">
            <v>㎥</v>
          </cell>
        </row>
        <row r="414">
          <cell r="A414" t="str">
            <v>-9</v>
          </cell>
          <cell r="B414" t="str">
            <v>되메우기및다짐</v>
          </cell>
          <cell r="C414" t="str">
            <v>(인력30%+기계70%)</v>
          </cell>
          <cell r="D414">
            <v>18892</v>
          </cell>
          <cell r="E414" t="str">
            <v>㎥</v>
          </cell>
        </row>
        <row r="415">
          <cell r="A415" t="str">
            <v>-10</v>
          </cell>
          <cell r="B415" t="str">
            <v>뒷채움및다짐</v>
          </cell>
          <cell r="D415">
            <v>733</v>
          </cell>
          <cell r="E415" t="str">
            <v>㎥</v>
          </cell>
        </row>
        <row r="416">
          <cell r="A416" t="str">
            <v>-11</v>
          </cell>
          <cell r="B416" t="str">
            <v>물푸기</v>
          </cell>
          <cell r="C416" t="str">
            <v>(교량등대형구조물)</v>
          </cell>
          <cell r="D416">
            <v>176</v>
          </cell>
          <cell r="E416" t="str">
            <v>HR</v>
          </cell>
        </row>
        <row r="417">
          <cell r="A417" t="str">
            <v>b</v>
          </cell>
          <cell r="B417" t="str">
            <v>콘크리트타설</v>
          </cell>
        </row>
        <row r="418">
          <cell r="A418" t="str">
            <v>-1</v>
          </cell>
          <cell r="B418" t="str">
            <v>무근콘크리트타설</v>
          </cell>
          <cell r="C418" t="str">
            <v>(진동기제외)</v>
          </cell>
          <cell r="D418">
            <v>1094</v>
          </cell>
          <cell r="E418" t="str">
            <v>㎥</v>
          </cell>
        </row>
        <row r="419">
          <cell r="A419" t="str">
            <v>-2</v>
          </cell>
          <cell r="B419" t="str">
            <v>철근콘크리트타설</v>
          </cell>
          <cell r="C419" t="str">
            <v>펌프카타설(0-15M)</v>
          </cell>
          <cell r="D419">
            <v>6095</v>
          </cell>
          <cell r="E419" t="str">
            <v>㎥</v>
          </cell>
        </row>
        <row r="420">
          <cell r="A420" t="str">
            <v>-3</v>
          </cell>
          <cell r="B420" t="str">
            <v>철근콘크리트타설</v>
          </cell>
          <cell r="C420" t="str">
            <v>펌프카타설(15M이상)</v>
          </cell>
          <cell r="D420">
            <v>1955</v>
          </cell>
          <cell r="E420" t="str">
            <v>㎥</v>
          </cell>
        </row>
        <row r="421">
          <cell r="A421" t="str">
            <v>c</v>
          </cell>
          <cell r="B421" t="str">
            <v>스페이셔설치</v>
          </cell>
        </row>
        <row r="422">
          <cell r="A422" t="str">
            <v>-1</v>
          </cell>
          <cell r="B422" t="str">
            <v>스페이셔설치</v>
          </cell>
          <cell r="C422" t="str">
            <v>벽체용</v>
          </cell>
          <cell r="D422">
            <v>5230</v>
          </cell>
          <cell r="E422" t="str">
            <v>㎡</v>
          </cell>
        </row>
        <row r="423">
          <cell r="A423" t="str">
            <v>-2</v>
          </cell>
          <cell r="B423" t="str">
            <v>스페이서설치</v>
          </cell>
          <cell r="C423" t="str">
            <v>슬라브용</v>
          </cell>
          <cell r="D423">
            <v>6354</v>
          </cell>
          <cell r="E423" t="str">
            <v>㎡</v>
          </cell>
        </row>
        <row r="424">
          <cell r="A424" t="str">
            <v>d</v>
          </cell>
          <cell r="B424" t="str">
            <v>철근가공조립</v>
          </cell>
        </row>
        <row r="425">
          <cell r="A425" t="str">
            <v>-1</v>
          </cell>
          <cell r="B425" t="str">
            <v>철근가공조립</v>
          </cell>
          <cell r="C425" t="str">
            <v>(복잡)</v>
          </cell>
          <cell r="D425">
            <v>93.808000000000007</v>
          </cell>
          <cell r="E425" t="str">
            <v>TON</v>
          </cell>
        </row>
        <row r="426">
          <cell r="A426" t="str">
            <v>-2</v>
          </cell>
          <cell r="B426" t="str">
            <v>철근가공조립</v>
          </cell>
          <cell r="C426" t="str">
            <v>(보통)</v>
          </cell>
          <cell r="D426">
            <v>568.99199999999996</v>
          </cell>
          <cell r="E426" t="str">
            <v>TON</v>
          </cell>
        </row>
        <row r="427">
          <cell r="A427" t="str">
            <v>-3</v>
          </cell>
          <cell r="B427" t="str">
            <v>철근가공조립</v>
          </cell>
          <cell r="C427" t="str">
            <v>(매우복잡)</v>
          </cell>
          <cell r="D427">
            <v>1612.7929999999999</v>
          </cell>
          <cell r="E427" t="str">
            <v>TON</v>
          </cell>
        </row>
        <row r="428">
          <cell r="A428" t="str">
            <v>e</v>
          </cell>
          <cell r="B428" t="str">
            <v>합판거푸집</v>
          </cell>
        </row>
        <row r="429">
          <cell r="A429" t="str">
            <v>-1</v>
          </cell>
          <cell r="B429" t="str">
            <v>합판거푸집</v>
          </cell>
          <cell r="C429" t="str">
            <v>(3회)0-7M</v>
          </cell>
          <cell r="D429">
            <v>904</v>
          </cell>
          <cell r="E429" t="str">
            <v>㎡</v>
          </cell>
        </row>
        <row r="430">
          <cell r="A430" t="str">
            <v>-2</v>
          </cell>
          <cell r="B430" t="str">
            <v>합판거푸집</v>
          </cell>
          <cell r="C430" t="str">
            <v>(3회)7-10M</v>
          </cell>
          <cell r="D430">
            <v>214</v>
          </cell>
          <cell r="E430" t="str">
            <v>㎡</v>
          </cell>
        </row>
        <row r="431">
          <cell r="A431" t="str">
            <v>-3</v>
          </cell>
          <cell r="B431" t="str">
            <v>합판거푸집</v>
          </cell>
          <cell r="C431" t="str">
            <v>(3회)10-13M</v>
          </cell>
          <cell r="D431">
            <v>111</v>
          </cell>
          <cell r="E431" t="str">
            <v>㎡</v>
          </cell>
        </row>
        <row r="432">
          <cell r="A432" t="str">
            <v>-4</v>
          </cell>
          <cell r="B432" t="str">
            <v>합판거푸집</v>
          </cell>
          <cell r="C432" t="str">
            <v>(3회)13-16M</v>
          </cell>
          <cell r="D432">
            <v>246</v>
          </cell>
          <cell r="E432" t="str">
            <v>㎡</v>
          </cell>
        </row>
        <row r="433">
          <cell r="A433" t="str">
            <v>-5</v>
          </cell>
          <cell r="B433" t="str">
            <v>합판거푸집</v>
          </cell>
          <cell r="C433" t="str">
            <v>(3회)16-19M</v>
          </cell>
          <cell r="D433">
            <v>108</v>
          </cell>
          <cell r="E433" t="str">
            <v>㎡</v>
          </cell>
        </row>
        <row r="434">
          <cell r="A434" t="str">
            <v>-6</v>
          </cell>
          <cell r="B434" t="str">
            <v>합판거푸집</v>
          </cell>
          <cell r="C434" t="str">
            <v>(3회)19-22M</v>
          </cell>
          <cell r="D434">
            <v>103</v>
          </cell>
          <cell r="E434" t="str">
            <v>㎡</v>
          </cell>
        </row>
        <row r="435">
          <cell r="A435" t="str">
            <v>-7</v>
          </cell>
          <cell r="B435" t="str">
            <v>합판거푸집</v>
          </cell>
          <cell r="C435" t="str">
            <v>(3회)22-25M</v>
          </cell>
          <cell r="D435">
            <v>340</v>
          </cell>
          <cell r="E435" t="str">
            <v>㎡</v>
          </cell>
        </row>
        <row r="436">
          <cell r="A436" t="str">
            <v>-8</v>
          </cell>
          <cell r="B436" t="str">
            <v>합판거푸집</v>
          </cell>
          <cell r="C436" t="str">
            <v>(3회)25-28M</v>
          </cell>
          <cell r="D436">
            <v>72</v>
          </cell>
          <cell r="E436" t="str">
            <v>㎡</v>
          </cell>
        </row>
        <row r="437">
          <cell r="A437" t="str">
            <v>-9</v>
          </cell>
          <cell r="B437" t="str">
            <v>합판거푸집</v>
          </cell>
          <cell r="C437" t="str">
            <v>(3회)28-31M</v>
          </cell>
          <cell r="D437">
            <v>68</v>
          </cell>
          <cell r="E437" t="str">
            <v>㎡</v>
          </cell>
        </row>
        <row r="438">
          <cell r="A438" t="str">
            <v>-10</v>
          </cell>
          <cell r="B438" t="str">
            <v>합판거푸집</v>
          </cell>
          <cell r="C438" t="str">
            <v>(3회)31-34M</v>
          </cell>
          <cell r="D438">
            <v>282</v>
          </cell>
          <cell r="E438" t="str">
            <v>㎡</v>
          </cell>
        </row>
        <row r="439">
          <cell r="A439" t="str">
            <v>-11</v>
          </cell>
          <cell r="B439" t="str">
            <v>합판거푸집</v>
          </cell>
          <cell r="C439" t="str">
            <v>(3회)34-37M</v>
          </cell>
          <cell r="D439">
            <v>266</v>
          </cell>
          <cell r="E439" t="str">
            <v>M2</v>
          </cell>
        </row>
        <row r="440">
          <cell r="A440" t="str">
            <v>-12</v>
          </cell>
          <cell r="B440" t="str">
            <v>원형거푸집</v>
          </cell>
          <cell r="C440" t="str">
            <v>(3회 0-7M)</v>
          </cell>
          <cell r="D440">
            <v>461</v>
          </cell>
          <cell r="E440" t="str">
            <v>㎡</v>
          </cell>
        </row>
        <row r="441">
          <cell r="A441" t="str">
            <v>-13</v>
          </cell>
          <cell r="B441" t="str">
            <v>원형거푸집</v>
          </cell>
          <cell r="C441" t="str">
            <v>(3회 7-10M)</v>
          </cell>
          <cell r="D441">
            <v>197</v>
          </cell>
          <cell r="E441" t="str">
            <v>㎡</v>
          </cell>
        </row>
        <row r="442">
          <cell r="A442" t="str">
            <v>-14</v>
          </cell>
          <cell r="B442" t="str">
            <v>원형거푸집</v>
          </cell>
          <cell r="C442" t="str">
            <v>(3회 10-13M)</v>
          </cell>
          <cell r="D442">
            <v>174</v>
          </cell>
          <cell r="E442" t="str">
            <v>㎡</v>
          </cell>
        </row>
        <row r="443">
          <cell r="A443" t="str">
            <v>-15</v>
          </cell>
          <cell r="B443" t="str">
            <v>원형거푸집</v>
          </cell>
          <cell r="C443" t="str">
            <v>(3회 13-16M)</v>
          </cell>
          <cell r="D443">
            <v>183</v>
          </cell>
          <cell r="E443" t="str">
            <v>㎡</v>
          </cell>
        </row>
        <row r="444">
          <cell r="A444" t="str">
            <v>-16</v>
          </cell>
          <cell r="B444" t="str">
            <v>원형거푸집</v>
          </cell>
          <cell r="C444" t="str">
            <v>(3회 16-19M)</v>
          </cell>
          <cell r="D444">
            <v>169</v>
          </cell>
          <cell r="E444" t="str">
            <v>㎡</v>
          </cell>
        </row>
        <row r="445">
          <cell r="A445" t="str">
            <v>-17</v>
          </cell>
          <cell r="B445" t="str">
            <v>원형거푸집</v>
          </cell>
          <cell r="C445" t="str">
            <v>(3회 19-22M)</v>
          </cell>
          <cell r="D445">
            <v>162</v>
          </cell>
          <cell r="E445" t="str">
            <v>㎡</v>
          </cell>
        </row>
        <row r="446">
          <cell r="A446" t="str">
            <v>-18</v>
          </cell>
          <cell r="B446" t="str">
            <v>원형거푸집</v>
          </cell>
          <cell r="C446" t="str">
            <v>(3회 22-25M)</v>
          </cell>
          <cell r="D446">
            <v>138</v>
          </cell>
          <cell r="E446" t="str">
            <v>㎡</v>
          </cell>
        </row>
        <row r="447">
          <cell r="A447" t="str">
            <v>-19</v>
          </cell>
          <cell r="B447" t="str">
            <v>원형거푸집</v>
          </cell>
          <cell r="C447" t="str">
            <v>(3회 25-28M)</v>
          </cell>
          <cell r="D447">
            <v>113</v>
          </cell>
          <cell r="E447" t="str">
            <v>㎡</v>
          </cell>
        </row>
        <row r="448">
          <cell r="A448" t="str">
            <v>-20</v>
          </cell>
          <cell r="B448" t="str">
            <v>원형거푸집</v>
          </cell>
          <cell r="C448" t="str">
            <v>(3회 28-31M)</v>
          </cell>
          <cell r="D448">
            <v>106</v>
          </cell>
          <cell r="E448" t="str">
            <v>㎡</v>
          </cell>
        </row>
        <row r="449">
          <cell r="A449" t="str">
            <v>-21</v>
          </cell>
          <cell r="B449" t="str">
            <v>원형거푸집</v>
          </cell>
          <cell r="C449" t="str">
            <v>(3회)31-34M</v>
          </cell>
          <cell r="D449">
            <v>48</v>
          </cell>
          <cell r="E449" t="str">
            <v>M2</v>
          </cell>
        </row>
        <row r="450">
          <cell r="A450" t="str">
            <v>-22</v>
          </cell>
          <cell r="B450" t="str">
            <v>원형거푸집</v>
          </cell>
          <cell r="C450" t="str">
            <v>(3회)34-37M</v>
          </cell>
          <cell r="D450">
            <v>12</v>
          </cell>
          <cell r="E450" t="str">
            <v>M2</v>
          </cell>
        </row>
        <row r="451">
          <cell r="A451" t="str">
            <v>-23</v>
          </cell>
          <cell r="B451" t="str">
            <v>합판거푸집</v>
          </cell>
          <cell r="C451" t="str">
            <v>(소형6회)</v>
          </cell>
          <cell r="D451">
            <v>396</v>
          </cell>
          <cell r="E451" t="str">
            <v>㎡</v>
          </cell>
        </row>
        <row r="452">
          <cell r="A452" t="str">
            <v>-24</v>
          </cell>
          <cell r="B452" t="str">
            <v>합판거푸집</v>
          </cell>
          <cell r="C452" t="str">
            <v>(소형4회)</v>
          </cell>
          <cell r="D452">
            <v>840</v>
          </cell>
          <cell r="E452" t="str">
            <v>㎡</v>
          </cell>
        </row>
        <row r="453">
          <cell r="A453" t="str">
            <v>-25</v>
          </cell>
          <cell r="B453" t="str">
            <v>합판거푸집</v>
          </cell>
          <cell r="C453" t="str">
            <v>(소형3회)</v>
          </cell>
          <cell r="D453">
            <v>5381</v>
          </cell>
          <cell r="E453" t="str">
            <v>㎡</v>
          </cell>
        </row>
        <row r="454">
          <cell r="A454" t="str">
            <v>f</v>
          </cell>
          <cell r="B454" t="str">
            <v>비계</v>
          </cell>
          <cell r="C454" t="str">
            <v>(강관)0-30M</v>
          </cell>
          <cell r="D454">
            <v>7947</v>
          </cell>
          <cell r="E454" t="str">
            <v>㎡</v>
          </cell>
        </row>
        <row r="455">
          <cell r="A455" t="str">
            <v>g</v>
          </cell>
          <cell r="B455" t="str">
            <v>동바리공</v>
          </cell>
        </row>
        <row r="456">
          <cell r="A456" t="str">
            <v>-1</v>
          </cell>
          <cell r="B456" t="str">
            <v>강관동바리</v>
          </cell>
          <cell r="C456" t="str">
            <v>(교량용)</v>
          </cell>
          <cell r="D456">
            <v>3882</v>
          </cell>
          <cell r="E456" t="str">
            <v>공㎥</v>
          </cell>
        </row>
        <row r="457">
          <cell r="A457" t="str">
            <v>-2</v>
          </cell>
          <cell r="B457" t="str">
            <v>동바리공</v>
          </cell>
          <cell r="C457" t="str">
            <v>(목재4회)</v>
          </cell>
          <cell r="D457">
            <v>6814</v>
          </cell>
          <cell r="E457" t="str">
            <v>공㎥</v>
          </cell>
        </row>
        <row r="458">
          <cell r="A458" t="str">
            <v>h</v>
          </cell>
          <cell r="B458" t="str">
            <v>무수축콘크리트</v>
          </cell>
        </row>
        <row r="459">
          <cell r="A459" t="str">
            <v>-1</v>
          </cell>
          <cell r="B459" t="str">
            <v>무수축몰탈</v>
          </cell>
          <cell r="C459" t="str">
            <v>1:1</v>
          </cell>
          <cell r="D459">
            <v>1.837</v>
          </cell>
          <cell r="E459" t="str">
            <v>㎥</v>
          </cell>
        </row>
        <row r="460">
          <cell r="A460" t="str">
            <v>-2</v>
          </cell>
          <cell r="B460" t="str">
            <v>무수축콘크리트</v>
          </cell>
          <cell r="D460">
            <v>10.946</v>
          </cell>
          <cell r="E460" t="str">
            <v>㎥</v>
          </cell>
        </row>
        <row r="461">
          <cell r="A461" t="str">
            <v>i</v>
          </cell>
          <cell r="B461" t="str">
            <v>교좌장치공</v>
          </cell>
        </row>
        <row r="462">
          <cell r="A462" t="str">
            <v>-1</v>
          </cell>
          <cell r="B462" t="str">
            <v>POT BEARING</v>
          </cell>
          <cell r="C462" t="str">
            <v>일방향(300TON)</v>
          </cell>
          <cell r="D462">
            <v>4</v>
          </cell>
          <cell r="E462" t="str">
            <v>EA</v>
          </cell>
        </row>
        <row r="463">
          <cell r="A463" t="str">
            <v>-2</v>
          </cell>
          <cell r="B463" t="str">
            <v>POT BEARING</v>
          </cell>
          <cell r="C463" t="str">
            <v>양방향(300TON)</v>
          </cell>
          <cell r="D463">
            <v>8</v>
          </cell>
          <cell r="E463" t="str">
            <v>EA</v>
          </cell>
        </row>
        <row r="464">
          <cell r="A464" t="str">
            <v>-3</v>
          </cell>
          <cell r="B464" t="str">
            <v>POT BEARING</v>
          </cell>
          <cell r="C464" t="str">
            <v>고정단700TON</v>
          </cell>
          <cell r="D464">
            <v>2</v>
          </cell>
          <cell r="E464" t="str">
            <v>EA</v>
          </cell>
        </row>
        <row r="465">
          <cell r="A465" t="str">
            <v>-4</v>
          </cell>
          <cell r="B465" t="str">
            <v>POT BEARING</v>
          </cell>
          <cell r="C465" t="str">
            <v>일방향700TON</v>
          </cell>
          <cell r="D465">
            <v>8</v>
          </cell>
          <cell r="E465" t="str">
            <v>EA</v>
          </cell>
        </row>
        <row r="466">
          <cell r="A466" t="str">
            <v>-5</v>
          </cell>
          <cell r="B466" t="str">
            <v>POT BEARING</v>
          </cell>
          <cell r="C466" t="str">
            <v>양방향700TON</v>
          </cell>
          <cell r="D466">
            <v>8</v>
          </cell>
          <cell r="E466" t="str">
            <v>EA</v>
          </cell>
        </row>
        <row r="467">
          <cell r="A467" t="str">
            <v>j</v>
          </cell>
          <cell r="B467" t="str">
            <v>신축이음장치</v>
          </cell>
        </row>
        <row r="468">
          <cell r="A468" t="str">
            <v>-1</v>
          </cell>
          <cell r="B468" t="str">
            <v>신축이음장치</v>
          </cell>
          <cell r="C468" t="str">
            <v>(NO100)</v>
          </cell>
          <cell r="D468">
            <v>25</v>
          </cell>
          <cell r="E468" t="str">
            <v>M</v>
          </cell>
        </row>
        <row r="469">
          <cell r="A469" t="str">
            <v>-2</v>
          </cell>
          <cell r="B469" t="str">
            <v>신축이음장치</v>
          </cell>
          <cell r="C469" t="str">
            <v>(NO 160)</v>
          </cell>
          <cell r="D469">
            <v>12</v>
          </cell>
          <cell r="E469" t="str">
            <v>M</v>
          </cell>
        </row>
        <row r="470">
          <cell r="A470" t="str">
            <v>k</v>
          </cell>
          <cell r="B470" t="str">
            <v>표면처리공</v>
          </cell>
        </row>
        <row r="471">
          <cell r="A471" t="str">
            <v>-1</v>
          </cell>
          <cell r="B471" t="str">
            <v>면고르기</v>
          </cell>
          <cell r="C471" t="str">
            <v>DECK FINISHER</v>
          </cell>
          <cell r="D471">
            <v>4871</v>
          </cell>
          <cell r="E471" t="str">
            <v>㎡</v>
          </cell>
        </row>
        <row r="472">
          <cell r="A472" t="str">
            <v>-2</v>
          </cell>
          <cell r="B472" t="str">
            <v>슬라브양생</v>
          </cell>
          <cell r="C472" t="str">
            <v>(도막양생)</v>
          </cell>
          <cell r="D472">
            <v>4871</v>
          </cell>
          <cell r="E472" t="str">
            <v>㎡</v>
          </cell>
        </row>
        <row r="473">
          <cell r="A473" t="str">
            <v>-3</v>
          </cell>
          <cell r="B473" t="str">
            <v>교면방수</v>
          </cell>
          <cell r="C473" t="str">
            <v>(도막방수)</v>
          </cell>
          <cell r="D473">
            <v>4871</v>
          </cell>
          <cell r="E473" t="str">
            <v>㎡</v>
          </cell>
        </row>
        <row r="474">
          <cell r="A474" t="str">
            <v>l</v>
          </cell>
          <cell r="B474" t="str">
            <v>교량명판공</v>
          </cell>
        </row>
        <row r="475">
          <cell r="A475" t="str">
            <v>-1</v>
          </cell>
          <cell r="B475" t="str">
            <v>교명주</v>
          </cell>
          <cell r="C475" t="str">
            <v>(1000*500*350)</v>
          </cell>
          <cell r="D475">
            <v>4</v>
          </cell>
          <cell r="E475" t="str">
            <v>EA</v>
          </cell>
        </row>
        <row r="476">
          <cell r="A476" t="str">
            <v>-2</v>
          </cell>
          <cell r="B476" t="str">
            <v>교명판</v>
          </cell>
          <cell r="C476" t="str">
            <v>(200X450X10)</v>
          </cell>
          <cell r="D476">
            <v>2</v>
          </cell>
          <cell r="E476" t="str">
            <v>EA</v>
          </cell>
        </row>
        <row r="477">
          <cell r="A477" t="str">
            <v>-3</v>
          </cell>
          <cell r="B477" t="str">
            <v>설명판</v>
          </cell>
          <cell r="C477" t="str">
            <v>(500X300X10)</v>
          </cell>
          <cell r="D477">
            <v>2</v>
          </cell>
          <cell r="E477" t="str">
            <v>EA</v>
          </cell>
        </row>
        <row r="478">
          <cell r="A478" t="str">
            <v>-4</v>
          </cell>
          <cell r="B478" t="str">
            <v>TBM 설치</v>
          </cell>
          <cell r="D478">
            <v>2</v>
          </cell>
          <cell r="E478" t="str">
            <v>EA</v>
          </cell>
        </row>
        <row r="479">
          <cell r="A479" t="str">
            <v>m</v>
          </cell>
          <cell r="B479" t="str">
            <v>다월바설치</v>
          </cell>
          <cell r="D479">
            <v>64</v>
          </cell>
          <cell r="E479" t="str">
            <v>EA</v>
          </cell>
        </row>
        <row r="480">
          <cell r="A480" t="str">
            <v>n</v>
          </cell>
          <cell r="B480" t="str">
            <v>스치로폴</v>
          </cell>
          <cell r="C480" t="str">
            <v>(신축이음T=20M/M)</v>
          </cell>
          <cell r="D480">
            <v>9</v>
          </cell>
          <cell r="E480" t="str">
            <v>㎡</v>
          </cell>
        </row>
        <row r="481">
          <cell r="A481" t="str">
            <v>o</v>
          </cell>
          <cell r="B481" t="str">
            <v>교량용집수구</v>
          </cell>
        </row>
        <row r="482">
          <cell r="A482" t="str">
            <v>-1</v>
          </cell>
          <cell r="B482" t="str">
            <v>집수구</v>
          </cell>
          <cell r="C482" t="str">
            <v>(주철)</v>
          </cell>
          <cell r="D482">
            <v>19</v>
          </cell>
          <cell r="E482" t="str">
            <v>EA</v>
          </cell>
        </row>
        <row r="483">
          <cell r="A483" t="str">
            <v>-2</v>
          </cell>
          <cell r="B483" t="str">
            <v>연결배수구</v>
          </cell>
          <cell r="C483" t="str">
            <v>(스텐레스)</v>
          </cell>
          <cell r="D483">
            <v>7</v>
          </cell>
          <cell r="E483" t="str">
            <v>EA</v>
          </cell>
        </row>
        <row r="484">
          <cell r="A484" t="str">
            <v>-3</v>
          </cell>
          <cell r="B484" t="str">
            <v>직관</v>
          </cell>
          <cell r="C484" t="str">
            <v>(Φ150)</v>
          </cell>
          <cell r="D484">
            <v>147</v>
          </cell>
          <cell r="E484" t="str">
            <v>M</v>
          </cell>
        </row>
        <row r="485">
          <cell r="A485" t="str">
            <v>-4</v>
          </cell>
          <cell r="B485" t="str">
            <v>육교용곡관</v>
          </cell>
          <cell r="D485">
            <v>16</v>
          </cell>
          <cell r="E485" t="str">
            <v>EA</v>
          </cell>
        </row>
        <row r="486">
          <cell r="A486" t="str">
            <v>-5</v>
          </cell>
          <cell r="B486" t="str">
            <v>연결부</v>
          </cell>
          <cell r="C486" t="str">
            <v>(스텐레스)</v>
          </cell>
          <cell r="D486">
            <v>147</v>
          </cell>
          <cell r="E486" t="str">
            <v>EA</v>
          </cell>
        </row>
        <row r="487">
          <cell r="A487" t="str">
            <v>-6</v>
          </cell>
          <cell r="B487" t="str">
            <v>하천용배수구</v>
          </cell>
          <cell r="C487" t="str">
            <v>(아연도강관D=150MM)</v>
          </cell>
          <cell r="D487">
            <v>37</v>
          </cell>
          <cell r="E487" t="str">
            <v>M</v>
          </cell>
        </row>
        <row r="488">
          <cell r="A488" t="str">
            <v>p</v>
          </cell>
          <cell r="B488" t="str">
            <v>전선관</v>
          </cell>
          <cell r="C488" t="str">
            <v>P.V.C PIPE</v>
          </cell>
          <cell r="D488">
            <v>783</v>
          </cell>
          <cell r="E488" t="str">
            <v>M</v>
          </cell>
        </row>
        <row r="489">
          <cell r="A489" t="str">
            <v>q</v>
          </cell>
          <cell r="B489" t="str">
            <v>환풍기받침대설치</v>
          </cell>
          <cell r="D489">
            <v>24</v>
          </cell>
          <cell r="E489" t="str">
            <v>EA</v>
          </cell>
        </row>
        <row r="490">
          <cell r="A490" t="str">
            <v>r</v>
          </cell>
          <cell r="B490" t="str">
            <v>강교가설</v>
          </cell>
        </row>
        <row r="491">
          <cell r="A491" t="str">
            <v>-1</v>
          </cell>
          <cell r="B491" t="str">
            <v>강교제작</v>
          </cell>
          <cell r="C491" t="str">
            <v>(송정A)</v>
          </cell>
          <cell r="D491">
            <v>2179.9679999999998</v>
          </cell>
          <cell r="E491" t="str">
            <v>TON</v>
          </cell>
        </row>
        <row r="492">
          <cell r="A492" t="str">
            <v>-2</v>
          </cell>
          <cell r="B492" t="str">
            <v>강교운반및가설</v>
          </cell>
          <cell r="C492" t="str">
            <v>(송정A)</v>
          </cell>
          <cell r="D492">
            <v>2179.9679999999998</v>
          </cell>
          <cell r="E492" t="str">
            <v>TON</v>
          </cell>
        </row>
        <row r="493">
          <cell r="A493" t="str">
            <v>-3</v>
          </cell>
          <cell r="B493" t="str">
            <v>내부도장</v>
          </cell>
          <cell r="C493" t="str">
            <v>(공장)</v>
          </cell>
          <cell r="D493">
            <v>21900</v>
          </cell>
          <cell r="E493" t="str">
            <v>㎡</v>
          </cell>
        </row>
        <row r="494">
          <cell r="A494" t="str">
            <v>-4</v>
          </cell>
          <cell r="B494" t="str">
            <v>연결판도장</v>
          </cell>
          <cell r="C494" t="str">
            <v>(공장)</v>
          </cell>
          <cell r="D494">
            <v>2272</v>
          </cell>
          <cell r="E494" t="str">
            <v>㎡</v>
          </cell>
        </row>
        <row r="495">
          <cell r="A495" t="str">
            <v>-5</v>
          </cell>
          <cell r="B495" t="str">
            <v>내부볼트및연결판도장</v>
          </cell>
          <cell r="C495" t="str">
            <v>(현장)</v>
          </cell>
          <cell r="D495">
            <v>522</v>
          </cell>
          <cell r="E495" t="str">
            <v>㎡</v>
          </cell>
        </row>
        <row r="496">
          <cell r="A496" t="str">
            <v>-6</v>
          </cell>
          <cell r="B496" t="str">
            <v>외부도장</v>
          </cell>
          <cell r="C496" t="str">
            <v>(공장)</v>
          </cell>
          <cell r="D496">
            <v>14744</v>
          </cell>
          <cell r="E496" t="str">
            <v>㎡</v>
          </cell>
        </row>
        <row r="497">
          <cell r="A497" t="str">
            <v>-7</v>
          </cell>
          <cell r="B497" t="str">
            <v>외부포장면도장</v>
          </cell>
          <cell r="C497" t="str">
            <v>(공장)</v>
          </cell>
          <cell r="D497">
            <v>2818</v>
          </cell>
          <cell r="E497" t="str">
            <v>㎡</v>
          </cell>
        </row>
        <row r="498">
          <cell r="A498" t="str">
            <v>-8</v>
          </cell>
          <cell r="B498" t="str">
            <v>외부볼트및연결판도장</v>
          </cell>
          <cell r="C498" t="str">
            <v>(현장)</v>
          </cell>
          <cell r="D498">
            <v>1749</v>
          </cell>
          <cell r="E498" t="str">
            <v>㎡</v>
          </cell>
        </row>
        <row r="499">
          <cell r="A499" t="str">
            <v>-9</v>
          </cell>
          <cell r="B499" t="str">
            <v>외부도장</v>
          </cell>
          <cell r="C499" t="str">
            <v>(현장)</v>
          </cell>
          <cell r="D499">
            <v>2211</v>
          </cell>
          <cell r="E499" t="str">
            <v>㎡</v>
          </cell>
        </row>
        <row r="500">
          <cell r="A500" t="str">
            <v>s</v>
          </cell>
          <cell r="B500" t="str">
            <v>기타공</v>
          </cell>
        </row>
        <row r="501">
          <cell r="A501" t="str">
            <v>-1</v>
          </cell>
          <cell r="B501" t="str">
            <v>낙교방지책</v>
          </cell>
          <cell r="C501" t="str">
            <v>(1SHOE,TYPE-1)</v>
          </cell>
          <cell r="D501">
            <v>12</v>
          </cell>
          <cell r="E501" t="str">
            <v>EA</v>
          </cell>
        </row>
        <row r="502">
          <cell r="A502" t="str">
            <v>-2</v>
          </cell>
          <cell r="B502" t="str">
            <v>낙교방지책</v>
          </cell>
          <cell r="C502" t="str">
            <v>(1SHOE,TYPE-2)</v>
          </cell>
          <cell r="D502">
            <v>12</v>
          </cell>
          <cell r="E502" t="str">
            <v>EA</v>
          </cell>
        </row>
        <row r="503">
          <cell r="A503" t="str">
            <v>-3</v>
          </cell>
          <cell r="B503" t="str">
            <v>낙교방지책</v>
          </cell>
          <cell r="C503" t="str">
            <v>(1SHOE, TYPE-3)</v>
          </cell>
          <cell r="D503">
            <v>6</v>
          </cell>
          <cell r="E503" t="str">
            <v>EA</v>
          </cell>
        </row>
        <row r="504">
          <cell r="A504" t="str">
            <v>-4</v>
          </cell>
          <cell r="B504" t="str">
            <v>안전점검통로</v>
          </cell>
          <cell r="C504" t="str">
            <v>교축방향(TYPE-2)</v>
          </cell>
          <cell r="D504">
            <v>162</v>
          </cell>
          <cell r="E504" t="str">
            <v>개소</v>
          </cell>
        </row>
        <row r="505">
          <cell r="A505" t="str">
            <v>-5</v>
          </cell>
          <cell r="B505" t="str">
            <v>안전점검통로(송정A)</v>
          </cell>
          <cell r="C505" t="str">
            <v>(교축직각방향TYPE-1)</v>
          </cell>
          <cell r="D505">
            <v>6</v>
          </cell>
          <cell r="E505" t="str">
            <v>개소</v>
          </cell>
        </row>
        <row r="506">
          <cell r="A506" t="str">
            <v>-6</v>
          </cell>
          <cell r="B506" t="str">
            <v>안전점검통로(송정A)</v>
          </cell>
          <cell r="C506" t="str">
            <v>교축직각방향(TYPE-2)</v>
          </cell>
          <cell r="D506">
            <v>1</v>
          </cell>
          <cell r="E506" t="str">
            <v>개소</v>
          </cell>
        </row>
        <row r="507">
          <cell r="A507" t="str">
            <v>-7</v>
          </cell>
          <cell r="B507" t="str">
            <v>내부출입구설치</v>
          </cell>
          <cell r="C507" t="str">
            <v>LOWER FLANGE</v>
          </cell>
          <cell r="D507">
            <v>12</v>
          </cell>
          <cell r="E507" t="str">
            <v>EA</v>
          </cell>
        </row>
        <row r="508">
          <cell r="A508" t="str">
            <v>-8</v>
          </cell>
          <cell r="B508" t="str">
            <v>내부출입구설치</v>
          </cell>
          <cell r="C508" t="str">
            <v>DIAPHRAGM</v>
          </cell>
          <cell r="D508">
            <v>12</v>
          </cell>
          <cell r="E508" t="str">
            <v>EA</v>
          </cell>
        </row>
        <row r="509">
          <cell r="A509" t="str">
            <v>-9</v>
          </cell>
          <cell r="B509" t="str">
            <v>내부출입구설치</v>
          </cell>
          <cell r="C509" t="str">
            <v>WEB</v>
          </cell>
          <cell r="D509">
            <v>18</v>
          </cell>
          <cell r="E509" t="str">
            <v>EA</v>
          </cell>
        </row>
        <row r="510">
          <cell r="A510" t="str">
            <v>t</v>
          </cell>
          <cell r="B510" t="str">
            <v>가 도</v>
          </cell>
        </row>
        <row r="511">
          <cell r="A511" t="str">
            <v>-1</v>
          </cell>
          <cell r="B511" t="str">
            <v>가도공흙쌓기</v>
          </cell>
          <cell r="D511">
            <v>267</v>
          </cell>
          <cell r="E511" t="str">
            <v>M3</v>
          </cell>
        </row>
        <row r="512">
          <cell r="A512" t="str">
            <v>-2</v>
          </cell>
          <cell r="B512" t="str">
            <v>가마니쌓기및헐기</v>
          </cell>
          <cell r="D512">
            <v>79</v>
          </cell>
          <cell r="E512" t="str">
            <v>M2</v>
          </cell>
        </row>
        <row r="513">
          <cell r="A513" t="str">
            <v>u</v>
          </cell>
          <cell r="B513" t="str">
            <v>가시설</v>
          </cell>
          <cell r="C513" t="str">
            <v>(교각부)</v>
          </cell>
        </row>
        <row r="514">
          <cell r="A514" t="str">
            <v>-1</v>
          </cell>
          <cell r="B514" t="str">
            <v>강널말뚝자재비</v>
          </cell>
          <cell r="C514" t="str">
            <v>400*150*13</v>
          </cell>
          <cell r="D514">
            <v>188</v>
          </cell>
          <cell r="E514" t="str">
            <v>TON</v>
          </cell>
        </row>
        <row r="515">
          <cell r="A515" t="str">
            <v>-2</v>
          </cell>
          <cell r="B515" t="str">
            <v>강널말뚝 항타(송정IC</v>
          </cell>
          <cell r="C515" t="str">
            <v>RAMP-A교,가시설용)</v>
          </cell>
          <cell r="D515">
            <v>1760</v>
          </cell>
          <cell r="E515" t="str">
            <v>M</v>
          </cell>
        </row>
        <row r="516">
          <cell r="A516" t="str">
            <v>-3</v>
          </cell>
          <cell r="B516" t="str">
            <v>강널말뚝 뽑기(송정IC</v>
          </cell>
          <cell r="C516" t="str">
            <v>RAMP-A교)가시설용</v>
          </cell>
          <cell r="D516">
            <v>1612</v>
          </cell>
          <cell r="E516" t="str">
            <v>M</v>
          </cell>
        </row>
        <row r="517">
          <cell r="A517" t="str">
            <v>-4</v>
          </cell>
          <cell r="B517" t="str">
            <v>띠장설치및철거(송정)</v>
          </cell>
          <cell r="C517" t="str">
            <v>RAMP-A,E교</v>
          </cell>
          <cell r="D517">
            <v>287</v>
          </cell>
          <cell r="E517" t="str">
            <v>M</v>
          </cell>
        </row>
        <row r="518">
          <cell r="A518" t="str">
            <v>-5</v>
          </cell>
          <cell r="B518" t="str">
            <v>L형강설치및철거</v>
          </cell>
          <cell r="C518" t="str">
            <v>100*100*10</v>
          </cell>
          <cell r="D518">
            <v>64</v>
          </cell>
          <cell r="E518" t="str">
            <v>M</v>
          </cell>
        </row>
        <row r="519">
          <cell r="A519" t="str">
            <v>-6</v>
          </cell>
          <cell r="B519" t="str">
            <v>보걸이 설치</v>
          </cell>
          <cell r="D519">
            <v>144</v>
          </cell>
          <cell r="E519" t="str">
            <v>EA</v>
          </cell>
        </row>
        <row r="520">
          <cell r="A520" t="str">
            <v>-7</v>
          </cell>
          <cell r="B520" t="str">
            <v>강판설치</v>
          </cell>
          <cell r="D520">
            <v>1</v>
          </cell>
          <cell r="E520" t="str">
            <v>TON</v>
          </cell>
        </row>
        <row r="521">
          <cell r="A521" t="str">
            <v>w</v>
          </cell>
          <cell r="B521" t="str">
            <v>가교가설(송정R-A교)</v>
          </cell>
          <cell r="C521" t="str">
            <v>(L=80.0M,B=8.0M)</v>
          </cell>
          <cell r="D521">
            <v>1</v>
          </cell>
          <cell r="E521" t="str">
            <v>L.S</v>
          </cell>
        </row>
        <row r="522">
          <cell r="A522" t="str">
            <v>x</v>
          </cell>
          <cell r="B522" t="str">
            <v>검사시험</v>
          </cell>
        </row>
        <row r="523">
          <cell r="A523" t="str">
            <v>-1</v>
          </cell>
          <cell r="B523" t="str">
            <v>방사선투과검사</v>
          </cell>
          <cell r="C523" t="str">
            <v>R.T</v>
          </cell>
          <cell r="D523">
            <v>94</v>
          </cell>
          <cell r="E523" t="str">
            <v>SHEET</v>
          </cell>
        </row>
        <row r="524">
          <cell r="A524" t="str">
            <v>-2</v>
          </cell>
          <cell r="B524" t="str">
            <v>초음파탐상검사</v>
          </cell>
          <cell r="C524" t="str">
            <v>U.T</v>
          </cell>
          <cell r="D524">
            <v>62</v>
          </cell>
          <cell r="E524" t="str">
            <v>M</v>
          </cell>
        </row>
        <row r="525">
          <cell r="A525" t="str">
            <v>y</v>
          </cell>
          <cell r="B525" t="str">
            <v>자재비</v>
          </cell>
        </row>
        <row r="526">
          <cell r="A526" t="str">
            <v>-1</v>
          </cell>
          <cell r="B526" t="str">
            <v>레미콘</v>
          </cell>
          <cell r="C526" t="str">
            <v>25-240-12</v>
          </cell>
          <cell r="D526">
            <v>1751</v>
          </cell>
          <cell r="E526" t="str">
            <v>㎥</v>
          </cell>
        </row>
        <row r="527">
          <cell r="A527" t="str">
            <v>-2</v>
          </cell>
          <cell r="B527" t="str">
            <v>레미콘</v>
          </cell>
          <cell r="C527" t="str">
            <v>25-210-12</v>
          </cell>
          <cell r="D527">
            <v>6379</v>
          </cell>
          <cell r="E527" t="str">
            <v>㎥</v>
          </cell>
        </row>
        <row r="528">
          <cell r="A528" t="str">
            <v>-3</v>
          </cell>
          <cell r="B528" t="str">
            <v>레미콘</v>
          </cell>
          <cell r="C528" t="str">
            <v>40-180-8</v>
          </cell>
          <cell r="D528">
            <v>955</v>
          </cell>
          <cell r="E528" t="str">
            <v>㎥</v>
          </cell>
        </row>
        <row r="529">
          <cell r="A529" t="str">
            <v>-4</v>
          </cell>
          <cell r="B529" t="str">
            <v>레미콘</v>
          </cell>
          <cell r="C529" t="str">
            <v>40-160-8</v>
          </cell>
          <cell r="D529">
            <v>132</v>
          </cell>
          <cell r="E529" t="str">
            <v>㎥</v>
          </cell>
        </row>
        <row r="530">
          <cell r="A530" t="str">
            <v>-5</v>
          </cell>
          <cell r="B530" t="str">
            <v>시멘트</v>
          </cell>
          <cell r="C530" t="str">
            <v>40㎏/대</v>
          </cell>
          <cell r="D530">
            <v>210</v>
          </cell>
          <cell r="E530" t="str">
            <v>대</v>
          </cell>
        </row>
        <row r="531">
          <cell r="A531" t="str">
            <v>-6</v>
          </cell>
          <cell r="B531" t="str">
            <v>철근</v>
          </cell>
          <cell r="C531" t="str">
            <v>SD40 H16M/M 이상</v>
          </cell>
          <cell r="D531">
            <v>539.774</v>
          </cell>
          <cell r="E531" t="str">
            <v>TON</v>
          </cell>
        </row>
        <row r="532">
          <cell r="A532" t="str">
            <v>-7</v>
          </cell>
          <cell r="B532" t="str">
            <v>철근</v>
          </cell>
          <cell r="C532" t="str">
            <v>SD40 H13M/M</v>
          </cell>
          <cell r="D532">
            <v>9.4870000000000001</v>
          </cell>
          <cell r="E532" t="str">
            <v>TON</v>
          </cell>
        </row>
        <row r="533">
          <cell r="A533" t="str">
            <v>-8</v>
          </cell>
          <cell r="B533" t="str">
            <v>철근</v>
          </cell>
          <cell r="C533" t="str">
            <v>SD30 D16M/M 이상</v>
          </cell>
          <cell r="D533">
            <v>1774.6479999999999</v>
          </cell>
          <cell r="E533" t="str">
            <v>TON</v>
          </cell>
        </row>
        <row r="534">
          <cell r="A534" t="str">
            <v>-9</v>
          </cell>
          <cell r="B534" t="str">
            <v>철근</v>
          </cell>
          <cell r="C534" t="str">
            <v>SD30 D13M/M</v>
          </cell>
          <cell r="D534">
            <v>21.417999999999999</v>
          </cell>
          <cell r="E534" t="str">
            <v>TON</v>
          </cell>
        </row>
        <row r="535">
          <cell r="A535" t="str">
            <v>3.04</v>
          </cell>
          <cell r="B535" t="str">
            <v>송정RAMP-D교(S.T BOX</v>
          </cell>
          <cell r="C535" t="str">
            <v>)L=372.0, B=7.5</v>
          </cell>
        </row>
        <row r="536">
          <cell r="A536" t="str">
            <v>a</v>
          </cell>
          <cell r="B536" t="str">
            <v>토  공</v>
          </cell>
        </row>
        <row r="537">
          <cell r="A537" t="str">
            <v>-1</v>
          </cell>
          <cell r="B537" t="str">
            <v>구조물터파기</v>
          </cell>
          <cell r="C537" t="str">
            <v>(육상토사:0-4M)</v>
          </cell>
          <cell r="D537">
            <v>7937</v>
          </cell>
          <cell r="E537" t="str">
            <v>㎥</v>
          </cell>
        </row>
        <row r="538">
          <cell r="A538" t="str">
            <v>-2</v>
          </cell>
          <cell r="B538" t="str">
            <v>구조물터파기</v>
          </cell>
          <cell r="C538" t="str">
            <v>(육상토사:4m이상)</v>
          </cell>
          <cell r="D538">
            <v>4055</v>
          </cell>
          <cell r="E538" t="str">
            <v>㎥</v>
          </cell>
        </row>
        <row r="539">
          <cell r="A539" t="str">
            <v>-3</v>
          </cell>
          <cell r="B539" t="str">
            <v>구조물터파기</v>
          </cell>
          <cell r="C539" t="str">
            <v>(육상리핑암:0-4M)</v>
          </cell>
          <cell r="D539">
            <v>912</v>
          </cell>
          <cell r="E539" t="str">
            <v>㎥</v>
          </cell>
        </row>
        <row r="540">
          <cell r="A540" t="str">
            <v>-4</v>
          </cell>
          <cell r="B540" t="str">
            <v>구조물터파기</v>
          </cell>
          <cell r="C540" t="str">
            <v>(육상리핑암:4M이상)</v>
          </cell>
          <cell r="D540">
            <v>564</v>
          </cell>
          <cell r="E540" t="str">
            <v>㎥</v>
          </cell>
        </row>
        <row r="541">
          <cell r="A541" t="str">
            <v>-5</v>
          </cell>
          <cell r="B541" t="str">
            <v>구조물터파기</v>
          </cell>
          <cell r="C541" t="str">
            <v>(육상발파암:0-4M)</v>
          </cell>
          <cell r="D541">
            <v>829</v>
          </cell>
          <cell r="E541" t="str">
            <v>㎥</v>
          </cell>
        </row>
        <row r="542">
          <cell r="A542" t="str">
            <v>-6</v>
          </cell>
          <cell r="B542" t="str">
            <v>구조물터파기</v>
          </cell>
          <cell r="C542" t="str">
            <v>(육상발파암:4M이상)</v>
          </cell>
          <cell r="D542">
            <v>186</v>
          </cell>
          <cell r="E542" t="str">
            <v>㎥</v>
          </cell>
        </row>
        <row r="543">
          <cell r="A543" t="str">
            <v>-7</v>
          </cell>
          <cell r="B543" t="str">
            <v>구조물터파기</v>
          </cell>
          <cell r="C543" t="str">
            <v>(수중토사:0-4M)</v>
          </cell>
          <cell r="D543">
            <v>979</v>
          </cell>
          <cell r="E543" t="str">
            <v>㎥</v>
          </cell>
        </row>
        <row r="544">
          <cell r="A544" t="str">
            <v>-8</v>
          </cell>
          <cell r="B544" t="str">
            <v>구조물터파기</v>
          </cell>
          <cell r="C544" t="str">
            <v>(수중토사:4M이상)</v>
          </cell>
          <cell r="D544">
            <v>28</v>
          </cell>
          <cell r="E544" t="str">
            <v>㎥</v>
          </cell>
        </row>
        <row r="545">
          <cell r="A545" t="str">
            <v>-9</v>
          </cell>
          <cell r="B545" t="str">
            <v>구조물터파기</v>
          </cell>
          <cell r="C545" t="str">
            <v>(수중리핑암:0-4M)</v>
          </cell>
          <cell r="D545">
            <v>172</v>
          </cell>
          <cell r="E545" t="str">
            <v>㎥</v>
          </cell>
        </row>
        <row r="546">
          <cell r="A546" t="str">
            <v>-10</v>
          </cell>
          <cell r="B546" t="str">
            <v>구조물터파기</v>
          </cell>
          <cell r="C546" t="str">
            <v>(수중리핑암:4M이상)</v>
          </cell>
          <cell r="D546">
            <v>129</v>
          </cell>
          <cell r="E546" t="str">
            <v>㎥</v>
          </cell>
        </row>
        <row r="547">
          <cell r="A547" t="str">
            <v>-11</v>
          </cell>
          <cell r="B547" t="str">
            <v>되메우기및다짐</v>
          </cell>
          <cell r="C547" t="str">
            <v>(인력30%+기계70%)</v>
          </cell>
          <cell r="D547">
            <v>12918</v>
          </cell>
          <cell r="E547" t="str">
            <v>㎥</v>
          </cell>
        </row>
        <row r="548">
          <cell r="A548" t="str">
            <v>-12</v>
          </cell>
          <cell r="B548" t="str">
            <v>물푸기</v>
          </cell>
          <cell r="C548" t="str">
            <v>(교량등대형구조물)</v>
          </cell>
          <cell r="D548">
            <v>53</v>
          </cell>
          <cell r="E548" t="str">
            <v>HR</v>
          </cell>
        </row>
        <row r="549">
          <cell r="A549" t="str">
            <v>-13</v>
          </cell>
          <cell r="B549" t="str">
            <v>뒷채움및다짐</v>
          </cell>
          <cell r="D549">
            <v>421</v>
          </cell>
          <cell r="E549" t="str">
            <v>㎥</v>
          </cell>
        </row>
        <row r="550">
          <cell r="A550" t="str">
            <v>b</v>
          </cell>
          <cell r="B550" t="str">
            <v>강관파일공</v>
          </cell>
        </row>
        <row r="551">
          <cell r="A551" t="str">
            <v>-1</v>
          </cell>
          <cell r="B551" t="str">
            <v>강관파일자재비</v>
          </cell>
          <cell r="C551" t="str">
            <v>(Φ508.0M/M*12T)</v>
          </cell>
          <cell r="D551">
            <v>122</v>
          </cell>
          <cell r="E551" t="str">
            <v>M</v>
          </cell>
        </row>
        <row r="552">
          <cell r="A552" t="str">
            <v>-2</v>
          </cell>
          <cell r="B552" t="str">
            <v>항타비직항(송정D교)</v>
          </cell>
          <cell r="C552" t="str">
            <v>(Φ508.0*12T)</v>
          </cell>
          <cell r="D552">
            <v>112</v>
          </cell>
          <cell r="E552" t="str">
            <v>M</v>
          </cell>
        </row>
        <row r="553">
          <cell r="A553" t="str">
            <v>-3</v>
          </cell>
          <cell r="B553" t="str">
            <v>두부선단보강</v>
          </cell>
          <cell r="C553" t="str">
            <v>(Φ508.0M/M*12T)</v>
          </cell>
          <cell r="D553">
            <v>18</v>
          </cell>
          <cell r="E553" t="str">
            <v>개소</v>
          </cell>
        </row>
        <row r="554">
          <cell r="A554" t="str">
            <v>c</v>
          </cell>
          <cell r="B554" t="str">
            <v>콘크리트타설</v>
          </cell>
        </row>
        <row r="555">
          <cell r="A555" t="str">
            <v>-1</v>
          </cell>
          <cell r="B555" t="str">
            <v>무근콘크리트타설</v>
          </cell>
          <cell r="C555" t="str">
            <v>(진동기제외)</v>
          </cell>
          <cell r="D555">
            <v>785</v>
          </cell>
          <cell r="E555" t="str">
            <v>㎥</v>
          </cell>
        </row>
        <row r="556">
          <cell r="A556" t="str">
            <v>-2</v>
          </cell>
          <cell r="B556" t="str">
            <v>철근콘크리트타설</v>
          </cell>
          <cell r="C556" t="str">
            <v>펌프카타설(0-15M)</v>
          </cell>
          <cell r="D556">
            <v>3958</v>
          </cell>
          <cell r="E556" t="str">
            <v>㎥</v>
          </cell>
        </row>
        <row r="557">
          <cell r="A557" t="str">
            <v>-3</v>
          </cell>
          <cell r="B557" t="str">
            <v>철근콘크리트타설</v>
          </cell>
          <cell r="C557" t="str">
            <v>펌프카타설(15M이상)</v>
          </cell>
          <cell r="D557">
            <v>930</v>
          </cell>
          <cell r="E557" t="str">
            <v>㎥</v>
          </cell>
        </row>
        <row r="558">
          <cell r="A558" t="str">
            <v>d</v>
          </cell>
          <cell r="B558" t="str">
            <v>스페이셔설치</v>
          </cell>
        </row>
        <row r="559">
          <cell r="A559" t="str">
            <v>-1</v>
          </cell>
          <cell r="B559" t="str">
            <v>스페이셔설치</v>
          </cell>
          <cell r="C559" t="str">
            <v>벽체용</v>
          </cell>
          <cell r="D559">
            <v>3435</v>
          </cell>
          <cell r="E559" t="str">
            <v>㎡</v>
          </cell>
        </row>
        <row r="560">
          <cell r="A560" t="str">
            <v>-2</v>
          </cell>
          <cell r="B560" t="str">
            <v>스페이서설치</v>
          </cell>
          <cell r="C560" t="str">
            <v>슬라브용</v>
          </cell>
          <cell r="D560">
            <v>3556</v>
          </cell>
          <cell r="E560" t="str">
            <v>㎡</v>
          </cell>
        </row>
        <row r="561">
          <cell r="A561" t="str">
            <v>e</v>
          </cell>
          <cell r="B561" t="str">
            <v>철근가공조립</v>
          </cell>
        </row>
        <row r="562">
          <cell r="A562" t="str">
            <v>-1</v>
          </cell>
          <cell r="B562" t="str">
            <v>철근가공조립</v>
          </cell>
          <cell r="C562" t="str">
            <v>(보통)</v>
          </cell>
          <cell r="D562">
            <v>59.334000000000003</v>
          </cell>
          <cell r="E562" t="str">
            <v>TON</v>
          </cell>
        </row>
        <row r="563">
          <cell r="A563" t="str">
            <v>-2</v>
          </cell>
          <cell r="B563" t="str">
            <v>철근가공조립</v>
          </cell>
          <cell r="C563" t="str">
            <v>(복잡)</v>
          </cell>
          <cell r="D563">
            <v>330.52600000000001</v>
          </cell>
          <cell r="E563" t="str">
            <v>TON</v>
          </cell>
        </row>
        <row r="564">
          <cell r="A564" t="str">
            <v>-3</v>
          </cell>
          <cell r="B564" t="str">
            <v>철근가공조립</v>
          </cell>
          <cell r="C564" t="str">
            <v>(매우복잡)</v>
          </cell>
          <cell r="D564">
            <v>792.03399999999999</v>
          </cell>
          <cell r="E564" t="str">
            <v>TON</v>
          </cell>
        </row>
        <row r="565">
          <cell r="A565" t="str">
            <v>f</v>
          </cell>
          <cell r="B565" t="str">
            <v>합판거푸집</v>
          </cell>
        </row>
        <row r="566">
          <cell r="A566" t="str">
            <v>-1</v>
          </cell>
          <cell r="B566" t="str">
            <v>합판거푸집</v>
          </cell>
          <cell r="C566" t="str">
            <v>(3회)0-7M</v>
          </cell>
          <cell r="D566">
            <v>392</v>
          </cell>
          <cell r="E566" t="str">
            <v>㎡</v>
          </cell>
        </row>
        <row r="567">
          <cell r="A567" t="str">
            <v>-2</v>
          </cell>
          <cell r="B567" t="str">
            <v>합판거푸집</v>
          </cell>
          <cell r="C567" t="str">
            <v>(3회)7-10M</v>
          </cell>
          <cell r="D567">
            <v>77</v>
          </cell>
          <cell r="E567" t="str">
            <v>㎡</v>
          </cell>
        </row>
        <row r="568">
          <cell r="A568" t="str">
            <v>-3</v>
          </cell>
          <cell r="B568" t="str">
            <v>합판거푸집</v>
          </cell>
          <cell r="C568" t="str">
            <v>(3회)16-19M</v>
          </cell>
          <cell r="D568">
            <v>50</v>
          </cell>
          <cell r="E568" t="str">
            <v>㎡</v>
          </cell>
        </row>
        <row r="569">
          <cell r="A569" t="str">
            <v>-4</v>
          </cell>
          <cell r="B569" t="str">
            <v>합판거푸집</v>
          </cell>
          <cell r="C569" t="str">
            <v>(3회)25-28M</v>
          </cell>
          <cell r="D569">
            <v>50</v>
          </cell>
          <cell r="E569" t="str">
            <v>㎡</v>
          </cell>
        </row>
        <row r="570">
          <cell r="A570" t="str">
            <v>-5</v>
          </cell>
          <cell r="B570" t="str">
            <v>합판거푸집</v>
          </cell>
          <cell r="C570" t="str">
            <v>(3회)28-31M</v>
          </cell>
          <cell r="D570">
            <v>98</v>
          </cell>
          <cell r="E570" t="str">
            <v>㎡</v>
          </cell>
        </row>
        <row r="571">
          <cell r="A571" t="str">
            <v>-6</v>
          </cell>
          <cell r="B571" t="str">
            <v>합판거푸집</v>
          </cell>
          <cell r="C571" t="str">
            <v>(3회)31-34M</v>
          </cell>
          <cell r="D571">
            <v>49</v>
          </cell>
          <cell r="E571" t="str">
            <v>㎡</v>
          </cell>
        </row>
        <row r="572">
          <cell r="A572" t="str">
            <v>-7</v>
          </cell>
          <cell r="B572" t="str">
            <v>합판거푸집</v>
          </cell>
          <cell r="C572" t="str">
            <v>(3회)34-37M</v>
          </cell>
          <cell r="D572">
            <v>72</v>
          </cell>
          <cell r="E572" t="str">
            <v>M2</v>
          </cell>
        </row>
        <row r="573">
          <cell r="A573" t="str">
            <v>-8</v>
          </cell>
          <cell r="B573" t="str">
            <v>합판거푸집</v>
          </cell>
          <cell r="C573" t="str">
            <v>(3회)37-40M</v>
          </cell>
          <cell r="D573">
            <v>50</v>
          </cell>
          <cell r="E573" t="str">
            <v>M2</v>
          </cell>
        </row>
        <row r="574">
          <cell r="A574" t="str">
            <v>-9</v>
          </cell>
          <cell r="B574" t="str">
            <v>원형거푸집</v>
          </cell>
          <cell r="C574" t="str">
            <v>(3회 0-7M)</v>
          </cell>
          <cell r="D574">
            <v>461</v>
          </cell>
          <cell r="E574" t="str">
            <v>㎡</v>
          </cell>
        </row>
        <row r="575">
          <cell r="A575" t="str">
            <v>-10</v>
          </cell>
          <cell r="B575" t="str">
            <v>원형거푸집</v>
          </cell>
          <cell r="C575" t="str">
            <v>(3회 7-10M)</v>
          </cell>
          <cell r="D575">
            <v>197</v>
          </cell>
          <cell r="E575" t="str">
            <v>㎡</v>
          </cell>
        </row>
        <row r="576">
          <cell r="A576" t="str">
            <v>-11</v>
          </cell>
          <cell r="B576" t="str">
            <v>원형거푸집</v>
          </cell>
          <cell r="C576" t="str">
            <v>(3회 10-13M)</v>
          </cell>
          <cell r="D576">
            <v>179</v>
          </cell>
          <cell r="E576" t="str">
            <v>㎡</v>
          </cell>
        </row>
        <row r="577">
          <cell r="A577" t="str">
            <v>-12</v>
          </cell>
          <cell r="B577" t="str">
            <v>원형거푸집</v>
          </cell>
          <cell r="C577" t="str">
            <v>(3회 13-16M)</v>
          </cell>
          <cell r="D577">
            <v>176</v>
          </cell>
          <cell r="E577" t="str">
            <v>㎡</v>
          </cell>
        </row>
        <row r="578">
          <cell r="A578" t="str">
            <v>-13</v>
          </cell>
          <cell r="B578" t="str">
            <v>원형거푸집</v>
          </cell>
          <cell r="C578" t="str">
            <v>(3회 16-19M)</v>
          </cell>
          <cell r="D578">
            <v>180</v>
          </cell>
          <cell r="E578" t="str">
            <v>㎡</v>
          </cell>
        </row>
        <row r="579">
          <cell r="A579" t="str">
            <v>-14</v>
          </cell>
          <cell r="B579" t="str">
            <v>원형거푸집</v>
          </cell>
          <cell r="C579" t="str">
            <v>(3회 19-22M)</v>
          </cell>
          <cell r="D579">
            <v>169</v>
          </cell>
          <cell r="E579" t="str">
            <v>㎡</v>
          </cell>
        </row>
        <row r="580">
          <cell r="A580" t="str">
            <v>-15</v>
          </cell>
          <cell r="B580" t="str">
            <v>원형거푸집</v>
          </cell>
          <cell r="C580" t="str">
            <v>(3회 22-25M)</v>
          </cell>
          <cell r="D580">
            <v>154</v>
          </cell>
          <cell r="E580" t="str">
            <v>㎡</v>
          </cell>
        </row>
        <row r="581">
          <cell r="A581" t="str">
            <v>-16</v>
          </cell>
          <cell r="B581" t="str">
            <v>원형거푸집</v>
          </cell>
          <cell r="C581" t="str">
            <v>(3회 25-28M)</v>
          </cell>
          <cell r="D581">
            <v>107</v>
          </cell>
          <cell r="E581" t="str">
            <v>㎡</v>
          </cell>
        </row>
        <row r="582">
          <cell r="A582" t="str">
            <v>-17</v>
          </cell>
          <cell r="B582" t="str">
            <v>원형거푸집</v>
          </cell>
          <cell r="C582" t="str">
            <v>(3회 28-31M)</v>
          </cell>
          <cell r="D582">
            <v>101</v>
          </cell>
          <cell r="E582" t="str">
            <v>㎡</v>
          </cell>
        </row>
        <row r="583">
          <cell r="A583" t="str">
            <v>-18</v>
          </cell>
          <cell r="B583" t="str">
            <v>원형거푸집</v>
          </cell>
          <cell r="C583" t="str">
            <v>(3회)31-34M</v>
          </cell>
          <cell r="D583">
            <v>39</v>
          </cell>
          <cell r="E583" t="str">
            <v>M2</v>
          </cell>
        </row>
        <row r="584">
          <cell r="A584" t="str">
            <v>-19</v>
          </cell>
          <cell r="B584" t="str">
            <v>원형거푸집</v>
          </cell>
          <cell r="C584" t="str">
            <v>(3회)34-37M</v>
          </cell>
          <cell r="D584">
            <v>15</v>
          </cell>
          <cell r="E584" t="str">
            <v>M2</v>
          </cell>
        </row>
        <row r="585">
          <cell r="A585" t="str">
            <v>-20</v>
          </cell>
          <cell r="B585" t="str">
            <v>합판거푸집</v>
          </cell>
          <cell r="C585" t="str">
            <v>(3회)37-40M</v>
          </cell>
          <cell r="D585">
            <v>11</v>
          </cell>
          <cell r="E585" t="str">
            <v>M2</v>
          </cell>
        </row>
        <row r="586">
          <cell r="A586" t="str">
            <v>-21</v>
          </cell>
          <cell r="B586" t="str">
            <v>합판거푸집</v>
          </cell>
          <cell r="C586" t="str">
            <v>(소형6회)</v>
          </cell>
          <cell r="D586">
            <v>280</v>
          </cell>
          <cell r="E586" t="str">
            <v>㎡</v>
          </cell>
        </row>
        <row r="587">
          <cell r="A587" t="str">
            <v>-22</v>
          </cell>
          <cell r="B587" t="str">
            <v>합판거푸집</v>
          </cell>
          <cell r="C587" t="str">
            <v>(소형4회)</v>
          </cell>
          <cell r="D587">
            <v>796</v>
          </cell>
          <cell r="E587" t="str">
            <v>㎡</v>
          </cell>
        </row>
        <row r="588">
          <cell r="A588" t="str">
            <v>-23</v>
          </cell>
          <cell r="B588" t="str">
            <v>합판거푸집</v>
          </cell>
          <cell r="C588" t="str">
            <v>(소형3회)</v>
          </cell>
          <cell r="D588">
            <v>3226</v>
          </cell>
          <cell r="E588" t="str">
            <v>㎡</v>
          </cell>
        </row>
        <row r="589">
          <cell r="A589" t="str">
            <v>g</v>
          </cell>
          <cell r="B589" t="str">
            <v>비계</v>
          </cell>
          <cell r="C589" t="str">
            <v>(강관)0-30M</v>
          </cell>
          <cell r="D589">
            <v>5522</v>
          </cell>
          <cell r="E589" t="str">
            <v>㎡</v>
          </cell>
        </row>
        <row r="590">
          <cell r="A590" t="str">
            <v>h</v>
          </cell>
          <cell r="B590" t="str">
            <v>동바리공</v>
          </cell>
        </row>
        <row r="591">
          <cell r="A591" t="str">
            <v>-1</v>
          </cell>
          <cell r="B591" t="str">
            <v>강관동바리</v>
          </cell>
          <cell r="C591" t="str">
            <v>(교량용)</v>
          </cell>
          <cell r="D591">
            <v>2339</v>
          </cell>
          <cell r="E591" t="str">
            <v>공㎥</v>
          </cell>
        </row>
        <row r="592">
          <cell r="A592" t="str">
            <v>-2</v>
          </cell>
          <cell r="B592" t="str">
            <v>동바리공</v>
          </cell>
          <cell r="C592" t="str">
            <v>(목재4회)</v>
          </cell>
          <cell r="D592">
            <v>3029</v>
          </cell>
          <cell r="E592" t="str">
            <v>공㎥</v>
          </cell>
        </row>
        <row r="593">
          <cell r="A593" t="str">
            <v>i</v>
          </cell>
          <cell r="B593" t="str">
            <v>무수축콘크리트</v>
          </cell>
        </row>
        <row r="594">
          <cell r="A594" t="str">
            <v>-1</v>
          </cell>
          <cell r="B594" t="str">
            <v>무수축몰탈</v>
          </cell>
          <cell r="C594" t="str">
            <v>1:1</v>
          </cell>
          <cell r="D594">
            <v>1.0049999999999999</v>
          </cell>
          <cell r="E594" t="str">
            <v>㎥</v>
          </cell>
        </row>
        <row r="595">
          <cell r="A595" t="str">
            <v>-2</v>
          </cell>
          <cell r="B595" t="str">
            <v>무수축콘크리트</v>
          </cell>
          <cell r="D595">
            <v>5.7149999999999999</v>
          </cell>
          <cell r="E595" t="str">
            <v>㎥</v>
          </cell>
        </row>
        <row r="596">
          <cell r="A596" t="str">
            <v>j</v>
          </cell>
          <cell r="B596" t="str">
            <v>교좌장치공</v>
          </cell>
        </row>
        <row r="597">
          <cell r="A597" t="str">
            <v>-1</v>
          </cell>
          <cell r="B597" t="str">
            <v>POT BEARING</v>
          </cell>
          <cell r="C597" t="str">
            <v>일방향250TON</v>
          </cell>
          <cell r="D597">
            <v>4</v>
          </cell>
          <cell r="E597" t="str">
            <v>EA</v>
          </cell>
        </row>
        <row r="598">
          <cell r="A598" t="str">
            <v>-2</v>
          </cell>
          <cell r="B598" t="str">
            <v>POT BEARING</v>
          </cell>
          <cell r="C598" t="str">
            <v>양방향250TON</v>
          </cell>
          <cell r="D598">
            <v>4</v>
          </cell>
          <cell r="E598" t="str">
            <v>EA</v>
          </cell>
        </row>
        <row r="599">
          <cell r="A599" t="str">
            <v>-3</v>
          </cell>
          <cell r="B599" t="str">
            <v>POT BEARING</v>
          </cell>
          <cell r="C599" t="str">
            <v>고정단550TON</v>
          </cell>
          <cell r="D599">
            <v>2</v>
          </cell>
          <cell r="E599" t="str">
            <v>EA</v>
          </cell>
        </row>
        <row r="600">
          <cell r="A600" t="str">
            <v>-4</v>
          </cell>
          <cell r="B600" t="str">
            <v>POT BEARING</v>
          </cell>
          <cell r="C600" t="str">
            <v>일방향550TON</v>
          </cell>
          <cell r="D600">
            <v>6</v>
          </cell>
          <cell r="E600" t="str">
            <v>EA</v>
          </cell>
        </row>
        <row r="601">
          <cell r="A601" t="str">
            <v>-5</v>
          </cell>
          <cell r="B601" t="str">
            <v>POT BEARING</v>
          </cell>
          <cell r="C601" t="str">
            <v>양방향550TON</v>
          </cell>
          <cell r="D601">
            <v>4</v>
          </cell>
          <cell r="E601" t="str">
            <v>EA</v>
          </cell>
        </row>
        <row r="602">
          <cell r="A602" t="str">
            <v>k</v>
          </cell>
          <cell r="B602" t="str">
            <v>신축이음장치</v>
          </cell>
        </row>
        <row r="603">
          <cell r="A603" t="str">
            <v>-1</v>
          </cell>
          <cell r="B603" t="str">
            <v>신축이음장치</v>
          </cell>
          <cell r="C603" t="str">
            <v>(NO100)</v>
          </cell>
          <cell r="D603">
            <v>13</v>
          </cell>
          <cell r="E603" t="str">
            <v>M</v>
          </cell>
        </row>
        <row r="604">
          <cell r="A604" t="str">
            <v>-2</v>
          </cell>
          <cell r="B604" t="str">
            <v>신축이음장치</v>
          </cell>
          <cell r="C604" t="str">
            <v>(NO240)</v>
          </cell>
          <cell r="D604">
            <v>6</v>
          </cell>
          <cell r="E604" t="str">
            <v>M</v>
          </cell>
        </row>
        <row r="605">
          <cell r="A605" t="str">
            <v>l</v>
          </cell>
          <cell r="B605" t="str">
            <v>표면처리공</v>
          </cell>
        </row>
        <row r="606">
          <cell r="A606" t="str">
            <v>-1</v>
          </cell>
          <cell r="B606" t="str">
            <v>면고르기</v>
          </cell>
          <cell r="C606" t="str">
            <v>DECK FINISHER</v>
          </cell>
          <cell r="D606">
            <v>2394</v>
          </cell>
          <cell r="E606" t="str">
            <v>㎡</v>
          </cell>
        </row>
        <row r="607">
          <cell r="A607" t="str">
            <v>-2</v>
          </cell>
          <cell r="B607" t="str">
            <v>슬라브양생</v>
          </cell>
          <cell r="C607" t="str">
            <v>(도막양생)</v>
          </cell>
          <cell r="D607">
            <v>2394</v>
          </cell>
          <cell r="E607" t="str">
            <v>㎡</v>
          </cell>
        </row>
        <row r="608">
          <cell r="A608" t="str">
            <v>-3</v>
          </cell>
          <cell r="B608" t="str">
            <v>교면방수</v>
          </cell>
          <cell r="C608" t="str">
            <v>(도막방수)</v>
          </cell>
          <cell r="D608">
            <v>2394</v>
          </cell>
          <cell r="E608" t="str">
            <v>㎡</v>
          </cell>
        </row>
        <row r="609">
          <cell r="A609" t="str">
            <v>m</v>
          </cell>
          <cell r="B609" t="str">
            <v>교량명판공</v>
          </cell>
        </row>
        <row r="610">
          <cell r="A610" t="str">
            <v>-1</v>
          </cell>
          <cell r="B610" t="str">
            <v>교명주</v>
          </cell>
          <cell r="C610" t="str">
            <v>(1000*500*350)</v>
          </cell>
          <cell r="D610">
            <v>4</v>
          </cell>
          <cell r="E610" t="str">
            <v>EA</v>
          </cell>
        </row>
        <row r="611">
          <cell r="A611" t="str">
            <v>-2</v>
          </cell>
          <cell r="B611" t="str">
            <v>교명판</v>
          </cell>
          <cell r="C611" t="str">
            <v>(200X450X10)</v>
          </cell>
          <cell r="D611">
            <v>2</v>
          </cell>
          <cell r="E611" t="str">
            <v>EA</v>
          </cell>
        </row>
        <row r="612">
          <cell r="A612" t="str">
            <v>-3</v>
          </cell>
          <cell r="B612" t="str">
            <v>설명판</v>
          </cell>
          <cell r="C612" t="str">
            <v>(500X300X10)</v>
          </cell>
          <cell r="D612">
            <v>2</v>
          </cell>
          <cell r="E612" t="str">
            <v>EA</v>
          </cell>
        </row>
        <row r="613">
          <cell r="A613" t="str">
            <v>-4</v>
          </cell>
          <cell r="B613" t="str">
            <v>TBM 설치</v>
          </cell>
          <cell r="D613">
            <v>2</v>
          </cell>
          <cell r="E613" t="str">
            <v>EA</v>
          </cell>
        </row>
        <row r="614">
          <cell r="A614" t="str">
            <v>n</v>
          </cell>
          <cell r="B614" t="str">
            <v>다월바설치</v>
          </cell>
          <cell r="D614">
            <v>30</v>
          </cell>
          <cell r="E614" t="str">
            <v>EA</v>
          </cell>
        </row>
        <row r="615">
          <cell r="A615" t="str">
            <v>o</v>
          </cell>
          <cell r="B615" t="str">
            <v>스치로폴</v>
          </cell>
          <cell r="C615" t="str">
            <v>(신축이음T=20M/M)</v>
          </cell>
          <cell r="D615">
            <v>4</v>
          </cell>
          <cell r="E615" t="str">
            <v>㎡</v>
          </cell>
        </row>
        <row r="616">
          <cell r="A616" t="str">
            <v>p</v>
          </cell>
          <cell r="B616" t="str">
            <v>교량용집수구</v>
          </cell>
        </row>
        <row r="617">
          <cell r="A617" t="str">
            <v>-1</v>
          </cell>
          <cell r="B617" t="str">
            <v>집수구</v>
          </cell>
          <cell r="C617" t="str">
            <v>(주철)</v>
          </cell>
          <cell r="D617">
            <v>19</v>
          </cell>
          <cell r="E617" t="str">
            <v>EA</v>
          </cell>
        </row>
        <row r="618">
          <cell r="A618" t="str">
            <v>-2</v>
          </cell>
          <cell r="B618" t="str">
            <v>연결배수구</v>
          </cell>
          <cell r="C618" t="str">
            <v>(스텐레스)</v>
          </cell>
          <cell r="D618">
            <v>7</v>
          </cell>
          <cell r="E618" t="str">
            <v>EA</v>
          </cell>
        </row>
        <row r="619">
          <cell r="A619" t="str">
            <v>-3</v>
          </cell>
          <cell r="B619" t="str">
            <v>직관</v>
          </cell>
          <cell r="C619" t="str">
            <v>(Φ150)</v>
          </cell>
          <cell r="D619">
            <v>141</v>
          </cell>
          <cell r="E619" t="str">
            <v>M</v>
          </cell>
        </row>
        <row r="620">
          <cell r="A620" t="str">
            <v>-4</v>
          </cell>
          <cell r="B620" t="str">
            <v>육교용곡관</v>
          </cell>
          <cell r="D620">
            <v>16</v>
          </cell>
          <cell r="E620" t="str">
            <v>EA</v>
          </cell>
        </row>
        <row r="621">
          <cell r="A621" t="str">
            <v>-5</v>
          </cell>
          <cell r="B621" t="str">
            <v>연결부</v>
          </cell>
          <cell r="C621" t="str">
            <v>(스텐레스)</v>
          </cell>
          <cell r="D621">
            <v>141</v>
          </cell>
          <cell r="E621" t="str">
            <v>EA</v>
          </cell>
        </row>
        <row r="622">
          <cell r="A622" t="str">
            <v>-6</v>
          </cell>
          <cell r="B622" t="str">
            <v>하천용배수구</v>
          </cell>
          <cell r="C622" t="str">
            <v>(아연도강관D=150MM)</v>
          </cell>
          <cell r="D622">
            <v>37</v>
          </cell>
          <cell r="E622" t="str">
            <v>M</v>
          </cell>
        </row>
        <row r="623">
          <cell r="A623" t="str">
            <v>q</v>
          </cell>
          <cell r="B623" t="str">
            <v>전선관</v>
          </cell>
          <cell r="C623" t="str">
            <v>P.V.C PIPE</v>
          </cell>
          <cell r="D623">
            <v>736</v>
          </cell>
          <cell r="E623" t="str">
            <v>M</v>
          </cell>
        </row>
        <row r="624">
          <cell r="A624" t="str">
            <v>r</v>
          </cell>
          <cell r="B624" t="str">
            <v>환풍기받침대설치</v>
          </cell>
          <cell r="D624">
            <v>16</v>
          </cell>
          <cell r="E624" t="str">
            <v>EA</v>
          </cell>
        </row>
        <row r="625">
          <cell r="A625" t="str">
            <v>s</v>
          </cell>
          <cell r="B625" t="str">
            <v>강교가설</v>
          </cell>
        </row>
        <row r="626">
          <cell r="A626" t="str">
            <v>-1</v>
          </cell>
          <cell r="B626" t="str">
            <v>강교제작</v>
          </cell>
          <cell r="C626" t="str">
            <v>(송정IC RAMP-D교)</v>
          </cell>
          <cell r="D626">
            <v>1190.816</v>
          </cell>
          <cell r="E626" t="str">
            <v>TON</v>
          </cell>
        </row>
        <row r="627">
          <cell r="A627" t="str">
            <v>-2</v>
          </cell>
          <cell r="B627" t="str">
            <v>강교운반및가설</v>
          </cell>
          <cell r="C627" t="str">
            <v>(송정IC RAMP-D교)</v>
          </cell>
          <cell r="D627">
            <v>1190.816</v>
          </cell>
          <cell r="E627" t="str">
            <v>TON</v>
          </cell>
        </row>
        <row r="628">
          <cell r="A628" t="str">
            <v>-3</v>
          </cell>
          <cell r="B628" t="str">
            <v>내부도장</v>
          </cell>
          <cell r="C628" t="str">
            <v>(공장)</v>
          </cell>
          <cell r="D628">
            <v>13076</v>
          </cell>
          <cell r="E628" t="str">
            <v>㎡</v>
          </cell>
        </row>
        <row r="629">
          <cell r="A629" t="str">
            <v>-4</v>
          </cell>
          <cell r="B629" t="str">
            <v>연결판도장</v>
          </cell>
          <cell r="C629" t="str">
            <v>(공장)</v>
          </cell>
          <cell r="D629">
            <v>1206</v>
          </cell>
          <cell r="E629" t="str">
            <v>㎡</v>
          </cell>
        </row>
        <row r="630">
          <cell r="A630" t="str">
            <v>-5</v>
          </cell>
          <cell r="B630" t="str">
            <v>내부볼트및연결판도장</v>
          </cell>
          <cell r="C630" t="str">
            <v>(현장)</v>
          </cell>
          <cell r="D630">
            <v>311</v>
          </cell>
          <cell r="E630" t="str">
            <v>㎡</v>
          </cell>
        </row>
        <row r="631">
          <cell r="A631" t="str">
            <v>-6</v>
          </cell>
          <cell r="B631" t="str">
            <v>외부도장</v>
          </cell>
          <cell r="C631" t="str">
            <v>(공장)</v>
          </cell>
          <cell r="D631">
            <v>8257</v>
          </cell>
          <cell r="E631" t="str">
            <v>㎡</v>
          </cell>
        </row>
        <row r="632">
          <cell r="A632" t="str">
            <v>-7</v>
          </cell>
          <cell r="B632" t="str">
            <v>외부포장면도장</v>
          </cell>
          <cell r="C632" t="str">
            <v>(공장)</v>
          </cell>
          <cell r="D632">
            <v>1627</v>
          </cell>
          <cell r="E632" t="str">
            <v>㎡</v>
          </cell>
        </row>
        <row r="633">
          <cell r="A633" t="str">
            <v>-8</v>
          </cell>
          <cell r="B633" t="str">
            <v>외부볼트및연결판도장</v>
          </cell>
          <cell r="C633" t="str">
            <v>(현장)</v>
          </cell>
          <cell r="D633">
            <v>895</v>
          </cell>
          <cell r="E633" t="str">
            <v>㎡</v>
          </cell>
        </row>
        <row r="634">
          <cell r="A634" t="str">
            <v>-9</v>
          </cell>
          <cell r="B634" t="str">
            <v>외부도장</v>
          </cell>
          <cell r="C634" t="str">
            <v>(현장)</v>
          </cell>
          <cell r="D634">
            <v>1238</v>
          </cell>
          <cell r="E634" t="str">
            <v>㎡</v>
          </cell>
        </row>
        <row r="635">
          <cell r="A635" t="str">
            <v>t</v>
          </cell>
          <cell r="B635" t="str">
            <v>기타공</v>
          </cell>
        </row>
        <row r="636">
          <cell r="A636" t="str">
            <v>-1</v>
          </cell>
          <cell r="B636" t="str">
            <v>낙교방지책</v>
          </cell>
          <cell r="C636" t="str">
            <v>(1SHOE,TYPE-1)</v>
          </cell>
          <cell r="D636">
            <v>8</v>
          </cell>
          <cell r="E636" t="str">
            <v>EA</v>
          </cell>
        </row>
        <row r="637">
          <cell r="A637" t="str">
            <v>-2</v>
          </cell>
          <cell r="B637" t="str">
            <v>낙교방지책</v>
          </cell>
          <cell r="C637" t="str">
            <v>(1SHOE,TYPE-2)</v>
          </cell>
          <cell r="D637">
            <v>8</v>
          </cell>
          <cell r="E637" t="str">
            <v>EA</v>
          </cell>
        </row>
        <row r="638">
          <cell r="A638" t="str">
            <v>-3</v>
          </cell>
          <cell r="B638" t="str">
            <v>낙교방지책</v>
          </cell>
          <cell r="C638" t="str">
            <v>(1SHOE, TYPE-3)</v>
          </cell>
          <cell r="D638">
            <v>4</v>
          </cell>
          <cell r="E638" t="str">
            <v>EA</v>
          </cell>
        </row>
        <row r="639">
          <cell r="A639" t="str">
            <v>-4</v>
          </cell>
          <cell r="B639" t="str">
            <v>안전점검통로</v>
          </cell>
          <cell r="C639" t="str">
            <v>교축방향(TYPE-1)</v>
          </cell>
          <cell r="D639">
            <v>37</v>
          </cell>
          <cell r="E639" t="str">
            <v>개소</v>
          </cell>
        </row>
        <row r="640">
          <cell r="A640" t="str">
            <v>-5</v>
          </cell>
          <cell r="B640" t="str">
            <v>안전점검통로</v>
          </cell>
          <cell r="C640" t="str">
            <v>교축방향(TYPE-2)</v>
          </cell>
          <cell r="D640">
            <v>41</v>
          </cell>
          <cell r="E640" t="str">
            <v>개소</v>
          </cell>
        </row>
        <row r="641">
          <cell r="A641" t="str">
            <v>-6</v>
          </cell>
          <cell r="B641" t="str">
            <v>안전점검통로(송정D)</v>
          </cell>
          <cell r="C641" t="str">
            <v>(교축직각방향TYPE-1)</v>
          </cell>
          <cell r="D641">
            <v>6</v>
          </cell>
          <cell r="E641" t="str">
            <v>개소</v>
          </cell>
        </row>
        <row r="642">
          <cell r="A642" t="str">
            <v>-7</v>
          </cell>
          <cell r="B642" t="str">
            <v>안전점검통로(송정D)</v>
          </cell>
          <cell r="C642" t="str">
            <v>교축직각방향(TYPE-2)</v>
          </cell>
          <cell r="D642">
            <v>1</v>
          </cell>
          <cell r="E642" t="str">
            <v>개소</v>
          </cell>
        </row>
        <row r="643">
          <cell r="A643" t="str">
            <v>-8</v>
          </cell>
          <cell r="B643" t="str">
            <v>내부출입구설치</v>
          </cell>
          <cell r="C643" t="str">
            <v>LOWER FLANGE</v>
          </cell>
          <cell r="D643">
            <v>8</v>
          </cell>
          <cell r="E643" t="str">
            <v>EA</v>
          </cell>
        </row>
        <row r="644">
          <cell r="A644" t="str">
            <v>-9</v>
          </cell>
          <cell r="B644" t="str">
            <v>내부출입구설치</v>
          </cell>
          <cell r="C644" t="str">
            <v>DIAPHRAGM</v>
          </cell>
          <cell r="D644">
            <v>8</v>
          </cell>
          <cell r="E644" t="str">
            <v>EA</v>
          </cell>
        </row>
        <row r="645">
          <cell r="A645" t="str">
            <v>-10</v>
          </cell>
          <cell r="B645" t="str">
            <v>내부출입구설치</v>
          </cell>
          <cell r="C645" t="str">
            <v>WEB</v>
          </cell>
          <cell r="D645">
            <v>12</v>
          </cell>
          <cell r="E645" t="str">
            <v>EA</v>
          </cell>
        </row>
        <row r="646">
          <cell r="A646" t="str">
            <v>u</v>
          </cell>
          <cell r="B646" t="str">
            <v>가 도</v>
          </cell>
        </row>
        <row r="647">
          <cell r="A647" t="str">
            <v>-1</v>
          </cell>
          <cell r="B647" t="str">
            <v>가도공흙쌓기</v>
          </cell>
          <cell r="D647">
            <v>1141</v>
          </cell>
          <cell r="E647" t="str">
            <v>M3</v>
          </cell>
        </row>
        <row r="648">
          <cell r="A648" t="str">
            <v>-2</v>
          </cell>
          <cell r="B648" t="str">
            <v>가마니쌓기및헐기</v>
          </cell>
          <cell r="D648">
            <v>368</v>
          </cell>
          <cell r="E648" t="str">
            <v>M2</v>
          </cell>
        </row>
        <row r="649">
          <cell r="A649" t="str">
            <v>v</v>
          </cell>
          <cell r="B649" t="str">
            <v>가시설</v>
          </cell>
          <cell r="C649" t="str">
            <v>(교각부)</v>
          </cell>
        </row>
        <row r="650">
          <cell r="A650" t="str">
            <v>-1</v>
          </cell>
          <cell r="B650" t="str">
            <v>강널말뚝자재비</v>
          </cell>
          <cell r="C650" t="str">
            <v>400*150*13</v>
          </cell>
          <cell r="D650">
            <v>223</v>
          </cell>
          <cell r="E650" t="str">
            <v>TON</v>
          </cell>
        </row>
        <row r="651">
          <cell r="A651" t="str">
            <v>-2</v>
          </cell>
          <cell r="B651" t="str">
            <v>강널말뚝 항타(송정IC</v>
          </cell>
          <cell r="C651" t="str">
            <v>RAMP-D교,가시설용)</v>
          </cell>
          <cell r="D651">
            <v>2142</v>
          </cell>
          <cell r="E651" t="str">
            <v>M</v>
          </cell>
        </row>
        <row r="652">
          <cell r="A652" t="str">
            <v>-3</v>
          </cell>
          <cell r="B652" t="str">
            <v>강널말뚝 뽑기(송정IC</v>
          </cell>
          <cell r="C652" t="str">
            <v>RAMP-D교)가시설용</v>
          </cell>
          <cell r="D652">
            <v>2142</v>
          </cell>
          <cell r="E652" t="str">
            <v>M</v>
          </cell>
        </row>
        <row r="653">
          <cell r="A653" t="str">
            <v>-4</v>
          </cell>
          <cell r="B653" t="str">
            <v>띠장설치및철거(송정)</v>
          </cell>
          <cell r="C653" t="str">
            <v>RAMP-D교</v>
          </cell>
          <cell r="D653">
            <v>332</v>
          </cell>
          <cell r="E653" t="str">
            <v>M</v>
          </cell>
        </row>
        <row r="654">
          <cell r="A654" t="str">
            <v>-5</v>
          </cell>
          <cell r="B654" t="str">
            <v>L형강설치및철거</v>
          </cell>
          <cell r="C654" t="str">
            <v>100*100*10</v>
          </cell>
          <cell r="D654">
            <v>92</v>
          </cell>
          <cell r="E654" t="str">
            <v>M</v>
          </cell>
        </row>
        <row r="655">
          <cell r="A655" t="str">
            <v>-6</v>
          </cell>
          <cell r="B655" t="str">
            <v>보걸이 설치</v>
          </cell>
          <cell r="D655">
            <v>166</v>
          </cell>
          <cell r="E655" t="str">
            <v>EA</v>
          </cell>
        </row>
        <row r="656">
          <cell r="A656" t="str">
            <v>-7</v>
          </cell>
          <cell r="B656" t="str">
            <v>강판설치</v>
          </cell>
          <cell r="D656">
            <v>20.634</v>
          </cell>
          <cell r="E656" t="str">
            <v>TON</v>
          </cell>
        </row>
        <row r="657">
          <cell r="A657" t="str">
            <v>w</v>
          </cell>
          <cell r="B657" t="str">
            <v>가교가설(송정R-D)</v>
          </cell>
          <cell r="C657" t="str">
            <v>(L=70.0M,8.0M)</v>
          </cell>
          <cell r="D657">
            <v>1</v>
          </cell>
          <cell r="E657" t="str">
            <v>L.S</v>
          </cell>
        </row>
        <row r="658">
          <cell r="A658" t="str">
            <v>x</v>
          </cell>
          <cell r="B658" t="str">
            <v>검사시험</v>
          </cell>
        </row>
        <row r="659">
          <cell r="A659" t="str">
            <v>-1</v>
          </cell>
          <cell r="B659" t="str">
            <v>방사선투과검사</v>
          </cell>
          <cell r="C659" t="str">
            <v>R.T</v>
          </cell>
          <cell r="D659">
            <v>48</v>
          </cell>
          <cell r="E659" t="str">
            <v>SHEET</v>
          </cell>
        </row>
        <row r="660">
          <cell r="A660" t="str">
            <v>-2</v>
          </cell>
          <cell r="B660" t="str">
            <v>초음파탐상검사</v>
          </cell>
          <cell r="C660" t="str">
            <v>U.T</v>
          </cell>
          <cell r="D660">
            <v>30</v>
          </cell>
          <cell r="E660" t="str">
            <v>M</v>
          </cell>
        </row>
        <row r="661">
          <cell r="A661" t="str">
            <v>y</v>
          </cell>
          <cell r="B661" t="str">
            <v>교대보호블럭</v>
          </cell>
          <cell r="C661" t="str">
            <v>400x400x100</v>
          </cell>
          <cell r="D661">
            <v>32</v>
          </cell>
          <cell r="E661" t="str">
            <v>M2</v>
          </cell>
        </row>
        <row r="662">
          <cell r="A662" t="str">
            <v>z</v>
          </cell>
          <cell r="B662" t="str">
            <v>자재비</v>
          </cell>
        </row>
        <row r="663">
          <cell r="A663" t="str">
            <v>-1</v>
          </cell>
          <cell r="B663" t="str">
            <v>레미콘</v>
          </cell>
          <cell r="C663" t="str">
            <v>25-240-12</v>
          </cell>
          <cell r="D663">
            <v>886</v>
          </cell>
          <cell r="E663" t="str">
            <v>㎥</v>
          </cell>
        </row>
        <row r="664">
          <cell r="A664" t="str">
            <v>-2</v>
          </cell>
          <cell r="B664" t="str">
            <v>레미콘</v>
          </cell>
          <cell r="C664" t="str">
            <v>25-210-12</v>
          </cell>
          <cell r="D664">
            <v>4051</v>
          </cell>
          <cell r="E664" t="str">
            <v>㎥</v>
          </cell>
        </row>
        <row r="665">
          <cell r="A665" t="str">
            <v>-3</v>
          </cell>
          <cell r="B665" t="str">
            <v>레미콘</v>
          </cell>
          <cell r="C665" t="str">
            <v>40-180-8</v>
          </cell>
          <cell r="D665">
            <v>640</v>
          </cell>
          <cell r="E665" t="str">
            <v>㎥</v>
          </cell>
        </row>
        <row r="666">
          <cell r="A666" t="str">
            <v>-4</v>
          </cell>
          <cell r="B666" t="str">
            <v>레미콘</v>
          </cell>
          <cell r="C666" t="str">
            <v>40-160-8</v>
          </cell>
          <cell r="D666">
            <v>185</v>
          </cell>
          <cell r="E666" t="str">
            <v>㎥</v>
          </cell>
        </row>
        <row r="667">
          <cell r="A667" t="str">
            <v>-5</v>
          </cell>
          <cell r="B667" t="str">
            <v>시멘트</v>
          </cell>
          <cell r="C667" t="str">
            <v>40㎏/대</v>
          </cell>
          <cell r="D667">
            <v>161</v>
          </cell>
          <cell r="E667" t="str">
            <v>대</v>
          </cell>
        </row>
        <row r="668">
          <cell r="A668" t="str">
            <v>-6</v>
          </cell>
          <cell r="B668" t="str">
            <v>철근</v>
          </cell>
          <cell r="C668" t="str">
            <v>SD40 H16M/M 이상</v>
          </cell>
          <cell r="D668">
            <v>301.46199999999999</v>
          </cell>
          <cell r="E668" t="str">
            <v>TON</v>
          </cell>
        </row>
        <row r="669">
          <cell r="A669" t="str">
            <v>-7</v>
          </cell>
          <cell r="B669" t="str">
            <v>철근</v>
          </cell>
          <cell r="C669" t="str">
            <v>SD40 H13M/M</v>
          </cell>
          <cell r="D669">
            <v>4.7320000000000002</v>
          </cell>
          <cell r="E669" t="str">
            <v>TON</v>
          </cell>
        </row>
        <row r="670">
          <cell r="A670" t="str">
            <v>-8</v>
          </cell>
          <cell r="B670" t="str">
            <v>철근</v>
          </cell>
          <cell r="C670" t="str">
            <v>SD30 D16M/M 이상</v>
          </cell>
          <cell r="D670">
            <v>893.61300000000006</v>
          </cell>
          <cell r="E670" t="str">
            <v>TON</v>
          </cell>
        </row>
        <row r="671">
          <cell r="A671" t="str">
            <v>-9</v>
          </cell>
          <cell r="B671" t="str">
            <v>철근</v>
          </cell>
          <cell r="C671" t="str">
            <v>SD30 D13M/M</v>
          </cell>
          <cell r="D671">
            <v>19.251000000000001</v>
          </cell>
          <cell r="E671" t="str">
            <v>TON</v>
          </cell>
        </row>
        <row r="672">
          <cell r="A672" t="str">
            <v>3.05</v>
          </cell>
          <cell r="B672" t="str">
            <v>송정RAMP-E교(S.T BOX</v>
          </cell>
          <cell r="C672" t="str">
            <v>)L=360.0, B=7.5</v>
          </cell>
        </row>
        <row r="673">
          <cell r="A673" t="str">
            <v>a</v>
          </cell>
          <cell r="B673" t="str">
            <v>토  공</v>
          </cell>
        </row>
        <row r="674">
          <cell r="A674" t="str">
            <v>-1</v>
          </cell>
          <cell r="B674" t="str">
            <v>구조물터파기</v>
          </cell>
          <cell r="C674" t="str">
            <v>(육상토사:0-4M)</v>
          </cell>
          <cell r="D674">
            <v>12664</v>
          </cell>
          <cell r="E674" t="str">
            <v>㎥</v>
          </cell>
        </row>
        <row r="675">
          <cell r="A675" t="str">
            <v>-2</v>
          </cell>
          <cell r="B675" t="str">
            <v>구조물터파기</v>
          </cell>
          <cell r="C675" t="str">
            <v>(육상토사:4m이상)</v>
          </cell>
          <cell r="D675">
            <v>6426</v>
          </cell>
          <cell r="E675" t="str">
            <v>㎥</v>
          </cell>
        </row>
        <row r="676">
          <cell r="A676" t="str">
            <v>-3</v>
          </cell>
          <cell r="B676" t="str">
            <v>구조물터파기</v>
          </cell>
          <cell r="C676" t="str">
            <v>(육상리핑암:0-4M)</v>
          </cell>
          <cell r="D676">
            <v>358</v>
          </cell>
          <cell r="E676" t="str">
            <v>㎥</v>
          </cell>
        </row>
        <row r="677">
          <cell r="A677" t="str">
            <v>-4</v>
          </cell>
          <cell r="B677" t="str">
            <v>구조물터파기</v>
          </cell>
          <cell r="C677" t="str">
            <v>(육상리핑암:4M이상)</v>
          </cell>
          <cell r="D677">
            <v>683</v>
          </cell>
          <cell r="E677" t="str">
            <v>㎥</v>
          </cell>
        </row>
        <row r="678">
          <cell r="A678" t="str">
            <v>-5</v>
          </cell>
          <cell r="B678" t="str">
            <v>구조물터파기</v>
          </cell>
          <cell r="C678" t="str">
            <v>(육상발파암;4M이상)</v>
          </cell>
          <cell r="D678">
            <v>307</v>
          </cell>
          <cell r="E678" t="str">
            <v>㎥</v>
          </cell>
        </row>
        <row r="679">
          <cell r="A679" t="str">
            <v>-6</v>
          </cell>
          <cell r="B679" t="str">
            <v>구조물터파기</v>
          </cell>
          <cell r="C679" t="str">
            <v>(수중토사:0-4M)</v>
          </cell>
          <cell r="D679">
            <v>1152</v>
          </cell>
          <cell r="E679" t="str">
            <v>㎥</v>
          </cell>
        </row>
        <row r="680">
          <cell r="A680" t="str">
            <v>-7</v>
          </cell>
          <cell r="B680" t="str">
            <v>구조물터파기</v>
          </cell>
          <cell r="C680" t="str">
            <v>(수중토사:4M이상)</v>
          </cell>
          <cell r="D680">
            <v>230</v>
          </cell>
          <cell r="E680" t="str">
            <v>㎥</v>
          </cell>
        </row>
        <row r="681">
          <cell r="A681" t="str">
            <v>-8</v>
          </cell>
          <cell r="B681" t="str">
            <v>구조물터파기</v>
          </cell>
          <cell r="C681" t="str">
            <v>(수중리핑암:4M이상)</v>
          </cell>
          <cell r="D681">
            <v>244</v>
          </cell>
          <cell r="E681" t="str">
            <v>㎥</v>
          </cell>
        </row>
        <row r="682">
          <cell r="A682" t="str">
            <v>-9</v>
          </cell>
          <cell r="B682" t="str">
            <v>되메우기및다짐</v>
          </cell>
          <cell r="C682" t="str">
            <v>(인력30%+기계70%)</v>
          </cell>
          <cell r="D682">
            <v>18726</v>
          </cell>
          <cell r="E682" t="str">
            <v>㎥</v>
          </cell>
        </row>
        <row r="683">
          <cell r="A683" t="str">
            <v>-10</v>
          </cell>
          <cell r="B683" t="str">
            <v>물푸기</v>
          </cell>
          <cell r="C683" t="str">
            <v>(교량등대형구조물)</v>
          </cell>
          <cell r="D683">
            <v>59</v>
          </cell>
          <cell r="E683" t="str">
            <v>HR</v>
          </cell>
        </row>
        <row r="684">
          <cell r="A684" t="str">
            <v>-11</v>
          </cell>
          <cell r="B684" t="str">
            <v>뒷채움및다짐</v>
          </cell>
          <cell r="D684">
            <v>517</v>
          </cell>
          <cell r="E684" t="str">
            <v>㎥</v>
          </cell>
        </row>
        <row r="685">
          <cell r="A685" t="str">
            <v>-12</v>
          </cell>
          <cell r="B685" t="str">
            <v>면정리및청소</v>
          </cell>
          <cell r="C685" t="str">
            <v>육상</v>
          </cell>
          <cell r="D685">
            <v>250</v>
          </cell>
          <cell r="E685" t="str">
            <v>M2</v>
          </cell>
        </row>
        <row r="686">
          <cell r="A686" t="str">
            <v>b</v>
          </cell>
          <cell r="B686" t="str">
            <v>강관파일공</v>
          </cell>
        </row>
        <row r="687">
          <cell r="A687" t="str">
            <v>-1</v>
          </cell>
          <cell r="B687" t="str">
            <v>강관파일자재비</v>
          </cell>
          <cell r="C687" t="str">
            <v>(Φ508.0M/M*12T)</v>
          </cell>
          <cell r="D687">
            <v>189</v>
          </cell>
          <cell r="E687" t="str">
            <v>M</v>
          </cell>
        </row>
        <row r="688">
          <cell r="A688" t="str">
            <v>-2</v>
          </cell>
          <cell r="B688" t="str">
            <v>항타비직항(송정E교)</v>
          </cell>
          <cell r="C688" t="str">
            <v>(Φ508.0*12T)</v>
          </cell>
          <cell r="D688">
            <v>175</v>
          </cell>
          <cell r="E688" t="str">
            <v>M</v>
          </cell>
        </row>
        <row r="689">
          <cell r="A689" t="str">
            <v>-3</v>
          </cell>
          <cell r="B689" t="str">
            <v>두부선단보강</v>
          </cell>
          <cell r="C689" t="str">
            <v>(Φ508.0M/M*12T)</v>
          </cell>
          <cell r="D689">
            <v>20</v>
          </cell>
          <cell r="E689" t="str">
            <v>개소</v>
          </cell>
        </row>
        <row r="690">
          <cell r="A690" t="str">
            <v>c</v>
          </cell>
          <cell r="B690" t="str">
            <v>콘크리트타설</v>
          </cell>
        </row>
        <row r="691">
          <cell r="A691" t="str">
            <v>-1</v>
          </cell>
          <cell r="B691" t="str">
            <v>무근콘크리트타설</v>
          </cell>
          <cell r="C691" t="str">
            <v>(진동기제외)</v>
          </cell>
          <cell r="D691">
            <v>1091</v>
          </cell>
          <cell r="E691" t="str">
            <v>㎥</v>
          </cell>
        </row>
        <row r="692">
          <cell r="A692" t="str">
            <v>-2</v>
          </cell>
          <cell r="B692" t="str">
            <v>철근콘크리트타설</v>
          </cell>
          <cell r="C692" t="str">
            <v>펌프카타설(0-15M)</v>
          </cell>
          <cell r="D692">
            <v>4034</v>
          </cell>
          <cell r="E692" t="str">
            <v>㎥</v>
          </cell>
        </row>
        <row r="693">
          <cell r="A693" t="str">
            <v>-3</v>
          </cell>
          <cell r="B693" t="str">
            <v>철근콘크리트타설</v>
          </cell>
          <cell r="C693" t="str">
            <v>펌프카타설(15M이상)</v>
          </cell>
          <cell r="D693">
            <v>709</v>
          </cell>
          <cell r="E693" t="str">
            <v>㎥</v>
          </cell>
        </row>
        <row r="694">
          <cell r="A694" t="str">
            <v>d</v>
          </cell>
          <cell r="B694" t="str">
            <v>스페이셔설치</v>
          </cell>
        </row>
        <row r="695">
          <cell r="A695" t="str">
            <v>-1</v>
          </cell>
          <cell r="B695" t="str">
            <v>스페이셔설치</v>
          </cell>
          <cell r="C695" t="str">
            <v>벽체용</v>
          </cell>
          <cell r="D695">
            <v>3287</v>
          </cell>
          <cell r="E695" t="str">
            <v>㎡</v>
          </cell>
        </row>
        <row r="696">
          <cell r="A696" t="str">
            <v>-2</v>
          </cell>
          <cell r="B696" t="str">
            <v>스페이서설치</v>
          </cell>
          <cell r="C696" t="str">
            <v>슬라브용</v>
          </cell>
          <cell r="D696">
            <v>3483</v>
          </cell>
          <cell r="E696" t="str">
            <v>㎡</v>
          </cell>
        </row>
        <row r="697">
          <cell r="A697" t="str">
            <v>e</v>
          </cell>
          <cell r="B697" t="str">
            <v>철근가공조립</v>
          </cell>
        </row>
        <row r="698">
          <cell r="A698" t="str">
            <v>-1</v>
          </cell>
          <cell r="B698" t="str">
            <v>철근가공조립</v>
          </cell>
          <cell r="C698" t="str">
            <v>(보통)</v>
          </cell>
          <cell r="D698">
            <v>68.697999999999993</v>
          </cell>
          <cell r="E698" t="str">
            <v>TON</v>
          </cell>
        </row>
        <row r="699">
          <cell r="A699" t="str">
            <v>-2</v>
          </cell>
          <cell r="B699" t="str">
            <v>철근가공조립</v>
          </cell>
          <cell r="C699" t="str">
            <v>(복잡)</v>
          </cell>
          <cell r="D699">
            <v>309.08800000000002</v>
          </cell>
          <cell r="E699" t="str">
            <v>TON</v>
          </cell>
        </row>
        <row r="700">
          <cell r="A700" t="str">
            <v>-3</v>
          </cell>
          <cell r="B700" t="str">
            <v>철근가공조립</v>
          </cell>
          <cell r="C700" t="str">
            <v>(매우복잡)</v>
          </cell>
          <cell r="D700">
            <v>780.79499999999996</v>
          </cell>
          <cell r="E700" t="str">
            <v>TON</v>
          </cell>
        </row>
        <row r="701">
          <cell r="A701" t="str">
            <v>f</v>
          </cell>
          <cell r="B701" t="str">
            <v>합판거푸집</v>
          </cell>
        </row>
        <row r="702">
          <cell r="A702" t="str">
            <v>-1</v>
          </cell>
          <cell r="B702" t="str">
            <v>합판거푸집</v>
          </cell>
          <cell r="C702" t="str">
            <v>(3회)0-7M</v>
          </cell>
          <cell r="D702">
            <v>426</v>
          </cell>
          <cell r="E702" t="str">
            <v>㎡</v>
          </cell>
        </row>
        <row r="703">
          <cell r="A703" t="str">
            <v>-2</v>
          </cell>
          <cell r="B703" t="str">
            <v>합판거푸집</v>
          </cell>
          <cell r="C703" t="str">
            <v>(3회)7-10M</v>
          </cell>
          <cell r="D703">
            <v>135</v>
          </cell>
          <cell r="E703" t="str">
            <v>㎡</v>
          </cell>
        </row>
        <row r="704">
          <cell r="A704" t="str">
            <v>-3</v>
          </cell>
          <cell r="B704" t="str">
            <v>합판거푸집</v>
          </cell>
          <cell r="C704" t="str">
            <v>(3회)13-16M</v>
          </cell>
          <cell r="D704">
            <v>50</v>
          </cell>
          <cell r="E704" t="str">
            <v>㎡</v>
          </cell>
        </row>
        <row r="705">
          <cell r="A705" t="str">
            <v>-4</v>
          </cell>
          <cell r="B705" t="str">
            <v>합판거푸집</v>
          </cell>
          <cell r="C705" t="str">
            <v>(3회)22-25M</v>
          </cell>
          <cell r="D705">
            <v>99</v>
          </cell>
          <cell r="E705" t="str">
            <v>㎡</v>
          </cell>
        </row>
        <row r="706">
          <cell r="A706" t="str">
            <v>-5</v>
          </cell>
          <cell r="B706" t="str">
            <v>합판거푸집</v>
          </cell>
          <cell r="C706" t="str">
            <v>(3회)25-28M</v>
          </cell>
          <cell r="D706">
            <v>49</v>
          </cell>
          <cell r="E706" t="str">
            <v>㎡</v>
          </cell>
        </row>
        <row r="707">
          <cell r="A707" t="str">
            <v>-6</v>
          </cell>
          <cell r="B707" t="str">
            <v>합판거푸집</v>
          </cell>
          <cell r="C707" t="str">
            <v>(3회)28-31M</v>
          </cell>
          <cell r="D707">
            <v>99</v>
          </cell>
          <cell r="E707" t="str">
            <v>㎡</v>
          </cell>
        </row>
        <row r="708">
          <cell r="A708" t="str">
            <v>-7</v>
          </cell>
          <cell r="B708" t="str">
            <v>합판거푸집</v>
          </cell>
          <cell r="C708" t="str">
            <v>(3회)31-34M</v>
          </cell>
          <cell r="D708">
            <v>72</v>
          </cell>
          <cell r="E708" t="str">
            <v>㎡</v>
          </cell>
        </row>
        <row r="709">
          <cell r="A709" t="str">
            <v>-8</v>
          </cell>
          <cell r="B709" t="str">
            <v>원형거푸집</v>
          </cell>
          <cell r="C709" t="str">
            <v>(3회 0-7M)</v>
          </cell>
          <cell r="D709">
            <v>461</v>
          </cell>
          <cell r="E709" t="str">
            <v>㎡</v>
          </cell>
        </row>
        <row r="710">
          <cell r="A710" t="str">
            <v>-9</v>
          </cell>
          <cell r="B710" t="str">
            <v>원형거푸집</v>
          </cell>
          <cell r="C710" t="str">
            <v>(3회 7-10M)</v>
          </cell>
          <cell r="D710">
            <v>197</v>
          </cell>
          <cell r="E710" t="str">
            <v>㎡</v>
          </cell>
        </row>
        <row r="711">
          <cell r="A711" t="str">
            <v>-10</v>
          </cell>
          <cell r="B711" t="str">
            <v>원형거푸집</v>
          </cell>
          <cell r="C711" t="str">
            <v>(3회 10-13M)</v>
          </cell>
          <cell r="D711">
            <v>190</v>
          </cell>
          <cell r="E711" t="str">
            <v>㎡</v>
          </cell>
        </row>
        <row r="712">
          <cell r="A712" t="str">
            <v>-11</v>
          </cell>
          <cell r="B712" t="str">
            <v>원형거푸집</v>
          </cell>
          <cell r="C712" t="str">
            <v>(3회 13-16M)</v>
          </cell>
          <cell r="D712">
            <v>180</v>
          </cell>
          <cell r="E712" t="str">
            <v>㎡</v>
          </cell>
        </row>
        <row r="713">
          <cell r="A713" t="str">
            <v>-12</v>
          </cell>
          <cell r="B713" t="str">
            <v>원형거푸집</v>
          </cell>
          <cell r="C713" t="str">
            <v>(3회 16-19M)</v>
          </cell>
          <cell r="D713">
            <v>169</v>
          </cell>
          <cell r="E713" t="str">
            <v>㎡</v>
          </cell>
        </row>
        <row r="714">
          <cell r="A714" t="str">
            <v>-13</v>
          </cell>
          <cell r="B714" t="str">
            <v>원형거푸집</v>
          </cell>
          <cell r="C714" t="str">
            <v>(3회 19-22M)</v>
          </cell>
          <cell r="D714">
            <v>137</v>
          </cell>
          <cell r="E714" t="str">
            <v>㎡</v>
          </cell>
        </row>
        <row r="715">
          <cell r="A715" t="str">
            <v>-14</v>
          </cell>
          <cell r="B715" t="str">
            <v>원형거푸집</v>
          </cell>
          <cell r="C715" t="str">
            <v>(3회 22-25M)</v>
          </cell>
          <cell r="D715">
            <v>135</v>
          </cell>
          <cell r="E715" t="str">
            <v>㎡</v>
          </cell>
        </row>
        <row r="716">
          <cell r="A716" t="str">
            <v>-15</v>
          </cell>
          <cell r="B716" t="str">
            <v>원형거푸집</v>
          </cell>
          <cell r="C716" t="str">
            <v>(3회 25-28M)</v>
          </cell>
          <cell r="D716">
            <v>61</v>
          </cell>
          <cell r="E716" t="str">
            <v>㎡</v>
          </cell>
        </row>
        <row r="717">
          <cell r="A717" t="str">
            <v>-16</v>
          </cell>
          <cell r="B717" t="str">
            <v>원형거푸집</v>
          </cell>
          <cell r="C717" t="str">
            <v>(3회 28-31M)</v>
          </cell>
          <cell r="D717">
            <v>33</v>
          </cell>
          <cell r="E717" t="str">
            <v>㎡</v>
          </cell>
        </row>
        <row r="718">
          <cell r="A718" t="str">
            <v>-17</v>
          </cell>
          <cell r="B718" t="str">
            <v>원형거푸집</v>
          </cell>
          <cell r="C718" t="str">
            <v>(3회)34-37M</v>
          </cell>
          <cell r="D718">
            <v>700</v>
          </cell>
          <cell r="E718" t="str">
            <v>M2</v>
          </cell>
        </row>
        <row r="719">
          <cell r="A719" t="str">
            <v>-18</v>
          </cell>
          <cell r="B719" t="str">
            <v>합판거푸집</v>
          </cell>
          <cell r="C719" t="str">
            <v>(소형6회)</v>
          </cell>
          <cell r="D719">
            <v>399</v>
          </cell>
          <cell r="E719" t="str">
            <v>㎡</v>
          </cell>
        </row>
        <row r="720">
          <cell r="A720" t="str">
            <v>-19</v>
          </cell>
          <cell r="B720" t="str">
            <v>합판거푸집</v>
          </cell>
          <cell r="C720" t="str">
            <v>(소형4회)</v>
          </cell>
          <cell r="D720">
            <v>100</v>
          </cell>
          <cell r="E720" t="str">
            <v>㎡</v>
          </cell>
        </row>
        <row r="721">
          <cell r="A721" t="str">
            <v>-20</v>
          </cell>
          <cell r="B721" t="str">
            <v>합판거푸집</v>
          </cell>
          <cell r="C721" t="str">
            <v>(소형3회)</v>
          </cell>
          <cell r="D721">
            <v>3174</v>
          </cell>
          <cell r="E721" t="str">
            <v>㎡</v>
          </cell>
        </row>
        <row r="722">
          <cell r="A722" t="str">
            <v>g</v>
          </cell>
          <cell r="B722" t="str">
            <v>비계</v>
          </cell>
          <cell r="C722" t="str">
            <v>(강관)0-30M</v>
          </cell>
          <cell r="D722">
            <v>4873</v>
          </cell>
          <cell r="E722" t="str">
            <v>㎡</v>
          </cell>
        </row>
        <row r="723">
          <cell r="A723" t="str">
            <v>h</v>
          </cell>
          <cell r="B723" t="str">
            <v>동바리공</v>
          </cell>
        </row>
        <row r="724">
          <cell r="A724" t="str">
            <v>-1</v>
          </cell>
          <cell r="B724" t="str">
            <v>강관동바리</v>
          </cell>
          <cell r="C724" t="str">
            <v>(교량용)</v>
          </cell>
          <cell r="D724">
            <v>2078</v>
          </cell>
          <cell r="E724" t="str">
            <v>공㎥</v>
          </cell>
        </row>
        <row r="725">
          <cell r="A725" t="str">
            <v>-2</v>
          </cell>
          <cell r="B725" t="str">
            <v>동바리공</v>
          </cell>
          <cell r="C725" t="str">
            <v>(목재4회)</v>
          </cell>
          <cell r="D725">
            <v>2941</v>
          </cell>
          <cell r="E725" t="str">
            <v>공㎥</v>
          </cell>
        </row>
        <row r="726">
          <cell r="A726" t="str">
            <v>i</v>
          </cell>
          <cell r="B726" t="str">
            <v>무수축콘크리트</v>
          </cell>
        </row>
        <row r="727">
          <cell r="A727" t="str">
            <v>-1</v>
          </cell>
          <cell r="B727" t="str">
            <v>무수축몰탈</v>
          </cell>
          <cell r="C727" t="str">
            <v>1:1</v>
          </cell>
          <cell r="D727">
            <v>1.0049999999999999</v>
          </cell>
          <cell r="E727" t="str">
            <v>㎥</v>
          </cell>
        </row>
        <row r="728">
          <cell r="A728" t="str">
            <v>-2</v>
          </cell>
          <cell r="B728" t="str">
            <v>무수축콘크리트</v>
          </cell>
          <cell r="D728">
            <v>5.7149999999999999</v>
          </cell>
          <cell r="E728" t="str">
            <v>㎥</v>
          </cell>
        </row>
        <row r="729">
          <cell r="A729" t="str">
            <v>j</v>
          </cell>
          <cell r="B729" t="str">
            <v>교좌장치</v>
          </cell>
        </row>
        <row r="730">
          <cell r="A730" t="str">
            <v>-1</v>
          </cell>
          <cell r="B730" t="str">
            <v>POT BEARING</v>
          </cell>
          <cell r="C730" t="str">
            <v>일방향250TON</v>
          </cell>
          <cell r="D730">
            <v>4</v>
          </cell>
          <cell r="E730" t="str">
            <v>EA</v>
          </cell>
        </row>
        <row r="731">
          <cell r="A731" t="str">
            <v>-2</v>
          </cell>
          <cell r="B731" t="str">
            <v>POT BEARING</v>
          </cell>
          <cell r="C731" t="str">
            <v>양방향250TON</v>
          </cell>
          <cell r="D731">
            <v>4</v>
          </cell>
          <cell r="E731" t="str">
            <v>EA</v>
          </cell>
        </row>
        <row r="732">
          <cell r="A732" t="str">
            <v>-3</v>
          </cell>
          <cell r="B732" t="str">
            <v>POT BEARING</v>
          </cell>
          <cell r="C732" t="str">
            <v>고정단550TON</v>
          </cell>
          <cell r="D732">
            <v>2</v>
          </cell>
          <cell r="E732" t="str">
            <v>EA</v>
          </cell>
        </row>
        <row r="733">
          <cell r="A733" t="str">
            <v>-4</v>
          </cell>
          <cell r="B733" t="str">
            <v>POT BEARING</v>
          </cell>
          <cell r="C733" t="str">
            <v>일방향550TON</v>
          </cell>
          <cell r="D733">
            <v>6</v>
          </cell>
          <cell r="E733" t="str">
            <v>EA</v>
          </cell>
        </row>
        <row r="734">
          <cell r="A734" t="str">
            <v>-5</v>
          </cell>
          <cell r="B734" t="str">
            <v>POT BEARING</v>
          </cell>
          <cell r="C734" t="str">
            <v>양방향550TON</v>
          </cell>
          <cell r="D734">
            <v>4</v>
          </cell>
          <cell r="E734" t="str">
            <v>EA</v>
          </cell>
        </row>
        <row r="735">
          <cell r="A735" t="str">
            <v>k</v>
          </cell>
          <cell r="B735" t="str">
            <v>신축이음장치</v>
          </cell>
        </row>
        <row r="736">
          <cell r="A736" t="str">
            <v>-1</v>
          </cell>
          <cell r="B736" t="str">
            <v>신축이음장치</v>
          </cell>
          <cell r="C736" t="str">
            <v>(NO100)</v>
          </cell>
          <cell r="D736">
            <v>13</v>
          </cell>
          <cell r="E736" t="str">
            <v>M</v>
          </cell>
        </row>
        <row r="737">
          <cell r="A737" t="str">
            <v>-2</v>
          </cell>
          <cell r="B737" t="str">
            <v>신축이음장치</v>
          </cell>
          <cell r="C737" t="str">
            <v>(NO240)</v>
          </cell>
          <cell r="D737">
            <v>6</v>
          </cell>
          <cell r="E737" t="str">
            <v>M</v>
          </cell>
        </row>
        <row r="738">
          <cell r="A738" t="str">
            <v>l</v>
          </cell>
          <cell r="B738" t="str">
            <v>표면처리공</v>
          </cell>
        </row>
        <row r="739">
          <cell r="A739" t="str">
            <v>-1</v>
          </cell>
          <cell r="B739" t="str">
            <v>면고르기</v>
          </cell>
          <cell r="C739" t="str">
            <v>DECK FINISHER</v>
          </cell>
          <cell r="D739">
            <v>2322</v>
          </cell>
          <cell r="E739" t="str">
            <v>㎡</v>
          </cell>
        </row>
        <row r="740">
          <cell r="A740" t="str">
            <v>-2</v>
          </cell>
          <cell r="B740" t="str">
            <v>슬라브양생</v>
          </cell>
          <cell r="C740" t="str">
            <v>(도막양생)</v>
          </cell>
          <cell r="D740">
            <v>2322</v>
          </cell>
          <cell r="E740" t="str">
            <v>㎡</v>
          </cell>
        </row>
        <row r="741">
          <cell r="A741" t="str">
            <v>-3</v>
          </cell>
          <cell r="B741" t="str">
            <v>교면방수</v>
          </cell>
          <cell r="C741" t="str">
            <v>(도막방수)</v>
          </cell>
          <cell r="D741">
            <v>2322</v>
          </cell>
          <cell r="E741" t="str">
            <v>㎡</v>
          </cell>
        </row>
        <row r="742">
          <cell r="A742" t="str">
            <v>m</v>
          </cell>
          <cell r="B742" t="str">
            <v>교량명판공</v>
          </cell>
        </row>
        <row r="743">
          <cell r="A743" t="str">
            <v>-1</v>
          </cell>
          <cell r="B743" t="str">
            <v>교명주</v>
          </cell>
          <cell r="C743" t="str">
            <v>(1000*500*350)</v>
          </cell>
          <cell r="D743">
            <v>4</v>
          </cell>
          <cell r="E743" t="str">
            <v>EA</v>
          </cell>
        </row>
        <row r="744">
          <cell r="A744" t="str">
            <v>-2</v>
          </cell>
          <cell r="B744" t="str">
            <v>교명판</v>
          </cell>
          <cell r="D744">
            <v>2</v>
          </cell>
          <cell r="E744" t="str">
            <v>EA</v>
          </cell>
        </row>
        <row r="745">
          <cell r="A745" t="str">
            <v>-3</v>
          </cell>
          <cell r="B745" t="str">
            <v>설명판</v>
          </cell>
          <cell r="C745" t="str">
            <v>(500X300X10)</v>
          </cell>
          <cell r="D745">
            <v>2</v>
          </cell>
          <cell r="E745" t="str">
            <v>EA</v>
          </cell>
        </row>
        <row r="746">
          <cell r="A746" t="str">
            <v>-4</v>
          </cell>
          <cell r="B746" t="str">
            <v>TBM 설치</v>
          </cell>
          <cell r="D746">
            <v>2</v>
          </cell>
          <cell r="E746" t="str">
            <v>EA</v>
          </cell>
        </row>
        <row r="747">
          <cell r="A747" t="str">
            <v>n</v>
          </cell>
          <cell r="B747" t="str">
            <v>다월바설치</v>
          </cell>
          <cell r="D747">
            <v>30</v>
          </cell>
          <cell r="E747" t="str">
            <v>EA</v>
          </cell>
        </row>
        <row r="748">
          <cell r="A748" t="str">
            <v>o</v>
          </cell>
          <cell r="B748" t="str">
            <v>스치로폴</v>
          </cell>
          <cell r="C748" t="str">
            <v>(신축이음T=20M/M)</v>
          </cell>
          <cell r="D748">
            <v>4</v>
          </cell>
          <cell r="E748" t="str">
            <v>㎡</v>
          </cell>
        </row>
        <row r="749">
          <cell r="A749" t="str">
            <v>p</v>
          </cell>
          <cell r="B749" t="str">
            <v>교량용집수구</v>
          </cell>
        </row>
        <row r="750">
          <cell r="A750" t="str">
            <v>-1</v>
          </cell>
          <cell r="B750" t="str">
            <v>집수구</v>
          </cell>
          <cell r="C750" t="str">
            <v>(주철)</v>
          </cell>
          <cell r="D750">
            <v>18</v>
          </cell>
          <cell r="E750" t="str">
            <v>EA</v>
          </cell>
        </row>
        <row r="751">
          <cell r="A751" t="str">
            <v>-2</v>
          </cell>
          <cell r="B751" t="str">
            <v>연결배수구</v>
          </cell>
          <cell r="C751" t="str">
            <v>(스텐레스)</v>
          </cell>
          <cell r="D751">
            <v>4</v>
          </cell>
          <cell r="E751" t="str">
            <v>EA</v>
          </cell>
        </row>
        <row r="752">
          <cell r="A752" t="str">
            <v>-3</v>
          </cell>
          <cell r="B752" t="str">
            <v>직관</v>
          </cell>
          <cell r="C752" t="str">
            <v>(Φ150)</v>
          </cell>
          <cell r="D752">
            <v>76</v>
          </cell>
          <cell r="E752" t="str">
            <v>M</v>
          </cell>
        </row>
        <row r="753">
          <cell r="A753" t="str">
            <v>-4</v>
          </cell>
          <cell r="B753" t="str">
            <v>육교용곡관</v>
          </cell>
          <cell r="D753">
            <v>10</v>
          </cell>
          <cell r="E753" t="str">
            <v>EA</v>
          </cell>
        </row>
        <row r="754">
          <cell r="A754" t="str">
            <v>-5</v>
          </cell>
          <cell r="B754" t="str">
            <v>연결부</v>
          </cell>
          <cell r="C754" t="str">
            <v>(스텐레스)</v>
          </cell>
          <cell r="D754">
            <v>76</v>
          </cell>
          <cell r="E754" t="str">
            <v>EA</v>
          </cell>
        </row>
        <row r="755">
          <cell r="A755" t="str">
            <v>-6</v>
          </cell>
          <cell r="B755" t="str">
            <v>하천용배수구</v>
          </cell>
          <cell r="C755" t="str">
            <v>(아연도강관D=150MM)</v>
          </cell>
          <cell r="D755">
            <v>44</v>
          </cell>
          <cell r="E755" t="str">
            <v>M</v>
          </cell>
        </row>
        <row r="756">
          <cell r="A756" t="str">
            <v>q</v>
          </cell>
          <cell r="B756" t="str">
            <v>전선관</v>
          </cell>
          <cell r="C756" t="str">
            <v>P.V.C PIPE</v>
          </cell>
          <cell r="D756">
            <v>714</v>
          </cell>
          <cell r="E756" t="str">
            <v>M</v>
          </cell>
        </row>
        <row r="757">
          <cell r="A757" t="str">
            <v>r</v>
          </cell>
          <cell r="B757" t="str">
            <v>환풍기받침대설치</v>
          </cell>
          <cell r="D757">
            <v>16</v>
          </cell>
          <cell r="E757" t="str">
            <v>EA</v>
          </cell>
        </row>
        <row r="758">
          <cell r="A758" t="str">
            <v>s</v>
          </cell>
          <cell r="B758" t="str">
            <v>강교가설</v>
          </cell>
        </row>
        <row r="759">
          <cell r="A759" t="str">
            <v>-1</v>
          </cell>
          <cell r="B759" t="str">
            <v>강교제작</v>
          </cell>
          <cell r="C759" t="str">
            <v>(송정IC RAMP-E교)</v>
          </cell>
          <cell r="D759">
            <v>1131.6469999999999</v>
          </cell>
          <cell r="E759" t="str">
            <v>TON</v>
          </cell>
        </row>
        <row r="760">
          <cell r="A760" t="str">
            <v>-2</v>
          </cell>
          <cell r="B760" t="str">
            <v>강교운반및가설</v>
          </cell>
          <cell r="C760" t="str">
            <v>(송정IC RAMP-E교)</v>
          </cell>
          <cell r="D760">
            <v>1131.6469999999999</v>
          </cell>
          <cell r="E760" t="str">
            <v>TON</v>
          </cell>
        </row>
        <row r="761">
          <cell r="A761" t="str">
            <v>-3</v>
          </cell>
          <cell r="B761" t="str">
            <v>내부도장</v>
          </cell>
          <cell r="C761" t="str">
            <v>(공장)</v>
          </cell>
          <cell r="D761">
            <v>12497</v>
          </cell>
          <cell r="E761" t="str">
            <v>㎡</v>
          </cell>
        </row>
        <row r="762">
          <cell r="A762" t="str">
            <v>-4</v>
          </cell>
          <cell r="B762" t="str">
            <v>연결판도장</v>
          </cell>
          <cell r="C762" t="str">
            <v>(공장)</v>
          </cell>
          <cell r="D762">
            <v>1178</v>
          </cell>
          <cell r="E762" t="str">
            <v>㎡</v>
          </cell>
        </row>
        <row r="763">
          <cell r="A763" t="str">
            <v>-5</v>
          </cell>
          <cell r="B763" t="str">
            <v>내부볼트및연결판도장</v>
          </cell>
          <cell r="C763" t="str">
            <v>(현장)</v>
          </cell>
          <cell r="D763">
            <v>311</v>
          </cell>
          <cell r="E763" t="str">
            <v>㎡</v>
          </cell>
        </row>
        <row r="764">
          <cell r="A764" t="str">
            <v>-6</v>
          </cell>
          <cell r="B764" t="str">
            <v>외부도장</v>
          </cell>
          <cell r="C764" t="str">
            <v>(공장)</v>
          </cell>
          <cell r="D764">
            <v>8004</v>
          </cell>
          <cell r="E764" t="str">
            <v>㎡</v>
          </cell>
        </row>
        <row r="765">
          <cell r="A765" t="str">
            <v>-7</v>
          </cell>
          <cell r="B765" t="str">
            <v>외부포장면도장</v>
          </cell>
          <cell r="C765" t="str">
            <v>(공장)</v>
          </cell>
          <cell r="D765">
            <v>1590</v>
          </cell>
          <cell r="E765" t="str">
            <v>㎡</v>
          </cell>
        </row>
        <row r="766">
          <cell r="A766" t="str">
            <v>-8</v>
          </cell>
          <cell r="B766" t="str">
            <v>외부볼트및연결판도장</v>
          </cell>
          <cell r="C766" t="str">
            <v>(현장)</v>
          </cell>
          <cell r="D766">
            <v>867</v>
          </cell>
          <cell r="E766" t="str">
            <v>㎡</v>
          </cell>
        </row>
        <row r="767">
          <cell r="A767" t="str">
            <v>-9</v>
          </cell>
          <cell r="B767" t="str">
            <v>외부도장</v>
          </cell>
          <cell r="C767" t="str">
            <v>(현장)</v>
          </cell>
          <cell r="D767">
            <v>1200</v>
          </cell>
          <cell r="E767" t="str">
            <v>㎡</v>
          </cell>
        </row>
        <row r="768">
          <cell r="A768" t="str">
            <v>t</v>
          </cell>
          <cell r="B768" t="str">
            <v>기타공</v>
          </cell>
        </row>
        <row r="769">
          <cell r="A769" t="str">
            <v>-1</v>
          </cell>
          <cell r="B769" t="str">
            <v>낙교방지책</v>
          </cell>
          <cell r="C769" t="str">
            <v>(1SHOE,TYPE-1)</v>
          </cell>
          <cell r="D769">
            <v>8</v>
          </cell>
          <cell r="E769" t="str">
            <v>EA</v>
          </cell>
        </row>
        <row r="770">
          <cell r="A770" t="str">
            <v>-2</v>
          </cell>
          <cell r="B770" t="str">
            <v>낙교방지책</v>
          </cell>
          <cell r="C770" t="str">
            <v>(1SHOE,TYPE-2)</v>
          </cell>
          <cell r="D770">
            <v>8</v>
          </cell>
          <cell r="E770" t="str">
            <v>EA</v>
          </cell>
        </row>
        <row r="771">
          <cell r="A771" t="str">
            <v>-3</v>
          </cell>
          <cell r="B771" t="str">
            <v>낙교방지책</v>
          </cell>
          <cell r="C771" t="str">
            <v>(1SHOE, TYPE-3)</v>
          </cell>
          <cell r="D771">
            <v>4</v>
          </cell>
          <cell r="E771" t="str">
            <v>EA</v>
          </cell>
        </row>
        <row r="772">
          <cell r="A772" t="str">
            <v>-4</v>
          </cell>
          <cell r="B772" t="str">
            <v>안전점검통로</v>
          </cell>
          <cell r="C772" t="str">
            <v>교축방향(TYPE-1)</v>
          </cell>
          <cell r="D772">
            <v>73</v>
          </cell>
          <cell r="E772" t="str">
            <v>개소</v>
          </cell>
        </row>
        <row r="773">
          <cell r="A773" t="str">
            <v>-5</v>
          </cell>
          <cell r="B773" t="str">
            <v>안전점검통로(송정E교</v>
          </cell>
          <cell r="C773" t="str">
            <v>(교축직각방향TYPE-1)</v>
          </cell>
          <cell r="D773">
            <v>6</v>
          </cell>
          <cell r="E773" t="str">
            <v>개소</v>
          </cell>
        </row>
        <row r="774">
          <cell r="A774" t="str">
            <v>-6</v>
          </cell>
          <cell r="B774" t="str">
            <v>안전점검통로(송정E교</v>
          </cell>
          <cell r="C774" t="str">
            <v>교축직각방향(TYPE-2)</v>
          </cell>
          <cell r="D774">
            <v>1</v>
          </cell>
          <cell r="E774" t="str">
            <v>개소</v>
          </cell>
        </row>
        <row r="775">
          <cell r="A775" t="str">
            <v>-7</v>
          </cell>
          <cell r="B775" t="str">
            <v>내부출입구설치</v>
          </cell>
          <cell r="C775" t="str">
            <v>LOWER FLANGE</v>
          </cell>
          <cell r="D775">
            <v>8</v>
          </cell>
          <cell r="E775" t="str">
            <v>EA</v>
          </cell>
        </row>
        <row r="776">
          <cell r="A776" t="str">
            <v>-8</v>
          </cell>
          <cell r="B776" t="str">
            <v>내부출입구설치</v>
          </cell>
          <cell r="C776" t="str">
            <v>DIAPHRAGM</v>
          </cell>
          <cell r="D776">
            <v>8</v>
          </cell>
          <cell r="E776" t="str">
            <v>EA</v>
          </cell>
        </row>
        <row r="777">
          <cell r="A777" t="str">
            <v>-9</v>
          </cell>
          <cell r="B777" t="str">
            <v>내부출입구설치</v>
          </cell>
          <cell r="C777" t="str">
            <v>WEB</v>
          </cell>
          <cell r="D777">
            <v>12</v>
          </cell>
          <cell r="E777" t="str">
            <v>EA</v>
          </cell>
        </row>
        <row r="778">
          <cell r="A778" t="str">
            <v>u</v>
          </cell>
          <cell r="B778" t="str">
            <v>가 도</v>
          </cell>
        </row>
        <row r="779">
          <cell r="A779" t="str">
            <v>-1</v>
          </cell>
          <cell r="B779" t="str">
            <v>가도공흙쌓기</v>
          </cell>
          <cell r="D779">
            <v>2924</v>
          </cell>
          <cell r="E779" t="str">
            <v>M3</v>
          </cell>
        </row>
        <row r="780">
          <cell r="A780" t="str">
            <v>-2</v>
          </cell>
          <cell r="B780" t="str">
            <v>가마니쌓기및헐기</v>
          </cell>
          <cell r="D780">
            <v>647</v>
          </cell>
          <cell r="E780" t="str">
            <v>M2</v>
          </cell>
        </row>
        <row r="781">
          <cell r="A781" t="str">
            <v>v</v>
          </cell>
          <cell r="B781" t="str">
            <v>가시설</v>
          </cell>
          <cell r="C781" t="str">
            <v>(교각부)</v>
          </cell>
        </row>
        <row r="782">
          <cell r="A782" t="str">
            <v>-1</v>
          </cell>
          <cell r="B782" t="str">
            <v>강널말뚝자재비</v>
          </cell>
          <cell r="C782" t="str">
            <v>400*150*13</v>
          </cell>
          <cell r="D782">
            <v>209</v>
          </cell>
          <cell r="E782" t="str">
            <v>TON</v>
          </cell>
        </row>
        <row r="783">
          <cell r="A783" t="str">
            <v>-2</v>
          </cell>
          <cell r="B783" t="str">
            <v>강널말뚝 항타(송정IC</v>
          </cell>
          <cell r="C783" t="str">
            <v>RAMP-E교,가시설용)</v>
          </cell>
          <cell r="D783">
            <v>2147</v>
          </cell>
          <cell r="E783" t="str">
            <v>M</v>
          </cell>
        </row>
        <row r="784">
          <cell r="A784" t="str">
            <v>-3</v>
          </cell>
          <cell r="B784" t="str">
            <v>강널말뚝 뽑기(송정IC</v>
          </cell>
          <cell r="C784" t="str">
            <v>RAMP-E교)가시설용</v>
          </cell>
          <cell r="D784">
            <v>2147</v>
          </cell>
          <cell r="E784" t="str">
            <v>M</v>
          </cell>
        </row>
        <row r="785">
          <cell r="A785" t="str">
            <v>-4</v>
          </cell>
          <cell r="B785" t="str">
            <v>띠장설치및철거(송정)</v>
          </cell>
          <cell r="C785" t="str">
            <v>RAMP-A,E교</v>
          </cell>
          <cell r="D785">
            <v>287</v>
          </cell>
          <cell r="E785" t="str">
            <v>M</v>
          </cell>
        </row>
        <row r="786">
          <cell r="A786" t="str">
            <v>-5</v>
          </cell>
          <cell r="B786" t="str">
            <v>L형강설치및철거</v>
          </cell>
          <cell r="C786" t="str">
            <v>100*100*10</v>
          </cell>
          <cell r="D786">
            <v>64</v>
          </cell>
          <cell r="E786" t="str">
            <v>M</v>
          </cell>
        </row>
        <row r="787">
          <cell r="A787" t="str">
            <v>-6</v>
          </cell>
          <cell r="B787" t="str">
            <v>보걸이 설치</v>
          </cell>
          <cell r="D787">
            <v>144</v>
          </cell>
          <cell r="E787" t="str">
            <v>EA</v>
          </cell>
        </row>
        <row r="788">
          <cell r="A788" t="str">
            <v>-7</v>
          </cell>
          <cell r="B788" t="str">
            <v>강판설치</v>
          </cell>
          <cell r="D788">
            <v>13.866</v>
          </cell>
          <cell r="E788" t="str">
            <v>TON</v>
          </cell>
        </row>
        <row r="789">
          <cell r="A789" t="str">
            <v>w</v>
          </cell>
          <cell r="B789" t="str">
            <v>가교가설(송정R-E)</v>
          </cell>
          <cell r="C789" t="str">
            <v>(L=70.0M,B=8.01M)</v>
          </cell>
          <cell r="D789">
            <v>1</v>
          </cell>
          <cell r="E789" t="str">
            <v>L.S</v>
          </cell>
        </row>
        <row r="790">
          <cell r="A790" t="str">
            <v>x</v>
          </cell>
          <cell r="B790" t="str">
            <v>검사시험</v>
          </cell>
        </row>
        <row r="791">
          <cell r="A791" t="str">
            <v>-1</v>
          </cell>
          <cell r="B791" t="str">
            <v>방사선투과검사</v>
          </cell>
          <cell r="C791" t="str">
            <v>R.T</v>
          </cell>
          <cell r="D791">
            <v>58</v>
          </cell>
          <cell r="E791" t="str">
            <v>SHEET</v>
          </cell>
        </row>
        <row r="792">
          <cell r="A792" t="str">
            <v>-2</v>
          </cell>
          <cell r="B792" t="str">
            <v>초음파탐상검사</v>
          </cell>
          <cell r="C792" t="str">
            <v>U.T</v>
          </cell>
          <cell r="D792">
            <v>36</v>
          </cell>
          <cell r="E792" t="str">
            <v>M</v>
          </cell>
        </row>
        <row r="793">
          <cell r="A793" t="str">
            <v>y</v>
          </cell>
          <cell r="B793" t="str">
            <v>자재비</v>
          </cell>
        </row>
        <row r="794">
          <cell r="A794" t="str">
            <v>-1</v>
          </cell>
          <cell r="B794" t="str">
            <v>레미콘</v>
          </cell>
          <cell r="C794" t="str">
            <v>25-240-12</v>
          </cell>
          <cell r="D794">
            <v>885</v>
          </cell>
          <cell r="E794" t="str">
            <v>㎥</v>
          </cell>
        </row>
        <row r="795">
          <cell r="A795" t="str">
            <v>-2</v>
          </cell>
          <cell r="B795" t="str">
            <v>레미콘</v>
          </cell>
          <cell r="C795" t="str">
            <v>25-210-12</v>
          </cell>
          <cell r="D795">
            <v>3905</v>
          </cell>
          <cell r="E795" t="str">
            <v>㎥</v>
          </cell>
        </row>
        <row r="796">
          <cell r="A796" t="str">
            <v>-3</v>
          </cell>
          <cell r="B796" t="str">
            <v>레미콘</v>
          </cell>
          <cell r="C796" t="str">
            <v>40-180-8</v>
          </cell>
          <cell r="D796">
            <v>960</v>
          </cell>
          <cell r="E796" t="str">
            <v>㎥</v>
          </cell>
        </row>
        <row r="797">
          <cell r="A797" t="str">
            <v>-4</v>
          </cell>
          <cell r="B797" t="str">
            <v>레미콘</v>
          </cell>
          <cell r="C797" t="str">
            <v>40-160-8</v>
          </cell>
          <cell r="D797">
            <v>152</v>
          </cell>
          <cell r="E797" t="str">
            <v>㎥</v>
          </cell>
        </row>
        <row r="798">
          <cell r="A798" t="str">
            <v>-5</v>
          </cell>
          <cell r="B798" t="str">
            <v>시멘트</v>
          </cell>
          <cell r="C798" t="str">
            <v>40㎏/대</v>
          </cell>
          <cell r="D798">
            <v>110</v>
          </cell>
          <cell r="E798" t="str">
            <v>대</v>
          </cell>
        </row>
        <row r="799">
          <cell r="A799" t="str">
            <v>-6</v>
          </cell>
          <cell r="B799" t="str">
            <v>철근</v>
          </cell>
          <cell r="C799" t="str">
            <v>SD40 H16M/M 이상</v>
          </cell>
          <cell r="D799">
            <v>281.25599999999997</v>
          </cell>
          <cell r="E799" t="str">
            <v>TON</v>
          </cell>
        </row>
        <row r="800">
          <cell r="A800" t="str">
            <v>-7</v>
          </cell>
          <cell r="B800" t="str">
            <v>철근</v>
          </cell>
          <cell r="C800" t="str">
            <v>SD40 H13M/M</v>
          </cell>
          <cell r="D800">
            <v>3.8719999999999999</v>
          </cell>
          <cell r="E800" t="str">
            <v>TON</v>
          </cell>
        </row>
        <row r="801">
          <cell r="A801" t="str">
            <v>-8</v>
          </cell>
          <cell r="B801" t="str">
            <v>철근</v>
          </cell>
          <cell r="C801" t="str">
            <v>SD30 D16M/M 이상</v>
          </cell>
          <cell r="D801">
            <v>891.32</v>
          </cell>
          <cell r="E801" t="str">
            <v>TON</v>
          </cell>
        </row>
        <row r="802">
          <cell r="A802" t="str">
            <v>-9</v>
          </cell>
          <cell r="B802" t="str">
            <v>철근</v>
          </cell>
          <cell r="C802" t="str">
            <v>SD30 D13M/M</v>
          </cell>
          <cell r="D802">
            <v>18.754000000000001</v>
          </cell>
          <cell r="E802" t="str">
            <v>TON</v>
          </cell>
        </row>
        <row r="803">
          <cell r="A803" t="str">
            <v>3.06</v>
          </cell>
          <cell r="B803" t="str">
            <v>건계정육교(RC RAHMEN</v>
          </cell>
          <cell r="C803" t="str">
            <v>)L=15.0, B=21.0</v>
          </cell>
        </row>
        <row r="804">
          <cell r="A804" t="str">
            <v>a</v>
          </cell>
          <cell r="B804" t="str">
            <v>토  공</v>
          </cell>
        </row>
        <row r="805">
          <cell r="A805" t="str">
            <v>-1</v>
          </cell>
          <cell r="B805" t="str">
            <v>구조물터파기</v>
          </cell>
          <cell r="C805" t="str">
            <v>(육상토사:0-4M)</v>
          </cell>
          <cell r="D805">
            <v>1504</v>
          </cell>
          <cell r="E805" t="str">
            <v>㎥</v>
          </cell>
        </row>
        <row r="806">
          <cell r="A806" t="str">
            <v>-2</v>
          </cell>
          <cell r="B806" t="str">
            <v>되메우기및다짐</v>
          </cell>
          <cell r="C806" t="str">
            <v>(인력30%+기계70%)</v>
          </cell>
          <cell r="D806">
            <v>1045</v>
          </cell>
          <cell r="E806" t="str">
            <v>㎥</v>
          </cell>
        </row>
        <row r="807">
          <cell r="A807" t="str">
            <v>-3</v>
          </cell>
          <cell r="B807" t="str">
            <v>뒷채움및다짐</v>
          </cell>
          <cell r="D807">
            <v>1473</v>
          </cell>
          <cell r="E807" t="str">
            <v>㎥</v>
          </cell>
        </row>
        <row r="808">
          <cell r="A808" t="str">
            <v>b</v>
          </cell>
          <cell r="B808" t="str">
            <v>강관파일공</v>
          </cell>
        </row>
        <row r="809">
          <cell r="A809" t="str">
            <v>-1</v>
          </cell>
          <cell r="B809" t="str">
            <v>강관파일자재비</v>
          </cell>
          <cell r="C809" t="str">
            <v>(Φ508.0M/M*12T)</v>
          </cell>
          <cell r="D809">
            <v>1764</v>
          </cell>
          <cell r="E809" t="str">
            <v>M</v>
          </cell>
        </row>
        <row r="810">
          <cell r="A810" t="str">
            <v>-2</v>
          </cell>
          <cell r="B810" t="str">
            <v>항타비직항(건계정육</v>
          </cell>
          <cell r="C810" t="str">
            <v>Φ508.0*12T)15M이상</v>
          </cell>
          <cell r="D810">
            <v>1656</v>
          </cell>
          <cell r="E810" t="str">
            <v>M</v>
          </cell>
        </row>
        <row r="811">
          <cell r="A811" t="str">
            <v>-3</v>
          </cell>
          <cell r="B811" t="str">
            <v>두부선단보강</v>
          </cell>
          <cell r="C811" t="str">
            <v>(Φ508.0M/M*12T)</v>
          </cell>
          <cell r="D811">
            <v>96</v>
          </cell>
          <cell r="E811" t="str">
            <v>개소</v>
          </cell>
        </row>
        <row r="812">
          <cell r="A812" t="str">
            <v>-4</v>
          </cell>
          <cell r="B812" t="str">
            <v>강관파일이음</v>
          </cell>
          <cell r="C812" t="str">
            <v>(Φ508.0M/M)</v>
          </cell>
          <cell r="D812">
            <v>96</v>
          </cell>
          <cell r="E812" t="str">
            <v>개소</v>
          </cell>
        </row>
        <row r="813">
          <cell r="A813" t="str">
            <v>c</v>
          </cell>
          <cell r="B813" t="str">
            <v>콘크리트타설</v>
          </cell>
        </row>
        <row r="814">
          <cell r="A814" t="str">
            <v>-1</v>
          </cell>
          <cell r="B814" t="str">
            <v>무근콘크리트타설</v>
          </cell>
          <cell r="C814" t="str">
            <v>(진동기제외)</v>
          </cell>
          <cell r="D814">
            <v>21</v>
          </cell>
          <cell r="E814" t="str">
            <v>㎥</v>
          </cell>
        </row>
        <row r="815">
          <cell r="A815" t="str">
            <v>-2</v>
          </cell>
          <cell r="B815" t="str">
            <v>철근콘크리트타설</v>
          </cell>
          <cell r="C815" t="str">
            <v>펌프카타설(0-15M)</v>
          </cell>
          <cell r="D815">
            <v>1035</v>
          </cell>
          <cell r="E815" t="str">
            <v>㎥</v>
          </cell>
        </row>
        <row r="816">
          <cell r="A816" t="str">
            <v>d</v>
          </cell>
          <cell r="B816" t="str">
            <v>스페이셔설치</v>
          </cell>
        </row>
        <row r="817">
          <cell r="A817" t="str">
            <v>-1</v>
          </cell>
          <cell r="B817" t="str">
            <v>스페이셔설치</v>
          </cell>
          <cell r="C817" t="str">
            <v>벽체용</v>
          </cell>
          <cell r="D817">
            <v>1360</v>
          </cell>
          <cell r="E817" t="str">
            <v>㎡</v>
          </cell>
        </row>
        <row r="818">
          <cell r="A818" t="str">
            <v>-2</v>
          </cell>
          <cell r="B818" t="str">
            <v>스페이서설치</v>
          </cell>
          <cell r="C818" t="str">
            <v>슬라브용</v>
          </cell>
          <cell r="D818">
            <v>791</v>
          </cell>
          <cell r="E818" t="str">
            <v>㎡</v>
          </cell>
        </row>
        <row r="819">
          <cell r="A819" t="str">
            <v>e</v>
          </cell>
          <cell r="B819" t="str">
            <v>철근가공조립</v>
          </cell>
          <cell r="C819" t="str">
            <v>(복잡)</v>
          </cell>
          <cell r="D819">
            <v>149.42400000000001</v>
          </cell>
          <cell r="E819" t="str">
            <v>TON</v>
          </cell>
        </row>
        <row r="820">
          <cell r="A820" t="str">
            <v>f</v>
          </cell>
          <cell r="B820" t="str">
            <v>합판거푸집</v>
          </cell>
        </row>
        <row r="821">
          <cell r="A821" t="str">
            <v>-1</v>
          </cell>
          <cell r="B821" t="str">
            <v>합판거푸집</v>
          </cell>
          <cell r="C821" t="str">
            <v>(3회)0-7M</v>
          </cell>
          <cell r="D821">
            <v>397</v>
          </cell>
          <cell r="E821" t="str">
            <v>㎡</v>
          </cell>
        </row>
        <row r="822">
          <cell r="A822" t="str">
            <v>-2</v>
          </cell>
          <cell r="B822" t="str">
            <v>합판거푸집</v>
          </cell>
          <cell r="C822" t="str">
            <v>(3회)7-10M</v>
          </cell>
          <cell r="D822">
            <v>455</v>
          </cell>
          <cell r="E822" t="str">
            <v>㎡</v>
          </cell>
        </row>
        <row r="823">
          <cell r="A823" t="str">
            <v>-3</v>
          </cell>
          <cell r="B823" t="str">
            <v>무늬거푸집(P.E)</v>
          </cell>
          <cell r="C823" t="str">
            <v>0-7M</v>
          </cell>
          <cell r="D823">
            <v>440</v>
          </cell>
          <cell r="E823" t="str">
            <v>M2</v>
          </cell>
        </row>
        <row r="824">
          <cell r="A824" t="str">
            <v>-4</v>
          </cell>
          <cell r="B824" t="str">
            <v>합판거푸집</v>
          </cell>
          <cell r="C824" t="str">
            <v>(소형6회)</v>
          </cell>
          <cell r="D824">
            <v>98</v>
          </cell>
          <cell r="E824" t="str">
            <v>㎡</v>
          </cell>
        </row>
        <row r="825">
          <cell r="A825" t="str">
            <v>-5</v>
          </cell>
          <cell r="B825" t="str">
            <v>합판거푸집</v>
          </cell>
          <cell r="C825" t="str">
            <v>(소형4회)</v>
          </cell>
          <cell r="D825">
            <v>165</v>
          </cell>
          <cell r="E825" t="str">
            <v>㎡</v>
          </cell>
        </row>
        <row r="826">
          <cell r="A826" t="str">
            <v>g</v>
          </cell>
          <cell r="B826" t="str">
            <v>비계</v>
          </cell>
          <cell r="C826" t="str">
            <v>(강관)0-30M</v>
          </cell>
          <cell r="D826">
            <v>574</v>
          </cell>
          <cell r="E826" t="str">
            <v>㎡</v>
          </cell>
        </row>
        <row r="827">
          <cell r="A827" t="str">
            <v>h</v>
          </cell>
          <cell r="B827" t="str">
            <v>강관동바리</v>
          </cell>
          <cell r="C827" t="str">
            <v>(교량용)</v>
          </cell>
          <cell r="D827">
            <v>2588</v>
          </cell>
          <cell r="E827" t="str">
            <v>공㎥</v>
          </cell>
        </row>
        <row r="828">
          <cell r="A828" t="str">
            <v>i</v>
          </cell>
          <cell r="B828" t="str">
            <v>표면처리공</v>
          </cell>
        </row>
        <row r="829">
          <cell r="A829" t="str">
            <v>-1</v>
          </cell>
          <cell r="B829" t="str">
            <v>아스팔트방수</v>
          </cell>
          <cell r="C829" t="str">
            <v>(배면방수)</v>
          </cell>
          <cell r="D829">
            <v>351</v>
          </cell>
          <cell r="E829" t="str">
            <v>M2</v>
          </cell>
        </row>
        <row r="830">
          <cell r="A830" t="str">
            <v>-2</v>
          </cell>
          <cell r="B830" t="str">
            <v>면고르기</v>
          </cell>
          <cell r="C830" t="str">
            <v>DECK FINISHER</v>
          </cell>
          <cell r="D830">
            <v>330</v>
          </cell>
          <cell r="E830" t="str">
            <v>㎡</v>
          </cell>
        </row>
        <row r="831">
          <cell r="A831" t="str">
            <v>-3</v>
          </cell>
          <cell r="B831" t="str">
            <v>슬라브양생</v>
          </cell>
          <cell r="C831" t="str">
            <v>(도막양생)</v>
          </cell>
          <cell r="D831">
            <v>330</v>
          </cell>
          <cell r="E831" t="str">
            <v>㎡</v>
          </cell>
        </row>
        <row r="832">
          <cell r="A832" t="str">
            <v>-4</v>
          </cell>
          <cell r="B832" t="str">
            <v>교면방수</v>
          </cell>
          <cell r="C832" t="str">
            <v>(도막방수)</v>
          </cell>
          <cell r="D832">
            <v>330</v>
          </cell>
          <cell r="E832" t="str">
            <v>㎡</v>
          </cell>
        </row>
        <row r="833">
          <cell r="A833" t="str">
            <v>j</v>
          </cell>
          <cell r="B833" t="str">
            <v>교량명판공</v>
          </cell>
        </row>
        <row r="834">
          <cell r="A834" t="str">
            <v>-1</v>
          </cell>
          <cell r="B834" t="str">
            <v>교명주</v>
          </cell>
          <cell r="C834" t="str">
            <v>(1000*500*350)</v>
          </cell>
          <cell r="D834">
            <v>4</v>
          </cell>
          <cell r="E834" t="str">
            <v>EA</v>
          </cell>
        </row>
        <row r="835">
          <cell r="A835" t="str">
            <v>-2</v>
          </cell>
          <cell r="B835" t="str">
            <v>교명판</v>
          </cell>
          <cell r="D835">
            <v>2</v>
          </cell>
          <cell r="E835" t="str">
            <v>EA</v>
          </cell>
        </row>
        <row r="836">
          <cell r="A836" t="str">
            <v>-3</v>
          </cell>
          <cell r="B836" t="str">
            <v>설명판</v>
          </cell>
          <cell r="C836" t="str">
            <v>(500X300X10)</v>
          </cell>
          <cell r="D836">
            <v>2</v>
          </cell>
          <cell r="E836" t="str">
            <v>EA</v>
          </cell>
        </row>
        <row r="837">
          <cell r="A837" t="str">
            <v>k</v>
          </cell>
          <cell r="B837" t="str">
            <v>전선관</v>
          </cell>
          <cell r="C837" t="str">
            <v>P.V.C PIPE</v>
          </cell>
          <cell r="D837">
            <v>42</v>
          </cell>
          <cell r="E837" t="str">
            <v>M</v>
          </cell>
        </row>
        <row r="838">
          <cell r="A838" t="str">
            <v>l</v>
          </cell>
          <cell r="B838" t="str">
            <v>신축이음</v>
          </cell>
        </row>
        <row r="839">
          <cell r="A839" t="str">
            <v>-1</v>
          </cell>
          <cell r="B839" t="str">
            <v>스치로폴</v>
          </cell>
          <cell r="C839" t="str">
            <v>(시공이음T=10M)</v>
          </cell>
          <cell r="D839">
            <v>47</v>
          </cell>
          <cell r="E839" t="str">
            <v>㎡</v>
          </cell>
        </row>
        <row r="840">
          <cell r="A840" t="str">
            <v>-2</v>
          </cell>
          <cell r="B840" t="str">
            <v>스치로폴</v>
          </cell>
          <cell r="C840" t="str">
            <v>(신축이음T=20M/M)</v>
          </cell>
          <cell r="D840">
            <v>15</v>
          </cell>
          <cell r="E840" t="str">
            <v>㎡</v>
          </cell>
        </row>
        <row r="841">
          <cell r="A841" t="str">
            <v>m</v>
          </cell>
          <cell r="B841" t="str">
            <v>다월바설치</v>
          </cell>
          <cell r="D841">
            <v>100</v>
          </cell>
          <cell r="E841" t="str">
            <v>EA</v>
          </cell>
        </row>
        <row r="842">
          <cell r="A842" t="str">
            <v>n</v>
          </cell>
          <cell r="B842" t="str">
            <v>자재비</v>
          </cell>
        </row>
        <row r="843">
          <cell r="A843" t="str">
            <v>-1</v>
          </cell>
          <cell r="B843" t="str">
            <v>레미콘</v>
          </cell>
          <cell r="C843" t="str">
            <v>25-240-12</v>
          </cell>
          <cell r="D843">
            <v>1032</v>
          </cell>
          <cell r="E843" t="str">
            <v>㎥</v>
          </cell>
        </row>
        <row r="844">
          <cell r="A844" t="str">
            <v>-2</v>
          </cell>
          <cell r="B844" t="str">
            <v>레미콘</v>
          </cell>
          <cell r="C844" t="str">
            <v>25-210-12</v>
          </cell>
          <cell r="D844">
            <v>13</v>
          </cell>
          <cell r="E844" t="str">
            <v>㎥</v>
          </cell>
        </row>
        <row r="845">
          <cell r="A845" t="str">
            <v>-3</v>
          </cell>
          <cell r="B845" t="str">
            <v>레미콘</v>
          </cell>
          <cell r="C845" t="str">
            <v>40-160-8</v>
          </cell>
          <cell r="D845">
            <v>21</v>
          </cell>
          <cell r="E845" t="str">
            <v>㎥</v>
          </cell>
        </row>
        <row r="846">
          <cell r="A846" t="str">
            <v>-4</v>
          </cell>
          <cell r="B846" t="str">
            <v>철근</v>
          </cell>
          <cell r="C846" t="str">
            <v>SD30 D16M/M 이상</v>
          </cell>
          <cell r="D846">
            <v>149.97800000000001</v>
          </cell>
          <cell r="E846" t="str">
            <v>TON</v>
          </cell>
        </row>
        <row r="847">
          <cell r="A847" t="str">
            <v>-5</v>
          </cell>
          <cell r="B847" t="str">
            <v>철근</v>
          </cell>
          <cell r="C847" t="str">
            <v>SD30 D13M/M</v>
          </cell>
          <cell r="D847">
            <v>12.593999999999999</v>
          </cell>
          <cell r="E847" t="str">
            <v>TON</v>
          </cell>
        </row>
        <row r="848">
          <cell r="A848" t="str">
            <v>3.07</v>
          </cell>
          <cell r="B848" t="str">
            <v>각생교(RC RAHMEN</v>
          </cell>
          <cell r="C848" t="str">
            <v>)L=28.0, B=21.0</v>
          </cell>
        </row>
        <row r="849">
          <cell r="A849" t="str">
            <v>a</v>
          </cell>
          <cell r="B849" t="str">
            <v>토  공</v>
          </cell>
        </row>
        <row r="850">
          <cell r="A850" t="str">
            <v>-1</v>
          </cell>
          <cell r="B850" t="str">
            <v>구조물터파기</v>
          </cell>
          <cell r="C850" t="str">
            <v>(육상토사:0-4M)</v>
          </cell>
          <cell r="D850">
            <v>1438</v>
          </cell>
          <cell r="E850" t="str">
            <v>㎥</v>
          </cell>
        </row>
        <row r="851">
          <cell r="A851" t="str">
            <v>-2</v>
          </cell>
          <cell r="B851" t="str">
            <v>구조물터파기</v>
          </cell>
          <cell r="C851" t="str">
            <v>(육상토사:4m이상)</v>
          </cell>
          <cell r="D851">
            <v>1513</v>
          </cell>
          <cell r="E851" t="str">
            <v>㎥</v>
          </cell>
        </row>
        <row r="852">
          <cell r="A852" t="str">
            <v>-3</v>
          </cell>
          <cell r="B852" t="str">
            <v>구조물터파기</v>
          </cell>
          <cell r="C852" t="str">
            <v>(수중토사:0-4M)</v>
          </cell>
          <cell r="D852">
            <v>1040</v>
          </cell>
          <cell r="E852" t="str">
            <v>㎥</v>
          </cell>
        </row>
        <row r="853">
          <cell r="A853" t="str">
            <v>-4</v>
          </cell>
          <cell r="B853" t="str">
            <v>되메우기및다짐</v>
          </cell>
          <cell r="C853" t="str">
            <v>(인력30%+기계70%)</v>
          </cell>
          <cell r="D853">
            <v>2990</v>
          </cell>
          <cell r="E853" t="str">
            <v>㎥</v>
          </cell>
        </row>
        <row r="854">
          <cell r="A854" t="str">
            <v>-5</v>
          </cell>
          <cell r="B854" t="str">
            <v>뒷채움및다짐</v>
          </cell>
          <cell r="D854">
            <v>691</v>
          </cell>
          <cell r="E854" t="str">
            <v>㎥</v>
          </cell>
        </row>
        <row r="855">
          <cell r="A855" t="str">
            <v>-6</v>
          </cell>
          <cell r="B855" t="str">
            <v>물푸기</v>
          </cell>
          <cell r="C855" t="str">
            <v>(교량등대형구조물)</v>
          </cell>
          <cell r="D855">
            <v>33</v>
          </cell>
          <cell r="E855" t="str">
            <v>HR</v>
          </cell>
        </row>
        <row r="856">
          <cell r="A856" t="str">
            <v>b</v>
          </cell>
          <cell r="B856" t="str">
            <v>콘크리트타설</v>
          </cell>
        </row>
        <row r="857">
          <cell r="A857" t="str">
            <v>-1</v>
          </cell>
          <cell r="B857" t="str">
            <v>무근콘크리트타설</v>
          </cell>
          <cell r="C857" t="str">
            <v>(진동기제외)</v>
          </cell>
          <cell r="D857">
            <v>158</v>
          </cell>
          <cell r="E857" t="str">
            <v>㎥</v>
          </cell>
        </row>
        <row r="858">
          <cell r="A858" t="str">
            <v>-2</v>
          </cell>
          <cell r="B858" t="str">
            <v>철근콘크리트타설</v>
          </cell>
          <cell r="C858" t="str">
            <v>펌프카타설(0-15M)</v>
          </cell>
          <cell r="D858">
            <v>1400</v>
          </cell>
          <cell r="E858" t="str">
            <v>㎥</v>
          </cell>
        </row>
        <row r="859">
          <cell r="A859" t="str">
            <v>c</v>
          </cell>
          <cell r="B859" t="str">
            <v>스페이셔설치</v>
          </cell>
        </row>
        <row r="860">
          <cell r="A860" t="str">
            <v>-1</v>
          </cell>
          <cell r="B860" t="str">
            <v>스페이셔설치</v>
          </cell>
          <cell r="C860" t="str">
            <v>벽체용</v>
          </cell>
          <cell r="D860">
            <v>1039</v>
          </cell>
          <cell r="E860" t="str">
            <v>㎡</v>
          </cell>
        </row>
        <row r="861">
          <cell r="A861" t="str">
            <v>-2</v>
          </cell>
          <cell r="B861" t="str">
            <v>스페이서설치</v>
          </cell>
          <cell r="C861" t="str">
            <v>슬라브용</v>
          </cell>
          <cell r="D861">
            <v>1124</v>
          </cell>
          <cell r="E861" t="str">
            <v>㎡</v>
          </cell>
        </row>
        <row r="862">
          <cell r="A862" t="str">
            <v>d</v>
          </cell>
          <cell r="B862" t="str">
            <v>철근가공조립</v>
          </cell>
          <cell r="C862" t="str">
            <v>(복잡)</v>
          </cell>
          <cell r="D862">
            <v>226.41900000000001</v>
          </cell>
          <cell r="E862" t="str">
            <v>TON</v>
          </cell>
        </row>
        <row r="863">
          <cell r="A863" t="str">
            <v>e</v>
          </cell>
          <cell r="B863" t="str">
            <v>합판거푸집</v>
          </cell>
        </row>
        <row r="864">
          <cell r="A864" t="str">
            <v>-1</v>
          </cell>
          <cell r="B864" t="str">
            <v>합판거푸집</v>
          </cell>
          <cell r="C864" t="str">
            <v>(3회)0-7M</v>
          </cell>
          <cell r="D864">
            <v>1583</v>
          </cell>
          <cell r="E864" t="str">
            <v>㎡</v>
          </cell>
        </row>
        <row r="865">
          <cell r="A865" t="str">
            <v>-2</v>
          </cell>
          <cell r="B865" t="str">
            <v>합판거푸집</v>
          </cell>
          <cell r="C865" t="str">
            <v>(소형4회)</v>
          </cell>
          <cell r="D865">
            <v>286</v>
          </cell>
          <cell r="E865" t="str">
            <v>㎡</v>
          </cell>
        </row>
        <row r="866">
          <cell r="A866" t="str">
            <v>-3</v>
          </cell>
          <cell r="B866" t="str">
            <v>합판거푸집</v>
          </cell>
          <cell r="C866" t="str">
            <v>(소형6회)</v>
          </cell>
          <cell r="D866">
            <v>24</v>
          </cell>
          <cell r="E866" t="str">
            <v>㎡</v>
          </cell>
        </row>
        <row r="867">
          <cell r="A867" t="str">
            <v>f</v>
          </cell>
          <cell r="B867" t="str">
            <v>비계</v>
          </cell>
          <cell r="C867" t="str">
            <v>(강관)0-30M</v>
          </cell>
          <cell r="D867">
            <v>706</v>
          </cell>
          <cell r="E867" t="str">
            <v>㎡</v>
          </cell>
        </row>
        <row r="868">
          <cell r="A868" t="str">
            <v>g</v>
          </cell>
          <cell r="B868" t="str">
            <v>강관동바리</v>
          </cell>
          <cell r="C868" t="str">
            <v>(교량용)</v>
          </cell>
          <cell r="D868">
            <v>2670</v>
          </cell>
          <cell r="E868" t="str">
            <v>공㎥</v>
          </cell>
        </row>
        <row r="869">
          <cell r="A869" t="str">
            <v>h</v>
          </cell>
          <cell r="B869" t="str">
            <v>표면처리공</v>
          </cell>
        </row>
        <row r="870">
          <cell r="A870" t="str">
            <v>-1</v>
          </cell>
          <cell r="B870" t="str">
            <v>아스팔트방수</v>
          </cell>
          <cell r="C870" t="str">
            <v>(배면방수)</v>
          </cell>
          <cell r="D870">
            <v>263</v>
          </cell>
          <cell r="E870" t="str">
            <v>M2</v>
          </cell>
        </row>
        <row r="871">
          <cell r="A871" t="str">
            <v>-2</v>
          </cell>
          <cell r="B871" t="str">
            <v>면고르기</v>
          </cell>
          <cell r="C871" t="str">
            <v>DECK FINISHER</v>
          </cell>
          <cell r="D871">
            <v>454</v>
          </cell>
          <cell r="E871" t="str">
            <v>㎡</v>
          </cell>
        </row>
        <row r="872">
          <cell r="A872" t="str">
            <v>-3</v>
          </cell>
          <cell r="B872" t="str">
            <v>슬라브양생</v>
          </cell>
          <cell r="C872" t="str">
            <v>(도막양생)</v>
          </cell>
          <cell r="D872">
            <v>454</v>
          </cell>
          <cell r="E872" t="str">
            <v>㎡</v>
          </cell>
        </row>
        <row r="873">
          <cell r="A873" t="str">
            <v>-4</v>
          </cell>
          <cell r="B873" t="str">
            <v>교면방수</v>
          </cell>
          <cell r="C873" t="str">
            <v>(도막방수)</v>
          </cell>
          <cell r="D873">
            <v>454</v>
          </cell>
          <cell r="E873" t="str">
            <v>㎡</v>
          </cell>
        </row>
        <row r="874">
          <cell r="A874" t="str">
            <v>i</v>
          </cell>
          <cell r="B874" t="str">
            <v>교량용집수구</v>
          </cell>
        </row>
        <row r="875">
          <cell r="A875" t="str">
            <v>-1</v>
          </cell>
          <cell r="B875" t="str">
            <v>집수구</v>
          </cell>
          <cell r="C875" t="str">
            <v>(주철)</v>
          </cell>
          <cell r="D875">
            <v>2</v>
          </cell>
          <cell r="E875" t="str">
            <v>EA</v>
          </cell>
        </row>
        <row r="876">
          <cell r="A876" t="str">
            <v>-2</v>
          </cell>
          <cell r="B876" t="str">
            <v>하천용배수구</v>
          </cell>
          <cell r="C876" t="str">
            <v>(아연도강관D=150MM)</v>
          </cell>
          <cell r="D876">
            <v>3</v>
          </cell>
          <cell r="E876" t="str">
            <v>M</v>
          </cell>
        </row>
        <row r="877">
          <cell r="A877" t="str">
            <v>j</v>
          </cell>
          <cell r="B877" t="str">
            <v>교량명판공</v>
          </cell>
        </row>
        <row r="878">
          <cell r="A878" t="str">
            <v>-1</v>
          </cell>
          <cell r="B878" t="str">
            <v>교명주</v>
          </cell>
          <cell r="C878" t="str">
            <v>(1000*500*350)</v>
          </cell>
          <cell r="D878">
            <v>4</v>
          </cell>
          <cell r="E878" t="str">
            <v>EA</v>
          </cell>
        </row>
        <row r="879">
          <cell r="A879" t="str">
            <v>-2</v>
          </cell>
          <cell r="B879" t="str">
            <v>교명판</v>
          </cell>
          <cell r="D879">
            <v>2</v>
          </cell>
          <cell r="E879" t="str">
            <v>EA</v>
          </cell>
        </row>
        <row r="880">
          <cell r="A880" t="str">
            <v>-3</v>
          </cell>
          <cell r="B880" t="str">
            <v>설명판</v>
          </cell>
          <cell r="C880" t="str">
            <v>(500X300X10)</v>
          </cell>
          <cell r="D880">
            <v>2</v>
          </cell>
          <cell r="E880" t="str">
            <v>EA</v>
          </cell>
        </row>
        <row r="881">
          <cell r="A881" t="str">
            <v>k</v>
          </cell>
          <cell r="B881" t="str">
            <v>전선관</v>
          </cell>
          <cell r="C881" t="str">
            <v>P.V.C PIPE</v>
          </cell>
          <cell r="D881">
            <v>55</v>
          </cell>
          <cell r="E881" t="str">
            <v>M</v>
          </cell>
        </row>
        <row r="882">
          <cell r="A882" t="str">
            <v>l</v>
          </cell>
          <cell r="B882" t="str">
            <v>스치로폴</v>
          </cell>
          <cell r="C882" t="str">
            <v>(신축이음T=20M/M)</v>
          </cell>
          <cell r="D882">
            <v>16</v>
          </cell>
          <cell r="E882" t="str">
            <v>㎡</v>
          </cell>
        </row>
        <row r="883">
          <cell r="A883" t="str">
            <v>m</v>
          </cell>
          <cell r="B883" t="str">
            <v>다월바설치</v>
          </cell>
          <cell r="D883">
            <v>106</v>
          </cell>
          <cell r="E883" t="str">
            <v>EA</v>
          </cell>
        </row>
        <row r="884">
          <cell r="A884" t="str">
            <v>n</v>
          </cell>
          <cell r="B884" t="str">
            <v>난  간</v>
          </cell>
        </row>
        <row r="885">
          <cell r="A885" t="str">
            <v>-2</v>
          </cell>
          <cell r="B885" t="str">
            <v>난간</v>
          </cell>
          <cell r="C885" t="str">
            <v>차도용(알루미늄)</v>
          </cell>
          <cell r="D885">
            <v>55</v>
          </cell>
          <cell r="E885" t="str">
            <v>m</v>
          </cell>
        </row>
        <row r="886">
          <cell r="A886" t="str">
            <v>-3</v>
          </cell>
          <cell r="B886" t="str">
            <v>난간</v>
          </cell>
          <cell r="C886" t="str">
            <v>보도용(알루미늄)</v>
          </cell>
          <cell r="D886">
            <v>55</v>
          </cell>
          <cell r="E886" t="str">
            <v>m</v>
          </cell>
        </row>
        <row r="887">
          <cell r="A887" t="str">
            <v>o</v>
          </cell>
          <cell r="B887" t="str">
            <v>자재비</v>
          </cell>
        </row>
        <row r="888">
          <cell r="A888" t="str">
            <v>-1</v>
          </cell>
          <cell r="B888" t="str">
            <v>레미콘</v>
          </cell>
          <cell r="C888" t="str">
            <v>25-240-12</v>
          </cell>
          <cell r="D888">
            <v>1414</v>
          </cell>
          <cell r="E888" t="str">
            <v>㎥</v>
          </cell>
        </row>
        <row r="889">
          <cell r="A889" t="str">
            <v>-2</v>
          </cell>
          <cell r="B889" t="str">
            <v>레미콘</v>
          </cell>
          <cell r="C889" t="str">
            <v>25-210-12</v>
          </cell>
          <cell r="D889">
            <v>1</v>
          </cell>
          <cell r="E889" t="str">
            <v>㎥</v>
          </cell>
        </row>
        <row r="890">
          <cell r="A890" t="str">
            <v>-3</v>
          </cell>
          <cell r="B890" t="str">
            <v>레미콘</v>
          </cell>
          <cell r="C890" t="str">
            <v>40-180-8</v>
          </cell>
          <cell r="D890">
            <v>38</v>
          </cell>
          <cell r="E890" t="str">
            <v>㎥</v>
          </cell>
        </row>
        <row r="891">
          <cell r="A891" t="str">
            <v>-4</v>
          </cell>
          <cell r="B891" t="str">
            <v>레미콘</v>
          </cell>
          <cell r="C891" t="str">
            <v>40-160-8</v>
          </cell>
          <cell r="D891">
            <v>123</v>
          </cell>
          <cell r="E891" t="str">
            <v>㎥</v>
          </cell>
        </row>
        <row r="892">
          <cell r="A892" t="str">
            <v>-5</v>
          </cell>
          <cell r="B892" t="str">
            <v>철근</v>
          </cell>
          <cell r="C892" t="str">
            <v>SD30 D16M/M 이상</v>
          </cell>
          <cell r="D892">
            <v>228.54900000000001</v>
          </cell>
          <cell r="E892" t="str">
            <v>TON</v>
          </cell>
        </row>
        <row r="893">
          <cell r="A893" t="str">
            <v>-6</v>
          </cell>
          <cell r="B893" t="str">
            <v>철근</v>
          </cell>
          <cell r="C893" t="str">
            <v>SD30 D13M/M</v>
          </cell>
          <cell r="D893">
            <v>4.923</v>
          </cell>
          <cell r="E893" t="str">
            <v>TON</v>
          </cell>
        </row>
        <row r="894">
          <cell r="A894" t="str">
            <v>3.08</v>
          </cell>
          <cell r="B894" t="str">
            <v>옹벽공</v>
          </cell>
          <cell r="C894" t="str">
            <v>(블럭식보강토)</v>
          </cell>
        </row>
        <row r="895">
          <cell r="A895" t="str">
            <v>a</v>
          </cell>
          <cell r="B895" t="str">
            <v>구조물터파기</v>
          </cell>
          <cell r="C895" t="str">
            <v>(육상토사:0-2M)</v>
          </cell>
          <cell r="D895">
            <v>1757</v>
          </cell>
          <cell r="E895" t="str">
            <v>㎥</v>
          </cell>
        </row>
        <row r="896">
          <cell r="A896" t="str">
            <v>b</v>
          </cell>
          <cell r="B896" t="str">
            <v>되메우기및다짐</v>
          </cell>
          <cell r="C896" t="str">
            <v>(인력50%+기계50%)</v>
          </cell>
          <cell r="D896">
            <v>158</v>
          </cell>
          <cell r="E896" t="str">
            <v>㎥</v>
          </cell>
        </row>
        <row r="897">
          <cell r="A897" t="str">
            <v>c</v>
          </cell>
          <cell r="B897" t="str">
            <v>기초쇄석</v>
          </cell>
          <cell r="C897" t="str">
            <v>(현장암유용)</v>
          </cell>
          <cell r="D897">
            <v>174</v>
          </cell>
          <cell r="E897" t="str">
            <v>㎥</v>
          </cell>
        </row>
        <row r="898">
          <cell r="A898" t="str">
            <v>d</v>
          </cell>
          <cell r="B898" t="str">
            <v>보강토다짐</v>
          </cell>
          <cell r="C898" t="str">
            <v>(인력30%+기계70%)</v>
          </cell>
          <cell r="D898">
            <v>29643</v>
          </cell>
          <cell r="E898" t="str">
            <v>㎥</v>
          </cell>
        </row>
        <row r="899">
          <cell r="A899" t="str">
            <v>e</v>
          </cell>
          <cell r="B899" t="str">
            <v>보강토옹벽</v>
          </cell>
          <cell r="C899" t="str">
            <v>(H=1.0M~7.0M)</v>
          </cell>
          <cell r="D899">
            <v>5855</v>
          </cell>
          <cell r="E899" t="str">
            <v>㎡</v>
          </cell>
        </row>
        <row r="900">
          <cell r="A900" t="str">
            <v>4.</v>
          </cell>
          <cell r="B900" t="str">
            <v>포 장 공</v>
          </cell>
        </row>
        <row r="901">
          <cell r="A901" t="str">
            <v>4.01</v>
          </cell>
          <cell r="B901" t="str">
            <v>동상방지층</v>
          </cell>
        </row>
        <row r="902">
          <cell r="A902" t="str">
            <v>a</v>
          </cell>
          <cell r="B902" t="str">
            <v>동상방지층생산및운반</v>
          </cell>
          <cell r="C902" t="str">
            <v>(현장암유용)</v>
          </cell>
          <cell r="D902">
            <v>27696</v>
          </cell>
          <cell r="E902" t="str">
            <v>㎥</v>
          </cell>
        </row>
        <row r="903">
          <cell r="A903" t="str">
            <v>b</v>
          </cell>
          <cell r="B903" t="str">
            <v>동상방지층포설및다짐</v>
          </cell>
          <cell r="C903" t="str">
            <v>(T=20cm)</v>
          </cell>
          <cell r="D903">
            <v>27696</v>
          </cell>
          <cell r="E903" t="str">
            <v>㎥</v>
          </cell>
        </row>
        <row r="904">
          <cell r="A904" t="str">
            <v>4.02</v>
          </cell>
          <cell r="B904" t="str">
            <v>보조기층</v>
          </cell>
        </row>
        <row r="905">
          <cell r="A905" t="str">
            <v>a</v>
          </cell>
          <cell r="B905" t="str">
            <v>보조기층생산및운반</v>
          </cell>
          <cell r="C905" t="str">
            <v>(현장암유용)</v>
          </cell>
          <cell r="D905">
            <v>36412</v>
          </cell>
          <cell r="E905" t="str">
            <v>㎥</v>
          </cell>
        </row>
        <row r="906">
          <cell r="A906" t="str">
            <v>b</v>
          </cell>
          <cell r="B906" t="str">
            <v>보조기층포설및다짐</v>
          </cell>
          <cell r="C906" t="str">
            <v>(T=25cm)</v>
          </cell>
          <cell r="D906">
            <v>35630</v>
          </cell>
          <cell r="E906" t="str">
            <v>㎥</v>
          </cell>
        </row>
        <row r="907">
          <cell r="A907" t="str">
            <v>4.03</v>
          </cell>
          <cell r="B907" t="str">
            <v>프라임코팅</v>
          </cell>
          <cell r="C907" t="str">
            <v>(MC-1,75/a)</v>
          </cell>
          <cell r="D907">
            <v>1184</v>
          </cell>
          <cell r="E907" t="str">
            <v>a</v>
          </cell>
        </row>
        <row r="908">
          <cell r="A908" t="str">
            <v>4.04</v>
          </cell>
          <cell r="B908" t="str">
            <v>기층</v>
          </cell>
        </row>
        <row r="909">
          <cell r="A909" t="str">
            <v>a</v>
          </cell>
          <cell r="B909" t="str">
            <v>기층포설및다짐</v>
          </cell>
          <cell r="C909" t="str">
            <v>(t=15cm)</v>
          </cell>
          <cell r="D909">
            <v>931</v>
          </cell>
          <cell r="E909" t="str">
            <v>a</v>
          </cell>
        </row>
        <row r="910">
          <cell r="A910" t="str">
            <v>b</v>
          </cell>
          <cell r="B910" t="str">
            <v>포설및다짐</v>
          </cell>
          <cell r="C910" t="str">
            <v>(T=10cm)</v>
          </cell>
          <cell r="D910">
            <v>26</v>
          </cell>
          <cell r="E910" t="str">
            <v>a</v>
          </cell>
        </row>
        <row r="911">
          <cell r="A911" t="str">
            <v>4.05</v>
          </cell>
          <cell r="B911" t="str">
            <v>택코팅</v>
          </cell>
          <cell r="C911" t="str">
            <v>(RSC-4:30L/a)</v>
          </cell>
          <cell r="D911">
            <v>3755</v>
          </cell>
          <cell r="E911" t="str">
            <v>a</v>
          </cell>
        </row>
        <row r="912">
          <cell r="A912" t="str">
            <v>4.06</v>
          </cell>
          <cell r="B912" t="str">
            <v>표층</v>
          </cell>
        </row>
        <row r="913">
          <cell r="A913" t="str">
            <v>a</v>
          </cell>
          <cell r="B913" t="str">
            <v>포설및다짐</v>
          </cell>
          <cell r="C913" t="str">
            <v>(T=5㎝)</v>
          </cell>
          <cell r="D913">
            <v>28</v>
          </cell>
          <cell r="E913" t="str">
            <v>a</v>
          </cell>
        </row>
        <row r="914">
          <cell r="A914" t="str">
            <v>b</v>
          </cell>
          <cell r="B914" t="str">
            <v>포설및다짐</v>
          </cell>
          <cell r="C914" t="str">
            <v>(T=10㎝)</v>
          </cell>
          <cell r="D914">
            <v>1142</v>
          </cell>
          <cell r="E914" t="str">
            <v>a</v>
          </cell>
        </row>
        <row r="915">
          <cell r="A915" t="str">
            <v>c</v>
          </cell>
          <cell r="B915" t="str">
            <v>포설및다짐</v>
          </cell>
          <cell r="C915" t="str">
            <v>(T=8Cm)</v>
          </cell>
          <cell r="D915">
            <v>194</v>
          </cell>
          <cell r="E915" t="str">
            <v>a</v>
          </cell>
        </row>
        <row r="916">
          <cell r="A916" t="str">
            <v>4.07</v>
          </cell>
          <cell r="B916" t="str">
            <v>노견토</v>
          </cell>
          <cell r="C916" t="str">
            <v>(포설및다짐)</v>
          </cell>
          <cell r="D916">
            <v>782</v>
          </cell>
          <cell r="E916" t="str">
            <v>㎥</v>
          </cell>
        </row>
        <row r="917">
          <cell r="A917" t="str">
            <v>4.08</v>
          </cell>
          <cell r="B917" t="str">
            <v>투수콘크리트포장</v>
          </cell>
          <cell r="C917" t="str">
            <v>T=7cm</v>
          </cell>
          <cell r="D917">
            <v>59</v>
          </cell>
          <cell r="E917" t="str">
            <v>㎡</v>
          </cell>
        </row>
        <row r="918">
          <cell r="A918" t="str">
            <v>4.09</v>
          </cell>
          <cell r="B918" t="str">
            <v>자재비</v>
          </cell>
        </row>
        <row r="919">
          <cell r="A919" t="str">
            <v>a</v>
          </cell>
          <cell r="B919" t="str">
            <v>아스팔트</v>
          </cell>
          <cell r="C919" t="str">
            <v>MC-1</v>
          </cell>
          <cell r="D919">
            <v>453</v>
          </cell>
          <cell r="E919" t="str">
            <v>D/M</v>
          </cell>
        </row>
        <row r="920">
          <cell r="A920" t="str">
            <v>b</v>
          </cell>
          <cell r="B920" t="str">
            <v>아스팔트</v>
          </cell>
          <cell r="C920" t="str">
            <v>RSC-4</v>
          </cell>
          <cell r="D920">
            <v>383</v>
          </cell>
          <cell r="E920" t="str">
            <v>D/M</v>
          </cell>
        </row>
        <row r="921">
          <cell r="A921" t="str">
            <v>c</v>
          </cell>
          <cell r="B921" t="str">
            <v>아스콘</v>
          </cell>
          <cell r="C921" t="str">
            <v>표층용(#78)</v>
          </cell>
          <cell r="D921">
            <v>31000</v>
          </cell>
          <cell r="E921" t="str">
            <v>TON</v>
          </cell>
        </row>
        <row r="922">
          <cell r="A922" t="str">
            <v>d</v>
          </cell>
          <cell r="B922" t="str">
            <v>아스콘</v>
          </cell>
          <cell r="C922" t="str">
            <v>기층용(#467)</v>
          </cell>
          <cell r="D922">
            <v>33371</v>
          </cell>
          <cell r="E922" t="str">
            <v>TON</v>
          </cell>
        </row>
        <row r="923">
          <cell r="A923" t="str">
            <v>5.</v>
          </cell>
          <cell r="B923" t="str">
            <v>부대공</v>
          </cell>
        </row>
        <row r="924">
          <cell r="A924" t="str">
            <v>5.01</v>
          </cell>
          <cell r="B924" t="str">
            <v>차선도색</v>
          </cell>
        </row>
        <row r="925">
          <cell r="A925" t="str">
            <v>a</v>
          </cell>
          <cell r="B925" t="str">
            <v>차선도색</v>
          </cell>
          <cell r="C925" t="str">
            <v>(가열형:백색)</v>
          </cell>
          <cell r="D925">
            <v>1792</v>
          </cell>
          <cell r="E925" t="str">
            <v>㎡</v>
          </cell>
        </row>
        <row r="926">
          <cell r="A926" t="str">
            <v>b</v>
          </cell>
          <cell r="B926" t="str">
            <v>차선도색</v>
          </cell>
          <cell r="C926" t="str">
            <v>(가열형:황색)</v>
          </cell>
          <cell r="D926">
            <v>2888</v>
          </cell>
          <cell r="E926" t="str">
            <v>㎡</v>
          </cell>
        </row>
        <row r="927">
          <cell r="A927" t="str">
            <v>c</v>
          </cell>
          <cell r="B927" t="str">
            <v>차선도색</v>
          </cell>
          <cell r="C927" t="str">
            <v>(상온형:백색)</v>
          </cell>
          <cell r="D927">
            <v>727</v>
          </cell>
          <cell r="E927" t="str">
            <v>㎡</v>
          </cell>
        </row>
        <row r="928">
          <cell r="A928" t="str">
            <v>d</v>
          </cell>
          <cell r="B928" t="str">
            <v>차선도색</v>
          </cell>
          <cell r="C928" t="str">
            <v>(상온형:황색)</v>
          </cell>
          <cell r="D928">
            <v>1663</v>
          </cell>
          <cell r="E928" t="str">
            <v>㎡</v>
          </cell>
        </row>
        <row r="929">
          <cell r="A929" t="str">
            <v>5.02</v>
          </cell>
          <cell r="B929" t="str">
            <v>표지판</v>
          </cell>
        </row>
        <row r="930">
          <cell r="A930" t="str">
            <v>a</v>
          </cell>
          <cell r="B930" t="str">
            <v>교통표지판</v>
          </cell>
          <cell r="C930" t="str">
            <v>삼각(1200*1039)</v>
          </cell>
          <cell r="D930">
            <v>11</v>
          </cell>
          <cell r="E930" t="str">
            <v>조</v>
          </cell>
        </row>
        <row r="931">
          <cell r="A931" t="str">
            <v>c</v>
          </cell>
          <cell r="B931" t="str">
            <v>교통표지판</v>
          </cell>
          <cell r="C931" t="str">
            <v>(부착용)D=600</v>
          </cell>
          <cell r="D931">
            <v>5</v>
          </cell>
          <cell r="E931" t="str">
            <v>조</v>
          </cell>
        </row>
        <row r="932">
          <cell r="A932" t="str">
            <v>d</v>
          </cell>
          <cell r="B932" t="str">
            <v>교통표지판</v>
          </cell>
          <cell r="C932" t="str">
            <v>원형 1200</v>
          </cell>
          <cell r="D932">
            <v>6</v>
          </cell>
          <cell r="E932" t="str">
            <v>조</v>
          </cell>
        </row>
        <row r="933">
          <cell r="A933" t="str">
            <v>e</v>
          </cell>
          <cell r="B933" t="str">
            <v>교통표지판</v>
          </cell>
          <cell r="C933" t="str">
            <v>오각</v>
          </cell>
          <cell r="D933">
            <v>4</v>
          </cell>
          <cell r="E933" t="str">
            <v>조</v>
          </cell>
        </row>
        <row r="934">
          <cell r="A934" t="str">
            <v>h</v>
          </cell>
          <cell r="B934" t="str">
            <v>교통표지판(1.2X1.2)</v>
          </cell>
          <cell r="C934" t="str">
            <v>삼각+삼각</v>
          </cell>
          <cell r="D934">
            <v>3</v>
          </cell>
          <cell r="E934" t="str">
            <v>조</v>
          </cell>
        </row>
        <row r="935">
          <cell r="A935" t="str">
            <v>i</v>
          </cell>
          <cell r="B935" t="str">
            <v>교통표지판(1.5X1.2)</v>
          </cell>
          <cell r="C935" t="str">
            <v>삼각+삼각</v>
          </cell>
          <cell r="D935">
            <v>2</v>
          </cell>
          <cell r="E935" t="str">
            <v>조</v>
          </cell>
        </row>
        <row r="936">
          <cell r="A936" t="str">
            <v>b</v>
          </cell>
          <cell r="B936" t="str">
            <v>교통표지판(6,8차선용</v>
          </cell>
          <cell r="C936" t="str">
            <v>삼각(1500*1299)</v>
          </cell>
          <cell r="D936">
            <v>14</v>
          </cell>
          <cell r="E936" t="str">
            <v>조</v>
          </cell>
        </row>
        <row r="937">
          <cell r="A937" t="str">
            <v>f</v>
          </cell>
          <cell r="B937" t="str">
            <v>교통표지판(6,8차로)</v>
          </cell>
          <cell r="C937" t="str">
            <v>삼각+사각</v>
          </cell>
          <cell r="D937">
            <v>2</v>
          </cell>
          <cell r="E937" t="str">
            <v>조</v>
          </cell>
        </row>
        <row r="938">
          <cell r="A938" t="str">
            <v>g</v>
          </cell>
          <cell r="B938" t="str">
            <v>교통표지판(6,8차로용</v>
          </cell>
          <cell r="C938" t="str">
            <v>삼각+원형</v>
          </cell>
          <cell r="D938">
            <v>4</v>
          </cell>
          <cell r="E938" t="str">
            <v>조</v>
          </cell>
        </row>
        <row r="939">
          <cell r="A939" t="str">
            <v>i</v>
          </cell>
          <cell r="B939" t="str">
            <v>안내표지판</v>
          </cell>
          <cell r="C939" t="str">
            <v>출구점표지판</v>
          </cell>
          <cell r="D939">
            <v>2</v>
          </cell>
          <cell r="E939" t="str">
            <v>조</v>
          </cell>
        </row>
        <row r="940">
          <cell r="A940" t="str">
            <v>j</v>
          </cell>
          <cell r="B940" t="str">
            <v>안내표지판</v>
          </cell>
          <cell r="C940" t="str">
            <v>2 방향표지판</v>
          </cell>
          <cell r="D940">
            <v>8</v>
          </cell>
          <cell r="E940" t="str">
            <v>조</v>
          </cell>
        </row>
        <row r="941">
          <cell r="A941" t="str">
            <v>k</v>
          </cell>
          <cell r="B941" t="str">
            <v>안내표지판</v>
          </cell>
          <cell r="C941" t="str">
            <v>3 방향표지판</v>
          </cell>
          <cell r="D941">
            <v>5</v>
          </cell>
          <cell r="E941" t="str">
            <v>조</v>
          </cell>
        </row>
        <row r="942">
          <cell r="A942" t="str">
            <v>l</v>
          </cell>
          <cell r="B942" t="str">
            <v>갈매기표지판</v>
          </cell>
          <cell r="C942" t="str">
            <v>토공용</v>
          </cell>
          <cell r="D942">
            <v>34</v>
          </cell>
          <cell r="E942" t="str">
            <v>EA</v>
          </cell>
        </row>
        <row r="943">
          <cell r="A943" t="str">
            <v>m</v>
          </cell>
          <cell r="B943" t="str">
            <v>갈매기표지판</v>
          </cell>
          <cell r="D943">
            <v>20</v>
          </cell>
          <cell r="E943" t="str">
            <v>EA</v>
          </cell>
        </row>
        <row r="944">
          <cell r="A944" t="str">
            <v>5.03</v>
          </cell>
          <cell r="B944" t="str">
            <v>가드레일</v>
          </cell>
        </row>
        <row r="945">
          <cell r="A945" t="str">
            <v>a</v>
          </cell>
          <cell r="B945" t="str">
            <v>레일포스트</v>
          </cell>
          <cell r="C945" t="str">
            <v>(L=2.2 M)</v>
          </cell>
          <cell r="D945">
            <v>869</v>
          </cell>
          <cell r="E945" t="str">
            <v>EA</v>
          </cell>
        </row>
        <row r="946">
          <cell r="A946" t="str">
            <v>b</v>
          </cell>
          <cell r="B946" t="str">
            <v>가드레일</v>
          </cell>
          <cell r="C946" t="str">
            <v>(표준레일)</v>
          </cell>
          <cell r="D946">
            <v>853</v>
          </cell>
          <cell r="E946" t="str">
            <v>EA</v>
          </cell>
        </row>
        <row r="947">
          <cell r="A947" t="str">
            <v>c</v>
          </cell>
          <cell r="B947" t="str">
            <v>단부레일</v>
          </cell>
          <cell r="D947">
            <v>32</v>
          </cell>
          <cell r="E947" t="str">
            <v>EA</v>
          </cell>
        </row>
        <row r="948">
          <cell r="A948" t="str">
            <v>5.04</v>
          </cell>
          <cell r="B948" t="str">
            <v>데리네이터</v>
          </cell>
        </row>
        <row r="949">
          <cell r="A949" t="str">
            <v>a</v>
          </cell>
          <cell r="B949" t="str">
            <v>가드레일용</v>
          </cell>
          <cell r="D949">
            <v>95</v>
          </cell>
          <cell r="E949" t="str">
            <v>EA</v>
          </cell>
        </row>
        <row r="950">
          <cell r="A950" t="str">
            <v>b</v>
          </cell>
          <cell r="B950" t="str">
            <v>교량용</v>
          </cell>
          <cell r="D950">
            <v>123</v>
          </cell>
          <cell r="E950" t="str">
            <v>EA</v>
          </cell>
        </row>
        <row r="951">
          <cell r="A951" t="str">
            <v>c</v>
          </cell>
          <cell r="B951" t="str">
            <v>토공용</v>
          </cell>
          <cell r="D951">
            <v>206</v>
          </cell>
          <cell r="E951" t="str">
            <v>EA</v>
          </cell>
        </row>
        <row r="952">
          <cell r="A952" t="str">
            <v>d</v>
          </cell>
          <cell r="B952" t="str">
            <v>중앙분리대용</v>
          </cell>
          <cell r="D952">
            <v>302</v>
          </cell>
          <cell r="E952" t="str">
            <v>EA</v>
          </cell>
        </row>
        <row r="953">
          <cell r="A953" t="str">
            <v>e</v>
          </cell>
          <cell r="B953" t="str">
            <v>옹벽용</v>
          </cell>
          <cell r="D953">
            <v>184</v>
          </cell>
          <cell r="E953" t="str">
            <v>EA</v>
          </cell>
        </row>
        <row r="954">
          <cell r="A954" t="str">
            <v>f</v>
          </cell>
          <cell r="B954" t="str">
            <v>도로표지병</v>
          </cell>
          <cell r="C954" t="str">
            <v>중앙선용(153*100*35)</v>
          </cell>
          <cell r="D954">
            <v>562</v>
          </cell>
          <cell r="E954" t="str">
            <v>EA</v>
          </cell>
        </row>
        <row r="955">
          <cell r="A955" t="str">
            <v>5.05</v>
          </cell>
          <cell r="B955" t="str">
            <v>중앙분리대</v>
          </cell>
        </row>
        <row r="956">
          <cell r="A956" t="str">
            <v>a</v>
          </cell>
          <cell r="B956" t="str">
            <v>중앙분리대토공용</v>
          </cell>
          <cell r="C956" t="str">
            <v>구체</v>
          </cell>
          <cell r="D956">
            <v>3747</v>
          </cell>
          <cell r="E956" t="str">
            <v>M</v>
          </cell>
        </row>
        <row r="957">
          <cell r="A957" t="str">
            <v>b</v>
          </cell>
          <cell r="B957" t="str">
            <v>중앙분리대토공용</v>
          </cell>
          <cell r="C957" t="str">
            <v>단부처리</v>
          </cell>
          <cell r="D957">
            <v>2</v>
          </cell>
          <cell r="E957" t="str">
            <v>EA</v>
          </cell>
        </row>
        <row r="958">
          <cell r="A958" t="str">
            <v>c</v>
          </cell>
          <cell r="B958" t="str">
            <v>중앙분리대토공용</v>
          </cell>
          <cell r="C958" t="str">
            <v>조인트마감처리</v>
          </cell>
          <cell r="D958">
            <v>121</v>
          </cell>
          <cell r="E958" t="str">
            <v>EA</v>
          </cell>
        </row>
        <row r="959">
          <cell r="A959" t="str">
            <v>d</v>
          </cell>
          <cell r="B959" t="str">
            <v>중앙분리대교량용</v>
          </cell>
          <cell r="C959" t="str">
            <v>구체</v>
          </cell>
          <cell r="D959">
            <v>909</v>
          </cell>
          <cell r="E959" t="str">
            <v>M</v>
          </cell>
        </row>
        <row r="960">
          <cell r="A960" t="str">
            <v>e</v>
          </cell>
          <cell r="B960" t="str">
            <v>중앙분리대교량용</v>
          </cell>
          <cell r="C960" t="str">
            <v>(조인트마감처리)</v>
          </cell>
          <cell r="D960">
            <v>17</v>
          </cell>
          <cell r="E960" t="str">
            <v>EA</v>
          </cell>
        </row>
        <row r="961">
          <cell r="A961" t="str">
            <v>f</v>
          </cell>
          <cell r="B961" t="str">
            <v>중분대기초</v>
          </cell>
          <cell r="C961" t="str">
            <v>(T=15cm)</v>
          </cell>
          <cell r="D961">
            <v>558</v>
          </cell>
          <cell r="E961" t="str">
            <v>㎥</v>
          </cell>
        </row>
        <row r="962">
          <cell r="A962" t="str">
            <v>5.06</v>
          </cell>
          <cell r="B962" t="str">
            <v>차광망</v>
          </cell>
        </row>
        <row r="963">
          <cell r="A963" t="str">
            <v>a</v>
          </cell>
          <cell r="B963" t="str">
            <v>중앙분리대용</v>
          </cell>
          <cell r="C963" t="str">
            <v>알루미늄</v>
          </cell>
          <cell r="D963">
            <v>940</v>
          </cell>
          <cell r="E963" t="str">
            <v>EA</v>
          </cell>
        </row>
        <row r="964">
          <cell r="A964" t="str">
            <v>b</v>
          </cell>
          <cell r="B964" t="str">
            <v>교량용</v>
          </cell>
          <cell r="C964" t="str">
            <v>플라스틱</v>
          </cell>
          <cell r="D964">
            <v>227</v>
          </cell>
          <cell r="E964" t="str">
            <v>EA</v>
          </cell>
        </row>
        <row r="965">
          <cell r="A965" t="str">
            <v>5.07</v>
          </cell>
          <cell r="B965" t="str">
            <v>절토부점검로</v>
          </cell>
        </row>
        <row r="966">
          <cell r="A966" t="str">
            <v>a</v>
          </cell>
          <cell r="B966" t="str">
            <v>전면부 점검로</v>
          </cell>
          <cell r="C966" t="str">
            <v>(철재계단)</v>
          </cell>
          <cell r="D966">
            <v>522</v>
          </cell>
          <cell r="E966" t="str">
            <v>M</v>
          </cell>
        </row>
        <row r="967">
          <cell r="A967" t="str">
            <v>b</v>
          </cell>
          <cell r="B967" t="str">
            <v>점검용계단</v>
          </cell>
          <cell r="C967" t="str">
            <v>깬잡석계단</v>
          </cell>
          <cell r="D967">
            <v>38</v>
          </cell>
          <cell r="E967" t="str">
            <v>M</v>
          </cell>
        </row>
        <row r="968">
          <cell r="A968" t="str">
            <v>5.08</v>
          </cell>
          <cell r="B968" t="str">
            <v>미끄럼방지포장</v>
          </cell>
          <cell r="D968">
            <v>1144</v>
          </cell>
          <cell r="E968" t="str">
            <v>㎡</v>
          </cell>
        </row>
        <row r="969">
          <cell r="A969" t="str">
            <v>5.09</v>
          </cell>
          <cell r="B969" t="str">
            <v>낙석방지책</v>
          </cell>
        </row>
        <row r="970">
          <cell r="A970" t="str">
            <v>a</v>
          </cell>
          <cell r="B970" t="str">
            <v>낙석방책</v>
          </cell>
          <cell r="C970" t="str">
            <v>일반부</v>
          </cell>
          <cell r="D970">
            <v>2056</v>
          </cell>
          <cell r="E970" t="str">
            <v>M</v>
          </cell>
        </row>
        <row r="971">
          <cell r="A971" t="str">
            <v>b</v>
          </cell>
          <cell r="B971" t="str">
            <v>낙석방책</v>
          </cell>
          <cell r="C971" t="str">
            <v>단  부</v>
          </cell>
          <cell r="D971">
            <v>12</v>
          </cell>
          <cell r="E971" t="str">
            <v>EA</v>
          </cell>
        </row>
        <row r="972">
          <cell r="A972" t="str">
            <v>5.10</v>
          </cell>
          <cell r="B972" t="str">
            <v>도로경계블럭</v>
          </cell>
          <cell r="C972" t="str">
            <v>(150X150X1000)</v>
          </cell>
          <cell r="D972">
            <v>2011</v>
          </cell>
          <cell r="E972" t="str">
            <v>m</v>
          </cell>
        </row>
        <row r="973">
          <cell r="A973" t="str">
            <v>5.11</v>
          </cell>
          <cell r="B973" t="str">
            <v>시공보링비</v>
          </cell>
        </row>
        <row r="974">
          <cell r="A974" t="str">
            <v>a</v>
          </cell>
          <cell r="B974" t="str">
            <v>모래</v>
          </cell>
          <cell r="D974">
            <v>84</v>
          </cell>
          <cell r="E974" t="str">
            <v>M</v>
          </cell>
        </row>
        <row r="975">
          <cell r="A975" t="str">
            <v>b</v>
          </cell>
          <cell r="B975" t="str">
            <v>점토및풍화암</v>
          </cell>
          <cell r="D975">
            <v>202</v>
          </cell>
          <cell r="E975" t="str">
            <v>M</v>
          </cell>
        </row>
        <row r="976">
          <cell r="A976" t="str">
            <v>c</v>
          </cell>
          <cell r="B976" t="str">
            <v>연암</v>
          </cell>
          <cell r="D976">
            <v>45</v>
          </cell>
          <cell r="E976" t="str">
            <v>M</v>
          </cell>
        </row>
        <row r="977">
          <cell r="A977" t="str">
            <v>d</v>
          </cell>
          <cell r="B977" t="str">
            <v>경암</v>
          </cell>
          <cell r="D977">
            <v>40</v>
          </cell>
          <cell r="E977" t="str">
            <v>M</v>
          </cell>
        </row>
        <row r="978">
          <cell r="A978" t="str">
            <v>f</v>
          </cell>
          <cell r="B978" t="str">
            <v>기계기구설치비</v>
          </cell>
          <cell r="D978">
            <v>39</v>
          </cell>
          <cell r="E978" t="str">
            <v>개소</v>
          </cell>
        </row>
        <row r="979">
          <cell r="A979" t="str">
            <v>5.12</v>
          </cell>
          <cell r="B979" t="str">
            <v>공사 진입용 가도</v>
          </cell>
        </row>
        <row r="980">
          <cell r="A980" t="str">
            <v>a</v>
          </cell>
          <cell r="B980" t="str">
            <v>성  토</v>
          </cell>
          <cell r="D980">
            <v>14823</v>
          </cell>
          <cell r="E980" t="str">
            <v>㎥</v>
          </cell>
        </row>
        <row r="981">
          <cell r="A981" t="str">
            <v>b</v>
          </cell>
          <cell r="B981" t="str">
            <v>절  토</v>
          </cell>
          <cell r="D981">
            <v>5649</v>
          </cell>
          <cell r="E981" t="str">
            <v>㎥</v>
          </cell>
        </row>
        <row r="982">
          <cell r="A982" t="str">
            <v>c</v>
          </cell>
          <cell r="B982" t="str">
            <v>용  지</v>
          </cell>
          <cell r="D982">
            <v>4887</v>
          </cell>
          <cell r="E982" t="str">
            <v>M2</v>
          </cell>
        </row>
        <row r="983">
          <cell r="A983" t="str">
            <v>d</v>
          </cell>
          <cell r="B983" t="str">
            <v>가배수관</v>
          </cell>
          <cell r="C983" t="str">
            <v>Φ1000MM</v>
          </cell>
          <cell r="D983">
            <v>22</v>
          </cell>
          <cell r="E983" t="str">
            <v>M</v>
          </cell>
        </row>
        <row r="984">
          <cell r="A984" t="str">
            <v>5.13</v>
          </cell>
          <cell r="B984" t="str">
            <v>현장관리공</v>
          </cell>
        </row>
        <row r="985">
          <cell r="A985" t="str">
            <v>a</v>
          </cell>
          <cell r="B985" t="str">
            <v>가설건물</v>
          </cell>
          <cell r="D985">
            <v>1</v>
          </cell>
          <cell r="E985" t="str">
            <v>식</v>
          </cell>
        </row>
        <row r="986">
          <cell r="A986" t="str">
            <v>b</v>
          </cell>
          <cell r="B986" t="str">
            <v>시험비</v>
          </cell>
          <cell r="D986">
            <v>1</v>
          </cell>
          <cell r="E986" t="str">
            <v>PS</v>
          </cell>
        </row>
        <row r="987">
          <cell r="A987" t="str">
            <v>c</v>
          </cell>
          <cell r="B987" t="str">
            <v>시공측량비</v>
          </cell>
          <cell r="D987">
            <v>1</v>
          </cell>
          <cell r="E987" t="str">
            <v>식</v>
          </cell>
        </row>
        <row r="988">
          <cell r="A988" t="str">
            <v>d</v>
          </cell>
          <cell r="B988" t="str">
            <v>품질관리차량비</v>
          </cell>
          <cell r="D988">
            <v>48</v>
          </cell>
          <cell r="E988" t="str">
            <v>개월</v>
          </cell>
        </row>
        <row r="989">
          <cell r="A989" t="str">
            <v>e</v>
          </cell>
          <cell r="B989" t="str">
            <v>도로대장작성</v>
          </cell>
          <cell r="D989">
            <v>5.4</v>
          </cell>
          <cell r="E989" t="str">
            <v>KM</v>
          </cell>
        </row>
        <row r="990">
          <cell r="A990" t="str">
            <v>5.14</v>
          </cell>
          <cell r="B990" t="str">
            <v>공사안전관리비</v>
          </cell>
        </row>
        <row r="991">
          <cell r="A991" t="str">
            <v>a</v>
          </cell>
          <cell r="B991" t="str">
            <v>공사용표지판</v>
          </cell>
          <cell r="D991">
            <v>1</v>
          </cell>
          <cell r="E991" t="str">
            <v>식</v>
          </cell>
        </row>
        <row r="992">
          <cell r="A992" t="str">
            <v>b</v>
          </cell>
          <cell r="B992" t="str">
            <v>공사용가설휀스</v>
          </cell>
          <cell r="D992">
            <v>1</v>
          </cell>
          <cell r="E992" t="str">
            <v>식</v>
          </cell>
        </row>
        <row r="993">
          <cell r="A993" t="str">
            <v>c</v>
          </cell>
          <cell r="B993" t="str">
            <v>안전휀스</v>
          </cell>
          <cell r="D993">
            <v>640</v>
          </cell>
          <cell r="E993" t="str">
            <v>M</v>
          </cell>
        </row>
        <row r="994">
          <cell r="A994" t="str">
            <v>d</v>
          </cell>
          <cell r="B994" t="str">
            <v>안전관리인</v>
          </cell>
          <cell r="D994">
            <v>48</v>
          </cell>
          <cell r="E994" t="str">
            <v>월</v>
          </cell>
        </row>
        <row r="995">
          <cell r="A995" t="str">
            <v>5.15</v>
          </cell>
          <cell r="B995" t="str">
            <v>기존도로유지보수비</v>
          </cell>
        </row>
        <row r="996">
          <cell r="A996" t="str">
            <v>a</v>
          </cell>
          <cell r="B996" t="str">
            <v>기존도로유지보수비</v>
          </cell>
          <cell r="C996" t="str">
            <v>(아스콘포설및다짐)</v>
          </cell>
          <cell r="D996">
            <v>304</v>
          </cell>
          <cell r="E996" t="str">
            <v>a</v>
          </cell>
        </row>
        <row r="997">
          <cell r="A997" t="str">
            <v>b</v>
          </cell>
          <cell r="B997" t="str">
            <v>기존도로유지보수</v>
          </cell>
          <cell r="C997" t="str">
            <v>(택코팅포설및다짐)</v>
          </cell>
          <cell r="D997">
            <v>304</v>
          </cell>
          <cell r="E997" t="str">
            <v>a</v>
          </cell>
        </row>
        <row r="998">
          <cell r="A998" t="str">
            <v>c</v>
          </cell>
          <cell r="B998" t="str">
            <v>기존도로유지보수비</v>
          </cell>
          <cell r="C998" t="str">
            <v>(신호수)</v>
          </cell>
          <cell r="D998">
            <v>18</v>
          </cell>
          <cell r="E998" t="str">
            <v>일</v>
          </cell>
        </row>
        <row r="999">
          <cell r="A999" t="str">
            <v>d</v>
          </cell>
          <cell r="B999" t="str">
            <v>차선도색</v>
          </cell>
          <cell r="C999" t="str">
            <v>(상온형:백색)</v>
          </cell>
          <cell r="D999">
            <v>1080</v>
          </cell>
          <cell r="E999" t="str">
            <v>㎡</v>
          </cell>
        </row>
        <row r="1000">
          <cell r="A1000" t="str">
            <v>e</v>
          </cell>
          <cell r="B1000" t="str">
            <v>차선도색</v>
          </cell>
          <cell r="C1000" t="str">
            <v>(상온형:황색)</v>
          </cell>
          <cell r="D1000">
            <v>540</v>
          </cell>
          <cell r="E1000" t="str">
            <v>㎡</v>
          </cell>
        </row>
        <row r="1001">
          <cell r="A1001" t="str">
            <v>5.16</v>
          </cell>
          <cell r="B1001" t="str">
            <v>기타공</v>
          </cell>
        </row>
        <row r="1002">
          <cell r="A1002" t="str">
            <v>a</v>
          </cell>
          <cell r="B1002" t="str">
            <v>접도구역경계표주</v>
          </cell>
          <cell r="D1002">
            <v>97</v>
          </cell>
          <cell r="E1002" t="str">
            <v>EA</v>
          </cell>
        </row>
        <row r="1003">
          <cell r="A1003" t="str">
            <v>b</v>
          </cell>
          <cell r="B1003" t="str">
            <v>세륜세차시설</v>
          </cell>
          <cell r="D1003">
            <v>2</v>
          </cell>
          <cell r="E1003" t="str">
            <v>개소</v>
          </cell>
        </row>
        <row r="1004">
          <cell r="A1004" t="str">
            <v>c</v>
          </cell>
          <cell r="B1004" t="str">
            <v>크랏샤설치및해체</v>
          </cell>
          <cell r="D1004">
            <v>1</v>
          </cell>
          <cell r="E1004" t="str">
            <v>식</v>
          </cell>
        </row>
        <row r="1005">
          <cell r="A1005" t="str">
            <v>d</v>
          </cell>
          <cell r="B1005" t="str">
            <v>안전점검비</v>
          </cell>
          <cell r="D1005">
            <v>1</v>
          </cell>
          <cell r="E1005" t="str">
            <v>PS</v>
          </cell>
        </row>
        <row r="1006">
          <cell r="A1006" t="str">
            <v>e</v>
          </cell>
          <cell r="B1006" t="str">
            <v>준공표지판설치</v>
          </cell>
          <cell r="D1006">
            <v>1</v>
          </cell>
          <cell r="E1006" t="str">
            <v>EA</v>
          </cell>
        </row>
        <row r="1007">
          <cell r="A1007" t="str">
            <v>f</v>
          </cell>
          <cell r="B1007" t="str">
            <v>용지업무지원비</v>
          </cell>
          <cell r="D1007">
            <v>54</v>
          </cell>
          <cell r="E1007" t="str">
            <v>개월</v>
          </cell>
        </row>
        <row r="1008">
          <cell r="A1008" t="str">
            <v>g</v>
          </cell>
          <cell r="B1008" t="str">
            <v>준공도서작성비</v>
          </cell>
          <cell r="D1008">
            <v>1</v>
          </cell>
          <cell r="E1008" t="str">
            <v>PS</v>
          </cell>
        </row>
        <row r="1009">
          <cell r="A1009" t="str">
            <v>5.17</v>
          </cell>
          <cell r="B1009" t="str">
            <v>운 반 비</v>
          </cell>
        </row>
        <row r="1010">
          <cell r="A1010" t="str">
            <v>a</v>
          </cell>
          <cell r="B1010" t="str">
            <v>중기운반</v>
          </cell>
          <cell r="D1010">
            <v>1</v>
          </cell>
          <cell r="E1010" t="str">
            <v>식</v>
          </cell>
        </row>
        <row r="1011">
          <cell r="A1011" t="str">
            <v>a</v>
          </cell>
          <cell r="B1011" t="str">
            <v>시멘트운반</v>
          </cell>
          <cell r="C1011" t="str">
            <v>(40KG/대)</v>
          </cell>
          <cell r="D1011">
            <v>1008</v>
          </cell>
          <cell r="E1011" t="str">
            <v>대</v>
          </cell>
        </row>
        <row r="1012">
          <cell r="A1012" t="str">
            <v>b</v>
          </cell>
          <cell r="B1012" t="str">
            <v>철근운반</v>
          </cell>
          <cell r="D1012">
            <v>8940.15</v>
          </cell>
          <cell r="E1012" t="str">
            <v>TON</v>
          </cell>
        </row>
        <row r="1013">
          <cell r="A1013" t="str">
            <v>c</v>
          </cell>
          <cell r="B1013" t="str">
            <v>아스팔트운반</v>
          </cell>
          <cell r="D1013">
            <v>497</v>
          </cell>
          <cell r="E1013" t="str">
            <v>D/M</v>
          </cell>
        </row>
        <row r="1014">
          <cell r="A1014" t="str">
            <v>d</v>
          </cell>
          <cell r="B1014" t="str">
            <v>모래운반</v>
          </cell>
          <cell r="D1014">
            <v>3433</v>
          </cell>
          <cell r="E1014" t="str">
            <v>㎥</v>
          </cell>
        </row>
        <row r="1015">
          <cell r="A1015" t="str">
            <v>5.18</v>
          </cell>
          <cell r="B1015" t="str">
            <v>자재비</v>
          </cell>
        </row>
        <row r="1016">
          <cell r="A1016" t="str">
            <v>a</v>
          </cell>
          <cell r="B1016" t="str">
            <v>레미콘</v>
          </cell>
          <cell r="C1016" t="str">
            <v>25-240-12</v>
          </cell>
          <cell r="D1016">
            <v>1760</v>
          </cell>
          <cell r="E1016" t="str">
            <v>㎥</v>
          </cell>
        </row>
        <row r="1017">
          <cell r="A1017" t="str">
            <v>b</v>
          </cell>
          <cell r="B1017" t="str">
            <v>레미콘</v>
          </cell>
          <cell r="C1017" t="str">
            <v>25-210-8</v>
          </cell>
          <cell r="D1017">
            <v>41</v>
          </cell>
          <cell r="E1017" t="str">
            <v>㎥</v>
          </cell>
        </row>
        <row r="1018">
          <cell r="A1018" t="str">
            <v>c</v>
          </cell>
          <cell r="B1018" t="str">
            <v>레미콘</v>
          </cell>
          <cell r="C1018" t="str">
            <v>40-180-8</v>
          </cell>
          <cell r="D1018">
            <v>425</v>
          </cell>
          <cell r="E1018" t="str">
            <v>㎥</v>
          </cell>
        </row>
        <row r="1019">
          <cell r="A1019" t="str">
            <v>d</v>
          </cell>
          <cell r="B1019" t="str">
            <v>레미콘</v>
          </cell>
          <cell r="C1019" t="str">
            <v>40-160-8</v>
          </cell>
          <cell r="D1019">
            <v>26</v>
          </cell>
          <cell r="E1019" t="str">
            <v>㎥</v>
          </cell>
        </row>
        <row r="1020">
          <cell r="A1020" t="str">
            <v>e</v>
          </cell>
          <cell r="B1020" t="str">
            <v>철근</v>
          </cell>
          <cell r="C1020" t="str">
            <v>D16M/M 이상</v>
          </cell>
          <cell r="D1020">
            <v>26.123999999999999</v>
          </cell>
          <cell r="E1020" t="str">
            <v>TON</v>
          </cell>
        </row>
        <row r="1021">
          <cell r="A1021" t="str">
            <v>f</v>
          </cell>
          <cell r="B1021" t="str">
            <v>철근</v>
          </cell>
          <cell r="C1021" t="str">
            <v>D13M/M</v>
          </cell>
          <cell r="D1021">
            <v>2.5790000000000002</v>
          </cell>
          <cell r="E1021" t="str">
            <v>TON</v>
          </cell>
        </row>
        <row r="1022">
          <cell r="A1022" t="str">
            <v>5.19</v>
          </cell>
          <cell r="B1022" t="str">
            <v>고재</v>
          </cell>
          <cell r="D1022">
            <v>260.392</v>
          </cell>
          <cell r="E1022" t="str">
            <v>TON</v>
          </cell>
        </row>
        <row r="1023">
          <cell r="A1023" t="str">
            <v>6</v>
          </cell>
          <cell r="B1023" t="str">
            <v>전기공사</v>
          </cell>
        </row>
      </sheetData>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refreshError="1"/>
      <sheetData sheetId="28" refreshError="1"/>
      <sheetData sheetId="29" refreshError="1"/>
      <sheetData sheetId="3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WORK"/>
      <sheetName val="YES"/>
      <sheetName val="내역"/>
      <sheetName val="소야공정계획표"/>
      <sheetName val="설 계"/>
      <sheetName val="토공사"/>
      <sheetName val="품셈TABLE"/>
      <sheetName val="사업계획1안"/>
      <sheetName val="원가"/>
      <sheetName val="노임단가"/>
      <sheetName val="물가시세"/>
      <sheetName val="배수공"/>
      <sheetName val="코드"/>
      <sheetName val="VENDOR LIST"/>
      <sheetName val="공통비"/>
      <sheetName val="수입"/>
      <sheetName val="간접1"/>
      <sheetName val="주관사업"/>
      <sheetName val="월별수입"/>
      <sheetName val="단가"/>
      <sheetName val="Sheet1"/>
      <sheetName val="汇总"/>
    </sheetNames>
    <definedNames>
      <definedName name="Macro1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소야공정계획표"/>
      <sheetName val="laroux"/>
      <sheetName val="배수장토목총괄표"/>
      <sheetName val="배수장토목공사비"/>
      <sheetName val="소야배수로토공"/>
      <sheetName val="배수로공사비"/>
      <sheetName val="배수로구조물집계"/>
      <sheetName val="총괄표(배수로)"/>
      <sheetName val="공정계획표"/>
      <sheetName val="자재대"/>
      <sheetName val="자재대내역"/>
      <sheetName val="자재집계표"/>
      <sheetName val="공감비"/>
      <sheetName val="공감대상자재"/>
      <sheetName val="용지,관리비내역"/>
      <sheetName val="용지매수및보상비조서"/>
      <sheetName val="토목총괄"/>
      <sheetName val="(98토목공사비)"/>
      <sheetName val="BOQ-Summary_Form A1"/>
      <sheetName val="BOQ-Summary_Form A2"/>
      <sheetName val="BOQ-Summary_Form A3"/>
      <sheetName val="Attachment_A"/>
      <sheetName val="elect QC"/>
      <sheetName val="Quezon"/>
      <sheetName val="bulcan"/>
      <sheetName val="Bulacan"/>
      <sheetName val="지급자재"/>
      <sheetName val="사업계획1안"/>
      <sheetName val="98공정2"/>
      <sheetName val="내역"/>
      <sheetName val="입찰"/>
      <sheetName val="현경"/>
      <sheetName val="지계"/>
      <sheetName val="##내역서##"/>
      <sheetName val="단가"/>
      <sheetName val="간접비"/>
      <sheetName val="JUCKEYK"/>
      <sheetName val="금호"/>
      <sheetName val="choose"/>
      <sheetName val="배수공"/>
      <sheetName val="적현로"/>
      <sheetName val="관리,공감"/>
      <sheetName val="Summary of Bills "/>
      <sheetName val="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主材"/>
      <sheetName val="配比"/>
      <sheetName val="费率"/>
      <sheetName val="台时"/>
      <sheetName val="材料"/>
      <sheetName val="临建单价"/>
      <sheetName val="子单价表"/>
      <sheetName val="说明"/>
      <sheetName val="清单4"/>
      <sheetName val="汇总"/>
      <sheetName val="一般项目"/>
      <sheetName val="清单"/>
      <sheetName val="计日人"/>
      <sheetName val="计日材"/>
      <sheetName val="计日机"/>
      <sheetName val="计日汇总"/>
      <sheetName val="单价"/>
      <sheetName val="单价二"/>
      <sheetName val="单价三"/>
      <sheetName val="权重表"/>
      <sheetName val="总价分解"/>
      <sheetName val="取费"/>
      <sheetName val="风水电"/>
      <sheetName val="人工"/>
      <sheetName val="主材预算"/>
      <sheetName val="施工机械"/>
      <sheetName val="分组报价"/>
      <sheetName val="资金流"/>
      <sheetName val="配合比表"/>
      <sheetName val="统专供材料"/>
      <sheetName val="填表总说明"/>
      <sheetName val="工程量清单表"/>
      <sheetName val="分组工程报价组成表"/>
      <sheetName val="主要材料计算表"/>
      <sheetName val="统供材料定额耗量汇总附表"/>
      <sheetName val="统供材料定额耗量汇总表"/>
      <sheetName val="混凝土用量及配合比附表表头"/>
      <sheetName val="混凝土用量及配合比表"/>
      <sheetName val="混凝土用量及配合比附表"/>
      <sheetName val="机械台时费汇总表"/>
      <sheetName val="人工预算单价表"/>
      <sheetName val="工程单价分析表"/>
      <sheetName val="工程单价汇总表"/>
      <sheetName val="工程单价汇总附表"/>
      <sheetName val="工程取费费率表"/>
      <sheetName val="工程取费费率附表"/>
      <sheetName val="投资单位财务状况年份表"/>
      <sheetName val="投标单位财务状况表"/>
      <sheetName val="已完成类似工程汇总表"/>
      <sheetName val="正在履行类似工程汇总表"/>
      <sheetName val="施工组织管理及人员配置表"/>
      <sheetName val="现场组织结构设置表"/>
      <sheetName val="现场项目经理主要技术负责人表"/>
      <sheetName val="拟投入本合同的人员表"/>
      <sheetName val="劳务计划时间表"/>
      <sheetName val="劳务计划表"/>
      <sheetName val="主要施工设备表"/>
      <sheetName val="对工程重点难点认识及对策措施表"/>
      <sheetName val="施工规划及总体布置表"/>
      <sheetName val="主要施工方案表"/>
      <sheetName val="主要施工工序工艺表"/>
      <sheetName val="控制性施工进度及施工强度表"/>
      <sheetName val="质量保证安全文明生产环境保护表"/>
      <sheetName val="子单价"/>
      <sheetName val="提量"/>
      <sheetName val="清单3"/>
      <sheetName val="混凝土子单价"/>
      <sheetName val="Sheet4"/>
    </sheetNames>
    <sheetDataSet>
      <sheetData sheetId="0" refreshError="1"/>
      <sheetData sheetId="1" refreshError="1"/>
      <sheetData sheetId="2" refreshError="1"/>
      <sheetData sheetId="3"/>
      <sheetData sheetId="4" refreshError="1">
        <row r="6">
          <cell r="H6">
            <v>14.12</v>
          </cell>
        </row>
        <row r="7">
          <cell r="H7">
            <v>10.49</v>
          </cell>
        </row>
        <row r="8">
          <cell r="H8">
            <v>8.2100000000000009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费率"/>
      <sheetName val="材料"/>
      <sheetName val="台班"/>
      <sheetName val="汇总"/>
      <sheetName val="清单"/>
      <sheetName val="总价"/>
      <sheetName val="单价"/>
      <sheetName val="计人"/>
      <sheetName val="计材"/>
      <sheetName val="计机"/>
      <sheetName val="临建单价"/>
      <sheetName val="Sheet3"/>
      <sheetName val="Sheet4"/>
      <sheetName val="主材"/>
      <sheetName val="工程分组"/>
      <sheetName val="人工"/>
      <sheetName val="基础单价"/>
      <sheetName val="资金流12"/>
      <sheetName val="投资"/>
      <sheetName val="分组3"/>
      <sheetName val="主材4"/>
      <sheetName val="台班费汇总5"/>
      <sheetName val="材料汇总6"/>
      <sheetName val="材料汇总"/>
      <sheetName val="混凝土单价7"/>
      <sheetName val="摊销"/>
      <sheetName val="温控"/>
      <sheetName val="Sheet2"/>
      <sheetName val="进退场"/>
      <sheetName val="风水电"/>
      <sheetName val="材耗"/>
      <sheetName val="配合比"/>
      <sheetName val="运费"/>
      <sheetName val="配比"/>
      <sheetName val="分析"/>
      <sheetName val="成本"/>
      <sheetName val="Sheet1"/>
      <sheetName val="내역"/>
      <sheetName val="材料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支付计划"/>
      <sheetName val="合同汇总"/>
      <sheetName val="比例费用计算表"/>
      <sheetName val="调整系数"/>
      <sheetName val="汇总表"/>
      <sheetName val="清单"/>
      <sheetName val="单价"/>
      <sheetName val="发电站设备"/>
      <sheetName val="线路估算"/>
      <sheetName val="现场管理费用计算表 "/>
      <sheetName val="集团费用构成表"/>
      <sheetName val="集团主材表"/>
      <sheetName val="集团机械台时"/>
      <sheetName val="集团人工表"/>
      <sheetName val="人工"/>
      <sheetName val="材料"/>
      <sheetName val="2004台时"/>
      <sheetName val="施工设备配置表"/>
      <sheetName val="临建单价"/>
      <sheetName val="费用构成 (3)"/>
      <sheetName val="运距"/>
      <sheetName val="业主设施"/>
      <sheetName val="试验仪器"/>
      <sheetName val="Sheet3"/>
      <sheetName val="清单2"/>
      <sheetName val="清单3"/>
      <sheetName val="配合比"/>
      <sheetName val="基价"/>
      <sheetName val="分析表"/>
      <sheetName val="Sheet4"/>
      <sheetName val="计材"/>
      <sheetName val="计人"/>
      <sheetName val="计汇"/>
      <sheetName val="运费"/>
    </sheetNames>
    <sheetDataSet>
      <sheetData sheetId="0" refreshError="1"/>
      <sheetData sheetId="1" refreshError="1"/>
      <sheetData sheetId="2" refreshError="1"/>
      <sheetData sheetId="3" refreshError="1">
        <row r="10">
          <cell r="A10">
            <v>514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费率"/>
      <sheetName val="主材"/>
      <sheetName val="材料"/>
      <sheetName val="配比"/>
      <sheetName val="台时"/>
      <sheetName val="BOQ Summary"/>
      <sheetName val="BOQ "/>
      <sheetName val="清单"/>
      <sheetName val="单价"/>
      <sheetName val="人工"/>
      <sheetName val="临建工程单价"/>
      <sheetName val="子单价"/>
      <sheetName val="单价分析汇总表"/>
      <sheetName val="人、材、机单价汇总表"/>
      <sheetName val="材料预算表"/>
      <sheetName val="施工机械"/>
      <sheetName val="取费"/>
      <sheetName val="总价"/>
      <sheetName val="权重表"/>
      <sheetName val="资金流"/>
      <sheetName val="风水电"/>
      <sheetName val="配合比"/>
      <sheetName val="统供材料 "/>
      <sheetName val="统供材料(续表)"/>
      <sheetName val="安装工程单价"/>
      <sheetName val="骨料工序单价"/>
      <sheetName val="主材运输"/>
      <sheetName val="人工预算表"/>
      <sheetName val="临建单价"/>
      <sheetName val="进退场"/>
      <sheetName val="汇总"/>
      <sheetName val="配合比表"/>
      <sheetName val="权重"/>
      <sheetName val="清单2"/>
      <sheetName val="清单3"/>
      <sheetName val="基价"/>
      <sheetName val="分析表"/>
      <sheetName val="Sheet4"/>
      <sheetName val="运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ow r="5">
          <cell r="C5">
            <v>1341</v>
          </cell>
        </row>
      </sheetData>
      <sheetData sheetId="3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材料库"/>
      <sheetName val="汇总"/>
      <sheetName val="调整系数"/>
    </sheetNames>
    <sheetDataSet>
      <sheetData sheetId="0" refreshError="1"/>
      <sheetData sheetId="1" refreshError="1"/>
      <sheetData sheetId="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人工费计算表"/>
      <sheetName val="取费标准"/>
      <sheetName val="主材 "/>
      <sheetName val="汇总表"/>
      <sheetName val="工程量清单（土）"/>
      <sheetName val="工程量清单（装修）"/>
      <sheetName val="单价分析表"/>
      <sheetName val="总价承包"/>
      <sheetName val="台时库 "/>
      <sheetName val="材料库"/>
      <sheetName val="风水电"/>
      <sheetName val="分组报价"/>
      <sheetName val="计日工"/>
      <sheetName val="机械费"/>
      <sheetName val="砼配合比"/>
      <sheetName val="资金流"/>
      <sheetName val="基础价"/>
      <sheetName val="费率计算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1</v>
          </cell>
          <cell r="B1" t="str">
            <v>2</v>
          </cell>
          <cell r="C1" t="str">
            <v>3</v>
          </cell>
          <cell r="D1" t="str">
            <v>4</v>
          </cell>
          <cell r="E1" t="str">
            <v>5</v>
          </cell>
          <cell r="F1" t="str">
            <v>6</v>
          </cell>
          <cell r="G1" t="str">
            <v>7</v>
          </cell>
          <cell r="H1" t="str">
            <v>8</v>
          </cell>
          <cell r="I1" t="str">
            <v>9</v>
          </cell>
          <cell r="J1" t="str">
            <v>10</v>
          </cell>
          <cell r="K1" t="str">
            <v>11</v>
          </cell>
          <cell r="L1" t="str">
            <v>12</v>
          </cell>
          <cell r="M1" t="str">
            <v>13</v>
          </cell>
          <cell r="N1" t="str">
            <v>14</v>
          </cell>
          <cell r="O1" t="str">
            <v>15</v>
          </cell>
          <cell r="P1" t="str">
            <v>16</v>
          </cell>
          <cell r="Q1" t="str">
            <v>17</v>
          </cell>
          <cell r="R1" t="str">
            <v>18</v>
          </cell>
          <cell r="S1" t="str">
            <v>19</v>
          </cell>
          <cell r="T1" t="str">
            <v>20</v>
          </cell>
          <cell r="U1" t="str">
            <v>21</v>
          </cell>
          <cell r="V1" t="str">
            <v>22</v>
          </cell>
          <cell r="W1" t="str">
            <v>23</v>
          </cell>
          <cell r="X1" t="str">
            <v>24</v>
          </cell>
          <cell r="Y1" t="str">
            <v>25</v>
          </cell>
          <cell r="Z1" t="str">
            <v>26</v>
          </cell>
          <cell r="AA1" t="str">
            <v>27</v>
          </cell>
          <cell r="AB1" t="str">
            <v>28</v>
          </cell>
          <cell r="AC1" t="str">
            <v>29</v>
          </cell>
          <cell r="AD1" t="str">
            <v>30</v>
          </cell>
          <cell r="AE1" t="str">
            <v>31</v>
          </cell>
        </row>
        <row r="2">
          <cell r="A2" t="str">
            <v>材料编码</v>
          </cell>
          <cell r="N2">
            <v>1034</v>
          </cell>
          <cell r="O2">
            <v>1044</v>
          </cell>
          <cell r="P2">
            <v>1045</v>
          </cell>
          <cell r="Q2">
            <v>1046</v>
          </cell>
          <cell r="R2">
            <v>1047</v>
          </cell>
          <cell r="S2">
            <v>1049</v>
          </cell>
          <cell r="T2">
            <v>1050</v>
          </cell>
          <cell r="U2">
            <v>1051</v>
          </cell>
          <cell r="V2">
            <v>1052</v>
          </cell>
          <cell r="W2">
            <v>1053</v>
          </cell>
          <cell r="X2">
            <v>1054</v>
          </cell>
          <cell r="Y2">
            <v>1055</v>
          </cell>
          <cell r="Z2">
            <v>1056</v>
          </cell>
          <cell r="AA2">
            <v>1048</v>
          </cell>
          <cell r="AB2">
            <v>1033</v>
          </cell>
        </row>
        <row r="3">
          <cell r="A3" t="str">
            <v>代码</v>
          </cell>
          <cell r="B3" t="str">
            <v>系数</v>
          </cell>
          <cell r="C3" t="str">
            <v>使用部位及时间</v>
          </cell>
          <cell r="D3" t="str">
            <v>名称及规格</v>
          </cell>
          <cell r="E3" t="str">
            <v>单位</v>
          </cell>
          <cell r="F3" t="str">
            <v>数量</v>
          </cell>
          <cell r="G3" t="str">
            <v>预算价格（元）</v>
          </cell>
          <cell r="H3" t="str">
            <v>供货价</v>
          </cell>
          <cell r="K3" t="str">
            <v>单位</v>
          </cell>
          <cell r="L3" t="str">
            <v>预算价</v>
          </cell>
        </row>
        <row r="4">
          <cell r="N4" t="str">
            <v>电</v>
          </cell>
          <cell r="O4" t="str">
            <v>水泥普硅32.5(袋装)</v>
          </cell>
          <cell r="P4" t="str">
            <v>水泥普硅42.5(袋装)</v>
          </cell>
          <cell r="Q4" t="str">
            <v>水泥普硅32.5(散装)</v>
          </cell>
          <cell r="R4" t="str">
            <v>水泥普硅42.5(散装)</v>
          </cell>
          <cell r="S4" t="str">
            <v xml:space="preserve">柴油  </v>
          </cell>
          <cell r="T4" t="str">
            <v>汽油</v>
          </cell>
          <cell r="U4" t="str">
            <v>钢筋（Ⅰ级）</v>
          </cell>
          <cell r="V4" t="str">
            <v>型钢（综合）</v>
          </cell>
          <cell r="W4" t="str">
            <v>钢筋（Ⅱ级）</v>
          </cell>
          <cell r="X4" t="str">
            <v>粉煤灰</v>
          </cell>
          <cell r="Y4" t="str">
            <v>2#岩石铵锑炸药</v>
          </cell>
          <cell r="Z4" t="str">
            <v>4#抗水岩石炸药</v>
          </cell>
          <cell r="AA4" t="str">
            <v>乳化炸药</v>
          </cell>
          <cell r="AB4" t="str">
            <v>施工用水</v>
          </cell>
          <cell r="AC4" t="str">
            <v>砂</v>
          </cell>
          <cell r="AD4" t="str">
            <v>石</v>
          </cell>
          <cell r="AE4" t="str">
            <v>生活用水</v>
          </cell>
        </row>
        <row r="6">
          <cell r="A6" t="str">
            <v>C</v>
          </cell>
          <cell r="B6">
            <v>1</v>
          </cell>
          <cell r="D6" t="str">
            <v>无材料</v>
          </cell>
        </row>
        <row r="7">
          <cell r="A7" t="str">
            <v>C2</v>
          </cell>
          <cell r="B7">
            <v>1</v>
          </cell>
          <cell r="D7" t="str">
            <v>零星材料费</v>
          </cell>
          <cell r="E7" t="str">
            <v>元</v>
          </cell>
          <cell r="K7" t="str">
            <v>元</v>
          </cell>
          <cell r="L7">
            <v>1</v>
          </cell>
        </row>
        <row r="8">
          <cell r="A8" t="str">
            <v>C3</v>
          </cell>
          <cell r="B8">
            <v>1</v>
          </cell>
          <cell r="D8" t="str">
            <v>其他材料费</v>
          </cell>
          <cell r="E8" t="str">
            <v>%</v>
          </cell>
          <cell r="K8" t="str">
            <v>%</v>
          </cell>
          <cell r="L8">
            <v>1</v>
          </cell>
        </row>
        <row r="9">
          <cell r="B9">
            <v>1</v>
          </cell>
          <cell r="D9" t="str">
            <v>人工</v>
          </cell>
        </row>
        <row r="10">
          <cell r="A10" t="str">
            <v>r1</v>
          </cell>
          <cell r="B10">
            <v>1</v>
          </cell>
          <cell r="D10" t="str">
            <v>高级熟练工</v>
          </cell>
          <cell r="E10" t="str">
            <v>工时</v>
          </cell>
          <cell r="K10" t="str">
            <v>工时</v>
          </cell>
          <cell r="L10">
            <v>6.58</v>
          </cell>
          <cell r="AE10">
            <v>1.0999999999999999E-2</v>
          </cell>
        </row>
        <row r="11">
          <cell r="A11" t="str">
            <v>r2</v>
          </cell>
          <cell r="B11">
            <v>1</v>
          </cell>
          <cell r="D11" t="str">
            <v>熟练工</v>
          </cell>
          <cell r="E11" t="str">
            <v>工时</v>
          </cell>
          <cell r="K11" t="str">
            <v>工时</v>
          </cell>
          <cell r="L11">
            <v>5.49</v>
          </cell>
          <cell r="AE11">
            <v>1.0999999999999999E-2</v>
          </cell>
        </row>
        <row r="12">
          <cell r="A12" t="str">
            <v>r3</v>
          </cell>
          <cell r="B12">
            <v>1</v>
          </cell>
          <cell r="D12" t="str">
            <v>半熟练工</v>
          </cell>
          <cell r="E12" t="str">
            <v>工时</v>
          </cell>
          <cell r="K12" t="str">
            <v>工时</v>
          </cell>
          <cell r="L12">
            <v>4.7300000000000004</v>
          </cell>
          <cell r="AE12">
            <v>1.0999999999999999E-2</v>
          </cell>
        </row>
        <row r="13">
          <cell r="A13" t="str">
            <v>r4</v>
          </cell>
          <cell r="B13">
            <v>1</v>
          </cell>
          <cell r="D13" t="str">
            <v>普工</v>
          </cell>
          <cell r="E13" t="str">
            <v>工时</v>
          </cell>
          <cell r="K13" t="str">
            <v>工时</v>
          </cell>
          <cell r="L13">
            <v>4.26</v>
          </cell>
          <cell r="AE13">
            <v>1.0999999999999999E-2</v>
          </cell>
        </row>
        <row r="14">
          <cell r="B14">
            <v>1</v>
          </cell>
          <cell r="D14" t="str">
            <v>基价</v>
          </cell>
        </row>
        <row r="15">
          <cell r="A15">
            <v>1001</v>
          </cell>
          <cell r="B15">
            <v>1</v>
          </cell>
          <cell r="D15" t="str">
            <v>风</v>
          </cell>
          <cell r="E15" t="str">
            <v>m3</v>
          </cell>
          <cell r="K15" t="str">
            <v>m3</v>
          </cell>
          <cell r="L15">
            <v>0.17699999999999999</v>
          </cell>
        </row>
        <row r="16">
          <cell r="A16">
            <v>1002</v>
          </cell>
          <cell r="B16">
            <v>1</v>
          </cell>
          <cell r="D16" t="str">
            <v>水</v>
          </cell>
          <cell r="E16" t="str">
            <v>m3</v>
          </cell>
          <cell r="K16" t="str">
            <v>m3</v>
          </cell>
          <cell r="L16">
            <v>0.6</v>
          </cell>
          <cell r="AB16">
            <v>1</v>
          </cell>
        </row>
        <row r="17">
          <cell r="A17">
            <v>1003</v>
          </cell>
          <cell r="B17">
            <v>1</v>
          </cell>
          <cell r="D17" t="str">
            <v>电</v>
          </cell>
          <cell r="E17" t="str">
            <v>kwh</v>
          </cell>
          <cell r="K17" t="str">
            <v>kwh</v>
          </cell>
          <cell r="L17">
            <v>0.65600000000000003</v>
          </cell>
          <cell r="N17">
            <v>1</v>
          </cell>
        </row>
        <row r="18">
          <cell r="A18">
            <v>1004</v>
          </cell>
          <cell r="B18">
            <v>1</v>
          </cell>
          <cell r="D18" t="str">
            <v>冷水</v>
          </cell>
          <cell r="E18" t="str">
            <v>m3</v>
          </cell>
          <cell r="K18" t="str">
            <v>m3</v>
          </cell>
        </row>
        <row r="19">
          <cell r="A19">
            <v>1005</v>
          </cell>
          <cell r="B19">
            <v>1</v>
          </cell>
        </row>
        <row r="20">
          <cell r="A20">
            <v>1006</v>
          </cell>
          <cell r="B20">
            <v>1</v>
          </cell>
        </row>
        <row r="21">
          <cell r="B21">
            <v>1</v>
          </cell>
        </row>
        <row r="22">
          <cell r="B22">
            <v>1</v>
          </cell>
        </row>
        <row r="23">
          <cell r="B23">
            <v>1</v>
          </cell>
        </row>
        <row r="24">
          <cell r="B24">
            <v>1</v>
          </cell>
        </row>
        <row r="25">
          <cell r="B25">
            <v>1</v>
          </cell>
        </row>
        <row r="26">
          <cell r="B26">
            <v>1</v>
          </cell>
        </row>
        <row r="27">
          <cell r="B27">
            <v>1</v>
          </cell>
        </row>
        <row r="28">
          <cell r="B28">
            <v>1</v>
          </cell>
        </row>
        <row r="29">
          <cell r="B29">
            <v>1</v>
          </cell>
          <cell r="D29" t="str">
            <v>主要材料</v>
          </cell>
        </row>
        <row r="30">
          <cell r="B30">
            <v>1</v>
          </cell>
          <cell r="C30" t="str">
            <v>使用部位及时间</v>
          </cell>
          <cell r="D30" t="str">
            <v>名称及规格</v>
          </cell>
          <cell r="E30" t="str">
            <v>单位</v>
          </cell>
          <cell r="F30" t="str">
            <v>数量</v>
          </cell>
          <cell r="G30" t="str">
            <v>预算价格（元）</v>
          </cell>
          <cell r="H30" t="str">
            <v>供货价</v>
          </cell>
          <cell r="I30" t="str">
            <v>运杂费及采保费</v>
          </cell>
          <cell r="J30" t="str">
            <v>其它</v>
          </cell>
          <cell r="K30" t="str">
            <v>单位</v>
          </cell>
          <cell r="L30" t="str">
            <v>预算价</v>
          </cell>
        </row>
        <row r="31">
          <cell r="A31">
            <v>1201</v>
          </cell>
          <cell r="B31">
            <v>1</v>
          </cell>
          <cell r="C31" t="str">
            <v>自购</v>
          </cell>
          <cell r="D31" t="str">
            <v>板枋材</v>
          </cell>
          <cell r="E31" t="str">
            <v>m3</v>
          </cell>
          <cell r="G31">
            <v>1857.856</v>
          </cell>
          <cell r="H31">
            <v>1750</v>
          </cell>
          <cell r="K31" t="str">
            <v>m3</v>
          </cell>
          <cell r="L31">
            <v>1857.856</v>
          </cell>
        </row>
        <row r="32">
          <cell r="A32">
            <v>1202</v>
          </cell>
          <cell r="B32">
            <v>1</v>
          </cell>
          <cell r="C32" t="str">
            <v>自购</v>
          </cell>
          <cell r="D32" t="str">
            <v>原木</v>
          </cell>
          <cell r="E32" t="str">
            <v>m3</v>
          </cell>
          <cell r="G32">
            <v>1343.2639999999999</v>
          </cell>
          <cell r="H32">
            <v>1250</v>
          </cell>
          <cell r="K32" t="str">
            <v>m3</v>
          </cell>
          <cell r="L32">
            <v>1343.2639999999999</v>
          </cell>
        </row>
        <row r="33">
          <cell r="A33">
            <v>1203</v>
          </cell>
          <cell r="B33">
            <v>1</v>
          </cell>
          <cell r="C33" t="str">
            <v>业主提供</v>
          </cell>
          <cell r="D33" t="str">
            <v>水泥普硅32.5(袋装)</v>
          </cell>
          <cell r="E33" t="str">
            <v>t</v>
          </cell>
          <cell r="G33">
            <v>257.85059999999999</v>
          </cell>
          <cell r="H33">
            <v>250</v>
          </cell>
          <cell r="K33" t="str">
            <v>kg</v>
          </cell>
          <cell r="L33">
            <v>0.26</v>
          </cell>
          <cell r="O33">
            <v>1</v>
          </cell>
        </row>
        <row r="34">
          <cell r="A34">
            <v>1204</v>
          </cell>
          <cell r="B34">
            <v>1</v>
          </cell>
          <cell r="C34" t="str">
            <v>业主提供</v>
          </cell>
          <cell r="D34" t="str">
            <v>水泥普硅42.5(袋装)</v>
          </cell>
          <cell r="E34" t="str">
            <v>t</v>
          </cell>
          <cell r="G34">
            <v>293.37560000000002</v>
          </cell>
          <cell r="H34">
            <v>285</v>
          </cell>
          <cell r="K34" t="str">
            <v>kg</v>
          </cell>
          <cell r="L34">
            <v>0.28999999999999998</v>
          </cell>
          <cell r="P34">
            <v>1</v>
          </cell>
        </row>
        <row r="35">
          <cell r="A35">
            <v>1205</v>
          </cell>
          <cell r="B35">
            <v>1</v>
          </cell>
          <cell r="C35" t="str">
            <v>业主提供</v>
          </cell>
          <cell r="D35" t="str">
            <v>水泥普硅32.5(散装)</v>
          </cell>
          <cell r="E35" t="str">
            <v>t</v>
          </cell>
          <cell r="G35">
            <v>237.5506</v>
          </cell>
          <cell r="H35">
            <v>230</v>
          </cell>
          <cell r="K35" t="str">
            <v>kg</v>
          </cell>
          <cell r="L35">
            <v>0.24</v>
          </cell>
          <cell r="Q35">
            <v>1</v>
          </cell>
        </row>
        <row r="36">
          <cell r="A36">
            <v>1206</v>
          </cell>
          <cell r="B36">
            <v>1</v>
          </cell>
          <cell r="C36" t="str">
            <v>业主提供</v>
          </cell>
          <cell r="D36" t="str">
            <v>水泥普硅42.5(散装)</v>
          </cell>
          <cell r="E36" t="str">
            <v>t</v>
          </cell>
          <cell r="G36">
            <v>273.07560000000001</v>
          </cell>
          <cell r="H36">
            <v>265</v>
          </cell>
          <cell r="K36" t="str">
            <v>kg</v>
          </cell>
          <cell r="L36">
            <v>0.27</v>
          </cell>
          <cell r="R36">
            <v>1</v>
          </cell>
        </row>
        <row r="37">
          <cell r="A37">
            <v>1207</v>
          </cell>
          <cell r="B37">
            <v>1</v>
          </cell>
          <cell r="C37" t="str">
            <v>自购</v>
          </cell>
          <cell r="D37" t="str">
            <v>汽油  90#</v>
          </cell>
          <cell r="E37" t="str">
            <v>t</v>
          </cell>
          <cell r="G37">
            <v>5213.78</v>
          </cell>
          <cell r="H37">
            <v>5005</v>
          </cell>
          <cell r="K37" t="str">
            <v>kg</v>
          </cell>
          <cell r="L37">
            <v>5.21</v>
          </cell>
          <cell r="T37">
            <v>1</v>
          </cell>
        </row>
        <row r="38">
          <cell r="A38">
            <v>1208</v>
          </cell>
          <cell r="B38">
            <v>1</v>
          </cell>
          <cell r="C38" t="str">
            <v>自购</v>
          </cell>
          <cell r="D38" t="str">
            <v xml:space="preserve">柴油  </v>
          </cell>
          <cell r="E38" t="str">
            <v>t</v>
          </cell>
          <cell r="G38">
            <v>4357.6000000000004</v>
          </cell>
          <cell r="H38">
            <v>4146</v>
          </cell>
          <cell r="K38" t="str">
            <v>kg</v>
          </cell>
          <cell r="L38">
            <v>4.3600000000000003</v>
          </cell>
          <cell r="S38">
            <v>1</v>
          </cell>
        </row>
        <row r="39">
          <cell r="A39">
            <v>1209</v>
          </cell>
          <cell r="B39">
            <v>1</v>
          </cell>
          <cell r="C39" t="str">
            <v>业主提供</v>
          </cell>
          <cell r="D39" t="str">
            <v>2#岩石铵锑炸药</v>
          </cell>
          <cell r="E39" t="str">
            <v>t</v>
          </cell>
          <cell r="G39">
            <v>5311.3008000000009</v>
          </cell>
          <cell r="H39">
            <v>5100</v>
          </cell>
          <cell r="K39" t="str">
            <v>kg</v>
          </cell>
          <cell r="L39">
            <v>5.31</v>
          </cell>
          <cell r="Y39">
            <v>1</v>
          </cell>
        </row>
        <row r="40">
          <cell r="A40">
            <v>1210</v>
          </cell>
          <cell r="B40">
            <v>1</v>
          </cell>
          <cell r="C40" t="str">
            <v>业主提供</v>
          </cell>
          <cell r="D40" t="str">
            <v>4#抗水岩石铵锑炸药</v>
          </cell>
          <cell r="E40" t="str">
            <v>t</v>
          </cell>
          <cell r="G40">
            <v>5727.3008000000009</v>
          </cell>
          <cell r="H40">
            <v>5500</v>
          </cell>
          <cell r="K40" t="str">
            <v>kg</v>
          </cell>
          <cell r="L40">
            <v>5.73</v>
          </cell>
          <cell r="Z40">
            <v>1</v>
          </cell>
        </row>
        <row r="41">
          <cell r="A41">
            <v>1211</v>
          </cell>
          <cell r="B41">
            <v>1</v>
          </cell>
          <cell r="C41" t="str">
            <v>业主提供</v>
          </cell>
          <cell r="D41" t="str">
            <v>火雷管</v>
          </cell>
          <cell r="E41" t="str">
            <v>发</v>
          </cell>
          <cell r="G41">
            <v>0.46800000000000003</v>
          </cell>
          <cell r="H41">
            <v>0.45</v>
          </cell>
          <cell r="K41" t="str">
            <v>发</v>
          </cell>
          <cell r="L41">
            <v>0.47</v>
          </cell>
        </row>
        <row r="42">
          <cell r="A42">
            <v>1212</v>
          </cell>
          <cell r="B42">
            <v>1</v>
          </cell>
          <cell r="C42" t="str">
            <v>业主提供</v>
          </cell>
          <cell r="D42" t="str">
            <v>非电雷管</v>
          </cell>
          <cell r="E42" t="str">
            <v>发</v>
          </cell>
          <cell r="G42">
            <v>1.456</v>
          </cell>
          <cell r="H42">
            <v>1.4</v>
          </cell>
          <cell r="K42" t="str">
            <v>发</v>
          </cell>
          <cell r="L42">
            <v>1.46</v>
          </cell>
        </row>
        <row r="43">
          <cell r="A43">
            <v>1213</v>
          </cell>
          <cell r="B43">
            <v>1</v>
          </cell>
          <cell r="C43" t="str">
            <v>业主提供</v>
          </cell>
          <cell r="D43" t="str">
            <v>导火线</v>
          </cell>
          <cell r="E43" t="str">
            <v>m</v>
          </cell>
          <cell r="G43">
            <v>0.624</v>
          </cell>
          <cell r="H43">
            <v>0.6</v>
          </cell>
          <cell r="K43" t="str">
            <v>m</v>
          </cell>
          <cell r="L43">
            <v>0.62</v>
          </cell>
        </row>
        <row r="44">
          <cell r="A44">
            <v>1214</v>
          </cell>
          <cell r="B44">
            <v>1</v>
          </cell>
          <cell r="C44" t="str">
            <v>业主提供</v>
          </cell>
          <cell r="D44" t="str">
            <v>导爆索</v>
          </cell>
          <cell r="E44" t="str">
            <v>m</v>
          </cell>
          <cell r="G44">
            <v>1.5808</v>
          </cell>
          <cell r="H44">
            <v>1.52</v>
          </cell>
          <cell r="K44" t="str">
            <v>m</v>
          </cell>
          <cell r="L44">
            <v>1.58</v>
          </cell>
        </row>
        <row r="45">
          <cell r="A45">
            <v>1215</v>
          </cell>
          <cell r="B45">
            <v>1</v>
          </cell>
          <cell r="C45" t="str">
            <v>业主提供</v>
          </cell>
          <cell r="D45" t="str">
            <v>导爆管</v>
          </cell>
          <cell r="E45" t="str">
            <v>m</v>
          </cell>
          <cell r="G45">
            <v>0.28079999999999999</v>
          </cell>
          <cell r="H45">
            <v>0.27</v>
          </cell>
          <cell r="K45" t="str">
            <v>m</v>
          </cell>
          <cell r="L45">
            <v>0.28000000000000003</v>
          </cell>
        </row>
        <row r="46">
          <cell r="A46">
            <v>1216</v>
          </cell>
          <cell r="B46">
            <v>1</v>
          </cell>
          <cell r="C46" t="str">
            <v>业主提供</v>
          </cell>
          <cell r="D46" t="str">
            <v>Ⅰ级钢筋</v>
          </cell>
          <cell r="E46" t="str">
            <v>t</v>
          </cell>
          <cell r="G46">
            <v>2521.2600000000002</v>
          </cell>
          <cell r="H46">
            <v>2480</v>
          </cell>
          <cell r="K46" t="str">
            <v>kg</v>
          </cell>
          <cell r="L46">
            <v>2.52</v>
          </cell>
        </row>
        <row r="47">
          <cell r="A47">
            <v>1217</v>
          </cell>
          <cell r="B47">
            <v>1</v>
          </cell>
          <cell r="C47" t="str">
            <v>业主提供</v>
          </cell>
          <cell r="D47" t="str">
            <v>Ⅱ级钢筋</v>
          </cell>
          <cell r="E47" t="str">
            <v>t</v>
          </cell>
          <cell r="G47">
            <v>2622.76</v>
          </cell>
          <cell r="H47">
            <v>2580</v>
          </cell>
          <cell r="K47" t="str">
            <v>kg</v>
          </cell>
          <cell r="L47">
            <v>2.62</v>
          </cell>
          <cell r="U47">
            <v>1</v>
          </cell>
        </row>
        <row r="48">
          <cell r="A48">
            <v>1218</v>
          </cell>
          <cell r="B48">
            <v>1</v>
          </cell>
          <cell r="C48" t="str">
            <v>自购</v>
          </cell>
          <cell r="D48" t="str">
            <v>普通钢板</v>
          </cell>
          <cell r="E48" t="str">
            <v>t</v>
          </cell>
          <cell r="G48">
            <v>5686.72</v>
          </cell>
          <cell r="H48">
            <v>5350</v>
          </cell>
          <cell r="K48" t="str">
            <v>kg</v>
          </cell>
          <cell r="L48">
            <v>5.69</v>
          </cell>
        </row>
        <row r="49">
          <cell r="A49">
            <v>1219</v>
          </cell>
          <cell r="B49">
            <v>1</v>
          </cell>
          <cell r="C49" t="str">
            <v>自购</v>
          </cell>
          <cell r="D49" t="str">
            <v>镀锌钢管</v>
          </cell>
          <cell r="E49" t="str">
            <v>t</v>
          </cell>
          <cell r="G49">
            <v>3554.72</v>
          </cell>
          <cell r="H49">
            <v>3300</v>
          </cell>
          <cell r="K49" t="str">
            <v>kg</v>
          </cell>
          <cell r="L49">
            <v>3.55</v>
          </cell>
        </row>
        <row r="50">
          <cell r="A50">
            <v>1220</v>
          </cell>
          <cell r="B50">
            <v>1</v>
          </cell>
          <cell r="C50" t="str">
            <v>自购</v>
          </cell>
          <cell r="D50" t="str">
            <v>焊接钢管</v>
          </cell>
          <cell r="E50" t="str">
            <v>t</v>
          </cell>
          <cell r="G50">
            <v>5322.72</v>
          </cell>
          <cell r="H50">
            <v>5000</v>
          </cell>
          <cell r="K50" t="str">
            <v>kg</v>
          </cell>
          <cell r="L50">
            <v>5.32</v>
          </cell>
        </row>
        <row r="51">
          <cell r="A51">
            <v>1221</v>
          </cell>
          <cell r="B51">
            <v>1</v>
          </cell>
          <cell r="C51" t="str">
            <v>自购</v>
          </cell>
          <cell r="D51" t="str">
            <v>工字钢</v>
          </cell>
          <cell r="E51" t="str">
            <v>t</v>
          </cell>
          <cell r="G51">
            <v>4542.72</v>
          </cell>
          <cell r="H51">
            <v>4250</v>
          </cell>
          <cell r="K51" t="str">
            <v>kg</v>
          </cell>
          <cell r="L51">
            <v>4.54</v>
          </cell>
        </row>
        <row r="52">
          <cell r="A52">
            <v>1222</v>
          </cell>
          <cell r="B52">
            <v>1</v>
          </cell>
          <cell r="C52" t="str">
            <v>自购</v>
          </cell>
          <cell r="D52" t="str">
            <v>钢纤维</v>
          </cell>
          <cell r="E52" t="str">
            <v>t</v>
          </cell>
          <cell r="G52">
            <v>5276.96</v>
          </cell>
          <cell r="H52">
            <v>5000</v>
          </cell>
          <cell r="K52" t="str">
            <v>kg</v>
          </cell>
          <cell r="L52">
            <v>5.28</v>
          </cell>
          <cell r="V52">
            <v>1</v>
          </cell>
        </row>
        <row r="53">
          <cell r="A53">
            <v>1223</v>
          </cell>
          <cell r="B53">
            <v>1</v>
          </cell>
          <cell r="C53" t="str">
            <v>自购</v>
          </cell>
          <cell r="D53" t="str">
            <v>钢材</v>
          </cell>
          <cell r="E53" t="str">
            <v>t</v>
          </cell>
          <cell r="G53">
            <v>2988.96</v>
          </cell>
          <cell r="H53">
            <v>2800</v>
          </cell>
          <cell r="K53" t="str">
            <v>kg</v>
          </cell>
          <cell r="L53">
            <v>2.99</v>
          </cell>
        </row>
        <row r="54">
          <cell r="A54">
            <v>1224</v>
          </cell>
          <cell r="B54">
            <v>1</v>
          </cell>
          <cell r="C54" t="str">
            <v>自购</v>
          </cell>
          <cell r="D54" t="str">
            <v>型钢</v>
          </cell>
          <cell r="E54" t="str">
            <v>t</v>
          </cell>
          <cell r="G54">
            <v>4542.72</v>
          </cell>
          <cell r="H54">
            <v>4250</v>
          </cell>
          <cell r="K54" t="str">
            <v>kg</v>
          </cell>
          <cell r="L54">
            <v>4.54</v>
          </cell>
        </row>
        <row r="55">
          <cell r="A55">
            <v>1225</v>
          </cell>
          <cell r="B55">
            <v>1</v>
          </cell>
          <cell r="C55" t="str">
            <v>自购</v>
          </cell>
          <cell r="D55" t="str">
            <v>粉煤灰(一级）</v>
          </cell>
          <cell r="E55" t="str">
            <v>t</v>
          </cell>
          <cell r="G55">
            <v>105.3104</v>
          </cell>
          <cell r="H55">
            <v>75</v>
          </cell>
          <cell r="K55" t="str">
            <v>kg</v>
          </cell>
          <cell r="L55">
            <v>0.11</v>
          </cell>
          <cell r="X55">
            <v>1</v>
          </cell>
        </row>
        <row r="56">
          <cell r="A56">
            <v>1226</v>
          </cell>
          <cell r="B56">
            <v>1</v>
          </cell>
          <cell r="C56" t="str">
            <v>业主提供</v>
          </cell>
          <cell r="D56" t="str">
            <v>氧气</v>
          </cell>
          <cell r="E56" t="str">
            <v>t</v>
          </cell>
          <cell r="G56">
            <v>4.49</v>
          </cell>
          <cell r="H56">
            <v>4.49</v>
          </cell>
          <cell r="K56" t="str">
            <v>kg</v>
          </cell>
          <cell r="L56">
            <v>0</v>
          </cell>
        </row>
        <row r="57">
          <cell r="A57">
            <v>1227</v>
          </cell>
          <cell r="B57">
            <v>1</v>
          </cell>
          <cell r="C57" t="str">
            <v>业主提供</v>
          </cell>
          <cell r="D57" t="str">
            <v>乙炔</v>
          </cell>
          <cell r="E57" t="str">
            <v>t</v>
          </cell>
          <cell r="G57">
            <v>15.45</v>
          </cell>
          <cell r="H57">
            <v>15.45</v>
          </cell>
          <cell r="K57" t="str">
            <v>kg</v>
          </cell>
          <cell r="L57">
            <v>0.02</v>
          </cell>
        </row>
        <row r="58">
          <cell r="A58">
            <v>1228</v>
          </cell>
          <cell r="B58">
            <v>1</v>
          </cell>
          <cell r="C58" t="str">
            <v>自购</v>
          </cell>
          <cell r="D58">
            <v>0</v>
          </cell>
          <cell r="E58" t="str">
            <v>t</v>
          </cell>
          <cell r="G58">
            <v>0</v>
          </cell>
          <cell r="H58">
            <v>0</v>
          </cell>
          <cell r="K58" t="str">
            <v>kg</v>
          </cell>
          <cell r="L58">
            <v>0</v>
          </cell>
        </row>
        <row r="59">
          <cell r="A59">
            <v>1229</v>
          </cell>
          <cell r="B59">
            <v>1</v>
          </cell>
          <cell r="C59" t="str">
            <v>自购</v>
          </cell>
          <cell r="D59">
            <v>0</v>
          </cell>
          <cell r="E59" t="str">
            <v>t</v>
          </cell>
          <cell r="G59">
            <v>0</v>
          </cell>
          <cell r="H59">
            <v>0</v>
          </cell>
          <cell r="K59" t="str">
            <v>kg</v>
          </cell>
          <cell r="L59">
            <v>0</v>
          </cell>
        </row>
        <row r="60">
          <cell r="A60">
            <v>1230</v>
          </cell>
          <cell r="B60">
            <v>1</v>
          </cell>
          <cell r="C60" t="str">
            <v>自购</v>
          </cell>
          <cell r="D60">
            <v>0</v>
          </cell>
          <cell r="E60" t="str">
            <v>t</v>
          </cell>
          <cell r="G60">
            <v>0</v>
          </cell>
          <cell r="H60">
            <v>0</v>
          </cell>
          <cell r="K60" t="str">
            <v>kg</v>
          </cell>
          <cell r="L60">
            <v>0</v>
          </cell>
        </row>
        <row r="61">
          <cell r="A61">
            <v>1231</v>
          </cell>
          <cell r="B61">
            <v>1</v>
          </cell>
          <cell r="C61" t="str">
            <v>自购</v>
          </cell>
          <cell r="D61" t="str">
            <v/>
          </cell>
          <cell r="E61" t="str">
            <v>t</v>
          </cell>
          <cell r="G61">
            <v>0</v>
          </cell>
          <cell r="H61">
            <v>0</v>
          </cell>
          <cell r="K61" t="str">
            <v>kg</v>
          </cell>
          <cell r="L61">
            <v>0</v>
          </cell>
        </row>
        <row r="62">
          <cell r="A62">
            <v>1232</v>
          </cell>
          <cell r="B62">
            <v>1</v>
          </cell>
          <cell r="C62" t="str">
            <v>自购</v>
          </cell>
          <cell r="D62">
            <v>0</v>
          </cell>
          <cell r="E62" t="str">
            <v>t</v>
          </cell>
          <cell r="G62">
            <v>0</v>
          </cell>
          <cell r="H62">
            <v>0</v>
          </cell>
          <cell r="K62" t="str">
            <v>kg</v>
          </cell>
          <cell r="L62">
            <v>0</v>
          </cell>
        </row>
        <row r="63">
          <cell r="A63">
            <v>1233</v>
          </cell>
          <cell r="B63">
            <v>1</v>
          </cell>
          <cell r="C63" t="str">
            <v>自购</v>
          </cell>
          <cell r="D63">
            <v>0</v>
          </cell>
          <cell r="E63">
            <v>0</v>
          </cell>
          <cell r="G63">
            <v>0</v>
          </cell>
          <cell r="H63">
            <v>0</v>
          </cell>
          <cell r="K63">
            <v>0</v>
          </cell>
          <cell r="L63">
            <v>0</v>
          </cell>
        </row>
        <row r="64">
          <cell r="A64">
            <v>1234</v>
          </cell>
          <cell r="B64">
            <v>1</v>
          </cell>
          <cell r="C64" t="str">
            <v>自购</v>
          </cell>
          <cell r="D64">
            <v>0</v>
          </cell>
          <cell r="E64" t="str">
            <v>t</v>
          </cell>
          <cell r="G64">
            <v>0</v>
          </cell>
          <cell r="H64">
            <v>0</v>
          </cell>
          <cell r="K64" t="str">
            <v>kg</v>
          </cell>
          <cell r="L64">
            <v>0</v>
          </cell>
        </row>
        <row r="65">
          <cell r="A65">
            <v>1235</v>
          </cell>
          <cell r="B65">
            <v>1</v>
          </cell>
          <cell r="C65" t="str">
            <v>自购</v>
          </cell>
          <cell r="D65">
            <v>0</v>
          </cell>
          <cell r="E65" t="str">
            <v>t</v>
          </cell>
          <cell r="G65">
            <v>0</v>
          </cell>
          <cell r="H65">
            <v>0</v>
          </cell>
          <cell r="K65" t="str">
            <v>kg</v>
          </cell>
          <cell r="L65">
            <v>0</v>
          </cell>
        </row>
        <row r="66">
          <cell r="A66">
            <v>1236</v>
          </cell>
          <cell r="B66">
            <v>1</v>
          </cell>
          <cell r="C66" t="str">
            <v>自购</v>
          </cell>
          <cell r="D66">
            <v>0</v>
          </cell>
          <cell r="E66" t="str">
            <v>m</v>
          </cell>
          <cell r="G66">
            <v>0</v>
          </cell>
          <cell r="H66">
            <v>0</v>
          </cell>
          <cell r="K66" t="str">
            <v>m</v>
          </cell>
          <cell r="L66">
            <v>0</v>
          </cell>
        </row>
        <row r="67">
          <cell r="A67">
            <v>1237</v>
          </cell>
          <cell r="B67">
            <v>1</v>
          </cell>
          <cell r="C67" t="str">
            <v>自购</v>
          </cell>
          <cell r="D67">
            <v>0</v>
          </cell>
          <cell r="E67" t="str">
            <v>t</v>
          </cell>
          <cell r="G67">
            <v>0</v>
          </cell>
          <cell r="H67">
            <v>0</v>
          </cell>
          <cell r="K67" t="str">
            <v>kg</v>
          </cell>
          <cell r="L67">
            <v>0</v>
          </cell>
        </row>
        <row r="68">
          <cell r="A68">
            <v>1238</v>
          </cell>
          <cell r="B68">
            <v>1</v>
          </cell>
          <cell r="C68" t="str">
            <v>自购</v>
          </cell>
          <cell r="D68">
            <v>0</v>
          </cell>
          <cell r="E68" t="str">
            <v>t</v>
          </cell>
          <cell r="G68">
            <v>0</v>
          </cell>
          <cell r="H68">
            <v>0</v>
          </cell>
          <cell r="K68" t="str">
            <v>kg</v>
          </cell>
          <cell r="L68">
            <v>0</v>
          </cell>
        </row>
        <row r="69">
          <cell r="A69">
            <v>1239</v>
          </cell>
          <cell r="B69">
            <v>1</v>
          </cell>
          <cell r="C69" t="str">
            <v>自购</v>
          </cell>
          <cell r="D69">
            <v>0</v>
          </cell>
          <cell r="E69" t="str">
            <v>t</v>
          </cell>
          <cell r="G69">
            <v>0</v>
          </cell>
          <cell r="H69">
            <v>0</v>
          </cell>
          <cell r="K69" t="str">
            <v>kg</v>
          </cell>
          <cell r="L69">
            <v>0</v>
          </cell>
        </row>
        <row r="70">
          <cell r="A70">
            <v>1240</v>
          </cell>
          <cell r="B70">
            <v>1</v>
          </cell>
          <cell r="C70" t="str">
            <v>自购</v>
          </cell>
          <cell r="D70">
            <v>0</v>
          </cell>
          <cell r="E70" t="str">
            <v>t</v>
          </cell>
          <cell r="G70">
            <v>0</v>
          </cell>
          <cell r="H70">
            <v>0</v>
          </cell>
          <cell r="K70" t="str">
            <v>kg</v>
          </cell>
          <cell r="L70">
            <v>0</v>
          </cell>
        </row>
        <row r="71">
          <cell r="A71">
            <v>1241</v>
          </cell>
          <cell r="B71">
            <v>1</v>
          </cell>
          <cell r="C71" t="str">
            <v>自购</v>
          </cell>
          <cell r="D71">
            <v>0</v>
          </cell>
          <cell r="E71" t="str">
            <v>t</v>
          </cell>
          <cell r="G71">
            <v>0</v>
          </cell>
          <cell r="H71">
            <v>0</v>
          </cell>
          <cell r="K71" t="str">
            <v>kg</v>
          </cell>
          <cell r="L71">
            <v>0</v>
          </cell>
        </row>
        <row r="72">
          <cell r="A72">
            <v>1242</v>
          </cell>
          <cell r="B72">
            <v>1</v>
          </cell>
          <cell r="C72" t="str">
            <v>自购</v>
          </cell>
          <cell r="D72">
            <v>0</v>
          </cell>
          <cell r="E72" t="str">
            <v>t</v>
          </cell>
          <cell r="G72">
            <v>0</v>
          </cell>
          <cell r="H72">
            <v>0</v>
          </cell>
          <cell r="K72" t="str">
            <v>kg</v>
          </cell>
          <cell r="L72">
            <v>0</v>
          </cell>
        </row>
        <row r="73">
          <cell r="A73">
            <v>1243</v>
          </cell>
          <cell r="B73">
            <v>1</v>
          </cell>
          <cell r="C73" t="str">
            <v>自购</v>
          </cell>
          <cell r="D73">
            <v>0</v>
          </cell>
          <cell r="E73" t="str">
            <v>t</v>
          </cell>
          <cell r="G73">
            <v>0</v>
          </cell>
          <cell r="H73">
            <v>0</v>
          </cell>
          <cell r="K73" t="str">
            <v>kg</v>
          </cell>
          <cell r="L73">
            <v>0</v>
          </cell>
        </row>
        <row r="74">
          <cell r="A74">
            <v>1244</v>
          </cell>
          <cell r="B74">
            <v>1</v>
          </cell>
          <cell r="C74" t="str">
            <v>自购</v>
          </cell>
          <cell r="D74">
            <v>0</v>
          </cell>
          <cell r="E74" t="str">
            <v>t</v>
          </cell>
          <cell r="G74">
            <v>0</v>
          </cell>
          <cell r="H74">
            <v>0</v>
          </cell>
          <cell r="K74" t="str">
            <v>kg</v>
          </cell>
          <cell r="L74">
            <v>0</v>
          </cell>
        </row>
        <row r="75">
          <cell r="A75">
            <v>1245</v>
          </cell>
          <cell r="B75">
            <v>1</v>
          </cell>
          <cell r="C75" t="str">
            <v>自购</v>
          </cell>
          <cell r="D75">
            <v>0</v>
          </cell>
          <cell r="E75" t="str">
            <v>t</v>
          </cell>
          <cell r="G75">
            <v>0</v>
          </cell>
          <cell r="H75">
            <v>0</v>
          </cell>
          <cell r="K75" t="str">
            <v>kg</v>
          </cell>
          <cell r="L75">
            <v>0</v>
          </cell>
        </row>
        <row r="76">
          <cell r="A76">
            <v>1246</v>
          </cell>
          <cell r="B76">
            <v>1</v>
          </cell>
          <cell r="C76" t="str">
            <v>自购</v>
          </cell>
          <cell r="D76">
            <v>0</v>
          </cell>
          <cell r="E76" t="str">
            <v>t</v>
          </cell>
          <cell r="G76">
            <v>0</v>
          </cell>
          <cell r="H76">
            <v>0</v>
          </cell>
          <cell r="K76" t="str">
            <v>kg</v>
          </cell>
          <cell r="L76">
            <v>0</v>
          </cell>
        </row>
        <row r="77">
          <cell r="A77">
            <v>1247</v>
          </cell>
          <cell r="B77">
            <v>1</v>
          </cell>
          <cell r="C77" t="str">
            <v>自购</v>
          </cell>
          <cell r="D77">
            <v>0</v>
          </cell>
          <cell r="E77" t="str">
            <v>t</v>
          </cell>
          <cell r="G77">
            <v>0</v>
          </cell>
          <cell r="H77">
            <v>0</v>
          </cell>
          <cell r="K77" t="str">
            <v>kg</v>
          </cell>
          <cell r="L77">
            <v>0</v>
          </cell>
        </row>
        <row r="78">
          <cell r="B78">
            <v>1</v>
          </cell>
        </row>
        <row r="79">
          <cell r="B79">
            <v>1</v>
          </cell>
        </row>
        <row r="80">
          <cell r="B80">
            <v>1</v>
          </cell>
        </row>
        <row r="81">
          <cell r="B81">
            <v>1</v>
          </cell>
        </row>
        <row r="82">
          <cell r="B82">
            <v>1</v>
          </cell>
        </row>
        <row r="83">
          <cell r="B83">
            <v>1</v>
          </cell>
        </row>
        <row r="84">
          <cell r="B84">
            <v>1</v>
          </cell>
        </row>
        <row r="85">
          <cell r="B85">
            <v>1</v>
          </cell>
        </row>
        <row r="86">
          <cell r="B86">
            <v>1</v>
          </cell>
        </row>
        <row r="87">
          <cell r="B87">
            <v>1</v>
          </cell>
        </row>
        <row r="88">
          <cell r="B88">
            <v>1</v>
          </cell>
        </row>
        <row r="89">
          <cell r="B89">
            <v>1</v>
          </cell>
        </row>
        <row r="90">
          <cell r="B90">
            <v>1</v>
          </cell>
        </row>
        <row r="91">
          <cell r="B91">
            <v>1</v>
          </cell>
        </row>
        <row r="92">
          <cell r="B92">
            <v>1</v>
          </cell>
        </row>
        <row r="93">
          <cell r="B93">
            <v>1</v>
          </cell>
        </row>
        <row r="94">
          <cell r="B94">
            <v>1</v>
          </cell>
        </row>
        <row r="95">
          <cell r="B95">
            <v>1</v>
          </cell>
          <cell r="D95" t="str">
            <v>地材</v>
          </cell>
        </row>
        <row r="96">
          <cell r="B96">
            <v>1</v>
          </cell>
        </row>
        <row r="97">
          <cell r="A97">
            <v>1301</v>
          </cell>
          <cell r="B97">
            <v>1</v>
          </cell>
          <cell r="C97" t="str">
            <v>自采</v>
          </cell>
          <cell r="D97" t="str">
            <v>煤</v>
          </cell>
          <cell r="E97" t="str">
            <v>kg</v>
          </cell>
          <cell r="G97">
            <v>0.21</v>
          </cell>
          <cell r="H97">
            <v>0.21</v>
          </cell>
          <cell r="K97" t="str">
            <v>kg</v>
          </cell>
          <cell r="L97">
            <v>0.21</v>
          </cell>
        </row>
        <row r="98">
          <cell r="A98">
            <v>1302</v>
          </cell>
          <cell r="B98">
            <v>1</v>
          </cell>
          <cell r="C98" t="str">
            <v>自采</v>
          </cell>
          <cell r="D98" t="str">
            <v>木柴</v>
          </cell>
          <cell r="E98" t="str">
            <v>kg</v>
          </cell>
          <cell r="G98">
            <v>0.18</v>
          </cell>
          <cell r="H98">
            <v>0.18</v>
          </cell>
          <cell r="K98" t="str">
            <v>kg</v>
          </cell>
          <cell r="L98">
            <v>0.18</v>
          </cell>
        </row>
        <row r="99">
          <cell r="A99">
            <v>1303</v>
          </cell>
          <cell r="B99">
            <v>1</v>
          </cell>
          <cell r="C99" t="str">
            <v>自采</v>
          </cell>
          <cell r="D99" t="str">
            <v>稻草</v>
          </cell>
          <cell r="E99" t="str">
            <v>kg</v>
          </cell>
          <cell r="G99">
            <v>0.3</v>
          </cell>
          <cell r="H99">
            <v>0.3</v>
          </cell>
          <cell r="K99" t="str">
            <v>kg</v>
          </cell>
          <cell r="L99">
            <v>0.3</v>
          </cell>
        </row>
        <row r="100">
          <cell r="A100">
            <v>1304</v>
          </cell>
          <cell r="B100">
            <v>1</v>
          </cell>
          <cell r="C100" t="str">
            <v>自采</v>
          </cell>
          <cell r="D100" t="str">
            <v>白水泥</v>
          </cell>
          <cell r="E100" t="str">
            <v>kg</v>
          </cell>
          <cell r="G100">
            <v>0.45</v>
          </cell>
          <cell r="H100">
            <v>0.45</v>
          </cell>
          <cell r="K100" t="str">
            <v>kg</v>
          </cell>
          <cell r="L100">
            <v>0.45</v>
          </cell>
        </row>
        <row r="101">
          <cell r="A101">
            <v>1305</v>
          </cell>
          <cell r="B101">
            <v>1</v>
          </cell>
          <cell r="C101" t="str">
            <v>自采</v>
          </cell>
          <cell r="D101" t="str">
            <v>石灰</v>
          </cell>
          <cell r="E101" t="str">
            <v>kg</v>
          </cell>
          <cell r="G101">
            <v>0.08</v>
          </cell>
          <cell r="H101">
            <v>0.08</v>
          </cell>
          <cell r="K101" t="str">
            <v>kg</v>
          </cell>
          <cell r="L101">
            <v>0.08</v>
          </cell>
        </row>
        <row r="102">
          <cell r="A102">
            <v>1306</v>
          </cell>
          <cell r="B102">
            <v>1</v>
          </cell>
          <cell r="C102" t="str">
            <v>自采</v>
          </cell>
          <cell r="D102" t="str">
            <v>107胶</v>
          </cell>
          <cell r="E102" t="str">
            <v>kg</v>
          </cell>
          <cell r="G102">
            <v>1</v>
          </cell>
          <cell r="H102">
            <v>1</v>
          </cell>
          <cell r="K102" t="str">
            <v>kg</v>
          </cell>
          <cell r="L102">
            <v>1</v>
          </cell>
        </row>
        <row r="103">
          <cell r="A103">
            <v>1307</v>
          </cell>
          <cell r="B103">
            <v>1</v>
          </cell>
          <cell r="C103" t="str">
            <v>自采</v>
          </cell>
          <cell r="D103" t="str">
            <v>纸筋</v>
          </cell>
          <cell r="E103" t="str">
            <v>kg</v>
          </cell>
          <cell r="G103">
            <v>0.61</v>
          </cell>
          <cell r="H103">
            <v>0.61</v>
          </cell>
          <cell r="K103" t="str">
            <v>kg</v>
          </cell>
          <cell r="L103">
            <v>0.61</v>
          </cell>
        </row>
        <row r="104">
          <cell r="A104">
            <v>1308</v>
          </cell>
          <cell r="B104">
            <v>1</v>
          </cell>
          <cell r="C104" t="str">
            <v>自采</v>
          </cell>
          <cell r="D104" t="str">
            <v>石灰膏</v>
          </cell>
          <cell r="E104" t="str">
            <v>m3</v>
          </cell>
          <cell r="G104">
            <v>123</v>
          </cell>
          <cell r="H104">
            <v>123</v>
          </cell>
          <cell r="K104" t="str">
            <v>m3</v>
          </cell>
          <cell r="L104">
            <v>123</v>
          </cell>
        </row>
        <row r="105">
          <cell r="A105">
            <v>1309</v>
          </cell>
          <cell r="B105">
            <v>1</v>
          </cell>
          <cell r="C105" t="str">
            <v>自采</v>
          </cell>
          <cell r="D105" t="str">
            <v>彩色石子</v>
          </cell>
          <cell r="E105" t="str">
            <v>kg</v>
          </cell>
          <cell r="G105">
            <v>0.125</v>
          </cell>
          <cell r="H105">
            <v>0.125</v>
          </cell>
          <cell r="K105" t="str">
            <v>kg</v>
          </cell>
          <cell r="L105">
            <v>0.125</v>
          </cell>
        </row>
        <row r="106">
          <cell r="A106">
            <v>1310</v>
          </cell>
          <cell r="B106">
            <v>1</v>
          </cell>
          <cell r="C106" t="str">
            <v>自采</v>
          </cell>
          <cell r="D106" t="str">
            <v>石屑</v>
          </cell>
          <cell r="E106" t="str">
            <v>m3</v>
          </cell>
          <cell r="G106">
            <v>45</v>
          </cell>
          <cell r="H106">
            <v>45</v>
          </cell>
          <cell r="K106" t="str">
            <v>m3</v>
          </cell>
          <cell r="L106">
            <v>45</v>
          </cell>
        </row>
        <row r="107">
          <cell r="A107">
            <v>1311</v>
          </cell>
          <cell r="B107">
            <v>1</v>
          </cell>
          <cell r="C107" t="str">
            <v>自采</v>
          </cell>
          <cell r="D107" t="str">
            <v>炉渣</v>
          </cell>
          <cell r="E107" t="str">
            <v>kg</v>
          </cell>
          <cell r="G107">
            <v>0.08</v>
          </cell>
          <cell r="H107">
            <v>0.08</v>
          </cell>
          <cell r="K107" t="str">
            <v>kg</v>
          </cell>
          <cell r="L107">
            <v>0.08</v>
          </cell>
        </row>
        <row r="108">
          <cell r="A108">
            <v>1312</v>
          </cell>
          <cell r="B108">
            <v>1</v>
          </cell>
          <cell r="C108" t="str">
            <v>自采</v>
          </cell>
          <cell r="D108" t="str">
            <v>珍珠岩</v>
          </cell>
          <cell r="E108" t="str">
            <v>m3</v>
          </cell>
          <cell r="G108">
            <v>80</v>
          </cell>
          <cell r="H108">
            <v>80</v>
          </cell>
          <cell r="K108" t="str">
            <v>m3</v>
          </cell>
          <cell r="L108">
            <v>80</v>
          </cell>
        </row>
        <row r="109">
          <cell r="A109">
            <v>1313</v>
          </cell>
          <cell r="B109">
            <v>1</v>
          </cell>
          <cell r="C109" t="str">
            <v>业主提供</v>
          </cell>
          <cell r="D109" t="str">
            <v>砂子</v>
          </cell>
          <cell r="E109" t="str">
            <v>T</v>
          </cell>
          <cell r="G109">
            <v>47.5</v>
          </cell>
          <cell r="H109">
            <v>47.5</v>
          </cell>
          <cell r="K109" t="str">
            <v>T</v>
          </cell>
          <cell r="L109">
            <v>47.5</v>
          </cell>
          <cell r="AC109">
            <v>1</v>
          </cell>
        </row>
        <row r="110">
          <cell r="A110">
            <v>1314</v>
          </cell>
          <cell r="B110">
            <v>1</v>
          </cell>
          <cell r="C110" t="str">
            <v>业主提供</v>
          </cell>
          <cell r="D110" t="str">
            <v>石子</v>
          </cell>
          <cell r="E110" t="str">
            <v>T</v>
          </cell>
          <cell r="G110">
            <v>32.5</v>
          </cell>
          <cell r="H110">
            <v>32.5</v>
          </cell>
          <cell r="K110" t="str">
            <v>T</v>
          </cell>
          <cell r="L110">
            <v>32.5</v>
          </cell>
          <cell r="AD110">
            <v>1</v>
          </cell>
        </row>
        <row r="111">
          <cell r="A111">
            <v>1315</v>
          </cell>
          <cell r="B111">
            <v>1</v>
          </cell>
          <cell r="C111" t="str">
            <v>自采</v>
          </cell>
          <cell r="D111" t="str">
            <v>块石</v>
          </cell>
          <cell r="E111" t="str">
            <v>m3</v>
          </cell>
          <cell r="G111">
            <v>0</v>
          </cell>
          <cell r="K111" t="str">
            <v>m3</v>
          </cell>
          <cell r="L111">
            <v>15</v>
          </cell>
          <cell r="S111" t="e">
            <v>#REF!</v>
          </cell>
        </row>
        <row r="112">
          <cell r="A112">
            <v>1316</v>
          </cell>
          <cell r="B112">
            <v>1</v>
          </cell>
          <cell r="C112" t="str">
            <v>自采</v>
          </cell>
          <cell r="D112" t="str">
            <v>块石（钢筋笼）</v>
          </cell>
          <cell r="E112" t="str">
            <v>m3</v>
          </cell>
          <cell r="G112">
            <v>0</v>
          </cell>
          <cell r="K112" t="str">
            <v>m3</v>
          </cell>
          <cell r="L112">
            <v>12</v>
          </cell>
        </row>
        <row r="113">
          <cell r="A113">
            <v>1317</v>
          </cell>
          <cell r="B113">
            <v>1</v>
          </cell>
          <cell r="C113" t="str">
            <v>自采</v>
          </cell>
          <cell r="D113" t="str">
            <v>片石</v>
          </cell>
          <cell r="E113" t="str">
            <v>m3</v>
          </cell>
          <cell r="G113">
            <v>0</v>
          </cell>
          <cell r="K113" t="str">
            <v>m3</v>
          </cell>
          <cell r="L113">
            <v>22</v>
          </cell>
        </row>
        <row r="114">
          <cell r="A114">
            <v>1318</v>
          </cell>
          <cell r="B114">
            <v>1</v>
          </cell>
          <cell r="C114" t="str">
            <v>自采</v>
          </cell>
          <cell r="D114" t="str">
            <v>料石</v>
          </cell>
          <cell r="E114" t="str">
            <v>m3</v>
          </cell>
          <cell r="G114">
            <v>169.25</v>
          </cell>
          <cell r="H114">
            <v>169.25</v>
          </cell>
          <cell r="K114" t="str">
            <v>m3</v>
          </cell>
          <cell r="L114">
            <v>169.25</v>
          </cell>
        </row>
        <row r="115">
          <cell r="A115">
            <v>1319</v>
          </cell>
          <cell r="B115">
            <v>1</v>
          </cell>
          <cell r="C115" t="str">
            <v>自采</v>
          </cell>
          <cell r="D115" t="str">
            <v>粘土</v>
          </cell>
          <cell r="E115" t="str">
            <v>m3</v>
          </cell>
          <cell r="G115">
            <v>16</v>
          </cell>
          <cell r="H115">
            <v>16</v>
          </cell>
          <cell r="K115" t="str">
            <v>m3</v>
          </cell>
          <cell r="L115">
            <v>16</v>
          </cell>
        </row>
        <row r="116">
          <cell r="A116">
            <v>1320</v>
          </cell>
          <cell r="B116">
            <v>1</v>
          </cell>
          <cell r="C116" t="str">
            <v>自采</v>
          </cell>
          <cell r="D116" t="str">
            <v>黄土</v>
          </cell>
          <cell r="E116" t="str">
            <v>m3</v>
          </cell>
          <cell r="G116">
            <v>15</v>
          </cell>
          <cell r="H116">
            <v>15</v>
          </cell>
          <cell r="K116" t="str">
            <v>m3</v>
          </cell>
          <cell r="L116">
            <v>15</v>
          </cell>
        </row>
        <row r="117">
          <cell r="A117">
            <v>1321</v>
          </cell>
          <cell r="B117">
            <v>1</v>
          </cell>
          <cell r="C117" t="str">
            <v>自采</v>
          </cell>
          <cell r="D117" t="str">
            <v>砂子(临建)</v>
          </cell>
          <cell r="E117" t="str">
            <v>T</v>
          </cell>
          <cell r="G117">
            <v>40</v>
          </cell>
          <cell r="H117">
            <v>40</v>
          </cell>
          <cell r="K117" t="str">
            <v>T</v>
          </cell>
          <cell r="L117">
            <v>40</v>
          </cell>
        </row>
        <row r="118">
          <cell r="A118">
            <v>1322</v>
          </cell>
          <cell r="B118">
            <v>1</v>
          </cell>
          <cell r="C118" t="str">
            <v>自采</v>
          </cell>
          <cell r="D118" t="str">
            <v>大石</v>
          </cell>
          <cell r="E118" t="str">
            <v>T</v>
          </cell>
          <cell r="G118" t="e">
            <v>#REF!</v>
          </cell>
          <cell r="H118" t="e">
            <v>#REF!</v>
          </cell>
          <cell r="K118" t="str">
            <v>T</v>
          </cell>
          <cell r="L118" t="e">
            <v>#REF!</v>
          </cell>
        </row>
        <row r="119">
          <cell r="A119">
            <v>1323</v>
          </cell>
          <cell r="B119">
            <v>1</v>
          </cell>
          <cell r="C119" t="str">
            <v>自采</v>
          </cell>
          <cell r="D119" t="str">
            <v>中石</v>
          </cell>
          <cell r="E119" t="str">
            <v>T</v>
          </cell>
          <cell r="G119" t="e">
            <v>#REF!</v>
          </cell>
          <cell r="H119" t="e">
            <v>#REF!</v>
          </cell>
          <cell r="K119" t="str">
            <v>T</v>
          </cell>
          <cell r="L119" t="e">
            <v>#REF!</v>
          </cell>
        </row>
        <row r="120">
          <cell r="A120">
            <v>1324</v>
          </cell>
          <cell r="B120">
            <v>1</v>
          </cell>
          <cell r="C120" t="str">
            <v>自采</v>
          </cell>
          <cell r="D120" t="str">
            <v>小石</v>
          </cell>
          <cell r="E120" t="str">
            <v>T</v>
          </cell>
          <cell r="G120" t="e">
            <v>#REF!</v>
          </cell>
          <cell r="H120" t="e">
            <v>#REF!</v>
          </cell>
          <cell r="K120" t="str">
            <v>T</v>
          </cell>
          <cell r="L120" t="e">
            <v>#REF!</v>
          </cell>
        </row>
        <row r="121">
          <cell r="A121">
            <v>1325</v>
          </cell>
          <cell r="B121">
            <v>1</v>
          </cell>
          <cell r="D121" t="str">
            <v>石子(临建)</v>
          </cell>
          <cell r="E121" t="str">
            <v>T</v>
          </cell>
          <cell r="G121">
            <v>27.586206896551726</v>
          </cell>
          <cell r="H121">
            <v>27.586206896551726</v>
          </cell>
          <cell r="K121" t="str">
            <v>T</v>
          </cell>
          <cell r="L121">
            <v>27.586206896551726</v>
          </cell>
        </row>
        <row r="122">
          <cell r="A122">
            <v>1326</v>
          </cell>
          <cell r="B122">
            <v>1</v>
          </cell>
        </row>
        <row r="123">
          <cell r="A123">
            <v>1327</v>
          </cell>
          <cell r="B123">
            <v>1</v>
          </cell>
        </row>
        <row r="124">
          <cell r="A124">
            <v>1328</v>
          </cell>
          <cell r="B124">
            <v>1</v>
          </cell>
        </row>
        <row r="125">
          <cell r="A125">
            <v>1329</v>
          </cell>
          <cell r="B125">
            <v>1</v>
          </cell>
        </row>
        <row r="126">
          <cell r="A126">
            <v>1330</v>
          </cell>
          <cell r="B126">
            <v>1</v>
          </cell>
          <cell r="D126" t="str">
            <v>彩钢板</v>
          </cell>
          <cell r="E126" t="str">
            <v>t</v>
          </cell>
          <cell r="G126">
            <v>10080</v>
          </cell>
          <cell r="H126">
            <v>10080</v>
          </cell>
          <cell r="K126" t="str">
            <v>t</v>
          </cell>
          <cell r="L126">
            <v>10080</v>
          </cell>
        </row>
        <row r="127">
          <cell r="A127">
            <v>1331</v>
          </cell>
          <cell r="B127">
            <v>1</v>
          </cell>
        </row>
        <row r="128">
          <cell r="A128">
            <v>1332</v>
          </cell>
          <cell r="B128">
            <v>1</v>
          </cell>
        </row>
        <row r="129">
          <cell r="A129">
            <v>1333</v>
          </cell>
          <cell r="B129">
            <v>1</v>
          </cell>
        </row>
        <row r="130">
          <cell r="A130">
            <v>1325</v>
          </cell>
          <cell r="B130">
            <v>1</v>
          </cell>
        </row>
        <row r="131">
          <cell r="A131">
            <v>1326</v>
          </cell>
          <cell r="B131">
            <v>1</v>
          </cell>
        </row>
        <row r="132">
          <cell r="A132">
            <v>1327</v>
          </cell>
          <cell r="B132">
            <v>1</v>
          </cell>
        </row>
        <row r="133">
          <cell r="A133">
            <v>1328</v>
          </cell>
          <cell r="B133">
            <v>1</v>
          </cell>
        </row>
        <row r="134">
          <cell r="A134">
            <v>1329</v>
          </cell>
          <cell r="B134">
            <v>1</v>
          </cell>
        </row>
        <row r="135">
          <cell r="A135">
            <v>1330</v>
          </cell>
          <cell r="B135">
            <v>1</v>
          </cell>
        </row>
        <row r="136">
          <cell r="A136">
            <v>1331</v>
          </cell>
          <cell r="B136">
            <v>1</v>
          </cell>
        </row>
        <row r="137">
          <cell r="A137">
            <v>1332</v>
          </cell>
          <cell r="B137">
            <v>1</v>
          </cell>
        </row>
        <row r="138">
          <cell r="A138">
            <v>1333</v>
          </cell>
          <cell r="B138">
            <v>1</v>
          </cell>
        </row>
        <row r="139">
          <cell r="B139">
            <v>1</v>
          </cell>
          <cell r="D139" t="str">
            <v>砼及砂浆</v>
          </cell>
          <cell r="G139">
            <v>0</v>
          </cell>
          <cell r="K139" t="str">
            <v>m3</v>
          </cell>
        </row>
        <row r="140">
          <cell r="A140">
            <v>4001</v>
          </cell>
          <cell r="B140">
            <v>1</v>
          </cell>
          <cell r="C140" t="str">
            <v>业主供砂石料</v>
          </cell>
          <cell r="D140" t="str">
            <v>C20F50Ⅱ</v>
          </cell>
          <cell r="E140" t="str">
            <v>m3</v>
          </cell>
          <cell r="G140">
            <v>146.74851999999998</v>
          </cell>
          <cell r="K140" t="str">
            <v>m3</v>
          </cell>
          <cell r="L140">
            <v>146.74851999999998</v>
          </cell>
          <cell r="P140">
            <v>175</v>
          </cell>
          <cell r="AC140">
            <v>705</v>
          </cell>
          <cell r="AD140">
            <v>1368</v>
          </cell>
        </row>
        <row r="141">
          <cell r="A141">
            <v>4002</v>
          </cell>
          <cell r="B141">
            <v>1</v>
          </cell>
          <cell r="C141" t="str">
            <v>业主供砂石料</v>
          </cell>
          <cell r="D141" t="str">
            <v>C25F50Ⅱ</v>
          </cell>
          <cell r="E141" t="str">
            <v>m3</v>
          </cell>
          <cell r="G141">
            <v>157.74139</v>
          </cell>
          <cell r="K141" t="str">
            <v>m3</v>
          </cell>
          <cell r="L141">
            <v>157.74139</v>
          </cell>
          <cell r="P141">
            <v>222</v>
          </cell>
          <cell r="AC141">
            <v>695</v>
          </cell>
          <cell r="AD141">
            <v>1350</v>
          </cell>
        </row>
        <row r="142">
          <cell r="A142">
            <v>4003</v>
          </cell>
          <cell r="B142">
            <v>1</v>
          </cell>
          <cell r="C142" t="str">
            <v>业主供砂石料</v>
          </cell>
          <cell r="D142" t="str">
            <v>C25F50Ⅲ</v>
          </cell>
          <cell r="E142" t="str">
            <v>m3</v>
          </cell>
          <cell r="G142">
            <v>149.88425000000001</v>
          </cell>
          <cell r="K142" t="str">
            <v>m3</v>
          </cell>
          <cell r="L142">
            <v>149.88425000000001</v>
          </cell>
          <cell r="P142">
            <v>196</v>
          </cell>
          <cell r="AC142">
            <v>637</v>
          </cell>
          <cell r="AD142">
            <v>1487</v>
          </cell>
        </row>
        <row r="143">
          <cell r="A143">
            <v>4004</v>
          </cell>
          <cell r="B143">
            <v>1</v>
          </cell>
          <cell r="C143" t="str">
            <v>业主供砂石料</v>
          </cell>
          <cell r="D143" t="str">
            <v>C30F50Ⅱ</v>
          </cell>
          <cell r="E143" t="str">
            <v>m3</v>
          </cell>
          <cell r="G143">
            <v>159.55641</v>
          </cell>
          <cell r="K143" t="str">
            <v>m3</v>
          </cell>
          <cell r="L143">
            <v>159.55641</v>
          </cell>
          <cell r="P143">
            <v>234</v>
          </cell>
          <cell r="AC143">
            <v>681</v>
          </cell>
          <cell r="AD143">
            <v>1382</v>
          </cell>
        </row>
        <row r="144">
          <cell r="A144">
            <v>4005</v>
          </cell>
          <cell r="B144">
            <v>1</v>
          </cell>
          <cell r="C144" t="str">
            <v>业主供砂石料</v>
          </cell>
          <cell r="D144" t="str">
            <v>C30F50Ⅰ</v>
          </cell>
          <cell r="E144" t="str">
            <v>m3</v>
          </cell>
          <cell r="G144">
            <v>180.64871000000005</v>
          </cell>
          <cell r="K144" t="str">
            <v>m3</v>
          </cell>
          <cell r="L144">
            <v>180.64871000000005</v>
          </cell>
          <cell r="P144">
            <v>308</v>
          </cell>
          <cell r="AC144">
            <v>703</v>
          </cell>
          <cell r="AD144">
            <v>1197</v>
          </cell>
        </row>
        <row r="145">
          <cell r="A145">
            <v>4006</v>
          </cell>
          <cell r="B145">
            <v>1</v>
          </cell>
          <cell r="C145" t="str">
            <v>业主供砂石料</v>
          </cell>
          <cell r="D145" t="str">
            <v>C25F50Ⅰ</v>
          </cell>
          <cell r="E145" t="str">
            <v>m3</v>
          </cell>
          <cell r="G145">
            <v>167.93949000000001</v>
          </cell>
          <cell r="K145" t="str">
            <v>m3</v>
          </cell>
          <cell r="L145">
            <v>167.93949000000001</v>
          </cell>
          <cell r="P145">
            <v>258</v>
          </cell>
          <cell r="AC145">
            <v>737</v>
          </cell>
          <cell r="AD145">
            <v>1203</v>
          </cell>
        </row>
        <row r="146">
          <cell r="A146">
            <v>4007</v>
          </cell>
          <cell r="B146">
            <v>1</v>
          </cell>
          <cell r="C146" t="str">
            <v>业主供砂石料</v>
          </cell>
          <cell r="D146" t="str">
            <v/>
          </cell>
          <cell r="E146" t="str">
            <v>m3</v>
          </cell>
          <cell r="G146">
            <v>0</v>
          </cell>
          <cell r="K146" t="str">
            <v>m3</v>
          </cell>
          <cell r="L146">
            <v>0</v>
          </cell>
          <cell r="P146">
            <v>0</v>
          </cell>
          <cell r="AC146">
            <v>0</v>
          </cell>
          <cell r="AD146">
            <v>0</v>
          </cell>
        </row>
        <row r="147">
          <cell r="A147">
            <v>4008</v>
          </cell>
          <cell r="B147">
            <v>1</v>
          </cell>
          <cell r="C147" t="str">
            <v>业主供砂石料</v>
          </cell>
          <cell r="D147" t="str">
            <v>C25F150Ⅱ</v>
          </cell>
          <cell r="E147" t="str">
            <v>m3</v>
          </cell>
          <cell r="G147">
            <v>157.74139</v>
          </cell>
          <cell r="K147" t="str">
            <v>m3</v>
          </cell>
          <cell r="L147">
            <v>157.74139</v>
          </cell>
          <cell r="P147">
            <v>222</v>
          </cell>
          <cell r="AC147">
            <v>695</v>
          </cell>
          <cell r="AD147">
            <v>1350</v>
          </cell>
        </row>
        <row r="148">
          <cell r="A148">
            <v>4009</v>
          </cell>
          <cell r="B148">
            <v>1</v>
          </cell>
          <cell r="C148" t="str">
            <v>业主供砂石料</v>
          </cell>
          <cell r="D148" t="str">
            <v>C30F50Ⅲ</v>
          </cell>
          <cell r="E148" t="str">
            <v>m3</v>
          </cell>
          <cell r="G148">
            <v>155.94575</v>
          </cell>
          <cell r="K148" t="str">
            <v>m3</v>
          </cell>
          <cell r="L148">
            <v>155.94575</v>
          </cell>
          <cell r="P148">
            <v>222</v>
          </cell>
          <cell r="AC148">
            <v>623</v>
          </cell>
          <cell r="AD148">
            <v>1454</v>
          </cell>
        </row>
        <row r="149">
          <cell r="A149">
            <v>4010</v>
          </cell>
          <cell r="B149">
            <v>1</v>
          </cell>
          <cell r="C149" t="str">
            <v>业主供砂石料</v>
          </cell>
          <cell r="D149" t="str">
            <v>C20Ⅱ</v>
          </cell>
          <cell r="E149" t="str">
            <v>m3</v>
          </cell>
          <cell r="G149">
            <v>146.74851999999998</v>
          </cell>
          <cell r="K149" t="str">
            <v>m3</v>
          </cell>
          <cell r="L149">
            <v>146.74851999999998</v>
          </cell>
          <cell r="P149">
            <v>175</v>
          </cell>
          <cell r="AC149">
            <v>705</v>
          </cell>
          <cell r="AD149">
            <v>1368</v>
          </cell>
        </row>
        <row r="150">
          <cell r="A150">
            <v>4011</v>
          </cell>
          <cell r="B150">
            <v>1</v>
          </cell>
          <cell r="C150" t="str">
            <v>业主供砂石料</v>
          </cell>
          <cell r="D150" t="str">
            <v>C20Ⅲ</v>
          </cell>
          <cell r="E150" t="str">
            <v>m3</v>
          </cell>
          <cell r="G150">
            <v>133.41352000000001</v>
          </cell>
          <cell r="K150" t="str">
            <v>m3</v>
          </cell>
          <cell r="L150">
            <v>133.41352000000001</v>
          </cell>
          <cell r="P150">
            <v>155</v>
          </cell>
          <cell r="AC150">
            <v>635</v>
          </cell>
          <cell r="AD150">
            <v>1480</v>
          </cell>
        </row>
        <row r="151">
          <cell r="A151">
            <v>4012</v>
          </cell>
          <cell r="B151">
            <v>1</v>
          </cell>
          <cell r="C151" t="str">
            <v>业主供砂石料</v>
          </cell>
          <cell r="D151" t="str">
            <v>水泥砂浆M5</v>
          </cell>
          <cell r="E151" t="str">
            <v>m3</v>
          </cell>
          <cell r="G151">
            <v>142.33199999999999</v>
          </cell>
          <cell r="K151" t="str">
            <v>m3</v>
          </cell>
          <cell r="L151">
            <v>142.33199999999999</v>
          </cell>
          <cell r="O151">
            <v>210</v>
          </cell>
          <cell r="AC151">
            <v>1800</v>
          </cell>
          <cell r="AD151">
            <v>0</v>
          </cell>
        </row>
        <row r="152">
          <cell r="A152">
            <v>4013</v>
          </cell>
          <cell r="B152">
            <v>1</v>
          </cell>
          <cell r="C152" t="str">
            <v>业主供砂石料</v>
          </cell>
          <cell r="D152" t="str">
            <v>水泥砂浆1:1</v>
          </cell>
          <cell r="E152" t="str">
            <v>m3</v>
          </cell>
          <cell r="G152">
            <v>253.23000000000002</v>
          </cell>
          <cell r="K152" t="str">
            <v>m3</v>
          </cell>
          <cell r="L152">
            <v>253.23000000000002</v>
          </cell>
          <cell r="O152">
            <v>765</v>
          </cell>
          <cell r="AC152">
            <v>1140</v>
          </cell>
          <cell r="AD152">
            <v>0</v>
          </cell>
        </row>
        <row r="153">
          <cell r="A153">
            <v>4014</v>
          </cell>
          <cell r="B153">
            <v>1</v>
          </cell>
          <cell r="C153" t="str">
            <v>业主供砂石料</v>
          </cell>
          <cell r="D153" t="str">
            <v>水泥砂浆1:2</v>
          </cell>
          <cell r="E153" t="str">
            <v>m3</v>
          </cell>
          <cell r="G153">
            <v>224.08750000000001</v>
          </cell>
          <cell r="K153" t="str">
            <v>m3</v>
          </cell>
          <cell r="L153">
            <v>224.08750000000001</v>
          </cell>
          <cell r="O153">
            <v>557</v>
          </cell>
          <cell r="AC153">
            <v>1665</v>
          </cell>
          <cell r="AD153">
            <v>0</v>
          </cell>
        </row>
        <row r="154">
          <cell r="A154">
            <v>4015</v>
          </cell>
          <cell r="B154">
            <v>1</v>
          </cell>
          <cell r="C154" t="str">
            <v>业主供砂石料</v>
          </cell>
          <cell r="D154" t="str">
            <v>水泥砂浆1:3</v>
          </cell>
          <cell r="E154" t="str">
            <v>m3</v>
          </cell>
          <cell r="G154">
            <v>193.185</v>
          </cell>
          <cell r="K154" t="str">
            <v>m3</v>
          </cell>
          <cell r="L154">
            <v>193.185</v>
          </cell>
          <cell r="O154">
            <v>408</v>
          </cell>
          <cell r="R154" t="e">
            <v>#REF!</v>
          </cell>
          <cell r="AC154">
            <v>1830</v>
          </cell>
          <cell r="AD154">
            <v>0</v>
          </cell>
        </row>
        <row r="155">
          <cell r="A155">
            <v>4016</v>
          </cell>
          <cell r="B155">
            <v>1</v>
          </cell>
          <cell r="C155" t="str">
            <v>业主供砂石料</v>
          </cell>
          <cell r="D155" t="str">
            <v>水泥砂浆1:2.5</v>
          </cell>
          <cell r="E155" t="str">
            <v>m3</v>
          </cell>
          <cell r="G155">
            <v>214.505</v>
          </cell>
          <cell r="K155" t="str">
            <v>m3</v>
          </cell>
          <cell r="L155">
            <v>214.505</v>
          </cell>
          <cell r="O155">
            <v>490</v>
          </cell>
          <cell r="AC155">
            <v>1830</v>
          </cell>
          <cell r="AD155">
            <v>0</v>
          </cell>
        </row>
        <row r="156">
          <cell r="A156">
            <v>4017</v>
          </cell>
          <cell r="B156">
            <v>1</v>
          </cell>
          <cell r="C156" t="str">
            <v>业主供砂石料</v>
          </cell>
          <cell r="D156" t="str">
            <v>素水泥浆</v>
          </cell>
          <cell r="E156" t="str">
            <v>m3</v>
          </cell>
          <cell r="G156">
            <v>394.73200000000003</v>
          </cell>
          <cell r="K156" t="str">
            <v>m3</v>
          </cell>
          <cell r="L156">
            <v>394.73200000000003</v>
          </cell>
          <cell r="O156">
            <v>1517</v>
          </cell>
          <cell r="R156" t="e">
            <v>#REF!</v>
          </cell>
          <cell r="AC156">
            <v>0</v>
          </cell>
          <cell r="AD156">
            <v>0</v>
          </cell>
        </row>
        <row r="157">
          <cell r="A157">
            <v>4018</v>
          </cell>
          <cell r="B157">
            <v>1</v>
          </cell>
          <cell r="C157" t="str">
            <v>业主供砂石料</v>
          </cell>
          <cell r="D157" t="str">
            <v>水泥砂浆M7.5</v>
          </cell>
          <cell r="E157" t="str">
            <v>m3</v>
          </cell>
          <cell r="G157">
            <v>236.11799999999999</v>
          </cell>
          <cell r="K157" t="str">
            <v>m3</v>
          </cell>
          <cell r="L157">
            <v>236.11799999999999</v>
          </cell>
          <cell r="O157">
            <v>220</v>
          </cell>
          <cell r="AC157">
            <v>1334</v>
          </cell>
          <cell r="AD157">
            <v>0</v>
          </cell>
        </row>
        <row r="158">
          <cell r="A158">
            <v>4019</v>
          </cell>
          <cell r="B158">
            <v>1</v>
          </cell>
          <cell r="C158" t="str">
            <v>业主供砂石料</v>
          </cell>
          <cell r="D158" t="str">
            <v>锚杆砂浆</v>
          </cell>
          <cell r="E158" t="str">
            <v>m3</v>
          </cell>
          <cell r="G158">
            <v>199.13330000000002</v>
          </cell>
          <cell r="K158" t="str">
            <v>m3</v>
          </cell>
          <cell r="L158">
            <v>199.13330000000002</v>
          </cell>
          <cell r="O158">
            <v>431</v>
          </cell>
          <cell r="AC158">
            <v>1425</v>
          </cell>
          <cell r="AD158">
            <v>0</v>
          </cell>
        </row>
        <row r="159">
          <cell r="A159">
            <v>4020</v>
          </cell>
          <cell r="B159">
            <v>1</v>
          </cell>
          <cell r="C159" t="str">
            <v>业主供砂石料</v>
          </cell>
          <cell r="D159" t="str">
            <v>水泥白石子浆</v>
          </cell>
          <cell r="E159" t="str">
            <v>m3</v>
          </cell>
          <cell r="G159">
            <v>199.60000000000002</v>
          </cell>
          <cell r="K159" t="str">
            <v>m3</v>
          </cell>
          <cell r="L159">
            <v>199.60000000000002</v>
          </cell>
          <cell r="O159">
            <v>567</v>
          </cell>
        </row>
        <row r="160">
          <cell r="A160">
            <v>4021</v>
          </cell>
          <cell r="B160">
            <v>1</v>
          </cell>
          <cell r="C160" t="str">
            <v>业主供砂石料</v>
          </cell>
          <cell r="D160" t="str">
            <v>混合砂浆1:1:6</v>
          </cell>
          <cell r="E160" t="str">
            <v>m3</v>
          </cell>
          <cell r="G160">
            <v>138.05500000000001</v>
          </cell>
          <cell r="K160" t="str">
            <v>m3</v>
          </cell>
          <cell r="L160">
            <v>138.05500000000001</v>
          </cell>
          <cell r="O160">
            <v>204</v>
          </cell>
        </row>
        <row r="161">
          <cell r="A161">
            <v>4022</v>
          </cell>
          <cell r="B161">
            <v>1</v>
          </cell>
          <cell r="C161" t="str">
            <v>业主供砂石料</v>
          </cell>
          <cell r="D161" t="str">
            <v>混合砂浆M2.5</v>
          </cell>
          <cell r="E161" t="str">
            <v>m3</v>
          </cell>
          <cell r="G161">
            <v>115.62</v>
          </cell>
          <cell r="K161" t="str">
            <v>m3</v>
          </cell>
          <cell r="L161">
            <v>115.62</v>
          </cell>
          <cell r="O161">
            <v>117</v>
          </cell>
        </row>
        <row r="162">
          <cell r="A162">
            <v>4023</v>
          </cell>
          <cell r="B162">
            <v>1</v>
          </cell>
          <cell r="C162" t="str">
            <v>业主供砂石料</v>
          </cell>
          <cell r="D162" t="str">
            <v>C10Ⅱ</v>
          </cell>
          <cell r="E162" t="str">
            <v>m3</v>
          </cell>
          <cell r="G162">
            <v>125.81950000000001</v>
          </cell>
          <cell r="K162" t="str">
            <v>m3</v>
          </cell>
          <cell r="L162">
            <v>125.81950000000001</v>
          </cell>
          <cell r="O162">
            <v>250</v>
          </cell>
        </row>
        <row r="163">
          <cell r="A163">
            <v>4024</v>
          </cell>
          <cell r="B163">
            <v>1</v>
          </cell>
          <cell r="C163" t="str">
            <v>业主供砂石料</v>
          </cell>
          <cell r="D163" t="str">
            <v>混合砂浆1：0.2：2</v>
          </cell>
          <cell r="E163" t="str">
            <v>m3</v>
          </cell>
          <cell r="G163">
            <v>195.57250000000002</v>
          </cell>
          <cell r="K163" t="str">
            <v>m3</v>
          </cell>
          <cell r="L163">
            <v>195.57250000000002</v>
          </cell>
          <cell r="O163">
            <v>510</v>
          </cell>
        </row>
        <row r="164">
          <cell r="A164">
            <v>4025</v>
          </cell>
          <cell r="B164">
            <v>1</v>
          </cell>
          <cell r="C164" t="str">
            <v>业主供砂石料</v>
          </cell>
          <cell r="D164" t="e">
            <v>#N/A</v>
          </cell>
          <cell r="E164" t="str">
            <v>m3</v>
          </cell>
          <cell r="G164" t="e">
            <v>#N/A</v>
          </cell>
          <cell r="K164" t="str">
            <v>m3</v>
          </cell>
          <cell r="L164" t="e">
            <v>#N/A</v>
          </cell>
          <cell r="O164" t="e">
            <v>#N/A</v>
          </cell>
        </row>
        <row r="165">
          <cell r="A165">
            <v>4026</v>
          </cell>
          <cell r="B165">
            <v>1</v>
          </cell>
          <cell r="C165" t="str">
            <v>业主供砂石料</v>
          </cell>
          <cell r="D165" t="e">
            <v>#N/A</v>
          </cell>
          <cell r="E165" t="str">
            <v>m3</v>
          </cell>
          <cell r="G165" t="e">
            <v>#N/A</v>
          </cell>
          <cell r="K165" t="str">
            <v>m3</v>
          </cell>
          <cell r="L165" t="e">
            <v>#N/A</v>
          </cell>
          <cell r="O165" t="e">
            <v>#N/A</v>
          </cell>
        </row>
        <row r="166">
          <cell r="A166">
            <v>4027</v>
          </cell>
          <cell r="B166">
            <v>1</v>
          </cell>
          <cell r="C166" t="str">
            <v>业主供砂石料</v>
          </cell>
          <cell r="D166" t="e">
            <v>#N/A</v>
          </cell>
          <cell r="E166" t="str">
            <v>m3</v>
          </cell>
          <cell r="G166" t="e">
            <v>#N/A</v>
          </cell>
          <cell r="K166" t="str">
            <v>m3</v>
          </cell>
          <cell r="L166" t="e">
            <v>#N/A</v>
          </cell>
          <cell r="O166" t="e">
            <v>#N/A</v>
          </cell>
        </row>
        <row r="167">
          <cell r="B167">
            <v>1</v>
          </cell>
          <cell r="G167">
            <v>0</v>
          </cell>
          <cell r="K167">
            <v>0</v>
          </cell>
          <cell r="L167">
            <v>0</v>
          </cell>
          <cell r="O167" t="e">
            <v>#N/A</v>
          </cell>
        </row>
        <row r="168">
          <cell r="B168">
            <v>1</v>
          </cell>
          <cell r="G168">
            <v>0</v>
          </cell>
          <cell r="K168">
            <v>0</v>
          </cell>
          <cell r="L168">
            <v>0</v>
          </cell>
          <cell r="O168" t="e">
            <v>#N/A</v>
          </cell>
        </row>
        <row r="169">
          <cell r="B169">
            <v>1</v>
          </cell>
          <cell r="G169">
            <v>0</v>
          </cell>
          <cell r="O169" t="e">
            <v>#N/A</v>
          </cell>
        </row>
        <row r="170">
          <cell r="B170">
            <v>1</v>
          </cell>
          <cell r="G170">
            <v>0</v>
          </cell>
          <cell r="K170">
            <v>0</v>
          </cell>
          <cell r="L170">
            <v>0</v>
          </cell>
          <cell r="O170" t="e">
            <v>#N/A</v>
          </cell>
        </row>
        <row r="171">
          <cell r="B171">
            <v>1</v>
          </cell>
          <cell r="G171">
            <v>0</v>
          </cell>
          <cell r="K171">
            <v>0</v>
          </cell>
          <cell r="L171">
            <v>0</v>
          </cell>
        </row>
        <row r="172">
          <cell r="B172">
            <v>1</v>
          </cell>
          <cell r="G172">
            <v>0</v>
          </cell>
        </row>
        <row r="173">
          <cell r="A173">
            <v>1401</v>
          </cell>
          <cell r="B173">
            <v>1</v>
          </cell>
          <cell r="D173" t="str">
            <v>氨液</v>
          </cell>
          <cell r="E173" t="str">
            <v>kg</v>
          </cell>
          <cell r="G173">
            <v>3.4</v>
          </cell>
          <cell r="H173">
            <v>3.3</v>
          </cell>
          <cell r="I173">
            <v>0.1</v>
          </cell>
          <cell r="K173" t="str">
            <v>kg</v>
          </cell>
          <cell r="L173">
            <v>3.4</v>
          </cell>
        </row>
        <row r="174">
          <cell r="A174">
            <v>1402</v>
          </cell>
          <cell r="B174">
            <v>1</v>
          </cell>
          <cell r="D174" t="str">
            <v>冷冻油</v>
          </cell>
          <cell r="E174" t="str">
            <v>kg</v>
          </cell>
          <cell r="G174">
            <v>6.8</v>
          </cell>
          <cell r="H174">
            <v>6.6</v>
          </cell>
          <cell r="I174">
            <v>0.2</v>
          </cell>
          <cell r="K174" t="str">
            <v>kg</v>
          </cell>
          <cell r="L174">
            <v>6.8</v>
          </cell>
        </row>
        <row r="175">
          <cell r="A175">
            <v>1403</v>
          </cell>
          <cell r="B175">
            <v>1</v>
          </cell>
          <cell r="D175" t="str">
            <v>膨胀剂</v>
          </cell>
          <cell r="E175" t="str">
            <v>kg</v>
          </cell>
          <cell r="G175">
            <v>3.09</v>
          </cell>
          <cell r="H175">
            <v>3</v>
          </cell>
          <cell r="I175">
            <v>0.09</v>
          </cell>
          <cell r="K175" t="str">
            <v>kg</v>
          </cell>
          <cell r="L175">
            <v>3.09</v>
          </cell>
        </row>
        <row r="176">
          <cell r="A176">
            <v>1404</v>
          </cell>
          <cell r="B176">
            <v>1</v>
          </cell>
          <cell r="D176" t="str">
            <v>高效缓凝减水剂SW1</v>
          </cell>
          <cell r="E176" t="str">
            <v>kg</v>
          </cell>
          <cell r="G176">
            <v>6.0299999999999994</v>
          </cell>
          <cell r="H176">
            <v>5.85</v>
          </cell>
          <cell r="I176">
            <v>0.18</v>
          </cell>
          <cell r="K176" t="str">
            <v>kg</v>
          </cell>
          <cell r="L176">
            <v>6.0299999999999994</v>
          </cell>
        </row>
        <row r="177">
          <cell r="A177">
            <v>1405</v>
          </cell>
          <cell r="B177">
            <v>1</v>
          </cell>
          <cell r="D177" t="str">
            <v>高效早强减水剂SW4</v>
          </cell>
          <cell r="E177" t="str">
            <v>kg</v>
          </cell>
          <cell r="G177">
            <v>2.58</v>
          </cell>
          <cell r="H177">
            <v>2.5</v>
          </cell>
          <cell r="I177">
            <v>0.08</v>
          </cell>
          <cell r="K177" t="str">
            <v>kg</v>
          </cell>
          <cell r="L177">
            <v>2.58</v>
          </cell>
        </row>
        <row r="178">
          <cell r="A178">
            <v>1406</v>
          </cell>
          <cell r="B178">
            <v>1</v>
          </cell>
          <cell r="D178" t="str">
            <v>缓凝剂 ZB-1A</v>
          </cell>
          <cell r="E178" t="str">
            <v>kg</v>
          </cell>
          <cell r="G178">
            <v>7.42</v>
          </cell>
          <cell r="H178">
            <v>7.2</v>
          </cell>
          <cell r="I178">
            <v>0.22</v>
          </cell>
          <cell r="K178" t="str">
            <v>kg</v>
          </cell>
          <cell r="L178">
            <v>7.42</v>
          </cell>
        </row>
        <row r="179">
          <cell r="A179">
            <v>1407</v>
          </cell>
          <cell r="B179">
            <v>1</v>
          </cell>
          <cell r="D179" t="str">
            <v>引气剂DH9</v>
          </cell>
          <cell r="E179" t="str">
            <v>kg</v>
          </cell>
          <cell r="G179">
            <v>13.39</v>
          </cell>
          <cell r="H179">
            <v>13</v>
          </cell>
          <cell r="I179">
            <v>0.39</v>
          </cell>
          <cell r="K179" t="str">
            <v>kg</v>
          </cell>
          <cell r="L179">
            <v>13.39</v>
          </cell>
        </row>
        <row r="180">
          <cell r="A180">
            <v>1408</v>
          </cell>
          <cell r="B180">
            <v>1</v>
          </cell>
          <cell r="D180" t="str">
            <v>减水剂ZB-1</v>
          </cell>
          <cell r="E180" t="str">
            <v>kg</v>
          </cell>
          <cell r="G180">
            <v>7.42</v>
          </cell>
          <cell r="H180">
            <v>7.2</v>
          </cell>
          <cell r="I180">
            <v>0.22</v>
          </cell>
          <cell r="K180" t="str">
            <v>kg</v>
          </cell>
          <cell r="L180">
            <v>7.42</v>
          </cell>
        </row>
        <row r="181">
          <cell r="A181">
            <v>1409</v>
          </cell>
          <cell r="B181">
            <v>1</v>
          </cell>
          <cell r="D181" t="str">
            <v>减水剂DH3</v>
          </cell>
          <cell r="E181" t="str">
            <v>kg</v>
          </cell>
          <cell r="G181">
            <v>6.18</v>
          </cell>
          <cell r="H181">
            <v>6</v>
          </cell>
          <cell r="I181">
            <v>0.18</v>
          </cell>
          <cell r="K181" t="str">
            <v>kg</v>
          </cell>
          <cell r="L181">
            <v>6.18</v>
          </cell>
        </row>
        <row r="182">
          <cell r="A182">
            <v>1410</v>
          </cell>
          <cell r="B182">
            <v>1</v>
          </cell>
          <cell r="D182" t="str">
            <v>破乳剂</v>
          </cell>
          <cell r="E182" t="str">
            <v>kg</v>
          </cell>
          <cell r="G182">
            <v>12.36</v>
          </cell>
          <cell r="H182">
            <v>12</v>
          </cell>
          <cell r="I182">
            <v>0.36</v>
          </cell>
          <cell r="K182" t="str">
            <v>kg</v>
          </cell>
          <cell r="L182">
            <v>12.36</v>
          </cell>
        </row>
        <row r="183">
          <cell r="A183">
            <v>1411</v>
          </cell>
          <cell r="B183">
            <v>1</v>
          </cell>
          <cell r="D183" t="str">
            <v>速凝剂</v>
          </cell>
          <cell r="E183" t="str">
            <v>kg</v>
          </cell>
          <cell r="G183">
            <v>1.96</v>
          </cell>
          <cell r="H183">
            <v>1.9</v>
          </cell>
          <cell r="I183">
            <v>0.06</v>
          </cell>
          <cell r="K183" t="str">
            <v>kg</v>
          </cell>
          <cell r="L183">
            <v>1.96</v>
          </cell>
        </row>
        <row r="184">
          <cell r="A184" t="str">
            <v>1411a</v>
          </cell>
          <cell r="B184">
            <v>1</v>
          </cell>
          <cell r="D184" t="str">
            <v>液态速凝剂</v>
          </cell>
          <cell r="E184" t="str">
            <v>kg</v>
          </cell>
          <cell r="G184">
            <v>4.43</v>
          </cell>
          <cell r="H184">
            <v>4.3</v>
          </cell>
          <cell r="I184">
            <v>0.13</v>
          </cell>
          <cell r="K184" t="str">
            <v>kg</v>
          </cell>
          <cell r="L184">
            <v>4.43</v>
          </cell>
        </row>
        <row r="185">
          <cell r="A185">
            <v>1412</v>
          </cell>
          <cell r="B185">
            <v>1</v>
          </cell>
          <cell r="D185" t="str">
            <v>防水粉</v>
          </cell>
          <cell r="E185" t="str">
            <v>kg</v>
          </cell>
          <cell r="G185">
            <v>2.02</v>
          </cell>
          <cell r="H185">
            <v>1.96</v>
          </cell>
          <cell r="I185">
            <v>0.06</v>
          </cell>
          <cell r="K185" t="str">
            <v>kg</v>
          </cell>
          <cell r="L185">
            <v>2.02</v>
          </cell>
        </row>
        <row r="186">
          <cell r="A186">
            <v>1413</v>
          </cell>
          <cell r="B186">
            <v>1</v>
          </cell>
          <cell r="D186" t="str">
            <v>碱粉</v>
          </cell>
          <cell r="E186" t="str">
            <v>kg</v>
          </cell>
          <cell r="G186">
            <v>2.58</v>
          </cell>
          <cell r="H186">
            <v>2.5</v>
          </cell>
          <cell r="I186">
            <v>0.08</v>
          </cell>
          <cell r="K186" t="str">
            <v>kg</v>
          </cell>
          <cell r="L186">
            <v>2.58</v>
          </cell>
        </row>
        <row r="187">
          <cell r="A187">
            <v>1414</v>
          </cell>
          <cell r="B187">
            <v>1</v>
          </cell>
          <cell r="D187" t="str">
            <v>NF-100高效复合早强减水剂</v>
          </cell>
          <cell r="E187" t="str">
            <v>kg</v>
          </cell>
          <cell r="G187">
            <v>2.88</v>
          </cell>
          <cell r="H187">
            <v>2.8</v>
          </cell>
          <cell r="I187">
            <v>0.08</v>
          </cell>
          <cell r="K187" t="str">
            <v>kg</v>
          </cell>
          <cell r="L187">
            <v>2.88</v>
          </cell>
        </row>
        <row r="188">
          <cell r="A188">
            <v>1415</v>
          </cell>
          <cell r="B188">
            <v>1</v>
          </cell>
          <cell r="D188" t="str">
            <v>NF-200砼泵送剂</v>
          </cell>
          <cell r="E188" t="str">
            <v>kg</v>
          </cell>
          <cell r="G188">
            <v>5.0500000000000007</v>
          </cell>
          <cell r="H188">
            <v>4.9000000000000004</v>
          </cell>
          <cell r="I188">
            <v>0.15</v>
          </cell>
          <cell r="K188" t="str">
            <v>kg</v>
          </cell>
          <cell r="L188">
            <v>5.0500000000000007</v>
          </cell>
        </row>
        <row r="189">
          <cell r="A189">
            <v>1416</v>
          </cell>
          <cell r="B189">
            <v>1</v>
          </cell>
          <cell r="D189" t="str">
            <v>NF-250速凝剂</v>
          </cell>
          <cell r="E189" t="str">
            <v>kg</v>
          </cell>
          <cell r="G189">
            <v>3.09</v>
          </cell>
          <cell r="H189">
            <v>3</v>
          </cell>
          <cell r="I189">
            <v>0.09</v>
          </cell>
          <cell r="K189" t="str">
            <v>kg</v>
          </cell>
          <cell r="L189">
            <v>3.09</v>
          </cell>
        </row>
        <row r="190">
          <cell r="A190">
            <v>1417</v>
          </cell>
          <cell r="B190">
            <v>1</v>
          </cell>
          <cell r="D190" t="str">
            <v>NF-M膨胀剂</v>
          </cell>
          <cell r="E190" t="str">
            <v>kg</v>
          </cell>
          <cell r="G190">
            <v>1.55</v>
          </cell>
          <cell r="H190">
            <v>1.5</v>
          </cell>
          <cell r="I190">
            <v>0.05</v>
          </cell>
          <cell r="K190" t="str">
            <v>kg</v>
          </cell>
          <cell r="L190">
            <v>1.55</v>
          </cell>
        </row>
        <row r="191">
          <cell r="A191">
            <v>1418</v>
          </cell>
          <cell r="B191">
            <v>1</v>
          </cell>
          <cell r="D191" t="str">
            <v>硅粉</v>
          </cell>
          <cell r="E191" t="str">
            <v>kg</v>
          </cell>
          <cell r="G191">
            <v>1.75</v>
          </cell>
          <cell r="H191">
            <v>1.7</v>
          </cell>
          <cell r="I191">
            <v>0.05</v>
          </cell>
          <cell r="K191" t="str">
            <v>kg</v>
          </cell>
          <cell r="L191">
            <v>1.75</v>
          </cell>
        </row>
        <row r="192">
          <cell r="A192">
            <v>1419</v>
          </cell>
          <cell r="B192">
            <v>1</v>
          </cell>
          <cell r="D192" t="str">
            <v>FSA防水速凝剂</v>
          </cell>
          <cell r="E192" t="str">
            <v>kg</v>
          </cell>
          <cell r="G192">
            <v>2.58</v>
          </cell>
          <cell r="H192">
            <v>2.5</v>
          </cell>
          <cell r="I192">
            <v>0.08</v>
          </cell>
          <cell r="K192" t="str">
            <v>kg</v>
          </cell>
          <cell r="L192">
            <v>2.58</v>
          </cell>
        </row>
        <row r="193">
          <cell r="A193">
            <v>1420</v>
          </cell>
          <cell r="B193">
            <v>1</v>
          </cell>
          <cell r="D193" t="str">
            <v>FS-MT抗裂防水剂</v>
          </cell>
          <cell r="E193" t="str">
            <v>kg</v>
          </cell>
          <cell r="G193">
            <v>3.3000000000000003</v>
          </cell>
          <cell r="H193">
            <v>3.2</v>
          </cell>
          <cell r="I193">
            <v>0.1</v>
          </cell>
          <cell r="K193" t="str">
            <v>kg</v>
          </cell>
          <cell r="L193">
            <v>3.3000000000000003</v>
          </cell>
        </row>
        <row r="194">
          <cell r="A194">
            <v>1421</v>
          </cell>
          <cell r="B194">
            <v>1</v>
          </cell>
          <cell r="D194" t="str">
            <v>ZY膨胀剂</v>
          </cell>
          <cell r="E194" t="str">
            <v>kg</v>
          </cell>
          <cell r="G194">
            <v>2.88</v>
          </cell>
          <cell r="H194">
            <v>2.8</v>
          </cell>
          <cell r="I194">
            <v>0.08</v>
          </cell>
          <cell r="K194" t="str">
            <v>kg</v>
          </cell>
          <cell r="L194">
            <v>2.88</v>
          </cell>
        </row>
        <row r="195">
          <cell r="A195">
            <v>1422</v>
          </cell>
          <cell r="B195">
            <v>1</v>
          </cell>
          <cell r="D195" t="str">
            <v>聚丙烯微纤维</v>
          </cell>
          <cell r="E195" t="str">
            <v>kg</v>
          </cell>
          <cell r="G195">
            <v>10.3</v>
          </cell>
          <cell r="H195">
            <v>10</v>
          </cell>
          <cell r="I195">
            <v>0.3</v>
          </cell>
          <cell r="K195" t="str">
            <v>kg</v>
          </cell>
          <cell r="L195">
            <v>10.3</v>
          </cell>
        </row>
        <row r="196">
          <cell r="A196">
            <v>1423</v>
          </cell>
          <cell r="B196">
            <v>1</v>
          </cell>
          <cell r="D196" t="str">
            <v>污水处理剂100m3</v>
          </cell>
          <cell r="E196" t="str">
            <v>元</v>
          </cell>
          <cell r="G196">
            <v>185.4</v>
          </cell>
          <cell r="H196">
            <v>180</v>
          </cell>
          <cell r="I196">
            <v>5.4</v>
          </cell>
          <cell r="K196" t="str">
            <v>元</v>
          </cell>
          <cell r="L196">
            <v>185.4</v>
          </cell>
        </row>
        <row r="197">
          <cell r="A197">
            <v>1424</v>
          </cell>
          <cell r="B197">
            <v>1</v>
          </cell>
          <cell r="D197" t="str">
            <v>污水处理剂50m3</v>
          </cell>
          <cell r="E197" t="str">
            <v>元</v>
          </cell>
          <cell r="G197">
            <v>92.7</v>
          </cell>
          <cell r="H197">
            <v>90</v>
          </cell>
          <cell r="I197">
            <v>2.7</v>
          </cell>
          <cell r="K197" t="str">
            <v>元</v>
          </cell>
          <cell r="L197">
            <v>92.7</v>
          </cell>
        </row>
        <row r="198">
          <cell r="A198">
            <v>1425</v>
          </cell>
          <cell r="B198">
            <v>1</v>
          </cell>
          <cell r="D198" t="str">
            <v>砂浆防水剂HT100型</v>
          </cell>
          <cell r="E198" t="str">
            <v>t</v>
          </cell>
          <cell r="G198">
            <v>7004</v>
          </cell>
          <cell r="H198">
            <v>6800</v>
          </cell>
          <cell r="I198">
            <v>204</v>
          </cell>
          <cell r="K198" t="str">
            <v>t</v>
          </cell>
          <cell r="L198">
            <v>7004</v>
          </cell>
        </row>
        <row r="199">
          <cell r="A199">
            <v>1426</v>
          </cell>
          <cell r="B199">
            <v>1</v>
          </cell>
          <cell r="D199" t="str">
            <v>砼防水剂HT200型</v>
          </cell>
          <cell r="E199" t="str">
            <v>t</v>
          </cell>
          <cell r="G199">
            <v>7004</v>
          </cell>
          <cell r="H199">
            <v>6800</v>
          </cell>
          <cell r="I199">
            <v>204</v>
          </cell>
          <cell r="K199" t="str">
            <v>t</v>
          </cell>
          <cell r="L199">
            <v>7004</v>
          </cell>
        </row>
        <row r="200">
          <cell r="A200">
            <v>1427</v>
          </cell>
          <cell r="B200">
            <v>1</v>
          </cell>
          <cell r="D200" t="str">
            <v>砼U型防水剂HT200-U型</v>
          </cell>
          <cell r="E200" t="str">
            <v>t</v>
          </cell>
          <cell r="G200">
            <v>8034</v>
          </cell>
          <cell r="H200">
            <v>7800</v>
          </cell>
          <cell r="I200">
            <v>234</v>
          </cell>
          <cell r="K200" t="str">
            <v>t</v>
          </cell>
          <cell r="L200">
            <v>8034</v>
          </cell>
        </row>
        <row r="201">
          <cell r="A201">
            <v>1428</v>
          </cell>
          <cell r="B201">
            <v>1</v>
          </cell>
          <cell r="D201" t="str">
            <v>早强减水剂HT601型</v>
          </cell>
          <cell r="E201" t="str">
            <v>t</v>
          </cell>
          <cell r="G201">
            <v>5974</v>
          </cell>
          <cell r="H201">
            <v>5800</v>
          </cell>
          <cell r="I201">
            <v>174</v>
          </cell>
          <cell r="K201" t="str">
            <v>t</v>
          </cell>
          <cell r="L201">
            <v>5974</v>
          </cell>
        </row>
        <row r="202">
          <cell r="A202">
            <v>1429</v>
          </cell>
          <cell r="B202">
            <v>1</v>
          </cell>
          <cell r="D202" t="str">
            <v>缓凝减水剂HT602型</v>
          </cell>
          <cell r="E202" t="str">
            <v>t</v>
          </cell>
          <cell r="G202">
            <v>5974</v>
          </cell>
          <cell r="H202">
            <v>5800</v>
          </cell>
          <cell r="I202">
            <v>174</v>
          </cell>
          <cell r="K202" t="str">
            <v>t</v>
          </cell>
          <cell r="L202">
            <v>5974</v>
          </cell>
        </row>
        <row r="203">
          <cell r="A203">
            <v>1430</v>
          </cell>
          <cell r="B203">
            <v>1</v>
          </cell>
          <cell r="D203" t="str">
            <v>早强泵送剂HT201型</v>
          </cell>
          <cell r="E203" t="str">
            <v>t</v>
          </cell>
          <cell r="G203">
            <v>5974</v>
          </cell>
          <cell r="H203">
            <v>5800</v>
          </cell>
          <cell r="I203">
            <v>174</v>
          </cell>
          <cell r="K203" t="str">
            <v>t</v>
          </cell>
          <cell r="L203">
            <v>5974</v>
          </cell>
        </row>
        <row r="204">
          <cell r="A204">
            <v>1431</v>
          </cell>
          <cell r="B204">
            <v>1</v>
          </cell>
          <cell r="D204" t="str">
            <v>缓凝泵送剂HT202型</v>
          </cell>
          <cell r="E204" t="str">
            <v>t</v>
          </cell>
          <cell r="G204">
            <v>5974</v>
          </cell>
          <cell r="H204">
            <v>5800</v>
          </cell>
          <cell r="I204">
            <v>174</v>
          </cell>
          <cell r="K204" t="str">
            <v>t</v>
          </cell>
          <cell r="L204">
            <v>5974</v>
          </cell>
        </row>
        <row r="205">
          <cell r="A205">
            <v>1432</v>
          </cell>
          <cell r="B205">
            <v>1</v>
          </cell>
          <cell r="D205" t="str">
            <v>早强抗冻剂HT101型</v>
          </cell>
          <cell r="E205" t="str">
            <v>t</v>
          </cell>
          <cell r="G205">
            <v>4944</v>
          </cell>
          <cell r="H205">
            <v>4800</v>
          </cell>
          <cell r="I205">
            <v>144</v>
          </cell>
          <cell r="K205" t="str">
            <v>t</v>
          </cell>
          <cell r="L205">
            <v>4944</v>
          </cell>
        </row>
        <row r="206">
          <cell r="A206">
            <v>1433</v>
          </cell>
          <cell r="B206">
            <v>1</v>
          </cell>
          <cell r="D206" t="str">
            <v>快速堵漏剂HT300型</v>
          </cell>
          <cell r="E206" t="str">
            <v>kg</v>
          </cell>
          <cell r="G206">
            <v>30.9</v>
          </cell>
          <cell r="H206">
            <v>30</v>
          </cell>
          <cell r="I206">
            <v>0.9</v>
          </cell>
          <cell r="K206" t="str">
            <v>kg</v>
          </cell>
          <cell r="L206">
            <v>30.9</v>
          </cell>
        </row>
        <row r="207">
          <cell r="A207">
            <v>1434</v>
          </cell>
          <cell r="B207">
            <v>1</v>
          </cell>
          <cell r="D207" t="str">
            <v>污水处理剂30m3</v>
          </cell>
          <cell r="E207" t="str">
            <v>元</v>
          </cell>
          <cell r="G207">
            <v>55.62</v>
          </cell>
          <cell r="H207">
            <v>54</v>
          </cell>
          <cell r="I207">
            <v>1.62</v>
          </cell>
          <cell r="K207" t="str">
            <v>元</v>
          </cell>
          <cell r="L207">
            <v>55.62</v>
          </cell>
        </row>
        <row r="208">
          <cell r="A208">
            <v>1435</v>
          </cell>
          <cell r="B208">
            <v>1</v>
          </cell>
          <cell r="D208" t="str">
            <v>绝缘橡胶风筒φ1000mm</v>
          </cell>
          <cell r="E208" t="str">
            <v>m</v>
          </cell>
          <cell r="G208">
            <v>66.95</v>
          </cell>
          <cell r="H208">
            <v>65</v>
          </cell>
          <cell r="I208">
            <v>1.95</v>
          </cell>
          <cell r="K208" t="str">
            <v>m</v>
          </cell>
          <cell r="L208">
            <v>66.95</v>
          </cell>
        </row>
        <row r="209">
          <cell r="A209">
            <v>1436</v>
          </cell>
          <cell r="B209">
            <v>1</v>
          </cell>
          <cell r="D209" t="str">
            <v>膨胀剂EA</v>
          </cell>
          <cell r="E209" t="str">
            <v>kg</v>
          </cell>
          <cell r="G209">
            <v>2.68</v>
          </cell>
          <cell r="H209">
            <v>2.6</v>
          </cell>
          <cell r="I209">
            <v>0.08</v>
          </cell>
          <cell r="K209" t="str">
            <v>kg</v>
          </cell>
          <cell r="L209">
            <v>2.68</v>
          </cell>
        </row>
        <row r="210">
          <cell r="A210">
            <v>1437</v>
          </cell>
          <cell r="B210">
            <v>1</v>
          </cell>
          <cell r="D210" t="str">
            <v>水下不分散剂SCR</v>
          </cell>
          <cell r="E210" t="str">
            <v>kg</v>
          </cell>
          <cell r="G210">
            <v>5.97</v>
          </cell>
          <cell r="H210">
            <v>5.8</v>
          </cell>
          <cell r="I210">
            <v>0.17</v>
          </cell>
          <cell r="K210" t="str">
            <v>kg</v>
          </cell>
          <cell r="L210">
            <v>5.97</v>
          </cell>
        </row>
        <row r="211">
          <cell r="A211">
            <v>1437</v>
          </cell>
          <cell r="B211">
            <v>1</v>
          </cell>
          <cell r="D211" t="str">
            <v>AM-1</v>
          </cell>
          <cell r="E211" t="str">
            <v>kg</v>
          </cell>
          <cell r="G211">
            <v>1.73</v>
          </cell>
          <cell r="H211">
            <v>1.68</v>
          </cell>
          <cell r="I211">
            <v>0.05</v>
          </cell>
          <cell r="K211" t="str">
            <v>kg</v>
          </cell>
          <cell r="L211">
            <v>1.73</v>
          </cell>
        </row>
        <row r="212">
          <cell r="A212">
            <v>1439</v>
          </cell>
          <cell r="B212">
            <v>1</v>
          </cell>
          <cell r="G212">
            <v>0</v>
          </cell>
          <cell r="I212">
            <v>0</v>
          </cell>
          <cell r="K212">
            <v>0</v>
          </cell>
          <cell r="L212">
            <v>0</v>
          </cell>
        </row>
        <row r="213">
          <cell r="A213">
            <v>1440</v>
          </cell>
          <cell r="B213">
            <v>1</v>
          </cell>
          <cell r="G213">
            <v>0</v>
          </cell>
          <cell r="I213">
            <v>0</v>
          </cell>
          <cell r="K213">
            <v>0</v>
          </cell>
          <cell r="L213">
            <v>0</v>
          </cell>
        </row>
        <row r="214">
          <cell r="A214">
            <v>1441</v>
          </cell>
          <cell r="B214">
            <v>1</v>
          </cell>
          <cell r="G214">
            <v>0</v>
          </cell>
          <cell r="I214">
            <v>0</v>
          </cell>
          <cell r="K214">
            <v>0</v>
          </cell>
          <cell r="L214">
            <v>0</v>
          </cell>
        </row>
        <row r="215">
          <cell r="A215">
            <v>1442</v>
          </cell>
          <cell r="B215">
            <v>1</v>
          </cell>
          <cell r="D215" t="str">
            <v>钢轨（24kg/m）</v>
          </cell>
          <cell r="E215" t="str">
            <v>t</v>
          </cell>
          <cell r="G215">
            <v>5562</v>
          </cell>
          <cell r="H215">
            <v>5400</v>
          </cell>
          <cell r="I215">
            <v>162</v>
          </cell>
          <cell r="K215" t="str">
            <v>t</v>
          </cell>
          <cell r="L215">
            <v>5562</v>
          </cell>
        </row>
        <row r="216">
          <cell r="A216">
            <v>1443</v>
          </cell>
          <cell r="B216">
            <v>1</v>
          </cell>
          <cell r="D216" t="str">
            <v>钢轨QU120</v>
          </cell>
          <cell r="E216" t="str">
            <v>t</v>
          </cell>
          <cell r="G216">
            <v>5562</v>
          </cell>
          <cell r="H216">
            <v>5400</v>
          </cell>
          <cell r="I216">
            <v>162</v>
          </cell>
          <cell r="K216" t="str">
            <v>t</v>
          </cell>
          <cell r="L216">
            <v>5562</v>
          </cell>
        </row>
        <row r="217">
          <cell r="A217">
            <v>1450</v>
          </cell>
          <cell r="B217">
            <v>1</v>
          </cell>
          <cell r="D217" t="str">
            <v>钢轨（15kg/m）</v>
          </cell>
          <cell r="E217" t="str">
            <v>t</v>
          </cell>
          <cell r="G217">
            <v>5562</v>
          </cell>
          <cell r="H217">
            <v>5400</v>
          </cell>
          <cell r="I217">
            <v>162</v>
          </cell>
          <cell r="K217" t="str">
            <v>t</v>
          </cell>
          <cell r="L217">
            <v>5562</v>
          </cell>
        </row>
        <row r="218">
          <cell r="A218">
            <v>1451</v>
          </cell>
          <cell r="B218">
            <v>1</v>
          </cell>
          <cell r="D218" t="str">
            <v>钢轨QU100</v>
          </cell>
          <cell r="E218" t="str">
            <v>t</v>
          </cell>
          <cell r="G218">
            <v>5562</v>
          </cell>
          <cell r="H218">
            <v>5400</v>
          </cell>
          <cell r="I218">
            <v>162</v>
          </cell>
          <cell r="K218" t="str">
            <v>t</v>
          </cell>
          <cell r="L218">
            <v>5562</v>
          </cell>
        </row>
        <row r="219">
          <cell r="A219">
            <v>1452</v>
          </cell>
          <cell r="B219">
            <v>1</v>
          </cell>
          <cell r="D219" t="str">
            <v>钢轨QU80</v>
          </cell>
          <cell r="E219" t="str">
            <v>t</v>
          </cell>
          <cell r="G219">
            <v>5562</v>
          </cell>
          <cell r="H219">
            <v>5400</v>
          </cell>
          <cell r="I219">
            <v>162</v>
          </cell>
          <cell r="K219" t="str">
            <v>t</v>
          </cell>
          <cell r="L219">
            <v>5562</v>
          </cell>
        </row>
        <row r="220">
          <cell r="A220">
            <v>1453</v>
          </cell>
          <cell r="B220">
            <v>1</v>
          </cell>
          <cell r="D220" t="str">
            <v>钢轨（43kg/m）</v>
          </cell>
          <cell r="E220" t="str">
            <v>t</v>
          </cell>
          <cell r="G220">
            <v>5562</v>
          </cell>
          <cell r="H220">
            <v>5400</v>
          </cell>
          <cell r="I220">
            <v>162</v>
          </cell>
          <cell r="K220" t="str">
            <v>t</v>
          </cell>
          <cell r="L220">
            <v>5562</v>
          </cell>
        </row>
        <row r="221">
          <cell r="B221">
            <v>1</v>
          </cell>
          <cell r="G221">
            <v>0</v>
          </cell>
          <cell r="I221">
            <v>0</v>
          </cell>
          <cell r="K221">
            <v>0</v>
          </cell>
          <cell r="L221">
            <v>0</v>
          </cell>
        </row>
        <row r="222">
          <cell r="B222">
            <v>1</v>
          </cell>
          <cell r="G222">
            <v>0</v>
          </cell>
          <cell r="I222">
            <v>0</v>
          </cell>
          <cell r="K222">
            <v>0</v>
          </cell>
          <cell r="L222">
            <v>0</v>
          </cell>
        </row>
        <row r="223">
          <cell r="B223">
            <v>1</v>
          </cell>
          <cell r="G223">
            <v>0</v>
          </cell>
          <cell r="I223">
            <v>0</v>
          </cell>
          <cell r="K223">
            <v>0</v>
          </cell>
          <cell r="L223">
            <v>0</v>
          </cell>
        </row>
        <row r="224">
          <cell r="B224">
            <v>1</v>
          </cell>
          <cell r="G224">
            <v>0</v>
          </cell>
          <cell r="I224">
            <v>0</v>
          </cell>
          <cell r="K224">
            <v>0</v>
          </cell>
          <cell r="L224">
            <v>0</v>
          </cell>
        </row>
        <row r="225">
          <cell r="A225">
            <v>1501</v>
          </cell>
          <cell r="B225">
            <v>1</v>
          </cell>
          <cell r="D225" t="str">
            <v>火雷管</v>
          </cell>
          <cell r="E225" t="str">
            <v>发</v>
          </cell>
          <cell r="G225">
            <v>0.53</v>
          </cell>
          <cell r="H225">
            <v>0.51</v>
          </cell>
          <cell r="I225">
            <v>0.02</v>
          </cell>
          <cell r="K225" t="str">
            <v>发</v>
          </cell>
          <cell r="L225">
            <v>0.53</v>
          </cell>
        </row>
        <row r="226">
          <cell r="A226">
            <v>1502</v>
          </cell>
          <cell r="B226">
            <v>1</v>
          </cell>
          <cell r="D226" t="str">
            <v>电雷管</v>
          </cell>
          <cell r="E226" t="str">
            <v>发</v>
          </cell>
          <cell r="G226">
            <v>0.95000000000000007</v>
          </cell>
          <cell r="H226">
            <v>0.92</v>
          </cell>
          <cell r="I226">
            <v>0.03</v>
          </cell>
          <cell r="K226" t="str">
            <v>发</v>
          </cell>
          <cell r="L226">
            <v>0.95000000000000007</v>
          </cell>
        </row>
        <row r="227">
          <cell r="A227">
            <v>1503</v>
          </cell>
          <cell r="B227">
            <v>1</v>
          </cell>
          <cell r="D227" t="str">
            <v>非电毫秒雷管5m</v>
          </cell>
          <cell r="E227" t="str">
            <v>发</v>
          </cell>
          <cell r="G227">
            <v>2.14</v>
          </cell>
          <cell r="H227">
            <v>2.08</v>
          </cell>
          <cell r="I227">
            <v>0.06</v>
          </cell>
          <cell r="K227" t="str">
            <v>发</v>
          </cell>
          <cell r="L227">
            <v>2.14</v>
          </cell>
        </row>
        <row r="228">
          <cell r="A228">
            <v>1504</v>
          </cell>
          <cell r="B228">
            <v>1</v>
          </cell>
          <cell r="D228" t="str">
            <v>非电毫秒雷管10m</v>
          </cell>
          <cell r="E228" t="str">
            <v>发</v>
          </cell>
          <cell r="G228">
            <v>3.35</v>
          </cell>
          <cell r="H228">
            <v>3.25</v>
          </cell>
          <cell r="I228">
            <v>0.1</v>
          </cell>
          <cell r="K228" t="str">
            <v>发</v>
          </cell>
          <cell r="L228">
            <v>3.35</v>
          </cell>
        </row>
        <row r="229">
          <cell r="A229">
            <v>1505</v>
          </cell>
          <cell r="B229">
            <v>1</v>
          </cell>
          <cell r="D229" t="str">
            <v>非电毫秒雷管7m（1~15段）</v>
          </cell>
          <cell r="E229" t="str">
            <v>发</v>
          </cell>
          <cell r="G229">
            <v>3.3000000000000003</v>
          </cell>
          <cell r="H229">
            <v>3.2</v>
          </cell>
          <cell r="I229">
            <v>0.1</v>
          </cell>
          <cell r="K229" t="str">
            <v>发</v>
          </cell>
          <cell r="L229">
            <v>3.3000000000000003</v>
          </cell>
        </row>
        <row r="230">
          <cell r="A230">
            <v>1506</v>
          </cell>
          <cell r="B230">
            <v>1</v>
          </cell>
          <cell r="D230" t="str">
            <v>导火线</v>
          </cell>
          <cell r="E230" t="str">
            <v>m</v>
          </cell>
          <cell r="G230">
            <v>0.75</v>
          </cell>
          <cell r="H230">
            <v>0.73</v>
          </cell>
          <cell r="I230">
            <v>0.02</v>
          </cell>
          <cell r="K230" t="str">
            <v>m</v>
          </cell>
          <cell r="L230">
            <v>0.75</v>
          </cell>
        </row>
        <row r="231">
          <cell r="A231">
            <v>1507</v>
          </cell>
          <cell r="B231">
            <v>1</v>
          </cell>
          <cell r="D231" t="str">
            <v>导电线</v>
          </cell>
          <cell r="E231" t="str">
            <v>m</v>
          </cell>
          <cell r="G231">
            <v>0.57000000000000006</v>
          </cell>
          <cell r="H231">
            <v>0.55000000000000004</v>
          </cell>
          <cell r="I231">
            <v>0.02</v>
          </cell>
          <cell r="K231" t="str">
            <v>m</v>
          </cell>
          <cell r="L231">
            <v>0.57000000000000006</v>
          </cell>
        </row>
        <row r="232">
          <cell r="A232">
            <v>1508</v>
          </cell>
          <cell r="B232">
            <v>1</v>
          </cell>
          <cell r="D232" t="str">
            <v>导爆索</v>
          </cell>
          <cell r="E232" t="str">
            <v>m</v>
          </cell>
          <cell r="G232">
            <v>1.85</v>
          </cell>
          <cell r="H232">
            <v>1.8</v>
          </cell>
          <cell r="I232">
            <v>0.05</v>
          </cell>
          <cell r="K232" t="str">
            <v>m</v>
          </cell>
          <cell r="L232">
            <v>1.85</v>
          </cell>
        </row>
        <row r="233">
          <cell r="A233">
            <v>1509</v>
          </cell>
          <cell r="B233">
            <v>1</v>
          </cell>
          <cell r="D233" t="str">
            <v>导爆管</v>
          </cell>
          <cell r="E233" t="str">
            <v>m</v>
          </cell>
          <cell r="G233">
            <v>0.24000000000000002</v>
          </cell>
          <cell r="H233">
            <v>0.23</v>
          </cell>
          <cell r="I233">
            <v>0.01</v>
          </cell>
          <cell r="K233" t="str">
            <v>m</v>
          </cell>
          <cell r="L233">
            <v>0.24000000000000002</v>
          </cell>
        </row>
        <row r="234">
          <cell r="A234">
            <v>1510</v>
          </cell>
          <cell r="B234">
            <v>1</v>
          </cell>
          <cell r="G234">
            <v>0</v>
          </cell>
          <cell r="I234">
            <v>0</v>
          </cell>
          <cell r="K234">
            <v>0</v>
          </cell>
          <cell r="L234">
            <v>0</v>
          </cell>
        </row>
        <row r="235">
          <cell r="A235">
            <v>1511</v>
          </cell>
          <cell r="B235">
            <v>1</v>
          </cell>
          <cell r="G235">
            <v>0</v>
          </cell>
          <cell r="I235">
            <v>0</v>
          </cell>
          <cell r="K235">
            <v>0</v>
          </cell>
          <cell r="L235">
            <v>0</v>
          </cell>
        </row>
        <row r="236">
          <cell r="A236">
            <v>1512</v>
          </cell>
          <cell r="B236">
            <v>1</v>
          </cell>
          <cell r="G236">
            <v>0</v>
          </cell>
          <cell r="I236">
            <v>0</v>
          </cell>
          <cell r="K236">
            <v>0</v>
          </cell>
          <cell r="L236">
            <v>0</v>
          </cell>
        </row>
        <row r="237">
          <cell r="A237">
            <v>1513</v>
          </cell>
          <cell r="B237">
            <v>1</v>
          </cell>
          <cell r="G237">
            <v>0</v>
          </cell>
          <cell r="I237">
            <v>0</v>
          </cell>
          <cell r="K237">
            <v>0</v>
          </cell>
          <cell r="L237">
            <v>0</v>
          </cell>
        </row>
        <row r="238">
          <cell r="A238">
            <v>1514</v>
          </cell>
          <cell r="B238">
            <v>1</v>
          </cell>
          <cell r="G238">
            <v>0</v>
          </cell>
          <cell r="I238">
            <v>0</v>
          </cell>
          <cell r="K238">
            <v>0</v>
          </cell>
          <cell r="L238">
            <v>0</v>
          </cell>
        </row>
        <row r="239">
          <cell r="A239">
            <v>1515</v>
          </cell>
          <cell r="B239">
            <v>1</v>
          </cell>
          <cell r="G239">
            <v>0</v>
          </cell>
          <cell r="I239">
            <v>0</v>
          </cell>
          <cell r="K239">
            <v>0</v>
          </cell>
          <cell r="L239">
            <v>0</v>
          </cell>
        </row>
        <row r="240">
          <cell r="A240">
            <v>1516</v>
          </cell>
          <cell r="B240">
            <v>1</v>
          </cell>
          <cell r="G240">
            <v>0</v>
          </cell>
          <cell r="I240">
            <v>0</v>
          </cell>
          <cell r="K240">
            <v>0</v>
          </cell>
          <cell r="L240">
            <v>0</v>
          </cell>
        </row>
        <row r="241">
          <cell r="A241">
            <v>1517</v>
          </cell>
          <cell r="B241">
            <v>1</v>
          </cell>
          <cell r="G241">
            <v>0</v>
          </cell>
          <cell r="I241">
            <v>0</v>
          </cell>
          <cell r="K241">
            <v>0</v>
          </cell>
          <cell r="L241">
            <v>0</v>
          </cell>
        </row>
        <row r="242">
          <cell r="A242">
            <v>1518</v>
          </cell>
          <cell r="B242">
            <v>1</v>
          </cell>
          <cell r="G242">
            <v>0</v>
          </cell>
          <cell r="I242">
            <v>0</v>
          </cell>
          <cell r="K242">
            <v>0</v>
          </cell>
          <cell r="L242">
            <v>0</v>
          </cell>
        </row>
        <row r="243">
          <cell r="A243">
            <v>1519</v>
          </cell>
          <cell r="B243">
            <v>1</v>
          </cell>
          <cell r="G243">
            <v>0</v>
          </cell>
          <cell r="I243">
            <v>0</v>
          </cell>
          <cell r="K243">
            <v>0</v>
          </cell>
          <cell r="L243">
            <v>0</v>
          </cell>
        </row>
        <row r="244">
          <cell r="A244">
            <v>1520</v>
          </cell>
          <cell r="B244">
            <v>1</v>
          </cell>
          <cell r="G244">
            <v>0</v>
          </cell>
          <cell r="I244">
            <v>0</v>
          </cell>
          <cell r="K244">
            <v>0</v>
          </cell>
          <cell r="L244">
            <v>0</v>
          </cell>
        </row>
        <row r="245">
          <cell r="A245">
            <v>1521</v>
          </cell>
          <cell r="B245">
            <v>1</v>
          </cell>
          <cell r="G245">
            <v>0</v>
          </cell>
          <cell r="I245">
            <v>0</v>
          </cell>
          <cell r="K245">
            <v>0</v>
          </cell>
          <cell r="L245">
            <v>0</v>
          </cell>
        </row>
        <row r="246">
          <cell r="A246">
            <v>1522</v>
          </cell>
          <cell r="B246">
            <v>1</v>
          </cell>
          <cell r="G246">
            <v>0</v>
          </cell>
          <cell r="I246">
            <v>0</v>
          </cell>
          <cell r="K246">
            <v>0</v>
          </cell>
          <cell r="L246">
            <v>0</v>
          </cell>
        </row>
        <row r="247">
          <cell r="A247">
            <v>1523</v>
          </cell>
          <cell r="B247">
            <v>1</v>
          </cell>
          <cell r="G247">
            <v>0</v>
          </cell>
          <cell r="I247">
            <v>0</v>
          </cell>
          <cell r="K247">
            <v>0</v>
          </cell>
          <cell r="L247">
            <v>0</v>
          </cell>
        </row>
        <row r="248">
          <cell r="B248">
            <v>1</v>
          </cell>
          <cell r="G248">
            <v>0</v>
          </cell>
          <cell r="I248">
            <v>0</v>
          </cell>
          <cell r="K248">
            <v>0</v>
          </cell>
          <cell r="L248">
            <v>0</v>
          </cell>
        </row>
        <row r="249">
          <cell r="B249">
            <v>1</v>
          </cell>
          <cell r="G249">
            <v>0</v>
          </cell>
          <cell r="I249">
            <v>0</v>
          </cell>
          <cell r="K249">
            <v>0</v>
          </cell>
          <cell r="L249">
            <v>0</v>
          </cell>
        </row>
        <row r="250">
          <cell r="A250">
            <v>1601</v>
          </cell>
          <cell r="B250">
            <v>1</v>
          </cell>
          <cell r="D250" t="str">
            <v>合金钻头φ25</v>
          </cell>
          <cell r="E250" t="str">
            <v xml:space="preserve"> 个</v>
          </cell>
          <cell r="G250">
            <v>20.6</v>
          </cell>
          <cell r="H250">
            <v>20</v>
          </cell>
          <cell r="I250">
            <v>0.6</v>
          </cell>
          <cell r="K250" t="str">
            <v xml:space="preserve"> 个</v>
          </cell>
          <cell r="L250">
            <v>20.6</v>
          </cell>
        </row>
        <row r="251">
          <cell r="A251">
            <v>1602</v>
          </cell>
          <cell r="B251">
            <v>1</v>
          </cell>
          <cell r="D251" t="str">
            <v>合金钻头</v>
          </cell>
          <cell r="E251" t="str">
            <v xml:space="preserve"> 个</v>
          </cell>
          <cell r="G251">
            <v>30.9</v>
          </cell>
          <cell r="H251">
            <v>30</v>
          </cell>
          <cell r="I251">
            <v>0.9</v>
          </cell>
          <cell r="K251" t="str">
            <v xml:space="preserve"> 个</v>
          </cell>
          <cell r="L251">
            <v>30.9</v>
          </cell>
        </row>
        <row r="252">
          <cell r="A252">
            <v>1603</v>
          </cell>
          <cell r="B252">
            <v>1</v>
          </cell>
          <cell r="D252" t="str">
            <v>钢钎</v>
          </cell>
          <cell r="E252" t="str">
            <v>kg</v>
          </cell>
          <cell r="G252">
            <v>4.84</v>
          </cell>
          <cell r="H252">
            <v>4.7</v>
          </cell>
          <cell r="I252">
            <v>0.14000000000000001</v>
          </cell>
          <cell r="K252" t="str">
            <v>kg</v>
          </cell>
          <cell r="L252">
            <v>4.84</v>
          </cell>
        </row>
        <row r="253">
          <cell r="A253">
            <v>1604</v>
          </cell>
          <cell r="B253">
            <v>1</v>
          </cell>
          <cell r="D253" t="str">
            <v>空心钢</v>
          </cell>
          <cell r="E253" t="str">
            <v>kg</v>
          </cell>
          <cell r="G253">
            <v>5.4</v>
          </cell>
          <cell r="H253">
            <v>5.24</v>
          </cell>
          <cell r="I253">
            <v>0.16</v>
          </cell>
          <cell r="K253" t="str">
            <v>kg</v>
          </cell>
          <cell r="L253">
            <v>5.4</v>
          </cell>
        </row>
        <row r="254">
          <cell r="A254">
            <v>1605</v>
          </cell>
          <cell r="B254">
            <v>1</v>
          </cell>
          <cell r="D254" t="str">
            <v>岩石电钻钻头</v>
          </cell>
          <cell r="E254" t="str">
            <v>个</v>
          </cell>
          <cell r="G254">
            <v>25.75</v>
          </cell>
          <cell r="H254">
            <v>25</v>
          </cell>
          <cell r="I254">
            <v>0.75</v>
          </cell>
          <cell r="K254" t="str">
            <v>个</v>
          </cell>
          <cell r="L254">
            <v>25.75</v>
          </cell>
        </row>
        <row r="255">
          <cell r="A255">
            <v>1606</v>
          </cell>
          <cell r="B255">
            <v>1</v>
          </cell>
          <cell r="D255" t="str">
            <v>岩石电钻钻杆</v>
          </cell>
          <cell r="E255" t="str">
            <v>根</v>
          </cell>
          <cell r="G255">
            <v>164.8</v>
          </cell>
          <cell r="H255">
            <v>160</v>
          </cell>
          <cell r="I255">
            <v>4.8</v>
          </cell>
          <cell r="K255" t="str">
            <v>根</v>
          </cell>
          <cell r="L255">
            <v>164.8</v>
          </cell>
        </row>
        <row r="256">
          <cell r="A256" t="str">
            <v>1607a</v>
          </cell>
          <cell r="B256">
            <v>1</v>
          </cell>
          <cell r="D256" t="str">
            <v>凿岩台车钻头ф45</v>
          </cell>
          <cell r="E256" t="str">
            <v>个</v>
          </cell>
          <cell r="G256">
            <v>131.84</v>
          </cell>
          <cell r="H256">
            <v>128</v>
          </cell>
          <cell r="I256">
            <v>3.84</v>
          </cell>
          <cell r="K256" t="str">
            <v>个</v>
          </cell>
          <cell r="L256">
            <v>131.84</v>
          </cell>
        </row>
        <row r="257">
          <cell r="A257">
            <v>1607</v>
          </cell>
          <cell r="B257">
            <v>1</v>
          </cell>
          <cell r="D257" t="str">
            <v>凿岩台车钻头ф48</v>
          </cell>
          <cell r="E257" t="str">
            <v>个</v>
          </cell>
          <cell r="G257">
            <v>169.95</v>
          </cell>
          <cell r="H257">
            <v>165</v>
          </cell>
          <cell r="I257">
            <v>4.95</v>
          </cell>
          <cell r="K257" t="str">
            <v>个</v>
          </cell>
          <cell r="L257">
            <v>169.95</v>
          </cell>
        </row>
        <row r="258">
          <cell r="A258">
            <v>1608</v>
          </cell>
          <cell r="B258">
            <v>1</v>
          </cell>
          <cell r="D258" t="str">
            <v>凿岩台车钻头ф64</v>
          </cell>
          <cell r="E258" t="str">
            <v>个</v>
          </cell>
          <cell r="G258">
            <v>329.6</v>
          </cell>
          <cell r="H258">
            <v>320</v>
          </cell>
          <cell r="I258">
            <v>9.6</v>
          </cell>
          <cell r="K258" t="str">
            <v>个</v>
          </cell>
          <cell r="L258">
            <v>329.6</v>
          </cell>
        </row>
        <row r="259">
          <cell r="A259">
            <v>1609</v>
          </cell>
          <cell r="B259">
            <v>1</v>
          </cell>
          <cell r="D259" t="str">
            <v>凿岩台车钻头ф100-102</v>
          </cell>
          <cell r="E259" t="str">
            <v xml:space="preserve"> 个</v>
          </cell>
          <cell r="G259">
            <v>4944</v>
          </cell>
          <cell r="H259">
            <v>4800</v>
          </cell>
          <cell r="I259">
            <v>144</v>
          </cell>
          <cell r="K259" t="str">
            <v xml:space="preserve"> 个</v>
          </cell>
          <cell r="L259">
            <v>4944</v>
          </cell>
        </row>
        <row r="260">
          <cell r="A260">
            <v>1610</v>
          </cell>
          <cell r="B260">
            <v>1</v>
          </cell>
          <cell r="D260" t="str">
            <v>凿岩台车钻杆</v>
          </cell>
          <cell r="E260" t="str">
            <v>kg</v>
          </cell>
          <cell r="G260">
            <v>18.03</v>
          </cell>
          <cell r="H260">
            <v>17.5</v>
          </cell>
          <cell r="I260">
            <v>0.53</v>
          </cell>
          <cell r="K260" t="str">
            <v>kg</v>
          </cell>
          <cell r="L260">
            <v>18.03</v>
          </cell>
        </row>
        <row r="261">
          <cell r="A261">
            <v>1611</v>
          </cell>
          <cell r="B261">
            <v>1</v>
          </cell>
          <cell r="D261" t="str">
            <v>100B钻机钻头(115mm)</v>
          </cell>
          <cell r="E261" t="str">
            <v>个</v>
          </cell>
          <cell r="G261">
            <v>448.05</v>
          </cell>
          <cell r="H261">
            <v>435</v>
          </cell>
          <cell r="I261">
            <v>13.05</v>
          </cell>
          <cell r="K261" t="str">
            <v>个</v>
          </cell>
          <cell r="L261">
            <v>448.05</v>
          </cell>
        </row>
        <row r="262">
          <cell r="A262">
            <v>1612</v>
          </cell>
          <cell r="B262">
            <v>1</v>
          </cell>
          <cell r="D262" t="str">
            <v>100k钻机钻头(110mm)</v>
          </cell>
          <cell r="E262" t="str">
            <v>个</v>
          </cell>
          <cell r="G262">
            <v>448.05</v>
          </cell>
          <cell r="H262">
            <v>435</v>
          </cell>
          <cell r="I262">
            <v>13.05</v>
          </cell>
          <cell r="K262" t="str">
            <v>个</v>
          </cell>
          <cell r="L262">
            <v>448.05</v>
          </cell>
        </row>
        <row r="263">
          <cell r="A263">
            <v>1613</v>
          </cell>
          <cell r="B263">
            <v>1</v>
          </cell>
          <cell r="D263" t="str">
            <v>100k钻机钻头(130mm)</v>
          </cell>
          <cell r="E263" t="str">
            <v>个</v>
          </cell>
          <cell r="G263">
            <v>515</v>
          </cell>
          <cell r="H263">
            <v>500</v>
          </cell>
          <cell r="I263">
            <v>15</v>
          </cell>
          <cell r="K263" t="str">
            <v>个</v>
          </cell>
          <cell r="L263">
            <v>515</v>
          </cell>
        </row>
        <row r="264">
          <cell r="A264">
            <v>1614</v>
          </cell>
          <cell r="B264">
            <v>1</v>
          </cell>
          <cell r="D264" t="str">
            <v>100B钻机钻头(65mm)</v>
          </cell>
          <cell r="E264" t="str">
            <v>个</v>
          </cell>
          <cell r="G264">
            <v>123.6</v>
          </cell>
          <cell r="H264">
            <v>120</v>
          </cell>
          <cell r="I264">
            <v>3.6</v>
          </cell>
          <cell r="K264" t="str">
            <v>个</v>
          </cell>
          <cell r="L264">
            <v>123.6</v>
          </cell>
        </row>
        <row r="265">
          <cell r="A265" t="str">
            <v>1614a</v>
          </cell>
          <cell r="B265">
            <v>1</v>
          </cell>
          <cell r="D265" t="str">
            <v>100B钻机钻头(96mm)</v>
          </cell>
          <cell r="E265" t="str">
            <v>个</v>
          </cell>
          <cell r="G265">
            <v>298.7</v>
          </cell>
          <cell r="H265">
            <v>290</v>
          </cell>
          <cell r="I265">
            <v>8.6999999999999993</v>
          </cell>
          <cell r="K265" t="str">
            <v>个</v>
          </cell>
          <cell r="L265">
            <v>298.7</v>
          </cell>
        </row>
        <row r="266">
          <cell r="A266">
            <v>1615</v>
          </cell>
          <cell r="B266">
            <v>1</v>
          </cell>
          <cell r="D266" t="str">
            <v>100B钻机钻头(42mm)</v>
          </cell>
          <cell r="E266" t="str">
            <v>个</v>
          </cell>
          <cell r="G266">
            <v>100.94</v>
          </cell>
          <cell r="H266">
            <v>98</v>
          </cell>
          <cell r="I266">
            <v>2.94</v>
          </cell>
          <cell r="K266" t="str">
            <v>个</v>
          </cell>
          <cell r="L266">
            <v>100.94</v>
          </cell>
        </row>
        <row r="267">
          <cell r="A267">
            <v>1616</v>
          </cell>
          <cell r="B267">
            <v>1</v>
          </cell>
          <cell r="D267" t="str">
            <v>CIR90冲击器</v>
          </cell>
          <cell r="E267" t="str">
            <v>套</v>
          </cell>
          <cell r="G267">
            <v>1763.26</v>
          </cell>
          <cell r="H267">
            <v>1711.9</v>
          </cell>
          <cell r="I267">
            <v>51.36</v>
          </cell>
          <cell r="K267" t="str">
            <v>套</v>
          </cell>
          <cell r="L267">
            <v>1763.26</v>
          </cell>
        </row>
        <row r="268">
          <cell r="A268">
            <v>1617</v>
          </cell>
          <cell r="B268">
            <v>1</v>
          </cell>
          <cell r="D268" t="str">
            <v>100B钻机钻杆</v>
          </cell>
          <cell r="E268" t="str">
            <v>kg</v>
          </cell>
          <cell r="G268">
            <v>32.96</v>
          </cell>
          <cell r="H268">
            <v>32</v>
          </cell>
          <cell r="I268">
            <v>0.96</v>
          </cell>
          <cell r="K268" t="str">
            <v>kg</v>
          </cell>
          <cell r="L268">
            <v>32.96</v>
          </cell>
        </row>
        <row r="269">
          <cell r="A269">
            <v>1618</v>
          </cell>
          <cell r="B269">
            <v>1</v>
          </cell>
          <cell r="D269" t="str">
            <v>KQJ100钻头 ∮50</v>
          </cell>
          <cell r="E269" t="str">
            <v>个</v>
          </cell>
          <cell r="G269">
            <v>77.25</v>
          </cell>
          <cell r="H269">
            <v>75</v>
          </cell>
          <cell r="I269">
            <v>2.25</v>
          </cell>
          <cell r="K269" t="str">
            <v>个</v>
          </cell>
          <cell r="L269">
            <v>77.25</v>
          </cell>
        </row>
        <row r="270">
          <cell r="A270">
            <v>1619</v>
          </cell>
          <cell r="B270">
            <v>1</v>
          </cell>
          <cell r="D270" t="str">
            <v>KQJ100钻头 ∮80</v>
          </cell>
          <cell r="E270" t="str">
            <v>个</v>
          </cell>
          <cell r="G270">
            <v>139.05000000000001</v>
          </cell>
          <cell r="H270">
            <v>135</v>
          </cell>
          <cell r="I270">
            <v>4.05</v>
          </cell>
          <cell r="K270" t="str">
            <v>个</v>
          </cell>
          <cell r="L270">
            <v>139.05000000000001</v>
          </cell>
        </row>
        <row r="271">
          <cell r="A271">
            <v>1620</v>
          </cell>
          <cell r="B271">
            <v>1</v>
          </cell>
          <cell r="D271" t="str">
            <v>KQJ100钻头 ∮105</v>
          </cell>
          <cell r="E271" t="str">
            <v>个</v>
          </cell>
          <cell r="G271">
            <v>360.5</v>
          </cell>
          <cell r="H271">
            <v>350</v>
          </cell>
          <cell r="I271">
            <v>10.5</v>
          </cell>
          <cell r="K271" t="str">
            <v>个</v>
          </cell>
          <cell r="L271">
            <v>360.5</v>
          </cell>
        </row>
        <row r="272">
          <cell r="A272">
            <v>1621</v>
          </cell>
          <cell r="B272">
            <v>1</v>
          </cell>
          <cell r="D272" t="str">
            <v>KQJ100钻杆</v>
          </cell>
          <cell r="E272" t="str">
            <v>根</v>
          </cell>
          <cell r="G272">
            <v>206</v>
          </cell>
          <cell r="H272">
            <v>200</v>
          </cell>
          <cell r="I272">
            <v>6</v>
          </cell>
          <cell r="K272" t="str">
            <v>根</v>
          </cell>
          <cell r="L272">
            <v>206</v>
          </cell>
        </row>
        <row r="273">
          <cell r="A273">
            <v>1622</v>
          </cell>
          <cell r="B273">
            <v>1</v>
          </cell>
          <cell r="D273" t="str">
            <v>QC100冲击器</v>
          </cell>
          <cell r="E273" t="str">
            <v>套</v>
          </cell>
          <cell r="G273">
            <v>2163</v>
          </cell>
          <cell r="H273">
            <v>2100</v>
          </cell>
          <cell r="I273">
            <v>63</v>
          </cell>
          <cell r="K273" t="str">
            <v>套</v>
          </cell>
          <cell r="L273">
            <v>2163</v>
          </cell>
        </row>
        <row r="274">
          <cell r="A274">
            <v>1623</v>
          </cell>
          <cell r="B274">
            <v>1</v>
          </cell>
          <cell r="D274" t="str">
            <v>100K钻机钻杆</v>
          </cell>
          <cell r="E274" t="str">
            <v>kg</v>
          </cell>
          <cell r="G274">
            <v>32.96</v>
          </cell>
          <cell r="H274">
            <v>32</v>
          </cell>
          <cell r="I274">
            <v>0.96</v>
          </cell>
          <cell r="K274" t="str">
            <v>kg</v>
          </cell>
          <cell r="L274">
            <v>32.96</v>
          </cell>
        </row>
        <row r="275">
          <cell r="A275">
            <v>1624</v>
          </cell>
          <cell r="B275">
            <v>1</v>
          </cell>
          <cell r="D275" t="str">
            <v>100型潜孔钻头</v>
          </cell>
          <cell r="E275" t="str">
            <v>个</v>
          </cell>
          <cell r="G275">
            <v>309</v>
          </cell>
          <cell r="H275">
            <v>300</v>
          </cell>
          <cell r="I275">
            <v>9</v>
          </cell>
          <cell r="K275" t="str">
            <v>个</v>
          </cell>
          <cell r="L275">
            <v>309</v>
          </cell>
        </row>
        <row r="276">
          <cell r="A276">
            <v>1625</v>
          </cell>
          <cell r="B276">
            <v>1</v>
          </cell>
          <cell r="D276" t="str">
            <v>100型潜孔钻杆</v>
          </cell>
          <cell r="E276" t="str">
            <v>kg</v>
          </cell>
          <cell r="G276">
            <v>32.96</v>
          </cell>
          <cell r="H276">
            <v>32</v>
          </cell>
          <cell r="I276">
            <v>0.96</v>
          </cell>
          <cell r="K276" t="str">
            <v>kg</v>
          </cell>
          <cell r="L276">
            <v>32.96</v>
          </cell>
        </row>
        <row r="277">
          <cell r="A277">
            <v>1626</v>
          </cell>
          <cell r="B277">
            <v>1</v>
          </cell>
          <cell r="D277" t="str">
            <v>CM351钻机钻头(105mm)</v>
          </cell>
          <cell r="E277" t="str">
            <v>个</v>
          </cell>
          <cell r="G277">
            <v>1184.5</v>
          </cell>
          <cell r="H277">
            <v>1150</v>
          </cell>
          <cell r="I277">
            <v>34.5</v>
          </cell>
          <cell r="K277" t="str">
            <v>个</v>
          </cell>
          <cell r="L277">
            <v>1184.5</v>
          </cell>
        </row>
        <row r="278">
          <cell r="A278">
            <v>1627</v>
          </cell>
          <cell r="B278">
            <v>1</v>
          </cell>
          <cell r="D278" t="str">
            <v>CM351冲击器</v>
          </cell>
          <cell r="E278" t="str">
            <v>套</v>
          </cell>
          <cell r="G278">
            <v>8435.7000000000007</v>
          </cell>
          <cell r="H278">
            <v>8190</v>
          </cell>
          <cell r="I278">
            <v>245.7</v>
          </cell>
          <cell r="K278" t="str">
            <v>套</v>
          </cell>
          <cell r="L278">
            <v>8435.7000000000007</v>
          </cell>
        </row>
        <row r="279">
          <cell r="A279">
            <v>1628</v>
          </cell>
          <cell r="B279">
            <v>1</v>
          </cell>
          <cell r="D279" t="str">
            <v>CM351钻机钻杆</v>
          </cell>
          <cell r="E279" t="str">
            <v>kg</v>
          </cell>
          <cell r="G279">
            <v>17.2</v>
          </cell>
          <cell r="H279">
            <v>16.7</v>
          </cell>
          <cell r="I279">
            <v>0.5</v>
          </cell>
          <cell r="K279" t="str">
            <v>kg</v>
          </cell>
          <cell r="L279">
            <v>17.2</v>
          </cell>
        </row>
        <row r="280">
          <cell r="A280">
            <v>1629</v>
          </cell>
          <cell r="B280">
            <v>1</v>
          </cell>
          <cell r="D280" t="str">
            <v>液压履带钻机钻头ф76</v>
          </cell>
          <cell r="E280" t="str">
            <v>个</v>
          </cell>
          <cell r="G280">
            <v>942.45</v>
          </cell>
          <cell r="H280">
            <v>915</v>
          </cell>
          <cell r="I280">
            <v>27.45</v>
          </cell>
          <cell r="K280" t="str">
            <v>个</v>
          </cell>
          <cell r="L280">
            <v>942.45</v>
          </cell>
        </row>
        <row r="281">
          <cell r="A281">
            <v>1630</v>
          </cell>
          <cell r="B281">
            <v>1</v>
          </cell>
          <cell r="D281" t="str">
            <v>冲击器</v>
          </cell>
          <cell r="E281" t="str">
            <v>套</v>
          </cell>
          <cell r="G281">
            <v>9158.76</v>
          </cell>
          <cell r="H281">
            <v>8892</v>
          </cell>
          <cell r="I281">
            <v>266.76</v>
          </cell>
          <cell r="K281" t="str">
            <v>套</v>
          </cell>
          <cell r="L281">
            <v>9158.76</v>
          </cell>
        </row>
        <row r="282">
          <cell r="A282">
            <v>1631</v>
          </cell>
          <cell r="B282">
            <v>1</v>
          </cell>
          <cell r="D282" t="str">
            <v>液压履带钻机钻杆</v>
          </cell>
          <cell r="E282" t="str">
            <v>kg</v>
          </cell>
          <cell r="G282">
            <v>19.259999999999998</v>
          </cell>
          <cell r="H282">
            <v>18.7</v>
          </cell>
          <cell r="I282">
            <v>0.56000000000000005</v>
          </cell>
          <cell r="K282" t="str">
            <v>kg</v>
          </cell>
          <cell r="L282">
            <v>19.259999999999998</v>
          </cell>
        </row>
        <row r="283">
          <cell r="A283">
            <v>1632</v>
          </cell>
          <cell r="B283">
            <v>1</v>
          </cell>
          <cell r="D283" t="str">
            <v>500C钻机钻头(76mm)</v>
          </cell>
          <cell r="E283" t="str">
            <v>个</v>
          </cell>
          <cell r="G283">
            <v>360.5</v>
          </cell>
          <cell r="H283">
            <v>350</v>
          </cell>
          <cell r="I283">
            <v>10.5</v>
          </cell>
          <cell r="K283" t="str">
            <v>个</v>
          </cell>
          <cell r="L283">
            <v>360.5</v>
          </cell>
        </row>
        <row r="284">
          <cell r="A284">
            <v>1633</v>
          </cell>
          <cell r="B284">
            <v>1</v>
          </cell>
          <cell r="D284" t="str">
            <v>500C钻机钻头(89mm)</v>
          </cell>
          <cell r="E284" t="str">
            <v>个</v>
          </cell>
          <cell r="G284">
            <v>473.8</v>
          </cell>
          <cell r="H284">
            <v>460</v>
          </cell>
          <cell r="I284">
            <v>13.8</v>
          </cell>
          <cell r="K284" t="str">
            <v>个</v>
          </cell>
          <cell r="L284">
            <v>473.8</v>
          </cell>
        </row>
        <row r="285">
          <cell r="A285" t="str">
            <v>1633a</v>
          </cell>
          <cell r="B285">
            <v>1</v>
          </cell>
          <cell r="D285" t="str">
            <v>500C钻机钻头(96mm)</v>
          </cell>
          <cell r="E285" t="str">
            <v>个</v>
          </cell>
          <cell r="G285">
            <v>535.6</v>
          </cell>
          <cell r="H285">
            <v>520</v>
          </cell>
          <cell r="I285">
            <v>15.6</v>
          </cell>
          <cell r="K285" t="str">
            <v>个</v>
          </cell>
          <cell r="L285">
            <v>535.6</v>
          </cell>
        </row>
        <row r="286">
          <cell r="A286">
            <v>1634</v>
          </cell>
          <cell r="B286">
            <v>1</v>
          </cell>
          <cell r="D286" t="str">
            <v>500C钻机钎尾</v>
          </cell>
          <cell r="E286" t="str">
            <v>根</v>
          </cell>
          <cell r="G286">
            <v>1339</v>
          </cell>
          <cell r="H286">
            <v>1300</v>
          </cell>
          <cell r="I286">
            <v>39</v>
          </cell>
          <cell r="K286" t="str">
            <v>根</v>
          </cell>
          <cell r="L286">
            <v>1339</v>
          </cell>
        </row>
        <row r="287">
          <cell r="A287">
            <v>1635</v>
          </cell>
          <cell r="B287">
            <v>1</v>
          </cell>
          <cell r="D287" t="str">
            <v>500C钻机钻杆</v>
          </cell>
          <cell r="E287" t="str">
            <v>kg</v>
          </cell>
          <cell r="G287">
            <v>19.259999999999998</v>
          </cell>
          <cell r="H287">
            <v>18.7</v>
          </cell>
          <cell r="I287">
            <v>0.56000000000000005</v>
          </cell>
          <cell r="K287" t="str">
            <v>kg</v>
          </cell>
          <cell r="L287">
            <v>19.259999999999998</v>
          </cell>
        </row>
        <row r="288">
          <cell r="A288">
            <v>1636</v>
          </cell>
          <cell r="B288">
            <v>1</v>
          </cell>
          <cell r="D288" t="str">
            <v>Atlas-A52钻头∮215</v>
          </cell>
          <cell r="E288" t="str">
            <v>个</v>
          </cell>
          <cell r="G288">
            <v>2544.1</v>
          </cell>
          <cell r="H288">
            <v>2470</v>
          </cell>
          <cell r="I288">
            <v>74.099999999999994</v>
          </cell>
          <cell r="K288" t="str">
            <v>个</v>
          </cell>
          <cell r="L288">
            <v>2544.1</v>
          </cell>
        </row>
        <row r="289">
          <cell r="A289">
            <v>1637</v>
          </cell>
          <cell r="B289">
            <v>1</v>
          </cell>
          <cell r="D289" t="str">
            <v>Atlas-A52钻头 ∮180</v>
          </cell>
          <cell r="E289" t="str">
            <v>个</v>
          </cell>
          <cell r="G289">
            <v>2544.1</v>
          </cell>
          <cell r="H289">
            <v>2470</v>
          </cell>
          <cell r="I289">
            <v>74.099999999999994</v>
          </cell>
          <cell r="K289" t="str">
            <v>个</v>
          </cell>
          <cell r="L289">
            <v>2544.1</v>
          </cell>
        </row>
        <row r="290">
          <cell r="A290">
            <v>1638</v>
          </cell>
          <cell r="B290">
            <v>1</v>
          </cell>
          <cell r="D290" t="str">
            <v>Atlas-A52钻头∮240</v>
          </cell>
          <cell r="E290" t="str">
            <v>个</v>
          </cell>
          <cell r="G290">
            <v>2544.1</v>
          </cell>
          <cell r="H290">
            <v>2470</v>
          </cell>
          <cell r="I290">
            <v>74.099999999999994</v>
          </cell>
          <cell r="K290" t="str">
            <v>个</v>
          </cell>
          <cell r="L290">
            <v>2544.1</v>
          </cell>
        </row>
        <row r="291">
          <cell r="A291">
            <v>1639</v>
          </cell>
          <cell r="B291">
            <v>1</v>
          </cell>
          <cell r="D291" t="str">
            <v>Atlas-A52钻杆</v>
          </cell>
          <cell r="E291" t="str">
            <v>根</v>
          </cell>
          <cell r="G291">
            <v>2575</v>
          </cell>
          <cell r="H291">
            <v>2500</v>
          </cell>
          <cell r="I291">
            <v>75</v>
          </cell>
          <cell r="K291" t="str">
            <v>根</v>
          </cell>
          <cell r="L291">
            <v>2575</v>
          </cell>
        </row>
        <row r="292">
          <cell r="A292">
            <v>1640</v>
          </cell>
          <cell r="B292">
            <v>1</v>
          </cell>
          <cell r="D292" t="str">
            <v>Atlas-A52冲击器∮215</v>
          </cell>
          <cell r="E292" t="str">
            <v>套</v>
          </cell>
          <cell r="G292">
            <v>9158.76</v>
          </cell>
          <cell r="H292">
            <v>8892</v>
          </cell>
          <cell r="I292">
            <v>266.76</v>
          </cell>
          <cell r="K292" t="str">
            <v>套</v>
          </cell>
          <cell r="L292">
            <v>9158.76</v>
          </cell>
        </row>
        <row r="293">
          <cell r="A293">
            <v>1641</v>
          </cell>
          <cell r="B293">
            <v>1</v>
          </cell>
          <cell r="D293" t="str">
            <v>Atlas-A52冲击器∮240</v>
          </cell>
          <cell r="E293" t="str">
            <v>套</v>
          </cell>
          <cell r="G293">
            <v>9158.76</v>
          </cell>
          <cell r="H293">
            <v>8892</v>
          </cell>
          <cell r="I293">
            <v>266.76</v>
          </cell>
          <cell r="K293" t="str">
            <v>套</v>
          </cell>
          <cell r="L293">
            <v>9158.76</v>
          </cell>
        </row>
        <row r="294">
          <cell r="A294">
            <v>1642</v>
          </cell>
          <cell r="B294">
            <v>1</v>
          </cell>
          <cell r="D294" t="str">
            <v>Atlas-A52冲击器 ∮180</v>
          </cell>
          <cell r="E294" t="str">
            <v>套</v>
          </cell>
          <cell r="G294">
            <v>9158.76</v>
          </cell>
          <cell r="H294">
            <v>8892</v>
          </cell>
          <cell r="I294">
            <v>266.76</v>
          </cell>
          <cell r="K294" t="str">
            <v>套</v>
          </cell>
          <cell r="L294">
            <v>9158.76</v>
          </cell>
        </row>
        <row r="295">
          <cell r="A295">
            <v>1643</v>
          </cell>
          <cell r="B295">
            <v>1</v>
          </cell>
          <cell r="D295" t="str">
            <v>ROC712钻头φ89</v>
          </cell>
          <cell r="E295" t="str">
            <v>个</v>
          </cell>
          <cell r="G295">
            <v>473.8</v>
          </cell>
          <cell r="H295">
            <v>460</v>
          </cell>
          <cell r="I295">
            <v>13.8</v>
          </cell>
          <cell r="K295" t="str">
            <v>个</v>
          </cell>
          <cell r="L295">
            <v>473.8</v>
          </cell>
        </row>
        <row r="296">
          <cell r="A296">
            <v>1644</v>
          </cell>
          <cell r="B296">
            <v>1</v>
          </cell>
          <cell r="D296" t="str">
            <v>ROC712钻头φ76</v>
          </cell>
          <cell r="E296" t="str">
            <v>个</v>
          </cell>
          <cell r="G296">
            <v>360.5</v>
          </cell>
          <cell r="H296">
            <v>350</v>
          </cell>
          <cell r="I296">
            <v>10.5</v>
          </cell>
          <cell r="K296" t="str">
            <v>个</v>
          </cell>
          <cell r="L296">
            <v>360.5</v>
          </cell>
        </row>
        <row r="297">
          <cell r="A297">
            <v>1645</v>
          </cell>
          <cell r="B297">
            <v>1</v>
          </cell>
          <cell r="D297" t="str">
            <v>ROC712钻杆</v>
          </cell>
          <cell r="E297" t="str">
            <v>kg</v>
          </cell>
          <cell r="G297">
            <v>19.259999999999998</v>
          </cell>
          <cell r="H297">
            <v>18.7</v>
          </cell>
          <cell r="I297">
            <v>0.56000000000000005</v>
          </cell>
          <cell r="K297" t="str">
            <v>kg</v>
          </cell>
          <cell r="L297">
            <v>19.259999999999998</v>
          </cell>
        </row>
        <row r="298">
          <cell r="A298">
            <v>1646</v>
          </cell>
          <cell r="B298">
            <v>1</v>
          </cell>
          <cell r="D298" t="str">
            <v>ROC812钻头φ89</v>
          </cell>
          <cell r="E298" t="str">
            <v>个</v>
          </cell>
          <cell r="G298">
            <v>473.8</v>
          </cell>
          <cell r="H298">
            <v>460</v>
          </cell>
          <cell r="I298">
            <v>13.8</v>
          </cell>
          <cell r="K298" t="str">
            <v>个</v>
          </cell>
          <cell r="L298">
            <v>473.8</v>
          </cell>
        </row>
        <row r="299">
          <cell r="A299">
            <v>1647</v>
          </cell>
          <cell r="B299">
            <v>1</v>
          </cell>
          <cell r="D299" t="str">
            <v>ROC812钻头φ76</v>
          </cell>
          <cell r="E299" t="str">
            <v>个</v>
          </cell>
          <cell r="G299">
            <v>360.5</v>
          </cell>
          <cell r="H299">
            <v>350</v>
          </cell>
          <cell r="I299">
            <v>10.5</v>
          </cell>
          <cell r="K299" t="str">
            <v>个</v>
          </cell>
          <cell r="L299">
            <v>360.5</v>
          </cell>
        </row>
        <row r="300">
          <cell r="A300">
            <v>1648</v>
          </cell>
          <cell r="B300">
            <v>1</v>
          </cell>
          <cell r="D300" t="str">
            <v>ROC812钻杆</v>
          </cell>
          <cell r="E300" t="str">
            <v>kg</v>
          </cell>
          <cell r="G300">
            <v>19.259999999999998</v>
          </cell>
          <cell r="H300">
            <v>18.7</v>
          </cell>
          <cell r="I300">
            <v>0.56000000000000005</v>
          </cell>
          <cell r="K300" t="str">
            <v>kg</v>
          </cell>
          <cell r="L300">
            <v>19.259999999999998</v>
          </cell>
        </row>
        <row r="301">
          <cell r="A301">
            <v>1649</v>
          </cell>
          <cell r="B301">
            <v>1</v>
          </cell>
          <cell r="D301" t="str">
            <v>ROC812钻机钎尾</v>
          </cell>
          <cell r="E301" t="str">
            <v>根</v>
          </cell>
          <cell r="G301">
            <v>1591.35</v>
          </cell>
          <cell r="H301">
            <v>1545</v>
          </cell>
          <cell r="I301">
            <v>46.35</v>
          </cell>
          <cell r="K301" t="str">
            <v>根</v>
          </cell>
          <cell r="L301">
            <v>1591.35</v>
          </cell>
        </row>
        <row r="302">
          <cell r="A302">
            <v>1650</v>
          </cell>
          <cell r="B302">
            <v>1</v>
          </cell>
          <cell r="D302" t="str">
            <v>ROC742钻头φ89</v>
          </cell>
          <cell r="E302" t="str">
            <v>个</v>
          </cell>
          <cell r="G302">
            <v>432.6</v>
          </cell>
          <cell r="H302">
            <v>420</v>
          </cell>
          <cell r="I302">
            <v>12.6</v>
          </cell>
          <cell r="K302" t="str">
            <v>个</v>
          </cell>
          <cell r="L302">
            <v>432.6</v>
          </cell>
        </row>
        <row r="303">
          <cell r="A303">
            <v>1651</v>
          </cell>
          <cell r="B303">
            <v>1</v>
          </cell>
          <cell r="D303" t="str">
            <v>ROC742钻头φ76</v>
          </cell>
          <cell r="E303" t="str">
            <v>个</v>
          </cell>
          <cell r="G303">
            <v>329.6</v>
          </cell>
          <cell r="H303">
            <v>320</v>
          </cell>
          <cell r="I303">
            <v>9.6</v>
          </cell>
          <cell r="K303" t="str">
            <v>个</v>
          </cell>
          <cell r="L303">
            <v>329.6</v>
          </cell>
        </row>
        <row r="304">
          <cell r="A304" t="str">
            <v>1651a</v>
          </cell>
          <cell r="B304">
            <v>1</v>
          </cell>
          <cell r="D304" t="str">
            <v>ROC742钻头φ64</v>
          </cell>
          <cell r="E304" t="str">
            <v>个</v>
          </cell>
          <cell r="G304">
            <v>319.3</v>
          </cell>
          <cell r="H304">
            <v>310</v>
          </cell>
          <cell r="I304">
            <v>9.3000000000000007</v>
          </cell>
          <cell r="K304" t="str">
            <v>个</v>
          </cell>
          <cell r="L304">
            <v>319.3</v>
          </cell>
        </row>
        <row r="305">
          <cell r="A305">
            <v>1652</v>
          </cell>
          <cell r="B305">
            <v>1</v>
          </cell>
          <cell r="D305" t="str">
            <v>ROC742钻杆</v>
          </cell>
          <cell r="E305" t="str">
            <v>kg</v>
          </cell>
          <cell r="G305">
            <v>19.259999999999998</v>
          </cell>
          <cell r="H305">
            <v>18.7</v>
          </cell>
          <cell r="I305">
            <v>0.56000000000000005</v>
          </cell>
          <cell r="K305" t="str">
            <v>kg</v>
          </cell>
          <cell r="L305">
            <v>19.259999999999998</v>
          </cell>
        </row>
        <row r="306">
          <cell r="A306">
            <v>1653</v>
          </cell>
          <cell r="B306">
            <v>1</v>
          </cell>
          <cell r="D306" t="str">
            <v>CLQ15钻头φ115</v>
          </cell>
          <cell r="E306" t="str">
            <v>个</v>
          </cell>
          <cell r="G306">
            <v>339.9</v>
          </cell>
          <cell r="H306">
            <v>330</v>
          </cell>
          <cell r="I306">
            <v>9.9</v>
          </cell>
          <cell r="K306" t="str">
            <v>个</v>
          </cell>
          <cell r="L306">
            <v>339.9</v>
          </cell>
        </row>
        <row r="307">
          <cell r="A307">
            <v>1654</v>
          </cell>
          <cell r="B307">
            <v>1</v>
          </cell>
          <cell r="D307" t="str">
            <v>CLQ15钻杆φ76</v>
          </cell>
          <cell r="E307" t="str">
            <v>根</v>
          </cell>
          <cell r="G307">
            <v>1932.28</v>
          </cell>
          <cell r="H307">
            <v>1876</v>
          </cell>
          <cell r="I307">
            <v>56.28</v>
          </cell>
          <cell r="K307" t="str">
            <v>根</v>
          </cell>
          <cell r="L307">
            <v>1932.28</v>
          </cell>
        </row>
        <row r="308">
          <cell r="A308">
            <v>1655</v>
          </cell>
          <cell r="B308">
            <v>1</v>
          </cell>
          <cell r="D308" t="str">
            <v>CLQ15钻冲击器</v>
          </cell>
          <cell r="E308" t="str">
            <v>套</v>
          </cell>
          <cell r="G308">
            <v>1905.5</v>
          </cell>
          <cell r="H308">
            <v>1850</v>
          </cell>
          <cell r="I308">
            <v>55.5</v>
          </cell>
          <cell r="K308" t="str">
            <v>套</v>
          </cell>
          <cell r="L308">
            <v>1905.5</v>
          </cell>
        </row>
        <row r="309">
          <cell r="A309">
            <v>1656</v>
          </cell>
          <cell r="B309">
            <v>1</v>
          </cell>
          <cell r="D309" t="str">
            <v>锚杆台车钻头H375(45mm)</v>
          </cell>
          <cell r="E309" t="str">
            <v>个</v>
          </cell>
          <cell r="G309">
            <v>128.75</v>
          </cell>
          <cell r="H309">
            <v>125</v>
          </cell>
          <cell r="I309">
            <v>3.75</v>
          </cell>
          <cell r="K309" t="str">
            <v>个</v>
          </cell>
          <cell r="L309">
            <v>128.75</v>
          </cell>
        </row>
        <row r="310">
          <cell r="A310">
            <v>1657</v>
          </cell>
          <cell r="B310">
            <v>1</v>
          </cell>
          <cell r="D310" t="str">
            <v>锚杆台车钻杆H375</v>
          </cell>
          <cell r="E310" t="str">
            <v>根</v>
          </cell>
          <cell r="G310">
            <v>1648</v>
          </cell>
          <cell r="H310">
            <v>1600</v>
          </cell>
          <cell r="I310">
            <v>48</v>
          </cell>
          <cell r="K310" t="str">
            <v>根</v>
          </cell>
          <cell r="L310">
            <v>1648</v>
          </cell>
        </row>
        <row r="311">
          <cell r="A311">
            <v>1658</v>
          </cell>
          <cell r="B311">
            <v>1</v>
          </cell>
          <cell r="D311" t="str">
            <v>ROC460钻机钻头(105mm)</v>
          </cell>
          <cell r="E311" t="str">
            <v>个</v>
          </cell>
          <cell r="G311">
            <v>1184.5</v>
          </cell>
          <cell r="H311">
            <v>1150</v>
          </cell>
          <cell r="I311">
            <v>34.5</v>
          </cell>
          <cell r="K311" t="str">
            <v>个</v>
          </cell>
          <cell r="L311">
            <v>1184.5</v>
          </cell>
        </row>
        <row r="312">
          <cell r="A312">
            <v>1659</v>
          </cell>
          <cell r="B312">
            <v>1</v>
          </cell>
          <cell r="D312" t="str">
            <v>ROC460钻机钻头(76mm)</v>
          </cell>
          <cell r="E312" t="str">
            <v>个</v>
          </cell>
          <cell r="G312">
            <v>360.5</v>
          </cell>
          <cell r="H312">
            <v>350</v>
          </cell>
          <cell r="I312">
            <v>10.5</v>
          </cell>
          <cell r="K312" t="str">
            <v>个</v>
          </cell>
          <cell r="L312">
            <v>360.5</v>
          </cell>
        </row>
        <row r="313">
          <cell r="A313">
            <v>1660</v>
          </cell>
          <cell r="B313">
            <v>1</v>
          </cell>
          <cell r="D313" t="str">
            <v>ROC460冲击器</v>
          </cell>
          <cell r="E313" t="str">
            <v>套</v>
          </cell>
          <cell r="G313">
            <v>8435.7000000000007</v>
          </cell>
          <cell r="H313">
            <v>8190</v>
          </cell>
          <cell r="I313">
            <v>245.7</v>
          </cell>
          <cell r="K313" t="str">
            <v>套</v>
          </cell>
          <cell r="L313">
            <v>8435.7000000000007</v>
          </cell>
        </row>
        <row r="314">
          <cell r="A314">
            <v>1661</v>
          </cell>
          <cell r="B314">
            <v>1</v>
          </cell>
          <cell r="D314" t="str">
            <v>ROC460钻机钻杆</v>
          </cell>
          <cell r="E314" t="str">
            <v>kg</v>
          </cell>
          <cell r="G314">
            <v>17.2</v>
          </cell>
          <cell r="H314">
            <v>16.7</v>
          </cell>
          <cell r="I314">
            <v>0.5</v>
          </cell>
          <cell r="K314" t="str">
            <v>kg</v>
          </cell>
          <cell r="L314">
            <v>17.2</v>
          </cell>
        </row>
        <row r="315">
          <cell r="A315">
            <v>1662</v>
          </cell>
          <cell r="B315">
            <v>1</v>
          </cell>
          <cell r="D315" t="str">
            <v>ROC742钻机钎尾</v>
          </cell>
          <cell r="E315" t="str">
            <v>根</v>
          </cell>
          <cell r="G315">
            <v>1591.35</v>
          </cell>
          <cell r="H315">
            <v>1545</v>
          </cell>
          <cell r="I315">
            <v>46.35</v>
          </cell>
          <cell r="K315" t="str">
            <v>根</v>
          </cell>
          <cell r="L315">
            <v>1591.35</v>
          </cell>
        </row>
        <row r="316">
          <cell r="A316">
            <v>1663</v>
          </cell>
          <cell r="B316">
            <v>1</v>
          </cell>
          <cell r="D316" t="str">
            <v>ROC712钻机钎尾</v>
          </cell>
          <cell r="E316" t="str">
            <v>根</v>
          </cell>
          <cell r="G316">
            <v>1591.35</v>
          </cell>
          <cell r="H316">
            <v>1545</v>
          </cell>
          <cell r="I316">
            <v>46.35</v>
          </cell>
          <cell r="K316" t="str">
            <v>根</v>
          </cell>
          <cell r="L316">
            <v>1591.35</v>
          </cell>
        </row>
        <row r="317">
          <cell r="A317">
            <v>1664</v>
          </cell>
          <cell r="B317">
            <v>1</v>
          </cell>
          <cell r="D317" t="str">
            <v>ROCD7钻头φ89</v>
          </cell>
          <cell r="E317" t="str">
            <v>个</v>
          </cell>
          <cell r="G317">
            <v>473.8</v>
          </cell>
          <cell r="H317">
            <v>460</v>
          </cell>
          <cell r="I317">
            <v>13.8</v>
          </cell>
          <cell r="K317" t="str">
            <v>个</v>
          </cell>
          <cell r="L317">
            <v>473.8</v>
          </cell>
        </row>
        <row r="318">
          <cell r="A318">
            <v>1665</v>
          </cell>
          <cell r="B318">
            <v>1</v>
          </cell>
          <cell r="D318" t="str">
            <v>ROCD7钻头φ76</v>
          </cell>
          <cell r="E318" t="str">
            <v>个</v>
          </cell>
          <cell r="G318">
            <v>360.5</v>
          </cell>
          <cell r="H318">
            <v>350</v>
          </cell>
          <cell r="I318">
            <v>10.5</v>
          </cell>
          <cell r="K318" t="str">
            <v>个</v>
          </cell>
          <cell r="L318">
            <v>360.5</v>
          </cell>
        </row>
        <row r="319">
          <cell r="A319">
            <v>1666</v>
          </cell>
          <cell r="B319">
            <v>1</v>
          </cell>
          <cell r="D319" t="str">
            <v>ROCD7钻杆</v>
          </cell>
          <cell r="E319" t="str">
            <v>kg</v>
          </cell>
          <cell r="G319">
            <v>19.259999999999998</v>
          </cell>
          <cell r="H319">
            <v>18.7</v>
          </cell>
          <cell r="I319">
            <v>0.56000000000000005</v>
          </cell>
          <cell r="K319" t="str">
            <v>kg</v>
          </cell>
          <cell r="L319">
            <v>19.259999999999998</v>
          </cell>
        </row>
        <row r="320">
          <cell r="A320">
            <v>1667</v>
          </cell>
          <cell r="B320">
            <v>1</v>
          </cell>
          <cell r="D320" t="str">
            <v>ROCD7钻机钎尾</v>
          </cell>
          <cell r="E320" t="str">
            <v>根</v>
          </cell>
          <cell r="G320">
            <v>1591.35</v>
          </cell>
          <cell r="H320">
            <v>1545</v>
          </cell>
          <cell r="I320">
            <v>46.35</v>
          </cell>
          <cell r="K320" t="str">
            <v>根</v>
          </cell>
          <cell r="L320">
            <v>1591.35</v>
          </cell>
        </row>
        <row r="321">
          <cell r="A321">
            <v>1668</v>
          </cell>
          <cell r="B321">
            <v>1</v>
          </cell>
          <cell r="D321" t="str">
            <v>Atlas-A32钻头φ125</v>
          </cell>
          <cell r="E321" t="str">
            <v>个</v>
          </cell>
          <cell r="G321">
            <v>12360</v>
          </cell>
          <cell r="H321">
            <v>12000</v>
          </cell>
          <cell r="I321">
            <v>360</v>
          </cell>
          <cell r="K321" t="str">
            <v>个</v>
          </cell>
          <cell r="L321">
            <v>12360</v>
          </cell>
        </row>
        <row r="322">
          <cell r="A322">
            <v>1669</v>
          </cell>
          <cell r="B322">
            <v>1</v>
          </cell>
          <cell r="D322" t="str">
            <v>Atlas-A32钻杆（φ114，3m）</v>
          </cell>
          <cell r="E322" t="str">
            <v>根</v>
          </cell>
          <cell r="G322">
            <v>2575</v>
          </cell>
          <cell r="H322">
            <v>2500</v>
          </cell>
          <cell r="I322">
            <v>75</v>
          </cell>
          <cell r="K322" t="str">
            <v>根</v>
          </cell>
          <cell r="L322">
            <v>2575</v>
          </cell>
        </row>
        <row r="323">
          <cell r="A323">
            <v>1670</v>
          </cell>
          <cell r="B323">
            <v>1</v>
          </cell>
          <cell r="D323" t="str">
            <v>Atlas-A32冲击器</v>
          </cell>
          <cell r="E323" t="str">
            <v>套</v>
          </cell>
          <cell r="G323">
            <v>12875</v>
          </cell>
          <cell r="H323">
            <v>12500</v>
          </cell>
          <cell r="I323">
            <v>375</v>
          </cell>
          <cell r="K323" t="str">
            <v>套</v>
          </cell>
          <cell r="L323">
            <v>12875</v>
          </cell>
        </row>
        <row r="324">
          <cell r="A324">
            <v>1671</v>
          </cell>
          <cell r="B324">
            <v>1</v>
          </cell>
          <cell r="D324" t="str">
            <v>TOMROCK钻头∮76　　</v>
          </cell>
          <cell r="E324" t="str">
            <v>个</v>
          </cell>
          <cell r="G324">
            <v>391.4</v>
          </cell>
          <cell r="H324">
            <v>380</v>
          </cell>
          <cell r="I324">
            <v>11.4</v>
          </cell>
          <cell r="K324" t="str">
            <v>个</v>
          </cell>
          <cell r="L324">
            <v>391.4</v>
          </cell>
        </row>
        <row r="325">
          <cell r="A325">
            <v>1672</v>
          </cell>
          <cell r="B325">
            <v>1</v>
          </cell>
          <cell r="D325" t="str">
            <v>TOMROCK钎尾</v>
          </cell>
          <cell r="E325" t="str">
            <v>根</v>
          </cell>
          <cell r="G325">
            <v>1611.26</v>
          </cell>
          <cell r="H325">
            <v>1564.33</v>
          </cell>
          <cell r="I325">
            <v>46.93</v>
          </cell>
          <cell r="K325" t="str">
            <v>根</v>
          </cell>
          <cell r="L325">
            <v>1611.26</v>
          </cell>
        </row>
        <row r="326">
          <cell r="A326">
            <v>1673</v>
          </cell>
          <cell r="B326">
            <v>1</v>
          </cell>
          <cell r="D326" t="str">
            <v>TOMROCK附尘滤芯</v>
          </cell>
          <cell r="E326" t="str">
            <v>只</v>
          </cell>
          <cell r="G326">
            <v>752.42</v>
          </cell>
          <cell r="H326">
            <v>730.5</v>
          </cell>
          <cell r="I326">
            <v>21.92</v>
          </cell>
          <cell r="K326" t="str">
            <v>只</v>
          </cell>
          <cell r="L326">
            <v>752.42</v>
          </cell>
        </row>
        <row r="327">
          <cell r="A327">
            <v>1674</v>
          </cell>
          <cell r="B327">
            <v>1</v>
          </cell>
          <cell r="D327" t="str">
            <v>TOMROCK钻杆745-3.66m</v>
          </cell>
          <cell r="E327" t="str">
            <v>根</v>
          </cell>
          <cell r="G327">
            <v>2060</v>
          </cell>
          <cell r="H327">
            <v>2000</v>
          </cell>
          <cell r="I327">
            <v>60</v>
          </cell>
          <cell r="K327" t="str">
            <v>根</v>
          </cell>
          <cell r="L327">
            <v>2060</v>
          </cell>
        </row>
        <row r="328">
          <cell r="A328">
            <v>1675</v>
          </cell>
          <cell r="B328">
            <v>1</v>
          </cell>
          <cell r="D328" t="str">
            <v>TOMROCK连接套</v>
          </cell>
          <cell r="E328" t="str">
            <v>个</v>
          </cell>
          <cell r="G328">
            <v>648.9</v>
          </cell>
          <cell r="H328">
            <v>630</v>
          </cell>
          <cell r="I328">
            <v>18.899999999999999</v>
          </cell>
          <cell r="K328" t="str">
            <v>个</v>
          </cell>
          <cell r="L328">
            <v>648.9</v>
          </cell>
        </row>
        <row r="329">
          <cell r="A329">
            <v>1676</v>
          </cell>
          <cell r="B329">
            <v>1</v>
          </cell>
          <cell r="D329" t="str">
            <v>钻头∮180</v>
          </cell>
          <cell r="E329" t="str">
            <v>个</v>
          </cell>
          <cell r="G329">
            <v>2369</v>
          </cell>
          <cell r="H329">
            <v>2300</v>
          </cell>
          <cell r="I329">
            <v>69</v>
          </cell>
          <cell r="K329" t="str">
            <v>个</v>
          </cell>
          <cell r="L329">
            <v>2369</v>
          </cell>
        </row>
        <row r="330">
          <cell r="A330">
            <v>1677</v>
          </cell>
          <cell r="B330">
            <v>1</v>
          </cell>
          <cell r="D330" t="str">
            <v xml:space="preserve"> 钻杆∮108*1.5m</v>
          </cell>
          <cell r="E330" t="str">
            <v>根</v>
          </cell>
          <cell r="G330">
            <v>1687.14</v>
          </cell>
          <cell r="H330">
            <v>1638</v>
          </cell>
          <cell r="I330">
            <v>49.14</v>
          </cell>
          <cell r="K330" t="str">
            <v>根</v>
          </cell>
          <cell r="L330">
            <v>1687.14</v>
          </cell>
        </row>
        <row r="331">
          <cell r="A331">
            <v>1678</v>
          </cell>
          <cell r="B331">
            <v>1</v>
          </cell>
          <cell r="D331" t="str">
            <v>对心扩孔钻具∮215</v>
          </cell>
          <cell r="E331" t="str">
            <v>套</v>
          </cell>
          <cell r="G331">
            <v>10094</v>
          </cell>
          <cell r="H331">
            <v>9800</v>
          </cell>
          <cell r="I331">
            <v>294</v>
          </cell>
          <cell r="K331" t="str">
            <v>套</v>
          </cell>
          <cell r="L331">
            <v>10094</v>
          </cell>
        </row>
        <row r="332">
          <cell r="A332">
            <v>1679</v>
          </cell>
          <cell r="B332">
            <v>1</v>
          </cell>
          <cell r="D332" t="str">
            <v>钻头DHD360-19B∮115</v>
          </cell>
          <cell r="E332" t="str">
            <v>个</v>
          </cell>
          <cell r="G332">
            <v>1236.43</v>
          </cell>
          <cell r="H332">
            <v>1200.42</v>
          </cell>
          <cell r="I332">
            <v>36.01</v>
          </cell>
          <cell r="K332" t="str">
            <v>个</v>
          </cell>
          <cell r="L332">
            <v>1236.43</v>
          </cell>
        </row>
        <row r="333">
          <cell r="A333">
            <v>1680</v>
          </cell>
          <cell r="B333">
            <v>1</v>
          </cell>
          <cell r="D333" t="str">
            <v>钻头DHD360-19B∮139</v>
          </cell>
          <cell r="E333" t="str">
            <v>个</v>
          </cell>
          <cell r="G333">
            <v>1572.6599999999999</v>
          </cell>
          <cell r="H333">
            <v>1526.85</v>
          </cell>
          <cell r="I333">
            <v>45.81</v>
          </cell>
          <cell r="K333" t="str">
            <v>个</v>
          </cell>
          <cell r="L333">
            <v>1572.6599999999999</v>
          </cell>
        </row>
        <row r="334">
          <cell r="A334">
            <v>1681</v>
          </cell>
          <cell r="B334">
            <v>1</v>
          </cell>
          <cell r="D334" t="str">
            <v>钻头DHD360-19B∮165</v>
          </cell>
          <cell r="E334" t="str">
            <v>个</v>
          </cell>
          <cell r="G334">
            <v>2133.0300000000002</v>
          </cell>
          <cell r="H334">
            <v>2070.9</v>
          </cell>
          <cell r="I334">
            <v>62.13</v>
          </cell>
          <cell r="K334" t="str">
            <v>个</v>
          </cell>
          <cell r="L334">
            <v>2133.0300000000002</v>
          </cell>
        </row>
        <row r="335">
          <cell r="A335">
            <v>1682</v>
          </cell>
          <cell r="B335">
            <v>1</v>
          </cell>
          <cell r="D335" t="str">
            <v>MZ165 钻杆∮108*1.5m</v>
          </cell>
          <cell r="E335" t="str">
            <v>根</v>
          </cell>
          <cell r="G335">
            <v>1687.14</v>
          </cell>
          <cell r="H335">
            <v>1638</v>
          </cell>
          <cell r="I335">
            <v>49.14</v>
          </cell>
          <cell r="K335" t="str">
            <v>根</v>
          </cell>
          <cell r="L335">
            <v>1687.14</v>
          </cell>
        </row>
        <row r="336">
          <cell r="A336">
            <v>1683</v>
          </cell>
          <cell r="B336">
            <v>1</v>
          </cell>
          <cell r="D336" t="str">
            <v>钻头∮215</v>
          </cell>
          <cell r="E336" t="str">
            <v>个</v>
          </cell>
          <cell r="G336">
            <v>4326</v>
          </cell>
          <cell r="H336">
            <v>4200</v>
          </cell>
          <cell r="I336">
            <v>126</v>
          </cell>
          <cell r="K336" t="str">
            <v>个</v>
          </cell>
          <cell r="L336">
            <v>4326</v>
          </cell>
        </row>
        <row r="337">
          <cell r="A337">
            <v>1684</v>
          </cell>
          <cell r="B337">
            <v>1</v>
          </cell>
          <cell r="D337" t="str">
            <v>冲击器∮215</v>
          </cell>
          <cell r="E337" t="str">
            <v>套</v>
          </cell>
          <cell r="G337">
            <v>12360</v>
          </cell>
          <cell r="H337">
            <v>12000</v>
          </cell>
          <cell r="I337">
            <v>360</v>
          </cell>
          <cell r="K337" t="str">
            <v>套</v>
          </cell>
          <cell r="L337">
            <v>12360</v>
          </cell>
        </row>
        <row r="338">
          <cell r="A338">
            <v>1685</v>
          </cell>
          <cell r="B338">
            <v>1</v>
          </cell>
          <cell r="D338" t="str">
            <v>套管</v>
          </cell>
          <cell r="E338" t="str">
            <v>kg</v>
          </cell>
          <cell r="G338">
            <v>11.9</v>
          </cell>
          <cell r="H338">
            <v>11.55</v>
          </cell>
          <cell r="I338">
            <v>0.35</v>
          </cell>
          <cell r="K338" t="str">
            <v>kg</v>
          </cell>
          <cell r="L338">
            <v>11.9</v>
          </cell>
        </row>
        <row r="339">
          <cell r="A339">
            <v>1686</v>
          </cell>
          <cell r="B339">
            <v>1</v>
          </cell>
          <cell r="D339" t="str">
            <v>冲击器DHD360</v>
          </cell>
          <cell r="E339" t="str">
            <v>套</v>
          </cell>
          <cell r="G339">
            <v>9640.7999999999993</v>
          </cell>
          <cell r="H339">
            <v>9360</v>
          </cell>
          <cell r="I339">
            <v>280.8</v>
          </cell>
          <cell r="K339" t="str">
            <v>套</v>
          </cell>
          <cell r="L339">
            <v>9640.7999999999993</v>
          </cell>
        </row>
        <row r="340">
          <cell r="A340">
            <v>1687</v>
          </cell>
          <cell r="B340">
            <v>1</v>
          </cell>
          <cell r="D340" t="str">
            <v>冲击器DHD350C</v>
          </cell>
          <cell r="E340" t="str">
            <v>套</v>
          </cell>
          <cell r="G340">
            <v>9158.76</v>
          </cell>
          <cell r="H340">
            <v>8892</v>
          </cell>
          <cell r="I340">
            <v>266.76</v>
          </cell>
          <cell r="K340" t="str">
            <v>套</v>
          </cell>
          <cell r="L340">
            <v>9158.76</v>
          </cell>
        </row>
        <row r="341">
          <cell r="A341">
            <v>1688</v>
          </cell>
          <cell r="B341">
            <v>1</v>
          </cell>
          <cell r="D341" t="str">
            <v>冲击器DHD340A</v>
          </cell>
          <cell r="E341" t="str">
            <v>套</v>
          </cell>
          <cell r="G341">
            <v>7592.13</v>
          </cell>
          <cell r="H341">
            <v>7371</v>
          </cell>
          <cell r="I341">
            <v>221.13</v>
          </cell>
          <cell r="K341" t="str">
            <v>套</v>
          </cell>
          <cell r="L341">
            <v>7592.13</v>
          </cell>
        </row>
        <row r="342">
          <cell r="A342">
            <v>1689</v>
          </cell>
          <cell r="B342">
            <v>1</v>
          </cell>
          <cell r="D342" t="str">
            <v>MD-100 钻杆∮89*2m</v>
          </cell>
          <cell r="E342" t="str">
            <v>根</v>
          </cell>
          <cell r="G342">
            <v>700.4</v>
          </cell>
          <cell r="H342">
            <v>680</v>
          </cell>
          <cell r="I342">
            <v>20.399999999999999</v>
          </cell>
          <cell r="K342" t="str">
            <v>根</v>
          </cell>
          <cell r="L342">
            <v>700.4</v>
          </cell>
        </row>
        <row r="343">
          <cell r="A343">
            <v>1690</v>
          </cell>
          <cell r="B343">
            <v>1</v>
          </cell>
          <cell r="D343" t="str">
            <v>冲击器∮150</v>
          </cell>
          <cell r="E343" t="str">
            <v>套</v>
          </cell>
          <cell r="G343">
            <v>5356</v>
          </cell>
          <cell r="H343">
            <v>5200</v>
          </cell>
          <cell r="I343">
            <v>156</v>
          </cell>
          <cell r="K343" t="str">
            <v>套</v>
          </cell>
          <cell r="L343">
            <v>5356</v>
          </cell>
        </row>
        <row r="344">
          <cell r="A344">
            <v>1691</v>
          </cell>
          <cell r="B344">
            <v>1</v>
          </cell>
          <cell r="D344" t="str">
            <v>套管靴∮168</v>
          </cell>
          <cell r="E344" t="str">
            <v>个</v>
          </cell>
          <cell r="G344">
            <v>420.24</v>
          </cell>
          <cell r="H344">
            <v>408</v>
          </cell>
          <cell r="I344">
            <v>12.24</v>
          </cell>
          <cell r="K344" t="str">
            <v>个</v>
          </cell>
          <cell r="L344">
            <v>420.24</v>
          </cell>
        </row>
        <row r="345">
          <cell r="A345">
            <v>1692</v>
          </cell>
          <cell r="B345">
            <v>1</v>
          </cell>
          <cell r="D345" t="str">
            <v>偏心跟管钻具∮174</v>
          </cell>
          <cell r="E345" t="str">
            <v>套</v>
          </cell>
          <cell r="G345">
            <v>7375.21</v>
          </cell>
          <cell r="H345">
            <v>7160.4</v>
          </cell>
          <cell r="I345">
            <v>214.81</v>
          </cell>
          <cell r="K345" t="str">
            <v>套</v>
          </cell>
          <cell r="L345">
            <v>7375.21</v>
          </cell>
        </row>
        <row r="346">
          <cell r="A346">
            <v>1693</v>
          </cell>
          <cell r="B346">
            <v>1</v>
          </cell>
          <cell r="D346" t="str">
            <v>套管∮168*1.5m</v>
          </cell>
          <cell r="E346" t="str">
            <v>根</v>
          </cell>
          <cell r="G346">
            <v>710.7</v>
          </cell>
          <cell r="H346">
            <v>690</v>
          </cell>
          <cell r="I346">
            <v>20.7</v>
          </cell>
          <cell r="K346" t="str">
            <v>根</v>
          </cell>
          <cell r="L346">
            <v>710.7</v>
          </cell>
        </row>
        <row r="347">
          <cell r="A347">
            <v>1694</v>
          </cell>
          <cell r="B347">
            <v>1</v>
          </cell>
          <cell r="D347" t="str">
            <v>圆盘钻钻头φ45</v>
          </cell>
          <cell r="E347" t="str">
            <v>个</v>
          </cell>
          <cell r="G347">
            <v>77.25</v>
          </cell>
          <cell r="H347">
            <v>75</v>
          </cell>
          <cell r="I347">
            <v>2.25</v>
          </cell>
          <cell r="K347" t="str">
            <v>个</v>
          </cell>
          <cell r="L347">
            <v>77.25</v>
          </cell>
        </row>
        <row r="348">
          <cell r="A348">
            <v>1695</v>
          </cell>
          <cell r="B348">
            <v>1</v>
          </cell>
          <cell r="D348" t="str">
            <v>圆盘钻钻头φ65</v>
          </cell>
          <cell r="E348" t="str">
            <v>个</v>
          </cell>
          <cell r="G348">
            <v>252.35</v>
          </cell>
          <cell r="H348">
            <v>245</v>
          </cell>
          <cell r="I348">
            <v>7.35</v>
          </cell>
          <cell r="K348" t="str">
            <v>个</v>
          </cell>
          <cell r="L348">
            <v>252.35</v>
          </cell>
        </row>
        <row r="349">
          <cell r="A349">
            <v>1696</v>
          </cell>
          <cell r="B349">
            <v>1</v>
          </cell>
          <cell r="D349" t="str">
            <v>圆盘钻钻头φ76</v>
          </cell>
          <cell r="E349" t="str">
            <v>个</v>
          </cell>
          <cell r="G349">
            <v>267.8</v>
          </cell>
          <cell r="H349">
            <v>260</v>
          </cell>
          <cell r="I349">
            <v>7.8</v>
          </cell>
          <cell r="K349" t="str">
            <v>个</v>
          </cell>
          <cell r="L349">
            <v>267.8</v>
          </cell>
        </row>
        <row r="350">
          <cell r="A350">
            <v>1697</v>
          </cell>
          <cell r="B350">
            <v>1</v>
          </cell>
          <cell r="D350" t="str">
            <v>圆盘钻钻头φ85</v>
          </cell>
          <cell r="E350" t="str">
            <v>个</v>
          </cell>
          <cell r="G350">
            <v>288.39999999999998</v>
          </cell>
          <cell r="H350">
            <v>280</v>
          </cell>
          <cell r="I350">
            <v>8.4</v>
          </cell>
          <cell r="K350" t="str">
            <v>个</v>
          </cell>
          <cell r="L350">
            <v>288.39999999999998</v>
          </cell>
        </row>
        <row r="351">
          <cell r="A351">
            <v>1698</v>
          </cell>
          <cell r="B351">
            <v>1</v>
          </cell>
          <cell r="D351" t="str">
            <v>圆盘钻钻杆</v>
          </cell>
          <cell r="E351" t="str">
            <v>m</v>
          </cell>
          <cell r="G351">
            <v>247.2</v>
          </cell>
          <cell r="H351">
            <v>240</v>
          </cell>
          <cell r="I351">
            <v>7.2</v>
          </cell>
          <cell r="K351" t="str">
            <v>m</v>
          </cell>
          <cell r="L351">
            <v>247.2</v>
          </cell>
        </row>
        <row r="352">
          <cell r="A352">
            <v>1699</v>
          </cell>
          <cell r="B352">
            <v>1</v>
          </cell>
          <cell r="D352" t="str">
            <v>圆盘钻接杆套</v>
          </cell>
          <cell r="E352" t="str">
            <v>个</v>
          </cell>
          <cell r="G352">
            <v>47.38</v>
          </cell>
          <cell r="H352">
            <v>46</v>
          </cell>
          <cell r="I352">
            <v>1.38</v>
          </cell>
          <cell r="K352" t="str">
            <v>个</v>
          </cell>
          <cell r="L352">
            <v>47.38</v>
          </cell>
        </row>
        <row r="353">
          <cell r="A353">
            <v>1700</v>
          </cell>
          <cell r="B353">
            <v>1</v>
          </cell>
          <cell r="D353" t="str">
            <v>YQ钻机钻头(140mm)</v>
          </cell>
          <cell r="E353" t="str">
            <v>个</v>
          </cell>
          <cell r="G353">
            <v>556.20000000000005</v>
          </cell>
          <cell r="H353">
            <v>540</v>
          </cell>
          <cell r="I353">
            <v>16.2</v>
          </cell>
          <cell r="K353" t="str">
            <v>个</v>
          </cell>
          <cell r="L353">
            <v>500</v>
          </cell>
        </row>
        <row r="354">
          <cell r="A354">
            <v>1701</v>
          </cell>
          <cell r="B354">
            <v>1</v>
          </cell>
          <cell r="D354" t="str">
            <v>YQ80钻杆</v>
          </cell>
          <cell r="E354" t="str">
            <v>根</v>
          </cell>
          <cell r="G354">
            <v>206</v>
          </cell>
          <cell r="H354">
            <v>200</v>
          </cell>
          <cell r="I354">
            <v>6</v>
          </cell>
          <cell r="K354" t="str">
            <v>根</v>
          </cell>
          <cell r="L354">
            <v>200</v>
          </cell>
        </row>
        <row r="355">
          <cell r="A355">
            <v>1702</v>
          </cell>
          <cell r="B355">
            <v>1</v>
          </cell>
          <cell r="D355" t="str">
            <v>YQ80冲击器</v>
          </cell>
          <cell r="E355" t="str">
            <v>套</v>
          </cell>
          <cell r="G355">
            <v>1957</v>
          </cell>
          <cell r="H355">
            <v>1900</v>
          </cell>
          <cell r="I355">
            <v>57</v>
          </cell>
          <cell r="K355" t="str">
            <v>套</v>
          </cell>
          <cell r="L355">
            <v>2100</v>
          </cell>
        </row>
        <row r="356">
          <cell r="A356">
            <v>1703</v>
          </cell>
          <cell r="B356">
            <v>1</v>
          </cell>
          <cell r="G356">
            <v>0</v>
          </cell>
          <cell r="I356">
            <v>0</v>
          </cell>
          <cell r="K356">
            <v>0</v>
          </cell>
          <cell r="L356">
            <v>0</v>
          </cell>
        </row>
        <row r="357">
          <cell r="A357">
            <v>1704</v>
          </cell>
          <cell r="B357">
            <v>1</v>
          </cell>
          <cell r="G357">
            <v>0</v>
          </cell>
          <cell r="I357">
            <v>0</v>
          </cell>
          <cell r="K357">
            <v>0</v>
          </cell>
          <cell r="L357">
            <v>0</v>
          </cell>
        </row>
        <row r="358">
          <cell r="A358">
            <v>1705</v>
          </cell>
          <cell r="B358">
            <v>1</v>
          </cell>
          <cell r="G358">
            <v>0</v>
          </cell>
          <cell r="I358">
            <v>0</v>
          </cell>
          <cell r="K358">
            <v>0</v>
          </cell>
          <cell r="L358">
            <v>0</v>
          </cell>
        </row>
        <row r="359">
          <cell r="A359">
            <v>1706</v>
          </cell>
          <cell r="B359">
            <v>1</v>
          </cell>
          <cell r="G359">
            <v>0</v>
          </cell>
          <cell r="I359">
            <v>0</v>
          </cell>
          <cell r="K359">
            <v>0</v>
          </cell>
          <cell r="L359">
            <v>0</v>
          </cell>
        </row>
        <row r="360">
          <cell r="A360">
            <v>1707</v>
          </cell>
          <cell r="B360">
            <v>1</v>
          </cell>
          <cell r="G360">
            <v>0</v>
          </cell>
          <cell r="I360">
            <v>0</v>
          </cell>
          <cell r="K360">
            <v>0</v>
          </cell>
          <cell r="L360">
            <v>0</v>
          </cell>
        </row>
        <row r="361">
          <cell r="A361">
            <v>1708</v>
          </cell>
          <cell r="B361">
            <v>1</v>
          </cell>
          <cell r="G361">
            <v>0</v>
          </cell>
          <cell r="I361">
            <v>0</v>
          </cell>
          <cell r="K361">
            <v>0</v>
          </cell>
          <cell r="L361">
            <v>0</v>
          </cell>
        </row>
        <row r="362">
          <cell r="A362">
            <v>1709</v>
          </cell>
          <cell r="B362">
            <v>1</v>
          </cell>
          <cell r="G362">
            <v>0</v>
          </cell>
          <cell r="I362">
            <v>0</v>
          </cell>
          <cell r="K362">
            <v>0</v>
          </cell>
          <cell r="L362">
            <v>0</v>
          </cell>
        </row>
        <row r="363">
          <cell r="A363">
            <v>1710</v>
          </cell>
          <cell r="B363">
            <v>1</v>
          </cell>
          <cell r="G363">
            <v>0</v>
          </cell>
          <cell r="I363">
            <v>0</v>
          </cell>
          <cell r="K363">
            <v>0</v>
          </cell>
          <cell r="L363">
            <v>0</v>
          </cell>
        </row>
        <row r="364">
          <cell r="A364">
            <v>1711</v>
          </cell>
          <cell r="B364">
            <v>1</v>
          </cell>
          <cell r="G364">
            <v>0</v>
          </cell>
          <cell r="I364">
            <v>0</v>
          </cell>
          <cell r="K364">
            <v>0</v>
          </cell>
          <cell r="L364">
            <v>0</v>
          </cell>
        </row>
        <row r="365">
          <cell r="A365">
            <v>1712</v>
          </cell>
          <cell r="B365">
            <v>1</v>
          </cell>
          <cell r="G365">
            <v>0</v>
          </cell>
          <cell r="I365">
            <v>0</v>
          </cell>
          <cell r="K365">
            <v>0</v>
          </cell>
          <cell r="L365">
            <v>0</v>
          </cell>
        </row>
        <row r="366">
          <cell r="A366">
            <v>1713</v>
          </cell>
          <cell r="B366">
            <v>1</v>
          </cell>
          <cell r="G366">
            <v>0</v>
          </cell>
          <cell r="I366">
            <v>0</v>
          </cell>
          <cell r="K366">
            <v>0</v>
          </cell>
          <cell r="L366">
            <v>0</v>
          </cell>
        </row>
        <row r="367">
          <cell r="A367">
            <v>1714</v>
          </cell>
          <cell r="B367">
            <v>1</v>
          </cell>
          <cell r="G367">
            <v>0</v>
          </cell>
          <cell r="I367">
            <v>0</v>
          </cell>
          <cell r="K367">
            <v>0</v>
          </cell>
          <cell r="L367">
            <v>0</v>
          </cell>
        </row>
        <row r="368">
          <cell r="A368">
            <v>1715</v>
          </cell>
          <cell r="B368">
            <v>1</v>
          </cell>
          <cell r="G368">
            <v>0</v>
          </cell>
          <cell r="I368">
            <v>0</v>
          </cell>
          <cell r="K368">
            <v>0</v>
          </cell>
          <cell r="L368">
            <v>0</v>
          </cell>
        </row>
        <row r="369">
          <cell r="A369">
            <v>1716</v>
          </cell>
          <cell r="B369">
            <v>1</v>
          </cell>
          <cell r="G369">
            <v>0</v>
          </cell>
          <cell r="I369">
            <v>0</v>
          </cell>
          <cell r="K369">
            <v>0</v>
          </cell>
          <cell r="L369">
            <v>0</v>
          </cell>
        </row>
        <row r="370">
          <cell r="B370">
            <v>1</v>
          </cell>
          <cell r="G370">
            <v>0</v>
          </cell>
          <cell r="I370">
            <v>0</v>
          </cell>
          <cell r="K370">
            <v>0</v>
          </cell>
          <cell r="L370">
            <v>0</v>
          </cell>
        </row>
        <row r="371">
          <cell r="B371">
            <v>1</v>
          </cell>
          <cell r="G371">
            <v>0</v>
          </cell>
          <cell r="I371">
            <v>0</v>
          </cell>
          <cell r="K371">
            <v>0</v>
          </cell>
          <cell r="L371">
            <v>0</v>
          </cell>
        </row>
        <row r="372">
          <cell r="A372">
            <v>1801</v>
          </cell>
          <cell r="B372">
            <v>1</v>
          </cell>
          <cell r="D372" t="str">
            <v>地质钻机钻杆</v>
          </cell>
          <cell r="E372" t="str">
            <v xml:space="preserve"> kg</v>
          </cell>
          <cell r="G372">
            <v>11.08158940397351</v>
          </cell>
          <cell r="H372">
            <v>10.76158940397351</v>
          </cell>
          <cell r="I372">
            <v>0.32</v>
          </cell>
          <cell r="K372" t="str">
            <v xml:space="preserve"> kg</v>
          </cell>
          <cell r="L372">
            <v>11.08158940397351</v>
          </cell>
        </row>
        <row r="373">
          <cell r="A373">
            <v>1802</v>
          </cell>
          <cell r="B373">
            <v>1</v>
          </cell>
          <cell r="D373" t="str">
            <v>钻杆接手ф42</v>
          </cell>
          <cell r="E373" t="str">
            <v>个</v>
          </cell>
          <cell r="G373">
            <v>15.45</v>
          </cell>
          <cell r="H373">
            <v>15</v>
          </cell>
          <cell r="I373">
            <v>0.45</v>
          </cell>
          <cell r="K373" t="str">
            <v>个</v>
          </cell>
          <cell r="L373">
            <v>15.45</v>
          </cell>
        </row>
        <row r="374">
          <cell r="A374">
            <v>1803</v>
          </cell>
          <cell r="B374">
            <v>1</v>
          </cell>
          <cell r="D374" t="str">
            <v>变径接手ф54/42</v>
          </cell>
          <cell r="E374" t="str">
            <v>个</v>
          </cell>
          <cell r="G374">
            <v>30.9</v>
          </cell>
          <cell r="H374">
            <v>30</v>
          </cell>
          <cell r="I374">
            <v>0.9</v>
          </cell>
          <cell r="K374" t="str">
            <v>个</v>
          </cell>
          <cell r="L374">
            <v>30.9</v>
          </cell>
        </row>
        <row r="375">
          <cell r="A375">
            <v>1804</v>
          </cell>
          <cell r="B375">
            <v>1</v>
          </cell>
          <cell r="D375" t="str">
            <v>两用接手ф73</v>
          </cell>
          <cell r="E375" t="str">
            <v>个</v>
          </cell>
          <cell r="G375">
            <v>30.9</v>
          </cell>
          <cell r="H375">
            <v>30</v>
          </cell>
          <cell r="I375">
            <v>0.9</v>
          </cell>
          <cell r="K375" t="str">
            <v>个</v>
          </cell>
          <cell r="L375">
            <v>30.9</v>
          </cell>
        </row>
        <row r="376">
          <cell r="A376">
            <v>1805</v>
          </cell>
          <cell r="B376">
            <v>1</v>
          </cell>
          <cell r="D376" t="str">
            <v>两用接手ф89</v>
          </cell>
          <cell r="E376" t="str">
            <v>个</v>
          </cell>
          <cell r="G376">
            <v>41.2</v>
          </cell>
          <cell r="H376">
            <v>40</v>
          </cell>
          <cell r="I376">
            <v>1.2</v>
          </cell>
          <cell r="K376" t="str">
            <v>个</v>
          </cell>
          <cell r="L376">
            <v>41.2</v>
          </cell>
        </row>
        <row r="377">
          <cell r="A377">
            <v>1806</v>
          </cell>
          <cell r="B377">
            <v>1</v>
          </cell>
          <cell r="D377" t="str">
            <v>金钢石钻头 ф46</v>
          </cell>
          <cell r="E377" t="str">
            <v>个</v>
          </cell>
          <cell r="G377">
            <v>226.6</v>
          </cell>
          <cell r="H377">
            <v>220</v>
          </cell>
          <cell r="I377">
            <v>6.6</v>
          </cell>
          <cell r="K377" t="str">
            <v>个</v>
          </cell>
          <cell r="L377">
            <v>226.6</v>
          </cell>
        </row>
        <row r="378">
          <cell r="A378">
            <v>1807</v>
          </cell>
          <cell r="B378">
            <v>1</v>
          </cell>
          <cell r="D378" t="str">
            <v>金钢石钻头 ф56</v>
          </cell>
          <cell r="E378" t="str">
            <v>个</v>
          </cell>
          <cell r="G378">
            <v>241.02</v>
          </cell>
          <cell r="H378">
            <v>234</v>
          </cell>
          <cell r="I378">
            <v>7.02</v>
          </cell>
          <cell r="K378" t="str">
            <v>个</v>
          </cell>
          <cell r="L378">
            <v>241.02</v>
          </cell>
        </row>
        <row r="379">
          <cell r="A379">
            <v>1808</v>
          </cell>
          <cell r="B379">
            <v>1</v>
          </cell>
          <cell r="D379" t="str">
            <v>金刚石钻头 ф66</v>
          </cell>
          <cell r="E379" t="str">
            <v>个</v>
          </cell>
          <cell r="G379">
            <v>278.10000000000002</v>
          </cell>
          <cell r="H379">
            <v>270</v>
          </cell>
          <cell r="I379">
            <v>8.1</v>
          </cell>
          <cell r="K379" t="str">
            <v>个</v>
          </cell>
          <cell r="L379">
            <v>278.10000000000002</v>
          </cell>
        </row>
        <row r="380">
          <cell r="A380">
            <v>1809</v>
          </cell>
          <cell r="B380">
            <v>1</v>
          </cell>
          <cell r="D380" t="str">
            <v>金刚石钻头 ф76</v>
          </cell>
          <cell r="E380" t="str">
            <v>个</v>
          </cell>
          <cell r="G380">
            <v>329.6</v>
          </cell>
          <cell r="H380">
            <v>320</v>
          </cell>
          <cell r="I380">
            <v>9.6</v>
          </cell>
          <cell r="K380" t="str">
            <v>个</v>
          </cell>
          <cell r="L380">
            <v>329.6</v>
          </cell>
        </row>
        <row r="381">
          <cell r="A381">
            <v>1810</v>
          </cell>
          <cell r="B381">
            <v>1</v>
          </cell>
          <cell r="D381" t="str">
            <v>金刚石钻头 ф91</v>
          </cell>
          <cell r="E381" t="str">
            <v>个</v>
          </cell>
          <cell r="G381">
            <v>490.28</v>
          </cell>
          <cell r="H381">
            <v>476</v>
          </cell>
          <cell r="I381">
            <v>14.28</v>
          </cell>
          <cell r="K381" t="str">
            <v>个</v>
          </cell>
          <cell r="L381">
            <v>490.28</v>
          </cell>
        </row>
        <row r="382">
          <cell r="A382">
            <v>1811</v>
          </cell>
          <cell r="B382">
            <v>1</v>
          </cell>
          <cell r="D382" t="str">
            <v>金刚石钻头 ф110</v>
          </cell>
          <cell r="E382" t="str">
            <v>个</v>
          </cell>
          <cell r="G382">
            <v>704.52</v>
          </cell>
          <cell r="H382">
            <v>684</v>
          </cell>
          <cell r="I382">
            <v>20.52</v>
          </cell>
          <cell r="K382" t="str">
            <v>个</v>
          </cell>
          <cell r="L382">
            <v>704.52</v>
          </cell>
        </row>
        <row r="383">
          <cell r="A383">
            <v>1812</v>
          </cell>
          <cell r="B383">
            <v>1</v>
          </cell>
          <cell r="D383" t="str">
            <v>金刚石钻头 ф130</v>
          </cell>
          <cell r="E383" t="str">
            <v>个</v>
          </cell>
          <cell r="G383">
            <v>757.05</v>
          </cell>
          <cell r="H383">
            <v>735</v>
          </cell>
          <cell r="I383">
            <v>22.05</v>
          </cell>
          <cell r="K383" t="str">
            <v>个</v>
          </cell>
          <cell r="L383">
            <v>757.05</v>
          </cell>
        </row>
        <row r="384">
          <cell r="A384">
            <v>1813</v>
          </cell>
          <cell r="B384">
            <v>1</v>
          </cell>
          <cell r="D384" t="str">
            <v>金刚石钻头 ф151</v>
          </cell>
          <cell r="E384" t="str">
            <v>个</v>
          </cell>
          <cell r="G384">
            <v>835.33</v>
          </cell>
          <cell r="H384">
            <v>811</v>
          </cell>
          <cell r="I384">
            <v>24.33</v>
          </cell>
          <cell r="K384" t="str">
            <v>个</v>
          </cell>
          <cell r="L384">
            <v>835.33</v>
          </cell>
        </row>
        <row r="385">
          <cell r="A385">
            <v>1814</v>
          </cell>
          <cell r="B385">
            <v>1</v>
          </cell>
          <cell r="D385" t="str">
            <v>金刚石钻头 ф171</v>
          </cell>
          <cell r="E385" t="str">
            <v>个</v>
          </cell>
          <cell r="G385">
            <v>1884.9</v>
          </cell>
          <cell r="H385">
            <v>1830</v>
          </cell>
          <cell r="I385">
            <v>54.9</v>
          </cell>
          <cell r="K385" t="str">
            <v>个</v>
          </cell>
          <cell r="L385">
            <v>1884.9</v>
          </cell>
        </row>
        <row r="386">
          <cell r="A386">
            <v>1815</v>
          </cell>
          <cell r="B386">
            <v>1</v>
          </cell>
          <cell r="D386" t="str">
            <v>金刚石钻头 ф275</v>
          </cell>
          <cell r="E386" t="str">
            <v>个</v>
          </cell>
          <cell r="G386">
            <v>2543.0700000000002</v>
          </cell>
          <cell r="H386">
            <v>2469</v>
          </cell>
          <cell r="I386">
            <v>74.069999999999993</v>
          </cell>
          <cell r="K386" t="str">
            <v>个</v>
          </cell>
          <cell r="L386">
            <v>2543.0700000000002</v>
          </cell>
        </row>
        <row r="387">
          <cell r="A387">
            <v>1816</v>
          </cell>
          <cell r="B387">
            <v>1</v>
          </cell>
          <cell r="D387" t="str">
            <v>金刚石钻头 ф340</v>
          </cell>
          <cell r="E387" t="str">
            <v>个</v>
          </cell>
          <cell r="G387">
            <v>4186.95</v>
          </cell>
          <cell r="H387">
            <v>4065</v>
          </cell>
          <cell r="I387">
            <v>121.95</v>
          </cell>
          <cell r="K387" t="str">
            <v>个</v>
          </cell>
          <cell r="L387">
            <v>4186.95</v>
          </cell>
        </row>
        <row r="388">
          <cell r="A388">
            <v>1817</v>
          </cell>
          <cell r="B388">
            <v>1</v>
          </cell>
          <cell r="D388" t="str">
            <v>金刚石扩孔器 ф46.5</v>
          </cell>
          <cell r="E388" t="str">
            <v>个</v>
          </cell>
          <cell r="G388">
            <v>103</v>
          </cell>
          <cell r="H388">
            <v>100</v>
          </cell>
          <cell r="I388">
            <v>3</v>
          </cell>
          <cell r="K388" t="str">
            <v>个</v>
          </cell>
          <cell r="L388">
            <v>103</v>
          </cell>
        </row>
        <row r="389">
          <cell r="A389">
            <v>1818</v>
          </cell>
          <cell r="B389">
            <v>1</v>
          </cell>
          <cell r="D389" t="str">
            <v>金刚石扩孔器 ф56.5</v>
          </cell>
          <cell r="E389" t="str">
            <v>个</v>
          </cell>
          <cell r="G389">
            <v>199.82</v>
          </cell>
          <cell r="H389">
            <v>194</v>
          </cell>
          <cell r="I389">
            <v>5.82</v>
          </cell>
          <cell r="K389" t="str">
            <v>个</v>
          </cell>
          <cell r="L389">
            <v>199.82</v>
          </cell>
        </row>
        <row r="390">
          <cell r="A390">
            <v>1819</v>
          </cell>
          <cell r="B390">
            <v>1</v>
          </cell>
          <cell r="D390" t="str">
            <v>金刚石扩孔器 ф66.5</v>
          </cell>
          <cell r="E390" t="str">
            <v>个</v>
          </cell>
          <cell r="G390">
            <v>162.28</v>
          </cell>
          <cell r="H390">
            <v>157.55000000000001</v>
          </cell>
          <cell r="I390">
            <v>4.7300000000000004</v>
          </cell>
          <cell r="K390" t="str">
            <v>个</v>
          </cell>
          <cell r="L390">
            <v>162.28</v>
          </cell>
        </row>
        <row r="391">
          <cell r="A391">
            <v>1820</v>
          </cell>
          <cell r="B391">
            <v>1</v>
          </cell>
          <cell r="D391" t="str">
            <v>金刚石扩孔器 ф76.5</v>
          </cell>
          <cell r="E391" t="str">
            <v>个</v>
          </cell>
          <cell r="G391">
            <v>288.39999999999998</v>
          </cell>
          <cell r="H391">
            <v>280</v>
          </cell>
          <cell r="I391">
            <v>8.4</v>
          </cell>
          <cell r="K391" t="str">
            <v>个</v>
          </cell>
          <cell r="L391">
            <v>288.39999999999998</v>
          </cell>
        </row>
        <row r="392">
          <cell r="A392">
            <v>1821</v>
          </cell>
          <cell r="B392">
            <v>1</v>
          </cell>
          <cell r="D392" t="str">
            <v>金刚石扩孔器 ф91.5</v>
          </cell>
          <cell r="E392" t="str">
            <v>个</v>
          </cell>
          <cell r="G392">
            <v>298.7</v>
          </cell>
          <cell r="H392">
            <v>290</v>
          </cell>
          <cell r="I392">
            <v>8.6999999999999993</v>
          </cell>
          <cell r="K392" t="str">
            <v>个</v>
          </cell>
          <cell r="L392">
            <v>298.7</v>
          </cell>
        </row>
        <row r="393">
          <cell r="A393">
            <v>1822</v>
          </cell>
          <cell r="B393">
            <v>1</v>
          </cell>
          <cell r="D393" t="str">
            <v>金刚石扩孔器 ф110.5</v>
          </cell>
          <cell r="E393" t="str">
            <v>个</v>
          </cell>
          <cell r="G393">
            <v>384.19</v>
          </cell>
          <cell r="H393">
            <v>373</v>
          </cell>
          <cell r="I393">
            <v>11.19</v>
          </cell>
          <cell r="K393" t="str">
            <v>个</v>
          </cell>
          <cell r="L393">
            <v>384.19</v>
          </cell>
        </row>
        <row r="394">
          <cell r="A394">
            <v>1823</v>
          </cell>
          <cell r="B394">
            <v>1</v>
          </cell>
          <cell r="D394" t="str">
            <v>金刚石扩孔器 ф151.5</v>
          </cell>
          <cell r="E394" t="str">
            <v>个</v>
          </cell>
          <cell r="G394">
            <v>286.33999999999997</v>
          </cell>
          <cell r="H394">
            <v>278</v>
          </cell>
          <cell r="I394">
            <v>8.34</v>
          </cell>
          <cell r="K394" t="str">
            <v>个</v>
          </cell>
          <cell r="L394">
            <v>286.33999999999997</v>
          </cell>
        </row>
        <row r="395">
          <cell r="A395">
            <v>1824</v>
          </cell>
          <cell r="B395">
            <v>1</v>
          </cell>
          <cell r="D395" t="str">
            <v>金刚石扩孔器 ф171.5</v>
          </cell>
          <cell r="E395" t="str">
            <v>个</v>
          </cell>
          <cell r="G395">
            <v>793.1</v>
          </cell>
          <cell r="H395">
            <v>770</v>
          </cell>
          <cell r="I395">
            <v>23.1</v>
          </cell>
          <cell r="K395" t="str">
            <v>个</v>
          </cell>
          <cell r="L395">
            <v>793.1</v>
          </cell>
        </row>
        <row r="396">
          <cell r="A396">
            <v>1825</v>
          </cell>
          <cell r="B396">
            <v>1</v>
          </cell>
          <cell r="D396" t="str">
            <v>铁砂钻头 ф56</v>
          </cell>
          <cell r="E396" t="str">
            <v>个</v>
          </cell>
          <cell r="G396">
            <v>17.510000000000002</v>
          </cell>
          <cell r="H396">
            <v>17</v>
          </cell>
          <cell r="I396">
            <v>0.51</v>
          </cell>
          <cell r="K396" t="str">
            <v>个</v>
          </cell>
          <cell r="L396">
            <v>17.510000000000002</v>
          </cell>
        </row>
        <row r="397">
          <cell r="A397">
            <v>1826</v>
          </cell>
          <cell r="B397">
            <v>1</v>
          </cell>
          <cell r="D397" t="str">
            <v>铁砂钻头 ф76</v>
          </cell>
          <cell r="E397" t="str">
            <v>个</v>
          </cell>
          <cell r="G397">
            <v>17.510000000000002</v>
          </cell>
          <cell r="H397">
            <v>17</v>
          </cell>
          <cell r="I397">
            <v>0.51</v>
          </cell>
          <cell r="K397" t="str">
            <v>个</v>
          </cell>
          <cell r="L397">
            <v>17.510000000000002</v>
          </cell>
        </row>
        <row r="398">
          <cell r="A398">
            <v>1827</v>
          </cell>
          <cell r="B398">
            <v>1</v>
          </cell>
          <cell r="D398" t="str">
            <v>铁砂钻头 ф91</v>
          </cell>
          <cell r="E398" t="str">
            <v>个</v>
          </cell>
          <cell r="G398">
            <v>97.85</v>
          </cell>
          <cell r="H398">
            <v>95</v>
          </cell>
          <cell r="I398">
            <v>2.85</v>
          </cell>
          <cell r="K398" t="str">
            <v>个</v>
          </cell>
          <cell r="L398">
            <v>97.85</v>
          </cell>
        </row>
        <row r="399">
          <cell r="A399">
            <v>1828</v>
          </cell>
          <cell r="B399">
            <v>1</v>
          </cell>
          <cell r="D399" t="str">
            <v>铁砂钻头 ф110</v>
          </cell>
          <cell r="E399" t="str">
            <v>个</v>
          </cell>
          <cell r="G399">
            <v>128.75</v>
          </cell>
          <cell r="H399">
            <v>125</v>
          </cell>
          <cell r="I399">
            <v>3.75</v>
          </cell>
          <cell r="K399" t="str">
            <v>个</v>
          </cell>
          <cell r="L399">
            <v>128.75</v>
          </cell>
        </row>
        <row r="400">
          <cell r="A400">
            <v>1829</v>
          </cell>
          <cell r="B400">
            <v>1</v>
          </cell>
          <cell r="D400" t="str">
            <v>铁砂钻头 ф130</v>
          </cell>
          <cell r="E400" t="str">
            <v>个</v>
          </cell>
          <cell r="G400">
            <v>139.05000000000001</v>
          </cell>
          <cell r="H400">
            <v>135</v>
          </cell>
          <cell r="I400">
            <v>4.05</v>
          </cell>
          <cell r="K400" t="str">
            <v>个</v>
          </cell>
          <cell r="L400">
            <v>139.05000000000001</v>
          </cell>
        </row>
        <row r="401">
          <cell r="A401">
            <v>1830</v>
          </cell>
          <cell r="B401">
            <v>1</v>
          </cell>
          <cell r="D401" t="str">
            <v>铁砂钻头 ф150</v>
          </cell>
          <cell r="E401" t="str">
            <v>个</v>
          </cell>
          <cell r="G401">
            <v>257.5</v>
          </cell>
          <cell r="H401">
            <v>250</v>
          </cell>
          <cell r="I401">
            <v>7.5</v>
          </cell>
          <cell r="K401" t="str">
            <v>个</v>
          </cell>
          <cell r="L401">
            <v>257.5</v>
          </cell>
        </row>
        <row r="402">
          <cell r="A402">
            <v>1831</v>
          </cell>
          <cell r="B402">
            <v>1</v>
          </cell>
          <cell r="D402" t="str">
            <v>铁砂钻头 ф340</v>
          </cell>
          <cell r="E402" t="str">
            <v>个</v>
          </cell>
          <cell r="G402">
            <v>1019.7</v>
          </cell>
          <cell r="H402">
            <v>990</v>
          </cell>
          <cell r="I402">
            <v>29.7</v>
          </cell>
          <cell r="K402" t="str">
            <v>个</v>
          </cell>
          <cell r="L402">
            <v>1019.7</v>
          </cell>
        </row>
        <row r="403">
          <cell r="A403">
            <v>1832</v>
          </cell>
          <cell r="B403">
            <v>1</v>
          </cell>
          <cell r="D403" t="str">
            <v>合金复式钻头 ф275</v>
          </cell>
          <cell r="E403" t="str">
            <v>个</v>
          </cell>
          <cell r="G403">
            <v>318.27</v>
          </cell>
          <cell r="H403">
            <v>309</v>
          </cell>
          <cell r="I403">
            <v>9.27</v>
          </cell>
          <cell r="K403" t="str">
            <v>个</v>
          </cell>
          <cell r="L403">
            <v>318.27</v>
          </cell>
        </row>
        <row r="404">
          <cell r="A404">
            <v>1833</v>
          </cell>
          <cell r="B404">
            <v>1</v>
          </cell>
          <cell r="D404" t="str">
            <v xml:space="preserve">镶合金片钻头φ56 </v>
          </cell>
          <cell r="E404" t="str">
            <v>个</v>
          </cell>
          <cell r="G404">
            <v>36.049999999999997</v>
          </cell>
          <cell r="H404">
            <v>35</v>
          </cell>
          <cell r="I404">
            <v>1.05</v>
          </cell>
          <cell r="K404" t="str">
            <v>个</v>
          </cell>
          <cell r="L404">
            <v>36.049999999999997</v>
          </cell>
        </row>
        <row r="405">
          <cell r="A405">
            <v>1834</v>
          </cell>
          <cell r="B405">
            <v>1</v>
          </cell>
          <cell r="D405" t="str">
            <v>镶合金片钻头φ66</v>
          </cell>
          <cell r="E405" t="str">
            <v>个</v>
          </cell>
          <cell r="G405">
            <v>48.41</v>
          </cell>
          <cell r="H405">
            <v>47</v>
          </cell>
          <cell r="I405">
            <v>1.41</v>
          </cell>
          <cell r="K405" t="str">
            <v>个</v>
          </cell>
          <cell r="L405">
            <v>48.41</v>
          </cell>
        </row>
        <row r="406">
          <cell r="A406">
            <v>1835</v>
          </cell>
          <cell r="B406">
            <v>1</v>
          </cell>
          <cell r="D406" t="str">
            <v xml:space="preserve">镶合金片钻头φ76 </v>
          </cell>
          <cell r="E406" t="str">
            <v>个</v>
          </cell>
          <cell r="G406">
            <v>57.68</v>
          </cell>
          <cell r="H406">
            <v>56</v>
          </cell>
          <cell r="I406">
            <v>1.68</v>
          </cell>
          <cell r="K406" t="str">
            <v>个</v>
          </cell>
          <cell r="L406">
            <v>57.68</v>
          </cell>
        </row>
        <row r="407">
          <cell r="A407">
            <v>1836</v>
          </cell>
          <cell r="B407">
            <v>1</v>
          </cell>
          <cell r="D407" t="str">
            <v>镶合金片钻头φ91</v>
          </cell>
          <cell r="E407" t="str">
            <v>个</v>
          </cell>
          <cell r="G407">
            <v>61.8</v>
          </cell>
          <cell r="H407">
            <v>60</v>
          </cell>
          <cell r="I407">
            <v>1.8</v>
          </cell>
          <cell r="K407" t="str">
            <v>个</v>
          </cell>
          <cell r="L407">
            <v>61.8</v>
          </cell>
        </row>
        <row r="408">
          <cell r="A408">
            <v>1837</v>
          </cell>
          <cell r="B408">
            <v>1</v>
          </cell>
          <cell r="D408" t="str">
            <v>镶合金片钻头φ110</v>
          </cell>
          <cell r="E408" t="str">
            <v>个</v>
          </cell>
          <cell r="G408">
            <v>74.16</v>
          </cell>
          <cell r="H408">
            <v>72</v>
          </cell>
          <cell r="I408">
            <v>2.16</v>
          </cell>
          <cell r="K408" t="str">
            <v>个</v>
          </cell>
          <cell r="L408">
            <v>74.16</v>
          </cell>
        </row>
        <row r="409">
          <cell r="A409">
            <v>1838</v>
          </cell>
          <cell r="B409">
            <v>1</v>
          </cell>
          <cell r="D409" t="str">
            <v>镶合金片钻头φ150</v>
          </cell>
          <cell r="E409" t="str">
            <v>个</v>
          </cell>
          <cell r="G409">
            <v>100.94</v>
          </cell>
          <cell r="H409">
            <v>98</v>
          </cell>
          <cell r="I409">
            <v>2.94</v>
          </cell>
          <cell r="K409" t="str">
            <v>个</v>
          </cell>
          <cell r="L409">
            <v>100.94</v>
          </cell>
        </row>
        <row r="410">
          <cell r="A410">
            <v>1839</v>
          </cell>
          <cell r="B410">
            <v>1</v>
          </cell>
          <cell r="D410" t="str">
            <v>合金钻头 ф275</v>
          </cell>
          <cell r="E410" t="str">
            <v>个</v>
          </cell>
          <cell r="G410">
            <v>174.07</v>
          </cell>
          <cell r="H410">
            <v>169</v>
          </cell>
          <cell r="I410">
            <v>5.07</v>
          </cell>
          <cell r="K410" t="str">
            <v>个</v>
          </cell>
          <cell r="L410">
            <v>174.07</v>
          </cell>
        </row>
        <row r="411">
          <cell r="A411">
            <v>1840</v>
          </cell>
          <cell r="B411">
            <v>1</v>
          </cell>
          <cell r="D411" t="str">
            <v>扩孔器 ф56</v>
          </cell>
          <cell r="E411" t="str">
            <v>个</v>
          </cell>
          <cell r="G411">
            <v>191.58</v>
          </cell>
          <cell r="H411">
            <v>186</v>
          </cell>
          <cell r="I411">
            <v>5.58</v>
          </cell>
          <cell r="K411" t="str">
            <v>个</v>
          </cell>
          <cell r="L411">
            <v>191.58</v>
          </cell>
        </row>
        <row r="412">
          <cell r="A412">
            <v>1841</v>
          </cell>
          <cell r="B412">
            <v>1</v>
          </cell>
          <cell r="D412" t="str">
            <v>扩孔器 ф76</v>
          </cell>
          <cell r="E412" t="str">
            <v>个</v>
          </cell>
          <cell r="G412">
            <v>258.52999999999997</v>
          </cell>
          <cell r="H412">
            <v>251</v>
          </cell>
          <cell r="I412">
            <v>7.53</v>
          </cell>
          <cell r="K412" t="str">
            <v>个</v>
          </cell>
          <cell r="L412">
            <v>258.52999999999997</v>
          </cell>
        </row>
        <row r="413">
          <cell r="A413">
            <v>1842</v>
          </cell>
          <cell r="B413">
            <v>1</v>
          </cell>
          <cell r="D413" t="str">
            <v>扩孔器 ф91</v>
          </cell>
          <cell r="E413" t="str">
            <v>个</v>
          </cell>
          <cell r="G413">
            <v>457.32</v>
          </cell>
          <cell r="H413">
            <v>444</v>
          </cell>
          <cell r="I413">
            <v>13.32</v>
          </cell>
          <cell r="K413" t="str">
            <v>个</v>
          </cell>
          <cell r="L413">
            <v>457.32</v>
          </cell>
        </row>
        <row r="414">
          <cell r="A414">
            <v>1843</v>
          </cell>
          <cell r="B414">
            <v>1</v>
          </cell>
          <cell r="D414" t="str">
            <v>扩孔器 ф110</v>
          </cell>
          <cell r="E414" t="str">
            <v>个</v>
          </cell>
          <cell r="G414">
            <v>505.73</v>
          </cell>
          <cell r="H414">
            <v>491</v>
          </cell>
          <cell r="I414">
            <v>14.73</v>
          </cell>
          <cell r="K414" t="str">
            <v>个</v>
          </cell>
          <cell r="L414">
            <v>505.73</v>
          </cell>
        </row>
        <row r="415">
          <cell r="A415">
            <v>1844</v>
          </cell>
          <cell r="B415">
            <v>1</v>
          </cell>
          <cell r="D415" t="str">
            <v>扩孔器 ф130</v>
          </cell>
          <cell r="E415" t="str">
            <v>个</v>
          </cell>
          <cell r="G415">
            <v>593.28</v>
          </cell>
          <cell r="H415">
            <v>576</v>
          </cell>
          <cell r="I415">
            <v>17.28</v>
          </cell>
          <cell r="K415" t="str">
            <v>个</v>
          </cell>
          <cell r="L415">
            <v>593.28</v>
          </cell>
        </row>
        <row r="416">
          <cell r="A416">
            <v>1845</v>
          </cell>
          <cell r="B416">
            <v>1</v>
          </cell>
          <cell r="D416" t="str">
            <v>扩孔器 ф150</v>
          </cell>
          <cell r="E416" t="str">
            <v>个</v>
          </cell>
          <cell r="G416">
            <v>751.9</v>
          </cell>
          <cell r="H416">
            <v>730</v>
          </cell>
          <cell r="I416">
            <v>21.9</v>
          </cell>
          <cell r="K416" t="str">
            <v>个</v>
          </cell>
          <cell r="L416">
            <v>751.9</v>
          </cell>
        </row>
        <row r="417">
          <cell r="A417">
            <v>1846</v>
          </cell>
          <cell r="B417">
            <v>1</v>
          </cell>
          <cell r="D417" t="str">
            <v>扩孔器 ф270</v>
          </cell>
          <cell r="E417" t="str">
            <v>个</v>
          </cell>
          <cell r="G417">
            <v>1287.5</v>
          </cell>
          <cell r="H417">
            <v>1250</v>
          </cell>
          <cell r="I417">
            <v>37.5</v>
          </cell>
          <cell r="K417" t="str">
            <v>个</v>
          </cell>
          <cell r="L417">
            <v>1287.5</v>
          </cell>
        </row>
        <row r="418">
          <cell r="A418">
            <v>1847</v>
          </cell>
          <cell r="B418">
            <v>1</v>
          </cell>
          <cell r="D418" t="str">
            <v>牙轮钻头</v>
          </cell>
          <cell r="E418" t="str">
            <v>个</v>
          </cell>
          <cell r="G418">
            <v>1637.7</v>
          </cell>
          <cell r="H418">
            <v>1590</v>
          </cell>
          <cell r="I418">
            <v>47.7</v>
          </cell>
          <cell r="K418" t="str">
            <v>个</v>
          </cell>
          <cell r="L418">
            <v>1637.7</v>
          </cell>
        </row>
        <row r="419">
          <cell r="A419">
            <v>1848</v>
          </cell>
          <cell r="B419">
            <v>1</v>
          </cell>
          <cell r="D419" t="str">
            <v>铁砂钻头 ф50</v>
          </cell>
          <cell r="E419" t="str">
            <v>个</v>
          </cell>
          <cell r="G419">
            <v>67.69</v>
          </cell>
          <cell r="H419">
            <v>65.72</v>
          </cell>
          <cell r="I419">
            <v>1.97</v>
          </cell>
          <cell r="K419" t="str">
            <v>个</v>
          </cell>
          <cell r="L419">
            <v>67.69</v>
          </cell>
        </row>
        <row r="420">
          <cell r="A420">
            <v>1849</v>
          </cell>
          <cell r="B420">
            <v>1</v>
          </cell>
          <cell r="D420" t="str">
            <v>铁砂钻头 ф76</v>
          </cell>
          <cell r="E420" t="str">
            <v>个</v>
          </cell>
          <cell r="G420">
            <v>97.17</v>
          </cell>
          <cell r="H420">
            <v>94.34</v>
          </cell>
          <cell r="I420">
            <v>2.83</v>
          </cell>
          <cell r="K420" t="str">
            <v>个</v>
          </cell>
          <cell r="L420">
            <v>97.17</v>
          </cell>
        </row>
        <row r="421">
          <cell r="A421">
            <v>1850</v>
          </cell>
          <cell r="B421">
            <v>1</v>
          </cell>
          <cell r="D421" t="str">
            <v>铁砂</v>
          </cell>
          <cell r="E421" t="str">
            <v>kg</v>
          </cell>
          <cell r="G421">
            <v>4.33</v>
          </cell>
          <cell r="H421">
            <v>4.2</v>
          </cell>
          <cell r="I421">
            <v>0.13</v>
          </cell>
          <cell r="K421" t="str">
            <v>kg</v>
          </cell>
          <cell r="L421">
            <v>4.33</v>
          </cell>
        </row>
        <row r="422">
          <cell r="A422">
            <v>1851</v>
          </cell>
          <cell r="B422">
            <v>1</v>
          </cell>
          <cell r="D422" t="str">
            <v>合金片</v>
          </cell>
          <cell r="E422" t="str">
            <v>kg</v>
          </cell>
          <cell r="G422">
            <v>216.3</v>
          </cell>
          <cell r="H422">
            <v>210</v>
          </cell>
          <cell r="I422">
            <v>6.3</v>
          </cell>
          <cell r="K422" t="str">
            <v>kg</v>
          </cell>
          <cell r="L422">
            <v>216.3</v>
          </cell>
        </row>
        <row r="423">
          <cell r="A423">
            <v>1852</v>
          </cell>
          <cell r="B423">
            <v>1</v>
          </cell>
          <cell r="D423" t="str">
            <v>预留孔道钢管 ф168</v>
          </cell>
          <cell r="E423" t="str">
            <v>kg</v>
          </cell>
          <cell r="G423">
            <v>3.3000000000000003</v>
          </cell>
          <cell r="H423">
            <v>3.2</v>
          </cell>
          <cell r="I423">
            <v>0.1</v>
          </cell>
          <cell r="K423" t="str">
            <v>kg</v>
          </cell>
          <cell r="L423">
            <v>3.3000000000000003</v>
          </cell>
        </row>
        <row r="424">
          <cell r="A424">
            <v>1853</v>
          </cell>
          <cell r="B424">
            <v>1</v>
          </cell>
          <cell r="D424" t="str">
            <v>预留孔道钢管 ф148</v>
          </cell>
          <cell r="E424" t="str">
            <v>kg</v>
          </cell>
          <cell r="G424">
            <v>3.3000000000000003</v>
          </cell>
          <cell r="H424">
            <v>3.2</v>
          </cell>
          <cell r="I424">
            <v>0.1</v>
          </cell>
          <cell r="K424" t="str">
            <v>kg</v>
          </cell>
          <cell r="L424">
            <v>3.3000000000000003</v>
          </cell>
        </row>
        <row r="425">
          <cell r="A425">
            <v>1854</v>
          </cell>
          <cell r="B425">
            <v>1</v>
          </cell>
          <cell r="D425" t="str">
            <v>预留孔道钢管 ф127</v>
          </cell>
          <cell r="E425" t="str">
            <v>kg</v>
          </cell>
          <cell r="G425">
            <v>3.3000000000000003</v>
          </cell>
          <cell r="H425">
            <v>3.2</v>
          </cell>
          <cell r="I425">
            <v>0.1</v>
          </cell>
          <cell r="K425" t="str">
            <v>kg</v>
          </cell>
          <cell r="L425">
            <v>3.3000000000000003</v>
          </cell>
        </row>
        <row r="426">
          <cell r="A426">
            <v>1855</v>
          </cell>
          <cell r="B426">
            <v>1</v>
          </cell>
          <cell r="D426" t="str">
            <v>预留孔道钢管 ф108</v>
          </cell>
          <cell r="E426" t="str">
            <v>kg</v>
          </cell>
          <cell r="G426">
            <v>3.3000000000000003</v>
          </cell>
          <cell r="H426">
            <v>3.2</v>
          </cell>
          <cell r="I426">
            <v>0.1</v>
          </cell>
          <cell r="K426" t="str">
            <v>kg</v>
          </cell>
          <cell r="L426">
            <v>3.3000000000000003</v>
          </cell>
        </row>
        <row r="427">
          <cell r="A427">
            <v>1856</v>
          </cell>
          <cell r="B427">
            <v>1</v>
          </cell>
          <cell r="D427" t="str">
            <v>孔口装置 ф73</v>
          </cell>
          <cell r="E427" t="str">
            <v>套</v>
          </cell>
          <cell r="G427">
            <v>61.8</v>
          </cell>
          <cell r="H427">
            <v>60</v>
          </cell>
          <cell r="I427">
            <v>1.8</v>
          </cell>
          <cell r="K427" t="str">
            <v>套</v>
          </cell>
          <cell r="L427">
            <v>61.8</v>
          </cell>
        </row>
        <row r="428">
          <cell r="A428">
            <v>1857</v>
          </cell>
          <cell r="B428">
            <v>1</v>
          </cell>
          <cell r="D428" t="str">
            <v>孔口装置 ф89</v>
          </cell>
          <cell r="E428" t="str">
            <v>套</v>
          </cell>
          <cell r="G428">
            <v>88.58</v>
          </cell>
          <cell r="H428">
            <v>86</v>
          </cell>
          <cell r="I428">
            <v>2.58</v>
          </cell>
          <cell r="K428" t="str">
            <v>套</v>
          </cell>
          <cell r="L428">
            <v>88.58</v>
          </cell>
        </row>
        <row r="429">
          <cell r="A429">
            <v>1858</v>
          </cell>
          <cell r="B429">
            <v>1</v>
          </cell>
          <cell r="D429" t="str">
            <v>孔口装置 ф146</v>
          </cell>
          <cell r="E429" t="str">
            <v>套</v>
          </cell>
          <cell r="G429">
            <v>137.51</v>
          </cell>
          <cell r="H429">
            <v>133.5</v>
          </cell>
          <cell r="I429">
            <v>4.01</v>
          </cell>
          <cell r="K429" t="str">
            <v>套</v>
          </cell>
          <cell r="L429">
            <v>137.51</v>
          </cell>
        </row>
        <row r="430">
          <cell r="A430">
            <v>1859</v>
          </cell>
          <cell r="B430">
            <v>1</v>
          </cell>
          <cell r="D430" t="str">
            <v>灌浆管</v>
          </cell>
          <cell r="E430" t="str">
            <v>kg</v>
          </cell>
          <cell r="G430">
            <v>3.3400000000000003</v>
          </cell>
          <cell r="H430">
            <v>3.24</v>
          </cell>
          <cell r="I430">
            <v>0.1</v>
          </cell>
          <cell r="K430" t="str">
            <v>kg</v>
          </cell>
          <cell r="L430">
            <v>3.3400000000000003</v>
          </cell>
        </row>
        <row r="431">
          <cell r="A431">
            <v>1860</v>
          </cell>
          <cell r="B431">
            <v>1</v>
          </cell>
          <cell r="D431" t="str">
            <v>岩芯管及孔口管ф110</v>
          </cell>
          <cell r="E431" t="str">
            <v>kg</v>
          </cell>
          <cell r="G431">
            <v>5.3900000000000006</v>
          </cell>
          <cell r="H431">
            <v>5.23</v>
          </cell>
          <cell r="I431">
            <v>0.16</v>
          </cell>
          <cell r="K431" t="str">
            <v>kg</v>
          </cell>
          <cell r="L431">
            <v>5.3900000000000006</v>
          </cell>
        </row>
        <row r="432">
          <cell r="A432">
            <v>1861</v>
          </cell>
          <cell r="B432">
            <v>1</v>
          </cell>
          <cell r="D432" t="str">
            <v>岩芯管及孔口管ф90</v>
          </cell>
          <cell r="E432" t="str">
            <v>kg</v>
          </cell>
          <cell r="G432">
            <v>5.3900000000000006</v>
          </cell>
          <cell r="H432">
            <v>5.23</v>
          </cell>
          <cell r="I432">
            <v>0.16</v>
          </cell>
          <cell r="K432" t="str">
            <v>kg</v>
          </cell>
          <cell r="L432">
            <v>5.3900000000000006</v>
          </cell>
        </row>
        <row r="433">
          <cell r="A433">
            <v>1862</v>
          </cell>
          <cell r="B433">
            <v>1</v>
          </cell>
          <cell r="D433" t="str">
            <v>岩芯管及孔口管ф75</v>
          </cell>
          <cell r="E433" t="str">
            <v>kg</v>
          </cell>
          <cell r="G433">
            <v>5.3900000000000006</v>
          </cell>
          <cell r="H433">
            <v>5.23</v>
          </cell>
          <cell r="I433">
            <v>0.16</v>
          </cell>
          <cell r="K433" t="str">
            <v>kg</v>
          </cell>
          <cell r="L433">
            <v>5.3900000000000006</v>
          </cell>
        </row>
        <row r="434">
          <cell r="A434">
            <v>1863</v>
          </cell>
          <cell r="B434">
            <v>1</v>
          </cell>
          <cell r="D434" t="str">
            <v>岩芯管及孔口管ф54</v>
          </cell>
          <cell r="E434" t="str">
            <v>kg</v>
          </cell>
          <cell r="G434">
            <v>5.3900000000000006</v>
          </cell>
          <cell r="H434">
            <v>5.23</v>
          </cell>
          <cell r="I434">
            <v>0.16</v>
          </cell>
          <cell r="K434" t="str">
            <v>kg</v>
          </cell>
          <cell r="L434">
            <v>5.3900000000000006</v>
          </cell>
        </row>
        <row r="435">
          <cell r="A435">
            <v>1864</v>
          </cell>
          <cell r="B435">
            <v>1</v>
          </cell>
          <cell r="D435" t="str">
            <v>岩芯管 ф127</v>
          </cell>
          <cell r="E435" t="str">
            <v>kg</v>
          </cell>
          <cell r="G435">
            <v>5.3900000000000006</v>
          </cell>
          <cell r="H435">
            <v>5.23</v>
          </cell>
          <cell r="I435">
            <v>0.16</v>
          </cell>
          <cell r="K435" t="str">
            <v>kg</v>
          </cell>
          <cell r="L435">
            <v>5.3900000000000006</v>
          </cell>
        </row>
        <row r="436">
          <cell r="A436">
            <v>1865</v>
          </cell>
          <cell r="B436">
            <v>1</v>
          </cell>
          <cell r="D436" t="str">
            <v>岩芯管 ф146</v>
          </cell>
          <cell r="E436" t="str">
            <v>kg</v>
          </cell>
          <cell r="G436">
            <v>5.3900000000000006</v>
          </cell>
          <cell r="H436">
            <v>5.23</v>
          </cell>
          <cell r="I436">
            <v>0.16</v>
          </cell>
          <cell r="K436" t="str">
            <v>kg</v>
          </cell>
          <cell r="L436">
            <v>5.3900000000000006</v>
          </cell>
        </row>
        <row r="437">
          <cell r="A437">
            <v>1866</v>
          </cell>
          <cell r="B437">
            <v>1</v>
          </cell>
          <cell r="D437" t="str">
            <v>塑料管 ф12</v>
          </cell>
          <cell r="E437" t="str">
            <v>kg</v>
          </cell>
          <cell r="G437">
            <v>13.39</v>
          </cell>
          <cell r="H437">
            <v>13</v>
          </cell>
          <cell r="I437">
            <v>0.39</v>
          </cell>
          <cell r="K437" t="str">
            <v>kg</v>
          </cell>
          <cell r="L437">
            <v>13.39</v>
          </cell>
        </row>
        <row r="438">
          <cell r="A438">
            <v>1867</v>
          </cell>
          <cell r="B438">
            <v>1</v>
          </cell>
          <cell r="D438" t="str">
            <v>塑料管 ф25</v>
          </cell>
          <cell r="E438" t="str">
            <v>kg</v>
          </cell>
          <cell r="G438">
            <v>13.39</v>
          </cell>
          <cell r="H438">
            <v>13</v>
          </cell>
          <cell r="I438">
            <v>0.39</v>
          </cell>
          <cell r="K438" t="str">
            <v>kg</v>
          </cell>
          <cell r="L438">
            <v>13.39</v>
          </cell>
        </row>
        <row r="439">
          <cell r="A439">
            <v>1868</v>
          </cell>
          <cell r="B439">
            <v>1</v>
          </cell>
          <cell r="D439" t="str">
            <v>塑料花管 ф108*4.5</v>
          </cell>
          <cell r="E439" t="str">
            <v>kg</v>
          </cell>
          <cell r="G439">
            <v>13.39</v>
          </cell>
          <cell r="H439">
            <v>13</v>
          </cell>
          <cell r="I439">
            <v>0.39</v>
          </cell>
          <cell r="K439" t="str">
            <v>kg</v>
          </cell>
          <cell r="L439">
            <v>13.39</v>
          </cell>
        </row>
        <row r="440">
          <cell r="A440">
            <v>1869</v>
          </cell>
          <cell r="B440">
            <v>1</v>
          </cell>
          <cell r="D440" t="str">
            <v>岩芯箱</v>
          </cell>
          <cell r="E440" t="str">
            <v>个</v>
          </cell>
          <cell r="G440">
            <v>49.13</v>
          </cell>
          <cell r="H440">
            <v>47.7</v>
          </cell>
          <cell r="I440">
            <v>1.43</v>
          </cell>
          <cell r="K440" t="str">
            <v>个</v>
          </cell>
          <cell r="L440">
            <v>49.13</v>
          </cell>
        </row>
        <row r="441">
          <cell r="A441">
            <v>1870</v>
          </cell>
          <cell r="B441">
            <v>1</v>
          </cell>
          <cell r="D441" t="str">
            <v>工作钢管 ф110</v>
          </cell>
          <cell r="E441" t="str">
            <v>m</v>
          </cell>
          <cell r="G441">
            <v>88.169999999999987</v>
          </cell>
          <cell r="H441">
            <v>85.6</v>
          </cell>
          <cell r="I441">
            <v>2.57</v>
          </cell>
          <cell r="K441" t="str">
            <v>m</v>
          </cell>
          <cell r="L441">
            <v>88.169999999999987</v>
          </cell>
        </row>
        <row r="442">
          <cell r="A442">
            <v>1871</v>
          </cell>
          <cell r="B442">
            <v>1</v>
          </cell>
          <cell r="D442" t="str">
            <v>死管 ф110</v>
          </cell>
          <cell r="E442" t="str">
            <v>m</v>
          </cell>
          <cell r="G442">
            <v>88.169999999999987</v>
          </cell>
          <cell r="H442">
            <v>85.6</v>
          </cell>
          <cell r="I442">
            <v>2.57</v>
          </cell>
          <cell r="K442" t="str">
            <v>m</v>
          </cell>
          <cell r="L442">
            <v>88.169999999999987</v>
          </cell>
        </row>
        <row r="443">
          <cell r="A443">
            <v>1872</v>
          </cell>
          <cell r="B443">
            <v>1</v>
          </cell>
          <cell r="D443" t="str">
            <v>过滤钢管</v>
          </cell>
          <cell r="E443" t="str">
            <v>kg</v>
          </cell>
          <cell r="G443">
            <v>5.3900000000000006</v>
          </cell>
          <cell r="H443">
            <v>5.23</v>
          </cell>
          <cell r="I443">
            <v>0.16</v>
          </cell>
          <cell r="K443" t="str">
            <v>kg</v>
          </cell>
          <cell r="L443">
            <v>5.3900000000000006</v>
          </cell>
        </row>
        <row r="444">
          <cell r="A444">
            <v>1873</v>
          </cell>
          <cell r="B444">
            <v>1</v>
          </cell>
          <cell r="D444" t="str">
            <v xml:space="preserve">喷射管 </v>
          </cell>
          <cell r="E444" t="str">
            <v>m</v>
          </cell>
          <cell r="G444">
            <v>36.049999999999997</v>
          </cell>
          <cell r="H444">
            <v>35</v>
          </cell>
          <cell r="I444">
            <v>1.05</v>
          </cell>
          <cell r="K444" t="str">
            <v>m</v>
          </cell>
          <cell r="L444">
            <v>36.049999999999997</v>
          </cell>
        </row>
        <row r="445">
          <cell r="A445">
            <v>1874</v>
          </cell>
          <cell r="B445">
            <v>1</v>
          </cell>
          <cell r="D445" t="str">
            <v>宿节</v>
          </cell>
          <cell r="E445" t="str">
            <v>节</v>
          </cell>
          <cell r="G445">
            <v>5.75</v>
          </cell>
          <cell r="H445">
            <v>5.58</v>
          </cell>
          <cell r="I445">
            <v>0.17</v>
          </cell>
          <cell r="K445" t="str">
            <v>节</v>
          </cell>
          <cell r="L445">
            <v>5.75</v>
          </cell>
        </row>
        <row r="446">
          <cell r="A446">
            <v>1875</v>
          </cell>
          <cell r="B446">
            <v>1</v>
          </cell>
          <cell r="D446" t="str">
            <v>连接手73mm</v>
          </cell>
          <cell r="E446" t="str">
            <v>个</v>
          </cell>
          <cell r="G446">
            <v>20.6</v>
          </cell>
          <cell r="H446">
            <v>20</v>
          </cell>
          <cell r="I446">
            <v>0.6</v>
          </cell>
          <cell r="K446" t="str">
            <v>个</v>
          </cell>
          <cell r="L446">
            <v>20.6</v>
          </cell>
        </row>
        <row r="447">
          <cell r="A447">
            <v>1876</v>
          </cell>
          <cell r="B447">
            <v>1</v>
          </cell>
          <cell r="D447" t="str">
            <v>连接手110mm</v>
          </cell>
          <cell r="E447" t="str">
            <v>个</v>
          </cell>
          <cell r="G447">
            <v>30.9</v>
          </cell>
          <cell r="H447">
            <v>30</v>
          </cell>
          <cell r="I447">
            <v>0.9</v>
          </cell>
          <cell r="K447" t="str">
            <v>个</v>
          </cell>
          <cell r="L447">
            <v>30.9</v>
          </cell>
        </row>
        <row r="448">
          <cell r="A448">
            <v>1877</v>
          </cell>
          <cell r="B448">
            <v>1</v>
          </cell>
          <cell r="C448" t="str">
            <v>单重</v>
          </cell>
          <cell r="D448" t="str">
            <v>连接手127mm</v>
          </cell>
          <cell r="E448" t="str">
            <v>个</v>
          </cell>
          <cell r="G448">
            <v>30.9</v>
          </cell>
          <cell r="H448">
            <v>30</v>
          </cell>
          <cell r="I448">
            <v>0.9</v>
          </cell>
          <cell r="K448" t="str">
            <v>个</v>
          </cell>
          <cell r="L448">
            <v>30.9</v>
          </cell>
        </row>
        <row r="449">
          <cell r="A449">
            <v>1878</v>
          </cell>
          <cell r="B449">
            <v>1</v>
          </cell>
          <cell r="C449">
            <v>6.04</v>
          </cell>
          <cell r="D449" t="str">
            <v>地质管42*7</v>
          </cell>
          <cell r="E449" t="str">
            <v>kg</v>
          </cell>
          <cell r="G449">
            <v>7.31</v>
          </cell>
          <cell r="H449">
            <v>7.1</v>
          </cell>
          <cell r="I449">
            <v>0.21</v>
          </cell>
          <cell r="K449" t="str">
            <v>kg</v>
          </cell>
          <cell r="L449">
            <v>7.31</v>
          </cell>
        </row>
        <row r="450">
          <cell r="A450">
            <v>1879</v>
          </cell>
          <cell r="B450">
            <v>1</v>
          </cell>
          <cell r="C450">
            <v>5.49</v>
          </cell>
          <cell r="D450" t="str">
            <v>地质管54*4.5</v>
          </cell>
          <cell r="E450" t="str">
            <v>kg</v>
          </cell>
          <cell r="G450">
            <v>7.31</v>
          </cell>
          <cell r="H450">
            <v>7.1</v>
          </cell>
          <cell r="I450">
            <v>0.21</v>
          </cell>
          <cell r="K450" t="str">
            <v>kg</v>
          </cell>
          <cell r="L450">
            <v>7.31</v>
          </cell>
        </row>
        <row r="451">
          <cell r="A451">
            <v>1880</v>
          </cell>
          <cell r="B451">
            <v>1</v>
          </cell>
          <cell r="C451">
            <v>9.91</v>
          </cell>
          <cell r="D451" t="str">
            <v>地质管73*6</v>
          </cell>
          <cell r="E451" t="str">
            <v>kg</v>
          </cell>
          <cell r="G451">
            <v>7.31</v>
          </cell>
          <cell r="H451">
            <v>7.1</v>
          </cell>
          <cell r="I451">
            <v>0.21</v>
          </cell>
          <cell r="K451" t="str">
            <v>kg</v>
          </cell>
          <cell r="L451">
            <v>7.31</v>
          </cell>
        </row>
        <row r="452">
          <cell r="A452">
            <v>1881</v>
          </cell>
          <cell r="B452">
            <v>1</v>
          </cell>
          <cell r="C452">
            <v>19.48</v>
          </cell>
          <cell r="D452" t="str">
            <v>地质管89*10</v>
          </cell>
          <cell r="E452" t="str">
            <v>kg</v>
          </cell>
          <cell r="G452">
            <v>7.31</v>
          </cell>
          <cell r="H452">
            <v>7.1</v>
          </cell>
          <cell r="I452">
            <v>0.21</v>
          </cell>
          <cell r="K452" t="str">
            <v>kg</v>
          </cell>
          <cell r="L452">
            <v>7.31</v>
          </cell>
        </row>
        <row r="453">
          <cell r="A453">
            <v>1882</v>
          </cell>
          <cell r="B453">
            <v>1</v>
          </cell>
          <cell r="C453">
            <v>12.7</v>
          </cell>
          <cell r="D453" t="str">
            <v>地质管108.5</v>
          </cell>
          <cell r="E453" t="str">
            <v>kg</v>
          </cell>
          <cell r="G453">
            <v>7.31</v>
          </cell>
          <cell r="H453">
            <v>7.1</v>
          </cell>
          <cell r="I453">
            <v>0.21</v>
          </cell>
          <cell r="K453" t="str">
            <v>kg</v>
          </cell>
          <cell r="L453">
            <v>7.31</v>
          </cell>
        </row>
        <row r="454">
          <cell r="A454">
            <v>1883</v>
          </cell>
          <cell r="B454">
            <v>1</v>
          </cell>
          <cell r="C454">
            <v>65.11</v>
          </cell>
          <cell r="D454" t="str">
            <v>地质管150*20</v>
          </cell>
          <cell r="E454" t="str">
            <v>kg</v>
          </cell>
          <cell r="G454">
            <v>7.31</v>
          </cell>
          <cell r="H454">
            <v>7.1</v>
          </cell>
          <cell r="I454">
            <v>0.21</v>
          </cell>
          <cell r="K454" t="str">
            <v>kg</v>
          </cell>
          <cell r="L454">
            <v>7.31</v>
          </cell>
        </row>
        <row r="455">
          <cell r="A455">
            <v>1884</v>
          </cell>
          <cell r="B455">
            <v>1</v>
          </cell>
          <cell r="D455" t="str">
            <v>金刚石钻头 ф200</v>
          </cell>
          <cell r="E455" t="str">
            <v>个</v>
          </cell>
          <cell r="G455">
            <v>2163</v>
          </cell>
          <cell r="H455">
            <v>2100</v>
          </cell>
          <cell r="I455">
            <v>63</v>
          </cell>
          <cell r="K455" t="str">
            <v>个</v>
          </cell>
          <cell r="L455">
            <v>2163</v>
          </cell>
        </row>
        <row r="456">
          <cell r="A456">
            <v>1885</v>
          </cell>
          <cell r="B456">
            <v>1</v>
          </cell>
          <cell r="D456" t="str">
            <v>金刚石扩孔器 ф200.5</v>
          </cell>
          <cell r="E456" t="str">
            <v>个</v>
          </cell>
          <cell r="G456">
            <v>1009.4</v>
          </cell>
          <cell r="H456">
            <v>980</v>
          </cell>
          <cell r="I456">
            <v>29.4</v>
          </cell>
          <cell r="K456" t="str">
            <v>个</v>
          </cell>
          <cell r="L456">
            <v>1009.4</v>
          </cell>
        </row>
        <row r="457">
          <cell r="A457">
            <v>1886</v>
          </cell>
          <cell r="B457">
            <v>1</v>
          </cell>
          <cell r="D457" t="str">
            <v>岩芯管 ф198</v>
          </cell>
          <cell r="E457" t="str">
            <v>kg</v>
          </cell>
          <cell r="G457">
            <v>5.3900000000000006</v>
          </cell>
          <cell r="H457">
            <v>5.23</v>
          </cell>
          <cell r="I457">
            <v>0.16</v>
          </cell>
          <cell r="K457" t="str">
            <v>kg</v>
          </cell>
          <cell r="L457">
            <v>5.3900000000000006</v>
          </cell>
        </row>
        <row r="458">
          <cell r="A458">
            <v>1887</v>
          </cell>
          <cell r="B458">
            <v>1</v>
          </cell>
          <cell r="D458" t="str">
            <v>反滤料</v>
          </cell>
          <cell r="G458">
            <v>0</v>
          </cell>
          <cell r="I458">
            <v>0</v>
          </cell>
          <cell r="K458">
            <v>0</v>
          </cell>
          <cell r="L458">
            <v>0</v>
          </cell>
        </row>
        <row r="459">
          <cell r="A459">
            <v>1888</v>
          </cell>
          <cell r="B459">
            <v>1</v>
          </cell>
          <cell r="D459" t="str">
            <v>铁砂钻头ф91</v>
          </cell>
          <cell r="E459" t="str">
            <v>个</v>
          </cell>
          <cell r="G459">
            <v>97.85</v>
          </cell>
          <cell r="H459">
            <v>95</v>
          </cell>
          <cell r="I459">
            <v>2.85</v>
          </cell>
          <cell r="K459" t="str">
            <v>个</v>
          </cell>
          <cell r="L459">
            <v>97.85</v>
          </cell>
        </row>
        <row r="460">
          <cell r="A460">
            <v>1889</v>
          </cell>
          <cell r="B460">
            <v>1</v>
          </cell>
          <cell r="D460" t="str">
            <v>金刚石钻头 ф100</v>
          </cell>
          <cell r="E460" t="str">
            <v>个</v>
          </cell>
          <cell r="G460">
            <v>592.25</v>
          </cell>
          <cell r="H460">
            <v>575</v>
          </cell>
          <cell r="I460">
            <v>17.25</v>
          </cell>
          <cell r="K460" t="str">
            <v>个</v>
          </cell>
          <cell r="L460">
            <v>592.25</v>
          </cell>
        </row>
        <row r="461">
          <cell r="A461">
            <v>1890</v>
          </cell>
          <cell r="B461">
            <v>1</v>
          </cell>
          <cell r="D461" t="str">
            <v>金刚石扩孔器 ф100.5</v>
          </cell>
          <cell r="E461" t="str">
            <v>个</v>
          </cell>
          <cell r="G461">
            <v>338.87</v>
          </cell>
          <cell r="H461">
            <v>329</v>
          </cell>
          <cell r="I461">
            <v>9.8699999999999992</v>
          </cell>
          <cell r="K461" t="str">
            <v>个</v>
          </cell>
          <cell r="L461">
            <v>338.87</v>
          </cell>
        </row>
        <row r="462">
          <cell r="A462">
            <v>1891</v>
          </cell>
          <cell r="B462">
            <v>1</v>
          </cell>
          <cell r="D462" t="str">
            <v>岩芯管 ф98</v>
          </cell>
          <cell r="E462" t="str">
            <v>kg</v>
          </cell>
          <cell r="G462">
            <v>5.3900000000000006</v>
          </cell>
          <cell r="H462">
            <v>5.23</v>
          </cell>
          <cell r="I462">
            <v>0.16</v>
          </cell>
          <cell r="K462" t="str">
            <v>kg</v>
          </cell>
          <cell r="L462">
            <v>5.3900000000000006</v>
          </cell>
        </row>
        <row r="463">
          <cell r="A463">
            <v>1892</v>
          </cell>
          <cell r="B463">
            <v>1</v>
          </cell>
          <cell r="G463">
            <v>0</v>
          </cell>
          <cell r="I463">
            <v>0</v>
          </cell>
          <cell r="K463">
            <v>0</v>
          </cell>
          <cell r="L463">
            <v>0</v>
          </cell>
        </row>
        <row r="464">
          <cell r="A464">
            <v>1893</v>
          </cell>
          <cell r="B464">
            <v>1</v>
          </cell>
          <cell r="G464">
            <v>0</v>
          </cell>
          <cell r="I464">
            <v>0</v>
          </cell>
          <cell r="K464">
            <v>0</v>
          </cell>
          <cell r="L464">
            <v>0</v>
          </cell>
        </row>
        <row r="465">
          <cell r="A465">
            <v>1894</v>
          </cell>
          <cell r="B465">
            <v>1</v>
          </cell>
          <cell r="G465">
            <v>0</v>
          </cell>
          <cell r="I465">
            <v>0</v>
          </cell>
          <cell r="K465">
            <v>0</v>
          </cell>
          <cell r="L465">
            <v>0</v>
          </cell>
        </row>
        <row r="466">
          <cell r="A466">
            <v>1895</v>
          </cell>
          <cell r="B466">
            <v>1</v>
          </cell>
          <cell r="G466">
            <v>0</v>
          </cell>
          <cell r="I466">
            <v>0</v>
          </cell>
          <cell r="K466">
            <v>0</v>
          </cell>
          <cell r="L466">
            <v>0</v>
          </cell>
        </row>
        <row r="467">
          <cell r="A467">
            <v>1896</v>
          </cell>
          <cell r="B467">
            <v>1</v>
          </cell>
          <cell r="G467">
            <v>0</v>
          </cell>
          <cell r="I467">
            <v>0</v>
          </cell>
          <cell r="K467">
            <v>0</v>
          </cell>
          <cell r="L467">
            <v>0</v>
          </cell>
        </row>
        <row r="468">
          <cell r="A468">
            <v>1897</v>
          </cell>
          <cell r="B468">
            <v>1</v>
          </cell>
          <cell r="G468">
            <v>0</v>
          </cell>
          <cell r="I468">
            <v>0</v>
          </cell>
          <cell r="K468">
            <v>0</v>
          </cell>
          <cell r="L468">
            <v>0</v>
          </cell>
        </row>
        <row r="469">
          <cell r="A469">
            <v>1898</v>
          </cell>
          <cell r="B469">
            <v>1</v>
          </cell>
          <cell r="G469">
            <v>0</v>
          </cell>
          <cell r="I469">
            <v>0</v>
          </cell>
          <cell r="K469">
            <v>0</v>
          </cell>
          <cell r="L469">
            <v>0</v>
          </cell>
        </row>
        <row r="470">
          <cell r="A470">
            <v>1899</v>
          </cell>
          <cell r="B470">
            <v>1</v>
          </cell>
          <cell r="G470">
            <v>0</v>
          </cell>
          <cell r="I470">
            <v>0</v>
          </cell>
          <cell r="K470">
            <v>0</v>
          </cell>
          <cell r="L470">
            <v>0</v>
          </cell>
        </row>
        <row r="471">
          <cell r="A471">
            <v>1900</v>
          </cell>
          <cell r="B471">
            <v>1</v>
          </cell>
          <cell r="G471">
            <v>0</v>
          </cell>
          <cell r="I471">
            <v>0</v>
          </cell>
          <cell r="K471">
            <v>0</v>
          </cell>
          <cell r="L471">
            <v>0</v>
          </cell>
        </row>
        <row r="472">
          <cell r="A472">
            <v>1901</v>
          </cell>
          <cell r="B472">
            <v>1</v>
          </cell>
          <cell r="G472">
            <v>0</v>
          </cell>
          <cell r="I472">
            <v>0</v>
          </cell>
          <cell r="K472">
            <v>0</v>
          </cell>
          <cell r="L472">
            <v>0</v>
          </cell>
        </row>
        <row r="473">
          <cell r="A473">
            <v>1902</v>
          </cell>
          <cell r="B473">
            <v>1</v>
          </cell>
          <cell r="G473">
            <v>0</v>
          </cell>
          <cell r="I473">
            <v>0</v>
          </cell>
          <cell r="K473">
            <v>0</v>
          </cell>
          <cell r="L473">
            <v>0</v>
          </cell>
        </row>
        <row r="474">
          <cell r="A474">
            <v>1903</v>
          </cell>
          <cell r="B474">
            <v>1</v>
          </cell>
          <cell r="G474">
            <v>0</v>
          </cell>
          <cell r="I474">
            <v>0</v>
          </cell>
          <cell r="K474">
            <v>0</v>
          </cell>
          <cell r="L474">
            <v>0</v>
          </cell>
        </row>
        <row r="475">
          <cell r="A475">
            <v>1904</v>
          </cell>
          <cell r="B475">
            <v>1</v>
          </cell>
          <cell r="G475">
            <v>0</v>
          </cell>
          <cell r="I475">
            <v>0</v>
          </cell>
          <cell r="K475">
            <v>0</v>
          </cell>
          <cell r="L475">
            <v>0</v>
          </cell>
        </row>
        <row r="476">
          <cell r="B476">
            <v>1</v>
          </cell>
          <cell r="G476">
            <v>0</v>
          </cell>
          <cell r="I476">
            <v>0</v>
          </cell>
          <cell r="K476">
            <v>0</v>
          </cell>
          <cell r="L476">
            <v>0</v>
          </cell>
        </row>
        <row r="477">
          <cell r="A477">
            <v>2001</v>
          </cell>
          <cell r="B477">
            <v>1</v>
          </cell>
          <cell r="D477" t="str">
            <v>GM25自进式锚杆</v>
          </cell>
          <cell r="E477" t="str">
            <v>m</v>
          </cell>
          <cell r="G477">
            <v>44.29</v>
          </cell>
          <cell r="H477">
            <v>43</v>
          </cell>
          <cell r="I477">
            <v>1.29</v>
          </cell>
          <cell r="K477" t="str">
            <v>m</v>
          </cell>
          <cell r="L477">
            <v>44.29</v>
          </cell>
        </row>
        <row r="478">
          <cell r="A478">
            <v>2002</v>
          </cell>
          <cell r="B478">
            <v>1</v>
          </cell>
          <cell r="D478" t="str">
            <v>GM32自进式锚杆</v>
          </cell>
          <cell r="E478" t="str">
            <v>m</v>
          </cell>
          <cell r="G478">
            <v>48.41</v>
          </cell>
          <cell r="H478">
            <v>47</v>
          </cell>
          <cell r="I478">
            <v>1.41</v>
          </cell>
          <cell r="K478" t="str">
            <v>m</v>
          </cell>
          <cell r="L478">
            <v>48.41</v>
          </cell>
        </row>
        <row r="479">
          <cell r="A479">
            <v>2003</v>
          </cell>
          <cell r="B479">
            <v>1</v>
          </cell>
          <cell r="D479" t="str">
            <v>合金钻头R25/∮42/EX</v>
          </cell>
          <cell r="E479" t="str">
            <v>只</v>
          </cell>
          <cell r="G479">
            <v>37.08</v>
          </cell>
          <cell r="H479">
            <v>36</v>
          </cell>
          <cell r="I479">
            <v>1.08</v>
          </cell>
          <cell r="K479" t="str">
            <v>只</v>
          </cell>
          <cell r="L479">
            <v>37.08</v>
          </cell>
        </row>
        <row r="480">
          <cell r="A480">
            <v>2004</v>
          </cell>
          <cell r="B480">
            <v>1</v>
          </cell>
          <cell r="D480" t="str">
            <v>联结套R25/∮35/L130</v>
          </cell>
          <cell r="E480" t="str">
            <v>只</v>
          </cell>
          <cell r="G480">
            <v>16.48</v>
          </cell>
          <cell r="H480">
            <v>16</v>
          </cell>
          <cell r="I480">
            <v>0.48</v>
          </cell>
          <cell r="K480" t="str">
            <v>只</v>
          </cell>
          <cell r="L480">
            <v>16.48</v>
          </cell>
        </row>
        <row r="481">
          <cell r="A481">
            <v>2005</v>
          </cell>
          <cell r="B481">
            <v>1</v>
          </cell>
          <cell r="D481" t="str">
            <v>垫板150/150/8∮30</v>
          </cell>
          <cell r="E481" t="str">
            <v>块</v>
          </cell>
          <cell r="G481">
            <v>12.36</v>
          </cell>
          <cell r="H481">
            <v>12</v>
          </cell>
          <cell r="I481">
            <v>0.36</v>
          </cell>
          <cell r="K481" t="str">
            <v>块</v>
          </cell>
          <cell r="L481">
            <v>12.36</v>
          </cell>
        </row>
        <row r="482">
          <cell r="A482">
            <v>2006</v>
          </cell>
          <cell r="B482">
            <v>1</v>
          </cell>
          <cell r="D482" t="str">
            <v>螺母R25/W41/L30</v>
          </cell>
          <cell r="E482" t="str">
            <v>只</v>
          </cell>
          <cell r="G482">
            <v>10.3</v>
          </cell>
          <cell r="H482">
            <v>10</v>
          </cell>
          <cell r="I482">
            <v>0.3</v>
          </cell>
          <cell r="K482" t="str">
            <v>只</v>
          </cell>
          <cell r="L482">
            <v>10.3</v>
          </cell>
        </row>
        <row r="483">
          <cell r="A483">
            <v>2007</v>
          </cell>
          <cell r="B483">
            <v>1</v>
          </cell>
          <cell r="D483" t="str">
            <v>止浆塞R25/∮60</v>
          </cell>
          <cell r="E483" t="str">
            <v>只</v>
          </cell>
          <cell r="G483">
            <v>8.24</v>
          </cell>
          <cell r="H483">
            <v>8</v>
          </cell>
          <cell r="I483">
            <v>0.24</v>
          </cell>
          <cell r="K483" t="str">
            <v>只</v>
          </cell>
          <cell r="L483">
            <v>8.24</v>
          </cell>
        </row>
        <row r="484">
          <cell r="A484">
            <v>2008</v>
          </cell>
          <cell r="B484">
            <v>1</v>
          </cell>
          <cell r="D484" t="str">
            <v>钎尾及钎套B22-R25/R25/L400</v>
          </cell>
          <cell r="E484" t="str">
            <v>个</v>
          </cell>
          <cell r="G484">
            <v>206</v>
          </cell>
          <cell r="H484">
            <v>200</v>
          </cell>
          <cell r="I484">
            <v>6</v>
          </cell>
          <cell r="K484" t="str">
            <v>个</v>
          </cell>
          <cell r="L484">
            <v>206</v>
          </cell>
        </row>
        <row r="485">
          <cell r="A485">
            <v>2009</v>
          </cell>
          <cell r="B485">
            <v>1</v>
          </cell>
          <cell r="D485" t="str">
            <v>注浆接头R25/∮28</v>
          </cell>
          <cell r="E485" t="str">
            <v>套</v>
          </cell>
          <cell r="G485">
            <v>206</v>
          </cell>
          <cell r="H485">
            <v>200</v>
          </cell>
          <cell r="I485">
            <v>6</v>
          </cell>
          <cell r="K485" t="str">
            <v>套</v>
          </cell>
          <cell r="L485">
            <v>206</v>
          </cell>
        </row>
        <row r="486">
          <cell r="A486">
            <v>2010</v>
          </cell>
          <cell r="B486">
            <v>1</v>
          </cell>
          <cell r="D486" t="str">
            <v>GM27自进式锚杆</v>
          </cell>
          <cell r="E486" t="str">
            <v>m</v>
          </cell>
          <cell r="G486">
            <v>48.41</v>
          </cell>
          <cell r="H486">
            <v>47</v>
          </cell>
          <cell r="I486">
            <v>1.41</v>
          </cell>
          <cell r="K486" t="str">
            <v>m</v>
          </cell>
          <cell r="L486">
            <v>48.41</v>
          </cell>
        </row>
        <row r="487">
          <cell r="A487">
            <v>2011</v>
          </cell>
          <cell r="B487">
            <v>1</v>
          </cell>
          <cell r="D487" t="str">
            <v>合金钻头R27/∮43/EX</v>
          </cell>
          <cell r="E487" t="str">
            <v>只</v>
          </cell>
          <cell r="G487">
            <v>39.14</v>
          </cell>
          <cell r="H487">
            <v>38</v>
          </cell>
          <cell r="I487">
            <v>1.1399999999999999</v>
          </cell>
          <cell r="K487" t="str">
            <v>只</v>
          </cell>
          <cell r="L487">
            <v>39.14</v>
          </cell>
        </row>
        <row r="488">
          <cell r="A488">
            <v>2012</v>
          </cell>
          <cell r="B488">
            <v>1</v>
          </cell>
          <cell r="D488" t="str">
            <v>联结套R27/∮37/L130</v>
          </cell>
          <cell r="E488" t="str">
            <v>只</v>
          </cell>
          <cell r="G488">
            <v>18.54</v>
          </cell>
          <cell r="H488">
            <v>18</v>
          </cell>
          <cell r="I488">
            <v>0.54</v>
          </cell>
          <cell r="K488" t="str">
            <v>只</v>
          </cell>
          <cell r="L488">
            <v>18.54</v>
          </cell>
        </row>
        <row r="489">
          <cell r="A489">
            <v>2013</v>
          </cell>
          <cell r="B489">
            <v>1</v>
          </cell>
          <cell r="D489" t="str">
            <v>垫板</v>
          </cell>
          <cell r="E489" t="str">
            <v>块</v>
          </cell>
          <cell r="G489">
            <v>12.36</v>
          </cell>
          <cell r="H489">
            <v>12</v>
          </cell>
          <cell r="I489">
            <v>0.36</v>
          </cell>
          <cell r="K489" t="str">
            <v>块</v>
          </cell>
          <cell r="L489">
            <v>12.36</v>
          </cell>
        </row>
        <row r="490">
          <cell r="A490">
            <v>2014</v>
          </cell>
          <cell r="B490">
            <v>1</v>
          </cell>
          <cell r="C490" t="str">
            <v>R27/W41/L30</v>
          </cell>
          <cell r="D490" t="str">
            <v>螺母150/150/8∮30</v>
          </cell>
          <cell r="E490" t="str">
            <v>只</v>
          </cell>
          <cell r="G490">
            <v>10.3</v>
          </cell>
          <cell r="H490">
            <v>10</v>
          </cell>
          <cell r="I490">
            <v>0.3</v>
          </cell>
          <cell r="K490" t="str">
            <v>只</v>
          </cell>
          <cell r="L490">
            <v>10.3</v>
          </cell>
        </row>
        <row r="491">
          <cell r="A491">
            <v>2015</v>
          </cell>
          <cell r="B491">
            <v>1</v>
          </cell>
          <cell r="D491" t="str">
            <v>止浆塞R27/∮60</v>
          </cell>
          <cell r="E491" t="str">
            <v>只</v>
          </cell>
          <cell r="G491">
            <v>8.24</v>
          </cell>
          <cell r="H491">
            <v>8</v>
          </cell>
          <cell r="I491">
            <v>0.24</v>
          </cell>
          <cell r="K491" t="str">
            <v>只</v>
          </cell>
          <cell r="L491">
            <v>8.24</v>
          </cell>
        </row>
        <row r="492">
          <cell r="A492">
            <v>2016</v>
          </cell>
          <cell r="B492">
            <v>1</v>
          </cell>
          <cell r="D492" t="str">
            <v>钎尾及钎套B22-R25/R27/L400</v>
          </cell>
          <cell r="E492" t="str">
            <v>个</v>
          </cell>
          <cell r="G492">
            <v>206</v>
          </cell>
          <cell r="H492">
            <v>200</v>
          </cell>
          <cell r="I492">
            <v>6</v>
          </cell>
          <cell r="K492" t="str">
            <v>个</v>
          </cell>
          <cell r="L492">
            <v>206</v>
          </cell>
        </row>
        <row r="493">
          <cell r="A493">
            <v>2017</v>
          </cell>
          <cell r="B493">
            <v>1</v>
          </cell>
          <cell r="D493" t="str">
            <v>注浆接头R27/∮28</v>
          </cell>
          <cell r="E493" t="str">
            <v>套</v>
          </cell>
          <cell r="G493">
            <v>206</v>
          </cell>
          <cell r="H493">
            <v>200</v>
          </cell>
          <cell r="I493">
            <v>6</v>
          </cell>
          <cell r="K493" t="str">
            <v>套</v>
          </cell>
          <cell r="L493">
            <v>206</v>
          </cell>
        </row>
        <row r="494">
          <cell r="A494">
            <v>2018</v>
          </cell>
          <cell r="B494">
            <v>1</v>
          </cell>
          <cell r="D494" t="str">
            <v>合金钻头R32/∮51/EX</v>
          </cell>
          <cell r="E494" t="str">
            <v>只</v>
          </cell>
          <cell r="G494">
            <v>39.14</v>
          </cell>
          <cell r="H494">
            <v>38</v>
          </cell>
          <cell r="I494">
            <v>1.1399999999999999</v>
          </cell>
          <cell r="K494" t="str">
            <v>只</v>
          </cell>
          <cell r="L494">
            <v>39.14</v>
          </cell>
        </row>
        <row r="495">
          <cell r="A495">
            <v>2019</v>
          </cell>
          <cell r="B495">
            <v>1</v>
          </cell>
          <cell r="D495" t="str">
            <v>联结套R32/∮41/L150</v>
          </cell>
          <cell r="E495" t="str">
            <v>只</v>
          </cell>
          <cell r="G495">
            <v>18.54</v>
          </cell>
          <cell r="H495">
            <v>18</v>
          </cell>
          <cell r="I495">
            <v>0.54</v>
          </cell>
          <cell r="K495" t="str">
            <v>只</v>
          </cell>
          <cell r="L495">
            <v>18.54</v>
          </cell>
        </row>
        <row r="496">
          <cell r="A496">
            <v>2020</v>
          </cell>
          <cell r="B496">
            <v>1</v>
          </cell>
          <cell r="D496" t="str">
            <v>垫板150/150/8∮35</v>
          </cell>
          <cell r="E496" t="str">
            <v>块</v>
          </cell>
          <cell r="G496">
            <v>12.36</v>
          </cell>
          <cell r="H496">
            <v>12</v>
          </cell>
          <cell r="I496">
            <v>0.36</v>
          </cell>
          <cell r="K496" t="str">
            <v>块</v>
          </cell>
          <cell r="L496">
            <v>12.36</v>
          </cell>
        </row>
        <row r="497">
          <cell r="A497">
            <v>2021</v>
          </cell>
          <cell r="B497">
            <v>1</v>
          </cell>
          <cell r="D497" t="str">
            <v>螺母R32/W46/L40</v>
          </cell>
          <cell r="E497" t="str">
            <v>只</v>
          </cell>
          <cell r="G497">
            <v>10.3</v>
          </cell>
          <cell r="H497">
            <v>10</v>
          </cell>
          <cell r="I497">
            <v>0.3</v>
          </cell>
          <cell r="K497" t="str">
            <v>只</v>
          </cell>
          <cell r="L497">
            <v>10.3</v>
          </cell>
        </row>
        <row r="498">
          <cell r="A498">
            <v>2022</v>
          </cell>
          <cell r="B498">
            <v>1</v>
          </cell>
          <cell r="D498" t="str">
            <v>止浆塞R32/∮70</v>
          </cell>
          <cell r="E498" t="str">
            <v>只</v>
          </cell>
          <cell r="G498">
            <v>8.24</v>
          </cell>
          <cell r="H498">
            <v>8</v>
          </cell>
          <cell r="I498">
            <v>0.24</v>
          </cell>
          <cell r="K498" t="str">
            <v>只</v>
          </cell>
          <cell r="L498">
            <v>8.24</v>
          </cell>
        </row>
        <row r="499">
          <cell r="A499">
            <v>2023</v>
          </cell>
          <cell r="B499">
            <v>1</v>
          </cell>
          <cell r="D499" t="str">
            <v>钎尾及钎套B22-R25/R32/L400</v>
          </cell>
          <cell r="E499" t="str">
            <v>个</v>
          </cell>
          <cell r="G499">
            <v>206</v>
          </cell>
          <cell r="H499">
            <v>200</v>
          </cell>
          <cell r="I499">
            <v>6</v>
          </cell>
          <cell r="K499" t="str">
            <v>个</v>
          </cell>
          <cell r="L499">
            <v>206</v>
          </cell>
        </row>
        <row r="500">
          <cell r="A500">
            <v>2024</v>
          </cell>
          <cell r="B500">
            <v>1</v>
          </cell>
          <cell r="D500" t="str">
            <v>注浆接头R32/∮28</v>
          </cell>
          <cell r="E500" t="str">
            <v>套</v>
          </cell>
          <cell r="G500">
            <v>206</v>
          </cell>
          <cell r="H500">
            <v>200</v>
          </cell>
          <cell r="I500">
            <v>6</v>
          </cell>
          <cell r="K500" t="str">
            <v>套</v>
          </cell>
          <cell r="L500">
            <v>206</v>
          </cell>
        </row>
        <row r="501">
          <cell r="A501">
            <v>2025</v>
          </cell>
          <cell r="B501">
            <v>1</v>
          </cell>
          <cell r="D501" t="str">
            <v>φ42导管</v>
          </cell>
          <cell r="E501" t="str">
            <v>m</v>
          </cell>
          <cell r="G501">
            <v>13.75</v>
          </cell>
          <cell r="H501">
            <v>13.35</v>
          </cell>
          <cell r="I501">
            <v>0.4</v>
          </cell>
          <cell r="K501" t="str">
            <v>m</v>
          </cell>
          <cell r="L501">
            <v>13.75</v>
          </cell>
        </row>
        <row r="502">
          <cell r="A502">
            <v>2026</v>
          </cell>
          <cell r="B502">
            <v>1</v>
          </cell>
          <cell r="D502" t="str">
            <v>水泥基锚固剂</v>
          </cell>
          <cell r="E502" t="str">
            <v>m</v>
          </cell>
          <cell r="G502">
            <v>3.27</v>
          </cell>
          <cell r="H502">
            <v>3.17</v>
          </cell>
          <cell r="I502">
            <v>0.1</v>
          </cell>
          <cell r="K502" t="str">
            <v>m</v>
          </cell>
          <cell r="L502">
            <v>3.27</v>
          </cell>
        </row>
        <row r="503">
          <cell r="A503">
            <v>2027</v>
          </cell>
          <cell r="B503">
            <v>1</v>
          </cell>
          <cell r="G503">
            <v>0</v>
          </cell>
          <cell r="I503">
            <v>0</v>
          </cell>
          <cell r="K503">
            <v>0</v>
          </cell>
          <cell r="L503">
            <v>0</v>
          </cell>
        </row>
        <row r="504">
          <cell r="A504">
            <v>2028</v>
          </cell>
          <cell r="B504">
            <v>1</v>
          </cell>
          <cell r="G504">
            <v>0</v>
          </cell>
          <cell r="I504">
            <v>0</v>
          </cell>
          <cell r="K504">
            <v>0</v>
          </cell>
          <cell r="L504">
            <v>0</v>
          </cell>
        </row>
        <row r="505">
          <cell r="A505">
            <v>2029</v>
          </cell>
          <cell r="B505">
            <v>1</v>
          </cell>
          <cell r="G505">
            <v>0</v>
          </cell>
          <cell r="I505">
            <v>0</v>
          </cell>
          <cell r="K505">
            <v>0</v>
          </cell>
          <cell r="L505">
            <v>0</v>
          </cell>
        </row>
        <row r="506">
          <cell r="A506">
            <v>2030</v>
          </cell>
          <cell r="B506">
            <v>1</v>
          </cell>
          <cell r="G506">
            <v>0</v>
          </cell>
          <cell r="I506">
            <v>0</v>
          </cell>
          <cell r="K506">
            <v>0</v>
          </cell>
          <cell r="L506">
            <v>0</v>
          </cell>
        </row>
        <row r="507">
          <cell r="A507">
            <v>2031</v>
          </cell>
          <cell r="B507">
            <v>1</v>
          </cell>
          <cell r="G507">
            <v>0</v>
          </cell>
          <cell r="I507">
            <v>0</v>
          </cell>
          <cell r="K507">
            <v>0</v>
          </cell>
          <cell r="L507">
            <v>0</v>
          </cell>
        </row>
        <row r="508">
          <cell r="A508">
            <v>2032</v>
          </cell>
          <cell r="B508">
            <v>1</v>
          </cell>
          <cell r="G508">
            <v>0</v>
          </cell>
          <cell r="I508">
            <v>0</v>
          </cell>
          <cell r="K508">
            <v>0</v>
          </cell>
          <cell r="L508">
            <v>0</v>
          </cell>
        </row>
        <row r="509">
          <cell r="A509">
            <v>2033</v>
          </cell>
          <cell r="B509">
            <v>1</v>
          </cell>
          <cell r="G509">
            <v>0</v>
          </cell>
          <cell r="I509">
            <v>0</v>
          </cell>
          <cell r="K509">
            <v>0</v>
          </cell>
          <cell r="L509">
            <v>0</v>
          </cell>
        </row>
        <row r="510">
          <cell r="A510">
            <v>2034</v>
          </cell>
          <cell r="B510">
            <v>1</v>
          </cell>
          <cell r="G510">
            <v>0</v>
          </cell>
          <cell r="I510">
            <v>0</v>
          </cell>
          <cell r="K510">
            <v>0</v>
          </cell>
          <cell r="L510">
            <v>0</v>
          </cell>
        </row>
        <row r="511">
          <cell r="A511">
            <v>2035</v>
          </cell>
          <cell r="B511">
            <v>1</v>
          </cell>
          <cell r="G511">
            <v>0</v>
          </cell>
          <cell r="I511">
            <v>0</v>
          </cell>
          <cell r="K511">
            <v>0</v>
          </cell>
          <cell r="L511">
            <v>0</v>
          </cell>
        </row>
        <row r="512">
          <cell r="A512">
            <v>2036</v>
          </cell>
          <cell r="B512">
            <v>1</v>
          </cell>
          <cell r="G512">
            <v>0</v>
          </cell>
          <cell r="I512">
            <v>0</v>
          </cell>
          <cell r="K512">
            <v>0</v>
          </cell>
          <cell r="L512">
            <v>0</v>
          </cell>
        </row>
        <row r="513">
          <cell r="A513">
            <v>2037</v>
          </cell>
          <cell r="B513">
            <v>1</v>
          </cell>
          <cell r="G513">
            <v>0</v>
          </cell>
          <cell r="I513">
            <v>0</v>
          </cell>
          <cell r="K513">
            <v>0</v>
          </cell>
          <cell r="L513">
            <v>0</v>
          </cell>
        </row>
        <row r="514">
          <cell r="A514">
            <v>2038</v>
          </cell>
          <cell r="B514">
            <v>1</v>
          </cell>
          <cell r="G514">
            <v>0</v>
          </cell>
          <cell r="I514">
            <v>0</v>
          </cell>
          <cell r="K514">
            <v>0</v>
          </cell>
          <cell r="L514">
            <v>0</v>
          </cell>
        </row>
        <row r="515">
          <cell r="A515">
            <v>2039</v>
          </cell>
          <cell r="B515">
            <v>1</v>
          </cell>
          <cell r="G515">
            <v>0</v>
          </cell>
          <cell r="I515">
            <v>0</v>
          </cell>
          <cell r="K515">
            <v>0</v>
          </cell>
          <cell r="L515">
            <v>0</v>
          </cell>
        </row>
        <row r="516">
          <cell r="B516">
            <v>1</v>
          </cell>
          <cell r="G516">
            <v>0</v>
          </cell>
          <cell r="I516">
            <v>0</v>
          </cell>
          <cell r="K516">
            <v>0</v>
          </cell>
          <cell r="L516">
            <v>0</v>
          </cell>
        </row>
        <row r="517">
          <cell r="A517">
            <v>2101</v>
          </cell>
          <cell r="B517">
            <v>1</v>
          </cell>
          <cell r="D517" t="str">
            <v>波纹管ф50</v>
          </cell>
          <cell r="E517" t="str">
            <v>t</v>
          </cell>
          <cell r="G517">
            <v>8240</v>
          </cell>
          <cell r="H517">
            <v>8000</v>
          </cell>
          <cell r="I517">
            <v>240</v>
          </cell>
          <cell r="K517" t="str">
            <v>t</v>
          </cell>
          <cell r="L517">
            <v>8240</v>
          </cell>
        </row>
        <row r="518">
          <cell r="A518">
            <v>2102</v>
          </cell>
          <cell r="B518">
            <v>1</v>
          </cell>
          <cell r="D518" t="str">
            <v>波纹管钢带</v>
          </cell>
          <cell r="E518" t="str">
            <v>kg</v>
          </cell>
          <cell r="G518">
            <v>5.25</v>
          </cell>
          <cell r="H518">
            <v>5.0999999999999996</v>
          </cell>
          <cell r="I518">
            <v>0.15</v>
          </cell>
          <cell r="K518" t="str">
            <v>kg</v>
          </cell>
          <cell r="L518">
            <v>5.25</v>
          </cell>
        </row>
        <row r="519">
          <cell r="A519">
            <v>2103</v>
          </cell>
          <cell r="B519">
            <v>1</v>
          </cell>
          <cell r="D519" t="str">
            <v>灌浆盒</v>
          </cell>
          <cell r="E519" t="str">
            <v>个</v>
          </cell>
          <cell r="G519">
            <v>10.8</v>
          </cell>
          <cell r="H519">
            <v>10.49</v>
          </cell>
          <cell r="I519">
            <v>0.31</v>
          </cell>
          <cell r="K519" t="str">
            <v>个</v>
          </cell>
          <cell r="L519">
            <v>10.8</v>
          </cell>
        </row>
        <row r="520">
          <cell r="A520">
            <v>2104</v>
          </cell>
          <cell r="B520">
            <v>1</v>
          </cell>
          <cell r="D520" t="str">
            <v>弗氏锚具</v>
          </cell>
          <cell r="E520" t="str">
            <v>套</v>
          </cell>
          <cell r="G520">
            <v>77.25</v>
          </cell>
          <cell r="H520">
            <v>75</v>
          </cell>
          <cell r="I520">
            <v>2.25</v>
          </cell>
          <cell r="K520" t="str">
            <v>套</v>
          </cell>
          <cell r="L520">
            <v>77.25</v>
          </cell>
        </row>
        <row r="521">
          <cell r="A521">
            <v>2105</v>
          </cell>
          <cell r="B521">
            <v>1</v>
          </cell>
          <cell r="D521" t="str">
            <v>工作锚具OVM(7孔）（夹片、锚环、垫片及螺旋筋）</v>
          </cell>
          <cell r="E521" t="str">
            <v>套</v>
          </cell>
          <cell r="G521">
            <v>154.5</v>
          </cell>
          <cell r="H521">
            <v>150</v>
          </cell>
          <cell r="I521">
            <v>4.5</v>
          </cell>
          <cell r="K521" t="str">
            <v>套</v>
          </cell>
          <cell r="L521">
            <v>154.5</v>
          </cell>
        </row>
        <row r="522">
          <cell r="A522">
            <v>2106</v>
          </cell>
          <cell r="B522">
            <v>1</v>
          </cell>
          <cell r="D522" t="str">
            <v>工作锚具 OVM（12孔）（夹片、锚环、垫片及螺旋筋）</v>
          </cell>
          <cell r="E522" t="str">
            <v>套</v>
          </cell>
          <cell r="G522">
            <v>257.5</v>
          </cell>
          <cell r="H522">
            <v>250</v>
          </cell>
          <cell r="I522">
            <v>7.5</v>
          </cell>
          <cell r="K522" t="str">
            <v>套</v>
          </cell>
          <cell r="L522">
            <v>257.5</v>
          </cell>
        </row>
        <row r="523">
          <cell r="A523">
            <v>2107</v>
          </cell>
          <cell r="B523">
            <v>1</v>
          </cell>
          <cell r="D523" t="str">
            <v>工作锚具 OVM（19孔）（夹片、锚环、垫片及螺旋筋）</v>
          </cell>
          <cell r="E523" t="str">
            <v>套</v>
          </cell>
          <cell r="G523">
            <v>463.5</v>
          </cell>
          <cell r="H523">
            <v>450</v>
          </cell>
          <cell r="I523">
            <v>13.5</v>
          </cell>
          <cell r="K523" t="str">
            <v>套</v>
          </cell>
          <cell r="L523">
            <v>463.5</v>
          </cell>
        </row>
        <row r="524">
          <cell r="A524">
            <v>2108</v>
          </cell>
          <cell r="B524">
            <v>1</v>
          </cell>
          <cell r="D524" t="str">
            <v>工作锚具 OVM（37孔）（夹片、锚环、垫片及螺旋筋）</v>
          </cell>
          <cell r="E524" t="str">
            <v>套</v>
          </cell>
          <cell r="G524">
            <v>824</v>
          </cell>
          <cell r="H524">
            <v>800</v>
          </cell>
          <cell r="I524">
            <v>24</v>
          </cell>
          <cell r="K524" t="str">
            <v>套</v>
          </cell>
          <cell r="L524">
            <v>824</v>
          </cell>
        </row>
        <row r="525">
          <cell r="A525">
            <v>2109</v>
          </cell>
          <cell r="B525">
            <v>1</v>
          </cell>
          <cell r="D525" t="str">
            <v>工作锚具 OVM（9孔）</v>
          </cell>
          <cell r="E525" t="str">
            <v>套</v>
          </cell>
          <cell r="G525">
            <v>957.9</v>
          </cell>
          <cell r="H525">
            <v>930</v>
          </cell>
          <cell r="I525">
            <v>27.9</v>
          </cell>
          <cell r="K525" t="str">
            <v>套</v>
          </cell>
          <cell r="L525">
            <v>957.9</v>
          </cell>
        </row>
        <row r="526">
          <cell r="A526">
            <v>2110</v>
          </cell>
          <cell r="B526">
            <v>1</v>
          </cell>
          <cell r="D526" t="str">
            <v>工作锚具 OVM（12孔）</v>
          </cell>
          <cell r="E526" t="str">
            <v>套</v>
          </cell>
          <cell r="G526">
            <v>407.88</v>
          </cell>
          <cell r="H526">
            <v>396</v>
          </cell>
          <cell r="I526">
            <v>11.88</v>
          </cell>
          <cell r="K526" t="str">
            <v>套</v>
          </cell>
          <cell r="L526">
            <v>407.88</v>
          </cell>
        </row>
        <row r="527">
          <cell r="A527">
            <v>2111</v>
          </cell>
          <cell r="B527">
            <v>1</v>
          </cell>
          <cell r="D527" t="str">
            <v>工作锚具 OVM（14孔）</v>
          </cell>
          <cell r="E527" t="str">
            <v>套</v>
          </cell>
          <cell r="G527">
            <v>2369</v>
          </cell>
          <cell r="H527">
            <v>2300</v>
          </cell>
          <cell r="I527">
            <v>69</v>
          </cell>
          <cell r="K527" t="str">
            <v>套</v>
          </cell>
          <cell r="L527">
            <v>2369</v>
          </cell>
        </row>
        <row r="528">
          <cell r="A528">
            <v>2112</v>
          </cell>
          <cell r="B528">
            <v>1</v>
          </cell>
          <cell r="D528" t="str">
            <v>工作锚具 OVM（19孔）</v>
          </cell>
          <cell r="E528" t="str">
            <v>套</v>
          </cell>
          <cell r="G528">
            <v>743.66</v>
          </cell>
          <cell r="H528">
            <v>722</v>
          </cell>
          <cell r="I528">
            <v>21.66</v>
          </cell>
          <cell r="K528" t="str">
            <v>套</v>
          </cell>
          <cell r="L528">
            <v>743.66</v>
          </cell>
        </row>
        <row r="529">
          <cell r="A529">
            <v>2113</v>
          </cell>
          <cell r="B529">
            <v>1</v>
          </cell>
          <cell r="D529" t="str">
            <v>工作锚具 OVM（21孔）</v>
          </cell>
          <cell r="E529" t="str">
            <v>套</v>
          </cell>
          <cell r="G529">
            <v>1442</v>
          </cell>
          <cell r="H529">
            <v>1400</v>
          </cell>
          <cell r="I529">
            <v>42</v>
          </cell>
          <cell r="K529" t="str">
            <v>套</v>
          </cell>
          <cell r="L529">
            <v>1442</v>
          </cell>
        </row>
        <row r="530">
          <cell r="A530">
            <v>2114</v>
          </cell>
          <cell r="B530">
            <v>1</v>
          </cell>
          <cell r="D530" t="str">
            <v>工作锚具 OVM（27孔）</v>
          </cell>
          <cell r="E530" t="str">
            <v>套</v>
          </cell>
          <cell r="G530">
            <v>1648</v>
          </cell>
          <cell r="H530">
            <v>1600</v>
          </cell>
          <cell r="I530">
            <v>48</v>
          </cell>
          <cell r="K530" t="str">
            <v>套</v>
          </cell>
          <cell r="L530">
            <v>1648</v>
          </cell>
        </row>
        <row r="531">
          <cell r="A531">
            <v>2115</v>
          </cell>
          <cell r="B531">
            <v>1</v>
          </cell>
          <cell r="D531" t="str">
            <v>工作锚具 OVM（37孔）</v>
          </cell>
          <cell r="E531" t="str">
            <v>套</v>
          </cell>
          <cell r="G531">
            <v>1867.39</v>
          </cell>
          <cell r="H531">
            <v>1813</v>
          </cell>
          <cell r="I531">
            <v>54.39</v>
          </cell>
          <cell r="K531" t="str">
            <v>套</v>
          </cell>
          <cell r="L531">
            <v>1867.39</v>
          </cell>
        </row>
        <row r="532">
          <cell r="A532">
            <v>2116</v>
          </cell>
          <cell r="B532">
            <v>1</v>
          </cell>
          <cell r="D532" t="str">
            <v>工作锚具HVM15-12</v>
          </cell>
          <cell r="E532" t="str">
            <v>套</v>
          </cell>
          <cell r="G532">
            <v>407.88</v>
          </cell>
          <cell r="H532">
            <v>396</v>
          </cell>
          <cell r="I532">
            <v>11.88</v>
          </cell>
          <cell r="K532" t="str">
            <v>套</v>
          </cell>
          <cell r="L532">
            <v>407.88</v>
          </cell>
        </row>
        <row r="533">
          <cell r="A533">
            <v>2117</v>
          </cell>
          <cell r="B533">
            <v>1</v>
          </cell>
          <cell r="D533" t="str">
            <v>工作锚具HVM15-19</v>
          </cell>
          <cell r="E533" t="str">
            <v>套</v>
          </cell>
          <cell r="G533">
            <v>743.66</v>
          </cell>
          <cell r="H533">
            <v>722</v>
          </cell>
          <cell r="I533">
            <v>21.66</v>
          </cell>
          <cell r="K533" t="str">
            <v>套</v>
          </cell>
          <cell r="L533">
            <v>743.66</v>
          </cell>
        </row>
        <row r="534">
          <cell r="A534">
            <v>2118</v>
          </cell>
          <cell r="B534">
            <v>1</v>
          </cell>
          <cell r="D534" t="str">
            <v>工作锚具HVM15-37</v>
          </cell>
          <cell r="E534" t="str">
            <v>套</v>
          </cell>
          <cell r="G534">
            <v>1867.39</v>
          </cell>
          <cell r="H534">
            <v>1813</v>
          </cell>
          <cell r="I534">
            <v>54.39</v>
          </cell>
          <cell r="K534" t="str">
            <v>套</v>
          </cell>
          <cell r="L534">
            <v>1867.39</v>
          </cell>
        </row>
        <row r="535">
          <cell r="A535">
            <v>2119</v>
          </cell>
          <cell r="B535">
            <v>1</v>
          </cell>
          <cell r="D535" t="str">
            <v>工具锚HVM15G-7</v>
          </cell>
          <cell r="E535" t="str">
            <v>套</v>
          </cell>
          <cell r="G535">
            <v>1133</v>
          </cell>
          <cell r="H535">
            <v>1100</v>
          </cell>
          <cell r="I535">
            <v>33</v>
          </cell>
          <cell r="K535" t="str">
            <v>套</v>
          </cell>
          <cell r="L535">
            <v>1133</v>
          </cell>
        </row>
        <row r="536">
          <cell r="A536">
            <v>2120</v>
          </cell>
          <cell r="B536">
            <v>1</v>
          </cell>
          <cell r="D536" t="str">
            <v>工具锚HVM15G-12</v>
          </cell>
          <cell r="E536" t="str">
            <v>套</v>
          </cell>
          <cell r="G536">
            <v>2101.1999999999998</v>
          </cell>
          <cell r="H536">
            <v>2040</v>
          </cell>
          <cell r="I536">
            <v>61.2</v>
          </cell>
          <cell r="K536" t="str">
            <v>套</v>
          </cell>
          <cell r="L536">
            <v>2101.1999999999998</v>
          </cell>
        </row>
        <row r="537">
          <cell r="A537">
            <v>2121</v>
          </cell>
          <cell r="B537">
            <v>1</v>
          </cell>
          <cell r="D537" t="str">
            <v>工具锚HVM15G-19</v>
          </cell>
          <cell r="E537" t="str">
            <v>套</v>
          </cell>
          <cell r="G537">
            <v>3718.3</v>
          </cell>
          <cell r="H537">
            <v>3610</v>
          </cell>
          <cell r="I537">
            <v>108.3</v>
          </cell>
          <cell r="K537" t="str">
            <v>套</v>
          </cell>
          <cell r="L537">
            <v>3718.3</v>
          </cell>
        </row>
        <row r="538">
          <cell r="A538">
            <v>2122</v>
          </cell>
          <cell r="B538">
            <v>1</v>
          </cell>
          <cell r="D538" t="str">
            <v>工具锚HVM15G-37</v>
          </cell>
          <cell r="E538" t="str">
            <v>套</v>
          </cell>
          <cell r="G538">
            <v>6440.59</v>
          </cell>
          <cell r="H538">
            <v>6253</v>
          </cell>
          <cell r="I538">
            <v>187.59</v>
          </cell>
          <cell r="K538" t="str">
            <v>套</v>
          </cell>
          <cell r="L538">
            <v>6440.59</v>
          </cell>
        </row>
        <row r="539">
          <cell r="A539">
            <v>2123</v>
          </cell>
          <cell r="B539">
            <v>1</v>
          </cell>
          <cell r="D539" t="str">
            <v>精轧螺纹钢连接器</v>
          </cell>
          <cell r="E539" t="str">
            <v>套</v>
          </cell>
          <cell r="G539">
            <v>77.25</v>
          </cell>
          <cell r="H539">
            <v>75</v>
          </cell>
          <cell r="I539">
            <v>2.25</v>
          </cell>
          <cell r="K539" t="str">
            <v>套</v>
          </cell>
          <cell r="L539">
            <v>77.25</v>
          </cell>
        </row>
        <row r="540">
          <cell r="A540">
            <v>2124</v>
          </cell>
          <cell r="B540">
            <v>1</v>
          </cell>
          <cell r="D540" t="str">
            <v>锚杆附件</v>
          </cell>
          <cell r="E540" t="str">
            <v>kg</v>
          </cell>
          <cell r="G540">
            <v>6.58</v>
          </cell>
          <cell r="H540">
            <v>6.39</v>
          </cell>
          <cell r="I540">
            <v>0.19</v>
          </cell>
          <cell r="K540" t="str">
            <v>kg</v>
          </cell>
          <cell r="L540">
            <v>6.58</v>
          </cell>
        </row>
        <row r="541">
          <cell r="A541">
            <v>2125</v>
          </cell>
          <cell r="B541">
            <v>1</v>
          </cell>
          <cell r="D541" t="str">
            <v>弗氏锚具(24型)</v>
          </cell>
          <cell r="E541" t="str">
            <v>套</v>
          </cell>
          <cell r="G541">
            <v>75.19</v>
          </cell>
          <cell r="H541">
            <v>73</v>
          </cell>
          <cell r="I541">
            <v>2.19</v>
          </cell>
          <cell r="K541" t="str">
            <v>套</v>
          </cell>
          <cell r="L541">
            <v>75.19</v>
          </cell>
        </row>
        <row r="542">
          <cell r="A542">
            <v>2126</v>
          </cell>
          <cell r="B542">
            <v>1</v>
          </cell>
          <cell r="D542" t="str">
            <v>冷铸镦头锚</v>
          </cell>
          <cell r="E542" t="str">
            <v>kg</v>
          </cell>
          <cell r="G542">
            <v>16.48</v>
          </cell>
          <cell r="H542">
            <v>16</v>
          </cell>
          <cell r="I542">
            <v>0.48</v>
          </cell>
          <cell r="K542" t="str">
            <v>kg</v>
          </cell>
          <cell r="L542">
            <v>16.48</v>
          </cell>
        </row>
        <row r="543">
          <cell r="A543">
            <v>2127</v>
          </cell>
          <cell r="B543">
            <v>1</v>
          </cell>
          <cell r="D543" t="str">
            <v>冷铸镦头锚(110式)</v>
          </cell>
          <cell r="E543" t="str">
            <v>套</v>
          </cell>
          <cell r="G543">
            <v>2502.9</v>
          </cell>
          <cell r="H543">
            <v>2430</v>
          </cell>
          <cell r="I543">
            <v>72.900000000000006</v>
          </cell>
          <cell r="K543" t="str">
            <v>套</v>
          </cell>
          <cell r="L543">
            <v>2502.9</v>
          </cell>
        </row>
        <row r="544">
          <cell r="A544">
            <v>2128</v>
          </cell>
          <cell r="B544">
            <v>1</v>
          </cell>
          <cell r="D544" t="str">
            <v>镦头锚</v>
          </cell>
          <cell r="E544" t="str">
            <v>kg</v>
          </cell>
          <cell r="G544">
            <v>25.75</v>
          </cell>
          <cell r="H544">
            <v>25</v>
          </cell>
          <cell r="I544">
            <v>0.75</v>
          </cell>
          <cell r="K544" t="str">
            <v>kg</v>
          </cell>
          <cell r="L544">
            <v>25.75</v>
          </cell>
        </row>
        <row r="545">
          <cell r="A545">
            <v>2129</v>
          </cell>
          <cell r="B545">
            <v>1</v>
          </cell>
          <cell r="D545" t="str">
            <v>镦头锚(24型)</v>
          </cell>
          <cell r="E545" t="str">
            <v>套</v>
          </cell>
          <cell r="G545">
            <v>108.15</v>
          </cell>
          <cell r="H545">
            <v>105</v>
          </cell>
          <cell r="I545">
            <v>3.15</v>
          </cell>
          <cell r="K545" t="str">
            <v>套</v>
          </cell>
          <cell r="L545">
            <v>108.15</v>
          </cell>
        </row>
        <row r="546">
          <cell r="A546">
            <v>2130</v>
          </cell>
          <cell r="B546">
            <v>1</v>
          </cell>
          <cell r="D546" t="str">
            <v>轧丝锚具</v>
          </cell>
          <cell r="E546" t="str">
            <v>kg</v>
          </cell>
          <cell r="G546">
            <v>15.45</v>
          </cell>
          <cell r="H546">
            <v>15</v>
          </cell>
          <cell r="I546">
            <v>0.45</v>
          </cell>
          <cell r="K546" t="str">
            <v>kg</v>
          </cell>
          <cell r="L546">
            <v>15.45</v>
          </cell>
        </row>
        <row r="547">
          <cell r="A547">
            <v>2131</v>
          </cell>
          <cell r="B547">
            <v>1</v>
          </cell>
          <cell r="D547" t="str">
            <v>工作锚具</v>
          </cell>
          <cell r="E547" t="str">
            <v>套</v>
          </cell>
          <cell r="G547">
            <v>2257.36</v>
          </cell>
          <cell r="H547">
            <v>2191.61</v>
          </cell>
          <cell r="I547">
            <v>65.75</v>
          </cell>
          <cell r="K547" t="str">
            <v>套</v>
          </cell>
          <cell r="L547">
            <v>2257.36</v>
          </cell>
        </row>
        <row r="548">
          <cell r="A548">
            <v>2132</v>
          </cell>
          <cell r="B548">
            <v>1</v>
          </cell>
          <cell r="D548" t="str">
            <v>钢绞线群锚（3孔含夹片）</v>
          </cell>
          <cell r="E548" t="str">
            <v>套</v>
          </cell>
          <cell r="G548">
            <v>92.7</v>
          </cell>
          <cell r="H548">
            <v>90</v>
          </cell>
          <cell r="I548">
            <v>2.7</v>
          </cell>
          <cell r="K548" t="str">
            <v>套</v>
          </cell>
          <cell r="L548">
            <v>92.7</v>
          </cell>
        </row>
        <row r="549">
          <cell r="A549">
            <v>2133</v>
          </cell>
          <cell r="B549">
            <v>1</v>
          </cell>
          <cell r="D549" t="str">
            <v>钢绞线群锚（7孔含夹片）</v>
          </cell>
          <cell r="E549" t="str">
            <v>套</v>
          </cell>
          <cell r="G549">
            <v>216.3</v>
          </cell>
          <cell r="H549">
            <v>210</v>
          </cell>
          <cell r="I549">
            <v>6.3</v>
          </cell>
          <cell r="K549" t="str">
            <v>套</v>
          </cell>
          <cell r="L549">
            <v>216.3</v>
          </cell>
        </row>
        <row r="550">
          <cell r="A550">
            <v>2134</v>
          </cell>
          <cell r="B550">
            <v>1</v>
          </cell>
          <cell r="D550" t="str">
            <v>钢绞线群锚（12孔含夹片）</v>
          </cell>
          <cell r="E550" t="str">
            <v>套</v>
          </cell>
          <cell r="G550">
            <v>395.52</v>
          </cell>
          <cell r="H550">
            <v>384</v>
          </cell>
          <cell r="I550">
            <v>11.52</v>
          </cell>
          <cell r="K550" t="str">
            <v>套</v>
          </cell>
          <cell r="L550">
            <v>395.52</v>
          </cell>
        </row>
        <row r="551">
          <cell r="A551">
            <v>2135</v>
          </cell>
          <cell r="B551">
            <v>1</v>
          </cell>
          <cell r="D551" t="str">
            <v>钢绞线群锚（19孔含夹片）</v>
          </cell>
          <cell r="E551" t="str">
            <v>套</v>
          </cell>
          <cell r="G551">
            <v>665.38</v>
          </cell>
          <cell r="H551">
            <v>646</v>
          </cell>
          <cell r="I551">
            <v>19.38</v>
          </cell>
          <cell r="K551" t="str">
            <v>套</v>
          </cell>
          <cell r="L551">
            <v>665.38</v>
          </cell>
        </row>
        <row r="552">
          <cell r="A552">
            <v>2136</v>
          </cell>
          <cell r="B552">
            <v>1</v>
          </cell>
          <cell r="D552" t="str">
            <v>钢绞线群锚（22孔含夹片）</v>
          </cell>
          <cell r="E552" t="str">
            <v>套</v>
          </cell>
          <cell r="G552">
            <v>770.44</v>
          </cell>
          <cell r="H552">
            <v>748</v>
          </cell>
          <cell r="I552">
            <v>22.44</v>
          </cell>
          <cell r="K552" t="str">
            <v>套</v>
          </cell>
          <cell r="L552">
            <v>770.44</v>
          </cell>
        </row>
        <row r="553">
          <cell r="A553">
            <v>2137</v>
          </cell>
          <cell r="B553">
            <v>1</v>
          </cell>
          <cell r="D553" t="str">
            <v>钢绞线群锚（31孔含夹片）</v>
          </cell>
          <cell r="E553" t="str">
            <v>套</v>
          </cell>
          <cell r="G553">
            <v>1184.5</v>
          </cell>
          <cell r="H553">
            <v>1150</v>
          </cell>
          <cell r="I553">
            <v>34.5</v>
          </cell>
          <cell r="K553" t="str">
            <v>套</v>
          </cell>
          <cell r="L553">
            <v>1184.5</v>
          </cell>
        </row>
        <row r="554">
          <cell r="A554">
            <v>2138</v>
          </cell>
          <cell r="B554">
            <v>1</v>
          </cell>
          <cell r="D554" t="str">
            <v>钢绞线群锚垫板</v>
          </cell>
          <cell r="E554" t="str">
            <v>t</v>
          </cell>
          <cell r="G554">
            <v>5768</v>
          </cell>
          <cell r="H554">
            <v>5600</v>
          </cell>
          <cell r="I554">
            <v>168</v>
          </cell>
          <cell r="K554" t="str">
            <v>t</v>
          </cell>
          <cell r="L554">
            <v>5768</v>
          </cell>
        </row>
        <row r="555">
          <cell r="A555">
            <v>2139</v>
          </cell>
          <cell r="B555">
            <v>1</v>
          </cell>
          <cell r="D555" t="str">
            <v>不锈钢板</v>
          </cell>
          <cell r="E555" t="str">
            <v>kg</v>
          </cell>
          <cell r="G555">
            <v>25.75</v>
          </cell>
          <cell r="H555">
            <v>25</v>
          </cell>
          <cell r="I555">
            <v>0.75</v>
          </cell>
          <cell r="K555" t="str">
            <v>kg</v>
          </cell>
          <cell r="L555">
            <v>25.75</v>
          </cell>
        </row>
        <row r="556">
          <cell r="A556">
            <v>2140</v>
          </cell>
          <cell r="B556">
            <v>1</v>
          </cell>
          <cell r="D556" t="str">
            <v>不锈钢滑板</v>
          </cell>
          <cell r="E556" t="str">
            <v>kg</v>
          </cell>
          <cell r="G556">
            <v>22.04</v>
          </cell>
          <cell r="H556">
            <v>21.4</v>
          </cell>
          <cell r="I556">
            <v>0.64</v>
          </cell>
          <cell r="K556" t="str">
            <v>kg</v>
          </cell>
          <cell r="L556">
            <v>22.04</v>
          </cell>
        </row>
        <row r="557">
          <cell r="A557">
            <v>2141</v>
          </cell>
          <cell r="B557">
            <v>1</v>
          </cell>
          <cell r="D557" t="str">
            <v>隔离架</v>
          </cell>
          <cell r="E557" t="str">
            <v>个</v>
          </cell>
          <cell r="G557">
            <v>25.75</v>
          </cell>
          <cell r="H557">
            <v>25</v>
          </cell>
          <cell r="I557">
            <v>0.75</v>
          </cell>
          <cell r="K557" t="str">
            <v>个</v>
          </cell>
          <cell r="L557">
            <v>25.75</v>
          </cell>
        </row>
        <row r="558">
          <cell r="A558">
            <v>2142</v>
          </cell>
          <cell r="B558">
            <v>1</v>
          </cell>
          <cell r="D558" t="str">
            <v>钢垫板</v>
          </cell>
          <cell r="E558" t="str">
            <v>kg</v>
          </cell>
          <cell r="G558">
            <v>8.24</v>
          </cell>
          <cell r="H558">
            <v>8</v>
          </cell>
          <cell r="I558">
            <v>0.24</v>
          </cell>
          <cell r="K558" t="str">
            <v>kg</v>
          </cell>
          <cell r="L558">
            <v>8.24</v>
          </cell>
        </row>
        <row r="559">
          <cell r="A559">
            <v>2143</v>
          </cell>
          <cell r="B559">
            <v>1</v>
          </cell>
          <cell r="D559" t="str">
            <v>喇叭管</v>
          </cell>
          <cell r="E559" t="str">
            <v>kg</v>
          </cell>
          <cell r="G559">
            <v>8.24</v>
          </cell>
          <cell r="H559">
            <v>8</v>
          </cell>
          <cell r="I559">
            <v>0.24</v>
          </cell>
          <cell r="K559" t="str">
            <v>kg</v>
          </cell>
          <cell r="L559">
            <v>8.24</v>
          </cell>
        </row>
        <row r="560">
          <cell r="A560">
            <v>2144</v>
          </cell>
          <cell r="B560">
            <v>1</v>
          </cell>
          <cell r="D560" t="str">
            <v>导向帽</v>
          </cell>
          <cell r="E560" t="str">
            <v>kg</v>
          </cell>
          <cell r="G560">
            <v>8.24</v>
          </cell>
          <cell r="H560">
            <v>8</v>
          </cell>
          <cell r="I560">
            <v>0.24</v>
          </cell>
          <cell r="K560" t="str">
            <v>kg</v>
          </cell>
          <cell r="L560">
            <v>8.24</v>
          </cell>
        </row>
        <row r="561">
          <cell r="A561">
            <v>2145</v>
          </cell>
          <cell r="B561">
            <v>1</v>
          </cell>
          <cell r="D561" t="str">
            <v>波纹管</v>
          </cell>
          <cell r="E561" t="str">
            <v>m</v>
          </cell>
          <cell r="G561">
            <v>44.43</v>
          </cell>
          <cell r="H561">
            <v>43.14</v>
          </cell>
          <cell r="I561">
            <v>1.29</v>
          </cell>
          <cell r="K561" t="str">
            <v>m</v>
          </cell>
          <cell r="L561">
            <v>44.43</v>
          </cell>
        </row>
        <row r="562">
          <cell r="A562">
            <v>2146</v>
          </cell>
          <cell r="B562">
            <v>1</v>
          </cell>
          <cell r="D562" t="str">
            <v>连接管</v>
          </cell>
          <cell r="E562" t="str">
            <v>个</v>
          </cell>
          <cell r="G562">
            <v>16.48</v>
          </cell>
          <cell r="H562">
            <v>16</v>
          </cell>
          <cell r="I562">
            <v>0.48</v>
          </cell>
          <cell r="K562" t="str">
            <v>个</v>
          </cell>
          <cell r="L562">
            <v>16.48</v>
          </cell>
        </row>
        <row r="563">
          <cell r="A563">
            <v>2149</v>
          </cell>
          <cell r="B563">
            <v>1</v>
          </cell>
          <cell r="D563" t="str">
            <v>弹簧加强PVC管φ50mm</v>
          </cell>
          <cell r="E563" t="str">
            <v>m</v>
          </cell>
          <cell r="G563">
            <v>8.14</v>
          </cell>
          <cell r="H563">
            <v>7.9</v>
          </cell>
          <cell r="I563">
            <v>0.24</v>
          </cell>
          <cell r="K563" t="str">
            <v>m</v>
          </cell>
          <cell r="L563">
            <v>8.14</v>
          </cell>
        </row>
        <row r="564">
          <cell r="A564">
            <v>2150</v>
          </cell>
          <cell r="B564">
            <v>1</v>
          </cell>
          <cell r="D564" t="str">
            <v>硬塑排水管</v>
          </cell>
          <cell r="E564" t="str">
            <v>m</v>
          </cell>
          <cell r="G564">
            <v>30.9</v>
          </cell>
          <cell r="H564">
            <v>30</v>
          </cell>
          <cell r="I564">
            <v>0.9</v>
          </cell>
          <cell r="K564" t="str">
            <v>m</v>
          </cell>
          <cell r="L564">
            <v>30.9</v>
          </cell>
        </row>
        <row r="565">
          <cell r="A565">
            <v>2151</v>
          </cell>
          <cell r="B565">
            <v>1</v>
          </cell>
          <cell r="D565" t="str">
            <v>M-2级锚链</v>
          </cell>
          <cell r="E565" t="str">
            <v>t</v>
          </cell>
          <cell r="G565">
            <v>5356</v>
          </cell>
          <cell r="H565">
            <v>5200</v>
          </cell>
          <cell r="I565">
            <v>156</v>
          </cell>
          <cell r="K565" t="str">
            <v>t</v>
          </cell>
          <cell r="L565">
            <v>5356</v>
          </cell>
        </row>
        <row r="566">
          <cell r="A566">
            <v>2152</v>
          </cell>
          <cell r="B566">
            <v>1</v>
          </cell>
          <cell r="D566" t="str">
            <v>白铁管</v>
          </cell>
          <cell r="E566" t="str">
            <v>m</v>
          </cell>
          <cell r="G566">
            <v>14.74</v>
          </cell>
          <cell r="H566">
            <v>14.31</v>
          </cell>
          <cell r="I566">
            <v>0.43</v>
          </cell>
          <cell r="K566" t="str">
            <v>m</v>
          </cell>
          <cell r="L566">
            <v>14.74</v>
          </cell>
        </row>
        <row r="567">
          <cell r="A567">
            <v>2153</v>
          </cell>
          <cell r="B567">
            <v>1</v>
          </cell>
          <cell r="D567" t="str">
            <v>管件</v>
          </cell>
          <cell r="E567" t="str">
            <v>套</v>
          </cell>
          <cell r="G567">
            <v>12.36</v>
          </cell>
          <cell r="H567">
            <v>12</v>
          </cell>
          <cell r="I567">
            <v>0.36</v>
          </cell>
          <cell r="K567" t="str">
            <v>套</v>
          </cell>
          <cell r="L567">
            <v>12.36</v>
          </cell>
        </row>
        <row r="568">
          <cell r="A568">
            <v>2154</v>
          </cell>
          <cell r="B568">
            <v>1</v>
          </cell>
          <cell r="D568" t="str">
            <v>镀锌管件</v>
          </cell>
          <cell r="E568" t="str">
            <v>kg</v>
          </cell>
          <cell r="G568">
            <v>5.15</v>
          </cell>
          <cell r="H568">
            <v>5</v>
          </cell>
          <cell r="I568">
            <v>0.15</v>
          </cell>
          <cell r="K568" t="str">
            <v>kg</v>
          </cell>
          <cell r="L568">
            <v>5.15</v>
          </cell>
        </row>
        <row r="569">
          <cell r="A569">
            <v>2155</v>
          </cell>
          <cell r="B569">
            <v>1</v>
          </cell>
          <cell r="D569" t="str">
            <v>镀锌钢管接头零件</v>
          </cell>
          <cell r="E569" t="str">
            <v>kg</v>
          </cell>
          <cell r="G569">
            <v>12.88</v>
          </cell>
          <cell r="H569">
            <v>12.5</v>
          </cell>
          <cell r="I569">
            <v>0.38</v>
          </cell>
          <cell r="K569" t="str">
            <v>kg</v>
          </cell>
          <cell r="L569">
            <v>12.88</v>
          </cell>
        </row>
        <row r="570">
          <cell r="A570">
            <v>2156</v>
          </cell>
          <cell r="B570">
            <v>1</v>
          </cell>
          <cell r="D570" t="str">
            <v>定中器（1000KN）</v>
          </cell>
          <cell r="E570" t="str">
            <v>个</v>
          </cell>
          <cell r="G570">
            <v>185.4</v>
          </cell>
          <cell r="H570">
            <v>180</v>
          </cell>
          <cell r="I570">
            <v>5.4</v>
          </cell>
          <cell r="K570" t="str">
            <v>个</v>
          </cell>
          <cell r="L570">
            <v>185.4</v>
          </cell>
        </row>
        <row r="571">
          <cell r="A571">
            <v>2157</v>
          </cell>
          <cell r="B571">
            <v>1</v>
          </cell>
          <cell r="D571" t="str">
            <v>定中器（1800KN）</v>
          </cell>
          <cell r="E571" t="str">
            <v>个</v>
          </cell>
          <cell r="G571">
            <v>206</v>
          </cell>
          <cell r="H571">
            <v>200</v>
          </cell>
          <cell r="I571">
            <v>6</v>
          </cell>
          <cell r="K571" t="str">
            <v>个</v>
          </cell>
          <cell r="L571">
            <v>206</v>
          </cell>
        </row>
        <row r="572">
          <cell r="A572">
            <v>2158</v>
          </cell>
          <cell r="B572">
            <v>1</v>
          </cell>
          <cell r="D572" t="str">
            <v>定中器（6000KN）</v>
          </cell>
          <cell r="E572" t="str">
            <v>个</v>
          </cell>
          <cell r="G572">
            <v>824</v>
          </cell>
          <cell r="H572">
            <v>800</v>
          </cell>
          <cell r="I572">
            <v>24</v>
          </cell>
          <cell r="K572" t="str">
            <v>个</v>
          </cell>
          <cell r="L572">
            <v>824</v>
          </cell>
        </row>
        <row r="573">
          <cell r="A573">
            <v>2159</v>
          </cell>
          <cell r="B573">
            <v>1</v>
          </cell>
          <cell r="D573" t="str">
            <v>1800KN专用锚板</v>
          </cell>
          <cell r="E573" t="str">
            <v>套</v>
          </cell>
          <cell r="G573">
            <v>1821.04</v>
          </cell>
          <cell r="H573">
            <v>1768</v>
          </cell>
          <cell r="I573">
            <v>53.04</v>
          </cell>
          <cell r="K573" t="str">
            <v>套</v>
          </cell>
          <cell r="L573">
            <v>1821.04</v>
          </cell>
        </row>
        <row r="574">
          <cell r="A574">
            <v>2160</v>
          </cell>
          <cell r="B574">
            <v>1</v>
          </cell>
          <cell r="D574" t="str">
            <v>3000KN专用锚板</v>
          </cell>
          <cell r="E574" t="str">
            <v>套</v>
          </cell>
          <cell r="G574">
            <v>2711.99</v>
          </cell>
          <cell r="H574">
            <v>2633</v>
          </cell>
          <cell r="I574">
            <v>78.989999999999995</v>
          </cell>
          <cell r="K574" t="str">
            <v>套</v>
          </cell>
          <cell r="L574">
            <v>2711.99</v>
          </cell>
        </row>
        <row r="575">
          <cell r="A575">
            <v>2161</v>
          </cell>
          <cell r="B575">
            <v>1</v>
          </cell>
          <cell r="D575" t="str">
            <v>6000KN专用锚板</v>
          </cell>
          <cell r="E575" t="str">
            <v>套</v>
          </cell>
          <cell r="G575">
            <v>5369.39</v>
          </cell>
          <cell r="H575">
            <v>5213</v>
          </cell>
          <cell r="I575">
            <v>156.38999999999999</v>
          </cell>
          <cell r="K575" t="str">
            <v>套</v>
          </cell>
          <cell r="L575">
            <v>5369.39</v>
          </cell>
        </row>
        <row r="576">
          <cell r="A576">
            <v>2162</v>
          </cell>
          <cell r="B576">
            <v>1</v>
          </cell>
          <cell r="D576" t="str">
            <v>1000KN专用锚板</v>
          </cell>
          <cell r="E576" t="str">
            <v>套</v>
          </cell>
          <cell r="G576">
            <v>1106.22</v>
          </cell>
          <cell r="H576">
            <v>1074</v>
          </cell>
          <cell r="I576">
            <v>32.22</v>
          </cell>
          <cell r="K576" t="str">
            <v>套</v>
          </cell>
          <cell r="L576">
            <v>1106.22</v>
          </cell>
        </row>
        <row r="577">
          <cell r="A577">
            <v>2163</v>
          </cell>
          <cell r="B577">
            <v>1</v>
          </cell>
          <cell r="D577" t="str">
            <v>定中器</v>
          </cell>
          <cell r="E577" t="str">
            <v>个</v>
          </cell>
          <cell r="G577">
            <v>257.5</v>
          </cell>
          <cell r="H577">
            <v>250</v>
          </cell>
          <cell r="I577">
            <v>7.5</v>
          </cell>
          <cell r="K577" t="str">
            <v>个</v>
          </cell>
          <cell r="L577">
            <v>257.5</v>
          </cell>
        </row>
        <row r="578">
          <cell r="A578">
            <v>2164</v>
          </cell>
          <cell r="B578">
            <v>1</v>
          </cell>
          <cell r="D578" t="str">
            <v>高压风管（1-50mm -20m）</v>
          </cell>
          <cell r="E578" t="str">
            <v>根</v>
          </cell>
          <cell r="G578">
            <v>2678</v>
          </cell>
          <cell r="H578">
            <v>2600</v>
          </cell>
          <cell r="I578">
            <v>78</v>
          </cell>
          <cell r="K578" t="str">
            <v>根</v>
          </cell>
          <cell r="L578">
            <v>2678</v>
          </cell>
        </row>
        <row r="579">
          <cell r="A579">
            <v>2165</v>
          </cell>
          <cell r="B579">
            <v>1</v>
          </cell>
          <cell r="D579" t="str">
            <v>卡具</v>
          </cell>
          <cell r="E579" t="str">
            <v>个</v>
          </cell>
          <cell r="G579">
            <v>7210</v>
          </cell>
          <cell r="H579">
            <v>7000</v>
          </cell>
          <cell r="I579">
            <v>210</v>
          </cell>
          <cell r="K579" t="str">
            <v>个</v>
          </cell>
          <cell r="L579">
            <v>7210</v>
          </cell>
        </row>
        <row r="580">
          <cell r="A580">
            <v>2166</v>
          </cell>
          <cell r="B580">
            <v>1</v>
          </cell>
          <cell r="D580" t="str">
            <v>定位止浆环</v>
          </cell>
          <cell r="E580" t="str">
            <v>个</v>
          </cell>
          <cell r="G580">
            <v>216.3</v>
          </cell>
          <cell r="H580">
            <v>210</v>
          </cell>
          <cell r="I580">
            <v>6.3</v>
          </cell>
          <cell r="K580" t="str">
            <v>个</v>
          </cell>
          <cell r="L580">
            <v>216.3</v>
          </cell>
        </row>
        <row r="581">
          <cell r="A581">
            <v>2167</v>
          </cell>
          <cell r="B581">
            <v>1</v>
          </cell>
          <cell r="D581" t="str">
            <v>定位止浆环（6000KN）</v>
          </cell>
          <cell r="E581" t="str">
            <v>个</v>
          </cell>
          <cell r="G581">
            <v>618</v>
          </cell>
          <cell r="H581">
            <v>600</v>
          </cell>
          <cell r="I581">
            <v>18</v>
          </cell>
          <cell r="K581" t="str">
            <v>个</v>
          </cell>
          <cell r="L581">
            <v>618</v>
          </cell>
        </row>
        <row r="582">
          <cell r="A582">
            <v>2168</v>
          </cell>
          <cell r="B582">
            <v>1</v>
          </cell>
          <cell r="D582" t="str">
            <v>2000钢绞线</v>
          </cell>
          <cell r="E582" t="str">
            <v>kg</v>
          </cell>
          <cell r="G582">
            <v>7.21</v>
          </cell>
          <cell r="H582">
            <v>7</v>
          </cell>
          <cell r="I582">
            <v>0.21</v>
          </cell>
          <cell r="K582" t="str">
            <v>kg</v>
          </cell>
          <cell r="L582">
            <v>7.21</v>
          </cell>
        </row>
        <row r="583">
          <cell r="A583">
            <v>2169</v>
          </cell>
          <cell r="B583">
            <v>1</v>
          </cell>
          <cell r="D583" t="str">
            <v>钢绞线 7×ф5</v>
          </cell>
          <cell r="E583" t="str">
            <v>kg</v>
          </cell>
          <cell r="G583">
            <v>6.18</v>
          </cell>
          <cell r="H583">
            <v>6</v>
          </cell>
          <cell r="I583">
            <v>0.18</v>
          </cell>
          <cell r="K583" t="str">
            <v>kg</v>
          </cell>
          <cell r="L583">
            <v>6.18</v>
          </cell>
        </row>
        <row r="584">
          <cell r="A584">
            <v>2170</v>
          </cell>
          <cell r="B584">
            <v>1</v>
          </cell>
          <cell r="D584" t="str">
            <v>碳素钢丝 ф5</v>
          </cell>
          <cell r="E584" t="str">
            <v>kg</v>
          </cell>
          <cell r="G584">
            <v>7.11</v>
          </cell>
          <cell r="H584">
            <v>6.9</v>
          </cell>
          <cell r="I584">
            <v>0.21</v>
          </cell>
          <cell r="K584" t="str">
            <v>kg</v>
          </cell>
          <cell r="L584">
            <v>7.11</v>
          </cell>
        </row>
        <row r="585">
          <cell r="A585">
            <v>2171</v>
          </cell>
          <cell r="B585">
            <v>1</v>
          </cell>
          <cell r="D585" t="str">
            <v>锚杆树脂</v>
          </cell>
          <cell r="E585" t="str">
            <v>kg</v>
          </cell>
          <cell r="G585">
            <v>15.97</v>
          </cell>
          <cell r="H585">
            <v>15.5</v>
          </cell>
          <cell r="I585">
            <v>0.47</v>
          </cell>
          <cell r="K585" t="str">
            <v>kg</v>
          </cell>
          <cell r="L585">
            <v>15.97</v>
          </cell>
        </row>
        <row r="586">
          <cell r="A586">
            <v>2172</v>
          </cell>
          <cell r="B586">
            <v>1</v>
          </cell>
          <cell r="G586">
            <v>0</v>
          </cell>
          <cell r="I586">
            <v>0</v>
          </cell>
          <cell r="K586">
            <v>0</v>
          </cell>
          <cell r="L586">
            <v>0</v>
          </cell>
        </row>
        <row r="587">
          <cell r="A587">
            <v>2173</v>
          </cell>
          <cell r="B587">
            <v>1</v>
          </cell>
          <cell r="G587">
            <v>0</v>
          </cell>
          <cell r="I587">
            <v>0</v>
          </cell>
          <cell r="K587">
            <v>0</v>
          </cell>
          <cell r="L587">
            <v>0</v>
          </cell>
        </row>
        <row r="588">
          <cell r="A588">
            <v>2174</v>
          </cell>
          <cell r="B588">
            <v>1</v>
          </cell>
          <cell r="G588">
            <v>0</v>
          </cell>
          <cell r="I588">
            <v>0</v>
          </cell>
          <cell r="K588">
            <v>0</v>
          </cell>
          <cell r="L588">
            <v>0</v>
          </cell>
        </row>
        <row r="589">
          <cell r="A589">
            <v>2175</v>
          </cell>
          <cell r="B589">
            <v>1</v>
          </cell>
          <cell r="G589">
            <v>0</v>
          </cell>
          <cell r="I589">
            <v>0</v>
          </cell>
          <cell r="K589">
            <v>0</v>
          </cell>
          <cell r="L589">
            <v>0</v>
          </cell>
        </row>
        <row r="590">
          <cell r="A590">
            <v>2176</v>
          </cell>
          <cell r="B590">
            <v>1</v>
          </cell>
          <cell r="G590">
            <v>0</v>
          </cell>
          <cell r="I590">
            <v>0</v>
          </cell>
          <cell r="K590">
            <v>0</v>
          </cell>
          <cell r="L590">
            <v>0</v>
          </cell>
        </row>
        <row r="591">
          <cell r="A591">
            <v>2177</v>
          </cell>
          <cell r="B591">
            <v>1</v>
          </cell>
          <cell r="G591">
            <v>0</v>
          </cell>
          <cell r="I591">
            <v>0</v>
          </cell>
          <cell r="K591">
            <v>0</v>
          </cell>
          <cell r="L591">
            <v>0</v>
          </cell>
        </row>
        <row r="592">
          <cell r="A592">
            <v>2178</v>
          </cell>
          <cell r="B592">
            <v>1</v>
          </cell>
          <cell r="G592">
            <v>0</v>
          </cell>
          <cell r="I592">
            <v>0</v>
          </cell>
          <cell r="K592">
            <v>0</v>
          </cell>
          <cell r="L592">
            <v>0</v>
          </cell>
        </row>
        <row r="593">
          <cell r="A593">
            <v>2179</v>
          </cell>
          <cell r="B593">
            <v>1</v>
          </cell>
          <cell r="G593">
            <v>0</v>
          </cell>
          <cell r="I593">
            <v>0</v>
          </cell>
          <cell r="K593">
            <v>0</v>
          </cell>
          <cell r="L593">
            <v>0</v>
          </cell>
        </row>
        <row r="594">
          <cell r="A594">
            <v>2180</v>
          </cell>
          <cell r="B594">
            <v>1</v>
          </cell>
          <cell r="G594">
            <v>0</v>
          </cell>
          <cell r="I594">
            <v>0</v>
          </cell>
          <cell r="K594">
            <v>0</v>
          </cell>
          <cell r="L594">
            <v>0</v>
          </cell>
        </row>
        <row r="595">
          <cell r="A595">
            <v>2181</v>
          </cell>
          <cell r="B595">
            <v>1</v>
          </cell>
          <cell r="G595">
            <v>0</v>
          </cell>
          <cell r="I595">
            <v>0</v>
          </cell>
          <cell r="K595">
            <v>0</v>
          </cell>
          <cell r="L595">
            <v>0</v>
          </cell>
        </row>
        <row r="596">
          <cell r="A596">
            <v>2182</v>
          </cell>
          <cell r="B596">
            <v>1</v>
          </cell>
          <cell r="G596">
            <v>0</v>
          </cell>
          <cell r="I596">
            <v>0</v>
          </cell>
          <cell r="K596">
            <v>0</v>
          </cell>
          <cell r="L596">
            <v>0</v>
          </cell>
        </row>
        <row r="597">
          <cell r="A597">
            <v>2183</v>
          </cell>
          <cell r="B597">
            <v>1</v>
          </cell>
          <cell r="G597">
            <v>0</v>
          </cell>
          <cell r="I597">
            <v>0</v>
          </cell>
          <cell r="K597">
            <v>0</v>
          </cell>
          <cell r="L597">
            <v>0</v>
          </cell>
        </row>
        <row r="598">
          <cell r="A598">
            <v>2184</v>
          </cell>
          <cell r="B598">
            <v>1</v>
          </cell>
          <cell r="G598">
            <v>0</v>
          </cell>
          <cell r="I598">
            <v>0</v>
          </cell>
          <cell r="K598">
            <v>0</v>
          </cell>
          <cell r="L598">
            <v>0</v>
          </cell>
        </row>
        <row r="599">
          <cell r="A599">
            <v>2501</v>
          </cell>
          <cell r="B599">
            <v>1</v>
          </cell>
          <cell r="D599" t="str">
            <v>乳化沥青</v>
          </cell>
          <cell r="E599" t="str">
            <v>kg</v>
          </cell>
          <cell r="G599">
            <v>1.96</v>
          </cell>
          <cell r="H599">
            <v>1.9</v>
          </cell>
          <cell r="I599">
            <v>0.06</v>
          </cell>
          <cell r="K599" t="str">
            <v>kg</v>
          </cell>
          <cell r="L599">
            <v>1.96</v>
          </cell>
        </row>
        <row r="600">
          <cell r="A600">
            <v>2502</v>
          </cell>
          <cell r="B600">
            <v>1</v>
          </cell>
          <cell r="D600" t="str">
            <v>沥青</v>
          </cell>
          <cell r="E600" t="str">
            <v>kg</v>
          </cell>
          <cell r="G600">
            <v>1.3800000000000001</v>
          </cell>
          <cell r="H600">
            <v>1.34</v>
          </cell>
          <cell r="I600">
            <v>0.04</v>
          </cell>
          <cell r="K600" t="str">
            <v>kg</v>
          </cell>
          <cell r="L600">
            <v>1.3800000000000001</v>
          </cell>
        </row>
        <row r="601">
          <cell r="A601">
            <v>2503</v>
          </cell>
          <cell r="B601">
            <v>1</v>
          </cell>
          <cell r="D601" t="str">
            <v>沥青油毛毡</v>
          </cell>
          <cell r="E601" t="str">
            <v>m2</v>
          </cell>
          <cell r="G601">
            <v>2.21</v>
          </cell>
          <cell r="H601">
            <v>2.15</v>
          </cell>
          <cell r="I601">
            <v>0.06</v>
          </cell>
          <cell r="K601" t="str">
            <v>m2</v>
          </cell>
          <cell r="L601">
            <v>2.21</v>
          </cell>
        </row>
        <row r="602">
          <cell r="B602">
            <v>1</v>
          </cell>
          <cell r="G602">
            <v>0</v>
          </cell>
          <cell r="I602">
            <v>0</v>
          </cell>
          <cell r="K602">
            <v>0</v>
          </cell>
          <cell r="L602">
            <v>0</v>
          </cell>
        </row>
        <row r="603">
          <cell r="B603">
            <v>1</v>
          </cell>
          <cell r="G603">
            <v>0</v>
          </cell>
          <cell r="I603">
            <v>0</v>
          </cell>
          <cell r="K603">
            <v>0</v>
          </cell>
          <cell r="L603">
            <v>0</v>
          </cell>
        </row>
        <row r="604">
          <cell r="B604">
            <v>1</v>
          </cell>
          <cell r="G604">
            <v>0</v>
          </cell>
          <cell r="I604">
            <v>0</v>
          </cell>
          <cell r="K604">
            <v>0</v>
          </cell>
          <cell r="L604">
            <v>0</v>
          </cell>
        </row>
        <row r="605">
          <cell r="B605">
            <v>1</v>
          </cell>
          <cell r="G605">
            <v>0</v>
          </cell>
          <cell r="I605">
            <v>0</v>
          </cell>
          <cell r="K605">
            <v>0</v>
          </cell>
          <cell r="L605">
            <v>0</v>
          </cell>
        </row>
        <row r="606">
          <cell r="B606">
            <v>1</v>
          </cell>
          <cell r="G606">
            <v>0</v>
          </cell>
          <cell r="I606">
            <v>0</v>
          </cell>
          <cell r="K606">
            <v>0</v>
          </cell>
          <cell r="L606">
            <v>0</v>
          </cell>
        </row>
        <row r="607">
          <cell r="B607">
            <v>1</v>
          </cell>
          <cell r="G607">
            <v>0</v>
          </cell>
          <cell r="I607">
            <v>0</v>
          </cell>
          <cell r="K607">
            <v>0</v>
          </cell>
          <cell r="L607">
            <v>0</v>
          </cell>
        </row>
        <row r="608">
          <cell r="A608">
            <v>2601</v>
          </cell>
          <cell r="B608">
            <v>1</v>
          </cell>
          <cell r="D608" t="str">
            <v>刺铁丝</v>
          </cell>
          <cell r="E608" t="str">
            <v>kg</v>
          </cell>
          <cell r="G608">
            <v>5.67</v>
          </cell>
          <cell r="H608">
            <v>5.5</v>
          </cell>
          <cell r="I608">
            <v>0.17</v>
          </cell>
          <cell r="K608" t="str">
            <v>kg</v>
          </cell>
          <cell r="L608">
            <v>5.67</v>
          </cell>
        </row>
        <row r="609">
          <cell r="A609">
            <v>2602</v>
          </cell>
          <cell r="B609">
            <v>1</v>
          </cell>
          <cell r="D609" t="str">
            <v>异型模板</v>
          </cell>
          <cell r="E609" t="str">
            <v>kg</v>
          </cell>
          <cell r="G609">
            <v>9.27</v>
          </cell>
          <cell r="H609">
            <v>9</v>
          </cell>
          <cell r="I609">
            <v>0.27</v>
          </cell>
          <cell r="K609" t="str">
            <v>kg</v>
          </cell>
          <cell r="L609">
            <v>9.27</v>
          </cell>
        </row>
        <row r="610">
          <cell r="A610">
            <v>2603</v>
          </cell>
          <cell r="B610">
            <v>1</v>
          </cell>
          <cell r="D610" t="str">
            <v>钢滑模</v>
          </cell>
          <cell r="E610" t="str">
            <v>kg</v>
          </cell>
          <cell r="G610">
            <v>6.18</v>
          </cell>
          <cell r="H610">
            <v>6</v>
          </cell>
          <cell r="I610">
            <v>0.18</v>
          </cell>
          <cell r="K610" t="str">
            <v>kg</v>
          </cell>
          <cell r="L610">
            <v>6.18</v>
          </cell>
        </row>
        <row r="611">
          <cell r="A611">
            <v>2604</v>
          </cell>
          <cell r="B611">
            <v>1</v>
          </cell>
          <cell r="D611" t="str">
            <v>定型补偿模板</v>
          </cell>
          <cell r="E611" t="str">
            <v>kg</v>
          </cell>
          <cell r="G611">
            <v>9.27</v>
          </cell>
          <cell r="H611">
            <v>9</v>
          </cell>
          <cell r="I611">
            <v>0.27</v>
          </cell>
          <cell r="K611" t="str">
            <v>kg</v>
          </cell>
          <cell r="L611">
            <v>9.27</v>
          </cell>
        </row>
        <row r="612">
          <cell r="A612">
            <v>2605</v>
          </cell>
          <cell r="B612">
            <v>1</v>
          </cell>
          <cell r="D612" t="str">
            <v>悬臂模板</v>
          </cell>
          <cell r="E612" t="str">
            <v>kg</v>
          </cell>
          <cell r="G612">
            <v>8.09</v>
          </cell>
          <cell r="H612">
            <v>7.85</v>
          </cell>
          <cell r="I612">
            <v>0.24</v>
          </cell>
          <cell r="K612" t="str">
            <v>kg</v>
          </cell>
          <cell r="L612">
            <v>8.09</v>
          </cell>
        </row>
        <row r="613">
          <cell r="A613">
            <v>2606</v>
          </cell>
          <cell r="B613">
            <v>1</v>
          </cell>
          <cell r="D613" t="str">
            <v>爬锥D26.5/M36</v>
          </cell>
          <cell r="E613" t="str">
            <v>个</v>
          </cell>
          <cell r="G613">
            <v>81.16</v>
          </cell>
          <cell r="H613">
            <v>78.8</v>
          </cell>
          <cell r="I613">
            <v>2.36</v>
          </cell>
          <cell r="K613" t="str">
            <v>个</v>
          </cell>
          <cell r="L613">
            <v>81.16</v>
          </cell>
        </row>
        <row r="614">
          <cell r="A614">
            <v>2607</v>
          </cell>
          <cell r="B614">
            <v>1</v>
          </cell>
          <cell r="D614" t="str">
            <v>受力螺栓M36/φ75</v>
          </cell>
          <cell r="E614" t="str">
            <v>个</v>
          </cell>
          <cell r="G614">
            <v>42.019999999999996</v>
          </cell>
          <cell r="H614">
            <v>40.799999999999997</v>
          </cell>
          <cell r="I614">
            <v>1.22</v>
          </cell>
          <cell r="K614" t="str">
            <v>个</v>
          </cell>
          <cell r="L614">
            <v>42.019999999999996</v>
          </cell>
        </row>
        <row r="615">
          <cell r="A615">
            <v>2608</v>
          </cell>
          <cell r="B615">
            <v>1</v>
          </cell>
          <cell r="D615" t="str">
            <v>定位螺栓M36X55</v>
          </cell>
          <cell r="E615" t="str">
            <v>个</v>
          </cell>
          <cell r="G615">
            <v>15.760000000000002</v>
          </cell>
          <cell r="H615">
            <v>15.3</v>
          </cell>
          <cell r="I615">
            <v>0.46</v>
          </cell>
          <cell r="K615" t="str">
            <v>个</v>
          </cell>
          <cell r="L615">
            <v>15.760000000000002</v>
          </cell>
        </row>
        <row r="616">
          <cell r="A616">
            <v>2609</v>
          </cell>
          <cell r="B616">
            <v>1</v>
          </cell>
          <cell r="D616" t="str">
            <v>卡环</v>
          </cell>
          <cell r="E616" t="str">
            <v>个</v>
          </cell>
          <cell r="G616">
            <v>50.21</v>
          </cell>
          <cell r="H616">
            <v>48.75</v>
          </cell>
          <cell r="I616">
            <v>1.46</v>
          </cell>
          <cell r="K616" t="str">
            <v>个</v>
          </cell>
          <cell r="L616">
            <v>50.21</v>
          </cell>
        </row>
        <row r="617">
          <cell r="A617">
            <v>2610</v>
          </cell>
          <cell r="B617">
            <v>1</v>
          </cell>
          <cell r="D617" t="str">
            <v>主背楞连接器</v>
          </cell>
          <cell r="E617" t="str">
            <v>套</v>
          </cell>
          <cell r="G617">
            <v>24.51</v>
          </cell>
          <cell r="H617">
            <v>23.8</v>
          </cell>
          <cell r="I617">
            <v>0.71</v>
          </cell>
          <cell r="K617" t="str">
            <v>套</v>
          </cell>
          <cell r="L617">
            <v>24.51</v>
          </cell>
        </row>
        <row r="618">
          <cell r="A618">
            <v>2611</v>
          </cell>
          <cell r="B618">
            <v>1</v>
          </cell>
          <cell r="D618" t="str">
            <v>埋件板</v>
          </cell>
          <cell r="E618" t="str">
            <v>个</v>
          </cell>
          <cell r="G618">
            <v>11.33</v>
          </cell>
          <cell r="H618">
            <v>11</v>
          </cell>
          <cell r="I618">
            <v>0.33</v>
          </cell>
          <cell r="K618" t="str">
            <v>个</v>
          </cell>
          <cell r="L618">
            <v>11.33</v>
          </cell>
        </row>
        <row r="619">
          <cell r="A619">
            <v>2612</v>
          </cell>
          <cell r="B619">
            <v>1</v>
          </cell>
          <cell r="D619" t="str">
            <v>高强螺杆D26.5</v>
          </cell>
          <cell r="E619" t="str">
            <v>根</v>
          </cell>
          <cell r="G619">
            <v>26.78</v>
          </cell>
          <cell r="H619">
            <v>26</v>
          </cell>
          <cell r="I619">
            <v>0.78</v>
          </cell>
          <cell r="K619" t="str">
            <v>根</v>
          </cell>
          <cell r="L619">
            <v>26.78</v>
          </cell>
        </row>
        <row r="620">
          <cell r="A620">
            <v>2613</v>
          </cell>
          <cell r="B620">
            <v>1</v>
          </cell>
          <cell r="D620" t="str">
            <v>预埋高强锚杆</v>
          </cell>
          <cell r="E620" t="str">
            <v>根</v>
          </cell>
          <cell r="G620">
            <v>16.79</v>
          </cell>
          <cell r="H620">
            <v>16.3</v>
          </cell>
          <cell r="I620">
            <v>0.49</v>
          </cell>
          <cell r="K620" t="str">
            <v>根</v>
          </cell>
          <cell r="L620">
            <v>16.79</v>
          </cell>
        </row>
        <row r="621">
          <cell r="A621">
            <v>2614</v>
          </cell>
          <cell r="B621">
            <v>1</v>
          </cell>
          <cell r="D621" t="str">
            <v>底梁</v>
          </cell>
          <cell r="E621" t="str">
            <v>件</v>
          </cell>
          <cell r="G621">
            <v>245.96</v>
          </cell>
          <cell r="H621">
            <v>238.8</v>
          </cell>
          <cell r="I621">
            <v>7.16</v>
          </cell>
          <cell r="K621" t="str">
            <v>件</v>
          </cell>
          <cell r="L621">
            <v>245.96</v>
          </cell>
        </row>
        <row r="622">
          <cell r="A622">
            <v>2615</v>
          </cell>
          <cell r="B622">
            <v>1</v>
          </cell>
          <cell r="D622" t="str">
            <v>小横梁</v>
          </cell>
          <cell r="E622" t="str">
            <v>件</v>
          </cell>
          <cell r="G622">
            <v>31.520000000000003</v>
          </cell>
          <cell r="H622">
            <v>30.6</v>
          </cell>
          <cell r="I622">
            <v>0.92</v>
          </cell>
          <cell r="K622" t="str">
            <v>件</v>
          </cell>
          <cell r="L622">
            <v>31.520000000000003</v>
          </cell>
        </row>
        <row r="623">
          <cell r="A623">
            <v>2616</v>
          </cell>
          <cell r="B623">
            <v>1</v>
          </cell>
          <cell r="D623" t="str">
            <v>螺干连接器</v>
          </cell>
          <cell r="E623" t="str">
            <v>套</v>
          </cell>
          <cell r="G623">
            <v>10.51</v>
          </cell>
          <cell r="H623">
            <v>10.199999999999999</v>
          </cell>
          <cell r="I623">
            <v>0.31</v>
          </cell>
          <cell r="K623" t="str">
            <v>套</v>
          </cell>
          <cell r="L623">
            <v>10.51</v>
          </cell>
        </row>
        <row r="624">
          <cell r="A624">
            <v>2617</v>
          </cell>
          <cell r="B624">
            <v>1</v>
          </cell>
          <cell r="D624" t="str">
            <v>蝶形螺母</v>
          </cell>
          <cell r="E624" t="str">
            <v>个</v>
          </cell>
          <cell r="G624">
            <v>7</v>
          </cell>
          <cell r="H624">
            <v>6.8</v>
          </cell>
          <cell r="I624">
            <v>0.2</v>
          </cell>
          <cell r="K624" t="str">
            <v>个</v>
          </cell>
          <cell r="L624">
            <v>7</v>
          </cell>
        </row>
        <row r="625">
          <cell r="A625">
            <v>2618</v>
          </cell>
          <cell r="B625">
            <v>1</v>
          </cell>
          <cell r="D625" t="str">
            <v>垫板100X100X10</v>
          </cell>
          <cell r="E625" t="str">
            <v>个</v>
          </cell>
          <cell r="G625">
            <v>8.0299999999999994</v>
          </cell>
          <cell r="H625">
            <v>7.8</v>
          </cell>
          <cell r="I625">
            <v>0.23</v>
          </cell>
          <cell r="K625" t="str">
            <v>个</v>
          </cell>
          <cell r="L625">
            <v>8.0299999999999994</v>
          </cell>
        </row>
        <row r="626">
          <cell r="A626">
            <v>2619</v>
          </cell>
          <cell r="B626">
            <v>1</v>
          </cell>
          <cell r="D626" t="str">
            <v>模板边框连接器</v>
          </cell>
          <cell r="E626" t="str">
            <v>个</v>
          </cell>
          <cell r="G626">
            <v>53.56</v>
          </cell>
          <cell r="H626">
            <v>52</v>
          </cell>
          <cell r="I626">
            <v>1.56</v>
          </cell>
          <cell r="K626" t="str">
            <v>个</v>
          </cell>
          <cell r="L626">
            <v>53.56</v>
          </cell>
        </row>
        <row r="627">
          <cell r="A627">
            <v>2620</v>
          </cell>
          <cell r="B627">
            <v>1</v>
          </cell>
          <cell r="D627" t="str">
            <v>十三合板</v>
          </cell>
          <cell r="E627" t="str">
            <v>m2</v>
          </cell>
          <cell r="G627">
            <v>154.5</v>
          </cell>
          <cell r="H627">
            <v>150</v>
          </cell>
          <cell r="I627">
            <v>4.5</v>
          </cell>
          <cell r="K627" t="str">
            <v>m2</v>
          </cell>
          <cell r="L627">
            <v>154.5</v>
          </cell>
        </row>
        <row r="628">
          <cell r="A628">
            <v>2621</v>
          </cell>
          <cell r="B628">
            <v>1</v>
          </cell>
          <cell r="D628" t="str">
            <v>四管拄</v>
          </cell>
          <cell r="E628" t="str">
            <v>kg</v>
          </cell>
          <cell r="G628">
            <v>5.97</v>
          </cell>
          <cell r="H628">
            <v>5.8</v>
          </cell>
          <cell r="I628">
            <v>0.17</v>
          </cell>
          <cell r="K628" t="str">
            <v>kg</v>
          </cell>
          <cell r="L628">
            <v>5.97</v>
          </cell>
        </row>
        <row r="629">
          <cell r="A629">
            <v>2622</v>
          </cell>
          <cell r="B629">
            <v>1</v>
          </cell>
          <cell r="D629" t="str">
            <v>脱模剂</v>
          </cell>
          <cell r="E629" t="str">
            <v>kg</v>
          </cell>
          <cell r="G629">
            <v>2.06</v>
          </cell>
          <cell r="H629">
            <v>2</v>
          </cell>
          <cell r="I629">
            <v>0.06</v>
          </cell>
          <cell r="K629" t="str">
            <v>kg</v>
          </cell>
          <cell r="L629">
            <v>2.06</v>
          </cell>
        </row>
        <row r="630">
          <cell r="A630">
            <v>2623</v>
          </cell>
          <cell r="B630">
            <v>1</v>
          </cell>
          <cell r="D630" t="str">
            <v>拉模</v>
          </cell>
          <cell r="E630" t="str">
            <v>kg</v>
          </cell>
          <cell r="G630">
            <v>6.18</v>
          </cell>
          <cell r="H630">
            <v>6</v>
          </cell>
          <cell r="I630">
            <v>0.18</v>
          </cell>
          <cell r="K630" t="str">
            <v>kg</v>
          </cell>
          <cell r="L630">
            <v>6.18</v>
          </cell>
        </row>
        <row r="631">
          <cell r="A631">
            <v>2624</v>
          </cell>
          <cell r="B631">
            <v>1</v>
          </cell>
          <cell r="D631" t="str">
            <v>钢模板</v>
          </cell>
          <cell r="E631" t="str">
            <v>kg</v>
          </cell>
          <cell r="G631">
            <v>4.7399999999999993</v>
          </cell>
          <cell r="H631">
            <v>4.5999999999999996</v>
          </cell>
          <cell r="I631">
            <v>0.14000000000000001</v>
          </cell>
          <cell r="K631" t="str">
            <v>kg</v>
          </cell>
          <cell r="L631">
            <v>4.7399999999999993</v>
          </cell>
        </row>
        <row r="632">
          <cell r="A632">
            <v>2625</v>
          </cell>
          <cell r="B632">
            <v>1</v>
          </cell>
          <cell r="D632" t="str">
            <v>铁件及预埋铁件</v>
          </cell>
          <cell r="E632" t="str">
            <v>kg</v>
          </cell>
          <cell r="G632">
            <v>5.77</v>
          </cell>
          <cell r="H632">
            <v>5.6</v>
          </cell>
          <cell r="I632">
            <v>0.17</v>
          </cell>
          <cell r="K632" t="str">
            <v>kg</v>
          </cell>
          <cell r="L632">
            <v>5.77</v>
          </cell>
        </row>
        <row r="633">
          <cell r="A633">
            <v>2626</v>
          </cell>
          <cell r="B633">
            <v>1</v>
          </cell>
          <cell r="D633" t="str">
            <v>组合钢模板</v>
          </cell>
          <cell r="E633" t="str">
            <v>kg</v>
          </cell>
          <cell r="G633">
            <v>3.5700000000000003</v>
          </cell>
          <cell r="H633">
            <v>3.47</v>
          </cell>
          <cell r="I633">
            <v>0.1</v>
          </cell>
          <cell r="K633" t="str">
            <v>kg</v>
          </cell>
          <cell r="L633">
            <v>3.5700000000000003</v>
          </cell>
        </row>
        <row r="634">
          <cell r="A634">
            <v>2627</v>
          </cell>
          <cell r="B634">
            <v>1</v>
          </cell>
          <cell r="D634" t="str">
            <v>钢模支架型钢</v>
          </cell>
          <cell r="E634" t="str">
            <v>kg</v>
          </cell>
          <cell r="G634">
            <v>5.34</v>
          </cell>
          <cell r="H634">
            <v>5.18</v>
          </cell>
          <cell r="I634">
            <v>0.16</v>
          </cell>
          <cell r="K634" t="str">
            <v>kg</v>
          </cell>
          <cell r="L634">
            <v>5.34</v>
          </cell>
        </row>
        <row r="635">
          <cell r="A635">
            <v>2628</v>
          </cell>
          <cell r="B635">
            <v>1</v>
          </cell>
          <cell r="D635" t="str">
            <v>卡扣件</v>
          </cell>
          <cell r="E635" t="str">
            <v>kg</v>
          </cell>
          <cell r="G635">
            <v>3.61</v>
          </cell>
          <cell r="H635">
            <v>3.5</v>
          </cell>
          <cell r="I635">
            <v>0.11</v>
          </cell>
          <cell r="K635" t="str">
            <v>kg</v>
          </cell>
          <cell r="L635">
            <v>3.61</v>
          </cell>
        </row>
        <row r="636">
          <cell r="A636">
            <v>2629</v>
          </cell>
          <cell r="B636">
            <v>1</v>
          </cell>
          <cell r="D636" t="str">
            <v>铁件</v>
          </cell>
          <cell r="E636" t="str">
            <v>kg</v>
          </cell>
          <cell r="G636">
            <v>3.61</v>
          </cell>
          <cell r="H636">
            <v>3.5</v>
          </cell>
          <cell r="I636">
            <v>0.11</v>
          </cell>
          <cell r="K636" t="str">
            <v>kg</v>
          </cell>
          <cell r="L636">
            <v>3.61</v>
          </cell>
        </row>
        <row r="637">
          <cell r="A637">
            <v>2630</v>
          </cell>
          <cell r="B637">
            <v>1</v>
          </cell>
          <cell r="D637" t="str">
            <v>预制砼柱</v>
          </cell>
          <cell r="E637" t="str">
            <v>m3</v>
          </cell>
          <cell r="G637">
            <v>463.5</v>
          </cell>
          <cell r="H637">
            <v>450</v>
          </cell>
          <cell r="I637">
            <v>13.5</v>
          </cell>
          <cell r="K637" t="str">
            <v>m3</v>
          </cell>
          <cell r="L637">
            <v>463.5</v>
          </cell>
        </row>
        <row r="638">
          <cell r="A638">
            <v>2631</v>
          </cell>
          <cell r="B638">
            <v>1</v>
          </cell>
          <cell r="G638">
            <v>0</v>
          </cell>
          <cell r="I638">
            <v>0</v>
          </cell>
          <cell r="K638">
            <v>0</v>
          </cell>
          <cell r="L638">
            <v>0</v>
          </cell>
        </row>
        <row r="639">
          <cell r="A639">
            <v>2632</v>
          </cell>
          <cell r="B639">
            <v>1</v>
          </cell>
          <cell r="G639">
            <v>0</v>
          </cell>
          <cell r="I639">
            <v>0</v>
          </cell>
          <cell r="K639">
            <v>0</v>
          </cell>
          <cell r="L639">
            <v>0</v>
          </cell>
        </row>
        <row r="640">
          <cell r="A640">
            <v>2633</v>
          </cell>
          <cell r="B640">
            <v>1</v>
          </cell>
          <cell r="G640">
            <v>0</v>
          </cell>
          <cell r="I640">
            <v>0</v>
          </cell>
          <cell r="K640">
            <v>0</v>
          </cell>
          <cell r="L640">
            <v>0</v>
          </cell>
        </row>
        <row r="641">
          <cell r="A641">
            <v>2634</v>
          </cell>
          <cell r="B641">
            <v>1</v>
          </cell>
          <cell r="G641">
            <v>0</v>
          </cell>
          <cell r="I641">
            <v>0</v>
          </cell>
          <cell r="K641">
            <v>0</v>
          </cell>
          <cell r="L641">
            <v>0</v>
          </cell>
        </row>
        <row r="642">
          <cell r="A642">
            <v>2635</v>
          </cell>
          <cell r="B642">
            <v>1</v>
          </cell>
          <cell r="G642">
            <v>0</v>
          </cell>
          <cell r="I642">
            <v>0</v>
          </cell>
          <cell r="K642">
            <v>0</v>
          </cell>
          <cell r="L642">
            <v>0</v>
          </cell>
        </row>
        <row r="643">
          <cell r="A643">
            <v>2636</v>
          </cell>
          <cell r="B643">
            <v>1</v>
          </cell>
          <cell r="G643">
            <v>0</v>
          </cell>
          <cell r="I643">
            <v>0</v>
          </cell>
          <cell r="K643">
            <v>0</v>
          </cell>
          <cell r="L643">
            <v>0</v>
          </cell>
        </row>
        <row r="644">
          <cell r="A644">
            <v>2637</v>
          </cell>
          <cell r="B644">
            <v>1</v>
          </cell>
          <cell r="G644">
            <v>0</v>
          </cell>
          <cell r="I644">
            <v>0</v>
          </cell>
          <cell r="K644">
            <v>0</v>
          </cell>
          <cell r="L644">
            <v>0</v>
          </cell>
        </row>
        <row r="645">
          <cell r="A645">
            <v>2638</v>
          </cell>
          <cell r="B645">
            <v>1</v>
          </cell>
          <cell r="G645">
            <v>0</v>
          </cell>
          <cell r="I645">
            <v>0</v>
          </cell>
          <cell r="K645">
            <v>0</v>
          </cell>
          <cell r="L645">
            <v>0</v>
          </cell>
        </row>
        <row r="646">
          <cell r="A646">
            <v>2639</v>
          </cell>
          <cell r="B646">
            <v>1</v>
          </cell>
          <cell r="G646">
            <v>0</v>
          </cell>
          <cell r="I646">
            <v>0</v>
          </cell>
          <cell r="K646">
            <v>0</v>
          </cell>
          <cell r="L646">
            <v>0</v>
          </cell>
        </row>
        <row r="647">
          <cell r="A647">
            <v>2640</v>
          </cell>
          <cell r="B647">
            <v>1</v>
          </cell>
          <cell r="G647">
            <v>0</v>
          </cell>
          <cell r="I647">
            <v>0</v>
          </cell>
          <cell r="K647">
            <v>0</v>
          </cell>
          <cell r="L647">
            <v>0</v>
          </cell>
        </row>
        <row r="648">
          <cell r="A648">
            <v>2641</v>
          </cell>
          <cell r="B648">
            <v>1</v>
          </cell>
          <cell r="G648">
            <v>0</v>
          </cell>
          <cell r="I648">
            <v>0</v>
          </cell>
          <cell r="K648">
            <v>0</v>
          </cell>
          <cell r="L648">
            <v>0</v>
          </cell>
        </row>
        <row r="649">
          <cell r="A649">
            <v>2642</v>
          </cell>
          <cell r="B649">
            <v>1</v>
          </cell>
          <cell r="G649">
            <v>0</v>
          </cell>
          <cell r="I649">
            <v>0</v>
          </cell>
          <cell r="K649">
            <v>0</v>
          </cell>
          <cell r="L649">
            <v>0</v>
          </cell>
        </row>
        <row r="650">
          <cell r="A650">
            <v>2643</v>
          </cell>
          <cell r="B650">
            <v>1</v>
          </cell>
          <cell r="G650">
            <v>0</v>
          </cell>
          <cell r="I650">
            <v>0</v>
          </cell>
          <cell r="K650">
            <v>0</v>
          </cell>
          <cell r="L650">
            <v>0</v>
          </cell>
        </row>
        <row r="651">
          <cell r="A651">
            <v>2644</v>
          </cell>
          <cell r="B651">
            <v>1</v>
          </cell>
          <cell r="G651">
            <v>0</v>
          </cell>
          <cell r="I651">
            <v>0</v>
          </cell>
          <cell r="K651">
            <v>0</v>
          </cell>
          <cell r="L651">
            <v>0</v>
          </cell>
        </row>
        <row r="652">
          <cell r="A652">
            <v>2645</v>
          </cell>
          <cell r="B652">
            <v>1</v>
          </cell>
          <cell r="G652">
            <v>0</v>
          </cell>
          <cell r="I652">
            <v>0</v>
          </cell>
          <cell r="K652">
            <v>0</v>
          </cell>
          <cell r="L652">
            <v>0</v>
          </cell>
        </row>
        <row r="653">
          <cell r="A653">
            <v>2646</v>
          </cell>
          <cell r="B653">
            <v>1</v>
          </cell>
          <cell r="G653">
            <v>0</v>
          </cell>
          <cell r="I653">
            <v>0</v>
          </cell>
          <cell r="K653">
            <v>0</v>
          </cell>
          <cell r="L653">
            <v>0</v>
          </cell>
        </row>
        <row r="654">
          <cell r="B654">
            <v>1</v>
          </cell>
          <cell r="G654">
            <v>0</v>
          </cell>
          <cell r="I654">
            <v>0</v>
          </cell>
          <cell r="K654">
            <v>0</v>
          </cell>
          <cell r="L654">
            <v>0</v>
          </cell>
        </row>
        <row r="655">
          <cell r="A655">
            <v>2701</v>
          </cell>
          <cell r="B655">
            <v>1</v>
          </cell>
          <cell r="D655" t="str">
            <v>电焊条J422</v>
          </cell>
          <cell r="E655" t="str">
            <v>kg</v>
          </cell>
          <cell r="G655">
            <v>4.12</v>
          </cell>
          <cell r="H655">
            <v>4</v>
          </cell>
          <cell r="I655">
            <v>0.12</v>
          </cell>
          <cell r="K655" t="str">
            <v>kg</v>
          </cell>
          <cell r="L655">
            <v>4.12</v>
          </cell>
        </row>
        <row r="656">
          <cell r="A656">
            <v>2702</v>
          </cell>
          <cell r="B656">
            <v>1</v>
          </cell>
          <cell r="D656" t="str">
            <v>电焊条 J507φ3.2</v>
          </cell>
          <cell r="E656" t="str">
            <v>kg</v>
          </cell>
          <cell r="G656">
            <v>6.49</v>
          </cell>
          <cell r="H656">
            <v>6.3</v>
          </cell>
          <cell r="I656">
            <v>0.19</v>
          </cell>
          <cell r="K656" t="str">
            <v>kg</v>
          </cell>
          <cell r="L656">
            <v>6.49</v>
          </cell>
        </row>
        <row r="657">
          <cell r="A657">
            <v>2703</v>
          </cell>
          <cell r="B657">
            <v>1</v>
          </cell>
          <cell r="D657" t="str">
            <v>电焊条 J507φ4</v>
          </cell>
          <cell r="E657" t="str">
            <v>kg</v>
          </cell>
          <cell r="G657">
            <v>6.49</v>
          </cell>
          <cell r="H657">
            <v>6.3</v>
          </cell>
          <cell r="I657">
            <v>0.19</v>
          </cell>
          <cell r="K657" t="str">
            <v>kg</v>
          </cell>
          <cell r="L657">
            <v>6.49</v>
          </cell>
        </row>
        <row r="658">
          <cell r="A658">
            <v>2704</v>
          </cell>
          <cell r="B658">
            <v>1</v>
          </cell>
          <cell r="D658" t="str">
            <v>电焊条 J506φ3.2</v>
          </cell>
          <cell r="E658" t="str">
            <v>kg</v>
          </cell>
          <cell r="G658">
            <v>6.49</v>
          </cell>
          <cell r="H658">
            <v>6.3</v>
          </cell>
          <cell r="I658">
            <v>0.19</v>
          </cell>
          <cell r="K658" t="str">
            <v>kg</v>
          </cell>
          <cell r="L658">
            <v>6.49</v>
          </cell>
        </row>
        <row r="659">
          <cell r="A659">
            <v>2705</v>
          </cell>
          <cell r="B659">
            <v>1</v>
          </cell>
          <cell r="D659" t="str">
            <v>电焊条 J506φ4</v>
          </cell>
          <cell r="E659" t="str">
            <v>kg</v>
          </cell>
          <cell r="G659">
            <v>6.49</v>
          </cell>
          <cell r="H659">
            <v>6.3</v>
          </cell>
          <cell r="I659">
            <v>0.19</v>
          </cell>
          <cell r="K659" t="str">
            <v>kg</v>
          </cell>
          <cell r="L659">
            <v>6.49</v>
          </cell>
        </row>
        <row r="660">
          <cell r="A660">
            <v>2706</v>
          </cell>
          <cell r="B660">
            <v>1</v>
          </cell>
          <cell r="D660" t="str">
            <v>不锈钢焊条</v>
          </cell>
          <cell r="E660" t="str">
            <v>kg</v>
          </cell>
          <cell r="G660">
            <v>62.4</v>
          </cell>
          <cell r="H660">
            <v>60.58</v>
          </cell>
          <cell r="I660">
            <v>1.82</v>
          </cell>
          <cell r="K660" t="str">
            <v>kg</v>
          </cell>
          <cell r="L660">
            <v>62.4</v>
          </cell>
        </row>
        <row r="661">
          <cell r="A661">
            <v>2707</v>
          </cell>
          <cell r="B661">
            <v>1</v>
          </cell>
          <cell r="D661" t="str">
            <v>塑料焊条</v>
          </cell>
          <cell r="E661" t="str">
            <v>kg</v>
          </cell>
          <cell r="G661">
            <v>8.76</v>
          </cell>
          <cell r="H661">
            <v>8.5</v>
          </cell>
          <cell r="I661">
            <v>0.26</v>
          </cell>
          <cell r="K661" t="str">
            <v>kg</v>
          </cell>
          <cell r="L661">
            <v>8.76</v>
          </cell>
        </row>
        <row r="662">
          <cell r="A662">
            <v>2708</v>
          </cell>
          <cell r="B662">
            <v>1</v>
          </cell>
          <cell r="D662" t="str">
            <v>铁钉</v>
          </cell>
          <cell r="E662" t="str">
            <v>kg</v>
          </cell>
          <cell r="G662">
            <v>4.58</v>
          </cell>
          <cell r="H662">
            <v>4.45</v>
          </cell>
          <cell r="I662">
            <v>0.13</v>
          </cell>
          <cell r="K662" t="str">
            <v>kg</v>
          </cell>
          <cell r="L662">
            <v>4.58</v>
          </cell>
        </row>
        <row r="663">
          <cell r="A663">
            <v>2709</v>
          </cell>
          <cell r="B663">
            <v>1</v>
          </cell>
          <cell r="D663" t="str">
            <v>铁丝</v>
          </cell>
          <cell r="E663" t="str">
            <v>kg</v>
          </cell>
          <cell r="G663">
            <v>3.9099999999999997</v>
          </cell>
          <cell r="H663">
            <v>3.8</v>
          </cell>
          <cell r="I663">
            <v>0.11</v>
          </cell>
          <cell r="K663" t="str">
            <v>kg</v>
          </cell>
          <cell r="L663">
            <v>3.9099999999999997</v>
          </cell>
        </row>
        <row r="664">
          <cell r="A664">
            <v>2710</v>
          </cell>
          <cell r="B664">
            <v>1</v>
          </cell>
          <cell r="D664" t="str">
            <v>木屑板</v>
          </cell>
          <cell r="E664" t="str">
            <v>m2</v>
          </cell>
          <cell r="G664">
            <v>25.49</v>
          </cell>
          <cell r="H664">
            <v>24.75</v>
          </cell>
          <cell r="I664">
            <v>0.74</v>
          </cell>
          <cell r="K664" t="str">
            <v>m2</v>
          </cell>
          <cell r="L664">
            <v>25.49</v>
          </cell>
        </row>
        <row r="665">
          <cell r="A665">
            <v>2711</v>
          </cell>
          <cell r="B665">
            <v>1</v>
          </cell>
          <cell r="D665" t="str">
            <v>快干腻子</v>
          </cell>
          <cell r="E665" t="str">
            <v>kg</v>
          </cell>
          <cell r="G665">
            <v>9.17</v>
          </cell>
          <cell r="H665">
            <v>8.9</v>
          </cell>
          <cell r="I665">
            <v>0.27</v>
          </cell>
          <cell r="K665" t="str">
            <v>kg</v>
          </cell>
          <cell r="L665">
            <v>9.17</v>
          </cell>
        </row>
        <row r="666">
          <cell r="A666">
            <v>2712</v>
          </cell>
          <cell r="B666">
            <v>1</v>
          </cell>
          <cell r="D666" t="str">
            <v>铜焊条</v>
          </cell>
          <cell r="E666" t="str">
            <v>kg</v>
          </cell>
          <cell r="G666">
            <v>41.2</v>
          </cell>
          <cell r="H666">
            <v>40</v>
          </cell>
          <cell r="I666">
            <v>1.2</v>
          </cell>
          <cell r="K666" t="str">
            <v>kg</v>
          </cell>
          <cell r="L666">
            <v>41.2</v>
          </cell>
        </row>
        <row r="667">
          <cell r="A667">
            <v>2713</v>
          </cell>
          <cell r="B667">
            <v>1</v>
          </cell>
          <cell r="D667" t="str">
            <v>不锈钢焊条</v>
          </cell>
          <cell r="E667" t="str">
            <v>kg</v>
          </cell>
          <cell r="G667">
            <v>62.4</v>
          </cell>
          <cell r="H667">
            <v>60.58</v>
          </cell>
          <cell r="I667">
            <v>1.82</v>
          </cell>
          <cell r="K667" t="str">
            <v>kg</v>
          </cell>
          <cell r="L667">
            <v>62.4</v>
          </cell>
        </row>
        <row r="668">
          <cell r="A668">
            <v>2714</v>
          </cell>
          <cell r="B668">
            <v>1</v>
          </cell>
          <cell r="D668" t="str">
            <v>高强钢焊条</v>
          </cell>
          <cell r="E668" t="str">
            <v>kg</v>
          </cell>
          <cell r="G668">
            <v>12.36</v>
          </cell>
          <cell r="H668">
            <v>12</v>
          </cell>
          <cell r="I668">
            <v>0.36</v>
          </cell>
          <cell r="K668" t="str">
            <v>kg</v>
          </cell>
          <cell r="L668">
            <v>12.36</v>
          </cell>
        </row>
        <row r="669">
          <cell r="A669">
            <v>2715</v>
          </cell>
          <cell r="B669">
            <v>1</v>
          </cell>
          <cell r="D669" t="str">
            <v>碳钢气焊条</v>
          </cell>
          <cell r="E669" t="str">
            <v>kg</v>
          </cell>
          <cell r="G669">
            <v>9.27</v>
          </cell>
          <cell r="H669">
            <v>9</v>
          </cell>
          <cell r="I669">
            <v>0.27</v>
          </cell>
          <cell r="K669" t="str">
            <v>kg</v>
          </cell>
          <cell r="L669">
            <v>9.27</v>
          </cell>
        </row>
        <row r="670">
          <cell r="A670">
            <v>2716</v>
          </cell>
          <cell r="B670">
            <v>1</v>
          </cell>
          <cell r="D670" t="str">
            <v>铜丝</v>
          </cell>
          <cell r="E670" t="str">
            <v>kg</v>
          </cell>
          <cell r="G670">
            <v>38.11</v>
          </cell>
          <cell r="H670">
            <v>37</v>
          </cell>
          <cell r="I670">
            <v>1.1100000000000001</v>
          </cell>
          <cell r="K670" t="str">
            <v>kg</v>
          </cell>
          <cell r="L670">
            <v>38.11</v>
          </cell>
        </row>
        <row r="671">
          <cell r="A671">
            <v>2717</v>
          </cell>
          <cell r="B671">
            <v>1</v>
          </cell>
          <cell r="D671" t="str">
            <v>焊锡</v>
          </cell>
          <cell r="E671" t="str">
            <v>kg</v>
          </cell>
          <cell r="G671">
            <v>41.2</v>
          </cell>
          <cell r="H671">
            <v>40</v>
          </cell>
          <cell r="I671">
            <v>1.2</v>
          </cell>
          <cell r="K671" t="str">
            <v>kg</v>
          </cell>
          <cell r="L671">
            <v>41.2</v>
          </cell>
        </row>
        <row r="672">
          <cell r="A672">
            <v>2718</v>
          </cell>
          <cell r="B672">
            <v>1</v>
          </cell>
          <cell r="D672" t="str">
            <v>焊锡膏</v>
          </cell>
          <cell r="E672" t="str">
            <v>kg</v>
          </cell>
          <cell r="G672">
            <v>36.049999999999997</v>
          </cell>
          <cell r="H672">
            <v>35</v>
          </cell>
          <cell r="I672">
            <v>1.05</v>
          </cell>
          <cell r="K672" t="str">
            <v>kg</v>
          </cell>
          <cell r="L672">
            <v>36.049999999999997</v>
          </cell>
        </row>
        <row r="673">
          <cell r="A673">
            <v>2719</v>
          </cell>
          <cell r="B673">
            <v>1</v>
          </cell>
          <cell r="D673" t="str">
            <v>电石</v>
          </cell>
          <cell r="E673" t="str">
            <v>kg</v>
          </cell>
          <cell r="G673">
            <v>2.88</v>
          </cell>
          <cell r="H673">
            <v>2.8</v>
          </cell>
          <cell r="I673">
            <v>0.08</v>
          </cell>
          <cell r="K673" t="str">
            <v>kg</v>
          </cell>
          <cell r="L673">
            <v>2.88</v>
          </cell>
        </row>
        <row r="674">
          <cell r="A674">
            <v>2720</v>
          </cell>
          <cell r="B674">
            <v>1</v>
          </cell>
          <cell r="D674" t="str">
            <v>氧气</v>
          </cell>
          <cell r="E674" t="str">
            <v>m3</v>
          </cell>
          <cell r="G674">
            <v>4.67</v>
          </cell>
          <cell r="H674">
            <v>4.53</v>
          </cell>
          <cell r="I674">
            <v>0.14000000000000001</v>
          </cell>
          <cell r="K674" t="str">
            <v>m3</v>
          </cell>
          <cell r="L674">
            <v>4.67</v>
          </cell>
        </row>
        <row r="675">
          <cell r="A675">
            <v>2721</v>
          </cell>
          <cell r="B675">
            <v>1</v>
          </cell>
          <cell r="D675" t="str">
            <v>乙炔气</v>
          </cell>
          <cell r="E675" t="str">
            <v>m3</v>
          </cell>
          <cell r="G675">
            <v>15.45</v>
          </cell>
          <cell r="H675">
            <v>15</v>
          </cell>
          <cell r="I675">
            <v>0.45</v>
          </cell>
          <cell r="K675" t="str">
            <v>m3</v>
          </cell>
          <cell r="L675">
            <v>15.45</v>
          </cell>
        </row>
        <row r="676">
          <cell r="A676">
            <v>2722</v>
          </cell>
          <cell r="B676">
            <v>1</v>
          </cell>
          <cell r="D676" t="str">
            <v>硼砂</v>
          </cell>
          <cell r="E676" t="str">
            <v>kg</v>
          </cell>
          <cell r="G676">
            <v>6.18</v>
          </cell>
          <cell r="H676">
            <v>6</v>
          </cell>
          <cell r="I676">
            <v>0.18</v>
          </cell>
          <cell r="K676" t="str">
            <v>kg</v>
          </cell>
          <cell r="L676">
            <v>6.18</v>
          </cell>
        </row>
        <row r="677">
          <cell r="A677">
            <v>2723</v>
          </cell>
          <cell r="B677">
            <v>1</v>
          </cell>
          <cell r="D677" t="str">
            <v>钢棒</v>
          </cell>
          <cell r="E677" t="str">
            <v>kg</v>
          </cell>
          <cell r="G677">
            <v>5.67</v>
          </cell>
          <cell r="H677">
            <v>5.5</v>
          </cell>
          <cell r="I677">
            <v>0.17</v>
          </cell>
          <cell r="K677" t="str">
            <v>kg</v>
          </cell>
          <cell r="L677">
            <v>5.67</v>
          </cell>
        </row>
        <row r="678">
          <cell r="A678">
            <v>2724</v>
          </cell>
          <cell r="B678">
            <v>1</v>
          </cell>
          <cell r="D678" t="str">
            <v>岩棉</v>
          </cell>
          <cell r="E678" t="str">
            <v>m3</v>
          </cell>
          <cell r="G678">
            <v>484.1</v>
          </cell>
          <cell r="H678">
            <v>470</v>
          </cell>
          <cell r="I678">
            <v>14.1</v>
          </cell>
          <cell r="K678" t="str">
            <v>m3</v>
          </cell>
          <cell r="L678">
            <v>484.1</v>
          </cell>
        </row>
        <row r="679">
          <cell r="A679">
            <v>2725</v>
          </cell>
          <cell r="B679">
            <v>1</v>
          </cell>
          <cell r="D679" t="str">
            <v>扒钉</v>
          </cell>
          <cell r="E679" t="str">
            <v>kg</v>
          </cell>
          <cell r="G679">
            <v>7.73</v>
          </cell>
          <cell r="H679">
            <v>7.5</v>
          </cell>
          <cell r="I679">
            <v>0.23</v>
          </cell>
          <cell r="K679" t="str">
            <v>kg</v>
          </cell>
          <cell r="L679">
            <v>7.73</v>
          </cell>
        </row>
        <row r="680">
          <cell r="A680">
            <v>2726</v>
          </cell>
          <cell r="B680">
            <v>1</v>
          </cell>
          <cell r="D680" t="str">
            <v>土工膜</v>
          </cell>
          <cell r="E680" t="str">
            <v>m2</v>
          </cell>
          <cell r="G680">
            <v>22.15</v>
          </cell>
          <cell r="H680">
            <v>21.5</v>
          </cell>
          <cell r="I680">
            <v>0.65</v>
          </cell>
          <cell r="K680" t="str">
            <v>m2</v>
          </cell>
          <cell r="L680">
            <v>22.15</v>
          </cell>
        </row>
        <row r="681">
          <cell r="A681">
            <v>2727</v>
          </cell>
          <cell r="B681">
            <v>1</v>
          </cell>
          <cell r="D681" t="str">
            <v>土工布防水卷材300g/m2，δ=0.8mm</v>
          </cell>
          <cell r="E681" t="str">
            <v>m2</v>
          </cell>
          <cell r="G681">
            <v>19.57</v>
          </cell>
          <cell r="H681">
            <v>19</v>
          </cell>
          <cell r="I681">
            <v>0.56999999999999995</v>
          </cell>
          <cell r="K681" t="str">
            <v>m2</v>
          </cell>
          <cell r="L681">
            <v>19.57</v>
          </cell>
        </row>
        <row r="682">
          <cell r="A682">
            <v>2728</v>
          </cell>
          <cell r="B682">
            <v>1</v>
          </cell>
          <cell r="D682" t="str">
            <v>土工布防水卷材300g/m2，δ=1mm</v>
          </cell>
          <cell r="E682" t="str">
            <v>m2</v>
          </cell>
          <cell r="G682">
            <v>21.63</v>
          </cell>
          <cell r="H682">
            <v>21</v>
          </cell>
          <cell r="I682">
            <v>0.63</v>
          </cell>
          <cell r="K682" t="str">
            <v>m2</v>
          </cell>
          <cell r="L682">
            <v>21.63</v>
          </cell>
        </row>
        <row r="683">
          <cell r="A683">
            <v>2729</v>
          </cell>
          <cell r="B683">
            <v>1</v>
          </cell>
          <cell r="D683" t="str">
            <v>土工布防水卷材350g/m2，δ=1mm</v>
          </cell>
          <cell r="E683" t="str">
            <v>m2</v>
          </cell>
          <cell r="G683">
            <v>22.66</v>
          </cell>
          <cell r="H683">
            <v>22</v>
          </cell>
          <cell r="I683">
            <v>0.66</v>
          </cell>
          <cell r="K683" t="str">
            <v>m2</v>
          </cell>
          <cell r="L683">
            <v>22.66</v>
          </cell>
        </row>
        <row r="684">
          <cell r="A684">
            <v>2730</v>
          </cell>
          <cell r="B684">
            <v>1</v>
          </cell>
          <cell r="D684" t="str">
            <v>土工布防水卷材350g/m2，δ=1.2mm</v>
          </cell>
          <cell r="E684" t="str">
            <v>m2</v>
          </cell>
          <cell r="G684">
            <v>24.72</v>
          </cell>
          <cell r="H684">
            <v>24</v>
          </cell>
          <cell r="I684">
            <v>0.72</v>
          </cell>
          <cell r="K684" t="str">
            <v>m2</v>
          </cell>
          <cell r="L684">
            <v>24.72</v>
          </cell>
        </row>
        <row r="685">
          <cell r="A685">
            <v>2731</v>
          </cell>
          <cell r="B685">
            <v>1</v>
          </cell>
          <cell r="D685" t="str">
            <v>土工布防水卷材400g/m2，δ=1.2mm</v>
          </cell>
          <cell r="E685" t="str">
            <v>m2</v>
          </cell>
          <cell r="G685">
            <v>25.75</v>
          </cell>
          <cell r="H685">
            <v>25</v>
          </cell>
          <cell r="I685">
            <v>0.75</v>
          </cell>
          <cell r="K685" t="str">
            <v>m2</v>
          </cell>
          <cell r="L685">
            <v>25.75</v>
          </cell>
        </row>
        <row r="686">
          <cell r="A686">
            <v>2732</v>
          </cell>
          <cell r="B686">
            <v>1</v>
          </cell>
          <cell r="D686" t="str">
            <v>土工布防水卷材250g/m2，δ=0.8mm</v>
          </cell>
          <cell r="E686" t="str">
            <v>m2</v>
          </cell>
          <cell r="G686">
            <v>18.54</v>
          </cell>
          <cell r="H686">
            <v>18</v>
          </cell>
          <cell r="I686">
            <v>0.54</v>
          </cell>
          <cell r="K686" t="str">
            <v>m2</v>
          </cell>
          <cell r="L686">
            <v>18.54</v>
          </cell>
        </row>
        <row r="687">
          <cell r="A687">
            <v>2733</v>
          </cell>
          <cell r="B687">
            <v>1</v>
          </cell>
          <cell r="D687" t="str">
            <v>土工布200g/m2</v>
          </cell>
          <cell r="E687" t="str">
            <v>m2</v>
          </cell>
          <cell r="G687">
            <v>3.61</v>
          </cell>
          <cell r="H687">
            <v>3.5</v>
          </cell>
          <cell r="I687">
            <v>0.11</v>
          </cell>
          <cell r="K687" t="str">
            <v>m2</v>
          </cell>
          <cell r="L687">
            <v>3.61</v>
          </cell>
        </row>
        <row r="688">
          <cell r="A688">
            <v>2734</v>
          </cell>
          <cell r="B688">
            <v>1</v>
          </cell>
          <cell r="D688" t="str">
            <v>土工布250g/m2</v>
          </cell>
          <cell r="E688" t="str">
            <v>m2</v>
          </cell>
          <cell r="G688">
            <v>4.6399999999999997</v>
          </cell>
          <cell r="H688">
            <v>4.5</v>
          </cell>
          <cell r="I688">
            <v>0.14000000000000001</v>
          </cell>
          <cell r="K688" t="str">
            <v>m2</v>
          </cell>
          <cell r="L688">
            <v>4.6399999999999997</v>
          </cell>
        </row>
        <row r="689">
          <cell r="A689">
            <v>2735</v>
          </cell>
          <cell r="B689">
            <v>1</v>
          </cell>
          <cell r="D689" t="str">
            <v>土工布300g/m2</v>
          </cell>
          <cell r="E689" t="str">
            <v>m2</v>
          </cell>
          <cell r="G689">
            <v>5.67</v>
          </cell>
          <cell r="H689">
            <v>5.5</v>
          </cell>
          <cell r="I689">
            <v>0.17</v>
          </cell>
          <cell r="K689" t="str">
            <v>m2</v>
          </cell>
          <cell r="L689">
            <v>5.67</v>
          </cell>
        </row>
        <row r="690">
          <cell r="A690">
            <v>2736</v>
          </cell>
          <cell r="B690">
            <v>1</v>
          </cell>
          <cell r="D690" t="str">
            <v>土工布350g/m2</v>
          </cell>
          <cell r="E690" t="str">
            <v>m2</v>
          </cell>
          <cell r="G690">
            <v>6.7</v>
          </cell>
          <cell r="H690">
            <v>6.5</v>
          </cell>
          <cell r="I690">
            <v>0.2</v>
          </cell>
          <cell r="K690" t="str">
            <v>m2</v>
          </cell>
          <cell r="L690">
            <v>6.7</v>
          </cell>
        </row>
        <row r="691">
          <cell r="A691">
            <v>2737</v>
          </cell>
          <cell r="B691">
            <v>1</v>
          </cell>
          <cell r="D691" t="str">
            <v>土工布400g/m2</v>
          </cell>
          <cell r="E691" t="str">
            <v>m2</v>
          </cell>
          <cell r="G691">
            <v>7.42</v>
          </cell>
          <cell r="H691">
            <v>7.2</v>
          </cell>
          <cell r="I691">
            <v>0.22</v>
          </cell>
          <cell r="K691" t="str">
            <v>m2</v>
          </cell>
          <cell r="L691">
            <v>7.42</v>
          </cell>
        </row>
        <row r="692">
          <cell r="A692">
            <v>2738</v>
          </cell>
          <cell r="B692">
            <v>1</v>
          </cell>
          <cell r="D692" t="str">
            <v>土工布500g/m2</v>
          </cell>
          <cell r="E692" t="str">
            <v>m2</v>
          </cell>
          <cell r="G692">
            <v>8.76</v>
          </cell>
          <cell r="H692">
            <v>8.5</v>
          </cell>
          <cell r="I692">
            <v>0.26</v>
          </cell>
          <cell r="K692" t="str">
            <v>m2</v>
          </cell>
          <cell r="L692">
            <v>8.76</v>
          </cell>
        </row>
        <row r="693">
          <cell r="A693">
            <v>2739</v>
          </cell>
          <cell r="B693">
            <v>1</v>
          </cell>
          <cell r="D693" t="str">
            <v>镀锌铁皮</v>
          </cell>
          <cell r="E693" t="str">
            <v>kg</v>
          </cell>
          <cell r="G693">
            <v>7.73</v>
          </cell>
          <cell r="H693">
            <v>7.5</v>
          </cell>
          <cell r="I693">
            <v>0.23</v>
          </cell>
          <cell r="K693" t="str">
            <v>kg</v>
          </cell>
          <cell r="L693">
            <v>7.73</v>
          </cell>
        </row>
        <row r="694">
          <cell r="A694">
            <v>2740</v>
          </cell>
          <cell r="B694">
            <v>1</v>
          </cell>
          <cell r="D694" t="str">
            <v>黑铁皮 δ=1.50</v>
          </cell>
          <cell r="E694" t="str">
            <v>kg</v>
          </cell>
          <cell r="G694">
            <v>4.42</v>
          </cell>
          <cell r="H694">
            <v>4.29</v>
          </cell>
          <cell r="I694">
            <v>0.13</v>
          </cell>
          <cell r="K694" t="str">
            <v>kg</v>
          </cell>
          <cell r="L694">
            <v>4.42</v>
          </cell>
        </row>
        <row r="695">
          <cell r="A695">
            <v>2741</v>
          </cell>
          <cell r="B695">
            <v>1</v>
          </cell>
          <cell r="D695" t="str">
            <v xml:space="preserve">紫铜片 </v>
          </cell>
          <cell r="E695" t="str">
            <v>kg</v>
          </cell>
          <cell r="G695">
            <v>38.630000000000003</v>
          </cell>
          <cell r="H695">
            <v>37.5</v>
          </cell>
          <cell r="I695">
            <v>1.1299999999999999</v>
          </cell>
          <cell r="K695" t="str">
            <v>kg</v>
          </cell>
          <cell r="L695">
            <v>38.630000000000003</v>
          </cell>
        </row>
        <row r="696">
          <cell r="A696">
            <v>2742</v>
          </cell>
          <cell r="B696">
            <v>1</v>
          </cell>
          <cell r="D696" t="str">
            <v>紫铜片 δ2.00</v>
          </cell>
          <cell r="E696" t="str">
            <v>kg</v>
          </cell>
          <cell r="G696">
            <v>38.630000000000003</v>
          </cell>
          <cell r="H696">
            <v>37.5</v>
          </cell>
          <cell r="I696">
            <v>1.1299999999999999</v>
          </cell>
          <cell r="K696" t="str">
            <v>kg</v>
          </cell>
          <cell r="L696">
            <v>38.630000000000003</v>
          </cell>
        </row>
        <row r="697">
          <cell r="A697">
            <v>2743</v>
          </cell>
          <cell r="B697">
            <v>1</v>
          </cell>
          <cell r="D697" t="str">
            <v>紫铜片 δ=1.0*700mm</v>
          </cell>
          <cell r="E697" t="str">
            <v>kg</v>
          </cell>
          <cell r="G697">
            <v>38.630000000000003</v>
          </cell>
          <cell r="H697">
            <v>37.5</v>
          </cell>
          <cell r="I697">
            <v>1.1299999999999999</v>
          </cell>
          <cell r="K697" t="str">
            <v>kg</v>
          </cell>
          <cell r="L697">
            <v>38.630000000000003</v>
          </cell>
        </row>
        <row r="698">
          <cell r="A698">
            <v>2744</v>
          </cell>
          <cell r="B698">
            <v>1</v>
          </cell>
          <cell r="D698" t="str">
            <v>BW-2止水条</v>
          </cell>
          <cell r="E698" t="str">
            <v>m</v>
          </cell>
          <cell r="G698">
            <v>53.56</v>
          </cell>
          <cell r="H698">
            <v>52</v>
          </cell>
          <cell r="I698">
            <v>1.56</v>
          </cell>
          <cell r="K698" t="str">
            <v>m</v>
          </cell>
          <cell r="L698">
            <v>53.56</v>
          </cell>
        </row>
        <row r="699">
          <cell r="A699">
            <v>2745</v>
          </cell>
          <cell r="B699">
            <v>1</v>
          </cell>
          <cell r="D699" t="str">
            <v>塑料止水δ=2cm，B=50cm</v>
          </cell>
          <cell r="E699" t="str">
            <v>kg</v>
          </cell>
          <cell r="G699">
            <v>14.11</v>
          </cell>
          <cell r="H699">
            <v>13.7</v>
          </cell>
          <cell r="I699">
            <v>0.41</v>
          </cell>
          <cell r="K699" t="str">
            <v>kg</v>
          </cell>
          <cell r="L699">
            <v>14.11</v>
          </cell>
        </row>
        <row r="700">
          <cell r="A700" t="str">
            <v>2745a</v>
          </cell>
          <cell r="B700">
            <v>1</v>
          </cell>
          <cell r="D700" t="str">
            <v>塑料止水651</v>
          </cell>
          <cell r="E700" t="str">
            <v>m</v>
          </cell>
          <cell r="G700">
            <v>56.65</v>
          </cell>
          <cell r="H700">
            <v>55</v>
          </cell>
          <cell r="I700">
            <v>1.65</v>
          </cell>
          <cell r="K700" t="str">
            <v>m</v>
          </cell>
          <cell r="L700">
            <v>56.65</v>
          </cell>
        </row>
        <row r="701">
          <cell r="A701">
            <v>2746</v>
          </cell>
          <cell r="B701">
            <v>1</v>
          </cell>
          <cell r="D701" t="str">
            <v>橡胶止水651</v>
          </cell>
          <cell r="E701" t="str">
            <v>m</v>
          </cell>
          <cell r="G701">
            <v>72.099999999999994</v>
          </cell>
          <cell r="H701">
            <v>70</v>
          </cell>
          <cell r="I701">
            <v>2.1</v>
          </cell>
          <cell r="K701" t="str">
            <v>m</v>
          </cell>
          <cell r="L701">
            <v>72.099999999999994</v>
          </cell>
        </row>
        <row r="702">
          <cell r="A702">
            <v>2747</v>
          </cell>
          <cell r="B702">
            <v>1</v>
          </cell>
          <cell r="D702" t="str">
            <v>橡胶止水δ=2cm，B=50cm</v>
          </cell>
          <cell r="E702" t="str">
            <v>kg</v>
          </cell>
          <cell r="G702">
            <v>13.91</v>
          </cell>
          <cell r="H702">
            <v>13.5</v>
          </cell>
          <cell r="I702">
            <v>0.41</v>
          </cell>
          <cell r="K702" t="str">
            <v>kg</v>
          </cell>
          <cell r="L702">
            <v>13.91</v>
          </cell>
        </row>
        <row r="703">
          <cell r="A703">
            <v>2748</v>
          </cell>
          <cell r="B703">
            <v>1</v>
          </cell>
          <cell r="D703" t="str">
            <v>RW93型橡胶止水</v>
          </cell>
          <cell r="E703" t="str">
            <v>kg</v>
          </cell>
          <cell r="G703">
            <v>13.91</v>
          </cell>
          <cell r="H703">
            <v>13.5</v>
          </cell>
          <cell r="I703">
            <v>0.41</v>
          </cell>
          <cell r="K703" t="str">
            <v>kg</v>
          </cell>
          <cell r="L703">
            <v>13.91</v>
          </cell>
        </row>
        <row r="704">
          <cell r="A704">
            <v>2749</v>
          </cell>
          <cell r="B704">
            <v>1</v>
          </cell>
          <cell r="D704" t="str">
            <v>SR-2塑性填料</v>
          </cell>
          <cell r="E704" t="str">
            <v>m3</v>
          </cell>
          <cell r="G704">
            <v>12720.5</v>
          </cell>
          <cell r="H704">
            <v>12350</v>
          </cell>
          <cell r="I704">
            <v>370.5</v>
          </cell>
          <cell r="K704" t="str">
            <v>m3</v>
          </cell>
          <cell r="L704">
            <v>12720.5</v>
          </cell>
        </row>
        <row r="705">
          <cell r="A705">
            <v>2750</v>
          </cell>
          <cell r="B705">
            <v>1</v>
          </cell>
          <cell r="D705" t="str">
            <v>PVC遮盖布    55×3mm</v>
          </cell>
          <cell r="E705" t="str">
            <v>m</v>
          </cell>
          <cell r="G705">
            <v>44.29</v>
          </cell>
          <cell r="H705">
            <v>43</v>
          </cell>
          <cell r="I705">
            <v>1.29</v>
          </cell>
          <cell r="K705" t="str">
            <v>m</v>
          </cell>
          <cell r="L705">
            <v>44.29</v>
          </cell>
        </row>
        <row r="706">
          <cell r="A706">
            <v>2751</v>
          </cell>
          <cell r="B706">
            <v>1</v>
          </cell>
          <cell r="D706" t="str">
            <v>PVC遮盖片  b=40cmδ=6mm</v>
          </cell>
          <cell r="E706" t="str">
            <v>m2</v>
          </cell>
          <cell r="G706">
            <v>51.5</v>
          </cell>
          <cell r="H706">
            <v>50</v>
          </cell>
          <cell r="I706">
            <v>1.5</v>
          </cell>
          <cell r="K706" t="str">
            <v>m2</v>
          </cell>
          <cell r="L706">
            <v>51.5</v>
          </cell>
        </row>
        <row r="707">
          <cell r="A707">
            <v>2752</v>
          </cell>
          <cell r="B707">
            <v>1</v>
          </cell>
          <cell r="D707" t="str">
            <v>PVC遮盖片  b=70cmδ=6mm</v>
          </cell>
          <cell r="E707" t="str">
            <v>m2</v>
          </cell>
          <cell r="G707">
            <v>90.64</v>
          </cell>
          <cell r="H707">
            <v>88</v>
          </cell>
          <cell r="I707">
            <v>2.64</v>
          </cell>
          <cell r="K707" t="str">
            <v>m2</v>
          </cell>
          <cell r="L707">
            <v>90.64</v>
          </cell>
        </row>
        <row r="708">
          <cell r="A708">
            <v>2753</v>
          </cell>
          <cell r="B708">
            <v>1</v>
          </cell>
          <cell r="D708" t="str">
            <v>遮阳铝板   b=100cm</v>
          </cell>
          <cell r="E708" t="str">
            <v>m2</v>
          </cell>
          <cell r="G708">
            <v>77.25</v>
          </cell>
          <cell r="H708">
            <v>75</v>
          </cell>
          <cell r="I708">
            <v>2.25</v>
          </cell>
          <cell r="K708" t="str">
            <v>m2</v>
          </cell>
          <cell r="L708">
            <v>77.25</v>
          </cell>
        </row>
        <row r="709">
          <cell r="A709">
            <v>2754</v>
          </cell>
          <cell r="B709">
            <v>1</v>
          </cell>
          <cell r="D709" t="str">
            <v>SR防渗盖片δ=6mm</v>
          </cell>
          <cell r="E709" t="str">
            <v>m2</v>
          </cell>
          <cell r="G709">
            <v>103</v>
          </cell>
          <cell r="H709">
            <v>100</v>
          </cell>
          <cell r="I709">
            <v>3</v>
          </cell>
          <cell r="K709" t="str">
            <v>m2</v>
          </cell>
          <cell r="L709">
            <v>103</v>
          </cell>
        </row>
        <row r="710">
          <cell r="A710">
            <v>2755</v>
          </cell>
          <cell r="B710">
            <v>1</v>
          </cell>
          <cell r="D710" t="str">
            <v>聚氯乙烯垫片δ=6mm，b=40cm</v>
          </cell>
          <cell r="E710" t="str">
            <v>m</v>
          </cell>
          <cell r="G710">
            <v>51.5</v>
          </cell>
          <cell r="H710">
            <v>50</v>
          </cell>
          <cell r="I710">
            <v>1.5</v>
          </cell>
          <cell r="K710" t="str">
            <v>m</v>
          </cell>
          <cell r="L710">
            <v>51.5</v>
          </cell>
        </row>
        <row r="711">
          <cell r="A711">
            <v>2756</v>
          </cell>
          <cell r="B711">
            <v>1</v>
          </cell>
          <cell r="D711" t="str">
            <v>橡胶片500*6mm</v>
          </cell>
          <cell r="E711" t="str">
            <v>m</v>
          </cell>
          <cell r="G711">
            <v>51.5</v>
          </cell>
          <cell r="H711">
            <v>50</v>
          </cell>
          <cell r="I711">
            <v>1.5</v>
          </cell>
          <cell r="K711" t="str">
            <v>m</v>
          </cell>
          <cell r="L711">
            <v>51.5</v>
          </cell>
        </row>
        <row r="712">
          <cell r="A712">
            <v>2757</v>
          </cell>
          <cell r="B712">
            <v>1</v>
          </cell>
          <cell r="D712" t="str">
            <v>橡胶片250*6mm</v>
          </cell>
          <cell r="E712" t="str">
            <v>m</v>
          </cell>
          <cell r="G712">
            <v>25.75</v>
          </cell>
          <cell r="H712">
            <v>25</v>
          </cell>
          <cell r="I712">
            <v>0.75</v>
          </cell>
          <cell r="K712" t="str">
            <v>m</v>
          </cell>
          <cell r="L712">
            <v>25.75</v>
          </cell>
        </row>
        <row r="713">
          <cell r="A713">
            <v>2758</v>
          </cell>
          <cell r="B713">
            <v>1</v>
          </cell>
          <cell r="D713" t="str">
            <v>橡胶棒φ12</v>
          </cell>
          <cell r="E713" t="str">
            <v>m</v>
          </cell>
          <cell r="G713">
            <v>3.09</v>
          </cell>
          <cell r="H713">
            <v>3</v>
          </cell>
          <cell r="I713">
            <v>0.09</v>
          </cell>
          <cell r="K713" t="str">
            <v>m</v>
          </cell>
          <cell r="L713">
            <v>3.09</v>
          </cell>
        </row>
        <row r="714">
          <cell r="A714">
            <v>2759</v>
          </cell>
          <cell r="B714">
            <v>1</v>
          </cell>
          <cell r="D714" t="str">
            <v>橡胶棒φ25</v>
          </cell>
          <cell r="E714" t="str">
            <v>m</v>
          </cell>
          <cell r="G714">
            <v>52.51</v>
          </cell>
          <cell r="H714">
            <v>50.98</v>
          </cell>
          <cell r="I714">
            <v>1.53</v>
          </cell>
          <cell r="K714" t="str">
            <v>m</v>
          </cell>
          <cell r="L714">
            <v>52.51</v>
          </cell>
        </row>
        <row r="715">
          <cell r="A715">
            <v>2760</v>
          </cell>
          <cell r="B715">
            <v>1</v>
          </cell>
          <cell r="D715" t="str">
            <v>橡胶棒φ50</v>
          </cell>
          <cell r="E715" t="str">
            <v>m</v>
          </cell>
          <cell r="G715">
            <v>105.01</v>
          </cell>
          <cell r="H715">
            <v>101.95</v>
          </cell>
          <cell r="I715">
            <v>3.06</v>
          </cell>
          <cell r="K715" t="str">
            <v>m</v>
          </cell>
          <cell r="L715">
            <v>105.01</v>
          </cell>
        </row>
        <row r="716">
          <cell r="A716">
            <v>2761</v>
          </cell>
          <cell r="B716">
            <v>1</v>
          </cell>
          <cell r="D716" t="str">
            <v>橡胶棒φ120</v>
          </cell>
          <cell r="E716" t="str">
            <v>m</v>
          </cell>
          <cell r="G716">
            <v>46.35</v>
          </cell>
          <cell r="H716">
            <v>45</v>
          </cell>
          <cell r="I716">
            <v>1.35</v>
          </cell>
          <cell r="K716" t="str">
            <v>m</v>
          </cell>
          <cell r="L716">
            <v>46.35</v>
          </cell>
        </row>
        <row r="717">
          <cell r="A717">
            <v>2762</v>
          </cell>
          <cell r="B717">
            <v>1</v>
          </cell>
          <cell r="D717" t="str">
            <v>聚乙烯泡沫塑料</v>
          </cell>
          <cell r="E717" t="str">
            <v>m3</v>
          </cell>
          <cell r="G717">
            <v>329.6</v>
          </cell>
          <cell r="H717">
            <v>320</v>
          </cell>
          <cell r="I717">
            <v>9.6</v>
          </cell>
          <cell r="K717" t="str">
            <v>m3</v>
          </cell>
          <cell r="L717">
            <v>329.6</v>
          </cell>
        </row>
        <row r="718">
          <cell r="A718">
            <v>2763</v>
          </cell>
          <cell r="B718">
            <v>1</v>
          </cell>
          <cell r="D718" t="str">
            <v>泡沫塑料50*12mm</v>
          </cell>
          <cell r="E718" t="str">
            <v>m</v>
          </cell>
          <cell r="G718">
            <v>20.6</v>
          </cell>
          <cell r="H718">
            <v>20</v>
          </cell>
          <cell r="I718">
            <v>0.6</v>
          </cell>
          <cell r="K718" t="str">
            <v>m</v>
          </cell>
          <cell r="L718">
            <v>20.6</v>
          </cell>
        </row>
        <row r="719">
          <cell r="A719">
            <v>2764</v>
          </cell>
          <cell r="B719">
            <v>1</v>
          </cell>
          <cell r="D719" t="str">
            <v>氩气</v>
          </cell>
          <cell r="E719" t="str">
            <v>kg</v>
          </cell>
          <cell r="G719">
            <v>15.45</v>
          </cell>
          <cell r="H719">
            <v>15</v>
          </cell>
          <cell r="I719">
            <v>0.45</v>
          </cell>
          <cell r="K719" t="str">
            <v>kg</v>
          </cell>
          <cell r="L719">
            <v>15.45</v>
          </cell>
        </row>
        <row r="720">
          <cell r="A720">
            <v>2765</v>
          </cell>
          <cell r="B720">
            <v>1</v>
          </cell>
          <cell r="D720" t="str">
            <v>二氧化碳气体</v>
          </cell>
          <cell r="E720" t="str">
            <v>kg</v>
          </cell>
          <cell r="G720">
            <v>1.57</v>
          </cell>
          <cell r="H720">
            <v>1.52</v>
          </cell>
          <cell r="I720">
            <v>0.05</v>
          </cell>
          <cell r="K720" t="str">
            <v>kg</v>
          </cell>
          <cell r="L720">
            <v>1.57</v>
          </cell>
        </row>
        <row r="721">
          <cell r="A721">
            <v>2766</v>
          </cell>
          <cell r="B721">
            <v>1</v>
          </cell>
          <cell r="D721" t="str">
            <v>碳棒</v>
          </cell>
          <cell r="E721" t="str">
            <v>根</v>
          </cell>
          <cell r="G721">
            <v>2.6</v>
          </cell>
          <cell r="H721">
            <v>2.52</v>
          </cell>
          <cell r="I721">
            <v>0.08</v>
          </cell>
          <cell r="K721" t="str">
            <v>根</v>
          </cell>
          <cell r="L721">
            <v>2.6</v>
          </cell>
        </row>
        <row r="722">
          <cell r="A722">
            <v>2767</v>
          </cell>
          <cell r="B722">
            <v>1</v>
          </cell>
          <cell r="D722" t="str">
            <v>60kg级高强钢焊条</v>
          </cell>
          <cell r="E722" t="str">
            <v>kg</v>
          </cell>
          <cell r="G722">
            <v>22.15</v>
          </cell>
          <cell r="H722">
            <v>21.5</v>
          </cell>
          <cell r="I722">
            <v>0.65</v>
          </cell>
          <cell r="K722" t="str">
            <v>kg</v>
          </cell>
          <cell r="L722">
            <v>22.15</v>
          </cell>
        </row>
        <row r="723">
          <cell r="A723">
            <v>2768</v>
          </cell>
          <cell r="B723">
            <v>1</v>
          </cell>
          <cell r="D723" t="str">
            <v>60kg级高强钢焊丝</v>
          </cell>
          <cell r="E723" t="str">
            <v>kg</v>
          </cell>
          <cell r="G723">
            <v>17.610000000000003</v>
          </cell>
          <cell r="H723">
            <v>17.100000000000001</v>
          </cell>
          <cell r="I723">
            <v>0.51</v>
          </cell>
          <cell r="K723" t="str">
            <v>kg</v>
          </cell>
          <cell r="L723">
            <v>17.610000000000003</v>
          </cell>
        </row>
        <row r="724">
          <cell r="A724">
            <v>2769</v>
          </cell>
          <cell r="B724">
            <v>1</v>
          </cell>
          <cell r="D724" t="str">
            <v>80kg级高强钢焊条</v>
          </cell>
          <cell r="E724" t="str">
            <v>kg</v>
          </cell>
          <cell r="G724">
            <v>24.21</v>
          </cell>
          <cell r="H724">
            <v>23.5</v>
          </cell>
          <cell r="I724">
            <v>0.71</v>
          </cell>
          <cell r="K724" t="str">
            <v>kg</v>
          </cell>
          <cell r="L724">
            <v>24.21</v>
          </cell>
        </row>
        <row r="725">
          <cell r="A725">
            <v>2770</v>
          </cell>
          <cell r="B725">
            <v>1</v>
          </cell>
          <cell r="D725" t="str">
            <v>50kg级焊丝</v>
          </cell>
          <cell r="E725" t="str">
            <v>kg</v>
          </cell>
          <cell r="G725">
            <v>7.21</v>
          </cell>
          <cell r="H725">
            <v>7</v>
          </cell>
          <cell r="I725">
            <v>0.21</v>
          </cell>
          <cell r="K725" t="str">
            <v>kg</v>
          </cell>
          <cell r="L725">
            <v>7.21</v>
          </cell>
        </row>
        <row r="726">
          <cell r="A726">
            <v>2771</v>
          </cell>
          <cell r="B726">
            <v>1</v>
          </cell>
          <cell r="D726" t="str">
            <v>50kg级焊条</v>
          </cell>
          <cell r="E726" t="str">
            <v>kg</v>
          </cell>
          <cell r="G726">
            <v>6.2799999999999994</v>
          </cell>
          <cell r="H726">
            <v>6.1</v>
          </cell>
          <cell r="I726">
            <v>0.18</v>
          </cell>
          <cell r="K726" t="str">
            <v>kg</v>
          </cell>
          <cell r="L726">
            <v>6.2799999999999994</v>
          </cell>
        </row>
        <row r="727">
          <cell r="A727">
            <v>2772</v>
          </cell>
          <cell r="B727">
            <v>1</v>
          </cell>
          <cell r="D727" t="str">
            <v>超声波探伤</v>
          </cell>
          <cell r="E727" t="str">
            <v>m</v>
          </cell>
          <cell r="G727">
            <v>23.68</v>
          </cell>
          <cell r="H727">
            <v>22.99</v>
          </cell>
          <cell r="I727">
            <v>0.69</v>
          </cell>
          <cell r="K727" t="str">
            <v>m</v>
          </cell>
          <cell r="L727">
            <v>23.68</v>
          </cell>
        </row>
        <row r="728">
          <cell r="A728">
            <v>2773</v>
          </cell>
          <cell r="B728">
            <v>1</v>
          </cell>
          <cell r="D728" t="str">
            <v>射线探伤</v>
          </cell>
          <cell r="E728" t="str">
            <v>张</v>
          </cell>
          <cell r="G728">
            <v>92</v>
          </cell>
          <cell r="H728">
            <v>89.32</v>
          </cell>
          <cell r="I728">
            <v>2.68</v>
          </cell>
          <cell r="K728" t="str">
            <v>张</v>
          </cell>
          <cell r="L728">
            <v>92</v>
          </cell>
        </row>
        <row r="729">
          <cell r="A729">
            <v>2774</v>
          </cell>
          <cell r="B729">
            <v>1</v>
          </cell>
          <cell r="D729" t="str">
            <v>着色探伤</v>
          </cell>
          <cell r="E729" t="str">
            <v>m</v>
          </cell>
          <cell r="G729">
            <v>35.020000000000003</v>
          </cell>
          <cell r="H729">
            <v>34</v>
          </cell>
          <cell r="I729">
            <v>1.02</v>
          </cell>
          <cell r="K729" t="str">
            <v>m</v>
          </cell>
          <cell r="L729">
            <v>35.020000000000003</v>
          </cell>
        </row>
        <row r="730">
          <cell r="A730">
            <v>2775</v>
          </cell>
          <cell r="B730">
            <v>1</v>
          </cell>
          <cell r="D730" t="str">
            <v>环氧富锌底漆</v>
          </cell>
          <cell r="E730" t="str">
            <v>kg</v>
          </cell>
          <cell r="G730">
            <v>23.18</v>
          </cell>
          <cell r="H730">
            <v>22.5</v>
          </cell>
          <cell r="I730">
            <v>0.68</v>
          </cell>
          <cell r="K730" t="str">
            <v>kg</v>
          </cell>
          <cell r="L730">
            <v>23.18</v>
          </cell>
        </row>
        <row r="731">
          <cell r="A731">
            <v>2776</v>
          </cell>
          <cell r="B731">
            <v>1</v>
          </cell>
          <cell r="D731" t="str">
            <v>厚浆型环氧沥青漆</v>
          </cell>
          <cell r="E731" t="str">
            <v>kg</v>
          </cell>
          <cell r="G731">
            <v>22.66</v>
          </cell>
          <cell r="H731">
            <v>22</v>
          </cell>
          <cell r="I731">
            <v>0.66</v>
          </cell>
          <cell r="K731" t="str">
            <v>kg</v>
          </cell>
          <cell r="L731">
            <v>22.66</v>
          </cell>
        </row>
        <row r="732">
          <cell r="A732">
            <v>2777</v>
          </cell>
          <cell r="B732">
            <v>1</v>
          </cell>
          <cell r="D732" t="str">
            <v>水泥浆添加剂</v>
          </cell>
          <cell r="E732" t="str">
            <v>kg</v>
          </cell>
          <cell r="G732">
            <v>21.42</v>
          </cell>
          <cell r="H732">
            <v>20.8</v>
          </cell>
          <cell r="I732">
            <v>0.62</v>
          </cell>
          <cell r="K732" t="str">
            <v>kg</v>
          </cell>
          <cell r="L732">
            <v>21.42</v>
          </cell>
        </row>
        <row r="733">
          <cell r="A733">
            <v>2778</v>
          </cell>
          <cell r="B733">
            <v>1</v>
          </cell>
          <cell r="D733" t="str">
            <v>爆破消应</v>
          </cell>
          <cell r="E733" t="str">
            <v>m</v>
          </cell>
          <cell r="G733">
            <v>405.54</v>
          </cell>
          <cell r="H733">
            <v>393.73</v>
          </cell>
          <cell r="I733">
            <v>11.81</v>
          </cell>
          <cell r="K733" t="str">
            <v>m</v>
          </cell>
          <cell r="L733">
            <v>405.54</v>
          </cell>
        </row>
        <row r="734">
          <cell r="A734">
            <v>2779</v>
          </cell>
          <cell r="B734">
            <v>1</v>
          </cell>
          <cell r="D734" t="str">
            <v>钢丝绳</v>
          </cell>
          <cell r="E734" t="str">
            <v>kg</v>
          </cell>
          <cell r="G734">
            <v>8.24</v>
          </cell>
          <cell r="H734">
            <v>8</v>
          </cell>
          <cell r="I734">
            <v>0.24</v>
          </cell>
          <cell r="K734" t="str">
            <v>kg</v>
          </cell>
          <cell r="L734">
            <v>8.24</v>
          </cell>
        </row>
        <row r="735">
          <cell r="A735">
            <v>2780</v>
          </cell>
          <cell r="B735">
            <v>1</v>
          </cell>
          <cell r="D735" t="str">
            <v>滑块</v>
          </cell>
          <cell r="E735" t="str">
            <v>kg</v>
          </cell>
          <cell r="G735">
            <v>41.2</v>
          </cell>
          <cell r="H735">
            <v>40</v>
          </cell>
          <cell r="I735">
            <v>1.2</v>
          </cell>
          <cell r="K735" t="str">
            <v>kg</v>
          </cell>
          <cell r="L735">
            <v>41.2</v>
          </cell>
        </row>
        <row r="736">
          <cell r="A736">
            <v>2781</v>
          </cell>
          <cell r="B736">
            <v>1</v>
          </cell>
          <cell r="D736" t="str">
            <v>彩条布</v>
          </cell>
          <cell r="E736" t="str">
            <v>m2</v>
          </cell>
          <cell r="G736">
            <v>1.3900000000000001</v>
          </cell>
          <cell r="H736">
            <v>1.35</v>
          </cell>
          <cell r="I736">
            <v>0.04</v>
          </cell>
          <cell r="K736" t="str">
            <v>m2</v>
          </cell>
          <cell r="L736">
            <v>1.3900000000000001</v>
          </cell>
        </row>
        <row r="737">
          <cell r="A737">
            <v>2782</v>
          </cell>
          <cell r="B737">
            <v>1</v>
          </cell>
          <cell r="D737" t="str">
            <v>泡沫塑料</v>
          </cell>
          <cell r="E737" t="str">
            <v>m2</v>
          </cell>
          <cell r="G737">
            <v>41.2</v>
          </cell>
          <cell r="H737">
            <v>40</v>
          </cell>
          <cell r="I737">
            <v>1.2</v>
          </cell>
          <cell r="K737" t="str">
            <v>m2</v>
          </cell>
          <cell r="L737">
            <v>41.2</v>
          </cell>
        </row>
        <row r="738">
          <cell r="A738">
            <v>2783</v>
          </cell>
          <cell r="B738">
            <v>1</v>
          </cell>
          <cell r="D738" t="str">
            <v>厚1cm泡沫板</v>
          </cell>
          <cell r="E738" t="str">
            <v>m2</v>
          </cell>
          <cell r="G738">
            <v>19.57</v>
          </cell>
          <cell r="H738">
            <v>19</v>
          </cell>
          <cell r="I738">
            <v>0.56999999999999995</v>
          </cell>
          <cell r="K738" t="str">
            <v>m2</v>
          </cell>
          <cell r="L738">
            <v>19.57</v>
          </cell>
        </row>
        <row r="739">
          <cell r="A739">
            <v>2784</v>
          </cell>
          <cell r="B739">
            <v>1</v>
          </cell>
          <cell r="D739" t="str">
            <v>厚2cm泡沫板</v>
          </cell>
          <cell r="E739" t="str">
            <v>m2</v>
          </cell>
          <cell r="G739">
            <v>25.75</v>
          </cell>
          <cell r="H739">
            <v>25</v>
          </cell>
          <cell r="I739">
            <v>0.75</v>
          </cell>
          <cell r="K739" t="str">
            <v>m2</v>
          </cell>
          <cell r="L739">
            <v>25.75</v>
          </cell>
        </row>
        <row r="740">
          <cell r="A740">
            <v>2785</v>
          </cell>
          <cell r="B740">
            <v>1</v>
          </cell>
          <cell r="D740" t="str">
            <v>石膏板</v>
          </cell>
          <cell r="E740" t="str">
            <v>m2</v>
          </cell>
          <cell r="G740">
            <v>28.84</v>
          </cell>
          <cell r="H740">
            <v>28</v>
          </cell>
          <cell r="I740">
            <v>0.84</v>
          </cell>
          <cell r="K740" t="str">
            <v>m2</v>
          </cell>
          <cell r="L740">
            <v>28.84</v>
          </cell>
        </row>
        <row r="741">
          <cell r="A741">
            <v>2786</v>
          </cell>
          <cell r="B741">
            <v>1</v>
          </cell>
          <cell r="D741" t="str">
            <v>轻钢龙骨75*50</v>
          </cell>
          <cell r="E741" t="str">
            <v>m</v>
          </cell>
          <cell r="G741">
            <v>12.54</v>
          </cell>
          <cell r="H741">
            <v>12.17</v>
          </cell>
          <cell r="I741">
            <v>0.37</v>
          </cell>
          <cell r="K741" t="str">
            <v>m</v>
          </cell>
          <cell r="L741">
            <v>12.54</v>
          </cell>
        </row>
        <row r="742">
          <cell r="A742">
            <v>2787</v>
          </cell>
          <cell r="B742">
            <v>1</v>
          </cell>
          <cell r="D742" t="str">
            <v>轻钢龙骨75*40</v>
          </cell>
          <cell r="E742" t="str">
            <v>m</v>
          </cell>
          <cell r="G742">
            <v>10.39</v>
          </cell>
          <cell r="H742">
            <v>10.09</v>
          </cell>
          <cell r="I742">
            <v>0.3</v>
          </cell>
          <cell r="K742" t="str">
            <v>m</v>
          </cell>
          <cell r="L742">
            <v>10.39</v>
          </cell>
        </row>
        <row r="743">
          <cell r="A743">
            <v>2788</v>
          </cell>
          <cell r="B743">
            <v>1</v>
          </cell>
          <cell r="D743" t="str">
            <v>自攻螺丝</v>
          </cell>
          <cell r="E743" t="str">
            <v>百个</v>
          </cell>
          <cell r="G743">
            <v>2.3699999999999997</v>
          </cell>
          <cell r="H743">
            <v>2.2999999999999998</v>
          </cell>
          <cell r="I743">
            <v>7.0000000000000007E-2</v>
          </cell>
          <cell r="K743" t="str">
            <v>百个</v>
          </cell>
          <cell r="L743">
            <v>2.3699999999999997</v>
          </cell>
        </row>
        <row r="744">
          <cell r="A744">
            <v>2789</v>
          </cell>
          <cell r="B744">
            <v>1</v>
          </cell>
          <cell r="D744" t="str">
            <v>木压条15*40</v>
          </cell>
          <cell r="E744" t="str">
            <v>m</v>
          </cell>
          <cell r="G744">
            <v>1.85</v>
          </cell>
          <cell r="H744">
            <v>1.8</v>
          </cell>
          <cell r="I744">
            <v>0.05</v>
          </cell>
          <cell r="K744" t="str">
            <v>m</v>
          </cell>
          <cell r="L744">
            <v>1.85</v>
          </cell>
        </row>
        <row r="745">
          <cell r="A745">
            <v>2790</v>
          </cell>
          <cell r="B745">
            <v>1</v>
          </cell>
          <cell r="G745">
            <v>0</v>
          </cell>
          <cell r="I745">
            <v>0</v>
          </cell>
          <cell r="K745">
            <v>0</v>
          </cell>
          <cell r="L745">
            <v>0</v>
          </cell>
        </row>
        <row r="746">
          <cell r="A746">
            <v>2791</v>
          </cell>
          <cell r="B746">
            <v>1</v>
          </cell>
          <cell r="G746">
            <v>0</v>
          </cell>
          <cell r="I746">
            <v>0</v>
          </cell>
          <cell r="K746">
            <v>0</v>
          </cell>
          <cell r="L746">
            <v>0</v>
          </cell>
        </row>
        <row r="747">
          <cell r="A747">
            <v>2792</v>
          </cell>
          <cell r="B747">
            <v>1</v>
          </cell>
          <cell r="G747">
            <v>0</v>
          </cell>
          <cell r="I747">
            <v>0</v>
          </cell>
          <cell r="K747">
            <v>0</v>
          </cell>
          <cell r="L747">
            <v>0</v>
          </cell>
        </row>
        <row r="748">
          <cell r="A748">
            <v>2793</v>
          </cell>
          <cell r="B748">
            <v>1</v>
          </cell>
          <cell r="G748">
            <v>0</v>
          </cell>
          <cell r="I748">
            <v>0</v>
          </cell>
          <cell r="K748">
            <v>0</v>
          </cell>
          <cell r="L748">
            <v>0</v>
          </cell>
        </row>
        <row r="749">
          <cell r="A749">
            <v>2794</v>
          </cell>
          <cell r="B749">
            <v>1</v>
          </cell>
          <cell r="G749">
            <v>0</v>
          </cell>
          <cell r="I749">
            <v>0</v>
          </cell>
          <cell r="K749">
            <v>0</v>
          </cell>
          <cell r="L749">
            <v>0</v>
          </cell>
        </row>
        <row r="750">
          <cell r="A750">
            <v>2795</v>
          </cell>
          <cell r="B750">
            <v>1</v>
          </cell>
          <cell r="G750">
            <v>0</v>
          </cell>
          <cell r="I750">
            <v>0</v>
          </cell>
          <cell r="K750">
            <v>0</v>
          </cell>
          <cell r="L750">
            <v>0</v>
          </cell>
        </row>
        <row r="751">
          <cell r="A751">
            <v>2800</v>
          </cell>
          <cell r="B751">
            <v>1</v>
          </cell>
          <cell r="D751" t="str">
            <v>通讯电缆</v>
          </cell>
          <cell r="E751" t="str">
            <v>m</v>
          </cell>
          <cell r="G751">
            <v>12.36</v>
          </cell>
          <cell r="H751">
            <v>12</v>
          </cell>
          <cell r="I751">
            <v>0.36</v>
          </cell>
          <cell r="K751" t="str">
            <v>m</v>
          </cell>
          <cell r="L751">
            <v>12.36</v>
          </cell>
        </row>
        <row r="752">
          <cell r="A752">
            <v>2801</v>
          </cell>
          <cell r="B752">
            <v>1</v>
          </cell>
          <cell r="D752" t="str">
            <v>木电杆</v>
          </cell>
          <cell r="E752" t="str">
            <v>根</v>
          </cell>
          <cell r="G752">
            <v>309</v>
          </cell>
          <cell r="H752">
            <v>300</v>
          </cell>
          <cell r="I752">
            <v>9</v>
          </cell>
          <cell r="K752" t="str">
            <v>根</v>
          </cell>
          <cell r="L752">
            <v>309</v>
          </cell>
        </row>
        <row r="753">
          <cell r="A753">
            <v>2802</v>
          </cell>
          <cell r="B753">
            <v>1</v>
          </cell>
          <cell r="D753" t="str">
            <v>钢电线杆  9m</v>
          </cell>
          <cell r="E753" t="str">
            <v>根</v>
          </cell>
          <cell r="G753">
            <v>463.5</v>
          </cell>
          <cell r="H753">
            <v>450</v>
          </cell>
          <cell r="I753">
            <v>13.5</v>
          </cell>
          <cell r="K753" t="str">
            <v>根</v>
          </cell>
          <cell r="L753">
            <v>463.5</v>
          </cell>
        </row>
        <row r="754">
          <cell r="A754">
            <v>2803</v>
          </cell>
          <cell r="B754">
            <v>1</v>
          </cell>
          <cell r="D754" t="str">
            <v>砼电线杆  6.5m</v>
          </cell>
          <cell r="E754" t="str">
            <v>根</v>
          </cell>
          <cell r="G754">
            <v>360.5</v>
          </cell>
          <cell r="H754">
            <v>350</v>
          </cell>
          <cell r="I754">
            <v>10.5</v>
          </cell>
          <cell r="K754" t="str">
            <v>根</v>
          </cell>
          <cell r="L754">
            <v>360.5</v>
          </cell>
        </row>
        <row r="755">
          <cell r="A755">
            <v>2804</v>
          </cell>
          <cell r="B755">
            <v>1</v>
          </cell>
          <cell r="D755" t="str">
            <v>砼电线杆  8.5m</v>
          </cell>
          <cell r="E755" t="str">
            <v>根</v>
          </cell>
          <cell r="G755">
            <v>432.6</v>
          </cell>
          <cell r="H755">
            <v>420</v>
          </cell>
          <cell r="I755">
            <v>12.6</v>
          </cell>
          <cell r="K755" t="str">
            <v>根</v>
          </cell>
          <cell r="L755">
            <v>432.6</v>
          </cell>
        </row>
        <row r="756">
          <cell r="A756">
            <v>2805</v>
          </cell>
          <cell r="B756">
            <v>1</v>
          </cell>
          <cell r="D756" t="str">
            <v>砼电线杆   φ190*10m</v>
          </cell>
          <cell r="E756" t="str">
            <v>根</v>
          </cell>
          <cell r="G756">
            <v>1040.3</v>
          </cell>
          <cell r="H756">
            <v>1010</v>
          </cell>
          <cell r="I756">
            <v>30.3</v>
          </cell>
          <cell r="K756" t="str">
            <v>根</v>
          </cell>
          <cell r="L756">
            <v>1040.3</v>
          </cell>
        </row>
        <row r="757">
          <cell r="A757">
            <v>2806</v>
          </cell>
          <cell r="B757">
            <v>1</v>
          </cell>
          <cell r="D757" t="str">
            <v>砼电线杆   φ190*12m</v>
          </cell>
          <cell r="E757" t="str">
            <v>根</v>
          </cell>
          <cell r="G757">
            <v>1380.2</v>
          </cell>
          <cell r="H757">
            <v>1340</v>
          </cell>
          <cell r="I757">
            <v>40.200000000000003</v>
          </cell>
          <cell r="K757" t="str">
            <v>根</v>
          </cell>
          <cell r="L757">
            <v>1380.2</v>
          </cell>
        </row>
        <row r="758">
          <cell r="A758">
            <v>2807</v>
          </cell>
          <cell r="B758">
            <v>1</v>
          </cell>
          <cell r="D758" t="str">
            <v>砼电线杆   φ190*13m</v>
          </cell>
          <cell r="E758" t="str">
            <v>根</v>
          </cell>
          <cell r="G758">
            <v>1339</v>
          </cell>
          <cell r="H758">
            <v>1300</v>
          </cell>
          <cell r="I758">
            <v>39</v>
          </cell>
          <cell r="K758" t="str">
            <v>根</v>
          </cell>
          <cell r="L758">
            <v>1339</v>
          </cell>
        </row>
        <row r="759">
          <cell r="A759">
            <v>2810</v>
          </cell>
          <cell r="B759">
            <v>1</v>
          </cell>
          <cell r="D759" t="str">
            <v>导线BVV-2.5</v>
          </cell>
          <cell r="E759" t="str">
            <v>m</v>
          </cell>
          <cell r="G759">
            <v>1.1300000000000001</v>
          </cell>
          <cell r="H759">
            <v>1.1000000000000001</v>
          </cell>
          <cell r="I759">
            <v>0.03</v>
          </cell>
          <cell r="K759" t="str">
            <v>m</v>
          </cell>
          <cell r="L759">
            <v>1.1300000000000001</v>
          </cell>
        </row>
        <row r="760">
          <cell r="A760">
            <v>2809</v>
          </cell>
          <cell r="B760">
            <v>1</v>
          </cell>
          <cell r="D760" t="str">
            <v>导线BVV-4</v>
          </cell>
          <cell r="E760" t="str">
            <v>m</v>
          </cell>
          <cell r="G760">
            <v>1.6500000000000001</v>
          </cell>
          <cell r="H760">
            <v>1.6</v>
          </cell>
          <cell r="I760">
            <v>0.05</v>
          </cell>
          <cell r="K760" t="str">
            <v>m</v>
          </cell>
          <cell r="L760">
            <v>1.6500000000000001</v>
          </cell>
        </row>
        <row r="761">
          <cell r="A761">
            <v>2808</v>
          </cell>
          <cell r="B761">
            <v>1</v>
          </cell>
          <cell r="D761" t="str">
            <v>导线BVV-6</v>
          </cell>
          <cell r="E761" t="str">
            <v>m</v>
          </cell>
          <cell r="G761">
            <v>2.27</v>
          </cell>
          <cell r="H761">
            <v>2.2000000000000002</v>
          </cell>
          <cell r="I761">
            <v>7.0000000000000007E-2</v>
          </cell>
          <cell r="K761" t="str">
            <v>m</v>
          </cell>
          <cell r="L761">
            <v>2.27</v>
          </cell>
        </row>
        <row r="762">
          <cell r="A762">
            <v>2809</v>
          </cell>
          <cell r="B762">
            <v>1</v>
          </cell>
          <cell r="D762" t="str">
            <v>导线BVV-10</v>
          </cell>
          <cell r="E762" t="str">
            <v>m</v>
          </cell>
          <cell r="G762">
            <v>4.43</v>
          </cell>
          <cell r="H762">
            <v>4.3</v>
          </cell>
          <cell r="I762">
            <v>0.13</v>
          </cell>
          <cell r="K762" t="str">
            <v>m</v>
          </cell>
          <cell r="L762">
            <v>4.43</v>
          </cell>
        </row>
        <row r="763">
          <cell r="A763">
            <v>2808</v>
          </cell>
          <cell r="B763">
            <v>1</v>
          </cell>
          <cell r="D763" t="str">
            <v>导线BVV-16</v>
          </cell>
          <cell r="E763" t="str">
            <v>m</v>
          </cell>
          <cell r="G763">
            <v>5.87</v>
          </cell>
          <cell r="H763">
            <v>5.7</v>
          </cell>
          <cell r="I763">
            <v>0.17</v>
          </cell>
          <cell r="K763" t="str">
            <v>m</v>
          </cell>
          <cell r="L763">
            <v>5.87</v>
          </cell>
        </row>
        <row r="764">
          <cell r="A764">
            <v>2811</v>
          </cell>
          <cell r="B764">
            <v>1</v>
          </cell>
          <cell r="D764" t="str">
            <v>低压电缆ZRVV3X150+1X95</v>
          </cell>
          <cell r="E764" t="str">
            <v>km</v>
          </cell>
          <cell r="G764">
            <v>85490</v>
          </cell>
          <cell r="H764">
            <v>83000</v>
          </cell>
          <cell r="I764">
            <v>2490</v>
          </cell>
          <cell r="K764" t="str">
            <v>km</v>
          </cell>
          <cell r="L764">
            <v>85490</v>
          </cell>
        </row>
        <row r="765">
          <cell r="A765">
            <v>2812</v>
          </cell>
          <cell r="B765">
            <v>1</v>
          </cell>
          <cell r="D765" t="str">
            <v>低压电缆ZRVV3X25+1X16</v>
          </cell>
          <cell r="E765" t="str">
            <v>km</v>
          </cell>
          <cell r="G765">
            <v>36359</v>
          </cell>
          <cell r="H765">
            <v>35300</v>
          </cell>
          <cell r="I765">
            <v>1059</v>
          </cell>
          <cell r="K765" t="str">
            <v>km</v>
          </cell>
          <cell r="L765">
            <v>36359</v>
          </cell>
        </row>
        <row r="766">
          <cell r="A766">
            <v>2813</v>
          </cell>
          <cell r="B766">
            <v>1</v>
          </cell>
          <cell r="D766" t="str">
            <v>低压电缆ZRVV3X4+1X2.5</v>
          </cell>
          <cell r="E766" t="str">
            <v>km</v>
          </cell>
          <cell r="G766">
            <v>8507.7999999999993</v>
          </cell>
          <cell r="H766">
            <v>8260</v>
          </cell>
          <cell r="I766">
            <v>247.8</v>
          </cell>
          <cell r="K766" t="str">
            <v>km</v>
          </cell>
          <cell r="L766">
            <v>8507.7999999999993</v>
          </cell>
        </row>
        <row r="767">
          <cell r="A767">
            <v>2814</v>
          </cell>
          <cell r="B767">
            <v>1</v>
          </cell>
          <cell r="D767" t="str">
            <v>铜芯绝缘线BV-500V-6MM2</v>
          </cell>
          <cell r="E767" t="str">
            <v>km</v>
          </cell>
          <cell r="G767">
            <v>248.07</v>
          </cell>
          <cell r="H767">
            <v>240.84</v>
          </cell>
          <cell r="I767">
            <v>7.23</v>
          </cell>
          <cell r="K767" t="str">
            <v>km</v>
          </cell>
          <cell r="L767">
            <v>248.07</v>
          </cell>
        </row>
        <row r="768">
          <cell r="A768">
            <v>2815</v>
          </cell>
          <cell r="B768">
            <v>1</v>
          </cell>
          <cell r="D768" t="str">
            <v>铜芯绝缘线BV-500V-2.5MM2</v>
          </cell>
          <cell r="E768" t="str">
            <v>km</v>
          </cell>
          <cell r="G768">
            <v>112.58</v>
          </cell>
          <cell r="H768">
            <v>109.3</v>
          </cell>
          <cell r="I768">
            <v>3.28</v>
          </cell>
          <cell r="K768" t="str">
            <v>km</v>
          </cell>
          <cell r="L768">
            <v>112.58</v>
          </cell>
        </row>
        <row r="769">
          <cell r="A769">
            <v>2816</v>
          </cell>
          <cell r="B769">
            <v>1</v>
          </cell>
          <cell r="D769" t="str">
            <v>铝芯橡皮线BLX-4MM2</v>
          </cell>
          <cell r="E769" t="str">
            <v>m</v>
          </cell>
          <cell r="G769">
            <v>0.59</v>
          </cell>
          <cell r="H769">
            <v>0.56999999999999995</v>
          </cell>
          <cell r="I769">
            <v>0.02</v>
          </cell>
          <cell r="K769" t="str">
            <v>m</v>
          </cell>
          <cell r="L769">
            <v>0.59</v>
          </cell>
        </row>
        <row r="770">
          <cell r="A770" t="str">
            <v>2816a</v>
          </cell>
          <cell r="B770">
            <v>1</v>
          </cell>
          <cell r="D770" t="str">
            <v>铝芯橡皮线BLX-6MM2</v>
          </cell>
          <cell r="E770" t="str">
            <v>m</v>
          </cell>
          <cell r="G770">
            <v>0.75</v>
          </cell>
          <cell r="H770">
            <v>0.73</v>
          </cell>
          <cell r="I770">
            <v>0.02</v>
          </cell>
          <cell r="K770" t="str">
            <v>m</v>
          </cell>
          <cell r="L770">
            <v>0.75</v>
          </cell>
        </row>
        <row r="771">
          <cell r="A771" t="str">
            <v>2816b</v>
          </cell>
          <cell r="B771">
            <v>1</v>
          </cell>
          <cell r="D771" t="str">
            <v>铝芯橡皮线BLX-10MM2</v>
          </cell>
          <cell r="E771" t="str">
            <v>m</v>
          </cell>
          <cell r="G771">
            <v>1.1200000000000001</v>
          </cell>
          <cell r="H771">
            <v>1.0900000000000001</v>
          </cell>
          <cell r="I771">
            <v>0.03</v>
          </cell>
          <cell r="K771" t="str">
            <v>m</v>
          </cell>
          <cell r="L771">
            <v>1.1200000000000001</v>
          </cell>
        </row>
        <row r="772">
          <cell r="A772" t="str">
            <v>2816c</v>
          </cell>
          <cell r="B772">
            <v>1</v>
          </cell>
          <cell r="D772" t="str">
            <v>铝芯橡皮线BLX-16MM2</v>
          </cell>
          <cell r="E772" t="str">
            <v>m</v>
          </cell>
          <cell r="G772">
            <v>2.19</v>
          </cell>
          <cell r="H772">
            <v>1.64</v>
          </cell>
          <cell r="I772">
            <v>0.05</v>
          </cell>
          <cell r="K772" t="str">
            <v>m</v>
          </cell>
          <cell r="L772">
            <v>2.19</v>
          </cell>
        </row>
        <row r="773">
          <cell r="A773" t="str">
            <v>2816d</v>
          </cell>
          <cell r="B773">
            <v>1</v>
          </cell>
          <cell r="D773" t="str">
            <v>铝芯橡皮线BLX-25MM2</v>
          </cell>
          <cell r="E773" t="str">
            <v>m</v>
          </cell>
          <cell r="G773">
            <v>2.56</v>
          </cell>
          <cell r="H773">
            <v>2.4900000000000002</v>
          </cell>
          <cell r="I773">
            <v>7.0000000000000007E-2</v>
          </cell>
          <cell r="K773" t="str">
            <v>m</v>
          </cell>
          <cell r="L773">
            <v>2.56</v>
          </cell>
        </row>
        <row r="774">
          <cell r="A774" t="str">
            <v>2816e</v>
          </cell>
          <cell r="B774">
            <v>1</v>
          </cell>
          <cell r="D774" t="str">
            <v>铝芯橡皮线BLX-35MM2</v>
          </cell>
          <cell r="E774" t="str">
            <v>m</v>
          </cell>
          <cell r="G774">
            <v>3.75</v>
          </cell>
          <cell r="H774">
            <v>3.64</v>
          </cell>
          <cell r="I774">
            <v>0.11</v>
          </cell>
          <cell r="K774" t="str">
            <v>m</v>
          </cell>
          <cell r="L774">
            <v>3.75</v>
          </cell>
        </row>
        <row r="775">
          <cell r="A775">
            <v>2817</v>
          </cell>
          <cell r="B775">
            <v>1</v>
          </cell>
          <cell r="D775" t="str">
            <v>聚氯烯绝缘线铝芯BLV-2.5MM2</v>
          </cell>
          <cell r="E775" t="str">
            <v>m</v>
          </cell>
          <cell r="G775">
            <v>0.32</v>
          </cell>
          <cell r="H775">
            <v>0.31</v>
          </cell>
          <cell r="I775">
            <v>0.01</v>
          </cell>
          <cell r="K775" t="str">
            <v>m</v>
          </cell>
          <cell r="L775">
            <v>0.32</v>
          </cell>
        </row>
        <row r="776">
          <cell r="A776">
            <v>2818</v>
          </cell>
          <cell r="B776">
            <v>1</v>
          </cell>
          <cell r="D776" t="str">
            <v>聚氯烯绝缘线铝芯BLV-4MM2</v>
          </cell>
          <cell r="E776" t="str">
            <v>m</v>
          </cell>
          <cell r="G776">
            <v>0.48</v>
          </cell>
          <cell r="H776">
            <v>0.47</v>
          </cell>
          <cell r="I776">
            <v>0.01</v>
          </cell>
          <cell r="K776" t="str">
            <v>m</v>
          </cell>
          <cell r="L776">
            <v>0.48</v>
          </cell>
        </row>
        <row r="777">
          <cell r="A777">
            <v>2817</v>
          </cell>
          <cell r="B777">
            <v>1</v>
          </cell>
          <cell r="D777" t="str">
            <v>聚氯烯绝缘线铝芯BLV-6MM2</v>
          </cell>
          <cell r="E777" t="str">
            <v>m</v>
          </cell>
          <cell r="G777">
            <v>0.62</v>
          </cell>
          <cell r="H777">
            <v>0.6</v>
          </cell>
          <cell r="I777">
            <v>0.02</v>
          </cell>
          <cell r="K777" t="str">
            <v>m</v>
          </cell>
          <cell r="L777">
            <v>0.62</v>
          </cell>
        </row>
        <row r="778">
          <cell r="A778">
            <v>2818</v>
          </cell>
          <cell r="B778">
            <v>1</v>
          </cell>
          <cell r="D778" t="str">
            <v>聚氯烯绝缘线铝芯BLV-10MM2</v>
          </cell>
          <cell r="E778" t="str">
            <v>m</v>
          </cell>
          <cell r="G778">
            <v>1.24</v>
          </cell>
          <cell r="H778">
            <v>1.2</v>
          </cell>
          <cell r="I778">
            <v>0.04</v>
          </cell>
          <cell r="K778" t="str">
            <v>m</v>
          </cell>
          <cell r="L778">
            <v>1.24</v>
          </cell>
        </row>
        <row r="779">
          <cell r="A779">
            <v>2817</v>
          </cell>
          <cell r="B779">
            <v>1</v>
          </cell>
          <cell r="D779" t="str">
            <v>聚氯烯绝缘线铝芯BLV-70MM2</v>
          </cell>
          <cell r="E779" t="str">
            <v>m</v>
          </cell>
          <cell r="G779">
            <v>8.74</v>
          </cell>
          <cell r="H779">
            <v>8.49</v>
          </cell>
          <cell r="I779">
            <v>0.25</v>
          </cell>
          <cell r="K779" t="str">
            <v>m</v>
          </cell>
          <cell r="L779">
            <v>8.74</v>
          </cell>
        </row>
        <row r="780">
          <cell r="A780">
            <v>2818</v>
          </cell>
          <cell r="B780">
            <v>1</v>
          </cell>
          <cell r="D780" t="str">
            <v>聚氯烯绝缘线铝芯BLV-95MM2</v>
          </cell>
          <cell r="E780" t="str">
            <v>m</v>
          </cell>
          <cell r="G780">
            <v>11.51</v>
          </cell>
          <cell r="H780">
            <v>11.17</v>
          </cell>
          <cell r="I780">
            <v>0.34</v>
          </cell>
          <cell r="K780" t="str">
            <v>m</v>
          </cell>
          <cell r="L780">
            <v>11.51</v>
          </cell>
        </row>
        <row r="781">
          <cell r="A781">
            <v>2819</v>
          </cell>
          <cell r="B781">
            <v>1</v>
          </cell>
          <cell r="D781" t="str">
            <v>电力电缆GZRVV-3×185+1×95 1kv</v>
          </cell>
          <cell r="E781" t="str">
            <v>m</v>
          </cell>
          <cell r="G781">
            <v>261.11</v>
          </cell>
          <cell r="H781">
            <v>253.5</v>
          </cell>
          <cell r="I781">
            <v>7.61</v>
          </cell>
          <cell r="K781" t="str">
            <v>m</v>
          </cell>
          <cell r="L781">
            <v>261.11</v>
          </cell>
        </row>
        <row r="782">
          <cell r="A782">
            <v>2820</v>
          </cell>
          <cell r="B782">
            <v>1</v>
          </cell>
          <cell r="D782" t="str">
            <v>电力电缆GZRVV-3×35+1×16 1kv</v>
          </cell>
          <cell r="E782" t="str">
            <v>m</v>
          </cell>
          <cell r="G782">
            <v>56.65</v>
          </cell>
          <cell r="H782">
            <v>55</v>
          </cell>
          <cell r="I782">
            <v>1.65</v>
          </cell>
          <cell r="K782" t="str">
            <v>m</v>
          </cell>
          <cell r="L782">
            <v>56.65</v>
          </cell>
        </row>
        <row r="783">
          <cell r="A783">
            <v>2821</v>
          </cell>
          <cell r="B783">
            <v>1</v>
          </cell>
          <cell r="D783" t="str">
            <v>电力电缆GZRVV-3×25+1×16 1kv</v>
          </cell>
          <cell r="E783" t="str">
            <v>m</v>
          </cell>
          <cell r="G783">
            <v>42.23</v>
          </cell>
          <cell r="H783">
            <v>41</v>
          </cell>
          <cell r="I783">
            <v>1.23</v>
          </cell>
          <cell r="K783" t="str">
            <v>m</v>
          </cell>
          <cell r="L783">
            <v>42.23</v>
          </cell>
        </row>
        <row r="784">
          <cell r="A784">
            <v>2822</v>
          </cell>
          <cell r="B784">
            <v>1</v>
          </cell>
          <cell r="D784" t="str">
            <v>电力电缆GZRVV-3×16+1×10 1kv</v>
          </cell>
          <cell r="E784" t="str">
            <v>m</v>
          </cell>
          <cell r="G784">
            <v>24.72</v>
          </cell>
          <cell r="H784">
            <v>24</v>
          </cell>
          <cell r="I784">
            <v>0.72</v>
          </cell>
          <cell r="K784" t="str">
            <v>m</v>
          </cell>
          <cell r="L784">
            <v>24.72</v>
          </cell>
        </row>
        <row r="785">
          <cell r="A785">
            <v>2823</v>
          </cell>
          <cell r="B785">
            <v>1</v>
          </cell>
          <cell r="D785" t="str">
            <v>电力电缆GZRVV-3×4+1×2.5 1kv</v>
          </cell>
          <cell r="E785" t="str">
            <v>m</v>
          </cell>
          <cell r="G785">
            <v>9.68</v>
          </cell>
          <cell r="H785">
            <v>9.4</v>
          </cell>
          <cell r="I785">
            <v>0.28000000000000003</v>
          </cell>
          <cell r="K785" t="str">
            <v>m</v>
          </cell>
          <cell r="L785">
            <v>9.68</v>
          </cell>
        </row>
        <row r="786">
          <cell r="A786">
            <v>2824</v>
          </cell>
          <cell r="B786">
            <v>1</v>
          </cell>
          <cell r="D786" t="str">
            <v>电力电缆GZRVV-3×25 1kv</v>
          </cell>
          <cell r="E786" t="str">
            <v>m</v>
          </cell>
          <cell r="G786">
            <v>34.4</v>
          </cell>
          <cell r="H786">
            <v>33.4</v>
          </cell>
          <cell r="I786">
            <v>1</v>
          </cell>
          <cell r="K786" t="str">
            <v>m</v>
          </cell>
          <cell r="L786">
            <v>34.4</v>
          </cell>
        </row>
        <row r="787">
          <cell r="A787">
            <v>2825</v>
          </cell>
          <cell r="B787">
            <v>1</v>
          </cell>
          <cell r="D787" t="str">
            <v>控制电缆ZRKVV-4×1.5    500V</v>
          </cell>
          <cell r="E787" t="str">
            <v>m</v>
          </cell>
          <cell r="G787">
            <v>5.28</v>
          </cell>
          <cell r="H787">
            <v>5.13</v>
          </cell>
          <cell r="I787">
            <v>0.15</v>
          </cell>
          <cell r="K787" t="str">
            <v>m</v>
          </cell>
          <cell r="L787">
            <v>5.28</v>
          </cell>
        </row>
        <row r="788">
          <cell r="A788">
            <v>2826</v>
          </cell>
          <cell r="B788">
            <v>1</v>
          </cell>
          <cell r="D788" t="str">
            <v>控制电缆ZRKVV-7×1.5    500V</v>
          </cell>
          <cell r="E788" t="str">
            <v>m</v>
          </cell>
          <cell r="G788">
            <v>7.52</v>
          </cell>
          <cell r="H788">
            <v>7.3</v>
          </cell>
          <cell r="I788">
            <v>0.22</v>
          </cell>
          <cell r="K788" t="str">
            <v>m</v>
          </cell>
          <cell r="L788">
            <v>7.52</v>
          </cell>
        </row>
        <row r="789">
          <cell r="A789">
            <v>2827</v>
          </cell>
          <cell r="B789">
            <v>1</v>
          </cell>
          <cell r="D789" t="str">
            <v>控制电缆ZRKVV-14×1.5    500V</v>
          </cell>
          <cell r="E789" t="str">
            <v>m</v>
          </cell>
          <cell r="G789">
            <v>14.83</v>
          </cell>
          <cell r="H789">
            <v>14.4</v>
          </cell>
          <cell r="I789">
            <v>0.43</v>
          </cell>
          <cell r="K789" t="str">
            <v>m</v>
          </cell>
          <cell r="L789">
            <v>14.83</v>
          </cell>
        </row>
        <row r="790">
          <cell r="A790">
            <v>2828</v>
          </cell>
          <cell r="B790">
            <v>1</v>
          </cell>
          <cell r="D790" t="str">
            <v>控制电缆ZRKVV-2×2×1.5    500V</v>
          </cell>
          <cell r="E790" t="str">
            <v>m</v>
          </cell>
          <cell r="G790">
            <v>4.0199999999999996</v>
          </cell>
          <cell r="H790">
            <v>3.9</v>
          </cell>
          <cell r="I790">
            <v>0.12</v>
          </cell>
          <cell r="K790" t="str">
            <v>m</v>
          </cell>
          <cell r="L790">
            <v>4.0199999999999996</v>
          </cell>
        </row>
        <row r="791">
          <cell r="A791">
            <v>2829</v>
          </cell>
          <cell r="B791">
            <v>1</v>
          </cell>
          <cell r="D791" t="str">
            <v>绞型软线 RVS-0.5</v>
          </cell>
          <cell r="E791" t="str">
            <v>m</v>
          </cell>
          <cell r="G791">
            <v>0.65</v>
          </cell>
          <cell r="H791">
            <v>0.63</v>
          </cell>
          <cell r="I791">
            <v>0.02</v>
          </cell>
          <cell r="K791" t="str">
            <v>m</v>
          </cell>
          <cell r="L791">
            <v>0.65</v>
          </cell>
        </row>
        <row r="792">
          <cell r="A792">
            <v>2830</v>
          </cell>
          <cell r="B792">
            <v>1</v>
          </cell>
          <cell r="D792" t="str">
            <v>钢芯铝绞线LGJ-25mm</v>
          </cell>
          <cell r="E792" t="str">
            <v>m</v>
          </cell>
          <cell r="G792">
            <v>7.17</v>
          </cell>
          <cell r="H792">
            <v>6.96</v>
          </cell>
          <cell r="I792">
            <v>0.21</v>
          </cell>
          <cell r="K792" t="str">
            <v>m</v>
          </cell>
          <cell r="L792">
            <v>7.17</v>
          </cell>
        </row>
        <row r="793">
          <cell r="A793">
            <v>2831</v>
          </cell>
          <cell r="B793">
            <v>1</v>
          </cell>
          <cell r="D793" t="str">
            <v>导线LGJ-35</v>
          </cell>
          <cell r="E793" t="str">
            <v>m</v>
          </cell>
          <cell r="G793">
            <v>7.73</v>
          </cell>
          <cell r="H793">
            <v>7.5</v>
          </cell>
          <cell r="I793">
            <v>0.23</v>
          </cell>
          <cell r="K793" t="str">
            <v>m</v>
          </cell>
          <cell r="L793">
            <v>7.73</v>
          </cell>
        </row>
        <row r="794">
          <cell r="A794">
            <v>2832</v>
          </cell>
          <cell r="B794">
            <v>1</v>
          </cell>
          <cell r="D794" t="str">
            <v>钢芯铝绞线LGJ-50</v>
          </cell>
          <cell r="E794" t="str">
            <v>KG</v>
          </cell>
          <cell r="G794">
            <v>27.259999999999998</v>
          </cell>
          <cell r="H794">
            <v>26.47</v>
          </cell>
          <cell r="I794">
            <v>0.79</v>
          </cell>
          <cell r="K794" t="str">
            <v>KG</v>
          </cell>
          <cell r="L794">
            <v>27.259999999999998</v>
          </cell>
        </row>
        <row r="795">
          <cell r="A795">
            <v>2833</v>
          </cell>
          <cell r="B795">
            <v>1</v>
          </cell>
          <cell r="D795" t="str">
            <v>钢芯铝绞线LGJ-70mm</v>
          </cell>
          <cell r="E795" t="str">
            <v>m</v>
          </cell>
          <cell r="G795">
            <v>19.779999999999998</v>
          </cell>
          <cell r="H795">
            <v>19.2</v>
          </cell>
          <cell r="I795">
            <v>0.57999999999999996</v>
          </cell>
          <cell r="K795" t="str">
            <v>m</v>
          </cell>
          <cell r="L795">
            <v>19.779999999999998</v>
          </cell>
        </row>
        <row r="796">
          <cell r="A796">
            <v>2834</v>
          </cell>
          <cell r="B796">
            <v>1</v>
          </cell>
          <cell r="D796" t="str">
            <v>导线LGJ-120</v>
          </cell>
          <cell r="E796" t="str">
            <v>m</v>
          </cell>
          <cell r="G796">
            <v>8.24</v>
          </cell>
          <cell r="H796">
            <v>8</v>
          </cell>
          <cell r="I796">
            <v>0.24</v>
          </cell>
          <cell r="K796" t="str">
            <v>m</v>
          </cell>
          <cell r="L796">
            <v>8.24</v>
          </cell>
        </row>
        <row r="797">
          <cell r="A797">
            <v>2835</v>
          </cell>
          <cell r="B797">
            <v>1</v>
          </cell>
          <cell r="D797" t="str">
            <v>导线LGJ-25</v>
          </cell>
          <cell r="E797" t="str">
            <v>m</v>
          </cell>
          <cell r="G797">
            <v>2.2200000000000002</v>
          </cell>
          <cell r="H797">
            <v>2.16</v>
          </cell>
          <cell r="I797">
            <v>0.06</v>
          </cell>
          <cell r="K797" t="str">
            <v>m</v>
          </cell>
          <cell r="L797">
            <v>2.2200000000000002</v>
          </cell>
        </row>
        <row r="798">
          <cell r="A798">
            <v>2836</v>
          </cell>
          <cell r="B798">
            <v>1</v>
          </cell>
          <cell r="D798" t="str">
            <v>导线LGJ-95</v>
          </cell>
          <cell r="E798" t="str">
            <v>m</v>
          </cell>
          <cell r="G798">
            <v>27.05</v>
          </cell>
          <cell r="H798">
            <v>26.26</v>
          </cell>
          <cell r="I798">
            <v>0.79</v>
          </cell>
          <cell r="K798" t="str">
            <v>m</v>
          </cell>
          <cell r="L798">
            <v>27.05</v>
          </cell>
        </row>
        <row r="799">
          <cell r="A799">
            <v>2837</v>
          </cell>
          <cell r="B799">
            <v>1</v>
          </cell>
          <cell r="D799" t="str">
            <v>导线LGJ-25</v>
          </cell>
          <cell r="E799" t="str">
            <v>m</v>
          </cell>
          <cell r="G799">
            <v>4.84</v>
          </cell>
          <cell r="H799">
            <v>4.7</v>
          </cell>
          <cell r="I799">
            <v>0.14000000000000001</v>
          </cell>
          <cell r="K799" t="str">
            <v>m</v>
          </cell>
          <cell r="L799">
            <v>4.84</v>
          </cell>
        </row>
        <row r="800">
          <cell r="A800">
            <v>2838</v>
          </cell>
          <cell r="B800">
            <v>1</v>
          </cell>
          <cell r="D800" t="str">
            <v>导线BLX-16</v>
          </cell>
          <cell r="E800" t="str">
            <v>m</v>
          </cell>
          <cell r="G800">
            <v>3.3000000000000003</v>
          </cell>
          <cell r="H800">
            <v>3.2</v>
          </cell>
          <cell r="I800">
            <v>0.1</v>
          </cell>
          <cell r="K800" t="str">
            <v>m</v>
          </cell>
          <cell r="L800">
            <v>3.3000000000000003</v>
          </cell>
        </row>
        <row r="801">
          <cell r="A801">
            <v>2839</v>
          </cell>
          <cell r="B801">
            <v>1</v>
          </cell>
          <cell r="D801" t="str">
            <v>导线BLX-25</v>
          </cell>
          <cell r="E801" t="str">
            <v>m</v>
          </cell>
          <cell r="G801">
            <v>4.6399999999999997</v>
          </cell>
          <cell r="H801">
            <v>4.5</v>
          </cell>
          <cell r="I801">
            <v>0.14000000000000001</v>
          </cell>
          <cell r="K801" t="str">
            <v>m</v>
          </cell>
          <cell r="L801">
            <v>4.6399999999999997</v>
          </cell>
        </row>
        <row r="802">
          <cell r="A802">
            <v>2840</v>
          </cell>
          <cell r="B802">
            <v>1</v>
          </cell>
          <cell r="D802" t="str">
            <v>导线BLX-95</v>
          </cell>
          <cell r="E802" t="str">
            <v>m</v>
          </cell>
          <cell r="G802">
            <v>46.35</v>
          </cell>
          <cell r="H802">
            <v>45</v>
          </cell>
          <cell r="I802">
            <v>1.35</v>
          </cell>
          <cell r="K802" t="str">
            <v>m</v>
          </cell>
          <cell r="L802">
            <v>46.35</v>
          </cell>
        </row>
        <row r="803">
          <cell r="A803">
            <v>2841</v>
          </cell>
          <cell r="B803">
            <v>1</v>
          </cell>
          <cell r="D803" t="str">
            <v>导线BLX-120</v>
          </cell>
          <cell r="E803" t="str">
            <v>m</v>
          </cell>
          <cell r="G803">
            <v>61.8</v>
          </cell>
          <cell r="H803">
            <v>60</v>
          </cell>
          <cell r="I803">
            <v>1.8</v>
          </cell>
          <cell r="K803" t="str">
            <v>m</v>
          </cell>
          <cell r="L803">
            <v>61.8</v>
          </cell>
        </row>
        <row r="804">
          <cell r="A804">
            <v>2842</v>
          </cell>
          <cell r="B804">
            <v>1</v>
          </cell>
          <cell r="D804" t="str">
            <v>导线BLX-185</v>
          </cell>
          <cell r="E804" t="str">
            <v>m</v>
          </cell>
          <cell r="G804">
            <v>87.55</v>
          </cell>
          <cell r="H804">
            <v>85</v>
          </cell>
          <cell r="I804">
            <v>2.5499999999999998</v>
          </cell>
          <cell r="K804" t="str">
            <v>m</v>
          </cell>
          <cell r="L804">
            <v>87.55</v>
          </cell>
        </row>
        <row r="805">
          <cell r="A805">
            <v>2843</v>
          </cell>
          <cell r="B805">
            <v>1</v>
          </cell>
          <cell r="D805" t="str">
            <v>导线BLX-240</v>
          </cell>
          <cell r="E805" t="str">
            <v>m</v>
          </cell>
          <cell r="G805">
            <v>123.6</v>
          </cell>
          <cell r="H805">
            <v>120</v>
          </cell>
          <cell r="I805">
            <v>3.6</v>
          </cell>
          <cell r="K805" t="str">
            <v>m</v>
          </cell>
          <cell r="L805">
            <v>123.6</v>
          </cell>
        </row>
        <row r="806">
          <cell r="A806">
            <v>2844</v>
          </cell>
          <cell r="B806">
            <v>1</v>
          </cell>
          <cell r="D806" t="str">
            <v>橡皮绝缘线 BX-2.5</v>
          </cell>
          <cell r="E806" t="str">
            <v>m</v>
          </cell>
          <cell r="G806">
            <v>1.31</v>
          </cell>
          <cell r="H806">
            <v>1.27</v>
          </cell>
          <cell r="I806">
            <v>0.04</v>
          </cell>
          <cell r="K806" t="str">
            <v>m</v>
          </cell>
          <cell r="L806">
            <v>1.31</v>
          </cell>
        </row>
        <row r="807">
          <cell r="A807">
            <v>2845</v>
          </cell>
          <cell r="B807">
            <v>1</v>
          </cell>
          <cell r="D807" t="str">
            <v>电缆YJV-3X16</v>
          </cell>
          <cell r="E807" t="str">
            <v>m</v>
          </cell>
          <cell r="G807">
            <v>18.75</v>
          </cell>
          <cell r="H807">
            <v>18.2</v>
          </cell>
          <cell r="I807">
            <v>0.55000000000000004</v>
          </cell>
          <cell r="K807" t="str">
            <v>m</v>
          </cell>
          <cell r="L807">
            <v>18.75</v>
          </cell>
        </row>
        <row r="808">
          <cell r="A808">
            <v>2846</v>
          </cell>
          <cell r="B808">
            <v>1</v>
          </cell>
          <cell r="D808" t="str">
            <v>电缆YJV-3X25</v>
          </cell>
          <cell r="E808" t="str">
            <v>m</v>
          </cell>
          <cell r="G808">
            <v>31.93</v>
          </cell>
          <cell r="H808">
            <v>31</v>
          </cell>
          <cell r="I808">
            <v>0.93</v>
          </cell>
          <cell r="K808" t="str">
            <v>m</v>
          </cell>
          <cell r="L808">
            <v>31.93</v>
          </cell>
        </row>
        <row r="809">
          <cell r="A809">
            <v>2847</v>
          </cell>
          <cell r="B809">
            <v>1</v>
          </cell>
          <cell r="D809" t="str">
            <v>导线YJV-3*16</v>
          </cell>
          <cell r="E809" t="str">
            <v>m</v>
          </cell>
          <cell r="G809">
            <v>10.049999999999999</v>
          </cell>
          <cell r="H809">
            <v>9.76</v>
          </cell>
          <cell r="I809">
            <v>0.28999999999999998</v>
          </cell>
          <cell r="K809" t="str">
            <v>m</v>
          </cell>
          <cell r="L809">
            <v>10.049999999999999</v>
          </cell>
        </row>
        <row r="810">
          <cell r="A810">
            <v>2848</v>
          </cell>
          <cell r="B810">
            <v>1</v>
          </cell>
          <cell r="D810" t="str">
            <v>聚氯乙烯绝缘电缆YJV-3×35</v>
          </cell>
          <cell r="E810" t="str">
            <v xml:space="preserve">m </v>
          </cell>
          <cell r="G810">
            <v>56.65</v>
          </cell>
          <cell r="H810">
            <v>55</v>
          </cell>
          <cell r="I810">
            <v>1.65</v>
          </cell>
          <cell r="K810" t="str">
            <v xml:space="preserve">m </v>
          </cell>
          <cell r="L810">
            <v>56.65</v>
          </cell>
        </row>
        <row r="811">
          <cell r="A811">
            <v>2849</v>
          </cell>
          <cell r="B811">
            <v>1</v>
          </cell>
          <cell r="D811" t="str">
            <v>聚氯乙烯绝缘电缆YJV-3X16</v>
          </cell>
          <cell r="E811" t="str">
            <v xml:space="preserve"> m</v>
          </cell>
          <cell r="G811">
            <v>22.04</v>
          </cell>
          <cell r="H811">
            <v>21.4</v>
          </cell>
          <cell r="I811">
            <v>0.64</v>
          </cell>
          <cell r="K811" t="str">
            <v xml:space="preserve"> m</v>
          </cell>
          <cell r="L811">
            <v>22.04</v>
          </cell>
        </row>
        <row r="812">
          <cell r="A812">
            <v>2850</v>
          </cell>
          <cell r="B812">
            <v>1</v>
          </cell>
          <cell r="D812" t="str">
            <v>钢铰线GJ-35</v>
          </cell>
          <cell r="E812" t="str">
            <v>m</v>
          </cell>
          <cell r="G812">
            <v>8.24</v>
          </cell>
          <cell r="H812">
            <v>8</v>
          </cell>
          <cell r="I812">
            <v>0.24</v>
          </cell>
          <cell r="K812" t="str">
            <v>m</v>
          </cell>
          <cell r="L812">
            <v>8.24</v>
          </cell>
        </row>
        <row r="813">
          <cell r="A813">
            <v>2851</v>
          </cell>
          <cell r="B813">
            <v>1</v>
          </cell>
          <cell r="D813" t="str">
            <v>镀锌钢绞线GJ-50</v>
          </cell>
          <cell r="E813" t="str">
            <v>m</v>
          </cell>
          <cell r="G813">
            <v>10.97</v>
          </cell>
          <cell r="H813">
            <v>10.65</v>
          </cell>
          <cell r="I813">
            <v>0.32</v>
          </cell>
          <cell r="K813" t="str">
            <v>m</v>
          </cell>
          <cell r="L813">
            <v>10.97</v>
          </cell>
        </row>
        <row r="814">
          <cell r="A814">
            <v>2852</v>
          </cell>
          <cell r="B814">
            <v>1</v>
          </cell>
          <cell r="D814" t="str">
            <v>钢铰线GJ-50</v>
          </cell>
          <cell r="E814" t="str">
            <v>m</v>
          </cell>
          <cell r="G814">
            <v>17.510000000000002</v>
          </cell>
          <cell r="H814">
            <v>17</v>
          </cell>
          <cell r="I814">
            <v>0.51</v>
          </cell>
          <cell r="K814" t="str">
            <v>m</v>
          </cell>
          <cell r="L814">
            <v>17.510000000000002</v>
          </cell>
        </row>
        <row r="815">
          <cell r="A815">
            <v>2853</v>
          </cell>
          <cell r="B815">
            <v>1</v>
          </cell>
          <cell r="D815" t="str">
            <v>钢铰线GJ-120</v>
          </cell>
          <cell r="E815" t="str">
            <v>m</v>
          </cell>
          <cell r="G815">
            <v>18.54</v>
          </cell>
          <cell r="H815">
            <v>18</v>
          </cell>
          <cell r="I815">
            <v>0.54</v>
          </cell>
          <cell r="K815" t="str">
            <v>m</v>
          </cell>
          <cell r="L815">
            <v>18.54</v>
          </cell>
        </row>
        <row r="816">
          <cell r="A816">
            <v>2854</v>
          </cell>
          <cell r="B816">
            <v>1</v>
          </cell>
          <cell r="D816" t="str">
            <v>橡皮绝缘线BLX2.5</v>
          </cell>
          <cell r="E816" t="str">
            <v>m</v>
          </cell>
          <cell r="G816">
            <v>0.8</v>
          </cell>
          <cell r="H816">
            <v>0.78</v>
          </cell>
          <cell r="I816">
            <v>0.02</v>
          </cell>
          <cell r="K816" t="str">
            <v>m</v>
          </cell>
          <cell r="L816">
            <v>0.8</v>
          </cell>
        </row>
        <row r="817">
          <cell r="A817">
            <v>2855</v>
          </cell>
          <cell r="B817">
            <v>1</v>
          </cell>
          <cell r="D817" t="str">
            <v>照明灯ZMD-714-2</v>
          </cell>
          <cell r="E817" t="str">
            <v>套</v>
          </cell>
          <cell r="G817">
            <v>72.099999999999994</v>
          </cell>
          <cell r="H817">
            <v>70</v>
          </cell>
          <cell r="I817">
            <v>2.1</v>
          </cell>
          <cell r="K817" t="str">
            <v>套</v>
          </cell>
          <cell r="L817">
            <v>72.099999999999994</v>
          </cell>
        </row>
        <row r="818">
          <cell r="A818">
            <v>2856</v>
          </cell>
          <cell r="B818">
            <v>1</v>
          </cell>
          <cell r="D818" t="str">
            <v>塑料绝缘线BLV-2.5</v>
          </cell>
          <cell r="E818" t="str">
            <v>m</v>
          </cell>
          <cell r="G818">
            <v>0.37</v>
          </cell>
          <cell r="H818">
            <v>0.36</v>
          </cell>
          <cell r="I818">
            <v>0.01</v>
          </cell>
          <cell r="K818" t="str">
            <v>m</v>
          </cell>
          <cell r="L818">
            <v>0.37</v>
          </cell>
        </row>
        <row r="819">
          <cell r="A819">
            <v>2857</v>
          </cell>
          <cell r="B819">
            <v>1</v>
          </cell>
          <cell r="D819" t="str">
            <v>塑料绝缘线BLV-2.5</v>
          </cell>
          <cell r="E819" t="str">
            <v>m</v>
          </cell>
          <cell r="G819">
            <v>0.26</v>
          </cell>
          <cell r="H819">
            <v>0.25</v>
          </cell>
          <cell r="I819">
            <v>0.01</v>
          </cell>
          <cell r="K819" t="str">
            <v>m</v>
          </cell>
          <cell r="L819">
            <v>0.26</v>
          </cell>
        </row>
        <row r="820">
          <cell r="A820">
            <v>2858</v>
          </cell>
          <cell r="B820">
            <v>1</v>
          </cell>
          <cell r="D820" t="str">
            <v>BLV-16mm</v>
          </cell>
          <cell r="E820" t="str">
            <v>m</v>
          </cell>
          <cell r="G820">
            <v>6.3900000000000006</v>
          </cell>
          <cell r="H820">
            <v>6.2</v>
          </cell>
          <cell r="I820">
            <v>0.19</v>
          </cell>
          <cell r="K820" t="str">
            <v>m</v>
          </cell>
          <cell r="L820">
            <v>6.3900000000000006</v>
          </cell>
        </row>
        <row r="821">
          <cell r="A821">
            <v>2859</v>
          </cell>
          <cell r="B821">
            <v>1</v>
          </cell>
          <cell r="D821" t="str">
            <v>导线BLV-35MM</v>
          </cell>
          <cell r="E821" t="str">
            <v>m</v>
          </cell>
          <cell r="G821">
            <v>10.09</v>
          </cell>
          <cell r="H821">
            <v>9.8000000000000007</v>
          </cell>
          <cell r="I821">
            <v>0.28999999999999998</v>
          </cell>
          <cell r="K821" t="str">
            <v>m</v>
          </cell>
          <cell r="L821">
            <v>10.09</v>
          </cell>
        </row>
        <row r="822">
          <cell r="A822">
            <v>2860</v>
          </cell>
          <cell r="B822">
            <v>1</v>
          </cell>
          <cell r="D822" t="str">
            <v>导线BLV-25MM</v>
          </cell>
          <cell r="E822" t="str">
            <v>m</v>
          </cell>
          <cell r="G822">
            <v>7.17</v>
          </cell>
          <cell r="H822">
            <v>6.96</v>
          </cell>
          <cell r="I822">
            <v>0.21</v>
          </cell>
          <cell r="K822" t="str">
            <v>m</v>
          </cell>
          <cell r="L822">
            <v>7.17</v>
          </cell>
        </row>
        <row r="823">
          <cell r="A823">
            <v>2861</v>
          </cell>
          <cell r="B823">
            <v>1</v>
          </cell>
          <cell r="D823" t="str">
            <v>导线BLV-50MM</v>
          </cell>
          <cell r="E823" t="str">
            <v>m</v>
          </cell>
          <cell r="G823">
            <v>12.58</v>
          </cell>
          <cell r="H823">
            <v>12.21</v>
          </cell>
          <cell r="I823">
            <v>0.37</v>
          </cell>
          <cell r="K823" t="str">
            <v>m</v>
          </cell>
          <cell r="L823">
            <v>12.58</v>
          </cell>
        </row>
        <row r="824">
          <cell r="A824">
            <v>2862</v>
          </cell>
          <cell r="B824">
            <v>1</v>
          </cell>
          <cell r="D824" t="str">
            <v>铝芯绝缘线BLV-70mm</v>
          </cell>
          <cell r="E824" t="str">
            <v>m</v>
          </cell>
          <cell r="G824">
            <v>19.779999999999998</v>
          </cell>
          <cell r="H824">
            <v>19.2</v>
          </cell>
          <cell r="I824">
            <v>0.57999999999999996</v>
          </cell>
          <cell r="K824" t="str">
            <v>m</v>
          </cell>
          <cell r="L824">
            <v>19.779999999999998</v>
          </cell>
        </row>
        <row r="825">
          <cell r="A825">
            <v>2863</v>
          </cell>
          <cell r="B825">
            <v>1</v>
          </cell>
          <cell r="D825" t="str">
            <v>BLV-120mm</v>
          </cell>
          <cell r="E825" t="str">
            <v>m</v>
          </cell>
          <cell r="G825">
            <v>44.22</v>
          </cell>
          <cell r="H825">
            <v>42.93</v>
          </cell>
          <cell r="I825">
            <v>1.29</v>
          </cell>
          <cell r="K825" t="str">
            <v>m</v>
          </cell>
          <cell r="L825">
            <v>44.22</v>
          </cell>
        </row>
        <row r="826">
          <cell r="A826">
            <v>2864</v>
          </cell>
          <cell r="B826">
            <v>1</v>
          </cell>
          <cell r="D826" t="str">
            <v>导线BLV-240MM</v>
          </cell>
          <cell r="E826" t="str">
            <v>m</v>
          </cell>
          <cell r="G826">
            <v>66.95</v>
          </cell>
          <cell r="H826">
            <v>65</v>
          </cell>
          <cell r="I826">
            <v>1.95</v>
          </cell>
          <cell r="K826" t="str">
            <v>m</v>
          </cell>
          <cell r="L826">
            <v>66.95</v>
          </cell>
        </row>
        <row r="827">
          <cell r="A827">
            <v>2865</v>
          </cell>
          <cell r="B827">
            <v>1</v>
          </cell>
          <cell r="D827" t="str">
            <v>电缆BL-50mm</v>
          </cell>
          <cell r="E827" t="str">
            <v xml:space="preserve"> m</v>
          </cell>
          <cell r="G827">
            <v>15.389999999999999</v>
          </cell>
          <cell r="H827">
            <v>14.94</v>
          </cell>
          <cell r="I827">
            <v>0.45</v>
          </cell>
          <cell r="K827" t="str">
            <v xml:space="preserve"> m</v>
          </cell>
          <cell r="L827">
            <v>15.389999999999999</v>
          </cell>
        </row>
        <row r="828">
          <cell r="A828">
            <v>2866</v>
          </cell>
          <cell r="B828">
            <v>1</v>
          </cell>
          <cell r="D828" t="str">
            <v>电线BV-150</v>
          </cell>
          <cell r="E828" t="str">
            <v>km</v>
          </cell>
          <cell r="G828">
            <v>52530</v>
          </cell>
          <cell r="H828">
            <v>51000</v>
          </cell>
          <cell r="I828">
            <v>1530</v>
          </cell>
          <cell r="K828" t="str">
            <v>km</v>
          </cell>
          <cell r="L828">
            <v>52530</v>
          </cell>
        </row>
        <row r="829">
          <cell r="A829">
            <v>2867</v>
          </cell>
          <cell r="B829">
            <v>1</v>
          </cell>
          <cell r="D829" t="str">
            <v>UG-3*35+1*106kv矿用橡套电缆</v>
          </cell>
          <cell r="E829" t="str">
            <v>m</v>
          </cell>
          <cell r="G829">
            <v>49.44</v>
          </cell>
          <cell r="H829">
            <v>48</v>
          </cell>
          <cell r="I829">
            <v>1.44</v>
          </cell>
          <cell r="K829" t="str">
            <v>m</v>
          </cell>
          <cell r="L829">
            <v>49.44</v>
          </cell>
        </row>
        <row r="830">
          <cell r="A830">
            <v>2868</v>
          </cell>
          <cell r="B830">
            <v>1</v>
          </cell>
          <cell r="D830" t="str">
            <v>UG-3*16+1*6矿用橡套电缆</v>
          </cell>
          <cell r="E830" t="str">
            <v>m</v>
          </cell>
          <cell r="G830">
            <v>24.72</v>
          </cell>
          <cell r="H830">
            <v>24</v>
          </cell>
          <cell r="I830">
            <v>0.72</v>
          </cell>
          <cell r="K830" t="str">
            <v>m</v>
          </cell>
          <cell r="L830">
            <v>24.72</v>
          </cell>
        </row>
        <row r="831">
          <cell r="A831">
            <v>2869</v>
          </cell>
          <cell r="B831">
            <v>1</v>
          </cell>
          <cell r="D831" t="str">
            <v>电力电缆VV-3X120+1X70</v>
          </cell>
          <cell r="E831" t="str">
            <v>m</v>
          </cell>
          <cell r="G831">
            <v>126.9</v>
          </cell>
          <cell r="H831">
            <v>123.2</v>
          </cell>
          <cell r="I831">
            <v>3.7</v>
          </cell>
          <cell r="K831" t="str">
            <v>m</v>
          </cell>
          <cell r="L831">
            <v>126.9</v>
          </cell>
        </row>
        <row r="832">
          <cell r="A832">
            <v>2870</v>
          </cell>
          <cell r="B832">
            <v>1</v>
          </cell>
          <cell r="D832" t="str">
            <v>电缆VV-3*10-1*6</v>
          </cell>
          <cell r="E832" t="str">
            <v>m</v>
          </cell>
          <cell r="G832">
            <v>11.54</v>
          </cell>
          <cell r="H832">
            <v>11.2</v>
          </cell>
          <cell r="I832">
            <v>0.34</v>
          </cell>
          <cell r="K832" t="str">
            <v>m</v>
          </cell>
          <cell r="L832">
            <v>11.54</v>
          </cell>
        </row>
        <row r="833">
          <cell r="A833">
            <v>2871</v>
          </cell>
          <cell r="B833">
            <v>1</v>
          </cell>
          <cell r="D833" t="str">
            <v>电缆VV-3*35-1*25</v>
          </cell>
          <cell r="E833" t="str">
            <v>m</v>
          </cell>
          <cell r="G833">
            <v>25.96</v>
          </cell>
          <cell r="H833">
            <v>25.2</v>
          </cell>
          <cell r="I833">
            <v>0.76</v>
          </cell>
          <cell r="K833" t="str">
            <v>m</v>
          </cell>
          <cell r="L833">
            <v>25.96</v>
          </cell>
        </row>
        <row r="834">
          <cell r="A834">
            <v>2872</v>
          </cell>
          <cell r="B834">
            <v>1</v>
          </cell>
          <cell r="D834" t="str">
            <v>电缆VV-3*50-1*25</v>
          </cell>
          <cell r="E834" t="str">
            <v>m</v>
          </cell>
          <cell r="G834">
            <v>45.32</v>
          </cell>
          <cell r="H834">
            <v>44</v>
          </cell>
          <cell r="I834">
            <v>1.32</v>
          </cell>
          <cell r="K834" t="str">
            <v>m</v>
          </cell>
          <cell r="L834">
            <v>45.32</v>
          </cell>
        </row>
        <row r="835">
          <cell r="A835">
            <v>2873</v>
          </cell>
          <cell r="B835">
            <v>1</v>
          </cell>
          <cell r="D835" t="str">
            <v>电缆VV-3*70-1*35</v>
          </cell>
          <cell r="E835" t="str">
            <v>m</v>
          </cell>
          <cell r="G835">
            <v>61.589999999999996</v>
          </cell>
          <cell r="H835">
            <v>59.8</v>
          </cell>
          <cell r="I835">
            <v>1.79</v>
          </cell>
          <cell r="K835" t="str">
            <v>m</v>
          </cell>
          <cell r="L835">
            <v>61.589999999999996</v>
          </cell>
        </row>
        <row r="836">
          <cell r="A836">
            <v>2874</v>
          </cell>
          <cell r="B836">
            <v>1</v>
          </cell>
          <cell r="D836" t="str">
            <v>电缆VV-3*120-1*50</v>
          </cell>
          <cell r="E836" t="str">
            <v>m</v>
          </cell>
          <cell r="G836">
            <v>108.15</v>
          </cell>
          <cell r="H836">
            <v>105</v>
          </cell>
          <cell r="I836">
            <v>3.15</v>
          </cell>
          <cell r="K836" t="str">
            <v>m</v>
          </cell>
          <cell r="L836">
            <v>108.15</v>
          </cell>
        </row>
        <row r="837">
          <cell r="A837">
            <v>2875</v>
          </cell>
          <cell r="B837">
            <v>1</v>
          </cell>
          <cell r="D837" t="str">
            <v>电缆VV-3*150-1*70</v>
          </cell>
          <cell r="E837" t="str">
            <v>m</v>
          </cell>
          <cell r="G837">
            <v>132.87</v>
          </cell>
          <cell r="H837">
            <v>129</v>
          </cell>
          <cell r="I837">
            <v>3.87</v>
          </cell>
          <cell r="K837" t="str">
            <v>m</v>
          </cell>
          <cell r="L837">
            <v>132.87</v>
          </cell>
        </row>
        <row r="838">
          <cell r="A838">
            <v>2876</v>
          </cell>
          <cell r="B838">
            <v>1</v>
          </cell>
          <cell r="D838" t="str">
            <v>电缆VV-3*185-1*95</v>
          </cell>
          <cell r="E838" t="str">
            <v>m</v>
          </cell>
          <cell r="G838">
            <v>167.57999999999998</v>
          </cell>
          <cell r="H838">
            <v>162.69999999999999</v>
          </cell>
          <cell r="I838">
            <v>4.88</v>
          </cell>
          <cell r="K838" t="str">
            <v>m</v>
          </cell>
          <cell r="L838">
            <v>167.57999999999998</v>
          </cell>
        </row>
        <row r="839">
          <cell r="A839">
            <v>2877</v>
          </cell>
          <cell r="B839">
            <v>1</v>
          </cell>
          <cell r="D839" t="str">
            <v>电缆VLV-3*10-1*6</v>
          </cell>
          <cell r="E839" t="str">
            <v>m</v>
          </cell>
          <cell r="G839">
            <v>5.15</v>
          </cell>
          <cell r="H839">
            <v>5</v>
          </cell>
          <cell r="I839">
            <v>0.15</v>
          </cell>
          <cell r="K839" t="str">
            <v>m</v>
          </cell>
          <cell r="L839">
            <v>5.15</v>
          </cell>
        </row>
        <row r="840">
          <cell r="A840">
            <v>2878</v>
          </cell>
          <cell r="B840">
            <v>1</v>
          </cell>
          <cell r="D840" t="str">
            <v>电缆VLV-3*16-1*6</v>
          </cell>
          <cell r="E840" t="str">
            <v>m</v>
          </cell>
          <cell r="G840">
            <v>7.21</v>
          </cell>
          <cell r="H840">
            <v>7</v>
          </cell>
          <cell r="I840">
            <v>0.21</v>
          </cell>
          <cell r="K840" t="str">
            <v>m</v>
          </cell>
          <cell r="L840">
            <v>7.21</v>
          </cell>
        </row>
        <row r="841">
          <cell r="A841">
            <v>2879</v>
          </cell>
          <cell r="B841">
            <v>1</v>
          </cell>
          <cell r="D841" t="str">
            <v>电缆VLV-3*50-1*25</v>
          </cell>
          <cell r="E841" t="str">
            <v>m</v>
          </cell>
          <cell r="G841">
            <v>15.860000000000001</v>
          </cell>
          <cell r="H841">
            <v>15.4</v>
          </cell>
          <cell r="I841">
            <v>0.46</v>
          </cell>
          <cell r="K841" t="str">
            <v>m</v>
          </cell>
          <cell r="L841">
            <v>15.860000000000001</v>
          </cell>
        </row>
        <row r="842">
          <cell r="A842">
            <v>2880</v>
          </cell>
          <cell r="B842">
            <v>1</v>
          </cell>
          <cell r="D842" t="str">
            <v>电缆VLV-3*70-1*35</v>
          </cell>
          <cell r="E842" t="str">
            <v>m</v>
          </cell>
          <cell r="G842">
            <v>19.57</v>
          </cell>
          <cell r="H842">
            <v>19</v>
          </cell>
          <cell r="I842">
            <v>0.56999999999999995</v>
          </cell>
          <cell r="K842" t="str">
            <v>m</v>
          </cell>
          <cell r="L842">
            <v>19.57</v>
          </cell>
        </row>
        <row r="843">
          <cell r="A843">
            <v>2881</v>
          </cell>
          <cell r="B843">
            <v>1</v>
          </cell>
          <cell r="D843" t="str">
            <v>电缆VLV-3*120-1*50</v>
          </cell>
          <cell r="E843" t="str">
            <v>m</v>
          </cell>
          <cell r="G843">
            <v>36.049999999999997</v>
          </cell>
          <cell r="H843">
            <v>35</v>
          </cell>
          <cell r="I843">
            <v>1.05</v>
          </cell>
          <cell r="K843" t="str">
            <v>m</v>
          </cell>
          <cell r="L843">
            <v>36.049999999999997</v>
          </cell>
        </row>
        <row r="844">
          <cell r="A844">
            <v>2882</v>
          </cell>
          <cell r="B844">
            <v>1</v>
          </cell>
          <cell r="D844" t="str">
            <v>电缆VLV-3*150-1*70</v>
          </cell>
          <cell r="E844" t="str">
            <v>m</v>
          </cell>
          <cell r="G844">
            <v>53.56</v>
          </cell>
          <cell r="H844">
            <v>52</v>
          </cell>
          <cell r="I844">
            <v>1.56</v>
          </cell>
          <cell r="K844" t="str">
            <v>m</v>
          </cell>
          <cell r="L844">
            <v>53.56</v>
          </cell>
        </row>
        <row r="845">
          <cell r="A845">
            <v>2883</v>
          </cell>
          <cell r="B845">
            <v>1</v>
          </cell>
          <cell r="D845" t="str">
            <v>电缆VLV-3*185-1*95</v>
          </cell>
          <cell r="E845" t="str">
            <v>m</v>
          </cell>
          <cell r="G845">
            <v>167.57999999999998</v>
          </cell>
          <cell r="H845">
            <v>162.69999999999999</v>
          </cell>
          <cell r="I845">
            <v>4.88</v>
          </cell>
          <cell r="K845" t="str">
            <v>m</v>
          </cell>
          <cell r="L845">
            <v>167.57999999999998</v>
          </cell>
        </row>
        <row r="846">
          <cell r="A846">
            <v>2884</v>
          </cell>
          <cell r="B846">
            <v>1</v>
          </cell>
          <cell r="D846" t="str">
            <v>400V动力电缆VV29-3x120+1x50</v>
          </cell>
          <cell r="E846" t="str">
            <v xml:space="preserve"> m</v>
          </cell>
          <cell r="G846">
            <v>133.18</v>
          </cell>
          <cell r="H846">
            <v>129.30000000000001</v>
          </cell>
          <cell r="I846">
            <v>3.88</v>
          </cell>
          <cell r="K846" t="str">
            <v xml:space="preserve"> m</v>
          </cell>
          <cell r="L846">
            <v>133.18</v>
          </cell>
        </row>
        <row r="847">
          <cell r="A847">
            <v>2885</v>
          </cell>
          <cell r="B847">
            <v>1</v>
          </cell>
          <cell r="D847" t="str">
            <v>400V动力电缆VV29-3x50+1x16</v>
          </cell>
          <cell r="E847" t="str">
            <v xml:space="preserve"> m</v>
          </cell>
          <cell r="G847">
            <v>58.32</v>
          </cell>
          <cell r="H847">
            <v>56.62</v>
          </cell>
          <cell r="I847">
            <v>1.7</v>
          </cell>
          <cell r="K847" t="str">
            <v xml:space="preserve"> m</v>
          </cell>
          <cell r="L847">
            <v>58.32</v>
          </cell>
        </row>
        <row r="848">
          <cell r="A848">
            <v>2886</v>
          </cell>
          <cell r="B848">
            <v>1</v>
          </cell>
          <cell r="D848" t="str">
            <v>400V动力电缆VV29-3x16+1x6</v>
          </cell>
          <cell r="E848" t="str">
            <v xml:space="preserve"> m</v>
          </cell>
          <cell r="G848">
            <v>15.840000000000002</v>
          </cell>
          <cell r="H848">
            <v>15.38</v>
          </cell>
          <cell r="I848">
            <v>0.46</v>
          </cell>
          <cell r="K848" t="str">
            <v xml:space="preserve"> m</v>
          </cell>
          <cell r="L848">
            <v>15.840000000000002</v>
          </cell>
        </row>
        <row r="849">
          <cell r="A849">
            <v>2887</v>
          </cell>
          <cell r="B849">
            <v>1</v>
          </cell>
          <cell r="D849" t="str">
            <v>400V动力电缆VV29-3x70+1x35</v>
          </cell>
          <cell r="E849" t="str">
            <v xml:space="preserve"> m</v>
          </cell>
          <cell r="G849">
            <v>78.19</v>
          </cell>
          <cell r="H849">
            <v>75.91</v>
          </cell>
          <cell r="I849">
            <v>2.2799999999999998</v>
          </cell>
          <cell r="K849" t="str">
            <v xml:space="preserve"> m</v>
          </cell>
          <cell r="L849">
            <v>78.19</v>
          </cell>
        </row>
        <row r="850">
          <cell r="A850">
            <v>2888</v>
          </cell>
          <cell r="B850">
            <v>1</v>
          </cell>
          <cell r="D850" t="str">
            <v>400V动力电缆VV29-3x35+1x16</v>
          </cell>
          <cell r="E850" t="str">
            <v xml:space="preserve"> m</v>
          </cell>
          <cell r="G850">
            <v>42.15</v>
          </cell>
          <cell r="H850">
            <v>40.92</v>
          </cell>
          <cell r="I850">
            <v>1.23</v>
          </cell>
          <cell r="K850" t="str">
            <v xml:space="preserve"> m</v>
          </cell>
          <cell r="L850">
            <v>42.15</v>
          </cell>
        </row>
        <row r="851">
          <cell r="A851">
            <v>2889</v>
          </cell>
          <cell r="B851">
            <v>1</v>
          </cell>
          <cell r="D851" t="str">
            <v>400V动力电缆VV29-3x50+1x25</v>
          </cell>
          <cell r="E851" t="str">
            <v xml:space="preserve"> m</v>
          </cell>
          <cell r="G851">
            <v>60.7</v>
          </cell>
          <cell r="H851">
            <v>58.93</v>
          </cell>
          <cell r="I851">
            <v>1.77</v>
          </cell>
          <cell r="K851" t="str">
            <v xml:space="preserve"> m</v>
          </cell>
          <cell r="L851">
            <v>60.7</v>
          </cell>
        </row>
        <row r="852">
          <cell r="A852">
            <v>2890</v>
          </cell>
          <cell r="B852">
            <v>1</v>
          </cell>
          <cell r="D852" t="str">
            <v>控制电缆KVV29-1X24</v>
          </cell>
          <cell r="E852" t="str">
            <v xml:space="preserve"> m</v>
          </cell>
          <cell r="G852">
            <v>13.040000000000001</v>
          </cell>
          <cell r="H852">
            <v>12.66</v>
          </cell>
          <cell r="I852">
            <v>0.38</v>
          </cell>
          <cell r="K852" t="str">
            <v xml:space="preserve"> m</v>
          </cell>
          <cell r="L852">
            <v>13.040000000000001</v>
          </cell>
        </row>
        <row r="853">
          <cell r="A853">
            <v>2891</v>
          </cell>
          <cell r="B853">
            <v>1</v>
          </cell>
          <cell r="D853" t="str">
            <v>控制电缆KVV29-1X10</v>
          </cell>
          <cell r="E853" t="str">
            <v xml:space="preserve"> m</v>
          </cell>
          <cell r="G853">
            <v>6.16</v>
          </cell>
          <cell r="H853">
            <v>5.98</v>
          </cell>
          <cell r="I853">
            <v>0.18</v>
          </cell>
          <cell r="K853" t="str">
            <v xml:space="preserve"> m</v>
          </cell>
          <cell r="L853">
            <v>6.16</v>
          </cell>
        </row>
        <row r="854">
          <cell r="A854">
            <v>2892</v>
          </cell>
          <cell r="B854">
            <v>1</v>
          </cell>
          <cell r="D854" t="str">
            <v>控制电缆KVV29-1X7</v>
          </cell>
          <cell r="E854" t="str">
            <v xml:space="preserve"> m</v>
          </cell>
          <cell r="G854">
            <v>4.3499999999999996</v>
          </cell>
          <cell r="H854">
            <v>4.22</v>
          </cell>
          <cell r="I854">
            <v>0.13</v>
          </cell>
          <cell r="K854" t="str">
            <v xml:space="preserve"> m</v>
          </cell>
          <cell r="L854">
            <v>4.3499999999999996</v>
          </cell>
        </row>
        <row r="855">
          <cell r="A855">
            <v>2893</v>
          </cell>
          <cell r="B855">
            <v>1</v>
          </cell>
          <cell r="D855" t="str">
            <v>铝芯铜铰线LGJ-50MM</v>
          </cell>
          <cell r="E855" t="str">
            <v xml:space="preserve"> m</v>
          </cell>
          <cell r="G855">
            <v>56.65</v>
          </cell>
          <cell r="H855">
            <v>55</v>
          </cell>
          <cell r="I855">
            <v>1.65</v>
          </cell>
          <cell r="K855" t="str">
            <v xml:space="preserve"> m</v>
          </cell>
          <cell r="L855">
            <v>56.65</v>
          </cell>
        </row>
        <row r="856">
          <cell r="A856">
            <v>2894</v>
          </cell>
          <cell r="B856">
            <v>1</v>
          </cell>
          <cell r="D856" t="str">
            <v>铝芯铜铰线LGJ-16MM</v>
          </cell>
          <cell r="E856" t="str">
            <v xml:space="preserve"> m</v>
          </cell>
          <cell r="G856">
            <v>18.54</v>
          </cell>
          <cell r="H856">
            <v>18</v>
          </cell>
          <cell r="I856">
            <v>0.54</v>
          </cell>
          <cell r="K856" t="str">
            <v xml:space="preserve"> m</v>
          </cell>
          <cell r="L856">
            <v>18.54</v>
          </cell>
        </row>
        <row r="857">
          <cell r="A857">
            <v>2895</v>
          </cell>
          <cell r="B857">
            <v>1</v>
          </cell>
          <cell r="D857" t="str">
            <v>铝芯铜铰线LGJ-70MM</v>
          </cell>
          <cell r="E857" t="str">
            <v xml:space="preserve"> m</v>
          </cell>
          <cell r="G857">
            <v>79.31</v>
          </cell>
          <cell r="H857">
            <v>77</v>
          </cell>
          <cell r="I857">
            <v>2.31</v>
          </cell>
          <cell r="K857" t="str">
            <v xml:space="preserve"> m</v>
          </cell>
          <cell r="L857">
            <v>79.31</v>
          </cell>
        </row>
        <row r="858">
          <cell r="A858">
            <v>2896</v>
          </cell>
          <cell r="B858">
            <v>1</v>
          </cell>
          <cell r="D858" t="str">
            <v>6KV矿用电缆</v>
          </cell>
          <cell r="E858" t="str">
            <v xml:space="preserve"> m</v>
          </cell>
          <cell r="G858">
            <v>51.5</v>
          </cell>
          <cell r="H858">
            <v>50</v>
          </cell>
          <cell r="I858">
            <v>1.5</v>
          </cell>
          <cell r="K858" t="str">
            <v xml:space="preserve"> m</v>
          </cell>
          <cell r="L858">
            <v>51.5</v>
          </cell>
        </row>
        <row r="859">
          <cell r="A859">
            <v>2897</v>
          </cell>
          <cell r="B859">
            <v>1</v>
          </cell>
          <cell r="D859" t="str">
            <v>1KV聚氯乙烯及护套电缆</v>
          </cell>
          <cell r="E859" t="str">
            <v xml:space="preserve"> m</v>
          </cell>
          <cell r="G859">
            <v>244.11</v>
          </cell>
          <cell r="H859">
            <v>237</v>
          </cell>
          <cell r="I859">
            <v>7.11</v>
          </cell>
          <cell r="K859" t="str">
            <v xml:space="preserve"> m</v>
          </cell>
          <cell r="L859">
            <v>244.11</v>
          </cell>
        </row>
        <row r="860">
          <cell r="A860">
            <v>2898</v>
          </cell>
          <cell r="B860">
            <v>1</v>
          </cell>
          <cell r="D860" t="str">
            <v>1KV聚氯乙烯及护套电缆</v>
          </cell>
          <cell r="E860" t="str">
            <v xml:space="preserve"> m</v>
          </cell>
          <cell r="G860">
            <v>184.37</v>
          </cell>
          <cell r="H860">
            <v>179</v>
          </cell>
          <cell r="I860">
            <v>5.37</v>
          </cell>
          <cell r="K860" t="str">
            <v xml:space="preserve"> m</v>
          </cell>
          <cell r="L860">
            <v>184.37</v>
          </cell>
        </row>
        <row r="861">
          <cell r="A861">
            <v>2899</v>
          </cell>
          <cell r="B861">
            <v>1</v>
          </cell>
          <cell r="D861" t="str">
            <v>1KV聚氯乙烯及护套电缆</v>
          </cell>
          <cell r="E861" t="str">
            <v xml:space="preserve"> m</v>
          </cell>
          <cell r="G861">
            <v>155.53</v>
          </cell>
          <cell r="H861">
            <v>151</v>
          </cell>
          <cell r="I861">
            <v>4.53</v>
          </cell>
          <cell r="K861" t="str">
            <v xml:space="preserve"> m</v>
          </cell>
          <cell r="L861">
            <v>155.53</v>
          </cell>
        </row>
        <row r="862">
          <cell r="A862">
            <v>2900</v>
          </cell>
          <cell r="B862">
            <v>1</v>
          </cell>
          <cell r="D862" t="str">
            <v>1KV聚氯乙烯及护套电缆</v>
          </cell>
          <cell r="E862" t="str">
            <v xml:space="preserve"> m</v>
          </cell>
          <cell r="G862">
            <v>96.41</v>
          </cell>
          <cell r="H862">
            <v>93.6</v>
          </cell>
          <cell r="I862">
            <v>2.81</v>
          </cell>
          <cell r="K862" t="str">
            <v xml:space="preserve"> m</v>
          </cell>
          <cell r="L862">
            <v>96.41</v>
          </cell>
        </row>
        <row r="863">
          <cell r="A863">
            <v>2901</v>
          </cell>
          <cell r="B863">
            <v>1</v>
          </cell>
          <cell r="D863" t="str">
            <v>1KV聚氯乙烯及护套电缆</v>
          </cell>
          <cell r="E863" t="str">
            <v xml:space="preserve"> m</v>
          </cell>
          <cell r="G863">
            <v>65.100000000000009</v>
          </cell>
          <cell r="H863">
            <v>63.2</v>
          </cell>
          <cell r="I863">
            <v>1.9</v>
          </cell>
          <cell r="K863" t="str">
            <v xml:space="preserve"> m</v>
          </cell>
          <cell r="L863">
            <v>65.100000000000009</v>
          </cell>
        </row>
        <row r="864">
          <cell r="A864">
            <v>2902</v>
          </cell>
          <cell r="B864">
            <v>1</v>
          </cell>
          <cell r="D864" t="str">
            <v>1KV聚氯乙烯及护套电缆</v>
          </cell>
          <cell r="E864" t="str">
            <v xml:space="preserve"> m</v>
          </cell>
          <cell r="G864">
            <v>24.51</v>
          </cell>
          <cell r="H864">
            <v>23.8</v>
          </cell>
          <cell r="I864">
            <v>0.71</v>
          </cell>
          <cell r="K864" t="str">
            <v xml:space="preserve"> m</v>
          </cell>
          <cell r="L864">
            <v>24.51</v>
          </cell>
        </row>
        <row r="865">
          <cell r="A865">
            <v>2903</v>
          </cell>
          <cell r="B865">
            <v>1</v>
          </cell>
          <cell r="D865" t="str">
            <v>1KV聚氯乙烯及护套电缆</v>
          </cell>
          <cell r="E865" t="str">
            <v xml:space="preserve"> m</v>
          </cell>
          <cell r="G865">
            <v>1.77</v>
          </cell>
          <cell r="H865">
            <v>1.72</v>
          </cell>
          <cell r="I865">
            <v>0.05</v>
          </cell>
          <cell r="K865" t="str">
            <v xml:space="preserve"> m</v>
          </cell>
          <cell r="L865">
            <v>1.77</v>
          </cell>
        </row>
        <row r="866">
          <cell r="A866">
            <v>2904</v>
          </cell>
          <cell r="B866">
            <v>1</v>
          </cell>
          <cell r="D866" t="str">
            <v>钢芯铝绞线GJL-95</v>
          </cell>
          <cell r="E866" t="str">
            <v>m</v>
          </cell>
          <cell r="G866">
            <v>8.76</v>
          </cell>
          <cell r="H866">
            <v>8.5</v>
          </cell>
          <cell r="I866">
            <v>0.26</v>
          </cell>
          <cell r="K866" t="str">
            <v>m</v>
          </cell>
          <cell r="L866">
            <v>8.76</v>
          </cell>
        </row>
        <row r="867">
          <cell r="A867">
            <v>2905</v>
          </cell>
          <cell r="B867">
            <v>1</v>
          </cell>
          <cell r="D867" t="str">
            <v>电力电缆VG-3X16+1X6</v>
          </cell>
          <cell r="E867" t="str">
            <v>m</v>
          </cell>
          <cell r="G867">
            <v>18.54</v>
          </cell>
          <cell r="H867">
            <v>18</v>
          </cell>
          <cell r="I867">
            <v>0.54</v>
          </cell>
          <cell r="K867" t="str">
            <v>m</v>
          </cell>
          <cell r="L867">
            <v>18.54</v>
          </cell>
        </row>
        <row r="868">
          <cell r="A868">
            <v>2906</v>
          </cell>
          <cell r="B868">
            <v>1</v>
          </cell>
          <cell r="D868" t="str">
            <v>控制电缆</v>
          </cell>
          <cell r="E868" t="str">
            <v xml:space="preserve"> m</v>
          </cell>
          <cell r="G868">
            <v>7.9200000000000008</v>
          </cell>
          <cell r="H868">
            <v>7.69</v>
          </cell>
          <cell r="I868">
            <v>0.23</v>
          </cell>
          <cell r="K868" t="str">
            <v xml:space="preserve"> m</v>
          </cell>
          <cell r="L868">
            <v>7.9200000000000008</v>
          </cell>
        </row>
        <row r="869">
          <cell r="A869">
            <v>2907</v>
          </cell>
          <cell r="B869">
            <v>1</v>
          </cell>
          <cell r="D869" t="str">
            <v>控制电缆</v>
          </cell>
          <cell r="E869" t="str">
            <v xml:space="preserve"> m</v>
          </cell>
          <cell r="G869">
            <v>4.3499999999999996</v>
          </cell>
          <cell r="H869">
            <v>4.22</v>
          </cell>
          <cell r="I869">
            <v>0.13</v>
          </cell>
          <cell r="K869" t="str">
            <v xml:space="preserve"> m</v>
          </cell>
          <cell r="L869">
            <v>4.3499999999999996</v>
          </cell>
        </row>
        <row r="870">
          <cell r="A870">
            <v>2908</v>
          </cell>
          <cell r="B870">
            <v>1</v>
          </cell>
          <cell r="D870" t="str">
            <v>控制电缆</v>
          </cell>
          <cell r="E870" t="str">
            <v xml:space="preserve"> m</v>
          </cell>
          <cell r="G870">
            <v>3.67</v>
          </cell>
          <cell r="H870">
            <v>3.56</v>
          </cell>
          <cell r="I870">
            <v>0.11</v>
          </cell>
          <cell r="K870" t="str">
            <v xml:space="preserve"> m</v>
          </cell>
          <cell r="L870">
            <v>3.67</v>
          </cell>
        </row>
        <row r="871">
          <cell r="A871">
            <v>2909</v>
          </cell>
          <cell r="B871">
            <v>1</v>
          </cell>
          <cell r="D871" t="str">
            <v>铝芯绝缘线</v>
          </cell>
          <cell r="E871" t="str">
            <v xml:space="preserve"> m</v>
          </cell>
          <cell r="G871">
            <v>3.82</v>
          </cell>
          <cell r="H871">
            <v>3.71</v>
          </cell>
          <cell r="I871">
            <v>0.11</v>
          </cell>
          <cell r="K871" t="str">
            <v xml:space="preserve"> m</v>
          </cell>
          <cell r="L871">
            <v>3.82</v>
          </cell>
        </row>
        <row r="872">
          <cell r="A872">
            <v>2910</v>
          </cell>
          <cell r="B872">
            <v>1</v>
          </cell>
          <cell r="D872" t="str">
            <v>铝芯绝缘线</v>
          </cell>
          <cell r="E872" t="str">
            <v xml:space="preserve"> m</v>
          </cell>
          <cell r="G872">
            <v>2.88</v>
          </cell>
          <cell r="H872">
            <v>2.8</v>
          </cell>
          <cell r="I872">
            <v>0.08</v>
          </cell>
          <cell r="K872" t="str">
            <v xml:space="preserve"> m</v>
          </cell>
          <cell r="L872">
            <v>2.88</v>
          </cell>
        </row>
        <row r="873">
          <cell r="A873">
            <v>2911</v>
          </cell>
          <cell r="B873">
            <v>1</v>
          </cell>
          <cell r="D873" t="str">
            <v>铝芯绝缘线</v>
          </cell>
          <cell r="E873" t="str">
            <v xml:space="preserve"> m</v>
          </cell>
          <cell r="G873">
            <v>1.8</v>
          </cell>
          <cell r="H873">
            <v>1.75</v>
          </cell>
          <cell r="I873">
            <v>0.05</v>
          </cell>
          <cell r="K873" t="str">
            <v xml:space="preserve"> m</v>
          </cell>
          <cell r="L873">
            <v>1.8</v>
          </cell>
        </row>
        <row r="874">
          <cell r="A874">
            <v>2912</v>
          </cell>
          <cell r="B874">
            <v>1</v>
          </cell>
          <cell r="D874" t="str">
            <v>电缆HYV-0.5-20</v>
          </cell>
          <cell r="E874" t="str">
            <v>m</v>
          </cell>
          <cell r="G874">
            <v>0.47000000000000003</v>
          </cell>
          <cell r="H874">
            <v>0.46</v>
          </cell>
          <cell r="I874">
            <v>0.01</v>
          </cell>
          <cell r="K874" t="str">
            <v>m</v>
          </cell>
          <cell r="L874">
            <v>0.47000000000000003</v>
          </cell>
        </row>
        <row r="875">
          <cell r="A875">
            <v>2913</v>
          </cell>
          <cell r="B875">
            <v>1</v>
          </cell>
          <cell r="D875" t="str">
            <v>电缆HYV-0.5-10</v>
          </cell>
          <cell r="E875" t="str">
            <v>m</v>
          </cell>
          <cell r="G875">
            <v>0.47000000000000003</v>
          </cell>
          <cell r="H875">
            <v>0.46</v>
          </cell>
          <cell r="I875">
            <v>0.01</v>
          </cell>
          <cell r="K875" t="str">
            <v>m</v>
          </cell>
          <cell r="L875">
            <v>0.47000000000000003</v>
          </cell>
        </row>
        <row r="876">
          <cell r="A876">
            <v>2914</v>
          </cell>
          <cell r="B876">
            <v>1</v>
          </cell>
          <cell r="D876" t="str">
            <v>电缆  VLV4X4</v>
          </cell>
          <cell r="E876" t="str">
            <v>m</v>
          </cell>
          <cell r="G876">
            <v>3.4</v>
          </cell>
          <cell r="H876">
            <v>3.3</v>
          </cell>
          <cell r="I876">
            <v>0.1</v>
          </cell>
          <cell r="K876" t="str">
            <v>m</v>
          </cell>
          <cell r="L876">
            <v>3.4</v>
          </cell>
        </row>
        <row r="877">
          <cell r="A877">
            <v>2915</v>
          </cell>
          <cell r="B877">
            <v>1</v>
          </cell>
          <cell r="D877" t="str">
            <v>HPV-0.5-30电缆</v>
          </cell>
          <cell r="E877" t="str">
            <v>m</v>
          </cell>
          <cell r="G877">
            <v>9.6399999999999988</v>
          </cell>
          <cell r="H877">
            <v>9.36</v>
          </cell>
          <cell r="I877">
            <v>0.28000000000000003</v>
          </cell>
          <cell r="K877" t="str">
            <v>m</v>
          </cell>
          <cell r="L877">
            <v>9.6399999999999988</v>
          </cell>
        </row>
        <row r="878">
          <cell r="A878">
            <v>2916</v>
          </cell>
          <cell r="B878">
            <v>1</v>
          </cell>
          <cell r="D878" t="str">
            <v>HPV-2*1电话线</v>
          </cell>
          <cell r="E878" t="str">
            <v>m</v>
          </cell>
          <cell r="G878">
            <v>1.03</v>
          </cell>
          <cell r="H878">
            <v>1</v>
          </cell>
          <cell r="I878">
            <v>0.03</v>
          </cell>
          <cell r="K878" t="str">
            <v>m</v>
          </cell>
          <cell r="L878">
            <v>1.03</v>
          </cell>
        </row>
        <row r="879">
          <cell r="A879">
            <v>2917</v>
          </cell>
          <cell r="B879">
            <v>1</v>
          </cell>
          <cell r="D879" t="str">
            <v>镀锌钢绞线7/1.4</v>
          </cell>
          <cell r="E879" t="str">
            <v>kg</v>
          </cell>
          <cell r="G879">
            <v>7.73</v>
          </cell>
          <cell r="H879">
            <v>7.5</v>
          </cell>
          <cell r="I879">
            <v>0.23</v>
          </cell>
          <cell r="K879" t="str">
            <v>kg</v>
          </cell>
          <cell r="L879">
            <v>7.73</v>
          </cell>
        </row>
        <row r="880">
          <cell r="A880">
            <v>2918</v>
          </cell>
          <cell r="B880">
            <v>1</v>
          </cell>
          <cell r="D880" t="str">
            <v>彭型绝缘子G38</v>
          </cell>
          <cell r="E880" t="str">
            <v>个</v>
          </cell>
          <cell r="G880">
            <v>5.15</v>
          </cell>
          <cell r="H880">
            <v>5</v>
          </cell>
          <cell r="I880">
            <v>0.15</v>
          </cell>
          <cell r="K880" t="str">
            <v>个</v>
          </cell>
          <cell r="L880">
            <v>5.15</v>
          </cell>
        </row>
        <row r="881">
          <cell r="A881">
            <v>2919</v>
          </cell>
          <cell r="B881">
            <v>1</v>
          </cell>
          <cell r="D881" t="str">
            <v>低压动力箱XL-21</v>
          </cell>
          <cell r="E881" t="str">
            <v>个</v>
          </cell>
          <cell r="G881">
            <v>1545</v>
          </cell>
          <cell r="H881">
            <v>1500</v>
          </cell>
          <cell r="I881">
            <v>45</v>
          </cell>
          <cell r="K881" t="str">
            <v>个</v>
          </cell>
          <cell r="L881">
            <v>1545</v>
          </cell>
        </row>
        <row r="882">
          <cell r="A882">
            <v>2920</v>
          </cell>
          <cell r="B882">
            <v>1</v>
          </cell>
          <cell r="D882" t="str">
            <v>单相三也暗插座</v>
          </cell>
          <cell r="E882" t="str">
            <v>套</v>
          </cell>
          <cell r="G882">
            <v>4.12</v>
          </cell>
          <cell r="H882">
            <v>4</v>
          </cell>
          <cell r="I882">
            <v>0.12</v>
          </cell>
          <cell r="K882" t="str">
            <v>套</v>
          </cell>
          <cell r="L882">
            <v>4.12</v>
          </cell>
        </row>
        <row r="883">
          <cell r="A883">
            <v>2921</v>
          </cell>
          <cell r="B883">
            <v>1</v>
          </cell>
          <cell r="D883" t="str">
            <v>三联板式暗开关</v>
          </cell>
          <cell r="E883" t="str">
            <v>套</v>
          </cell>
          <cell r="G883">
            <v>13.270000000000001</v>
          </cell>
          <cell r="H883">
            <v>12.88</v>
          </cell>
          <cell r="I883">
            <v>0.39</v>
          </cell>
          <cell r="K883" t="str">
            <v>套</v>
          </cell>
          <cell r="L883">
            <v>13.270000000000001</v>
          </cell>
        </row>
        <row r="884">
          <cell r="A884">
            <v>2922</v>
          </cell>
          <cell r="B884">
            <v>1</v>
          </cell>
          <cell r="D884" t="str">
            <v>电线套管</v>
          </cell>
          <cell r="E884" t="str">
            <v>kg</v>
          </cell>
          <cell r="G884">
            <v>5.2700000000000005</v>
          </cell>
          <cell r="H884">
            <v>5.12</v>
          </cell>
          <cell r="I884">
            <v>0.15</v>
          </cell>
          <cell r="K884" t="str">
            <v>kg</v>
          </cell>
          <cell r="L884">
            <v>5.2700000000000005</v>
          </cell>
        </row>
        <row r="885">
          <cell r="A885">
            <v>2923</v>
          </cell>
          <cell r="B885">
            <v>1</v>
          </cell>
          <cell r="D885" t="str">
            <v>砼底盘</v>
          </cell>
          <cell r="E885" t="str">
            <v>块</v>
          </cell>
          <cell r="G885">
            <v>154.5</v>
          </cell>
          <cell r="H885">
            <v>150</v>
          </cell>
          <cell r="I885">
            <v>4.5</v>
          </cell>
          <cell r="K885" t="str">
            <v>块</v>
          </cell>
          <cell r="L885">
            <v>154.5</v>
          </cell>
        </row>
        <row r="886">
          <cell r="A886">
            <v>2924</v>
          </cell>
          <cell r="B886">
            <v>1</v>
          </cell>
          <cell r="D886" t="str">
            <v>电缆吊挂</v>
          </cell>
          <cell r="E886" t="str">
            <v>套</v>
          </cell>
          <cell r="G886">
            <v>4.1500000000000004</v>
          </cell>
          <cell r="H886">
            <v>4.03</v>
          </cell>
          <cell r="I886">
            <v>0.12</v>
          </cell>
          <cell r="K886" t="str">
            <v>套</v>
          </cell>
          <cell r="L886">
            <v>4.1500000000000004</v>
          </cell>
        </row>
        <row r="887">
          <cell r="A887">
            <v>2925</v>
          </cell>
          <cell r="B887">
            <v>1</v>
          </cell>
          <cell r="D887" t="str">
            <v>电缆吊挂</v>
          </cell>
          <cell r="E887" t="str">
            <v>套</v>
          </cell>
          <cell r="G887">
            <v>3.3000000000000003</v>
          </cell>
          <cell r="H887">
            <v>3.2</v>
          </cell>
          <cell r="I887">
            <v>0.1</v>
          </cell>
          <cell r="K887" t="str">
            <v>套</v>
          </cell>
          <cell r="L887">
            <v>3.3000000000000003</v>
          </cell>
        </row>
        <row r="888">
          <cell r="A888">
            <v>2926</v>
          </cell>
          <cell r="B888">
            <v>1</v>
          </cell>
          <cell r="D888" t="str">
            <v>铝接线端子35mm</v>
          </cell>
          <cell r="E888" t="str">
            <v>个</v>
          </cell>
          <cell r="G888">
            <v>2.0499999999999998</v>
          </cell>
          <cell r="H888">
            <v>1.99</v>
          </cell>
          <cell r="I888">
            <v>0.06</v>
          </cell>
          <cell r="K888" t="str">
            <v>个</v>
          </cell>
          <cell r="L888">
            <v>2.0499999999999998</v>
          </cell>
        </row>
        <row r="889">
          <cell r="A889">
            <v>2927</v>
          </cell>
          <cell r="B889">
            <v>1</v>
          </cell>
          <cell r="D889" t="str">
            <v>镀锌M型抱箍</v>
          </cell>
          <cell r="E889" t="str">
            <v>个</v>
          </cell>
          <cell r="G889">
            <v>14.42</v>
          </cell>
          <cell r="H889">
            <v>14</v>
          </cell>
          <cell r="I889">
            <v>0.42</v>
          </cell>
          <cell r="K889" t="str">
            <v>个</v>
          </cell>
          <cell r="L889">
            <v>14.42</v>
          </cell>
        </row>
        <row r="890">
          <cell r="A890">
            <v>2928</v>
          </cell>
          <cell r="B890">
            <v>1</v>
          </cell>
          <cell r="D890" t="str">
            <v>瓷夹板40</v>
          </cell>
          <cell r="E890" t="str">
            <v>付</v>
          </cell>
          <cell r="G890">
            <v>0.05</v>
          </cell>
          <cell r="H890">
            <v>0.05</v>
          </cell>
          <cell r="I890">
            <v>0</v>
          </cell>
          <cell r="K890" t="str">
            <v>付</v>
          </cell>
          <cell r="L890">
            <v>0.05</v>
          </cell>
        </row>
        <row r="891">
          <cell r="A891">
            <v>2929</v>
          </cell>
          <cell r="B891">
            <v>1</v>
          </cell>
          <cell r="D891" t="str">
            <v>铁横担L63×6×1200</v>
          </cell>
          <cell r="E891" t="str">
            <v>根</v>
          </cell>
          <cell r="G891">
            <v>36.049999999999997</v>
          </cell>
          <cell r="H891">
            <v>35</v>
          </cell>
          <cell r="I891">
            <v>1.05</v>
          </cell>
          <cell r="K891" t="str">
            <v>根</v>
          </cell>
          <cell r="L891">
            <v>36.049999999999997</v>
          </cell>
        </row>
        <row r="892">
          <cell r="A892">
            <v>2930</v>
          </cell>
          <cell r="B892">
            <v>1</v>
          </cell>
          <cell r="D892" t="str">
            <v>角铁横担L63X6X1500</v>
          </cell>
          <cell r="E892" t="str">
            <v>根</v>
          </cell>
          <cell r="G892">
            <v>36.049999999999997</v>
          </cell>
          <cell r="H892">
            <v>35</v>
          </cell>
          <cell r="I892">
            <v>1.05</v>
          </cell>
          <cell r="K892" t="str">
            <v>根</v>
          </cell>
          <cell r="L892">
            <v>36.049999999999997</v>
          </cell>
        </row>
        <row r="893">
          <cell r="A893">
            <v>2931</v>
          </cell>
          <cell r="B893">
            <v>1</v>
          </cell>
          <cell r="D893" t="str">
            <v>角铁横担L45X5X600</v>
          </cell>
          <cell r="E893" t="str">
            <v>根</v>
          </cell>
          <cell r="G893">
            <v>17.919999999999998</v>
          </cell>
          <cell r="H893">
            <v>17.399999999999999</v>
          </cell>
          <cell r="I893">
            <v>0.52</v>
          </cell>
          <cell r="K893" t="str">
            <v>根</v>
          </cell>
          <cell r="L893">
            <v>17.919999999999998</v>
          </cell>
        </row>
        <row r="894">
          <cell r="A894">
            <v>2932</v>
          </cell>
          <cell r="B894">
            <v>1</v>
          </cell>
          <cell r="D894" t="str">
            <v>角铁横担L50X5X1000</v>
          </cell>
          <cell r="E894" t="str">
            <v>根</v>
          </cell>
          <cell r="G894">
            <v>22.66</v>
          </cell>
          <cell r="H894">
            <v>22</v>
          </cell>
          <cell r="I894">
            <v>0.66</v>
          </cell>
          <cell r="K894" t="str">
            <v>根</v>
          </cell>
          <cell r="L894">
            <v>22.66</v>
          </cell>
        </row>
        <row r="895">
          <cell r="A895">
            <v>2933</v>
          </cell>
          <cell r="B895">
            <v>1</v>
          </cell>
          <cell r="D895" t="str">
            <v>砼拉线盘 LP-6</v>
          </cell>
          <cell r="E895" t="str">
            <v>块</v>
          </cell>
          <cell r="G895">
            <v>61.8</v>
          </cell>
          <cell r="H895">
            <v>60</v>
          </cell>
          <cell r="I895">
            <v>1.8</v>
          </cell>
          <cell r="K895" t="str">
            <v>块</v>
          </cell>
          <cell r="L895">
            <v>61.8</v>
          </cell>
        </row>
        <row r="896">
          <cell r="A896">
            <v>2934</v>
          </cell>
          <cell r="B896">
            <v>1</v>
          </cell>
          <cell r="D896" t="str">
            <v>砼拉线盘 LP-8</v>
          </cell>
          <cell r="E896" t="str">
            <v>块</v>
          </cell>
          <cell r="G896">
            <v>84.46</v>
          </cell>
          <cell r="H896">
            <v>82</v>
          </cell>
          <cell r="I896">
            <v>2.46</v>
          </cell>
          <cell r="K896" t="str">
            <v>块</v>
          </cell>
          <cell r="L896">
            <v>84.46</v>
          </cell>
        </row>
        <row r="897">
          <cell r="A897">
            <v>2935</v>
          </cell>
          <cell r="B897">
            <v>1</v>
          </cell>
          <cell r="D897" t="str">
            <v>钢线卡子JK-2</v>
          </cell>
          <cell r="E897" t="str">
            <v>套</v>
          </cell>
          <cell r="G897">
            <v>6.18</v>
          </cell>
          <cell r="H897">
            <v>6</v>
          </cell>
          <cell r="I897">
            <v>0.18</v>
          </cell>
          <cell r="K897" t="str">
            <v>套</v>
          </cell>
          <cell r="L897">
            <v>6.18</v>
          </cell>
        </row>
        <row r="898">
          <cell r="A898">
            <v>2936</v>
          </cell>
          <cell r="B898">
            <v>1</v>
          </cell>
          <cell r="D898" t="str">
            <v>钢线卡子JK-1</v>
          </cell>
          <cell r="E898" t="str">
            <v>套</v>
          </cell>
          <cell r="G898">
            <v>6.18</v>
          </cell>
          <cell r="H898">
            <v>6</v>
          </cell>
          <cell r="I898">
            <v>0.18</v>
          </cell>
          <cell r="K898" t="str">
            <v>套</v>
          </cell>
          <cell r="L898">
            <v>6.18</v>
          </cell>
        </row>
        <row r="899">
          <cell r="A899">
            <v>2937</v>
          </cell>
          <cell r="B899">
            <v>1</v>
          </cell>
          <cell r="D899" t="str">
            <v>钢线卡子G-3</v>
          </cell>
          <cell r="E899" t="str">
            <v>套</v>
          </cell>
          <cell r="G899">
            <v>6.7</v>
          </cell>
          <cell r="H899">
            <v>6.5</v>
          </cell>
          <cell r="I899">
            <v>0.2</v>
          </cell>
          <cell r="K899" t="str">
            <v>套</v>
          </cell>
          <cell r="L899">
            <v>6.7</v>
          </cell>
        </row>
        <row r="900">
          <cell r="A900">
            <v>2938</v>
          </cell>
          <cell r="B900">
            <v>1</v>
          </cell>
          <cell r="D900" t="str">
            <v>电缆卡子1.5*3</v>
          </cell>
          <cell r="E900" t="str">
            <v>个</v>
          </cell>
          <cell r="G900">
            <v>0.88</v>
          </cell>
          <cell r="H900">
            <v>0.85</v>
          </cell>
          <cell r="I900">
            <v>0.03</v>
          </cell>
          <cell r="K900" t="str">
            <v>个</v>
          </cell>
          <cell r="L900">
            <v>0.88</v>
          </cell>
        </row>
        <row r="901">
          <cell r="A901">
            <v>2939</v>
          </cell>
          <cell r="B901">
            <v>1</v>
          </cell>
          <cell r="D901" t="str">
            <v>电缆卡子3*8</v>
          </cell>
          <cell r="E901" t="str">
            <v>个</v>
          </cell>
          <cell r="G901">
            <v>2.58</v>
          </cell>
          <cell r="H901">
            <v>2.5</v>
          </cell>
          <cell r="I901">
            <v>0.08</v>
          </cell>
          <cell r="K901" t="str">
            <v>个</v>
          </cell>
          <cell r="L901">
            <v>2.58</v>
          </cell>
        </row>
        <row r="902">
          <cell r="A902">
            <v>2940</v>
          </cell>
          <cell r="B902">
            <v>1</v>
          </cell>
          <cell r="D902" t="str">
            <v>管卡子 ф50</v>
          </cell>
          <cell r="E902" t="str">
            <v>个</v>
          </cell>
          <cell r="G902">
            <v>1.35</v>
          </cell>
          <cell r="H902">
            <v>1.31</v>
          </cell>
          <cell r="I902">
            <v>0.04</v>
          </cell>
          <cell r="K902" t="str">
            <v>个</v>
          </cell>
          <cell r="L902">
            <v>1.35</v>
          </cell>
        </row>
        <row r="903">
          <cell r="A903">
            <v>2941</v>
          </cell>
          <cell r="B903">
            <v>1</v>
          </cell>
          <cell r="D903" t="str">
            <v>电缆卡子1.5×32</v>
          </cell>
          <cell r="E903" t="str">
            <v>个</v>
          </cell>
          <cell r="G903">
            <v>1.1100000000000001</v>
          </cell>
          <cell r="H903">
            <v>1.08</v>
          </cell>
          <cell r="I903">
            <v>0.03</v>
          </cell>
          <cell r="K903" t="str">
            <v>个</v>
          </cell>
          <cell r="L903">
            <v>1.1100000000000001</v>
          </cell>
        </row>
        <row r="904">
          <cell r="A904">
            <v>2942</v>
          </cell>
          <cell r="B904">
            <v>1</v>
          </cell>
          <cell r="D904" t="str">
            <v>电缆卡子3*50</v>
          </cell>
          <cell r="E904" t="str">
            <v>个</v>
          </cell>
          <cell r="G904">
            <v>1.85</v>
          </cell>
          <cell r="H904">
            <v>1.8</v>
          </cell>
          <cell r="I904">
            <v>0.05</v>
          </cell>
          <cell r="K904" t="str">
            <v>个</v>
          </cell>
          <cell r="L904">
            <v>1.85</v>
          </cell>
        </row>
        <row r="905">
          <cell r="A905">
            <v>2943</v>
          </cell>
          <cell r="B905">
            <v>1</v>
          </cell>
          <cell r="D905" t="str">
            <v>蝴蝶瓶ZD-3</v>
          </cell>
          <cell r="E905" t="str">
            <v>个</v>
          </cell>
          <cell r="G905">
            <v>17.510000000000002</v>
          </cell>
          <cell r="H905">
            <v>17</v>
          </cell>
          <cell r="I905">
            <v>0.51</v>
          </cell>
          <cell r="K905" t="str">
            <v>个</v>
          </cell>
          <cell r="L905">
            <v>17.510000000000002</v>
          </cell>
        </row>
        <row r="906">
          <cell r="A906">
            <v>2944</v>
          </cell>
          <cell r="B906">
            <v>1</v>
          </cell>
          <cell r="D906" t="str">
            <v>楔型线夹LX-1</v>
          </cell>
          <cell r="E906" t="str">
            <v>个</v>
          </cell>
          <cell r="G906">
            <v>8.26</v>
          </cell>
          <cell r="H906">
            <v>8.02</v>
          </cell>
          <cell r="I906">
            <v>0.24</v>
          </cell>
          <cell r="K906" t="str">
            <v>个</v>
          </cell>
          <cell r="L906">
            <v>8.26</v>
          </cell>
        </row>
        <row r="907">
          <cell r="A907">
            <v>2945</v>
          </cell>
          <cell r="B907">
            <v>1</v>
          </cell>
          <cell r="D907" t="str">
            <v>UT型线夹UT-1</v>
          </cell>
          <cell r="E907" t="str">
            <v>个</v>
          </cell>
          <cell r="G907">
            <v>13.010000000000002</v>
          </cell>
          <cell r="H907">
            <v>12.63</v>
          </cell>
          <cell r="I907">
            <v>0.38</v>
          </cell>
          <cell r="K907" t="str">
            <v>个</v>
          </cell>
          <cell r="L907">
            <v>13.010000000000002</v>
          </cell>
        </row>
        <row r="908">
          <cell r="A908">
            <v>2946</v>
          </cell>
          <cell r="B908">
            <v>1</v>
          </cell>
          <cell r="D908" t="str">
            <v>U型线夹G-3</v>
          </cell>
          <cell r="E908" t="str">
            <v>个</v>
          </cell>
          <cell r="G908">
            <v>1.08</v>
          </cell>
          <cell r="H908">
            <v>1.05</v>
          </cell>
          <cell r="I908">
            <v>0.03</v>
          </cell>
          <cell r="K908" t="str">
            <v>个</v>
          </cell>
          <cell r="L908">
            <v>1.08</v>
          </cell>
        </row>
        <row r="909">
          <cell r="A909">
            <v>2947</v>
          </cell>
          <cell r="B909">
            <v>1</v>
          </cell>
          <cell r="D909" t="str">
            <v>通讯姿瓶3#铁担</v>
          </cell>
          <cell r="E909" t="str">
            <v>只</v>
          </cell>
          <cell r="G909">
            <v>1.31</v>
          </cell>
          <cell r="H909">
            <v>1.27</v>
          </cell>
          <cell r="I909">
            <v>0.04</v>
          </cell>
          <cell r="K909" t="str">
            <v>只</v>
          </cell>
          <cell r="L909">
            <v>1.31</v>
          </cell>
        </row>
        <row r="910">
          <cell r="A910">
            <v>2948</v>
          </cell>
          <cell r="B910">
            <v>1</v>
          </cell>
          <cell r="D910" t="str">
            <v>通讯姿瓶2#铁担</v>
          </cell>
          <cell r="E910" t="str">
            <v>只</v>
          </cell>
          <cell r="G910">
            <v>1.81</v>
          </cell>
          <cell r="H910">
            <v>1.76</v>
          </cell>
          <cell r="I910">
            <v>0.05</v>
          </cell>
          <cell r="K910" t="str">
            <v>只</v>
          </cell>
          <cell r="L910">
            <v>1.81</v>
          </cell>
        </row>
        <row r="911">
          <cell r="A911">
            <v>2949</v>
          </cell>
          <cell r="B911">
            <v>1</v>
          </cell>
          <cell r="D911" t="str">
            <v xml:space="preserve"> 悬式瓷瓶</v>
          </cell>
          <cell r="E911" t="str">
            <v>只</v>
          </cell>
          <cell r="G911">
            <v>2.58</v>
          </cell>
          <cell r="H911">
            <v>2.5</v>
          </cell>
          <cell r="I911">
            <v>0.08</v>
          </cell>
          <cell r="K911" t="str">
            <v>只</v>
          </cell>
          <cell r="L911">
            <v>2.58</v>
          </cell>
        </row>
        <row r="912">
          <cell r="A912">
            <v>2950</v>
          </cell>
          <cell r="B912">
            <v>1</v>
          </cell>
          <cell r="D912" t="str">
            <v>立式瓷瓶</v>
          </cell>
          <cell r="E912" t="str">
            <v>只</v>
          </cell>
          <cell r="G912">
            <v>2.27</v>
          </cell>
          <cell r="H912">
            <v>2.2000000000000002</v>
          </cell>
          <cell r="I912">
            <v>7.0000000000000007E-2</v>
          </cell>
          <cell r="K912" t="str">
            <v>只</v>
          </cell>
          <cell r="L912">
            <v>2.27</v>
          </cell>
        </row>
        <row r="913">
          <cell r="A913">
            <v>2951</v>
          </cell>
          <cell r="B913">
            <v>1</v>
          </cell>
          <cell r="D913" t="str">
            <v>蝴蝶姿瓶ED-1</v>
          </cell>
          <cell r="E913" t="str">
            <v>只</v>
          </cell>
          <cell r="G913">
            <v>1.55</v>
          </cell>
          <cell r="H913">
            <v>1.5</v>
          </cell>
          <cell r="I913">
            <v>0.05</v>
          </cell>
          <cell r="K913" t="str">
            <v>只</v>
          </cell>
          <cell r="L913">
            <v>1.55</v>
          </cell>
        </row>
        <row r="914">
          <cell r="A914">
            <v>2952</v>
          </cell>
          <cell r="B914">
            <v>1</v>
          </cell>
          <cell r="D914" t="str">
            <v>蝶式姿 瓶E-1</v>
          </cell>
          <cell r="E914" t="str">
            <v>只</v>
          </cell>
          <cell r="G914">
            <v>9.33</v>
          </cell>
          <cell r="H914">
            <v>9.06</v>
          </cell>
          <cell r="I914">
            <v>0.27</v>
          </cell>
          <cell r="K914" t="str">
            <v>只</v>
          </cell>
          <cell r="L914">
            <v>9.33</v>
          </cell>
        </row>
        <row r="915">
          <cell r="A915">
            <v>2953</v>
          </cell>
          <cell r="B915">
            <v>1</v>
          </cell>
          <cell r="D915" t="str">
            <v>针式姿 瓶P-6T</v>
          </cell>
          <cell r="E915" t="str">
            <v>只</v>
          </cell>
          <cell r="G915">
            <v>20.6</v>
          </cell>
          <cell r="H915">
            <v>20</v>
          </cell>
          <cell r="I915">
            <v>0.6</v>
          </cell>
          <cell r="K915" t="str">
            <v>只</v>
          </cell>
          <cell r="L915">
            <v>20.6</v>
          </cell>
        </row>
        <row r="916">
          <cell r="A916">
            <v>2954</v>
          </cell>
          <cell r="B916">
            <v>1</v>
          </cell>
          <cell r="D916" t="str">
            <v>楔形线夹NX-2</v>
          </cell>
          <cell r="E916" t="str">
            <v>套</v>
          </cell>
          <cell r="G916">
            <v>12.36</v>
          </cell>
          <cell r="H916">
            <v>12</v>
          </cell>
          <cell r="I916">
            <v>0.36</v>
          </cell>
          <cell r="K916" t="str">
            <v>套</v>
          </cell>
          <cell r="L916">
            <v>12.36</v>
          </cell>
        </row>
        <row r="917">
          <cell r="A917">
            <v>2955</v>
          </cell>
          <cell r="B917">
            <v>1</v>
          </cell>
          <cell r="D917" t="str">
            <v>耐张线夹NLD-2</v>
          </cell>
          <cell r="E917" t="str">
            <v>套</v>
          </cell>
          <cell r="G917">
            <v>10.3</v>
          </cell>
          <cell r="H917">
            <v>10</v>
          </cell>
          <cell r="I917">
            <v>0.3</v>
          </cell>
          <cell r="K917" t="str">
            <v>套</v>
          </cell>
          <cell r="L917">
            <v>10.3</v>
          </cell>
        </row>
        <row r="918">
          <cell r="A918">
            <v>2956</v>
          </cell>
          <cell r="B918">
            <v>1</v>
          </cell>
          <cell r="D918" t="str">
            <v>U型抱箍</v>
          </cell>
          <cell r="E918" t="str">
            <v>套</v>
          </cell>
          <cell r="G918">
            <v>6.18</v>
          </cell>
          <cell r="H918">
            <v>6</v>
          </cell>
          <cell r="I918">
            <v>0.18</v>
          </cell>
          <cell r="K918" t="str">
            <v>套</v>
          </cell>
          <cell r="L918">
            <v>6.18</v>
          </cell>
        </row>
        <row r="919">
          <cell r="A919">
            <v>2957</v>
          </cell>
          <cell r="B919">
            <v>1</v>
          </cell>
          <cell r="D919" t="str">
            <v>角熔断器10A</v>
          </cell>
          <cell r="E919" t="str">
            <v>个</v>
          </cell>
          <cell r="G919">
            <v>38.11</v>
          </cell>
          <cell r="H919">
            <v>37</v>
          </cell>
          <cell r="I919">
            <v>1.1100000000000001</v>
          </cell>
          <cell r="K919" t="str">
            <v>个</v>
          </cell>
          <cell r="L919">
            <v>38.11</v>
          </cell>
        </row>
        <row r="920">
          <cell r="A920">
            <v>2958</v>
          </cell>
          <cell r="B920">
            <v>1</v>
          </cell>
          <cell r="D920" t="str">
            <v>半圆头镀锌螺栓</v>
          </cell>
          <cell r="E920" t="str">
            <v>套</v>
          </cell>
          <cell r="G920">
            <v>0.52</v>
          </cell>
          <cell r="H920">
            <v>0.5</v>
          </cell>
          <cell r="I920">
            <v>0.02</v>
          </cell>
          <cell r="K920" t="str">
            <v>套</v>
          </cell>
          <cell r="L920">
            <v>0.52</v>
          </cell>
        </row>
        <row r="921">
          <cell r="A921">
            <v>2959</v>
          </cell>
          <cell r="B921">
            <v>1</v>
          </cell>
          <cell r="D921" t="str">
            <v>精制沉头螺栓</v>
          </cell>
          <cell r="E921" t="str">
            <v>套</v>
          </cell>
          <cell r="G921">
            <v>0.48</v>
          </cell>
          <cell r="H921">
            <v>0.47</v>
          </cell>
          <cell r="I921">
            <v>0.01</v>
          </cell>
          <cell r="K921" t="str">
            <v>套</v>
          </cell>
          <cell r="L921">
            <v>0.48</v>
          </cell>
        </row>
        <row r="922">
          <cell r="A922">
            <v>2960</v>
          </cell>
          <cell r="B922">
            <v>1</v>
          </cell>
          <cell r="D922" t="str">
            <v>铰型软线</v>
          </cell>
          <cell r="E922" t="str">
            <v>m</v>
          </cell>
          <cell r="G922">
            <v>0.74</v>
          </cell>
          <cell r="H922">
            <v>0.72</v>
          </cell>
          <cell r="I922">
            <v>0.02</v>
          </cell>
          <cell r="K922" t="str">
            <v>m</v>
          </cell>
          <cell r="L922">
            <v>0.74</v>
          </cell>
        </row>
        <row r="923">
          <cell r="A923">
            <v>2961</v>
          </cell>
          <cell r="B923">
            <v>1</v>
          </cell>
          <cell r="D923" t="str">
            <v>螺柱</v>
          </cell>
          <cell r="E923" t="str">
            <v>kg</v>
          </cell>
          <cell r="G923">
            <v>12.36</v>
          </cell>
          <cell r="H923">
            <v>12</v>
          </cell>
          <cell r="I923">
            <v>0.36</v>
          </cell>
          <cell r="K923" t="str">
            <v>kg</v>
          </cell>
          <cell r="L923">
            <v>12.36</v>
          </cell>
        </row>
        <row r="924">
          <cell r="A924">
            <v>2962</v>
          </cell>
          <cell r="B924">
            <v>1</v>
          </cell>
          <cell r="D924" t="str">
            <v>绝缘子</v>
          </cell>
          <cell r="E924" t="str">
            <v>只</v>
          </cell>
          <cell r="G924">
            <v>4.9399999999999995</v>
          </cell>
          <cell r="H924">
            <v>4.8</v>
          </cell>
          <cell r="I924">
            <v>0.14000000000000001</v>
          </cell>
          <cell r="K924" t="str">
            <v>只</v>
          </cell>
          <cell r="L924">
            <v>4.9399999999999995</v>
          </cell>
        </row>
        <row r="925">
          <cell r="A925">
            <v>2963</v>
          </cell>
          <cell r="B925">
            <v>1</v>
          </cell>
          <cell r="D925" t="str">
            <v>羊角熔断器</v>
          </cell>
          <cell r="E925" t="str">
            <v>个</v>
          </cell>
          <cell r="G925">
            <v>7.21</v>
          </cell>
          <cell r="H925">
            <v>7</v>
          </cell>
          <cell r="I925">
            <v>0.21</v>
          </cell>
          <cell r="K925" t="str">
            <v>个</v>
          </cell>
          <cell r="L925">
            <v>7.21</v>
          </cell>
        </row>
        <row r="926">
          <cell r="A926">
            <v>2964</v>
          </cell>
          <cell r="B926">
            <v>1</v>
          </cell>
          <cell r="D926" t="str">
            <v>地横木φ14X120</v>
          </cell>
          <cell r="E926" t="str">
            <v>根</v>
          </cell>
          <cell r="G926">
            <v>17.510000000000002</v>
          </cell>
          <cell r="H926">
            <v>17</v>
          </cell>
          <cell r="I926">
            <v>0.51</v>
          </cell>
          <cell r="K926" t="str">
            <v>根</v>
          </cell>
          <cell r="L926">
            <v>17.510000000000002</v>
          </cell>
        </row>
        <row r="927">
          <cell r="A927">
            <v>2965</v>
          </cell>
          <cell r="B927">
            <v>1</v>
          </cell>
          <cell r="D927" t="str">
            <v>投光灯500W</v>
          </cell>
          <cell r="E927" t="str">
            <v>套</v>
          </cell>
          <cell r="G927">
            <v>401.7</v>
          </cell>
          <cell r="H927">
            <v>390</v>
          </cell>
          <cell r="I927">
            <v>11.7</v>
          </cell>
          <cell r="K927" t="str">
            <v>套</v>
          </cell>
          <cell r="L927">
            <v>401.7</v>
          </cell>
        </row>
        <row r="928">
          <cell r="A928">
            <v>2966</v>
          </cell>
          <cell r="B928">
            <v>1</v>
          </cell>
          <cell r="D928" t="str">
            <v>碘钨灯1000W</v>
          </cell>
          <cell r="E928" t="str">
            <v>套</v>
          </cell>
          <cell r="G928">
            <v>113.3</v>
          </cell>
          <cell r="H928">
            <v>110</v>
          </cell>
          <cell r="I928">
            <v>3.3</v>
          </cell>
          <cell r="K928" t="str">
            <v>套</v>
          </cell>
          <cell r="L928">
            <v>113.3</v>
          </cell>
        </row>
        <row r="929">
          <cell r="A929">
            <v>2967</v>
          </cell>
          <cell r="B929">
            <v>1</v>
          </cell>
          <cell r="D929" t="str">
            <v>直管形氙灯1000W</v>
          </cell>
          <cell r="E929" t="str">
            <v>套</v>
          </cell>
          <cell r="G929">
            <v>329.6</v>
          </cell>
          <cell r="H929">
            <v>320</v>
          </cell>
          <cell r="I929">
            <v>9.6</v>
          </cell>
          <cell r="K929" t="str">
            <v>套</v>
          </cell>
          <cell r="L929">
            <v>329.6</v>
          </cell>
        </row>
        <row r="930">
          <cell r="A930">
            <v>2968</v>
          </cell>
          <cell r="B930">
            <v>1</v>
          </cell>
          <cell r="D930" t="str">
            <v>低灯  WZT 208-1</v>
          </cell>
          <cell r="E930" t="str">
            <v>盏</v>
          </cell>
          <cell r="G930">
            <v>53.56</v>
          </cell>
          <cell r="H930">
            <v>52</v>
          </cell>
          <cell r="I930">
            <v>1.56</v>
          </cell>
          <cell r="K930" t="str">
            <v>盏</v>
          </cell>
          <cell r="L930">
            <v>53.56</v>
          </cell>
        </row>
        <row r="931">
          <cell r="A931">
            <v>2969</v>
          </cell>
          <cell r="B931">
            <v>1</v>
          </cell>
          <cell r="D931" t="str">
            <v>高灯  QPL3-N-250W-LG</v>
          </cell>
          <cell r="E931" t="str">
            <v>盏</v>
          </cell>
          <cell r="G931">
            <v>66.95</v>
          </cell>
          <cell r="H931">
            <v>65</v>
          </cell>
          <cell r="I931">
            <v>1.95</v>
          </cell>
          <cell r="K931" t="str">
            <v>盏</v>
          </cell>
          <cell r="L931">
            <v>66.95</v>
          </cell>
        </row>
        <row r="932">
          <cell r="A932">
            <v>2970</v>
          </cell>
          <cell r="B932">
            <v>1</v>
          </cell>
          <cell r="D932" t="str">
            <v>高灯  QPL3-N-150W-B</v>
          </cell>
          <cell r="E932" t="str">
            <v>盏</v>
          </cell>
          <cell r="G932">
            <v>56.65</v>
          </cell>
          <cell r="H932">
            <v>55</v>
          </cell>
          <cell r="I932">
            <v>1.65</v>
          </cell>
          <cell r="K932" t="str">
            <v>盏</v>
          </cell>
          <cell r="L932">
            <v>56.65</v>
          </cell>
        </row>
        <row r="933">
          <cell r="A933">
            <v>2971</v>
          </cell>
          <cell r="B933">
            <v>1</v>
          </cell>
          <cell r="D933" t="str">
            <v>高灯OPL-2</v>
          </cell>
          <cell r="E933" t="str">
            <v>盏</v>
          </cell>
          <cell r="G933">
            <v>82.4</v>
          </cell>
          <cell r="H933">
            <v>80</v>
          </cell>
          <cell r="I933">
            <v>2.4</v>
          </cell>
          <cell r="K933" t="str">
            <v>盏</v>
          </cell>
          <cell r="L933">
            <v>82.4</v>
          </cell>
        </row>
        <row r="934">
          <cell r="A934">
            <v>2972</v>
          </cell>
          <cell r="B934">
            <v>1</v>
          </cell>
          <cell r="D934" t="str">
            <v>钠灯250KW 灯杆高8M</v>
          </cell>
          <cell r="E934" t="str">
            <v>套</v>
          </cell>
          <cell r="G934">
            <v>875.5</v>
          </cell>
          <cell r="H934">
            <v>850</v>
          </cell>
          <cell r="I934">
            <v>25.5</v>
          </cell>
          <cell r="K934" t="str">
            <v>套</v>
          </cell>
          <cell r="L934">
            <v>875.5</v>
          </cell>
        </row>
        <row r="935">
          <cell r="A935">
            <v>2973</v>
          </cell>
          <cell r="B935">
            <v>1</v>
          </cell>
          <cell r="D935" t="str">
            <v xml:space="preserve">钠灯400W </v>
          </cell>
          <cell r="E935" t="str">
            <v>套</v>
          </cell>
          <cell r="G935">
            <v>412</v>
          </cell>
          <cell r="H935">
            <v>400</v>
          </cell>
          <cell r="I935">
            <v>12</v>
          </cell>
          <cell r="K935" t="str">
            <v>套</v>
          </cell>
          <cell r="L935">
            <v>412</v>
          </cell>
        </row>
        <row r="936">
          <cell r="A936">
            <v>2974</v>
          </cell>
          <cell r="B936">
            <v>1</v>
          </cell>
          <cell r="D936" t="str">
            <v>吸顶式高效节能镜面荧光灯</v>
          </cell>
          <cell r="E936" t="str">
            <v>套</v>
          </cell>
          <cell r="G936">
            <v>412</v>
          </cell>
          <cell r="H936">
            <v>400</v>
          </cell>
          <cell r="I936">
            <v>12</v>
          </cell>
          <cell r="K936" t="str">
            <v>套</v>
          </cell>
          <cell r="L936">
            <v>412</v>
          </cell>
        </row>
        <row r="937">
          <cell r="A937">
            <v>2975</v>
          </cell>
          <cell r="B937">
            <v>1</v>
          </cell>
          <cell r="D937" t="str">
            <v>灯杆  H=6.5m   OPLG-IA</v>
          </cell>
          <cell r="E937" t="str">
            <v>根</v>
          </cell>
          <cell r="G937">
            <v>1184.5</v>
          </cell>
          <cell r="H937">
            <v>1150</v>
          </cell>
          <cell r="I937">
            <v>34.5</v>
          </cell>
          <cell r="K937" t="str">
            <v>根</v>
          </cell>
          <cell r="L937">
            <v>1184.5</v>
          </cell>
        </row>
        <row r="938">
          <cell r="A938">
            <v>2976</v>
          </cell>
          <cell r="B938">
            <v>1</v>
          </cell>
          <cell r="D938" t="str">
            <v xml:space="preserve">灯杆  H=8m  </v>
          </cell>
          <cell r="E938" t="str">
            <v>根</v>
          </cell>
          <cell r="G938">
            <v>978.5</v>
          </cell>
          <cell r="H938">
            <v>950</v>
          </cell>
          <cell r="I938">
            <v>28.5</v>
          </cell>
          <cell r="K938" t="str">
            <v>根</v>
          </cell>
          <cell r="L938">
            <v>978.5</v>
          </cell>
        </row>
        <row r="939">
          <cell r="A939">
            <v>2977</v>
          </cell>
          <cell r="B939">
            <v>1</v>
          </cell>
          <cell r="D939" t="str">
            <v>橡胶带 δ=7mm B=550mm</v>
          </cell>
          <cell r="E939" t="str">
            <v>kg</v>
          </cell>
          <cell r="G939">
            <v>14.32</v>
          </cell>
          <cell r="H939">
            <v>13.9</v>
          </cell>
          <cell r="I939">
            <v>0.42</v>
          </cell>
          <cell r="K939" t="str">
            <v>kg</v>
          </cell>
          <cell r="L939">
            <v>14.32</v>
          </cell>
        </row>
        <row r="940">
          <cell r="A940">
            <v>2978</v>
          </cell>
          <cell r="B940">
            <v>1</v>
          </cell>
          <cell r="D940" t="str">
            <v>终端支持物</v>
          </cell>
          <cell r="E940" t="str">
            <v>个</v>
          </cell>
          <cell r="G940">
            <v>20.6</v>
          </cell>
          <cell r="H940">
            <v>20</v>
          </cell>
          <cell r="I940">
            <v>0.6</v>
          </cell>
          <cell r="K940" t="str">
            <v>个</v>
          </cell>
          <cell r="L940">
            <v>20.6</v>
          </cell>
        </row>
        <row r="941">
          <cell r="A941">
            <v>2979</v>
          </cell>
          <cell r="B941">
            <v>1</v>
          </cell>
          <cell r="D941" t="str">
            <v>中端支持物</v>
          </cell>
          <cell r="E941" t="str">
            <v>个</v>
          </cell>
          <cell r="G941">
            <v>20.6</v>
          </cell>
          <cell r="H941">
            <v>20</v>
          </cell>
          <cell r="I941">
            <v>0.6</v>
          </cell>
          <cell r="K941" t="str">
            <v>个</v>
          </cell>
          <cell r="L941">
            <v>20.6</v>
          </cell>
        </row>
        <row r="942">
          <cell r="A942">
            <v>2980</v>
          </cell>
          <cell r="B942">
            <v>1</v>
          </cell>
          <cell r="D942" t="str">
            <v>拉线支持物</v>
          </cell>
          <cell r="E942" t="str">
            <v>个</v>
          </cell>
          <cell r="G942">
            <v>20.6</v>
          </cell>
          <cell r="H942">
            <v>20</v>
          </cell>
          <cell r="I942">
            <v>0.6</v>
          </cell>
          <cell r="K942" t="str">
            <v>个</v>
          </cell>
          <cell r="L942">
            <v>20.6</v>
          </cell>
        </row>
        <row r="943">
          <cell r="A943">
            <v>2981</v>
          </cell>
          <cell r="B943">
            <v>1</v>
          </cell>
          <cell r="D943" t="str">
            <v>螺栓</v>
          </cell>
          <cell r="E943" t="str">
            <v>kg</v>
          </cell>
          <cell r="G943">
            <v>12.36</v>
          </cell>
          <cell r="H943">
            <v>12</v>
          </cell>
          <cell r="I943">
            <v>0.36</v>
          </cell>
          <cell r="K943" t="str">
            <v>kg</v>
          </cell>
          <cell r="L943">
            <v>12.36</v>
          </cell>
        </row>
        <row r="944">
          <cell r="A944">
            <v>2982</v>
          </cell>
          <cell r="B944">
            <v>1</v>
          </cell>
          <cell r="D944" t="str">
            <v>可调式垫板</v>
          </cell>
          <cell r="E944" t="str">
            <v>kg</v>
          </cell>
          <cell r="G944">
            <v>8.76</v>
          </cell>
          <cell r="H944">
            <v>8.5</v>
          </cell>
          <cell r="I944">
            <v>0.26</v>
          </cell>
          <cell r="K944" t="str">
            <v>kg</v>
          </cell>
          <cell r="L944">
            <v>8.76</v>
          </cell>
        </row>
        <row r="945">
          <cell r="A945">
            <v>2983</v>
          </cell>
          <cell r="B945">
            <v>1</v>
          </cell>
          <cell r="D945" t="str">
            <v>铜接线端子</v>
          </cell>
          <cell r="E945" t="str">
            <v>个</v>
          </cell>
          <cell r="G945">
            <v>10.82</v>
          </cell>
          <cell r="H945">
            <v>10.5</v>
          </cell>
          <cell r="I945">
            <v>0.32</v>
          </cell>
          <cell r="K945" t="str">
            <v>个</v>
          </cell>
          <cell r="L945">
            <v>10.82</v>
          </cell>
        </row>
        <row r="946">
          <cell r="A946">
            <v>2984</v>
          </cell>
          <cell r="B946">
            <v>1</v>
          </cell>
          <cell r="D946" t="str">
            <v>控制电缆封头</v>
          </cell>
          <cell r="E946" t="str">
            <v>个</v>
          </cell>
          <cell r="G946">
            <v>61.8</v>
          </cell>
          <cell r="H946">
            <v>60</v>
          </cell>
          <cell r="I946">
            <v>1.8</v>
          </cell>
          <cell r="K946" t="str">
            <v>个</v>
          </cell>
          <cell r="L946">
            <v>61.8</v>
          </cell>
        </row>
        <row r="947">
          <cell r="A947">
            <v>2985</v>
          </cell>
          <cell r="B947">
            <v>1</v>
          </cell>
          <cell r="D947" t="str">
            <v>端子号牌</v>
          </cell>
          <cell r="E947" t="str">
            <v>个</v>
          </cell>
          <cell r="G947">
            <v>16.48</v>
          </cell>
          <cell r="H947">
            <v>16</v>
          </cell>
          <cell r="I947">
            <v>0.48</v>
          </cell>
          <cell r="K947" t="str">
            <v>个</v>
          </cell>
          <cell r="L947">
            <v>16.48</v>
          </cell>
        </row>
        <row r="948">
          <cell r="A948">
            <v>2986</v>
          </cell>
          <cell r="B948">
            <v>1</v>
          </cell>
          <cell r="D948" t="str">
            <v>金属软管</v>
          </cell>
          <cell r="E948" t="str">
            <v>m</v>
          </cell>
          <cell r="G948">
            <v>12.36</v>
          </cell>
          <cell r="H948">
            <v>12</v>
          </cell>
          <cell r="I948">
            <v>0.36</v>
          </cell>
          <cell r="K948" t="str">
            <v>m</v>
          </cell>
          <cell r="L948">
            <v>12.36</v>
          </cell>
        </row>
        <row r="949">
          <cell r="A949">
            <v>2987</v>
          </cell>
          <cell r="B949">
            <v>1</v>
          </cell>
          <cell r="D949" t="str">
            <v>钢绞线 TJ185mm2</v>
          </cell>
          <cell r="E949" t="str">
            <v>m</v>
          </cell>
          <cell r="G949">
            <v>40.69</v>
          </cell>
          <cell r="H949">
            <v>39.5</v>
          </cell>
          <cell r="I949">
            <v>1.19</v>
          </cell>
          <cell r="K949" t="str">
            <v>m</v>
          </cell>
          <cell r="L949">
            <v>40.69</v>
          </cell>
        </row>
        <row r="950">
          <cell r="A950">
            <v>2988</v>
          </cell>
          <cell r="B950">
            <v>1</v>
          </cell>
          <cell r="D950" t="str">
            <v>照明配电箱XLL2-06(改)</v>
          </cell>
          <cell r="E950" t="str">
            <v>只</v>
          </cell>
          <cell r="G950">
            <v>645.80999999999995</v>
          </cell>
          <cell r="H950">
            <v>627</v>
          </cell>
          <cell r="I950">
            <v>18.809999999999999</v>
          </cell>
          <cell r="K950" t="str">
            <v>只</v>
          </cell>
          <cell r="L950">
            <v>645.80999999999995</v>
          </cell>
        </row>
        <row r="951">
          <cell r="A951">
            <v>2989</v>
          </cell>
          <cell r="B951">
            <v>1</v>
          </cell>
          <cell r="D951" t="str">
            <v>按钮箱</v>
          </cell>
          <cell r="E951" t="str">
            <v>只</v>
          </cell>
          <cell r="G951">
            <v>51.5</v>
          </cell>
          <cell r="H951">
            <v>50</v>
          </cell>
          <cell r="I951">
            <v>1.5</v>
          </cell>
          <cell r="K951" t="str">
            <v>只</v>
          </cell>
          <cell r="L951">
            <v>51.5</v>
          </cell>
        </row>
        <row r="952">
          <cell r="A952">
            <v>2990</v>
          </cell>
          <cell r="B952">
            <v>1</v>
          </cell>
          <cell r="D952" t="str">
            <v>防潮荧光灯TCW090/136 HFZ36W</v>
          </cell>
          <cell r="E952" t="str">
            <v>只</v>
          </cell>
          <cell r="G952">
            <v>43.26</v>
          </cell>
          <cell r="H952">
            <v>42</v>
          </cell>
          <cell r="I952">
            <v>1.26</v>
          </cell>
          <cell r="K952" t="str">
            <v>只</v>
          </cell>
          <cell r="L952">
            <v>43.26</v>
          </cell>
        </row>
        <row r="953">
          <cell r="A953">
            <v>2991</v>
          </cell>
          <cell r="B953">
            <v>1</v>
          </cell>
          <cell r="D953" t="str">
            <v>灯头盒</v>
          </cell>
          <cell r="E953" t="str">
            <v>只</v>
          </cell>
          <cell r="G953">
            <v>2.88</v>
          </cell>
          <cell r="H953">
            <v>2.8</v>
          </cell>
          <cell r="I953">
            <v>0.08</v>
          </cell>
          <cell r="K953" t="str">
            <v>只</v>
          </cell>
          <cell r="L953">
            <v>2.88</v>
          </cell>
        </row>
        <row r="954">
          <cell r="A954">
            <v>2992</v>
          </cell>
          <cell r="B954">
            <v>1</v>
          </cell>
          <cell r="D954" t="str">
            <v>单项三孔两孔插座 220v 10A</v>
          </cell>
          <cell r="E954" t="str">
            <v>个</v>
          </cell>
          <cell r="G954">
            <v>10.3</v>
          </cell>
          <cell r="H954">
            <v>10</v>
          </cell>
          <cell r="I954">
            <v>0.3</v>
          </cell>
          <cell r="K954" t="str">
            <v>个</v>
          </cell>
          <cell r="L954">
            <v>10.3</v>
          </cell>
        </row>
        <row r="955">
          <cell r="A955">
            <v>2993</v>
          </cell>
          <cell r="B955">
            <v>1</v>
          </cell>
          <cell r="D955" t="str">
            <v>手提式应急灯</v>
          </cell>
          <cell r="E955" t="str">
            <v>只</v>
          </cell>
          <cell r="G955">
            <v>329.6</v>
          </cell>
          <cell r="H955">
            <v>320</v>
          </cell>
          <cell r="I955">
            <v>9.6</v>
          </cell>
          <cell r="K955" t="str">
            <v>只</v>
          </cell>
          <cell r="L955">
            <v>329.6</v>
          </cell>
        </row>
        <row r="956">
          <cell r="A956">
            <v>2994</v>
          </cell>
          <cell r="B956">
            <v>1</v>
          </cell>
          <cell r="D956" t="str">
            <v>铜芯塑料电缆BV-2.5</v>
          </cell>
          <cell r="E956" t="str">
            <v>m</v>
          </cell>
          <cell r="G956">
            <v>0.82000000000000006</v>
          </cell>
          <cell r="H956">
            <v>0.8</v>
          </cell>
          <cell r="I956">
            <v>0.02</v>
          </cell>
          <cell r="K956" t="str">
            <v>m</v>
          </cell>
          <cell r="L956">
            <v>0.82000000000000006</v>
          </cell>
        </row>
        <row r="957">
          <cell r="A957">
            <v>2995</v>
          </cell>
          <cell r="B957">
            <v>1</v>
          </cell>
          <cell r="D957" t="str">
            <v>铜芯塑料电缆BV-25</v>
          </cell>
          <cell r="E957" t="str">
            <v>m</v>
          </cell>
          <cell r="G957">
            <v>8.0299999999999994</v>
          </cell>
          <cell r="H957">
            <v>7.8</v>
          </cell>
          <cell r="I957">
            <v>0.23</v>
          </cell>
          <cell r="K957" t="str">
            <v>m</v>
          </cell>
          <cell r="L957">
            <v>8.0299999999999994</v>
          </cell>
        </row>
        <row r="958">
          <cell r="A958">
            <v>2996</v>
          </cell>
          <cell r="B958">
            <v>1</v>
          </cell>
          <cell r="D958" t="str">
            <v>铜芯塑料电缆BV-16</v>
          </cell>
          <cell r="E958" t="str">
            <v>m</v>
          </cell>
          <cell r="G958">
            <v>5.16</v>
          </cell>
          <cell r="H958">
            <v>5.01</v>
          </cell>
          <cell r="I958">
            <v>0.15</v>
          </cell>
          <cell r="K958" t="str">
            <v>m</v>
          </cell>
          <cell r="L958">
            <v>5.16</v>
          </cell>
        </row>
        <row r="959">
          <cell r="A959">
            <v>2997</v>
          </cell>
          <cell r="B959">
            <v>1</v>
          </cell>
          <cell r="D959" t="str">
            <v>铜芯塑料电缆BV-4</v>
          </cell>
          <cell r="E959" t="str">
            <v>m</v>
          </cell>
          <cell r="G959">
            <v>1.2850000000000001</v>
          </cell>
          <cell r="H959">
            <v>1.2450000000000001</v>
          </cell>
          <cell r="I959">
            <v>0.04</v>
          </cell>
          <cell r="K959" t="str">
            <v>m</v>
          </cell>
          <cell r="L959">
            <v>1.2850000000000001</v>
          </cell>
        </row>
        <row r="960">
          <cell r="A960">
            <v>2998</v>
          </cell>
          <cell r="B960">
            <v>1</v>
          </cell>
          <cell r="D960" t="str">
            <v>阻燃型控制电缆ZR-KVV-4*2.5</v>
          </cell>
          <cell r="E960" t="str">
            <v>m</v>
          </cell>
          <cell r="G960">
            <v>5.45</v>
          </cell>
          <cell r="H960">
            <v>5.29</v>
          </cell>
          <cell r="I960">
            <v>0.16</v>
          </cell>
          <cell r="K960" t="str">
            <v>m</v>
          </cell>
          <cell r="L960">
            <v>5.45</v>
          </cell>
        </row>
        <row r="961">
          <cell r="A961">
            <v>2999</v>
          </cell>
          <cell r="B961">
            <v>1</v>
          </cell>
          <cell r="D961" t="str">
            <v>铜鼻子DT-35</v>
          </cell>
          <cell r="E961" t="str">
            <v>只</v>
          </cell>
          <cell r="G961">
            <v>3.61</v>
          </cell>
          <cell r="H961">
            <v>3.5</v>
          </cell>
          <cell r="I961">
            <v>0.11</v>
          </cell>
          <cell r="K961" t="str">
            <v>只</v>
          </cell>
          <cell r="L961">
            <v>3.61</v>
          </cell>
        </row>
        <row r="962">
          <cell r="A962">
            <v>3000</v>
          </cell>
          <cell r="B962">
            <v>1</v>
          </cell>
          <cell r="D962" t="str">
            <v>铜鼻子DT-16</v>
          </cell>
          <cell r="E962" t="str">
            <v>只</v>
          </cell>
          <cell r="G962">
            <v>2.88</v>
          </cell>
          <cell r="H962">
            <v>2.8</v>
          </cell>
          <cell r="I962">
            <v>0.08</v>
          </cell>
          <cell r="K962" t="str">
            <v>只</v>
          </cell>
          <cell r="L962">
            <v>2.88</v>
          </cell>
        </row>
        <row r="963">
          <cell r="A963">
            <v>3001</v>
          </cell>
          <cell r="B963">
            <v>1</v>
          </cell>
          <cell r="D963" t="str">
            <v>电缆转接箱</v>
          </cell>
          <cell r="E963" t="str">
            <v>只</v>
          </cell>
          <cell r="G963">
            <v>49.44</v>
          </cell>
          <cell r="H963">
            <v>48</v>
          </cell>
          <cell r="I963">
            <v>1.44</v>
          </cell>
          <cell r="K963" t="str">
            <v>只</v>
          </cell>
          <cell r="L963">
            <v>49.44</v>
          </cell>
        </row>
        <row r="964">
          <cell r="A964">
            <v>3002</v>
          </cell>
          <cell r="B964">
            <v>1</v>
          </cell>
          <cell r="D964" t="str">
            <v>接线盒（导线转接）</v>
          </cell>
          <cell r="E964" t="str">
            <v>只</v>
          </cell>
          <cell r="G964">
            <v>3.61</v>
          </cell>
          <cell r="H964">
            <v>3.5</v>
          </cell>
          <cell r="I964">
            <v>0.11</v>
          </cell>
          <cell r="K964" t="str">
            <v>只</v>
          </cell>
          <cell r="L964">
            <v>3.61</v>
          </cell>
        </row>
        <row r="965">
          <cell r="A965">
            <v>3003</v>
          </cell>
          <cell r="B965">
            <v>1</v>
          </cell>
          <cell r="D965" t="str">
            <v>铜芯电力电缆VV22-3*35+1*6</v>
          </cell>
          <cell r="E965" t="str">
            <v>m</v>
          </cell>
          <cell r="G965">
            <v>45.32</v>
          </cell>
          <cell r="H965">
            <v>44</v>
          </cell>
          <cell r="I965">
            <v>1.32</v>
          </cell>
          <cell r="K965" t="str">
            <v>m</v>
          </cell>
          <cell r="L965">
            <v>45.32</v>
          </cell>
        </row>
        <row r="966">
          <cell r="A966">
            <v>3004</v>
          </cell>
          <cell r="B966">
            <v>1</v>
          </cell>
          <cell r="D966" t="str">
            <v>铜芯电力电缆VV22-16</v>
          </cell>
          <cell r="E966" t="str">
            <v>m</v>
          </cell>
          <cell r="G966">
            <v>22.04</v>
          </cell>
          <cell r="H966">
            <v>21.4</v>
          </cell>
          <cell r="I966">
            <v>0.64</v>
          </cell>
          <cell r="K966" t="str">
            <v>m</v>
          </cell>
          <cell r="L966">
            <v>22.04</v>
          </cell>
        </row>
        <row r="967">
          <cell r="A967">
            <v>3005</v>
          </cell>
          <cell r="B967">
            <v>1</v>
          </cell>
          <cell r="D967" t="str">
            <v>铜芯电力电缆VV22-35</v>
          </cell>
          <cell r="E967" t="str">
            <v>m</v>
          </cell>
          <cell r="G967">
            <v>38.630000000000003</v>
          </cell>
          <cell r="H967">
            <v>37.5</v>
          </cell>
          <cell r="I967">
            <v>1.1299999999999999</v>
          </cell>
          <cell r="K967" t="str">
            <v>m</v>
          </cell>
          <cell r="L967">
            <v>38.630000000000003</v>
          </cell>
        </row>
        <row r="968">
          <cell r="A968">
            <v>3006</v>
          </cell>
          <cell r="B968">
            <v>1</v>
          </cell>
          <cell r="D968" t="str">
            <v>地脚螺栓M20*700mm</v>
          </cell>
          <cell r="E968" t="str">
            <v>个</v>
          </cell>
          <cell r="G968">
            <v>4.53</v>
          </cell>
          <cell r="H968">
            <v>4.4000000000000004</v>
          </cell>
          <cell r="I968">
            <v>0.13</v>
          </cell>
          <cell r="K968" t="str">
            <v>个</v>
          </cell>
          <cell r="L968">
            <v>4.53</v>
          </cell>
        </row>
        <row r="969">
          <cell r="A969">
            <v>3007</v>
          </cell>
          <cell r="B969">
            <v>1</v>
          </cell>
          <cell r="D969" t="str">
            <v>尼龙绑扎带200mm</v>
          </cell>
          <cell r="E969" t="str">
            <v>条</v>
          </cell>
          <cell r="G969">
            <v>0.08</v>
          </cell>
          <cell r="H969">
            <v>0.08</v>
          </cell>
          <cell r="I969">
            <v>0</v>
          </cell>
          <cell r="K969" t="str">
            <v>条</v>
          </cell>
          <cell r="L969">
            <v>0.08</v>
          </cell>
        </row>
        <row r="970">
          <cell r="A970">
            <v>3008</v>
          </cell>
          <cell r="B970">
            <v>1</v>
          </cell>
          <cell r="D970" t="str">
            <v>镝灯</v>
          </cell>
          <cell r="E970" t="str">
            <v>盏</v>
          </cell>
          <cell r="G970">
            <v>2266</v>
          </cell>
          <cell r="H970">
            <v>2200</v>
          </cell>
          <cell r="I970">
            <v>66</v>
          </cell>
          <cell r="K970" t="str">
            <v>盏</v>
          </cell>
          <cell r="L970">
            <v>2266</v>
          </cell>
        </row>
        <row r="971">
          <cell r="A971">
            <v>3009</v>
          </cell>
          <cell r="B971">
            <v>1</v>
          </cell>
          <cell r="D971" t="str">
            <v>高压汞灯</v>
          </cell>
          <cell r="E971" t="str">
            <v>盏</v>
          </cell>
          <cell r="G971">
            <v>236.9</v>
          </cell>
          <cell r="H971">
            <v>230</v>
          </cell>
          <cell r="I971">
            <v>6.9</v>
          </cell>
          <cell r="K971" t="str">
            <v>盏</v>
          </cell>
          <cell r="L971">
            <v>236.9</v>
          </cell>
        </row>
        <row r="972">
          <cell r="A972">
            <v>3010</v>
          </cell>
          <cell r="B972">
            <v>1</v>
          </cell>
          <cell r="G972">
            <v>0</v>
          </cell>
          <cell r="I972">
            <v>0</v>
          </cell>
          <cell r="K972">
            <v>0</v>
          </cell>
          <cell r="L972">
            <v>0</v>
          </cell>
        </row>
        <row r="973">
          <cell r="A973">
            <v>3011</v>
          </cell>
          <cell r="B973">
            <v>1</v>
          </cell>
          <cell r="G973">
            <v>0</v>
          </cell>
          <cell r="I973">
            <v>0</v>
          </cell>
          <cell r="K973">
            <v>0</v>
          </cell>
          <cell r="L973">
            <v>0</v>
          </cell>
        </row>
        <row r="974">
          <cell r="A974">
            <v>3012</v>
          </cell>
          <cell r="B974">
            <v>1</v>
          </cell>
          <cell r="D974" t="str">
            <v>100对通讯电缆</v>
          </cell>
          <cell r="E974" t="str">
            <v>m</v>
          </cell>
          <cell r="G974">
            <v>21.7</v>
          </cell>
          <cell r="H974">
            <v>21.07</v>
          </cell>
          <cell r="I974">
            <v>0.63</v>
          </cell>
          <cell r="K974" t="str">
            <v>m</v>
          </cell>
          <cell r="L974">
            <v>21.7</v>
          </cell>
        </row>
        <row r="975">
          <cell r="A975">
            <v>3013</v>
          </cell>
          <cell r="B975">
            <v>1</v>
          </cell>
          <cell r="D975" t="str">
            <v>20对通讯电缆</v>
          </cell>
          <cell r="E975" t="str">
            <v>m</v>
          </cell>
          <cell r="G975">
            <v>6.73</v>
          </cell>
          <cell r="H975">
            <v>6.53</v>
          </cell>
          <cell r="I975">
            <v>0.2</v>
          </cell>
          <cell r="K975" t="str">
            <v>m</v>
          </cell>
          <cell r="L975">
            <v>6.73</v>
          </cell>
        </row>
        <row r="976">
          <cell r="A976">
            <v>3014</v>
          </cell>
          <cell r="B976">
            <v>1</v>
          </cell>
          <cell r="D976" t="str">
            <v>5对通讯电缆</v>
          </cell>
          <cell r="E976" t="str">
            <v>m</v>
          </cell>
          <cell r="G976">
            <v>3.9299999999999997</v>
          </cell>
          <cell r="H976">
            <v>3.82</v>
          </cell>
          <cell r="I976">
            <v>0.11</v>
          </cell>
          <cell r="K976" t="str">
            <v>m</v>
          </cell>
          <cell r="L976">
            <v>3.9299999999999997</v>
          </cell>
        </row>
        <row r="977">
          <cell r="A977">
            <v>3015</v>
          </cell>
          <cell r="B977">
            <v>1</v>
          </cell>
          <cell r="D977" t="str">
            <v>钢铰线GJ-25</v>
          </cell>
          <cell r="E977" t="str">
            <v>m</v>
          </cell>
          <cell r="G977">
            <v>6.49</v>
          </cell>
          <cell r="H977">
            <v>6.3</v>
          </cell>
          <cell r="I977">
            <v>0.19</v>
          </cell>
          <cell r="K977" t="str">
            <v>m</v>
          </cell>
          <cell r="L977">
            <v>6.49</v>
          </cell>
        </row>
        <row r="978">
          <cell r="A978">
            <v>3016</v>
          </cell>
          <cell r="B978">
            <v>1</v>
          </cell>
          <cell r="D978" t="str">
            <v>钢铰线GJ-16</v>
          </cell>
          <cell r="E978" t="str">
            <v>m</v>
          </cell>
          <cell r="G978">
            <v>5.25</v>
          </cell>
          <cell r="H978">
            <v>5.0999999999999996</v>
          </cell>
          <cell r="I978">
            <v>0.15</v>
          </cell>
          <cell r="K978" t="str">
            <v>m</v>
          </cell>
          <cell r="L978">
            <v>5.25</v>
          </cell>
        </row>
        <row r="979">
          <cell r="A979">
            <v>3017</v>
          </cell>
          <cell r="B979">
            <v>1</v>
          </cell>
          <cell r="D979" t="str">
            <v>电缆VV-3*35-1*16</v>
          </cell>
          <cell r="E979" t="str">
            <v>m</v>
          </cell>
          <cell r="G979">
            <v>24.21</v>
          </cell>
          <cell r="H979">
            <v>23.5</v>
          </cell>
          <cell r="I979">
            <v>0.71</v>
          </cell>
          <cell r="K979" t="str">
            <v>m</v>
          </cell>
          <cell r="L979">
            <v>24.21</v>
          </cell>
        </row>
        <row r="980">
          <cell r="A980">
            <v>3018</v>
          </cell>
          <cell r="B980">
            <v>1</v>
          </cell>
          <cell r="D980" t="str">
            <v>电缆VV-3*16-1*10</v>
          </cell>
          <cell r="E980" t="str">
            <v>m</v>
          </cell>
          <cell r="G980">
            <v>8.24</v>
          </cell>
          <cell r="H980">
            <v>8</v>
          </cell>
          <cell r="I980">
            <v>0.24</v>
          </cell>
          <cell r="K980" t="str">
            <v>m</v>
          </cell>
          <cell r="L980">
            <v>8.24</v>
          </cell>
        </row>
        <row r="981">
          <cell r="A981">
            <v>3019</v>
          </cell>
          <cell r="B981">
            <v>1</v>
          </cell>
          <cell r="G981">
            <v>0</v>
          </cell>
          <cell r="I981">
            <v>0</v>
          </cell>
          <cell r="K981">
            <v>0</v>
          </cell>
          <cell r="L981">
            <v>0</v>
          </cell>
        </row>
        <row r="982">
          <cell r="A982">
            <v>3020</v>
          </cell>
          <cell r="B982">
            <v>1</v>
          </cell>
          <cell r="G982">
            <v>0</v>
          </cell>
          <cell r="I982">
            <v>0</v>
          </cell>
          <cell r="K982">
            <v>0</v>
          </cell>
          <cell r="L982">
            <v>0</v>
          </cell>
        </row>
        <row r="983">
          <cell r="A983">
            <v>3021</v>
          </cell>
          <cell r="B983">
            <v>1</v>
          </cell>
          <cell r="G983">
            <v>0</v>
          </cell>
          <cell r="I983">
            <v>0</v>
          </cell>
          <cell r="K983">
            <v>0</v>
          </cell>
          <cell r="L983">
            <v>0</v>
          </cell>
        </row>
        <row r="984">
          <cell r="A984">
            <v>3022</v>
          </cell>
          <cell r="B984">
            <v>1</v>
          </cell>
          <cell r="G984">
            <v>0</v>
          </cell>
          <cell r="I984">
            <v>0</v>
          </cell>
          <cell r="K984">
            <v>0</v>
          </cell>
          <cell r="L984">
            <v>0</v>
          </cell>
        </row>
        <row r="985">
          <cell r="A985">
            <v>3023</v>
          </cell>
          <cell r="B985">
            <v>1</v>
          </cell>
          <cell r="G985">
            <v>0</v>
          </cell>
          <cell r="I985">
            <v>0</v>
          </cell>
          <cell r="K985">
            <v>0</v>
          </cell>
          <cell r="L985">
            <v>0</v>
          </cell>
        </row>
        <row r="986">
          <cell r="A986">
            <v>3024</v>
          </cell>
          <cell r="B986">
            <v>1</v>
          </cell>
          <cell r="G986">
            <v>0</v>
          </cell>
          <cell r="I986">
            <v>0</v>
          </cell>
          <cell r="K986">
            <v>0</v>
          </cell>
          <cell r="L986">
            <v>0</v>
          </cell>
        </row>
        <row r="987">
          <cell r="A987">
            <v>3025</v>
          </cell>
          <cell r="B987">
            <v>1</v>
          </cell>
          <cell r="G987">
            <v>0</v>
          </cell>
          <cell r="I987">
            <v>0</v>
          </cell>
          <cell r="K987">
            <v>0</v>
          </cell>
          <cell r="L987">
            <v>0</v>
          </cell>
        </row>
        <row r="988">
          <cell r="A988">
            <v>3026</v>
          </cell>
          <cell r="B988">
            <v>1</v>
          </cell>
          <cell r="G988">
            <v>0</v>
          </cell>
          <cell r="I988">
            <v>0</v>
          </cell>
          <cell r="K988">
            <v>0</v>
          </cell>
          <cell r="L988">
            <v>0</v>
          </cell>
        </row>
        <row r="989">
          <cell r="A989">
            <v>3027</v>
          </cell>
          <cell r="B989">
            <v>1</v>
          </cell>
          <cell r="G989">
            <v>0</v>
          </cell>
          <cell r="I989">
            <v>0</v>
          </cell>
          <cell r="K989">
            <v>0</v>
          </cell>
          <cell r="L989">
            <v>0</v>
          </cell>
        </row>
        <row r="990">
          <cell r="A990">
            <v>3028</v>
          </cell>
          <cell r="B990">
            <v>1</v>
          </cell>
          <cell r="G990">
            <v>0</v>
          </cell>
          <cell r="I990">
            <v>0</v>
          </cell>
          <cell r="K990">
            <v>0</v>
          </cell>
          <cell r="L990">
            <v>0</v>
          </cell>
        </row>
        <row r="991">
          <cell r="A991">
            <v>3029</v>
          </cell>
          <cell r="B991">
            <v>1</v>
          </cell>
          <cell r="G991">
            <v>0</v>
          </cell>
          <cell r="I991">
            <v>0</v>
          </cell>
          <cell r="K991">
            <v>0</v>
          </cell>
          <cell r="L991">
            <v>0</v>
          </cell>
        </row>
        <row r="992">
          <cell r="A992">
            <v>3030</v>
          </cell>
          <cell r="B992">
            <v>1</v>
          </cell>
          <cell r="G992">
            <v>0</v>
          </cell>
          <cell r="I992">
            <v>0</v>
          </cell>
          <cell r="K992">
            <v>0</v>
          </cell>
          <cell r="L992">
            <v>0</v>
          </cell>
        </row>
        <row r="993">
          <cell r="A993">
            <v>3031</v>
          </cell>
          <cell r="B993">
            <v>1</v>
          </cell>
          <cell r="G993">
            <v>0</v>
          </cell>
          <cell r="I993">
            <v>0</v>
          </cell>
          <cell r="K993">
            <v>0</v>
          </cell>
          <cell r="L993">
            <v>0</v>
          </cell>
        </row>
        <row r="994">
          <cell r="A994">
            <v>3032</v>
          </cell>
          <cell r="B994">
            <v>1</v>
          </cell>
          <cell r="G994">
            <v>0</v>
          </cell>
          <cell r="I994">
            <v>0</v>
          </cell>
          <cell r="K994">
            <v>0</v>
          </cell>
          <cell r="L994">
            <v>0</v>
          </cell>
        </row>
        <row r="995">
          <cell r="A995">
            <v>3500</v>
          </cell>
          <cell r="B995">
            <v>1</v>
          </cell>
          <cell r="D995" t="str">
            <v>PVC管φ90</v>
          </cell>
          <cell r="E995" t="str">
            <v>m</v>
          </cell>
          <cell r="G995">
            <v>11.85</v>
          </cell>
          <cell r="H995">
            <v>11.5</v>
          </cell>
          <cell r="I995">
            <v>0.35</v>
          </cell>
          <cell r="K995" t="str">
            <v>m</v>
          </cell>
          <cell r="L995">
            <v>11.85</v>
          </cell>
        </row>
        <row r="996">
          <cell r="A996">
            <v>3501</v>
          </cell>
          <cell r="B996">
            <v>1</v>
          </cell>
          <cell r="D996" t="str">
            <v>PVC硬塑料滤管</v>
          </cell>
          <cell r="E996" t="str">
            <v>m</v>
          </cell>
          <cell r="G996">
            <v>6.78</v>
          </cell>
          <cell r="H996">
            <v>6.58</v>
          </cell>
          <cell r="I996">
            <v>0.2</v>
          </cell>
          <cell r="K996" t="str">
            <v>m</v>
          </cell>
          <cell r="L996">
            <v>6.78</v>
          </cell>
        </row>
        <row r="997">
          <cell r="A997">
            <v>3502</v>
          </cell>
          <cell r="B997">
            <v>1</v>
          </cell>
          <cell r="D997" t="str">
            <v>塑料管</v>
          </cell>
          <cell r="E997" t="str">
            <v>kg</v>
          </cell>
          <cell r="G997">
            <v>11.33</v>
          </cell>
          <cell r="H997">
            <v>11</v>
          </cell>
          <cell r="I997">
            <v>0.33</v>
          </cell>
          <cell r="K997" t="str">
            <v>kg</v>
          </cell>
          <cell r="L997">
            <v>11.33</v>
          </cell>
        </row>
        <row r="998">
          <cell r="A998">
            <v>3503</v>
          </cell>
          <cell r="B998">
            <v>1</v>
          </cell>
          <cell r="D998" t="str">
            <v>PVC排水管φ75</v>
          </cell>
          <cell r="E998" t="str">
            <v>m</v>
          </cell>
          <cell r="G998">
            <v>8.48</v>
          </cell>
          <cell r="H998">
            <v>8.23</v>
          </cell>
          <cell r="I998">
            <v>0.25</v>
          </cell>
          <cell r="K998" t="str">
            <v>m</v>
          </cell>
          <cell r="L998">
            <v>8.48</v>
          </cell>
        </row>
        <row r="999">
          <cell r="A999">
            <v>3504</v>
          </cell>
          <cell r="B999">
            <v>1</v>
          </cell>
          <cell r="D999" t="str">
            <v>聚氯乙烯排水管φ80</v>
          </cell>
          <cell r="E999" t="str">
            <v>m</v>
          </cell>
          <cell r="G999">
            <v>13.91</v>
          </cell>
          <cell r="H999">
            <v>13.5</v>
          </cell>
          <cell r="I999">
            <v>0.41</v>
          </cell>
          <cell r="K999" t="str">
            <v>m</v>
          </cell>
          <cell r="L999">
            <v>13.91</v>
          </cell>
        </row>
        <row r="1000">
          <cell r="A1000">
            <v>3505</v>
          </cell>
          <cell r="B1000">
            <v>1</v>
          </cell>
          <cell r="D1000" t="str">
            <v>聚氯乙烯排水管φ550</v>
          </cell>
          <cell r="E1000" t="str">
            <v>m</v>
          </cell>
          <cell r="G1000">
            <v>545.9</v>
          </cell>
          <cell r="H1000">
            <v>530</v>
          </cell>
          <cell r="I1000">
            <v>15.9</v>
          </cell>
          <cell r="K1000" t="str">
            <v>m</v>
          </cell>
          <cell r="L1000">
            <v>545.9</v>
          </cell>
        </row>
        <row r="1001">
          <cell r="A1001">
            <v>3506</v>
          </cell>
          <cell r="B1001">
            <v>1</v>
          </cell>
          <cell r="D1001" t="str">
            <v>PVC管φ20</v>
          </cell>
          <cell r="E1001" t="str">
            <v>m</v>
          </cell>
          <cell r="G1001">
            <v>1.85</v>
          </cell>
          <cell r="H1001">
            <v>1.8</v>
          </cell>
          <cell r="I1001">
            <v>0.05</v>
          </cell>
          <cell r="K1001" t="str">
            <v>m</v>
          </cell>
          <cell r="L1001">
            <v>1.85</v>
          </cell>
        </row>
        <row r="1002">
          <cell r="A1002">
            <v>3507</v>
          </cell>
          <cell r="B1002">
            <v>1</v>
          </cell>
          <cell r="D1002" t="str">
            <v>PVC管φ25</v>
          </cell>
          <cell r="E1002" t="str">
            <v>m</v>
          </cell>
          <cell r="G1002">
            <v>4.12</v>
          </cell>
          <cell r="H1002">
            <v>4</v>
          </cell>
          <cell r="I1002">
            <v>0.12</v>
          </cell>
          <cell r="K1002" t="str">
            <v>m</v>
          </cell>
          <cell r="L1002">
            <v>4.12</v>
          </cell>
        </row>
        <row r="1003">
          <cell r="A1003">
            <v>3508</v>
          </cell>
          <cell r="B1003">
            <v>1</v>
          </cell>
          <cell r="D1003" t="str">
            <v>PVC软管∮50</v>
          </cell>
          <cell r="E1003" t="str">
            <v>m</v>
          </cell>
          <cell r="G1003">
            <v>13.39</v>
          </cell>
          <cell r="H1003">
            <v>13</v>
          </cell>
          <cell r="I1003">
            <v>0.39</v>
          </cell>
          <cell r="K1003" t="str">
            <v>m</v>
          </cell>
          <cell r="L1003">
            <v>13.39</v>
          </cell>
        </row>
        <row r="1004">
          <cell r="A1004">
            <v>3509</v>
          </cell>
          <cell r="B1004">
            <v>1</v>
          </cell>
          <cell r="D1004" t="str">
            <v>PVC软管∮80</v>
          </cell>
          <cell r="E1004" t="str">
            <v>m</v>
          </cell>
          <cell r="G1004">
            <v>18.54</v>
          </cell>
          <cell r="H1004">
            <v>18</v>
          </cell>
          <cell r="I1004">
            <v>0.54</v>
          </cell>
          <cell r="K1004" t="str">
            <v>m</v>
          </cell>
          <cell r="L1004">
            <v>18.54</v>
          </cell>
        </row>
        <row r="1005">
          <cell r="A1005">
            <v>3510</v>
          </cell>
          <cell r="B1005">
            <v>1</v>
          </cell>
          <cell r="D1005" t="str">
            <v>PVC盲管∮80</v>
          </cell>
          <cell r="E1005" t="str">
            <v>m</v>
          </cell>
          <cell r="G1005">
            <v>22.66</v>
          </cell>
          <cell r="H1005">
            <v>22</v>
          </cell>
          <cell r="I1005">
            <v>0.66</v>
          </cell>
          <cell r="K1005" t="str">
            <v>m</v>
          </cell>
          <cell r="L1005">
            <v>22.66</v>
          </cell>
        </row>
        <row r="1006">
          <cell r="A1006">
            <v>3511</v>
          </cell>
          <cell r="B1006">
            <v>1</v>
          </cell>
          <cell r="D1006" t="str">
            <v>PVC盲管∮100</v>
          </cell>
          <cell r="E1006" t="str">
            <v>m</v>
          </cell>
          <cell r="G1006">
            <v>37.08</v>
          </cell>
          <cell r="H1006">
            <v>36</v>
          </cell>
          <cell r="I1006">
            <v>1.08</v>
          </cell>
          <cell r="K1006" t="str">
            <v>m</v>
          </cell>
          <cell r="L1006">
            <v>37.08</v>
          </cell>
        </row>
        <row r="1007">
          <cell r="A1007">
            <v>3512</v>
          </cell>
          <cell r="B1007">
            <v>1</v>
          </cell>
          <cell r="D1007" t="str">
            <v>VPVC管DN100</v>
          </cell>
          <cell r="E1007" t="str">
            <v>m</v>
          </cell>
          <cell r="G1007">
            <v>23.07</v>
          </cell>
          <cell r="H1007">
            <v>22.4</v>
          </cell>
          <cell r="I1007">
            <v>0.67</v>
          </cell>
          <cell r="K1007" t="str">
            <v>m</v>
          </cell>
          <cell r="L1007">
            <v>23.07</v>
          </cell>
        </row>
        <row r="1008">
          <cell r="A1008">
            <v>3513</v>
          </cell>
          <cell r="B1008">
            <v>1</v>
          </cell>
          <cell r="D1008" t="str">
            <v>VPVC管DN75</v>
          </cell>
          <cell r="E1008" t="str">
            <v>m</v>
          </cell>
          <cell r="G1008">
            <v>14.31</v>
          </cell>
          <cell r="H1008">
            <v>13.89</v>
          </cell>
          <cell r="I1008">
            <v>0.42</v>
          </cell>
          <cell r="K1008" t="str">
            <v>m</v>
          </cell>
          <cell r="L1008">
            <v>14.31</v>
          </cell>
        </row>
        <row r="1009">
          <cell r="A1009">
            <v>3514</v>
          </cell>
          <cell r="B1009">
            <v>1</v>
          </cell>
          <cell r="D1009" t="str">
            <v>VPVC管DN50</v>
          </cell>
          <cell r="E1009" t="str">
            <v>m</v>
          </cell>
          <cell r="G1009">
            <v>6.61</v>
          </cell>
          <cell r="H1009">
            <v>6.42</v>
          </cell>
          <cell r="I1009">
            <v>0.19</v>
          </cell>
          <cell r="K1009" t="str">
            <v>m</v>
          </cell>
          <cell r="L1009">
            <v>6.61</v>
          </cell>
        </row>
        <row r="1010">
          <cell r="A1010">
            <v>3515</v>
          </cell>
          <cell r="B1010">
            <v>1</v>
          </cell>
          <cell r="D1010" t="str">
            <v>PVC管DN85</v>
          </cell>
          <cell r="E1010" t="str">
            <v>m</v>
          </cell>
          <cell r="G1010">
            <v>15.760000000000002</v>
          </cell>
          <cell r="H1010">
            <v>15.3</v>
          </cell>
          <cell r="I1010">
            <v>0.46</v>
          </cell>
          <cell r="K1010" t="str">
            <v>m</v>
          </cell>
          <cell r="L1010">
            <v>15.760000000000002</v>
          </cell>
        </row>
        <row r="1011">
          <cell r="A1011">
            <v>3516</v>
          </cell>
          <cell r="B1011">
            <v>1</v>
          </cell>
          <cell r="D1011" t="str">
            <v>VPVC管DN25</v>
          </cell>
          <cell r="E1011" t="str">
            <v>m</v>
          </cell>
          <cell r="G1011">
            <v>5.67</v>
          </cell>
          <cell r="H1011">
            <v>5.5</v>
          </cell>
          <cell r="I1011">
            <v>0.17</v>
          </cell>
          <cell r="K1011" t="str">
            <v>m</v>
          </cell>
          <cell r="L1011">
            <v>5.67</v>
          </cell>
        </row>
        <row r="1012">
          <cell r="A1012">
            <v>3517</v>
          </cell>
          <cell r="B1012">
            <v>1</v>
          </cell>
          <cell r="D1012" t="str">
            <v>VPVC管DN100</v>
          </cell>
          <cell r="E1012" t="str">
            <v>m</v>
          </cell>
          <cell r="G1012">
            <v>23.07</v>
          </cell>
          <cell r="H1012">
            <v>22.4</v>
          </cell>
          <cell r="I1012">
            <v>0.67</v>
          </cell>
          <cell r="K1012" t="str">
            <v>m</v>
          </cell>
          <cell r="L1012">
            <v>23.07</v>
          </cell>
        </row>
        <row r="1013">
          <cell r="A1013">
            <v>3518</v>
          </cell>
          <cell r="B1013">
            <v>1</v>
          </cell>
          <cell r="D1013" t="str">
            <v>VPVC管DN75</v>
          </cell>
          <cell r="E1013" t="str">
            <v>m</v>
          </cell>
          <cell r="G1013">
            <v>14.31</v>
          </cell>
          <cell r="H1013">
            <v>13.89</v>
          </cell>
          <cell r="I1013">
            <v>0.42</v>
          </cell>
          <cell r="K1013" t="str">
            <v>m</v>
          </cell>
          <cell r="L1013">
            <v>14.31</v>
          </cell>
        </row>
        <row r="1014">
          <cell r="A1014">
            <v>3519</v>
          </cell>
          <cell r="B1014">
            <v>1</v>
          </cell>
          <cell r="D1014" t="str">
            <v>VPVC管DN50</v>
          </cell>
          <cell r="E1014" t="str">
            <v>m</v>
          </cell>
          <cell r="G1014">
            <v>6.61</v>
          </cell>
          <cell r="H1014">
            <v>6.42</v>
          </cell>
          <cell r="I1014">
            <v>0.19</v>
          </cell>
          <cell r="K1014" t="str">
            <v>m</v>
          </cell>
          <cell r="L1014">
            <v>6.61</v>
          </cell>
        </row>
        <row r="1015">
          <cell r="A1015">
            <v>3520</v>
          </cell>
          <cell r="B1015">
            <v>1</v>
          </cell>
          <cell r="D1015" t="str">
            <v>PVC管卡子</v>
          </cell>
          <cell r="E1015" t="str">
            <v>个</v>
          </cell>
          <cell r="G1015">
            <v>0.41000000000000003</v>
          </cell>
          <cell r="H1015">
            <v>0.4</v>
          </cell>
          <cell r="I1015">
            <v>0.01</v>
          </cell>
          <cell r="K1015" t="str">
            <v>个</v>
          </cell>
          <cell r="L1015">
            <v>0.41000000000000003</v>
          </cell>
        </row>
        <row r="1016">
          <cell r="A1016">
            <v>3521</v>
          </cell>
          <cell r="B1016">
            <v>1</v>
          </cell>
          <cell r="D1016" t="str">
            <v>塑料管 ф60</v>
          </cell>
          <cell r="E1016" t="str">
            <v>m</v>
          </cell>
          <cell r="G1016">
            <v>6.49</v>
          </cell>
          <cell r="H1016">
            <v>6.3</v>
          </cell>
          <cell r="I1016">
            <v>0.19</v>
          </cell>
          <cell r="K1016" t="str">
            <v>m</v>
          </cell>
          <cell r="L1016">
            <v>6.49</v>
          </cell>
        </row>
        <row r="1017">
          <cell r="A1017">
            <v>3522</v>
          </cell>
          <cell r="B1017">
            <v>1</v>
          </cell>
          <cell r="D1017" t="str">
            <v>PVC雨水管φ100</v>
          </cell>
          <cell r="E1017" t="str">
            <v>m</v>
          </cell>
          <cell r="G1017">
            <v>21.73</v>
          </cell>
          <cell r="H1017">
            <v>21.1</v>
          </cell>
          <cell r="I1017">
            <v>0.63</v>
          </cell>
          <cell r="K1017" t="str">
            <v>m</v>
          </cell>
          <cell r="L1017">
            <v>21.73</v>
          </cell>
        </row>
        <row r="1018">
          <cell r="A1018">
            <v>3523</v>
          </cell>
          <cell r="B1018">
            <v>1</v>
          </cell>
          <cell r="D1018" t="str">
            <v>塑料排水管件</v>
          </cell>
          <cell r="E1018" t="str">
            <v>个</v>
          </cell>
          <cell r="G1018">
            <v>3.61</v>
          </cell>
          <cell r="H1018">
            <v>3.5</v>
          </cell>
          <cell r="I1018">
            <v>0.11</v>
          </cell>
          <cell r="K1018" t="str">
            <v>个</v>
          </cell>
          <cell r="L1018">
            <v>3.61</v>
          </cell>
        </row>
        <row r="1019">
          <cell r="A1019">
            <v>3524</v>
          </cell>
          <cell r="B1019">
            <v>1</v>
          </cell>
          <cell r="D1019" t="str">
            <v>改性聚丙烯塑料管 ф60×6.0mm</v>
          </cell>
          <cell r="E1019" t="str">
            <v>m</v>
          </cell>
          <cell r="G1019">
            <v>19.909999999999997</v>
          </cell>
          <cell r="H1019">
            <v>19.329999999999998</v>
          </cell>
          <cell r="I1019">
            <v>0.57999999999999996</v>
          </cell>
          <cell r="K1019" t="str">
            <v>m</v>
          </cell>
          <cell r="L1019">
            <v>19.909999999999997</v>
          </cell>
        </row>
        <row r="1020">
          <cell r="A1020">
            <v>3525</v>
          </cell>
          <cell r="B1020">
            <v>1</v>
          </cell>
          <cell r="D1020" t="str">
            <v>改性聚丙烯塑料管 ф76×5.0mm</v>
          </cell>
          <cell r="E1020" t="str">
            <v>m</v>
          </cell>
          <cell r="G1020">
            <v>21.02</v>
          </cell>
          <cell r="H1020">
            <v>20.41</v>
          </cell>
          <cell r="I1020">
            <v>0.61</v>
          </cell>
          <cell r="K1020" t="str">
            <v>m</v>
          </cell>
          <cell r="L1020">
            <v>21.02</v>
          </cell>
        </row>
        <row r="1021">
          <cell r="A1021">
            <v>3526</v>
          </cell>
          <cell r="B1021">
            <v>1</v>
          </cell>
          <cell r="D1021" t="str">
            <v>改性聚丙烯塑料管 ф74×9.0mm</v>
          </cell>
          <cell r="E1021" t="str">
            <v>m</v>
          </cell>
          <cell r="G1021">
            <v>36.840000000000003</v>
          </cell>
          <cell r="H1021">
            <v>35.770000000000003</v>
          </cell>
          <cell r="I1021">
            <v>1.07</v>
          </cell>
          <cell r="K1021" t="str">
            <v>m</v>
          </cell>
          <cell r="L1021">
            <v>36.840000000000003</v>
          </cell>
        </row>
        <row r="1022">
          <cell r="A1022">
            <v>3527</v>
          </cell>
          <cell r="B1022">
            <v>1</v>
          </cell>
          <cell r="D1022" t="str">
            <v>改性聚丙烯塑料管 ф89×8.5mm</v>
          </cell>
          <cell r="E1022" t="str">
            <v>m</v>
          </cell>
          <cell r="G1022">
            <v>41.85</v>
          </cell>
          <cell r="H1022">
            <v>40.630000000000003</v>
          </cell>
          <cell r="I1022">
            <v>1.22</v>
          </cell>
          <cell r="K1022" t="str">
            <v>m</v>
          </cell>
          <cell r="L1022">
            <v>41.85</v>
          </cell>
        </row>
        <row r="1023">
          <cell r="A1023">
            <v>3528</v>
          </cell>
          <cell r="B1023">
            <v>1</v>
          </cell>
          <cell r="D1023" t="str">
            <v>改性聚丙烯塑料管 ф110mm</v>
          </cell>
          <cell r="E1023" t="str">
            <v>m</v>
          </cell>
          <cell r="G1023">
            <v>51.73</v>
          </cell>
          <cell r="H1023">
            <v>50.22</v>
          </cell>
          <cell r="I1023">
            <v>1.51</v>
          </cell>
          <cell r="K1023" t="str">
            <v>m</v>
          </cell>
          <cell r="L1023">
            <v>51.73</v>
          </cell>
        </row>
        <row r="1024">
          <cell r="A1024">
            <v>3529</v>
          </cell>
          <cell r="B1024">
            <v>1</v>
          </cell>
          <cell r="D1024" t="str">
            <v xml:space="preserve">聚氨脂软泡沫塑料JM2 </v>
          </cell>
          <cell r="E1024" t="str">
            <v>kg</v>
          </cell>
          <cell r="G1024">
            <v>36.93</v>
          </cell>
          <cell r="H1024">
            <v>35.85</v>
          </cell>
          <cell r="I1024">
            <v>1.08</v>
          </cell>
          <cell r="K1024" t="str">
            <v>kg</v>
          </cell>
          <cell r="L1024">
            <v>36.93</v>
          </cell>
        </row>
        <row r="1025">
          <cell r="A1025">
            <v>3530</v>
          </cell>
          <cell r="B1025">
            <v>1</v>
          </cell>
          <cell r="D1025" t="str">
            <v>改性聚丙烯塑料垫片 ф127×ф56mm</v>
          </cell>
          <cell r="E1025" t="str">
            <v>个</v>
          </cell>
          <cell r="G1025">
            <v>2.4699999999999998</v>
          </cell>
          <cell r="H1025">
            <v>2.4</v>
          </cell>
          <cell r="I1025">
            <v>7.0000000000000007E-2</v>
          </cell>
          <cell r="K1025" t="str">
            <v>个</v>
          </cell>
          <cell r="L1025">
            <v>2.4699999999999998</v>
          </cell>
        </row>
        <row r="1026">
          <cell r="A1026">
            <v>3531</v>
          </cell>
          <cell r="B1026">
            <v>1</v>
          </cell>
          <cell r="D1026" t="str">
            <v>尼龙筛网 18目幅宽1m</v>
          </cell>
          <cell r="E1026" t="str">
            <v>m</v>
          </cell>
          <cell r="G1026">
            <v>21.02</v>
          </cell>
          <cell r="H1026">
            <v>20.41</v>
          </cell>
          <cell r="I1026">
            <v>0.61</v>
          </cell>
          <cell r="K1026" t="str">
            <v>m</v>
          </cell>
          <cell r="L1026">
            <v>21.02</v>
          </cell>
        </row>
        <row r="1027">
          <cell r="A1027">
            <v>3532</v>
          </cell>
          <cell r="B1027">
            <v>1</v>
          </cell>
          <cell r="D1027" t="str">
            <v>涤纶无纺过滤布 幅宽0.92m 150g/m2</v>
          </cell>
          <cell r="E1027" t="str">
            <v>m</v>
          </cell>
          <cell r="G1027">
            <v>17.690000000000001</v>
          </cell>
          <cell r="H1027">
            <v>17.170000000000002</v>
          </cell>
          <cell r="I1027">
            <v>0.52</v>
          </cell>
          <cell r="K1027" t="str">
            <v>m</v>
          </cell>
          <cell r="L1027">
            <v>17.690000000000001</v>
          </cell>
        </row>
        <row r="1028">
          <cell r="A1028">
            <v>3533</v>
          </cell>
          <cell r="B1028">
            <v>1</v>
          </cell>
          <cell r="D1028" t="str">
            <v>涤纶无纺过滤布 幅宽0.92m 250g/m2</v>
          </cell>
          <cell r="E1028" t="str">
            <v>m</v>
          </cell>
          <cell r="G1028">
            <v>29.48</v>
          </cell>
          <cell r="H1028">
            <v>28.62</v>
          </cell>
          <cell r="I1028">
            <v>0.86</v>
          </cell>
          <cell r="K1028" t="str">
            <v>m</v>
          </cell>
          <cell r="L1028">
            <v>29.48</v>
          </cell>
        </row>
        <row r="1029">
          <cell r="A1029">
            <v>3534</v>
          </cell>
          <cell r="B1029">
            <v>1</v>
          </cell>
          <cell r="D1029" t="str">
            <v>粘胶(水基胶)SJ-1-a 乳胶</v>
          </cell>
          <cell r="E1029" t="str">
            <v>kg</v>
          </cell>
          <cell r="G1029">
            <v>9.6</v>
          </cell>
          <cell r="H1029">
            <v>9.32</v>
          </cell>
          <cell r="I1029">
            <v>0.28000000000000003</v>
          </cell>
          <cell r="K1029" t="str">
            <v>kg</v>
          </cell>
          <cell r="L1029">
            <v>9.6</v>
          </cell>
        </row>
        <row r="1030">
          <cell r="A1030">
            <v>3535</v>
          </cell>
          <cell r="B1030">
            <v>1</v>
          </cell>
          <cell r="D1030" t="str">
            <v>尼龙线绳 3×8</v>
          </cell>
          <cell r="E1030" t="str">
            <v>kg</v>
          </cell>
          <cell r="G1030">
            <v>60.67</v>
          </cell>
          <cell r="H1030">
            <v>58.9</v>
          </cell>
          <cell r="I1030">
            <v>1.77</v>
          </cell>
          <cell r="K1030" t="str">
            <v>kg</v>
          </cell>
          <cell r="L1030">
            <v>60.67</v>
          </cell>
        </row>
        <row r="1031">
          <cell r="A1031">
            <v>3536</v>
          </cell>
          <cell r="B1031">
            <v>1</v>
          </cell>
          <cell r="D1031" t="str">
            <v>软质塑料发泡粘接剂</v>
          </cell>
          <cell r="E1031" t="str">
            <v>kg</v>
          </cell>
          <cell r="G1031">
            <v>23.46</v>
          </cell>
          <cell r="H1031">
            <v>22.78</v>
          </cell>
          <cell r="I1031">
            <v>0.68</v>
          </cell>
          <cell r="K1031" t="str">
            <v>kg</v>
          </cell>
          <cell r="L1031">
            <v>23.46</v>
          </cell>
        </row>
        <row r="1032">
          <cell r="A1032">
            <v>3537</v>
          </cell>
          <cell r="B1032">
            <v>1</v>
          </cell>
          <cell r="D1032" t="str">
            <v>塑料排水管</v>
          </cell>
          <cell r="E1032" t="str">
            <v>m</v>
          </cell>
          <cell r="G1032">
            <v>20.39</v>
          </cell>
          <cell r="H1032">
            <v>19.8</v>
          </cell>
          <cell r="I1032">
            <v>0.59</v>
          </cell>
          <cell r="K1032" t="str">
            <v>m</v>
          </cell>
          <cell r="L1032">
            <v>20.39</v>
          </cell>
        </row>
        <row r="1033">
          <cell r="A1033">
            <v>3538</v>
          </cell>
          <cell r="B1033">
            <v>1</v>
          </cell>
          <cell r="D1033" t="str">
            <v>改性聚丙烯塑料引水弯管 ф25</v>
          </cell>
          <cell r="E1033" t="str">
            <v>个</v>
          </cell>
          <cell r="G1033">
            <v>12.12</v>
          </cell>
          <cell r="H1033">
            <v>11.77</v>
          </cell>
          <cell r="I1033">
            <v>0.35</v>
          </cell>
          <cell r="K1033" t="str">
            <v>个</v>
          </cell>
          <cell r="L1033">
            <v>12.12</v>
          </cell>
        </row>
        <row r="1034">
          <cell r="A1034">
            <v>3539</v>
          </cell>
          <cell r="B1034">
            <v>1</v>
          </cell>
          <cell r="D1034" t="str">
            <v>聚乙烯硬塑料连接首</v>
          </cell>
          <cell r="E1034" t="str">
            <v>个</v>
          </cell>
          <cell r="G1034">
            <v>33.369999999999997</v>
          </cell>
          <cell r="H1034">
            <v>32.4</v>
          </cell>
          <cell r="I1034">
            <v>0.97</v>
          </cell>
          <cell r="K1034" t="str">
            <v>个</v>
          </cell>
          <cell r="L1034">
            <v>33.369999999999997</v>
          </cell>
        </row>
        <row r="1035">
          <cell r="A1035">
            <v>3540</v>
          </cell>
          <cell r="B1035">
            <v>1</v>
          </cell>
          <cell r="D1035" t="str">
            <v>聚乙烯硬塑料花管 ф110</v>
          </cell>
          <cell r="E1035" t="str">
            <v>m</v>
          </cell>
          <cell r="G1035">
            <v>51.73</v>
          </cell>
          <cell r="H1035">
            <v>50.22</v>
          </cell>
          <cell r="I1035">
            <v>1.51</v>
          </cell>
          <cell r="K1035" t="str">
            <v>m</v>
          </cell>
          <cell r="L1035">
            <v>51.73</v>
          </cell>
        </row>
        <row r="1036">
          <cell r="A1036">
            <v>3541</v>
          </cell>
          <cell r="B1036">
            <v>1</v>
          </cell>
          <cell r="D1036" t="str">
            <v>橡胶防水板</v>
          </cell>
          <cell r="E1036" t="str">
            <v>m2</v>
          </cell>
          <cell r="G1036">
            <v>20.6</v>
          </cell>
          <cell r="H1036">
            <v>20</v>
          </cell>
          <cell r="I1036">
            <v>0.6</v>
          </cell>
          <cell r="K1036" t="str">
            <v>m2</v>
          </cell>
          <cell r="L1036">
            <v>20.6</v>
          </cell>
        </row>
        <row r="1037">
          <cell r="A1037">
            <v>3542</v>
          </cell>
          <cell r="B1037">
            <v>1</v>
          </cell>
          <cell r="D1037" t="str">
            <v>聚氯乙烯塑料</v>
          </cell>
          <cell r="E1037" t="str">
            <v>m2</v>
          </cell>
          <cell r="G1037">
            <v>32.96</v>
          </cell>
          <cell r="H1037">
            <v>32</v>
          </cell>
          <cell r="I1037">
            <v>0.96</v>
          </cell>
          <cell r="K1037" t="str">
            <v>m2</v>
          </cell>
          <cell r="L1037">
            <v>32.96</v>
          </cell>
        </row>
        <row r="1038">
          <cell r="A1038">
            <v>3543</v>
          </cell>
          <cell r="B1038">
            <v>1</v>
          </cell>
          <cell r="D1038" t="str">
            <v>橡胶盲沟(宽360mm)</v>
          </cell>
          <cell r="E1038" t="str">
            <v>m</v>
          </cell>
          <cell r="G1038">
            <v>61.8</v>
          </cell>
          <cell r="H1038">
            <v>60</v>
          </cell>
          <cell r="I1038">
            <v>1.8</v>
          </cell>
          <cell r="K1038" t="str">
            <v>m</v>
          </cell>
          <cell r="L1038">
            <v>61.8</v>
          </cell>
        </row>
        <row r="1039">
          <cell r="A1039">
            <v>3544</v>
          </cell>
          <cell r="B1039">
            <v>1</v>
          </cell>
          <cell r="D1039" t="str">
            <v>塑料排水板  96g/m</v>
          </cell>
          <cell r="E1039" t="str">
            <v>m</v>
          </cell>
          <cell r="G1039">
            <v>2.06</v>
          </cell>
          <cell r="H1039">
            <v>2</v>
          </cell>
          <cell r="I1039">
            <v>0.06</v>
          </cell>
          <cell r="K1039" t="str">
            <v>m</v>
          </cell>
          <cell r="L1039">
            <v>2.06</v>
          </cell>
        </row>
        <row r="1040">
          <cell r="A1040">
            <v>3545</v>
          </cell>
          <cell r="B1040">
            <v>1</v>
          </cell>
          <cell r="D1040" t="str">
            <v>塑料排水板100mm*4mm</v>
          </cell>
          <cell r="E1040" t="str">
            <v>m</v>
          </cell>
          <cell r="G1040">
            <v>0.93</v>
          </cell>
          <cell r="H1040">
            <v>0.9</v>
          </cell>
          <cell r="I1040">
            <v>0.03</v>
          </cell>
          <cell r="K1040" t="str">
            <v>m</v>
          </cell>
          <cell r="L1040">
            <v>0.93</v>
          </cell>
        </row>
        <row r="1041">
          <cell r="A1041">
            <v>3546</v>
          </cell>
          <cell r="B1041">
            <v>1</v>
          </cell>
          <cell r="D1041" t="str">
            <v>塑料排水板100mm*4.5mm</v>
          </cell>
          <cell r="E1041" t="str">
            <v>m</v>
          </cell>
          <cell r="G1041">
            <v>0.96000000000000008</v>
          </cell>
          <cell r="H1041">
            <v>0.93</v>
          </cell>
          <cell r="I1041">
            <v>0.03</v>
          </cell>
          <cell r="K1041" t="str">
            <v>m</v>
          </cell>
          <cell r="L1041">
            <v>0.96000000000000008</v>
          </cell>
        </row>
        <row r="1042">
          <cell r="A1042">
            <v>3547</v>
          </cell>
          <cell r="B1042">
            <v>1</v>
          </cell>
          <cell r="D1042" t="str">
            <v xml:space="preserve">塑料编织袋 </v>
          </cell>
          <cell r="E1042" t="str">
            <v>条</v>
          </cell>
          <cell r="G1042">
            <v>1.55</v>
          </cell>
          <cell r="H1042">
            <v>1.5</v>
          </cell>
          <cell r="I1042">
            <v>0.05</v>
          </cell>
          <cell r="K1042" t="str">
            <v>条</v>
          </cell>
          <cell r="L1042">
            <v>1.55</v>
          </cell>
        </row>
        <row r="1043">
          <cell r="A1043">
            <v>3548</v>
          </cell>
          <cell r="B1043">
            <v>1</v>
          </cell>
          <cell r="D1043" t="str">
            <v>聚丙烯塑料拉筋带</v>
          </cell>
          <cell r="E1043" t="str">
            <v>t</v>
          </cell>
          <cell r="G1043">
            <v>9991</v>
          </cell>
          <cell r="H1043">
            <v>9700</v>
          </cell>
          <cell r="I1043">
            <v>291</v>
          </cell>
          <cell r="K1043" t="str">
            <v>t</v>
          </cell>
          <cell r="L1043">
            <v>9991</v>
          </cell>
        </row>
        <row r="1044">
          <cell r="A1044">
            <v>3549</v>
          </cell>
          <cell r="B1044">
            <v>1</v>
          </cell>
          <cell r="D1044" t="str">
            <v>钢拉带</v>
          </cell>
          <cell r="E1044" t="str">
            <v>t</v>
          </cell>
          <cell r="G1044">
            <v>1648</v>
          </cell>
          <cell r="H1044">
            <v>1600</v>
          </cell>
          <cell r="I1044">
            <v>48</v>
          </cell>
          <cell r="K1044" t="str">
            <v>t</v>
          </cell>
          <cell r="L1044">
            <v>1648</v>
          </cell>
        </row>
        <row r="1045">
          <cell r="A1045">
            <v>3550</v>
          </cell>
          <cell r="B1045">
            <v>1</v>
          </cell>
          <cell r="D1045" t="str">
            <v>高压胶管1.5"</v>
          </cell>
          <cell r="E1045" t="str">
            <v>m</v>
          </cell>
          <cell r="G1045">
            <v>21.12</v>
          </cell>
          <cell r="H1045">
            <v>20.5</v>
          </cell>
          <cell r="I1045">
            <v>0.62</v>
          </cell>
          <cell r="K1045" t="str">
            <v>m</v>
          </cell>
          <cell r="L1045">
            <v>21.12</v>
          </cell>
        </row>
        <row r="1046">
          <cell r="A1046">
            <v>3551</v>
          </cell>
          <cell r="B1046">
            <v>1</v>
          </cell>
          <cell r="D1046" t="str">
            <v>高压胶管2"</v>
          </cell>
          <cell r="E1046" t="str">
            <v>m</v>
          </cell>
          <cell r="G1046">
            <v>35.74</v>
          </cell>
          <cell r="H1046">
            <v>34.700000000000003</v>
          </cell>
          <cell r="I1046">
            <v>1.04</v>
          </cell>
          <cell r="K1046" t="str">
            <v>m</v>
          </cell>
          <cell r="L1046">
            <v>35.74</v>
          </cell>
        </row>
        <row r="1047">
          <cell r="A1047">
            <v>3552</v>
          </cell>
          <cell r="B1047">
            <v>1</v>
          </cell>
          <cell r="D1047" t="str">
            <v>胶管</v>
          </cell>
          <cell r="E1047" t="str">
            <v>m</v>
          </cell>
          <cell r="G1047">
            <v>26.75</v>
          </cell>
          <cell r="H1047">
            <v>25.97</v>
          </cell>
          <cell r="I1047">
            <v>0.78</v>
          </cell>
          <cell r="K1047" t="str">
            <v>m</v>
          </cell>
          <cell r="L1047">
            <v>26.75</v>
          </cell>
        </row>
        <row r="1048">
          <cell r="A1048">
            <v>3553</v>
          </cell>
          <cell r="B1048">
            <v>1</v>
          </cell>
          <cell r="D1048" t="str">
            <v>胶管2.5"</v>
          </cell>
          <cell r="E1048" t="str">
            <v>m</v>
          </cell>
          <cell r="G1048">
            <v>20.09</v>
          </cell>
          <cell r="H1048">
            <v>19.5</v>
          </cell>
          <cell r="I1048">
            <v>0.59</v>
          </cell>
          <cell r="K1048" t="str">
            <v>m</v>
          </cell>
          <cell r="L1048">
            <v>20.09</v>
          </cell>
        </row>
        <row r="1049">
          <cell r="A1049">
            <v>3554</v>
          </cell>
          <cell r="B1049">
            <v>1</v>
          </cell>
          <cell r="D1049" t="str">
            <v>胶管1.5"</v>
          </cell>
          <cell r="E1049" t="str">
            <v>m</v>
          </cell>
          <cell r="G1049">
            <v>18.54</v>
          </cell>
          <cell r="H1049">
            <v>18</v>
          </cell>
          <cell r="I1049">
            <v>0.54</v>
          </cell>
          <cell r="K1049" t="str">
            <v>m</v>
          </cell>
          <cell r="L1049">
            <v>18.54</v>
          </cell>
        </row>
        <row r="1050">
          <cell r="A1050">
            <v>3555</v>
          </cell>
          <cell r="B1050">
            <v>1</v>
          </cell>
          <cell r="D1050" t="str">
            <v>胶管1"</v>
          </cell>
          <cell r="E1050" t="str">
            <v>m</v>
          </cell>
          <cell r="G1050">
            <v>17</v>
          </cell>
          <cell r="H1050">
            <v>16.5</v>
          </cell>
          <cell r="I1050">
            <v>0.5</v>
          </cell>
          <cell r="K1050" t="str">
            <v>m</v>
          </cell>
          <cell r="L1050">
            <v>17</v>
          </cell>
        </row>
        <row r="1051">
          <cell r="A1051">
            <v>3556</v>
          </cell>
          <cell r="B1051">
            <v>1</v>
          </cell>
          <cell r="D1051" t="str">
            <v>钢筋砼排水管  φ150</v>
          </cell>
          <cell r="E1051" t="str">
            <v>m</v>
          </cell>
          <cell r="G1051">
            <v>59.74</v>
          </cell>
          <cell r="H1051">
            <v>58</v>
          </cell>
          <cell r="I1051">
            <v>1.74</v>
          </cell>
          <cell r="K1051" t="str">
            <v>m</v>
          </cell>
          <cell r="L1051">
            <v>59.74</v>
          </cell>
        </row>
        <row r="1052">
          <cell r="A1052">
            <v>3557</v>
          </cell>
          <cell r="B1052">
            <v>1</v>
          </cell>
          <cell r="D1052" t="str">
            <v>钢筋砼排水管  φ200</v>
          </cell>
          <cell r="E1052" t="str">
            <v>m</v>
          </cell>
          <cell r="G1052">
            <v>63.86</v>
          </cell>
          <cell r="H1052">
            <v>62</v>
          </cell>
          <cell r="I1052">
            <v>1.86</v>
          </cell>
          <cell r="K1052" t="str">
            <v>m</v>
          </cell>
          <cell r="L1052">
            <v>63.86</v>
          </cell>
        </row>
        <row r="1053">
          <cell r="A1053">
            <v>3558</v>
          </cell>
          <cell r="B1053">
            <v>1</v>
          </cell>
          <cell r="D1053" t="str">
            <v>钢筋砼排水管  φ250</v>
          </cell>
          <cell r="E1053" t="str">
            <v>m</v>
          </cell>
          <cell r="G1053">
            <v>92.7</v>
          </cell>
          <cell r="H1053">
            <v>90</v>
          </cell>
          <cell r="I1053">
            <v>2.7</v>
          </cell>
          <cell r="K1053" t="str">
            <v>m</v>
          </cell>
          <cell r="L1053">
            <v>92.7</v>
          </cell>
        </row>
        <row r="1054">
          <cell r="A1054">
            <v>3559</v>
          </cell>
          <cell r="B1054">
            <v>1</v>
          </cell>
          <cell r="D1054" t="str">
            <v>钢筋砼排水管  φ300</v>
          </cell>
          <cell r="E1054" t="str">
            <v>m</v>
          </cell>
          <cell r="G1054">
            <v>117.42</v>
          </cell>
          <cell r="H1054">
            <v>114</v>
          </cell>
          <cell r="I1054">
            <v>3.42</v>
          </cell>
          <cell r="K1054" t="str">
            <v>m</v>
          </cell>
          <cell r="L1054">
            <v>117.42</v>
          </cell>
        </row>
        <row r="1055">
          <cell r="A1055">
            <v>3560</v>
          </cell>
          <cell r="B1055">
            <v>1</v>
          </cell>
          <cell r="D1055" t="str">
            <v>钢筋砼排水管  φ400</v>
          </cell>
          <cell r="E1055" t="str">
            <v>m</v>
          </cell>
          <cell r="G1055">
            <v>149.35</v>
          </cell>
          <cell r="H1055">
            <v>145</v>
          </cell>
          <cell r="I1055">
            <v>4.3499999999999996</v>
          </cell>
          <cell r="K1055" t="str">
            <v>m</v>
          </cell>
          <cell r="L1055">
            <v>149.35</v>
          </cell>
        </row>
        <row r="1056">
          <cell r="A1056">
            <v>3561</v>
          </cell>
          <cell r="B1056">
            <v>1</v>
          </cell>
          <cell r="D1056" t="str">
            <v>钢筋砼排水管  φ500</v>
          </cell>
          <cell r="E1056" t="str">
            <v>m</v>
          </cell>
          <cell r="G1056">
            <v>228.66</v>
          </cell>
          <cell r="H1056">
            <v>222</v>
          </cell>
          <cell r="I1056">
            <v>6.66</v>
          </cell>
          <cell r="K1056" t="str">
            <v>m</v>
          </cell>
          <cell r="L1056">
            <v>228.66</v>
          </cell>
        </row>
        <row r="1057">
          <cell r="A1057">
            <v>3562</v>
          </cell>
          <cell r="B1057">
            <v>1</v>
          </cell>
          <cell r="D1057" t="str">
            <v>钢筋砼排水管  φ600</v>
          </cell>
          <cell r="E1057" t="str">
            <v>m</v>
          </cell>
          <cell r="G1057">
            <v>309</v>
          </cell>
          <cell r="H1057">
            <v>300</v>
          </cell>
          <cell r="I1057">
            <v>9</v>
          </cell>
          <cell r="K1057" t="str">
            <v>m</v>
          </cell>
          <cell r="L1057">
            <v>309</v>
          </cell>
        </row>
        <row r="1058">
          <cell r="A1058">
            <v>3563</v>
          </cell>
          <cell r="B1058">
            <v>1</v>
          </cell>
          <cell r="D1058" t="str">
            <v>钢筋砼排水管  φ800</v>
          </cell>
          <cell r="E1058" t="str">
            <v>m</v>
          </cell>
          <cell r="G1058">
            <v>432.6</v>
          </cell>
          <cell r="H1058">
            <v>420</v>
          </cell>
          <cell r="I1058">
            <v>12.6</v>
          </cell>
          <cell r="K1058" t="str">
            <v>m</v>
          </cell>
          <cell r="L1058">
            <v>432.6</v>
          </cell>
        </row>
        <row r="1059">
          <cell r="A1059">
            <v>3564</v>
          </cell>
          <cell r="B1059">
            <v>1</v>
          </cell>
          <cell r="D1059" t="str">
            <v>钢筋砼排水管  φ1000</v>
          </cell>
          <cell r="E1059" t="str">
            <v>m</v>
          </cell>
          <cell r="G1059">
            <v>545.9</v>
          </cell>
          <cell r="H1059">
            <v>530</v>
          </cell>
          <cell r="I1059">
            <v>15.9</v>
          </cell>
          <cell r="K1059" t="str">
            <v>m</v>
          </cell>
          <cell r="L1059">
            <v>545.9</v>
          </cell>
        </row>
        <row r="1060">
          <cell r="A1060">
            <v>3565</v>
          </cell>
          <cell r="B1060">
            <v>1</v>
          </cell>
          <cell r="D1060" t="str">
            <v>钢筋砼排水管  φ1200</v>
          </cell>
          <cell r="E1060" t="str">
            <v>m</v>
          </cell>
          <cell r="G1060">
            <v>745.72</v>
          </cell>
          <cell r="H1060">
            <v>724</v>
          </cell>
          <cell r="I1060">
            <v>21.72</v>
          </cell>
          <cell r="K1060" t="str">
            <v>m</v>
          </cell>
          <cell r="L1060">
            <v>745.72</v>
          </cell>
        </row>
        <row r="1061">
          <cell r="A1061">
            <v>3566</v>
          </cell>
          <cell r="B1061">
            <v>1</v>
          </cell>
          <cell r="D1061" t="str">
            <v>钢筋砼排水管  φ1400</v>
          </cell>
          <cell r="E1061" t="str">
            <v>m</v>
          </cell>
          <cell r="G1061">
            <v>1040.3</v>
          </cell>
          <cell r="H1061">
            <v>1010</v>
          </cell>
          <cell r="I1061">
            <v>30.3</v>
          </cell>
          <cell r="K1061" t="str">
            <v>m</v>
          </cell>
          <cell r="L1061">
            <v>1040.3</v>
          </cell>
        </row>
        <row r="1062">
          <cell r="A1062">
            <v>3567</v>
          </cell>
          <cell r="B1062">
            <v>1</v>
          </cell>
          <cell r="D1062" t="str">
            <v>钢筋砼排水管  φ1500</v>
          </cell>
          <cell r="E1062" t="str">
            <v>m</v>
          </cell>
          <cell r="G1062">
            <v>1091.8</v>
          </cell>
          <cell r="H1062">
            <v>1060</v>
          </cell>
          <cell r="I1062">
            <v>31.8</v>
          </cell>
          <cell r="K1062" t="str">
            <v>m</v>
          </cell>
          <cell r="L1062">
            <v>1091.8</v>
          </cell>
        </row>
        <row r="1063">
          <cell r="A1063">
            <v>3568</v>
          </cell>
          <cell r="B1063">
            <v>1</v>
          </cell>
          <cell r="D1063" t="str">
            <v>钢筋砼排水管  φ1600</v>
          </cell>
          <cell r="E1063" t="str">
            <v>m</v>
          </cell>
          <cell r="G1063">
            <v>1586.2</v>
          </cell>
          <cell r="H1063">
            <v>1540</v>
          </cell>
          <cell r="I1063">
            <v>46.2</v>
          </cell>
          <cell r="K1063" t="str">
            <v>m</v>
          </cell>
          <cell r="L1063">
            <v>1586.2</v>
          </cell>
        </row>
        <row r="1064">
          <cell r="A1064">
            <v>3569</v>
          </cell>
          <cell r="B1064">
            <v>1</v>
          </cell>
          <cell r="D1064" t="str">
            <v>钢筋砼排水管  φ1800</v>
          </cell>
          <cell r="E1064" t="str">
            <v>m</v>
          </cell>
          <cell r="G1064">
            <v>2163</v>
          </cell>
          <cell r="H1064">
            <v>2100</v>
          </cell>
          <cell r="I1064">
            <v>63</v>
          </cell>
          <cell r="K1064" t="str">
            <v>m</v>
          </cell>
          <cell r="L1064">
            <v>2163</v>
          </cell>
        </row>
        <row r="1065">
          <cell r="A1065">
            <v>3570</v>
          </cell>
          <cell r="B1065">
            <v>1</v>
          </cell>
          <cell r="D1065" t="str">
            <v>钢筋砼排水管  φ2000</v>
          </cell>
          <cell r="E1065" t="str">
            <v>m</v>
          </cell>
          <cell r="G1065">
            <v>2472</v>
          </cell>
          <cell r="H1065">
            <v>2400</v>
          </cell>
          <cell r="I1065">
            <v>72</v>
          </cell>
          <cell r="K1065" t="str">
            <v>m</v>
          </cell>
          <cell r="L1065">
            <v>2472</v>
          </cell>
        </row>
        <row r="1066">
          <cell r="A1066">
            <v>3571</v>
          </cell>
          <cell r="B1066">
            <v>1</v>
          </cell>
          <cell r="D1066" t="str">
            <v>钢筋砼排水管  φ3000</v>
          </cell>
          <cell r="E1066" t="str">
            <v>m</v>
          </cell>
          <cell r="G1066">
            <v>3296</v>
          </cell>
          <cell r="H1066">
            <v>3200</v>
          </cell>
          <cell r="I1066">
            <v>96</v>
          </cell>
          <cell r="K1066" t="str">
            <v>m</v>
          </cell>
          <cell r="L1066">
            <v>3296</v>
          </cell>
        </row>
        <row r="1067">
          <cell r="A1067">
            <v>3572</v>
          </cell>
          <cell r="B1067">
            <v>1</v>
          </cell>
          <cell r="D1067" t="str">
            <v>不锈钢排水管  φ159</v>
          </cell>
          <cell r="E1067" t="str">
            <v>kg</v>
          </cell>
          <cell r="G1067">
            <v>17.510000000000002</v>
          </cell>
          <cell r="H1067">
            <v>17</v>
          </cell>
          <cell r="I1067">
            <v>0.51</v>
          </cell>
          <cell r="K1067" t="str">
            <v>kg</v>
          </cell>
          <cell r="L1067">
            <v>17.510000000000002</v>
          </cell>
        </row>
        <row r="1068">
          <cell r="A1068">
            <v>3573</v>
          </cell>
          <cell r="B1068">
            <v>1</v>
          </cell>
          <cell r="D1068" t="str">
            <v xml:space="preserve">不锈钢管 </v>
          </cell>
          <cell r="E1068" t="str">
            <v>kg</v>
          </cell>
          <cell r="G1068">
            <v>17.510000000000002</v>
          </cell>
          <cell r="H1068">
            <v>17</v>
          </cell>
          <cell r="I1068">
            <v>0.51</v>
          </cell>
          <cell r="K1068" t="str">
            <v>kg</v>
          </cell>
          <cell r="L1068">
            <v>17.510000000000002</v>
          </cell>
        </row>
        <row r="1069">
          <cell r="A1069">
            <v>3574</v>
          </cell>
          <cell r="B1069">
            <v>1</v>
          </cell>
          <cell r="D1069" t="str">
            <v>不锈钢管  φ273*8</v>
          </cell>
          <cell r="E1069" t="str">
            <v>m</v>
          </cell>
          <cell r="G1069">
            <v>1961.65</v>
          </cell>
          <cell r="H1069">
            <v>1904.51</v>
          </cell>
          <cell r="I1069">
            <v>57.14</v>
          </cell>
          <cell r="K1069" t="str">
            <v>m</v>
          </cell>
          <cell r="L1069">
            <v>1961.65</v>
          </cell>
        </row>
        <row r="1070">
          <cell r="A1070">
            <v>3575</v>
          </cell>
          <cell r="B1070">
            <v>1</v>
          </cell>
          <cell r="D1070" t="str">
            <v>不锈钢弯头  φ273*8</v>
          </cell>
          <cell r="E1070" t="str">
            <v>只</v>
          </cell>
          <cell r="G1070">
            <v>3213.6</v>
          </cell>
          <cell r="H1070">
            <v>3120</v>
          </cell>
          <cell r="I1070">
            <v>93.6</v>
          </cell>
          <cell r="K1070" t="str">
            <v>只</v>
          </cell>
          <cell r="L1070">
            <v>3213.6</v>
          </cell>
        </row>
        <row r="1071">
          <cell r="A1071">
            <v>3576</v>
          </cell>
          <cell r="B1071">
            <v>1</v>
          </cell>
          <cell r="D1071" t="str">
            <v xml:space="preserve">不锈钢无缝钢管  </v>
          </cell>
          <cell r="E1071" t="str">
            <v>kg</v>
          </cell>
          <cell r="G1071">
            <v>37.450000000000003</v>
          </cell>
          <cell r="H1071">
            <v>36.36</v>
          </cell>
          <cell r="I1071">
            <v>1.0900000000000001</v>
          </cell>
          <cell r="K1071" t="str">
            <v>kg</v>
          </cell>
          <cell r="L1071">
            <v>37.450000000000003</v>
          </cell>
        </row>
        <row r="1072">
          <cell r="A1072">
            <v>3577</v>
          </cell>
          <cell r="B1072">
            <v>1</v>
          </cell>
          <cell r="D1072" t="str">
            <v>PVC排水滤管φ50</v>
          </cell>
          <cell r="E1072" t="str">
            <v>m</v>
          </cell>
          <cell r="G1072">
            <v>8.5500000000000007</v>
          </cell>
          <cell r="H1072">
            <v>8.3000000000000007</v>
          </cell>
          <cell r="I1072">
            <v>0.25</v>
          </cell>
          <cell r="K1072" t="str">
            <v>m</v>
          </cell>
          <cell r="L1072">
            <v>8.5500000000000007</v>
          </cell>
        </row>
        <row r="1073">
          <cell r="A1073">
            <v>3578</v>
          </cell>
          <cell r="B1073">
            <v>1</v>
          </cell>
          <cell r="D1073" t="str">
            <v>PVC排水管φ200</v>
          </cell>
          <cell r="E1073" t="str">
            <v>m</v>
          </cell>
          <cell r="G1073">
            <v>83.759999999999991</v>
          </cell>
          <cell r="H1073">
            <v>81.319999999999993</v>
          </cell>
          <cell r="I1073">
            <v>2.44</v>
          </cell>
          <cell r="K1073" t="str">
            <v>m</v>
          </cell>
          <cell r="L1073">
            <v>83.759999999999991</v>
          </cell>
        </row>
        <row r="1074">
          <cell r="A1074">
            <v>3579</v>
          </cell>
          <cell r="B1074">
            <v>1</v>
          </cell>
          <cell r="D1074" t="str">
            <v>PVC排水管φ100</v>
          </cell>
          <cell r="E1074" t="str">
            <v>m</v>
          </cell>
          <cell r="G1074">
            <v>20.100000000000001</v>
          </cell>
          <cell r="H1074">
            <v>19.510000000000002</v>
          </cell>
          <cell r="I1074">
            <v>0.59</v>
          </cell>
          <cell r="K1074" t="str">
            <v>m</v>
          </cell>
          <cell r="L1074">
            <v>20.100000000000001</v>
          </cell>
        </row>
        <row r="1075">
          <cell r="A1075">
            <v>3580</v>
          </cell>
          <cell r="B1075">
            <v>1</v>
          </cell>
          <cell r="D1075" t="str">
            <v>PVC排水管φ65</v>
          </cell>
          <cell r="E1075" t="str">
            <v>m</v>
          </cell>
          <cell r="G1075">
            <v>12.98</v>
          </cell>
          <cell r="H1075">
            <v>12.6</v>
          </cell>
          <cell r="I1075">
            <v>0.38</v>
          </cell>
          <cell r="K1075" t="str">
            <v>m</v>
          </cell>
          <cell r="L1075">
            <v>12.98</v>
          </cell>
        </row>
        <row r="1076">
          <cell r="A1076">
            <v>3581</v>
          </cell>
          <cell r="B1076">
            <v>1</v>
          </cell>
          <cell r="D1076" t="str">
            <v>PVC排水管φ60</v>
          </cell>
          <cell r="E1076" t="str">
            <v>m</v>
          </cell>
          <cell r="G1076">
            <v>11.120000000000001</v>
          </cell>
          <cell r="H1076">
            <v>10.8</v>
          </cell>
          <cell r="I1076">
            <v>0.32</v>
          </cell>
          <cell r="K1076" t="str">
            <v>m</v>
          </cell>
          <cell r="L1076">
            <v>11.120000000000001</v>
          </cell>
        </row>
        <row r="1077">
          <cell r="A1077">
            <v>3582</v>
          </cell>
          <cell r="B1077">
            <v>1</v>
          </cell>
          <cell r="D1077" t="str">
            <v>PVC管φ50</v>
          </cell>
          <cell r="E1077" t="str">
            <v>m</v>
          </cell>
          <cell r="G1077">
            <v>8.24</v>
          </cell>
          <cell r="H1077">
            <v>8</v>
          </cell>
          <cell r="I1077">
            <v>0.24</v>
          </cell>
          <cell r="K1077" t="str">
            <v>m</v>
          </cell>
          <cell r="L1077">
            <v>8.24</v>
          </cell>
        </row>
        <row r="1078">
          <cell r="A1078">
            <v>3583</v>
          </cell>
          <cell r="B1078">
            <v>1</v>
          </cell>
          <cell r="D1078" t="str">
            <v>弹簧管</v>
          </cell>
          <cell r="E1078" t="str">
            <v>m</v>
          </cell>
          <cell r="G1078">
            <v>5.15</v>
          </cell>
          <cell r="H1078">
            <v>5</v>
          </cell>
          <cell r="I1078">
            <v>0.15</v>
          </cell>
          <cell r="K1078" t="str">
            <v>m</v>
          </cell>
          <cell r="L1078">
            <v>5.15</v>
          </cell>
        </row>
        <row r="1079">
          <cell r="A1079">
            <v>3584</v>
          </cell>
          <cell r="B1079">
            <v>1</v>
          </cell>
          <cell r="D1079" t="str">
            <v>1mm厚塑料板</v>
          </cell>
          <cell r="E1079" t="str">
            <v>m2</v>
          </cell>
          <cell r="G1079">
            <v>13.39</v>
          </cell>
          <cell r="H1079">
            <v>13</v>
          </cell>
          <cell r="I1079">
            <v>0.39</v>
          </cell>
          <cell r="K1079" t="str">
            <v>m2</v>
          </cell>
          <cell r="L1079">
            <v>13.39</v>
          </cell>
        </row>
        <row r="1080">
          <cell r="A1080">
            <v>3585</v>
          </cell>
          <cell r="B1080">
            <v>1</v>
          </cell>
          <cell r="D1080" t="str">
            <v>不锈钢平焊法兰1MPφ100</v>
          </cell>
          <cell r="E1080" t="str">
            <v>片</v>
          </cell>
          <cell r="G1080">
            <v>174.07</v>
          </cell>
          <cell r="H1080">
            <v>169</v>
          </cell>
          <cell r="I1080">
            <v>5.07</v>
          </cell>
          <cell r="K1080" t="str">
            <v>片</v>
          </cell>
          <cell r="L1080">
            <v>174.07</v>
          </cell>
        </row>
        <row r="1081">
          <cell r="A1081">
            <v>3586</v>
          </cell>
          <cell r="B1081">
            <v>1</v>
          </cell>
          <cell r="D1081" t="str">
            <v>不锈钢平焊法兰1MPφ350</v>
          </cell>
          <cell r="E1081" t="str">
            <v>片</v>
          </cell>
          <cell r="G1081">
            <v>1021.76</v>
          </cell>
          <cell r="H1081">
            <v>992</v>
          </cell>
          <cell r="I1081">
            <v>29.76</v>
          </cell>
          <cell r="K1081" t="str">
            <v>片</v>
          </cell>
          <cell r="L1081">
            <v>1021.76</v>
          </cell>
        </row>
        <row r="1082">
          <cell r="A1082">
            <v>3587</v>
          </cell>
          <cell r="B1082">
            <v>1</v>
          </cell>
          <cell r="D1082" t="str">
            <v>铸铁排水管DN75</v>
          </cell>
          <cell r="E1082" t="str">
            <v>m</v>
          </cell>
          <cell r="G1082">
            <v>19.57</v>
          </cell>
          <cell r="H1082">
            <v>19</v>
          </cell>
          <cell r="I1082">
            <v>0.56999999999999995</v>
          </cell>
          <cell r="K1082" t="str">
            <v>m</v>
          </cell>
          <cell r="L1082">
            <v>19.57</v>
          </cell>
        </row>
        <row r="1083">
          <cell r="A1083">
            <v>3588</v>
          </cell>
          <cell r="B1083">
            <v>1</v>
          </cell>
          <cell r="D1083" t="str">
            <v>铸铁排水接轮</v>
          </cell>
          <cell r="E1083" t="str">
            <v>个</v>
          </cell>
          <cell r="G1083">
            <v>9.25</v>
          </cell>
          <cell r="H1083">
            <v>8.98</v>
          </cell>
          <cell r="I1083">
            <v>0.27</v>
          </cell>
          <cell r="K1083" t="str">
            <v>个</v>
          </cell>
          <cell r="L1083">
            <v>9.25</v>
          </cell>
        </row>
        <row r="1084">
          <cell r="A1084">
            <v>3589</v>
          </cell>
          <cell r="B1084">
            <v>1</v>
          </cell>
          <cell r="D1084" t="str">
            <v>石棉绒</v>
          </cell>
          <cell r="E1084" t="str">
            <v>kg</v>
          </cell>
          <cell r="G1084">
            <v>8.23</v>
          </cell>
          <cell r="H1084">
            <v>7.99</v>
          </cell>
          <cell r="I1084">
            <v>0.24</v>
          </cell>
          <cell r="K1084" t="str">
            <v>kg</v>
          </cell>
          <cell r="L1084">
            <v>8.23</v>
          </cell>
        </row>
        <row r="1085">
          <cell r="A1085">
            <v>3590</v>
          </cell>
          <cell r="B1085">
            <v>1</v>
          </cell>
          <cell r="D1085" t="str">
            <v>油麻</v>
          </cell>
          <cell r="E1085" t="str">
            <v>kg</v>
          </cell>
          <cell r="G1085">
            <v>4.33</v>
          </cell>
          <cell r="H1085">
            <v>4.2</v>
          </cell>
          <cell r="I1085">
            <v>0.13</v>
          </cell>
          <cell r="K1085" t="str">
            <v>kg</v>
          </cell>
          <cell r="L1085">
            <v>4.33</v>
          </cell>
        </row>
        <row r="1086">
          <cell r="A1086">
            <v>3591</v>
          </cell>
          <cell r="B1086">
            <v>1</v>
          </cell>
          <cell r="D1086" t="str">
            <v>氯丁橡胶卷材</v>
          </cell>
          <cell r="E1086" t="str">
            <v>m2</v>
          </cell>
          <cell r="G1086">
            <v>13.93</v>
          </cell>
          <cell r="H1086">
            <v>13.52</v>
          </cell>
          <cell r="I1086">
            <v>0.41</v>
          </cell>
          <cell r="K1086" t="str">
            <v>m2</v>
          </cell>
          <cell r="L1086">
            <v>13.93</v>
          </cell>
        </row>
        <row r="1087">
          <cell r="A1087">
            <v>3592</v>
          </cell>
          <cell r="B1087">
            <v>1</v>
          </cell>
          <cell r="D1087" t="str">
            <v>CY409液</v>
          </cell>
          <cell r="E1087" t="str">
            <v>kg</v>
          </cell>
          <cell r="G1087">
            <v>9.17</v>
          </cell>
          <cell r="H1087">
            <v>8.9</v>
          </cell>
          <cell r="I1087">
            <v>0.27</v>
          </cell>
          <cell r="K1087" t="str">
            <v>kg</v>
          </cell>
          <cell r="L1087">
            <v>9.17</v>
          </cell>
        </row>
        <row r="1088">
          <cell r="A1088">
            <v>3593</v>
          </cell>
          <cell r="B1088">
            <v>1</v>
          </cell>
          <cell r="D1088" t="str">
            <v>氯丁橡胶沥青胶液</v>
          </cell>
          <cell r="E1088" t="str">
            <v>kg</v>
          </cell>
          <cell r="G1088">
            <v>14.27</v>
          </cell>
          <cell r="H1088">
            <v>13.85</v>
          </cell>
          <cell r="I1088">
            <v>0.42</v>
          </cell>
          <cell r="K1088" t="str">
            <v>kg</v>
          </cell>
          <cell r="L1088">
            <v>14.27</v>
          </cell>
        </row>
        <row r="1089">
          <cell r="A1089">
            <v>3594</v>
          </cell>
          <cell r="B1089">
            <v>1</v>
          </cell>
          <cell r="D1089" t="str">
            <v>塑料管φ100δ=2mm</v>
          </cell>
          <cell r="E1089" t="str">
            <v>m</v>
          </cell>
          <cell r="G1089">
            <v>18.5</v>
          </cell>
          <cell r="H1089">
            <v>17.96</v>
          </cell>
          <cell r="I1089">
            <v>0.54</v>
          </cell>
          <cell r="K1089" t="str">
            <v>m</v>
          </cell>
          <cell r="L1089">
            <v>18.5</v>
          </cell>
        </row>
        <row r="1090">
          <cell r="A1090">
            <v>3595</v>
          </cell>
          <cell r="B1090">
            <v>1</v>
          </cell>
          <cell r="G1090">
            <v>0</v>
          </cell>
          <cell r="I1090">
            <v>0</v>
          </cell>
          <cell r="K1090">
            <v>0</v>
          </cell>
          <cell r="L1090">
            <v>0</v>
          </cell>
        </row>
        <row r="1091">
          <cell r="A1091">
            <v>3596</v>
          </cell>
          <cell r="B1091">
            <v>1</v>
          </cell>
          <cell r="G1091">
            <v>0</v>
          </cell>
          <cell r="I1091">
            <v>0</v>
          </cell>
          <cell r="K1091">
            <v>0</v>
          </cell>
          <cell r="L1091">
            <v>0</v>
          </cell>
        </row>
        <row r="1092">
          <cell r="A1092">
            <v>3597</v>
          </cell>
          <cell r="B1092">
            <v>1</v>
          </cell>
          <cell r="G1092">
            <v>0</v>
          </cell>
          <cell r="I1092">
            <v>0</v>
          </cell>
          <cell r="K1092">
            <v>0</v>
          </cell>
          <cell r="L1092">
            <v>0</v>
          </cell>
        </row>
        <row r="1093">
          <cell r="A1093">
            <v>3598</v>
          </cell>
          <cell r="B1093">
            <v>1</v>
          </cell>
          <cell r="G1093">
            <v>0</v>
          </cell>
          <cell r="I1093">
            <v>0</v>
          </cell>
          <cell r="K1093">
            <v>0</v>
          </cell>
          <cell r="L1093">
            <v>0</v>
          </cell>
        </row>
        <row r="1094">
          <cell r="A1094">
            <v>3599</v>
          </cell>
          <cell r="B1094">
            <v>1</v>
          </cell>
          <cell r="G1094">
            <v>0</v>
          </cell>
          <cell r="I1094">
            <v>0</v>
          </cell>
          <cell r="K1094">
            <v>0</v>
          </cell>
          <cell r="L1094">
            <v>0</v>
          </cell>
        </row>
        <row r="1095">
          <cell r="A1095">
            <v>3600</v>
          </cell>
          <cell r="B1095">
            <v>1</v>
          </cell>
          <cell r="D1095" t="str">
            <v>绝缘橡胶风筒φ1400mm</v>
          </cell>
          <cell r="E1095" t="str">
            <v>m</v>
          </cell>
          <cell r="G1095">
            <v>123.6</v>
          </cell>
          <cell r="H1095">
            <v>120</v>
          </cell>
          <cell r="I1095">
            <v>3.6</v>
          </cell>
          <cell r="K1095" t="str">
            <v>m</v>
          </cell>
          <cell r="L1095">
            <v>123.6</v>
          </cell>
        </row>
        <row r="1096">
          <cell r="A1096">
            <v>3601</v>
          </cell>
          <cell r="B1096">
            <v>1</v>
          </cell>
          <cell r="D1096" t="str">
            <v>绝缘橡胶风筒φ1000mm</v>
          </cell>
          <cell r="E1096" t="str">
            <v>m</v>
          </cell>
          <cell r="G1096">
            <v>66.95</v>
          </cell>
          <cell r="H1096">
            <v>65</v>
          </cell>
          <cell r="I1096">
            <v>1.95</v>
          </cell>
          <cell r="K1096" t="str">
            <v>m</v>
          </cell>
          <cell r="L1096">
            <v>66.95</v>
          </cell>
        </row>
        <row r="1097">
          <cell r="A1097">
            <v>3602</v>
          </cell>
          <cell r="B1097">
            <v>1</v>
          </cell>
          <cell r="D1097" t="str">
            <v>橡皮垫</v>
          </cell>
          <cell r="E1097" t="str">
            <v>m2</v>
          </cell>
          <cell r="G1097">
            <v>18.54</v>
          </cell>
          <cell r="H1097">
            <v>18</v>
          </cell>
          <cell r="I1097">
            <v>0.54</v>
          </cell>
          <cell r="K1097" t="str">
            <v>m2</v>
          </cell>
          <cell r="L1097">
            <v>18.54</v>
          </cell>
        </row>
        <row r="1098">
          <cell r="A1098">
            <v>3603</v>
          </cell>
          <cell r="B1098">
            <v>1</v>
          </cell>
          <cell r="D1098" t="str">
            <v>动力苯</v>
          </cell>
          <cell r="E1098" t="str">
            <v>kg</v>
          </cell>
          <cell r="G1098">
            <v>4.12</v>
          </cell>
          <cell r="H1098">
            <v>4</v>
          </cell>
          <cell r="I1098">
            <v>0.12</v>
          </cell>
          <cell r="K1098" t="str">
            <v>kg</v>
          </cell>
          <cell r="L1098">
            <v>4.12</v>
          </cell>
        </row>
        <row r="1099">
          <cell r="A1099">
            <v>3604</v>
          </cell>
          <cell r="B1099">
            <v>1</v>
          </cell>
          <cell r="D1099" t="str">
            <v>SNS柔性材料</v>
          </cell>
          <cell r="E1099" t="str">
            <v>m2</v>
          </cell>
          <cell r="G1099">
            <v>185.4</v>
          </cell>
          <cell r="H1099">
            <v>180</v>
          </cell>
          <cell r="I1099">
            <v>5.4</v>
          </cell>
          <cell r="K1099" t="str">
            <v>m2</v>
          </cell>
          <cell r="L1099">
            <v>185.4</v>
          </cell>
        </row>
        <row r="1100">
          <cell r="A1100">
            <v>3605</v>
          </cell>
          <cell r="B1100">
            <v>1</v>
          </cell>
          <cell r="D1100" t="str">
            <v>铁垫块</v>
          </cell>
          <cell r="E1100" t="str">
            <v>kg</v>
          </cell>
          <cell r="G1100">
            <v>6.31</v>
          </cell>
          <cell r="H1100">
            <v>6.13</v>
          </cell>
          <cell r="I1100">
            <v>0.18</v>
          </cell>
          <cell r="K1100" t="str">
            <v>kg</v>
          </cell>
          <cell r="L1100">
            <v>6.31</v>
          </cell>
        </row>
        <row r="1101">
          <cell r="A1101">
            <v>3606</v>
          </cell>
          <cell r="B1101">
            <v>1</v>
          </cell>
          <cell r="D1101" t="str">
            <v>螺栓</v>
          </cell>
          <cell r="E1101" t="str">
            <v>kg</v>
          </cell>
          <cell r="G1101">
            <v>16.54</v>
          </cell>
          <cell r="H1101">
            <v>16.059999999999999</v>
          </cell>
          <cell r="I1101">
            <v>0.48</v>
          </cell>
          <cell r="K1101" t="str">
            <v>kg</v>
          </cell>
          <cell r="L1101">
            <v>16.54</v>
          </cell>
        </row>
        <row r="1102">
          <cell r="A1102">
            <v>3607</v>
          </cell>
          <cell r="B1102">
            <v>1</v>
          </cell>
          <cell r="D1102" t="str">
            <v>铁道附件</v>
          </cell>
          <cell r="E1102" t="str">
            <v>kg</v>
          </cell>
          <cell r="G1102">
            <v>5.17</v>
          </cell>
          <cell r="H1102">
            <v>5.0199999999999996</v>
          </cell>
          <cell r="I1102">
            <v>0.15</v>
          </cell>
          <cell r="K1102" t="str">
            <v>kg</v>
          </cell>
          <cell r="L1102">
            <v>5.17</v>
          </cell>
        </row>
        <row r="1103">
          <cell r="A1103">
            <v>3608</v>
          </cell>
          <cell r="B1103">
            <v>1</v>
          </cell>
          <cell r="D1103" t="str">
            <v>木轨枕</v>
          </cell>
          <cell r="E1103" t="str">
            <v>m3</v>
          </cell>
          <cell r="G1103">
            <v>1470.84</v>
          </cell>
          <cell r="H1103">
            <v>1428</v>
          </cell>
          <cell r="I1103">
            <v>42.84</v>
          </cell>
          <cell r="K1103" t="str">
            <v>m3</v>
          </cell>
          <cell r="L1103">
            <v>1470.84</v>
          </cell>
        </row>
        <row r="1104">
          <cell r="A1104">
            <v>3609</v>
          </cell>
          <cell r="B1104">
            <v>1</v>
          </cell>
          <cell r="D1104" t="str">
            <v>木垫板</v>
          </cell>
          <cell r="E1104" t="str">
            <v>m3</v>
          </cell>
          <cell r="G1104">
            <v>1751</v>
          </cell>
          <cell r="H1104">
            <v>1700</v>
          </cell>
          <cell r="I1104">
            <v>51</v>
          </cell>
          <cell r="K1104" t="str">
            <v>m3</v>
          </cell>
          <cell r="L1104">
            <v>1751</v>
          </cell>
        </row>
        <row r="1105">
          <cell r="A1105">
            <v>3610</v>
          </cell>
          <cell r="B1105">
            <v>1</v>
          </cell>
          <cell r="D1105" t="str">
            <v>减压器</v>
          </cell>
          <cell r="E1105" t="str">
            <v>个</v>
          </cell>
          <cell r="G1105">
            <v>3.61</v>
          </cell>
          <cell r="H1105">
            <v>3.5</v>
          </cell>
          <cell r="I1105">
            <v>0.11</v>
          </cell>
          <cell r="K1105" t="str">
            <v>个</v>
          </cell>
          <cell r="L1105">
            <v>3.61</v>
          </cell>
        </row>
        <row r="1106">
          <cell r="A1106">
            <v>3611</v>
          </cell>
          <cell r="B1106">
            <v>1</v>
          </cell>
          <cell r="D1106" t="str">
            <v>钢丝绳</v>
          </cell>
          <cell r="E1106" t="str">
            <v>kg</v>
          </cell>
          <cell r="G1106">
            <v>8.24</v>
          </cell>
          <cell r="H1106">
            <v>8</v>
          </cell>
          <cell r="I1106">
            <v>0.24</v>
          </cell>
          <cell r="K1106" t="str">
            <v>kg</v>
          </cell>
          <cell r="L1106">
            <v>8.24</v>
          </cell>
        </row>
        <row r="1107">
          <cell r="A1107">
            <v>3612</v>
          </cell>
          <cell r="B1107">
            <v>1</v>
          </cell>
          <cell r="D1107" t="str">
            <v>桥铸钢支座</v>
          </cell>
          <cell r="E1107" t="str">
            <v>kg</v>
          </cell>
          <cell r="G1107">
            <v>13.98</v>
          </cell>
          <cell r="H1107">
            <v>13.57</v>
          </cell>
          <cell r="I1107">
            <v>0.41</v>
          </cell>
          <cell r="K1107" t="str">
            <v>kg</v>
          </cell>
          <cell r="L1107">
            <v>13.98</v>
          </cell>
        </row>
        <row r="1108">
          <cell r="A1108">
            <v>3613</v>
          </cell>
          <cell r="B1108">
            <v>1</v>
          </cell>
          <cell r="D1108" t="str">
            <v>桥弹性支座</v>
          </cell>
          <cell r="E1108" t="str">
            <v>dm3</v>
          </cell>
          <cell r="G1108">
            <v>152.85</v>
          </cell>
          <cell r="H1108">
            <v>148.4</v>
          </cell>
          <cell r="I1108">
            <v>4.45</v>
          </cell>
          <cell r="K1108" t="str">
            <v>dm3</v>
          </cell>
          <cell r="L1108">
            <v>152.85</v>
          </cell>
        </row>
        <row r="1109">
          <cell r="A1109">
            <v>3614</v>
          </cell>
          <cell r="B1109">
            <v>1</v>
          </cell>
          <cell r="D1109" t="str">
            <v>桩靴</v>
          </cell>
          <cell r="E1109" t="str">
            <v>kg</v>
          </cell>
          <cell r="G1109">
            <v>5.7</v>
          </cell>
          <cell r="H1109">
            <v>5.53</v>
          </cell>
          <cell r="I1109">
            <v>0.17</v>
          </cell>
          <cell r="K1109" t="str">
            <v>kg</v>
          </cell>
          <cell r="L1109">
            <v>5.7</v>
          </cell>
        </row>
        <row r="1110">
          <cell r="A1110">
            <v>3615</v>
          </cell>
          <cell r="B1110">
            <v>1</v>
          </cell>
          <cell r="D1110" t="str">
            <v>桩木</v>
          </cell>
          <cell r="E1110" t="str">
            <v>m3</v>
          </cell>
          <cell r="G1110">
            <v>1133</v>
          </cell>
          <cell r="H1110">
            <v>1100</v>
          </cell>
          <cell r="I1110">
            <v>33</v>
          </cell>
          <cell r="K1110" t="str">
            <v>m3</v>
          </cell>
          <cell r="L1110">
            <v>1133</v>
          </cell>
        </row>
        <row r="1111">
          <cell r="A1111">
            <v>3616</v>
          </cell>
          <cell r="B1111">
            <v>1</v>
          </cell>
          <cell r="D1111" t="str">
            <v>瓷接头 1-3回路</v>
          </cell>
          <cell r="E1111" t="str">
            <v>个</v>
          </cell>
          <cell r="G1111">
            <v>0.29000000000000004</v>
          </cell>
          <cell r="H1111">
            <v>0.28000000000000003</v>
          </cell>
          <cell r="I1111">
            <v>0.01</v>
          </cell>
          <cell r="K1111" t="str">
            <v>个</v>
          </cell>
          <cell r="L1111">
            <v>0.29000000000000004</v>
          </cell>
        </row>
        <row r="1112">
          <cell r="A1112">
            <v>3617</v>
          </cell>
          <cell r="B1112">
            <v>1</v>
          </cell>
          <cell r="D1112" t="str">
            <v>园木台 150-250</v>
          </cell>
          <cell r="E1112" t="str">
            <v>块</v>
          </cell>
          <cell r="G1112">
            <v>2.0299999999999998</v>
          </cell>
          <cell r="H1112">
            <v>1.97</v>
          </cell>
          <cell r="I1112">
            <v>0.06</v>
          </cell>
          <cell r="K1112" t="str">
            <v>块</v>
          </cell>
          <cell r="L1112">
            <v>2.0299999999999998</v>
          </cell>
        </row>
        <row r="1113">
          <cell r="A1113">
            <v>3618</v>
          </cell>
          <cell r="B1113">
            <v>1</v>
          </cell>
          <cell r="D1113" t="str">
            <v>标志片 塑料扁形</v>
          </cell>
          <cell r="E1113" t="str">
            <v>个</v>
          </cell>
          <cell r="G1113">
            <v>0.19</v>
          </cell>
          <cell r="H1113">
            <v>0.18</v>
          </cell>
          <cell r="I1113">
            <v>0.01</v>
          </cell>
          <cell r="K1113" t="str">
            <v>个</v>
          </cell>
          <cell r="L1113">
            <v>0.19</v>
          </cell>
        </row>
        <row r="1114">
          <cell r="A1114">
            <v>3619</v>
          </cell>
          <cell r="B1114">
            <v>1</v>
          </cell>
          <cell r="D1114" t="str">
            <v>滤油纸 300×300</v>
          </cell>
          <cell r="E1114" t="str">
            <v>张</v>
          </cell>
          <cell r="G1114">
            <v>0.76</v>
          </cell>
          <cell r="H1114">
            <v>0.74</v>
          </cell>
          <cell r="I1114">
            <v>0.02</v>
          </cell>
          <cell r="K1114" t="str">
            <v>张</v>
          </cell>
          <cell r="L1114">
            <v>0.76</v>
          </cell>
        </row>
        <row r="1115">
          <cell r="A1115">
            <v>3620</v>
          </cell>
          <cell r="B1115">
            <v>1</v>
          </cell>
          <cell r="D1115" t="str">
            <v>胶木线夹</v>
          </cell>
          <cell r="E1115" t="str">
            <v>个</v>
          </cell>
          <cell r="G1115">
            <v>1.31</v>
          </cell>
          <cell r="H1115">
            <v>1.27</v>
          </cell>
          <cell r="I1115">
            <v>0.04</v>
          </cell>
          <cell r="K1115" t="str">
            <v>个</v>
          </cell>
          <cell r="L1115">
            <v>1.31</v>
          </cell>
        </row>
        <row r="1116">
          <cell r="A1116">
            <v>3621</v>
          </cell>
          <cell r="B1116">
            <v>1</v>
          </cell>
          <cell r="D1116" t="str">
            <v>青壳纸 δ=0.1-0.8</v>
          </cell>
          <cell r="E1116" t="str">
            <v>kg</v>
          </cell>
          <cell r="G1116">
            <v>20.71</v>
          </cell>
          <cell r="H1116">
            <v>20.11</v>
          </cell>
          <cell r="I1116">
            <v>0.6</v>
          </cell>
          <cell r="K1116" t="str">
            <v>kg</v>
          </cell>
          <cell r="L1116">
            <v>20.71</v>
          </cell>
        </row>
        <row r="1117">
          <cell r="A1117">
            <v>3622</v>
          </cell>
          <cell r="B1117">
            <v>1</v>
          </cell>
          <cell r="D1117" t="str">
            <v>塑料布</v>
          </cell>
          <cell r="E1117" t="str">
            <v>m</v>
          </cell>
          <cell r="G1117">
            <v>4.97</v>
          </cell>
          <cell r="H1117">
            <v>4.83</v>
          </cell>
          <cell r="I1117">
            <v>0.14000000000000001</v>
          </cell>
          <cell r="K1117" t="str">
            <v>m</v>
          </cell>
          <cell r="L1117">
            <v>4.97</v>
          </cell>
        </row>
        <row r="1118">
          <cell r="A1118">
            <v>3623</v>
          </cell>
          <cell r="B1118">
            <v>1</v>
          </cell>
          <cell r="D1118" t="str">
            <v>黑胶布 20×20</v>
          </cell>
          <cell r="E1118" t="str">
            <v>m</v>
          </cell>
          <cell r="G1118">
            <v>4.12</v>
          </cell>
          <cell r="H1118">
            <v>4</v>
          </cell>
          <cell r="I1118">
            <v>0.12</v>
          </cell>
          <cell r="K1118" t="str">
            <v>m</v>
          </cell>
          <cell r="L1118">
            <v>4.12</v>
          </cell>
        </row>
        <row r="1119">
          <cell r="A1119">
            <v>3624</v>
          </cell>
          <cell r="B1119">
            <v>1</v>
          </cell>
          <cell r="D1119" t="str">
            <v>塑料带 20×40</v>
          </cell>
          <cell r="E1119" t="str">
            <v>卷</v>
          </cell>
          <cell r="G1119">
            <v>6.18</v>
          </cell>
          <cell r="H1119">
            <v>6</v>
          </cell>
          <cell r="I1119">
            <v>0.18</v>
          </cell>
          <cell r="K1119" t="str">
            <v>卷</v>
          </cell>
          <cell r="L1119">
            <v>6.18</v>
          </cell>
        </row>
        <row r="1120">
          <cell r="A1120">
            <v>3625</v>
          </cell>
          <cell r="B1120">
            <v>1</v>
          </cell>
          <cell r="D1120" t="str">
            <v>塑料胶粘带</v>
          </cell>
          <cell r="E1120" t="str">
            <v>盘</v>
          </cell>
          <cell r="G1120">
            <v>6.66</v>
          </cell>
          <cell r="H1120">
            <v>6.47</v>
          </cell>
          <cell r="I1120">
            <v>0.19</v>
          </cell>
          <cell r="K1120" t="str">
            <v>盘</v>
          </cell>
          <cell r="L1120">
            <v>6.66</v>
          </cell>
        </row>
        <row r="1121">
          <cell r="A1121">
            <v>3626</v>
          </cell>
          <cell r="B1121">
            <v>1</v>
          </cell>
          <cell r="D1121" t="str">
            <v>黄腊带 20×10</v>
          </cell>
          <cell r="E1121" t="str">
            <v>卷</v>
          </cell>
          <cell r="G1121">
            <v>13.98</v>
          </cell>
          <cell r="H1121">
            <v>13.57</v>
          </cell>
          <cell r="I1121">
            <v>0.41</v>
          </cell>
          <cell r="K1121" t="str">
            <v>卷</v>
          </cell>
          <cell r="L1121">
            <v>13.98</v>
          </cell>
        </row>
        <row r="1122">
          <cell r="A1122">
            <v>3627</v>
          </cell>
          <cell r="B1122">
            <v>1</v>
          </cell>
          <cell r="D1122" t="str">
            <v>封铅</v>
          </cell>
          <cell r="E1122" t="str">
            <v>kg</v>
          </cell>
          <cell r="G1122">
            <v>42.91</v>
          </cell>
          <cell r="H1122">
            <v>41.66</v>
          </cell>
          <cell r="I1122">
            <v>1.25</v>
          </cell>
          <cell r="K1122" t="str">
            <v>kg</v>
          </cell>
          <cell r="L1122">
            <v>42.91</v>
          </cell>
        </row>
        <row r="1123">
          <cell r="A1123">
            <v>3628</v>
          </cell>
          <cell r="B1123">
            <v>1</v>
          </cell>
          <cell r="D1123" t="str">
            <v>水柏油</v>
          </cell>
          <cell r="E1123" t="str">
            <v>kg</v>
          </cell>
          <cell r="G1123">
            <v>1.37</v>
          </cell>
          <cell r="H1123">
            <v>1.33</v>
          </cell>
          <cell r="I1123">
            <v>0.04</v>
          </cell>
          <cell r="K1123" t="str">
            <v>kg</v>
          </cell>
          <cell r="L1123">
            <v>1.37</v>
          </cell>
        </row>
        <row r="1124">
          <cell r="A1124">
            <v>3629</v>
          </cell>
          <cell r="B1124">
            <v>1</v>
          </cell>
          <cell r="D1124" t="str">
            <v>酚醛磁漆</v>
          </cell>
          <cell r="E1124" t="str">
            <v>kg</v>
          </cell>
          <cell r="G1124">
            <v>19.57</v>
          </cell>
          <cell r="H1124">
            <v>19</v>
          </cell>
          <cell r="I1124">
            <v>0.56999999999999995</v>
          </cell>
          <cell r="K1124" t="str">
            <v>kg</v>
          </cell>
          <cell r="L1124">
            <v>19.57</v>
          </cell>
        </row>
        <row r="1125">
          <cell r="A1125">
            <v>3630</v>
          </cell>
          <cell r="B1125">
            <v>1</v>
          </cell>
          <cell r="D1125" t="str">
            <v>调合漆</v>
          </cell>
          <cell r="E1125" t="str">
            <v>kg</v>
          </cell>
          <cell r="G1125">
            <v>12.36</v>
          </cell>
          <cell r="H1125">
            <v>12</v>
          </cell>
          <cell r="I1125">
            <v>0.36</v>
          </cell>
          <cell r="K1125" t="str">
            <v>kg</v>
          </cell>
          <cell r="L1125">
            <v>12.36</v>
          </cell>
        </row>
        <row r="1126">
          <cell r="A1126">
            <v>3631</v>
          </cell>
          <cell r="B1126">
            <v>1</v>
          </cell>
          <cell r="D1126" t="str">
            <v>无光调合漆</v>
          </cell>
          <cell r="E1126" t="str">
            <v>kg</v>
          </cell>
          <cell r="G1126">
            <v>13.39</v>
          </cell>
          <cell r="H1126">
            <v>13</v>
          </cell>
          <cell r="I1126">
            <v>0.39</v>
          </cell>
          <cell r="K1126" t="str">
            <v>kg</v>
          </cell>
          <cell r="L1126">
            <v>13.39</v>
          </cell>
        </row>
        <row r="1127">
          <cell r="A1127">
            <v>3632</v>
          </cell>
          <cell r="B1127">
            <v>1</v>
          </cell>
          <cell r="D1127" t="str">
            <v>环氧富锌漆</v>
          </cell>
          <cell r="E1127" t="str">
            <v>kg</v>
          </cell>
          <cell r="G1127">
            <v>22.66</v>
          </cell>
          <cell r="H1127">
            <v>22</v>
          </cell>
          <cell r="I1127">
            <v>0.66</v>
          </cell>
          <cell r="K1127" t="str">
            <v>kg</v>
          </cell>
          <cell r="L1127">
            <v>22.66</v>
          </cell>
        </row>
        <row r="1128">
          <cell r="A1128">
            <v>3633</v>
          </cell>
          <cell r="B1128">
            <v>1</v>
          </cell>
          <cell r="D1128" t="str">
            <v>环氧煤沥青漆</v>
          </cell>
          <cell r="E1128" t="str">
            <v>kg</v>
          </cell>
          <cell r="G1128">
            <v>17.510000000000002</v>
          </cell>
          <cell r="H1128">
            <v>17</v>
          </cell>
          <cell r="I1128">
            <v>0.51</v>
          </cell>
          <cell r="K1128" t="str">
            <v>kg</v>
          </cell>
          <cell r="L1128">
            <v>17.510000000000002</v>
          </cell>
        </row>
        <row r="1129">
          <cell r="A1129">
            <v>3634</v>
          </cell>
          <cell r="B1129">
            <v>1</v>
          </cell>
          <cell r="D1129" t="str">
            <v>沥青清漆</v>
          </cell>
          <cell r="E1129" t="str">
            <v>kg</v>
          </cell>
          <cell r="G1129">
            <v>13.020000000000001</v>
          </cell>
          <cell r="H1129">
            <v>12.64</v>
          </cell>
          <cell r="I1129">
            <v>0.38</v>
          </cell>
          <cell r="K1129" t="str">
            <v>kg</v>
          </cell>
          <cell r="L1129">
            <v>13.020000000000001</v>
          </cell>
        </row>
        <row r="1130">
          <cell r="A1130">
            <v>3635</v>
          </cell>
          <cell r="B1130">
            <v>1</v>
          </cell>
          <cell r="D1130" t="str">
            <v>硬脂酸</v>
          </cell>
          <cell r="E1130" t="str">
            <v>kg</v>
          </cell>
          <cell r="G1130">
            <v>18.760000000000002</v>
          </cell>
          <cell r="H1130">
            <v>18.21</v>
          </cell>
          <cell r="I1130">
            <v>0.55000000000000004</v>
          </cell>
          <cell r="K1130" t="str">
            <v>kg</v>
          </cell>
          <cell r="L1130">
            <v>18.760000000000002</v>
          </cell>
        </row>
        <row r="1131">
          <cell r="A1131">
            <v>3636</v>
          </cell>
          <cell r="B1131">
            <v>1</v>
          </cell>
          <cell r="D1131" t="str">
            <v>红丹环氧防锈漆</v>
          </cell>
          <cell r="E1131" t="str">
            <v>kg</v>
          </cell>
          <cell r="G1131">
            <v>17</v>
          </cell>
          <cell r="H1131">
            <v>16.5</v>
          </cell>
          <cell r="I1131">
            <v>0.5</v>
          </cell>
          <cell r="K1131" t="str">
            <v>kg</v>
          </cell>
          <cell r="L1131">
            <v>17</v>
          </cell>
        </row>
        <row r="1132">
          <cell r="A1132">
            <v>3637</v>
          </cell>
          <cell r="B1132">
            <v>1</v>
          </cell>
          <cell r="D1132" t="str">
            <v>银粉</v>
          </cell>
          <cell r="E1132" t="str">
            <v>kg</v>
          </cell>
          <cell r="G1132">
            <v>44.88</v>
          </cell>
          <cell r="H1132">
            <v>43.57</v>
          </cell>
          <cell r="I1132">
            <v>1.31</v>
          </cell>
          <cell r="K1132" t="str">
            <v>kg</v>
          </cell>
          <cell r="L1132">
            <v>44.88</v>
          </cell>
        </row>
        <row r="1133">
          <cell r="A1133">
            <v>3638</v>
          </cell>
          <cell r="B1133">
            <v>1</v>
          </cell>
          <cell r="D1133" t="str">
            <v>环氧稀释剂</v>
          </cell>
          <cell r="E1133" t="str">
            <v>kg</v>
          </cell>
          <cell r="G1133">
            <v>14.41</v>
          </cell>
          <cell r="H1133">
            <v>13.99</v>
          </cell>
          <cell r="I1133">
            <v>0.42</v>
          </cell>
          <cell r="K1133" t="str">
            <v>kg</v>
          </cell>
          <cell r="L1133">
            <v>14.41</v>
          </cell>
        </row>
        <row r="1134">
          <cell r="A1134">
            <v>3639</v>
          </cell>
          <cell r="B1134">
            <v>1</v>
          </cell>
          <cell r="D1134" t="str">
            <v>二甲苯</v>
          </cell>
          <cell r="E1134" t="str">
            <v>kg</v>
          </cell>
          <cell r="G1134">
            <v>3.46</v>
          </cell>
          <cell r="H1134">
            <v>3.36</v>
          </cell>
          <cell r="I1134">
            <v>0.1</v>
          </cell>
          <cell r="K1134" t="str">
            <v>kg</v>
          </cell>
          <cell r="L1134">
            <v>3.46</v>
          </cell>
        </row>
        <row r="1135">
          <cell r="A1135">
            <v>3640</v>
          </cell>
          <cell r="B1135">
            <v>1</v>
          </cell>
          <cell r="D1135" t="str">
            <v>溶剂汽油200#</v>
          </cell>
          <cell r="E1135" t="str">
            <v>kg</v>
          </cell>
          <cell r="G1135">
            <v>2.7</v>
          </cell>
          <cell r="H1135">
            <v>2.62</v>
          </cell>
          <cell r="I1135">
            <v>0.08</v>
          </cell>
          <cell r="K1135" t="str">
            <v>kg</v>
          </cell>
          <cell r="L1135">
            <v>2.7</v>
          </cell>
        </row>
        <row r="1136">
          <cell r="A1136">
            <v>3641</v>
          </cell>
          <cell r="B1136">
            <v>1</v>
          </cell>
          <cell r="D1136" t="str">
            <v>变压器油</v>
          </cell>
          <cell r="E1136" t="str">
            <v>kg</v>
          </cell>
          <cell r="G1136">
            <v>6.2399999999999993</v>
          </cell>
          <cell r="H1136">
            <v>6.06</v>
          </cell>
          <cell r="I1136">
            <v>0.18</v>
          </cell>
          <cell r="K1136" t="str">
            <v>kg</v>
          </cell>
          <cell r="L1136">
            <v>6.2399999999999993</v>
          </cell>
        </row>
        <row r="1137">
          <cell r="A1137">
            <v>3642</v>
          </cell>
          <cell r="B1137">
            <v>1</v>
          </cell>
          <cell r="D1137" t="str">
            <v>胶合剂</v>
          </cell>
          <cell r="E1137" t="str">
            <v>kg</v>
          </cell>
          <cell r="G1137">
            <v>36.9</v>
          </cell>
          <cell r="H1137">
            <v>35.83</v>
          </cell>
          <cell r="I1137">
            <v>1.07</v>
          </cell>
          <cell r="K1137" t="str">
            <v>kg</v>
          </cell>
          <cell r="L1137">
            <v>36.9</v>
          </cell>
        </row>
        <row r="1138">
          <cell r="A1138">
            <v>3643</v>
          </cell>
          <cell r="B1138">
            <v>1</v>
          </cell>
          <cell r="D1138" t="str">
            <v>机油</v>
          </cell>
          <cell r="E1138" t="str">
            <v>kg</v>
          </cell>
          <cell r="G1138">
            <v>8.11</v>
          </cell>
          <cell r="H1138">
            <v>7.87</v>
          </cell>
          <cell r="I1138">
            <v>0.24</v>
          </cell>
          <cell r="K1138" t="str">
            <v>kg</v>
          </cell>
          <cell r="L1138">
            <v>8.11</v>
          </cell>
        </row>
        <row r="1139">
          <cell r="A1139">
            <v>3644</v>
          </cell>
          <cell r="B1139">
            <v>1</v>
          </cell>
          <cell r="D1139" t="str">
            <v>冷冻机油</v>
          </cell>
          <cell r="E1139" t="str">
            <v>kg</v>
          </cell>
          <cell r="G1139">
            <v>20.6</v>
          </cell>
          <cell r="H1139">
            <v>20</v>
          </cell>
          <cell r="I1139">
            <v>0.6</v>
          </cell>
          <cell r="K1139" t="str">
            <v>kg</v>
          </cell>
          <cell r="L1139">
            <v>20.6</v>
          </cell>
        </row>
        <row r="1140">
          <cell r="A1140">
            <v>3645</v>
          </cell>
          <cell r="B1140">
            <v>1</v>
          </cell>
          <cell r="D1140" t="str">
            <v>煤油</v>
          </cell>
          <cell r="E1140" t="str">
            <v>kg</v>
          </cell>
          <cell r="G1140">
            <v>5.0200000000000005</v>
          </cell>
          <cell r="H1140">
            <v>4.87</v>
          </cell>
          <cell r="I1140">
            <v>0.15</v>
          </cell>
          <cell r="K1140" t="str">
            <v>kg</v>
          </cell>
          <cell r="L1140">
            <v>5.0200000000000005</v>
          </cell>
        </row>
        <row r="1141">
          <cell r="A1141">
            <v>3646</v>
          </cell>
          <cell r="B1141">
            <v>1</v>
          </cell>
          <cell r="D1141" t="str">
            <v>黄油</v>
          </cell>
          <cell r="E1141" t="str">
            <v>kg</v>
          </cell>
          <cell r="G1141">
            <v>7.07</v>
          </cell>
          <cell r="H1141">
            <v>6.86</v>
          </cell>
          <cell r="I1141">
            <v>0.21</v>
          </cell>
          <cell r="K1141" t="str">
            <v>kg</v>
          </cell>
          <cell r="L1141">
            <v>7.07</v>
          </cell>
        </row>
        <row r="1142">
          <cell r="A1142">
            <v>3647</v>
          </cell>
          <cell r="B1142">
            <v>1</v>
          </cell>
          <cell r="D1142" t="str">
            <v>熟桐油</v>
          </cell>
          <cell r="E1142" t="str">
            <v>kg</v>
          </cell>
          <cell r="G1142">
            <v>10.180000000000001</v>
          </cell>
          <cell r="H1142">
            <v>9.8800000000000008</v>
          </cell>
          <cell r="I1142">
            <v>0.3</v>
          </cell>
          <cell r="K1142" t="str">
            <v>kg</v>
          </cell>
          <cell r="L1142">
            <v>10.180000000000001</v>
          </cell>
        </row>
        <row r="1143">
          <cell r="A1143">
            <v>3648</v>
          </cell>
          <cell r="B1143">
            <v>1</v>
          </cell>
          <cell r="D1143" t="str">
            <v>油漆溶剂油</v>
          </cell>
          <cell r="E1143" t="str">
            <v>kg</v>
          </cell>
          <cell r="G1143">
            <v>25.75</v>
          </cell>
          <cell r="H1143">
            <v>25</v>
          </cell>
          <cell r="I1143">
            <v>0.75</v>
          </cell>
          <cell r="K1143" t="str">
            <v>kg</v>
          </cell>
          <cell r="L1143">
            <v>25.75</v>
          </cell>
        </row>
        <row r="1144">
          <cell r="A1144">
            <v>3649</v>
          </cell>
          <cell r="B1144">
            <v>1</v>
          </cell>
          <cell r="D1144" t="str">
            <v>清漆稀释剂</v>
          </cell>
          <cell r="E1144" t="str">
            <v>kg</v>
          </cell>
          <cell r="G1144">
            <v>10.38</v>
          </cell>
          <cell r="H1144">
            <v>10.08</v>
          </cell>
          <cell r="I1144">
            <v>0.3</v>
          </cell>
          <cell r="K1144" t="str">
            <v>kg</v>
          </cell>
          <cell r="L1144">
            <v>10.38</v>
          </cell>
        </row>
        <row r="1145">
          <cell r="A1145">
            <v>3650</v>
          </cell>
          <cell r="B1145">
            <v>1</v>
          </cell>
          <cell r="D1145" t="str">
            <v>松节油</v>
          </cell>
          <cell r="E1145" t="str">
            <v>kg</v>
          </cell>
          <cell r="G1145">
            <v>7.21</v>
          </cell>
          <cell r="H1145">
            <v>7</v>
          </cell>
          <cell r="I1145">
            <v>0.21</v>
          </cell>
          <cell r="K1145" t="str">
            <v>kg</v>
          </cell>
          <cell r="L1145">
            <v>7.21</v>
          </cell>
        </row>
        <row r="1146">
          <cell r="A1146">
            <v>3651</v>
          </cell>
          <cell r="B1146">
            <v>1</v>
          </cell>
          <cell r="D1146" t="str">
            <v>油浸石棉盘根</v>
          </cell>
          <cell r="E1146" t="str">
            <v>kg</v>
          </cell>
          <cell r="G1146">
            <v>29.150000000000002</v>
          </cell>
          <cell r="H1146">
            <v>28.3</v>
          </cell>
          <cell r="I1146">
            <v>0.85</v>
          </cell>
          <cell r="K1146" t="str">
            <v>kg</v>
          </cell>
          <cell r="L1146">
            <v>29.150000000000002</v>
          </cell>
        </row>
        <row r="1147">
          <cell r="A1147">
            <v>3652</v>
          </cell>
          <cell r="B1147">
            <v>1</v>
          </cell>
          <cell r="D1147" t="str">
            <v>润滑油</v>
          </cell>
          <cell r="E1147" t="str">
            <v>kg</v>
          </cell>
          <cell r="G1147">
            <v>5.77</v>
          </cell>
          <cell r="H1147">
            <v>5.6</v>
          </cell>
          <cell r="I1147">
            <v>0.17</v>
          </cell>
          <cell r="K1147" t="str">
            <v>kg</v>
          </cell>
          <cell r="L1147">
            <v>5.77</v>
          </cell>
        </row>
        <row r="1148">
          <cell r="A1148">
            <v>3653</v>
          </cell>
          <cell r="B1148">
            <v>1</v>
          </cell>
          <cell r="D1148" t="str">
            <v>冷底子油</v>
          </cell>
          <cell r="E1148" t="str">
            <v>kg</v>
          </cell>
          <cell r="G1148">
            <v>1.3</v>
          </cell>
          <cell r="H1148">
            <v>1.26</v>
          </cell>
          <cell r="I1148">
            <v>0.04</v>
          </cell>
          <cell r="K1148" t="str">
            <v>kg</v>
          </cell>
          <cell r="L1148">
            <v>1.3</v>
          </cell>
        </row>
        <row r="1149">
          <cell r="A1149">
            <v>3654</v>
          </cell>
          <cell r="B1149">
            <v>1</v>
          </cell>
          <cell r="D1149" t="str">
            <v>工业用盐</v>
          </cell>
          <cell r="E1149" t="str">
            <v>kg</v>
          </cell>
          <cell r="G1149">
            <v>3.61</v>
          </cell>
          <cell r="H1149">
            <v>3.5</v>
          </cell>
          <cell r="I1149">
            <v>0.11</v>
          </cell>
          <cell r="K1149" t="str">
            <v>kg</v>
          </cell>
          <cell r="L1149">
            <v>3.61</v>
          </cell>
        </row>
        <row r="1150">
          <cell r="A1150">
            <v>3655</v>
          </cell>
          <cell r="B1150">
            <v>1</v>
          </cell>
          <cell r="D1150" t="str">
            <v>清油</v>
          </cell>
          <cell r="E1150" t="str">
            <v>kg</v>
          </cell>
          <cell r="G1150">
            <v>13.39</v>
          </cell>
          <cell r="H1150">
            <v>13</v>
          </cell>
          <cell r="I1150">
            <v>0.39</v>
          </cell>
          <cell r="K1150" t="str">
            <v>kg</v>
          </cell>
          <cell r="L1150">
            <v>13.39</v>
          </cell>
        </row>
        <row r="1151">
          <cell r="A1151">
            <v>3656</v>
          </cell>
          <cell r="B1151">
            <v>1</v>
          </cell>
          <cell r="D1151" t="str">
            <v>清油稀释剂</v>
          </cell>
          <cell r="E1151" t="str">
            <v>kg</v>
          </cell>
          <cell r="G1151">
            <v>3.7399999999999998</v>
          </cell>
          <cell r="H1151">
            <v>3.63</v>
          </cell>
          <cell r="I1151">
            <v>0.11</v>
          </cell>
          <cell r="K1151" t="str">
            <v>kg</v>
          </cell>
          <cell r="L1151">
            <v>3.7399999999999998</v>
          </cell>
        </row>
        <row r="1152">
          <cell r="A1152">
            <v>3657</v>
          </cell>
          <cell r="B1152">
            <v>1</v>
          </cell>
          <cell r="D1152" t="str">
            <v>铅油</v>
          </cell>
          <cell r="E1152" t="str">
            <v>kg</v>
          </cell>
          <cell r="G1152">
            <v>7.21</v>
          </cell>
          <cell r="H1152">
            <v>7</v>
          </cell>
          <cell r="I1152">
            <v>0.21</v>
          </cell>
          <cell r="K1152" t="str">
            <v>kg</v>
          </cell>
          <cell r="L1152">
            <v>7.21</v>
          </cell>
        </row>
        <row r="1153">
          <cell r="A1153">
            <v>3658</v>
          </cell>
          <cell r="B1153">
            <v>1</v>
          </cell>
          <cell r="D1153" t="str">
            <v>防腐油</v>
          </cell>
          <cell r="E1153" t="str">
            <v>kg</v>
          </cell>
          <cell r="G1153">
            <v>7.73</v>
          </cell>
          <cell r="H1153">
            <v>7.5</v>
          </cell>
          <cell r="I1153">
            <v>0.23</v>
          </cell>
          <cell r="K1153" t="str">
            <v>kg</v>
          </cell>
          <cell r="L1153">
            <v>7.73</v>
          </cell>
        </row>
        <row r="1154">
          <cell r="A1154">
            <v>3659</v>
          </cell>
          <cell r="B1154">
            <v>1</v>
          </cell>
          <cell r="D1154" t="str">
            <v>油灰</v>
          </cell>
          <cell r="E1154" t="str">
            <v>kg</v>
          </cell>
          <cell r="G1154">
            <v>1.19</v>
          </cell>
          <cell r="H1154">
            <v>1.1599999999999999</v>
          </cell>
          <cell r="I1154">
            <v>0.03</v>
          </cell>
          <cell r="K1154" t="str">
            <v>kg</v>
          </cell>
          <cell r="L1154">
            <v>1.19</v>
          </cell>
        </row>
        <row r="1155">
          <cell r="A1155">
            <v>3660</v>
          </cell>
          <cell r="B1155">
            <v>1</v>
          </cell>
          <cell r="D1155" t="str">
            <v>防腐油</v>
          </cell>
          <cell r="E1155" t="str">
            <v>kg</v>
          </cell>
          <cell r="G1155">
            <v>9.27</v>
          </cell>
          <cell r="H1155">
            <v>9</v>
          </cell>
          <cell r="I1155">
            <v>0.27</v>
          </cell>
          <cell r="K1155" t="str">
            <v>kg</v>
          </cell>
          <cell r="L1155">
            <v>9.27</v>
          </cell>
        </row>
        <row r="1156">
          <cell r="A1156">
            <v>3661</v>
          </cell>
          <cell r="B1156">
            <v>1</v>
          </cell>
          <cell r="D1156" t="str">
            <v>塑料软管</v>
          </cell>
          <cell r="E1156" t="str">
            <v>kg</v>
          </cell>
          <cell r="G1156">
            <v>16.39</v>
          </cell>
          <cell r="H1156">
            <v>15.91</v>
          </cell>
          <cell r="I1156">
            <v>0.48</v>
          </cell>
          <cell r="K1156" t="str">
            <v>kg</v>
          </cell>
          <cell r="L1156">
            <v>16.39</v>
          </cell>
        </row>
        <row r="1157">
          <cell r="A1157">
            <v>3662</v>
          </cell>
          <cell r="B1157">
            <v>1</v>
          </cell>
          <cell r="D1157" t="str">
            <v>异形塑料管ф5</v>
          </cell>
          <cell r="E1157" t="str">
            <v>kg</v>
          </cell>
          <cell r="G1157">
            <v>32.15</v>
          </cell>
          <cell r="H1157">
            <v>31.21</v>
          </cell>
          <cell r="I1157">
            <v>0.94</v>
          </cell>
          <cell r="K1157" t="str">
            <v>kg</v>
          </cell>
          <cell r="L1157">
            <v>32.15</v>
          </cell>
        </row>
        <row r="1158">
          <cell r="A1158">
            <v>3663</v>
          </cell>
          <cell r="B1158">
            <v>1</v>
          </cell>
          <cell r="D1158" t="str">
            <v>玻璃丝布δ=0.2mm</v>
          </cell>
          <cell r="E1158" t="str">
            <v>kg</v>
          </cell>
          <cell r="G1158">
            <v>4.01</v>
          </cell>
          <cell r="H1158">
            <v>3.89</v>
          </cell>
          <cell r="I1158">
            <v>0.12</v>
          </cell>
          <cell r="K1158" t="str">
            <v>kg</v>
          </cell>
          <cell r="L1158">
            <v>4.01</v>
          </cell>
        </row>
        <row r="1159">
          <cell r="A1159">
            <v>3664</v>
          </cell>
          <cell r="B1159">
            <v>1</v>
          </cell>
          <cell r="D1159" t="str">
            <v>棉纱</v>
          </cell>
          <cell r="E1159" t="str">
            <v>kg</v>
          </cell>
          <cell r="G1159">
            <v>8.84</v>
          </cell>
          <cell r="H1159">
            <v>8.58</v>
          </cell>
          <cell r="I1159">
            <v>0.26</v>
          </cell>
          <cell r="K1159" t="str">
            <v>kg</v>
          </cell>
          <cell r="L1159">
            <v>8.84</v>
          </cell>
        </row>
        <row r="1160">
          <cell r="A1160">
            <v>3665</v>
          </cell>
          <cell r="B1160">
            <v>1</v>
          </cell>
          <cell r="D1160" t="str">
            <v>棉纱头</v>
          </cell>
          <cell r="E1160" t="str">
            <v>kg</v>
          </cell>
          <cell r="G1160">
            <v>7.47</v>
          </cell>
          <cell r="H1160">
            <v>7.25</v>
          </cell>
          <cell r="I1160">
            <v>0.22</v>
          </cell>
          <cell r="K1160" t="str">
            <v>kg</v>
          </cell>
          <cell r="L1160">
            <v>7.47</v>
          </cell>
        </row>
        <row r="1161">
          <cell r="A1161">
            <v>3666</v>
          </cell>
          <cell r="B1161">
            <v>1</v>
          </cell>
          <cell r="D1161" t="str">
            <v>白布</v>
          </cell>
          <cell r="E1161" t="str">
            <v>m</v>
          </cell>
          <cell r="G1161">
            <v>4.68</v>
          </cell>
          <cell r="H1161">
            <v>4.54</v>
          </cell>
          <cell r="I1161">
            <v>0.14000000000000001</v>
          </cell>
          <cell r="K1161" t="str">
            <v>m</v>
          </cell>
          <cell r="L1161">
            <v>4.68</v>
          </cell>
        </row>
        <row r="1162">
          <cell r="A1162">
            <v>3667</v>
          </cell>
          <cell r="B1162">
            <v>1</v>
          </cell>
          <cell r="D1162" t="str">
            <v>破布</v>
          </cell>
          <cell r="E1162" t="str">
            <v>kg</v>
          </cell>
          <cell r="G1162">
            <v>8.84</v>
          </cell>
          <cell r="H1162">
            <v>8.58</v>
          </cell>
          <cell r="I1162">
            <v>0.26</v>
          </cell>
          <cell r="K1162" t="str">
            <v>kg</v>
          </cell>
          <cell r="L1162">
            <v>8.84</v>
          </cell>
        </row>
        <row r="1163">
          <cell r="A1163">
            <v>3668</v>
          </cell>
          <cell r="B1163">
            <v>1</v>
          </cell>
          <cell r="D1163" t="str">
            <v>麻丝</v>
          </cell>
          <cell r="E1163" t="str">
            <v>kg</v>
          </cell>
          <cell r="G1163">
            <v>7.25</v>
          </cell>
          <cell r="H1163">
            <v>7.04</v>
          </cell>
          <cell r="I1163">
            <v>0.21</v>
          </cell>
          <cell r="K1163" t="str">
            <v>kg</v>
          </cell>
          <cell r="L1163">
            <v>7.25</v>
          </cell>
        </row>
        <row r="1164">
          <cell r="A1164">
            <v>3669</v>
          </cell>
          <cell r="B1164">
            <v>1</v>
          </cell>
          <cell r="D1164" t="str">
            <v>麻刀</v>
          </cell>
          <cell r="E1164" t="str">
            <v>kg</v>
          </cell>
          <cell r="G1164">
            <v>3.94</v>
          </cell>
          <cell r="H1164">
            <v>3.83</v>
          </cell>
          <cell r="I1164">
            <v>0.11</v>
          </cell>
          <cell r="K1164" t="str">
            <v>kg</v>
          </cell>
          <cell r="L1164">
            <v>3.94</v>
          </cell>
        </row>
        <row r="1165">
          <cell r="A1165">
            <v>3670</v>
          </cell>
          <cell r="B1165">
            <v>1</v>
          </cell>
          <cell r="D1165" t="str">
            <v xml:space="preserve">麻布 </v>
          </cell>
          <cell r="E1165" t="str">
            <v>m2</v>
          </cell>
          <cell r="G1165">
            <v>6.2299999999999995</v>
          </cell>
          <cell r="H1165">
            <v>6.05</v>
          </cell>
          <cell r="I1165">
            <v>0.18</v>
          </cell>
          <cell r="K1165" t="str">
            <v>m2</v>
          </cell>
          <cell r="L1165">
            <v>6.2299999999999995</v>
          </cell>
        </row>
        <row r="1166">
          <cell r="A1166">
            <v>3671</v>
          </cell>
          <cell r="B1166">
            <v>1</v>
          </cell>
          <cell r="D1166" t="str">
            <v>麻袋</v>
          </cell>
          <cell r="E1166" t="str">
            <v>条</v>
          </cell>
          <cell r="G1166">
            <v>5.67</v>
          </cell>
          <cell r="H1166">
            <v>5.5</v>
          </cell>
          <cell r="I1166">
            <v>0.17</v>
          </cell>
          <cell r="K1166" t="str">
            <v>条</v>
          </cell>
          <cell r="L1166">
            <v>5.67</v>
          </cell>
        </row>
        <row r="1167">
          <cell r="A1167">
            <v>3672</v>
          </cell>
          <cell r="B1167">
            <v>1</v>
          </cell>
          <cell r="D1167" t="str">
            <v>麦(稻)草</v>
          </cell>
          <cell r="E1167" t="str">
            <v>kg</v>
          </cell>
          <cell r="G1167">
            <v>0.21000000000000002</v>
          </cell>
          <cell r="H1167">
            <v>0.2</v>
          </cell>
          <cell r="I1167">
            <v>0.01</v>
          </cell>
          <cell r="K1167" t="str">
            <v>kg</v>
          </cell>
          <cell r="L1167">
            <v>0.21000000000000002</v>
          </cell>
        </row>
        <row r="1168">
          <cell r="A1168">
            <v>3673</v>
          </cell>
          <cell r="B1168">
            <v>1</v>
          </cell>
          <cell r="D1168" t="str">
            <v>竹子</v>
          </cell>
          <cell r="E1168" t="str">
            <v>kg</v>
          </cell>
          <cell r="G1168">
            <v>0.31</v>
          </cell>
          <cell r="H1168">
            <v>0.3</v>
          </cell>
          <cell r="I1168">
            <v>0.01</v>
          </cell>
          <cell r="K1168" t="str">
            <v>kg</v>
          </cell>
          <cell r="L1168">
            <v>0.31</v>
          </cell>
        </row>
        <row r="1169">
          <cell r="A1169">
            <v>3674</v>
          </cell>
          <cell r="B1169">
            <v>1</v>
          </cell>
          <cell r="D1169" t="str">
            <v>草袋</v>
          </cell>
          <cell r="E1169" t="str">
            <v>个</v>
          </cell>
          <cell r="G1169">
            <v>2.06</v>
          </cell>
          <cell r="H1169">
            <v>2</v>
          </cell>
          <cell r="I1169">
            <v>0.06</v>
          </cell>
          <cell r="K1169" t="str">
            <v>个</v>
          </cell>
          <cell r="L1169">
            <v>2.06</v>
          </cell>
        </row>
        <row r="1170">
          <cell r="A1170">
            <v>3675</v>
          </cell>
          <cell r="B1170">
            <v>1</v>
          </cell>
          <cell r="D1170" t="str">
            <v>锯条</v>
          </cell>
          <cell r="E1170" t="str">
            <v>根</v>
          </cell>
          <cell r="G1170">
            <v>0.31</v>
          </cell>
          <cell r="H1170">
            <v>0.3</v>
          </cell>
          <cell r="I1170">
            <v>0.01</v>
          </cell>
          <cell r="K1170" t="str">
            <v>根</v>
          </cell>
          <cell r="L1170">
            <v>0.31</v>
          </cell>
        </row>
        <row r="1171">
          <cell r="A1171">
            <v>3676</v>
          </cell>
          <cell r="B1171">
            <v>1</v>
          </cell>
          <cell r="D1171" t="str">
            <v>砂轮片 ф200</v>
          </cell>
          <cell r="E1171" t="str">
            <v>片</v>
          </cell>
          <cell r="G1171">
            <v>40.94</v>
          </cell>
          <cell r="H1171">
            <v>39.75</v>
          </cell>
          <cell r="I1171">
            <v>1.19</v>
          </cell>
          <cell r="K1171" t="str">
            <v>片</v>
          </cell>
          <cell r="L1171">
            <v>40.94</v>
          </cell>
        </row>
        <row r="1172">
          <cell r="A1172">
            <v>3677</v>
          </cell>
          <cell r="B1172">
            <v>1</v>
          </cell>
          <cell r="D1172" t="str">
            <v>铁砂布0-2#</v>
          </cell>
          <cell r="E1172" t="str">
            <v>张</v>
          </cell>
          <cell r="G1172">
            <v>0.31</v>
          </cell>
          <cell r="H1172">
            <v>0.3</v>
          </cell>
          <cell r="I1172">
            <v>0.01</v>
          </cell>
          <cell r="K1172" t="str">
            <v>张</v>
          </cell>
          <cell r="L1172">
            <v>0.31</v>
          </cell>
        </row>
        <row r="1173">
          <cell r="A1173">
            <v>3678</v>
          </cell>
          <cell r="B1173">
            <v>1</v>
          </cell>
          <cell r="D1173" t="str">
            <v>橡皮垫 δ=2mm</v>
          </cell>
          <cell r="E1173" t="str">
            <v>m2</v>
          </cell>
          <cell r="G1173">
            <v>51.18</v>
          </cell>
          <cell r="H1173">
            <v>49.69</v>
          </cell>
          <cell r="I1173">
            <v>1.49</v>
          </cell>
          <cell r="K1173" t="str">
            <v>m2</v>
          </cell>
          <cell r="L1173">
            <v>51.18</v>
          </cell>
        </row>
        <row r="1174">
          <cell r="A1174">
            <v>3679</v>
          </cell>
          <cell r="B1174">
            <v>1</v>
          </cell>
          <cell r="D1174" t="str">
            <v>压制弯头 DN300</v>
          </cell>
          <cell r="E1174" t="str">
            <v>个</v>
          </cell>
          <cell r="G1174">
            <v>536.33000000000004</v>
          </cell>
          <cell r="H1174">
            <v>520.71</v>
          </cell>
          <cell r="I1174">
            <v>15.62</v>
          </cell>
          <cell r="K1174" t="str">
            <v>个</v>
          </cell>
          <cell r="L1174">
            <v>536.33000000000004</v>
          </cell>
        </row>
        <row r="1175">
          <cell r="A1175">
            <v>3680</v>
          </cell>
          <cell r="B1175">
            <v>1</v>
          </cell>
          <cell r="D1175" t="str">
            <v>压制弯头 DN100</v>
          </cell>
          <cell r="E1175" t="str">
            <v>个</v>
          </cell>
          <cell r="G1175">
            <v>45.31</v>
          </cell>
          <cell r="H1175">
            <v>43.99</v>
          </cell>
          <cell r="I1175">
            <v>1.32</v>
          </cell>
          <cell r="K1175" t="str">
            <v>个</v>
          </cell>
          <cell r="L1175">
            <v>45.31</v>
          </cell>
        </row>
        <row r="1176">
          <cell r="A1176">
            <v>3681</v>
          </cell>
          <cell r="B1176">
            <v>1</v>
          </cell>
          <cell r="D1176" t="str">
            <v>镀锌管接头 3×25-32</v>
          </cell>
          <cell r="E1176" t="str">
            <v>个</v>
          </cell>
          <cell r="G1176">
            <v>2.6</v>
          </cell>
          <cell r="H1176">
            <v>2.52</v>
          </cell>
          <cell r="I1176">
            <v>0.08</v>
          </cell>
          <cell r="K1176" t="str">
            <v>个</v>
          </cell>
          <cell r="L1176">
            <v>2.6</v>
          </cell>
        </row>
        <row r="1177">
          <cell r="A1177">
            <v>3682</v>
          </cell>
          <cell r="B1177">
            <v>1</v>
          </cell>
          <cell r="D1177" t="str">
            <v>镀锌管接头 3×15-20</v>
          </cell>
          <cell r="E1177" t="str">
            <v>个</v>
          </cell>
          <cell r="G1177">
            <v>1.5</v>
          </cell>
          <cell r="H1177">
            <v>1.46</v>
          </cell>
          <cell r="I1177">
            <v>0.04</v>
          </cell>
          <cell r="K1177" t="str">
            <v>个</v>
          </cell>
          <cell r="L1177">
            <v>1.5</v>
          </cell>
        </row>
        <row r="1178">
          <cell r="A1178">
            <v>3683</v>
          </cell>
          <cell r="B1178">
            <v>1</v>
          </cell>
          <cell r="D1178" t="str">
            <v>精制六角螺栓 M6×14-75</v>
          </cell>
          <cell r="E1178" t="str">
            <v>套</v>
          </cell>
          <cell r="G1178">
            <v>0.16</v>
          </cell>
          <cell r="H1178">
            <v>0.16</v>
          </cell>
          <cell r="I1178">
            <v>0</v>
          </cell>
          <cell r="K1178" t="str">
            <v>套</v>
          </cell>
          <cell r="L1178">
            <v>0.16</v>
          </cell>
        </row>
        <row r="1179">
          <cell r="A1179">
            <v>3684</v>
          </cell>
          <cell r="B1179">
            <v>1</v>
          </cell>
          <cell r="D1179" t="str">
            <v>精制六角螺栓 M8×14-75</v>
          </cell>
          <cell r="E1179" t="str">
            <v>套</v>
          </cell>
          <cell r="G1179">
            <v>0.32</v>
          </cell>
          <cell r="H1179">
            <v>0.31</v>
          </cell>
          <cell r="I1179">
            <v>0.01</v>
          </cell>
          <cell r="K1179" t="str">
            <v>套</v>
          </cell>
          <cell r="L1179">
            <v>0.32</v>
          </cell>
        </row>
        <row r="1180">
          <cell r="A1180">
            <v>3685</v>
          </cell>
          <cell r="B1180">
            <v>1</v>
          </cell>
          <cell r="D1180" t="str">
            <v>精制六角螺栓 M8×80-120</v>
          </cell>
          <cell r="E1180" t="str">
            <v>套</v>
          </cell>
          <cell r="G1180">
            <v>0.74</v>
          </cell>
          <cell r="H1180">
            <v>0.72</v>
          </cell>
          <cell r="I1180">
            <v>0.02</v>
          </cell>
          <cell r="K1180" t="str">
            <v>套</v>
          </cell>
          <cell r="L1180">
            <v>0.74</v>
          </cell>
        </row>
        <row r="1181">
          <cell r="A1181">
            <v>3686</v>
          </cell>
          <cell r="B1181">
            <v>1</v>
          </cell>
          <cell r="D1181" t="str">
            <v>精制六角螺栓 M10×14-70</v>
          </cell>
          <cell r="E1181" t="str">
            <v>套</v>
          </cell>
          <cell r="G1181">
            <v>0.48</v>
          </cell>
          <cell r="H1181">
            <v>0.47</v>
          </cell>
          <cell r="I1181">
            <v>0.01</v>
          </cell>
          <cell r="K1181" t="str">
            <v>套</v>
          </cell>
          <cell r="L1181">
            <v>0.48</v>
          </cell>
        </row>
        <row r="1182">
          <cell r="A1182">
            <v>3687</v>
          </cell>
          <cell r="B1182">
            <v>1</v>
          </cell>
          <cell r="D1182" t="str">
            <v>精制六角螺栓 M12×14-75</v>
          </cell>
          <cell r="E1182" t="str">
            <v>套</v>
          </cell>
          <cell r="G1182">
            <v>0.69000000000000006</v>
          </cell>
          <cell r="H1182">
            <v>0.67</v>
          </cell>
          <cell r="I1182">
            <v>0.02</v>
          </cell>
          <cell r="K1182" t="str">
            <v>套</v>
          </cell>
          <cell r="L1182">
            <v>0.69000000000000006</v>
          </cell>
        </row>
        <row r="1183">
          <cell r="A1183">
            <v>3688</v>
          </cell>
          <cell r="B1183">
            <v>1</v>
          </cell>
          <cell r="D1183" t="str">
            <v>精制六角螺栓 M16×14-60</v>
          </cell>
          <cell r="E1183" t="str">
            <v>套</v>
          </cell>
          <cell r="G1183">
            <v>1.34</v>
          </cell>
          <cell r="H1183">
            <v>1.3</v>
          </cell>
          <cell r="I1183">
            <v>0.04</v>
          </cell>
          <cell r="K1183" t="str">
            <v>套</v>
          </cell>
          <cell r="L1183">
            <v>1.34</v>
          </cell>
        </row>
        <row r="1184">
          <cell r="A1184">
            <v>3689</v>
          </cell>
          <cell r="B1184">
            <v>1</v>
          </cell>
          <cell r="D1184" t="str">
            <v>螺栓M16×65-80</v>
          </cell>
          <cell r="E1184" t="str">
            <v>套</v>
          </cell>
          <cell r="G1184">
            <v>1.68</v>
          </cell>
          <cell r="H1184">
            <v>1.63</v>
          </cell>
          <cell r="I1184">
            <v>0.05</v>
          </cell>
          <cell r="K1184" t="str">
            <v>套</v>
          </cell>
          <cell r="L1184">
            <v>1.68</v>
          </cell>
        </row>
        <row r="1185">
          <cell r="A1185">
            <v>3690</v>
          </cell>
          <cell r="B1185">
            <v>1</v>
          </cell>
          <cell r="D1185" t="str">
            <v>螺栓M30×130-160</v>
          </cell>
          <cell r="E1185" t="str">
            <v>套</v>
          </cell>
          <cell r="G1185">
            <v>3.19</v>
          </cell>
          <cell r="H1185">
            <v>3.1</v>
          </cell>
          <cell r="I1185">
            <v>0.09</v>
          </cell>
          <cell r="K1185" t="str">
            <v>套</v>
          </cell>
          <cell r="L1185">
            <v>3.19</v>
          </cell>
        </row>
        <row r="1186">
          <cell r="A1186">
            <v>3691</v>
          </cell>
          <cell r="B1186">
            <v>1</v>
          </cell>
          <cell r="D1186" t="str">
            <v>螺栓M45×160-190</v>
          </cell>
          <cell r="E1186" t="str">
            <v>套</v>
          </cell>
          <cell r="G1186">
            <v>8.5500000000000007</v>
          </cell>
          <cell r="H1186">
            <v>8.3000000000000007</v>
          </cell>
          <cell r="I1186">
            <v>0.25</v>
          </cell>
          <cell r="K1186" t="str">
            <v>套</v>
          </cell>
          <cell r="L1186">
            <v>8.5500000000000007</v>
          </cell>
        </row>
        <row r="1187">
          <cell r="A1187">
            <v>3692</v>
          </cell>
          <cell r="B1187">
            <v>1</v>
          </cell>
          <cell r="D1187" t="str">
            <v>丁子螺栓 M6-8×60-80</v>
          </cell>
          <cell r="E1187" t="str">
            <v>套</v>
          </cell>
          <cell r="G1187">
            <v>1.3</v>
          </cell>
          <cell r="H1187">
            <v>1.26</v>
          </cell>
          <cell r="I1187">
            <v>0.04</v>
          </cell>
          <cell r="K1187" t="str">
            <v>套</v>
          </cell>
          <cell r="L1187">
            <v>1.3</v>
          </cell>
        </row>
        <row r="1188">
          <cell r="A1188">
            <v>3693</v>
          </cell>
          <cell r="B1188">
            <v>1</v>
          </cell>
          <cell r="D1188" t="str">
            <v>膨胀螺栓 M6</v>
          </cell>
          <cell r="E1188" t="str">
            <v>套</v>
          </cell>
          <cell r="G1188">
            <v>0.78</v>
          </cell>
          <cell r="H1188">
            <v>0.76</v>
          </cell>
          <cell r="I1188">
            <v>0.02</v>
          </cell>
          <cell r="K1188" t="str">
            <v>套</v>
          </cell>
          <cell r="L1188">
            <v>0.78</v>
          </cell>
        </row>
        <row r="1189">
          <cell r="A1189">
            <v>3694</v>
          </cell>
          <cell r="B1189">
            <v>1</v>
          </cell>
          <cell r="D1189" t="str">
            <v>螺栓 M6-100</v>
          </cell>
          <cell r="E1189" t="str">
            <v>套</v>
          </cell>
          <cell r="G1189">
            <v>0.62</v>
          </cell>
          <cell r="H1189">
            <v>0.6</v>
          </cell>
          <cell r="I1189">
            <v>0.02</v>
          </cell>
          <cell r="K1189" t="str">
            <v>套</v>
          </cell>
          <cell r="L1189">
            <v>0.62</v>
          </cell>
        </row>
        <row r="1190">
          <cell r="A1190">
            <v>3695</v>
          </cell>
          <cell r="B1190">
            <v>1</v>
          </cell>
          <cell r="D1190" t="str">
            <v>木螺钉 M2-4×6-65</v>
          </cell>
          <cell r="E1190" t="str">
            <v>套</v>
          </cell>
          <cell r="G1190">
            <v>0.04</v>
          </cell>
          <cell r="H1190">
            <v>0.04</v>
          </cell>
          <cell r="I1190">
            <v>0</v>
          </cell>
          <cell r="K1190" t="str">
            <v>套</v>
          </cell>
          <cell r="L1190">
            <v>0.04</v>
          </cell>
        </row>
        <row r="1191">
          <cell r="A1191">
            <v>3696</v>
          </cell>
          <cell r="B1191">
            <v>1</v>
          </cell>
          <cell r="D1191" t="str">
            <v>锁紧螺母 3×25-32</v>
          </cell>
          <cell r="E1191" t="str">
            <v>套</v>
          </cell>
          <cell r="G1191">
            <v>0.58000000000000007</v>
          </cell>
          <cell r="H1191">
            <v>0.56000000000000005</v>
          </cell>
          <cell r="I1191">
            <v>0.02</v>
          </cell>
          <cell r="K1191" t="str">
            <v>套</v>
          </cell>
          <cell r="L1191">
            <v>0.58000000000000007</v>
          </cell>
        </row>
        <row r="1192">
          <cell r="A1192">
            <v>3697</v>
          </cell>
          <cell r="B1192">
            <v>1</v>
          </cell>
          <cell r="D1192" t="str">
            <v>锁紧螺母 3×15-20</v>
          </cell>
          <cell r="E1192" t="str">
            <v>套</v>
          </cell>
          <cell r="G1192">
            <v>0.24000000000000002</v>
          </cell>
          <cell r="H1192">
            <v>0.23</v>
          </cell>
          <cell r="I1192">
            <v>0.01</v>
          </cell>
          <cell r="K1192" t="str">
            <v>套</v>
          </cell>
          <cell r="L1192">
            <v>0.24000000000000002</v>
          </cell>
        </row>
        <row r="1193">
          <cell r="A1193">
            <v>3698</v>
          </cell>
          <cell r="B1193">
            <v>1</v>
          </cell>
          <cell r="D1193" t="str">
            <v>聚氯乙烯热熔密封胶</v>
          </cell>
          <cell r="E1193" t="str">
            <v>kg</v>
          </cell>
          <cell r="G1193">
            <v>17.510000000000002</v>
          </cell>
          <cell r="H1193">
            <v>17</v>
          </cell>
          <cell r="I1193">
            <v>0.51</v>
          </cell>
          <cell r="K1193" t="str">
            <v>kg</v>
          </cell>
          <cell r="L1193">
            <v>17.510000000000002</v>
          </cell>
        </row>
        <row r="1194">
          <cell r="A1194">
            <v>3699</v>
          </cell>
          <cell r="B1194">
            <v>1</v>
          </cell>
          <cell r="D1194" t="str">
            <v>透气帽Dg75</v>
          </cell>
          <cell r="E1194" t="str">
            <v>个</v>
          </cell>
          <cell r="G1194">
            <v>6.7</v>
          </cell>
          <cell r="H1194">
            <v>6.5</v>
          </cell>
          <cell r="I1194">
            <v>0.2</v>
          </cell>
          <cell r="K1194" t="str">
            <v>个</v>
          </cell>
          <cell r="L1194">
            <v>6.7</v>
          </cell>
        </row>
        <row r="1195">
          <cell r="A1195">
            <v>3700</v>
          </cell>
          <cell r="B1195">
            <v>1</v>
          </cell>
          <cell r="D1195" t="str">
            <v>透气帽Dg60</v>
          </cell>
          <cell r="E1195" t="str">
            <v>个</v>
          </cell>
          <cell r="G1195">
            <v>4.6399999999999997</v>
          </cell>
          <cell r="H1195">
            <v>4.5</v>
          </cell>
          <cell r="I1195">
            <v>0.14000000000000001</v>
          </cell>
          <cell r="K1195" t="str">
            <v>个</v>
          </cell>
          <cell r="L1195">
            <v>4.6399999999999997</v>
          </cell>
        </row>
        <row r="1196">
          <cell r="A1196">
            <v>3701</v>
          </cell>
          <cell r="B1196">
            <v>1</v>
          </cell>
          <cell r="D1196" t="str">
            <v>膨胀螺栓 M12×200</v>
          </cell>
          <cell r="E1196" t="str">
            <v>套</v>
          </cell>
          <cell r="G1196">
            <v>3.61</v>
          </cell>
          <cell r="H1196">
            <v>3.5</v>
          </cell>
          <cell r="I1196">
            <v>0.11</v>
          </cell>
          <cell r="K1196" t="str">
            <v>套</v>
          </cell>
          <cell r="L1196">
            <v>3.61</v>
          </cell>
        </row>
        <row r="1197">
          <cell r="A1197">
            <v>3702</v>
          </cell>
          <cell r="B1197">
            <v>1</v>
          </cell>
          <cell r="D1197" t="str">
            <v>焦碳</v>
          </cell>
          <cell r="E1197" t="str">
            <v>kg</v>
          </cell>
          <cell r="G1197">
            <v>0.8</v>
          </cell>
          <cell r="H1197">
            <v>0.78</v>
          </cell>
          <cell r="I1197">
            <v>0.02</v>
          </cell>
          <cell r="K1197" t="str">
            <v>kg</v>
          </cell>
          <cell r="L1197">
            <v>0.8</v>
          </cell>
        </row>
        <row r="1198">
          <cell r="A1198">
            <v>3703</v>
          </cell>
          <cell r="B1198">
            <v>1</v>
          </cell>
          <cell r="D1198" t="str">
            <v>塑料护口 钢管用15-20</v>
          </cell>
          <cell r="E1198" t="str">
            <v>个</v>
          </cell>
          <cell r="G1198">
            <v>0.28000000000000003</v>
          </cell>
          <cell r="H1198">
            <v>0.27</v>
          </cell>
          <cell r="I1198">
            <v>0.01</v>
          </cell>
          <cell r="K1198" t="str">
            <v>个</v>
          </cell>
          <cell r="L1198">
            <v>0.28000000000000003</v>
          </cell>
        </row>
        <row r="1199">
          <cell r="A1199">
            <v>3704</v>
          </cell>
          <cell r="B1199">
            <v>1</v>
          </cell>
          <cell r="D1199" t="str">
            <v>异形塑料管 ф5</v>
          </cell>
          <cell r="E1199" t="str">
            <v>m</v>
          </cell>
          <cell r="G1199">
            <v>0.8</v>
          </cell>
          <cell r="H1199">
            <v>0.78</v>
          </cell>
          <cell r="I1199">
            <v>0.02</v>
          </cell>
          <cell r="K1199" t="str">
            <v>m</v>
          </cell>
          <cell r="L1199">
            <v>0.8</v>
          </cell>
        </row>
        <row r="1200">
          <cell r="A1200">
            <v>3705</v>
          </cell>
          <cell r="B1200">
            <v>1</v>
          </cell>
          <cell r="D1200" t="str">
            <v>塑料胀管 ф6-8</v>
          </cell>
          <cell r="E1200" t="str">
            <v>个</v>
          </cell>
          <cell r="G1200">
            <v>0.43</v>
          </cell>
          <cell r="H1200">
            <v>0.42</v>
          </cell>
          <cell r="I1200">
            <v>0.01</v>
          </cell>
          <cell r="K1200" t="str">
            <v>个</v>
          </cell>
          <cell r="L1200">
            <v>0.43</v>
          </cell>
        </row>
        <row r="1201">
          <cell r="A1201">
            <v>3706</v>
          </cell>
          <cell r="B1201">
            <v>1</v>
          </cell>
          <cell r="D1201" t="str">
            <v>冲击钻头 ф6-12</v>
          </cell>
          <cell r="E1201" t="str">
            <v>个</v>
          </cell>
          <cell r="G1201">
            <v>5.33</v>
          </cell>
          <cell r="H1201">
            <v>5.17</v>
          </cell>
          <cell r="I1201">
            <v>0.16</v>
          </cell>
          <cell r="K1201" t="str">
            <v>个</v>
          </cell>
          <cell r="L1201">
            <v>5.33</v>
          </cell>
        </row>
        <row r="1202">
          <cell r="A1202">
            <v>3707</v>
          </cell>
          <cell r="B1202">
            <v>1</v>
          </cell>
          <cell r="D1202" t="str">
            <v>石英砂</v>
          </cell>
          <cell r="E1202" t="str">
            <v>kg</v>
          </cell>
          <cell r="G1202">
            <v>0.28000000000000003</v>
          </cell>
          <cell r="H1202">
            <v>0.27</v>
          </cell>
          <cell r="I1202">
            <v>0.01</v>
          </cell>
          <cell r="K1202" t="str">
            <v>kg</v>
          </cell>
          <cell r="L1202">
            <v>0.28000000000000003</v>
          </cell>
        </row>
        <row r="1203">
          <cell r="A1203">
            <v>3708</v>
          </cell>
          <cell r="B1203">
            <v>1</v>
          </cell>
          <cell r="D1203" t="str">
            <v>聚氨脂煤焦油环氧树脂漆</v>
          </cell>
          <cell r="E1203" t="str">
            <v>kg</v>
          </cell>
          <cell r="G1203">
            <v>39.14</v>
          </cell>
          <cell r="H1203">
            <v>38</v>
          </cell>
          <cell r="I1203">
            <v>1.1399999999999999</v>
          </cell>
          <cell r="K1203" t="str">
            <v>kg</v>
          </cell>
          <cell r="L1203">
            <v>39.14</v>
          </cell>
        </row>
        <row r="1204">
          <cell r="A1204">
            <v>3709</v>
          </cell>
          <cell r="B1204">
            <v>1</v>
          </cell>
          <cell r="D1204" t="str">
            <v>直瓷管ф19-15×300</v>
          </cell>
          <cell r="E1204" t="str">
            <v>根</v>
          </cell>
          <cell r="G1204">
            <v>0.47000000000000003</v>
          </cell>
          <cell r="H1204">
            <v>0.46</v>
          </cell>
          <cell r="I1204">
            <v>0.01</v>
          </cell>
          <cell r="K1204" t="str">
            <v>根</v>
          </cell>
          <cell r="L1204">
            <v>0.47000000000000003</v>
          </cell>
        </row>
        <row r="1205">
          <cell r="A1205">
            <v>3710</v>
          </cell>
          <cell r="B1205">
            <v>1</v>
          </cell>
          <cell r="D1205" t="str">
            <v>红外线灯泡 250W</v>
          </cell>
          <cell r="E1205" t="str">
            <v>个</v>
          </cell>
          <cell r="G1205">
            <v>9.06</v>
          </cell>
          <cell r="H1205">
            <v>8.8000000000000007</v>
          </cell>
          <cell r="I1205">
            <v>0.26</v>
          </cell>
          <cell r="K1205" t="str">
            <v>个</v>
          </cell>
          <cell r="L1205">
            <v>9.06</v>
          </cell>
        </row>
        <row r="1206">
          <cell r="A1206">
            <v>3711</v>
          </cell>
          <cell r="B1206">
            <v>1</v>
          </cell>
          <cell r="D1206" t="str">
            <v>石棉织布 δ2.5mm</v>
          </cell>
          <cell r="E1206" t="str">
            <v>m2</v>
          </cell>
          <cell r="G1206">
            <v>81.72</v>
          </cell>
          <cell r="H1206">
            <v>79.34</v>
          </cell>
          <cell r="I1206">
            <v>2.38</v>
          </cell>
          <cell r="K1206" t="str">
            <v>m2</v>
          </cell>
          <cell r="L1206">
            <v>81.72</v>
          </cell>
        </row>
        <row r="1207">
          <cell r="A1207">
            <v>3712</v>
          </cell>
          <cell r="B1207">
            <v>1</v>
          </cell>
          <cell r="D1207" t="str">
            <v xml:space="preserve">白纱布 </v>
          </cell>
          <cell r="E1207" t="str">
            <v>卷</v>
          </cell>
          <cell r="G1207">
            <v>1.85</v>
          </cell>
          <cell r="H1207">
            <v>1.8</v>
          </cell>
          <cell r="I1207">
            <v>0.05</v>
          </cell>
          <cell r="K1207" t="str">
            <v>卷</v>
          </cell>
          <cell r="L1207">
            <v>1.85</v>
          </cell>
        </row>
        <row r="1208">
          <cell r="A1208">
            <v>3713</v>
          </cell>
          <cell r="B1208">
            <v>1</v>
          </cell>
          <cell r="D1208" t="str">
            <v>玻璃 δ=3mm</v>
          </cell>
          <cell r="E1208" t="str">
            <v>m2</v>
          </cell>
          <cell r="G1208">
            <v>11.120000000000001</v>
          </cell>
          <cell r="H1208">
            <v>10.8</v>
          </cell>
          <cell r="I1208">
            <v>0.32</v>
          </cell>
          <cell r="K1208" t="str">
            <v>m2</v>
          </cell>
          <cell r="L1208">
            <v>11.120000000000001</v>
          </cell>
        </row>
        <row r="1209">
          <cell r="A1209">
            <v>3714</v>
          </cell>
          <cell r="B1209">
            <v>1</v>
          </cell>
          <cell r="D1209" t="str">
            <v>玻璃δ=5mm</v>
          </cell>
          <cell r="E1209" t="str">
            <v>m2</v>
          </cell>
          <cell r="G1209">
            <v>14.42</v>
          </cell>
          <cell r="H1209">
            <v>14</v>
          </cell>
          <cell r="I1209">
            <v>0.42</v>
          </cell>
          <cell r="K1209" t="str">
            <v>m2</v>
          </cell>
          <cell r="L1209">
            <v>14.42</v>
          </cell>
        </row>
        <row r="1210">
          <cell r="A1210">
            <v>3715</v>
          </cell>
          <cell r="B1210">
            <v>1</v>
          </cell>
          <cell r="D1210" t="str">
            <v>血料</v>
          </cell>
          <cell r="E1210" t="str">
            <v>kg</v>
          </cell>
          <cell r="G1210">
            <v>0.68</v>
          </cell>
          <cell r="H1210">
            <v>0.66</v>
          </cell>
          <cell r="I1210">
            <v>0.02</v>
          </cell>
          <cell r="K1210" t="str">
            <v>kg</v>
          </cell>
          <cell r="L1210">
            <v>0.68</v>
          </cell>
        </row>
        <row r="1211">
          <cell r="A1211">
            <v>3716</v>
          </cell>
          <cell r="B1211">
            <v>1</v>
          </cell>
          <cell r="D1211" t="str">
            <v>红土粉</v>
          </cell>
          <cell r="E1211" t="str">
            <v>kg</v>
          </cell>
          <cell r="G1211">
            <v>1.32</v>
          </cell>
          <cell r="H1211">
            <v>1.28</v>
          </cell>
          <cell r="I1211">
            <v>0.04</v>
          </cell>
          <cell r="K1211" t="str">
            <v>kg</v>
          </cell>
          <cell r="L1211">
            <v>1.32</v>
          </cell>
        </row>
        <row r="1212">
          <cell r="A1212">
            <v>3717</v>
          </cell>
          <cell r="B1212">
            <v>1</v>
          </cell>
          <cell r="D1212" t="str">
            <v>106涂料</v>
          </cell>
          <cell r="E1212" t="str">
            <v>kg</v>
          </cell>
          <cell r="G1212">
            <v>0.95000000000000007</v>
          </cell>
          <cell r="H1212">
            <v>0.92</v>
          </cell>
          <cell r="I1212">
            <v>0.03</v>
          </cell>
          <cell r="K1212" t="str">
            <v>kg</v>
          </cell>
          <cell r="L1212">
            <v>0.95000000000000007</v>
          </cell>
        </row>
        <row r="1213">
          <cell r="A1213">
            <v>3718</v>
          </cell>
          <cell r="B1213">
            <v>1</v>
          </cell>
          <cell r="D1213" t="str">
            <v>大白粉</v>
          </cell>
          <cell r="E1213" t="str">
            <v>kg</v>
          </cell>
          <cell r="G1213">
            <v>0.47000000000000003</v>
          </cell>
          <cell r="H1213">
            <v>0.46</v>
          </cell>
          <cell r="I1213">
            <v>0.01</v>
          </cell>
          <cell r="K1213" t="str">
            <v>kg</v>
          </cell>
          <cell r="L1213">
            <v>0.47000000000000003</v>
          </cell>
        </row>
        <row r="1214">
          <cell r="A1214">
            <v>3719</v>
          </cell>
          <cell r="B1214">
            <v>1</v>
          </cell>
          <cell r="D1214" t="str">
            <v>石膏粉</v>
          </cell>
          <cell r="E1214" t="str">
            <v>kg</v>
          </cell>
          <cell r="G1214">
            <v>0.49</v>
          </cell>
          <cell r="H1214">
            <v>0.48</v>
          </cell>
          <cell r="I1214">
            <v>0.01</v>
          </cell>
          <cell r="K1214" t="str">
            <v>kg</v>
          </cell>
          <cell r="L1214">
            <v>0.49</v>
          </cell>
        </row>
        <row r="1215">
          <cell r="A1215">
            <v>3720</v>
          </cell>
          <cell r="B1215">
            <v>1</v>
          </cell>
          <cell r="D1215" t="str">
            <v>平开钢板门</v>
          </cell>
          <cell r="E1215" t="str">
            <v>m2</v>
          </cell>
          <cell r="G1215">
            <v>133.77000000000001</v>
          </cell>
          <cell r="H1215">
            <v>129.87</v>
          </cell>
          <cell r="I1215">
            <v>3.9</v>
          </cell>
          <cell r="K1215" t="str">
            <v>m2</v>
          </cell>
          <cell r="L1215">
            <v>133.77000000000001</v>
          </cell>
        </row>
        <row r="1216">
          <cell r="A1216">
            <v>3721</v>
          </cell>
          <cell r="B1216">
            <v>1</v>
          </cell>
          <cell r="D1216" t="str">
            <v>半玻璃钢门</v>
          </cell>
          <cell r="E1216" t="str">
            <v>m2</v>
          </cell>
          <cell r="G1216">
            <v>111.81</v>
          </cell>
          <cell r="H1216">
            <v>108.55</v>
          </cell>
          <cell r="I1216">
            <v>3.26</v>
          </cell>
          <cell r="K1216" t="str">
            <v>m2</v>
          </cell>
          <cell r="L1216">
            <v>111.81</v>
          </cell>
        </row>
        <row r="1217">
          <cell r="A1217">
            <v>3722</v>
          </cell>
          <cell r="B1217">
            <v>1</v>
          </cell>
          <cell r="D1217" t="str">
            <v>平开钢窗</v>
          </cell>
          <cell r="E1217" t="str">
            <v>m2</v>
          </cell>
          <cell r="G1217">
            <v>89.77</v>
          </cell>
          <cell r="H1217">
            <v>87.16</v>
          </cell>
          <cell r="I1217">
            <v>2.61</v>
          </cell>
          <cell r="K1217" t="str">
            <v>m2</v>
          </cell>
          <cell r="L1217">
            <v>89.77</v>
          </cell>
        </row>
        <row r="1218">
          <cell r="A1218">
            <v>3723</v>
          </cell>
          <cell r="B1218">
            <v>1</v>
          </cell>
          <cell r="D1218" t="str">
            <v>铝合金窗 茶色73系列</v>
          </cell>
          <cell r="E1218" t="str">
            <v>m2</v>
          </cell>
          <cell r="G1218">
            <v>175.1</v>
          </cell>
          <cell r="H1218">
            <v>170</v>
          </cell>
          <cell r="I1218">
            <v>5.0999999999999996</v>
          </cell>
          <cell r="K1218" t="str">
            <v>m2</v>
          </cell>
          <cell r="L1218">
            <v>175.1</v>
          </cell>
        </row>
        <row r="1219">
          <cell r="A1219">
            <v>3724</v>
          </cell>
          <cell r="B1219">
            <v>1</v>
          </cell>
          <cell r="D1219" t="str">
            <v>铝合金窗 白色73系列</v>
          </cell>
          <cell r="E1219" t="str">
            <v>m2</v>
          </cell>
          <cell r="G1219">
            <v>185.4</v>
          </cell>
          <cell r="H1219">
            <v>180</v>
          </cell>
          <cell r="I1219">
            <v>5.4</v>
          </cell>
          <cell r="K1219" t="str">
            <v>m2</v>
          </cell>
          <cell r="L1219">
            <v>185.4</v>
          </cell>
        </row>
        <row r="1220">
          <cell r="A1220">
            <v>3725</v>
          </cell>
          <cell r="B1220">
            <v>1</v>
          </cell>
          <cell r="D1220" t="str">
            <v>复合钢卷闸门</v>
          </cell>
          <cell r="E1220" t="str">
            <v>m2</v>
          </cell>
          <cell r="G1220">
            <v>257.5</v>
          </cell>
          <cell r="H1220">
            <v>250</v>
          </cell>
          <cell r="I1220">
            <v>7.5</v>
          </cell>
          <cell r="K1220" t="str">
            <v>m2</v>
          </cell>
          <cell r="L1220">
            <v>257.5</v>
          </cell>
        </row>
        <row r="1221">
          <cell r="A1221">
            <v>3726</v>
          </cell>
          <cell r="B1221">
            <v>1</v>
          </cell>
          <cell r="D1221" t="str">
            <v>变压器专用门</v>
          </cell>
          <cell r="E1221" t="str">
            <v>m2</v>
          </cell>
          <cell r="G1221">
            <v>195.7</v>
          </cell>
          <cell r="H1221">
            <v>190</v>
          </cell>
          <cell r="I1221">
            <v>5.7</v>
          </cell>
          <cell r="K1221" t="str">
            <v>m2</v>
          </cell>
          <cell r="L1221">
            <v>195.7</v>
          </cell>
        </row>
        <row r="1222">
          <cell r="A1222">
            <v>3727</v>
          </cell>
          <cell r="B1222">
            <v>1</v>
          </cell>
          <cell r="D1222" t="str">
            <v>实腹钢窗</v>
          </cell>
          <cell r="E1222" t="str">
            <v>m2</v>
          </cell>
          <cell r="G1222">
            <v>118.45</v>
          </cell>
          <cell r="H1222">
            <v>115</v>
          </cell>
          <cell r="I1222">
            <v>3.45</v>
          </cell>
          <cell r="K1222" t="str">
            <v>m2</v>
          </cell>
          <cell r="L1222">
            <v>118.45</v>
          </cell>
        </row>
        <row r="1223">
          <cell r="A1223">
            <v>3728</v>
          </cell>
          <cell r="B1223">
            <v>1</v>
          </cell>
          <cell r="D1223" t="str">
            <v>门把手</v>
          </cell>
          <cell r="E1223" t="str">
            <v>个</v>
          </cell>
          <cell r="G1223">
            <v>2.58</v>
          </cell>
          <cell r="H1223">
            <v>2.5</v>
          </cell>
          <cell r="I1223">
            <v>0.08</v>
          </cell>
          <cell r="K1223" t="str">
            <v>个</v>
          </cell>
          <cell r="L1223">
            <v>2.58</v>
          </cell>
        </row>
        <row r="1224">
          <cell r="A1224">
            <v>3729</v>
          </cell>
          <cell r="B1224">
            <v>1</v>
          </cell>
          <cell r="D1224" t="str">
            <v>铰链</v>
          </cell>
          <cell r="E1224" t="str">
            <v>付</v>
          </cell>
          <cell r="G1224">
            <v>1.34</v>
          </cell>
          <cell r="H1224">
            <v>1.3</v>
          </cell>
          <cell r="I1224">
            <v>0.04</v>
          </cell>
          <cell r="K1224" t="str">
            <v>付</v>
          </cell>
          <cell r="L1224">
            <v>1.34</v>
          </cell>
        </row>
        <row r="1225">
          <cell r="A1225">
            <v>3730</v>
          </cell>
          <cell r="B1225">
            <v>1</v>
          </cell>
          <cell r="D1225" t="str">
            <v>门插</v>
          </cell>
          <cell r="E1225" t="str">
            <v>个</v>
          </cell>
          <cell r="G1225">
            <v>2.4699999999999998</v>
          </cell>
          <cell r="H1225">
            <v>2.4</v>
          </cell>
          <cell r="I1225">
            <v>7.0000000000000007E-2</v>
          </cell>
          <cell r="K1225" t="str">
            <v>个</v>
          </cell>
          <cell r="L1225">
            <v>2.4699999999999998</v>
          </cell>
        </row>
        <row r="1226">
          <cell r="A1226">
            <v>3731</v>
          </cell>
          <cell r="B1226">
            <v>1</v>
          </cell>
          <cell r="D1226" t="str">
            <v>弹簧锁</v>
          </cell>
          <cell r="E1226" t="str">
            <v>把</v>
          </cell>
          <cell r="G1226">
            <v>37.08</v>
          </cell>
          <cell r="H1226">
            <v>36</v>
          </cell>
          <cell r="I1226">
            <v>1.08</v>
          </cell>
          <cell r="K1226" t="str">
            <v>把</v>
          </cell>
          <cell r="L1226">
            <v>37.08</v>
          </cell>
        </row>
        <row r="1227">
          <cell r="A1227">
            <v>3732</v>
          </cell>
          <cell r="B1227">
            <v>1</v>
          </cell>
          <cell r="D1227" t="str">
            <v>推拉板</v>
          </cell>
          <cell r="E1227" t="str">
            <v>付</v>
          </cell>
          <cell r="G1227">
            <v>13.39</v>
          </cell>
          <cell r="H1227">
            <v>13</v>
          </cell>
          <cell r="I1227">
            <v>0.39</v>
          </cell>
          <cell r="K1227" t="str">
            <v>付</v>
          </cell>
          <cell r="L1227">
            <v>13.39</v>
          </cell>
        </row>
        <row r="1228">
          <cell r="A1228">
            <v>3733</v>
          </cell>
          <cell r="B1228">
            <v>1</v>
          </cell>
          <cell r="D1228" t="str">
            <v>冲击钻头M6-12</v>
          </cell>
          <cell r="E1228" t="str">
            <v>个</v>
          </cell>
          <cell r="G1228">
            <v>3.83</v>
          </cell>
          <cell r="H1228">
            <v>3.72</v>
          </cell>
          <cell r="I1228">
            <v>0.11</v>
          </cell>
          <cell r="K1228" t="str">
            <v>个</v>
          </cell>
          <cell r="L1228">
            <v>3.83</v>
          </cell>
        </row>
        <row r="1229">
          <cell r="A1229">
            <v>3734</v>
          </cell>
          <cell r="B1229">
            <v>1</v>
          </cell>
          <cell r="D1229" t="str">
            <v>不燃型玻璃钢风管</v>
          </cell>
          <cell r="E1229" t="str">
            <v>t</v>
          </cell>
          <cell r="G1229">
            <v>49440</v>
          </cell>
          <cell r="H1229">
            <v>48000</v>
          </cell>
          <cell r="I1229">
            <v>1440</v>
          </cell>
          <cell r="K1229" t="str">
            <v>t</v>
          </cell>
          <cell r="L1229">
            <v>49440</v>
          </cell>
        </row>
        <row r="1230">
          <cell r="A1230">
            <v>3735</v>
          </cell>
          <cell r="B1230">
            <v>1</v>
          </cell>
          <cell r="D1230" t="str">
            <v>夹板门</v>
          </cell>
          <cell r="E1230" t="str">
            <v>m2</v>
          </cell>
          <cell r="G1230">
            <v>226.6</v>
          </cell>
          <cell r="H1230">
            <v>220</v>
          </cell>
          <cell r="I1230">
            <v>6.6</v>
          </cell>
          <cell r="K1230" t="str">
            <v>m2</v>
          </cell>
          <cell r="L1230">
            <v>226.6</v>
          </cell>
        </row>
        <row r="1231">
          <cell r="A1231">
            <v>3736</v>
          </cell>
          <cell r="B1231">
            <v>1</v>
          </cell>
          <cell r="D1231" t="str">
            <v>红砖</v>
          </cell>
          <cell r="E1231" t="str">
            <v>千块</v>
          </cell>
          <cell r="G1231">
            <v>133.9</v>
          </cell>
          <cell r="H1231">
            <v>130</v>
          </cell>
          <cell r="I1231">
            <v>3.9</v>
          </cell>
          <cell r="K1231" t="str">
            <v>千块</v>
          </cell>
          <cell r="L1231">
            <v>133.9</v>
          </cell>
        </row>
        <row r="1232">
          <cell r="A1232">
            <v>3737</v>
          </cell>
          <cell r="B1232">
            <v>1</v>
          </cell>
          <cell r="D1232" t="str">
            <v>小青瓦</v>
          </cell>
          <cell r="E1232" t="str">
            <v>块</v>
          </cell>
          <cell r="G1232">
            <v>0.12</v>
          </cell>
          <cell r="H1232">
            <v>0.12</v>
          </cell>
          <cell r="I1232">
            <v>0</v>
          </cell>
          <cell r="K1232" t="str">
            <v>块</v>
          </cell>
          <cell r="L1232">
            <v>0.12</v>
          </cell>
        </row>
        <row r="1233">
          <cell r="A1233">
            <v>3738</v>
          </cell>
          <cell r="B1233">
            <v>1</v>
          </cell>
          <cell r="D1233" t="str">
            <v>磁砖400x400x8</v>
          </cell>
          <cell r="E1233" t="str">
            <v>块</v>
          </cell>
          <cell r="G1233">
            <v>6.5900000000000007</v>
          </cell>
          <cell r="H1233">
            <v>6.4</v>
          </cell>
          <cell r="I1233">
            <v>0.19</v>
          </cell>
          <cell r="K1233" t="str">
            <v>块</v>
          </cell>
          <cell r="L1233">
            <v>6.5900000000000007</v>
          </cell>
        </row>
        <row r="1234">
          <cell r="A1234">
            <v>3739</v>
          </cell>
          <cell r="B1234">
            <v>1</v>
          </cell>
          <cell r="D1234" t="str">
            <v>广场砖  100*100*18mm</v>
          </cell>
          <cell r="E1234" t="str">
            <v>m2</v>
          </cell>
          <cell r="G1234">
            <v>92.7</v>
          </cell>
          <cell r="H1234">
            <v>90</v>
          </cell>
          <cell r="I1234">
            <v>2.7</v>
          </cell>
          <cell r="K1234" t="str">
            <v>m2</v>
          </cell>
          <cell r="L1234">
            <v>92.7</v>
          </cell>
        </row>
        <row r="1235">
          <cell r="A1235">
            <v>3740</v>
          </cell>
          <cell r="B1235">
            <v>1</v>
          </cell>
          <cell r="D1235" t="str">
            <v>保温被2*3m</v>
          </cell>
          <cell r="E1235" t="str">
            <v>条</v>
          </cell>
          <cell r="G1235">
            <v>221.45</v>
          </cell>
          <cell r="H1235">
            <v>215</v>
          </cell>
          <cell r="I1235">
            <v>6.45</v>
          </cell>
          <cell r="K1235" t="str">
            <v>条</v>
          </cell>
          <cell r="L1235">
            <v>221.45</v>
          </cell>
        </row>
        <row r="1236">
          <cell r="A1236">
            <v>3741</v>
          </cell>
          <cell r="B1236">
            <v>1</v>
          </cell>
          <cell r="D1236" t="str">
            <v>棉被</v>
          </cell>
          <cell r="E1236" t="str">
            <v>条</v>
          </cell>
          <cell r="G1236">
            <v>53.56</v>
          </cell>
          <cell r="H1236">
            <v>52</v>
          </cell>
          <cell r="I1236">
            <v>1.56</v>
          </cell>
          <cell r="K1236" t="str">
            <v>条</v>
          </cell>
          <cell r="L1236">
            <v>53.56</v>
          </cell>
        </row>
        <row r="1237">
          <cell r="A1237">
            <v>3742</v>
          </cell>
          <cell r="B1237">
            <v>1</v>
          </cell>
          <cell r="D1237" t="str">
            <v>三合板</v>
          </cell>
          <cell r="E1237" t="str">
            <v>m2</v>
          </cell>
          <cell r="G1237">
            <v>23.69</v>
          </cell>
          <cell r="H1237">
            <v>23</v>
          </cell>
          <cell r="I1237">
            <v>0.69</v>
          </cell>
          <cell r="K1237" t="str">
            <v>m2</v>
          </cell>
          <cell r="L1237">
            <v>23.69</v>
          </cell>
        </row>
        <row r="1238">
          <cell r="A1238">
            <v>3743</v>
          </cell>
          <cell r="B1238">
            <v>1</v>
          </cell>
          <cell r="D1238" t="str">
            <v>五合板</v>
          </cell>
          <cell r="E1238" t="str">
            <v>m2</v>
          </cell>
          <cell r="G1238">
            <v>28.84</v>
          </cell>
          <cell r="H1238">
            <v>28</v>
          </cell>
          <cell r="I1238">
            <v>0.84</v>
          </cell>
          <cell r="K1238" t="str">
            <v>m2</v>
          </cell>
          <cell r="L1238">
            <v>28.84</v>
          </cell>
        </row>
        <row r="1239">
          <cell r="A1239">
            <v>3744</v>
          </cell>
          <cell r="B1239">
            <v>1</v>
          </cell>
          <cell r="D1239" t="str">
            <v>纤维板</v>
          </cell>
          <cell r="E1239" t="str">
            <v>m2</v>
          </cell>
          <cell r="G1239">
            <v>12.36</v>
          </cell>
          <cell r="H1239">
            <v>12</v>
          </cell>
          <cell r="I1239">
            <v>0.36</v>
          </cell>
          <cell r="K1239" t="str">
            <v>m2</v>
          </cell>
          <cell r="L1239">
            <v>12.36</v>
          </cell>
        </row>
        <row r="1240">
          <cell r="A1240">
            <v>3745</v>
          </cell>
          <cell r="B1240">
            <v>1</v>
          </cell>
          <cell r="D1240" t="str">
            <v>铁百叶</v>
          </cell>
          <cell r="E1240" t="str">
            <v>t</v>
          </cell>
          <cell r="G1240">
            <v>4635</v>
          </cell>
          <cell r="H1240">
            <v>4500</v>
          </cell>
          <cell r="I1240">
            <v>135</v>
          </cell>
          <cell r="K1240" t="str">
            <v>t</v>
          </cell>
          <cell r="L1240">
            <v>4635</v>
          </cell>
        </row>
        <row r="1241">
          <cell r="A1241">
            <v>3746</v>
          </cell>
          <cell r="B1241">
            <v>1</v>
          </cell>
          <cell r="D1241" t="str">
            <v>氯化聚乙稀橡胶卷材</v>
          </cell>
          <cell r="E1241" t="str">
            <v>m2</v>
          </cell>
          <cell r="G1241">
            <v>22.880000000000003</v>
          </cell>
          <cell r="H1241">
            <v>22.21</v>
          </cell>
          <cell r="I1241">
            <v>0.67</v>
          </cell>
          <cell r="K1241" t="str">
            <v>m2</v>
          </cell>
          <cell r="L1241">
            <v>22.880000000000003</v>
          </cell>
        </row>
        <row r="1242">
          <cell r="A1242">
            <v>3747</v>
          </cell>
          <cell r="B1242">
            <v>1</v>
          </cell>
          <cell r="D1242" t="str">
            <v>镀锌管接头φ40</v>
          </cell>
          <cell r="E1242" t="str">
            <v>个</v>
          </cell>
          <cell r="G1242">
            <v>3.2399999999999998</v>
          </cell>
          <cell r="H1242">
            <v>3.15</v>
          </cell>
          <cell r="I1242">
            <v>0.09</v>
          </cell>
          <cell r="K1242" t="str">
            <v>个</v>
          </cell>
          <cell r="L1242">
            <v>3.2399999999999998</v>
          </cell>
        </row>
        <row r="1243">
          <cell r="A1243">
            <v>3748</v>
          </cell>
          <cell r="B1243">
            <v>1</v>
          </cell>
          <cell r="D1243" t="str">
            <v>镀锌管接头φ50</v>
          </cell>
          <cell r="E1243" t="str">
            <v>个</v>
          </cell>
          <cell r="G1243">
            <v>4.0599999999999996</v>
          </cell>
          <cell r="H1243">
            <v>3.94</v>
          </cell>
          <cell r="I1243">
            <v>0.12</v>
          </cell>
          <cell r="K1243" t="str">
            <v>个</v>
          </cell>
          <cell r="L1243">
            <v>4.0599999999999996</v>
          </cell>
        </row>
        <row r="1244">
          <cell r="A1244">
            <v>3749</v>
          </cell>
          <cell r="B1244">
            <v>1</v>
          </cell>
          <cell r="D1244" t="str">
            <v>镀锌管接头φ70</v>
          </cell>
          <cell r="E1244" t="str">
            <v>个</v>
          </cell>
          <cell r="G1244">
            <v>5.68</v>
          </cell>
          <cell r="H1244">
            <v>5.51</v>
          </cell>
          <cell r="I1244">
            <v>0.17</v>
          </cell>
          <cell r="K1244" t="str">
            <v>个</v>
          </cell>
          <cell r="L1244">
            <v>5.68</v>
          </cell>
        </row>
        <row r="1245">
          <cell r="A1245">
            <v>3750</v>
          </cell>
          <cell r="B1245">
            <v>1</v>
          </cell>
          <cell r="D1245" t="str">
            <v>镀锌管接头φ80</v>
          </cell>
          <cell r="E1245" t="str">
            <v>个</v>
          </cell>
          <cell r="G1245">
            <v>7</v>
          </cell>
          <cell r="H1245">
            <v>6.8</v>
          </cell>
          <cell r="I1245">
            <v>0.2</v>
          </cell>
          <cell r="K1245" t="str">
            <v>个</v>
          </cell>
          <cell r="L1245">
            <v>7</v>
          </cell>
        </row>
        <row r="1246">
          <cell r="A1246">
            <v>3751</v>
          </cell>
          <cell r="B1246">
            <v>1</v>
          </cell>
          <cell r="D1246" t="str">
            <v>薄砂轮片500×25×4</v>
          </cell>
          <cell r="E1246" t="str">
            <v>块</v>
          </cell>
          <cell r="G1246">
            <v>11.25</v>
          </cell>
          <cell r="H1246">
            <v>10.92</v>
          </cell>
          <cell r="I1246">
            <v>0.33</v>
          </cell>
          <cell r="K1246" t="str">
            <v>块</v>
          </cell>
          <cell r="L1246">
            <v>11.25</v>
          </cell>
        </row>
        <row r="1247">
          <cell r="A1247">
            <v>3752</v>
          </cell>
          <cell r="B1247">
            <v>1</v>
          </cell>
          <cell r="D1247" t="str">
            <v>尼龙砂轮片φ100×16×3</v>
          </cell>
          <cell r="E1247" t="str">
            <v>块</v>
          </cell>
          <cell r="G1247">
            <v>6.7</v>
          </cell>
          <cell r="H1247">
            <v>6.5</v>
          </cell>
          <cell r="I1247">
            <v>0.2</v>
          </cell>
          <cell r="K1247" t="str">
            <v>块</v>
          </cell>
          <cell r="L1247">
            <v>6.7</v>
          </cell>
        </row>
        <row r="1248">
          <cell r="A1248">
            <v>3753</v>
          </cell>
          <cell r="B1248">
            <v>1</v>
          </cell>
          <cell r="D1248" t="str">
            <v>砂轮片φ20</v>
          </cell>
          <cell r="E1248" t="str">
            <v>块</v>
          </cell>
          <cell r="G1248">
            <v>9.11</v>
          </cell>
          <cell r="H1248">
            <v>8.84</v>
          </cell>
          <cell r="I1248">
            <v>0.27</v>
          </cell>
          <cell r="K1248" t="str">
            <v>块</v>
          </cell>
          <cell r="L1248">
            <v>9.11</v>
          </cell>
        </row>
        <row r="1249">
          <cell r="A1249">
            <v>3754</v>
          </cell>
          <cell r="B1249">
            <v>1</v>
          </cell>
          <cell r="D1249" t="str">
            <v>隔离剂</v>
          </cell>
          <cell r="E1249" t="str">
            <v>kg</v>
          </cell>
          <cell r="G1249">
            <v>0.5</v>
          </cell>
          <cell r="H1249">
            <v>0.49</v>
          </cell>
          <cell r="I1249">
            <v>0.01</v>
          </cell>
          <cell r="K1249" t="str">
            <v>kg</v>
          </cell>
          <cell r="L1249">
            <v>0.5</v>
          </cell>
        </row>
        <row r="1250">
          <cell r="A1250">
            <v>3755</v>
          </cell>
          <cell r="B1250">
            <v>1</v>
          </cell>
          <cell r="D1250" t="str">
            <v>镀锌钢管DN50</v>
          </cell>
          <cell r="E1250" t="str">
            <v>m</v>
          </cell>
          <cell r="G1250">
            <v>14.84</v>
          </cell>
          <cell r="H1250">
            <v>14.41</v>
          </cell>
          <cell r="I1250">
            <v>0.43</v>
          </cell>
          <cell r="K1250" t="str">
            <v>m</v>
          </cell>
          <cell r="L1250">
            <v>14.84</v>
          </cell>
        </row>
        <row r="1251">
          <cell r="A1251">
            <v>3756</v>
          </cell>
          <cell r="B1251">
            <v>1</v>
          </cell>
          <cell r="D1251" t="str">
            <v>预制水磨石板</v>
          </cell>
          <cell r="E1251" t="str">
            <v>m2</v>
          </cell>
          <cell r="G1251">
            <v>36.770000000000003</v>
          </cell>
          <cell r="H1251">
            <v>35.700000000000003</v>
          </cell>
          <cell r="I1251">
            <v>1.07</v>
          </cell>
          <cell r="K1251" t="str">
            <v>m2</v>
          </cell>
          <cell r="L1251">
            <v>36.770000000000003</v>
          </cell>
        </row>
        <row r="1252">
          <cell r="A1252">
            <v>3757</v>
          </cell>
          <cell r="B1252">
            <v>1</v>
          </cell>
          <cell r="D1252" t="str">
            <v>竹钉</v>
          </cell>
          <cell r="E1252" t="str">
            <v>百个</v>
          </cell>
          <cell r="G1252">
            <v>2.15</v>
          </cell>
          <cell r="H1252">
            <v>2.09</v>
          </cell>
          <cell r="I1252">
            <v>0.06</v>
          </cell>
          <cell r="K1252" t="str">
            <v>百个</v>
          </cell>
          <cell r="L1252">
            <v>2.15</v>
          </cell>
        </row>
        <row r="1253">
          <cell r="A1253">
            <v>3758</v>
          </cell>
          <cell r="B1253">
            <v>1</v>
          </cell>
          <cell r="D1253" t="str">
            <v>密封胶</v>
          </cell>
          <cell r="E1253" t="str">
            <v>kg</v>
          </cell>
          <cell r="G1253">
            <v>19.47</v>
          </cell>
          <cell r="H1253">
            <v>18.899999999999999</v>
          </cell>
          <cell r="I1253">
            <v>0.56999999999999995</v>
          </cell>
          <cell r="K1253" t="str">
            <v>kg</v>
          </cell>
          <cell r="L1253">
            <v>19.47</v>
          </cell>
        </row>
        <row r="1254">
          <cell r="A1254">
            <v>3759</v>
          </cell>
          <cell r="B1254">
            <v>1</v>
          </cell>
          <cell r="D1254" t="str">
            <v>卡箍膨胀螺栓</v>
          </cell>
          <cell r="E1254" t="str">
            <v>套</v>
          </cell>
          <cell r="G1254">
            <v>0.77</v>
          </cell>
          <cell r="H1254">
            <v>0.75</v>
          </cell>
          <cell r="I1254">
            <v>0.02</v>
          </cell>
          <cell r="K1254" t="str">
            <v>套</v>
          </cell>
          <cell r="L1254">
            <v>0.77</v>
          </cell>
        </row>
        <row r="1255">
          <cell r="A1255">
            <v>3760</v>
          </cell>
          <cell r="B1255">
            <v>1</v>
          </cell>
          <cell r="D1255" t="str">
            <v>PVC检查口DN100</v>
          </cell>
          <cell r="E1255" t="str">
            <v>个</v>
          </cell>
          <cell r="G1255">
            <v>21.42</v>
          </cell>
          <cell r="H1255">
            <v>20.8</v>
          </cell>
          <cell r="I1255">
            <v>0.62</v>
          </cell>
          <cell r="K1255" t="str">
            <v>个</v>
          </cell>
          <cell r="L1255">
            <v>21.42</v>
          </cell>
        </row>
        <row r="1256">
          <cell r="A1256">
            <v>3761</v>
          </cell>
          <cell r="B1256">
            <v>1</v>
          </cell>
          <cell r="D1256" t="str">
            <v>PVC伸缩节DN100</v>
          </cell>
          <cell r="E1256" t="str">
            <v>个</v>
          </cell>
          <cell r="G1256">
            <v>11.93</v>
          </cell>
          <cell r="H1256">
            <v>11.58</v>
          </cell>
          <cell r="I1256">
            <v>0.35</v>
          </cell>
          <cell r="K1256" t="str">
            <v>个</v>
          </cell>
          <cell r="L1256">
            <v>11.93</v>
          </cell>
        </row>
        <row r="1257">
          <cell r="A1257">
            <v>3762</v>
          </cell>
          <cell r="B1257">
            <v>1</v>
          </cell>
          <cell r="D1257" t="str">
            <v>蹲便器</v>
          </cell>
          <cell r="E1257" t="str">
            <v>个</v>
          </cell>
          <cell r="G1257">
            <v>34.51</v>
          </cell>
          <cell r="H1257">
            <v>33.5</v>
          </cell>
          <cell r="I1257">
            <v>1.01</v>
          </cell>
          <cell r="K1257" t="str">
            <v>个</v>
          </cell>
          <cell r="L1257">
            <v>34.51</v>
          </cell>
        </row>
        <row r="1258">
          <cell r="A1258">
            <v>3763</v>
          </cell>
          <cell r="B1258">
            <v>1</v>
          </cell>
          <cell r="D1258" t="str">
            <v>低水箱</v>
          </cell>
          <cell r="E1258" t="str">
            <v>套</v>
          </cell>
          <cell r="G1258">
            <v>51.18</v>
          </cell>
          <cell r="H1258">
            <v>49.69</v>
          </cell>
          <cell r="I1258">
            <v>1.49</v>
          </cell>
          <cell r="K1258" t="str">
            <v>套</v>
          </cell>
          <cell r="L1258">
            <v>51.18</v>
          </cell>
        </row>
        <row r="1259">
          <cell r="A1259">
            <v>3764</v>
          </cell>
          <cell r="B1259">
            <v>1</v>
          </cell>
          <cell r="D1259" t="str">
            <v>水箱配件</v>
          </cell>
          <cell r="E1259" t="str">
            <v>个</v>
          </cell>
          <cell r="G1259">
            <v>17.600000000000001</v>
          </cell>
          <cell r="H1259">
            <v>17.09</v>
          </cell>
          <cell r="I1259">
            <v>0.51</v>
          </cell>
          <cell r="K1259" t="str">
            <v>个</v>
          </cell>
          <cell r="L1259">
            <v>17.600000000000001</v>
          </cell>
        </row>
        <row r="1260">
          <cell r="A1260">
            <v>3765</v>
          </cell>
          <cell r="B1260">
            <v>1</v>
          </cell>
          <cell r="D1260" t="str">
            <v>角型阀</v>
          </cell>
          <cell r="E1260" t="str">
            <v>个</v>
          </cell>
          <cell r="G1260">
            <v>13.13</v>
          </cell>
          <cell r="H1260">
            <v>12.75</v>
          </cell>
          <cell r="I1260">
            <v>0.38</v>
          </cell>
          <cell r="K1260" t="str">
            <v>个</v>
          </cell>
          <cell r="L1260">
            <v>13.13</v>
          </cell>
        </row>
        <row r="1261">
          <cell r="A1261">
            <v>3766</v>
          </cell>
          <cell r="B1261">
            <v>1</v>
          </cell>
          <cell r="D1261" t="str">
            <v>镀锌弯头DN50</v>
          </cell>
          <cell r="E1261" t="str">
            <v>个</v>
          </cell>
          <cell r="G1261">
            <v>4.22</v>
          </cell>
          <cell r="H1261">
            <v>4.0999999999999996</v>
          </cell>
          <cell r="I1261">
            <v>0.12</v>
          </cell>
          <cell r="K1261" t="str">
            <v>个</v>
          </cell>
          <cell r="L1261">
            <v>4.22</v>
          </cell>
        </row>
        <row r="1262">
          <cell r="A1262">
            <v>3767</v>
          </cell>
          <cell r="B1262">
            <v>1</v>
          </cell>
          <cell r="D1262" t="str">
            <v>镀锌弯头DN15</v>
          </cell>
          <cell r="E1262" t="str">
            <v>个</v>
          </cell>
          <cell r="G1262">
            <v>0.54</v>
          </cell>
          <cell r="H1262">
            <v>0.52</v>
          </cell>
          <cell r="I1262">
            <v>0.02</v>
          </cell>
          <cell r="K1262" t="str">
            <v>个</v>
          </cell>
          <cell r="L1262">
            <v>0.54</v>
          </cell>
        </row>
        <row r="1263">
          <cell r="A1263">
            <v>3768</v>
          </cell>
          <cell r="B1263">
            <v>1</v>
          </cell>
          <cell r="D1263" t="str">
            <v>镀锌活接头DN15</v>
          </cell>
          <cell r="E1263" t="str">
            <v>个</v>
          </cell>
          <cell r="G1263">
            <v>2.31</v>
          </cell>
          <cell r="H1263">
            <v>2.2400000000000002</v>
          </cell>
          <cell r="I1263">
            <v>7.0000000000000007E-2</v>
          </cell>
          <cell r="K1263" t="str">
            <v>个</v>
          </cell>
          <cell r="L1263">
            <v>2.31</v>
          </cell>
        </row>
        <row r="1264">
          <cell r="A1264">
            <v>3769</v>
          </cell>
          <cell r="B1264">
            <v>1</v>
          </cell>
          <cell r="D1264" t="str">
            <v>存水弯DN100</v>
          </cell>
          <cell r="E1264" t="str">
            <v>个</v>
          </cell>
          <cell r="G1264">
            <v>9.8999999999999986</v>
          </cell>
          <cell r="H1264">
            <v>9.61</v>
          </cell>
          <cell r="I1264">
            <v>0.28999999999999998</v>
          </cell>
          <cell r="K1264" t="str">
            <v>个</v>
          </cell>
          <cell r="L1264">
            <v>9.8999999999999986</v>
          </cell>
        </row>
        <row r="1265">
          <cell r="A1265">
            <v>3770</v>
          </cell>
          <cell r="B1265">
            <v>1</v>
          </cell>
          <cell r="D1265" t="str">
            <v>皮碗</v>
          </cell>
          <cell r="E1265" t="str">
            <v>个</v>
          </cell>
          <cell r="G1265">
            <v>0.66</v>
          </cell>
          <cell r="H1265">
            <v>0.64</v>
          </cell>
          <cell r="I1265">
            <v>0.02</v>
          </cell>
          <cell r="K1265" t="str">
            <v>个</v>
          </cell>
          <cell r="L1265">
            <v>0.66</v>
          </cell>
        </row>
        <row r="1266">
          <cell r="A1266">
            <v>3771</v>
          </cell>
          <cell r="B1266">
            <v>1</v>
          </cell>
          <cell r="D1266" t="str">
            <v>挂斗式小便器</v>
          </cell>
          <cell r="E1266" t="str">
            <v>个</v>
          </cell>
          <cell r="G1266">
            <v>159.94999999999999</v>
          </cell>
          <cell r="H1266">
            <v>155.29</v>
          </cell>
          <cell r="I1266">
            <v>4.66</v>
          </cell>
          <cell r="K1266" t="str">
            <v>个</v>
          </cell>
          <cell r="L1266">
            <v>159.94999999999999</v>
          </cell>
        </row>
        <row r="1267">
          <cell r="A1267">
            <v>3772</v>
          </cell>
          <cell r="B1267">
            <v>1</v>
          </cell>
          <cell r="D1267" t="str">
            <v>高水箱</v>
          </cell>
          <cell r="E1267" t="str">
            <v>个</v>
          </cell>
          <cell r="G1267">
            <v>44.779999999999994</v>
          </cell>
          <cell r="H1267">
            <v>43.48</v>
          </cell>
          <cell r="I1267">
            <v>1.3</v>
          </cell>
          <cell r="K1267" t="str">
            <v>个</v>
          </cell>
          <cell r="L1267">
            <v>44.779999999999994</v>
          </cell>
        </row>
        <row r="1268">
          <cell r="A1268">
            <v>3773</v>
          </cell>
          <cell r="B1268">
            <v>1</v>
          </cell>
          <cell r="D1268" t="str">
            <v>存水弯铸铁DN32</v>
          </cell>
          <cell r="E1268" t="str">
            <v>个</v>
          </cell>
          <cell r="G1268">
            <v>9.17</v>
          </cell>
          <cell r="H1268">
            <v>8.9</v>
          </cell>
          <cell r="I1268">
            <v>0.27</v>
          </cell>
          <cell r="K1268" t="str">
            <v>个</v>
          </cell>
          <cell r="L1268">
            <v>9.17</v>
          </cell>
        </row>
        <row r="1269">
          <cell r="A1269">
            <v>3774</v>
          </cell>
          <cell r="B1269">
            <v>1</v>
          </cell>
          <cell r="D1269" t="str">
            <v>小便器水箱配件</v>
          </cell>
          <cell r="E1269" t="str">
            <v>个</v>
          </cell>
          <cell r="G1269">
            <v>16.63</v>
          </cell>
          <cell r="H1269">
            <v>16.149999999999999</v>
          </cell>
          <cell r="I1269">
            <v>0.48</v>
          </cell>
          <cell r="K1269" t="str">
            <v>个</v>
          </cell>
          <cell r="L1269">
            <v>16.63</v>
          </cell>
        </row>
        <row r="1270">
          <cell r="A1270">
            <v>3775</v>
          </cell>
          <cell r="B1270">
            <v>1</v>
          </cell>
          <cell r="D1270" t="str">
            <v>水嘴</v>
          </cell>
          <cell r="E1270" t="str">
            <v>个</v>
          </cell>
          <cell r="G1270">
            <v>4.6399999999999997</v>
          </cell>
          <cell r="H1270">
            <v>4.5</v>
          </cell>
          <cell r="I1270">
            <v>0.14000000000000001</v>
          </cell>
          <cell r="K1270" t="str">
            <v>个</v>
          </cell>
          <cell r="L1270">
            <v>4.6399999999999997</v>
          </cell>
        </row>
        <row r="1271">
          <cell r="A1271">
            <v>3776</v>
          </cell>
          <cell r="B1271">
            <v>1</v>
          </cell>
          <cell r="D1271" t="str">
            <v>镀锌钢管DN15</v>
          </cell>
          <cell r="E1271" t="str">
            <v>m</v>
          </cell>
          <cell r="G1271">
            <v>4.0599999999999996</v>
          </cell>
          <cell r="H1271">
            <v>3.94</v>
          </cell>
          <cell r="I1271">
            <v>0.12</v>
          </cell>
          <cell r="K1271" t="str">
            <v>m</v>
          </cell>
          <cell r="L1271">
            <v>4.0599999999999996</v>
          </cell>
        </row>
        <row r="1272">
          <cell r="A1272">
            <v>3777</v>
          </cell>
          <cell r="B1272">
            <v>1</v>
          </cell>
          <cell r="D1272" t="str">
            <v>自动冲洗阀</v>
          </cell>
          <cell r="E1272" t="str">
            <v>个</v>
          </cell>
          <cell r="G1272">
            <v>25.75</v>
          </cell>
          <cell r="H1272">
            <v>25</v>
          </cell>
          <cell r="I1272">
            <v>0.75</v>
          </cell>
          <cell r="K1272" t="str">
            <v>个</v>
          </cell>
          <cell r="L1272">
            <v>25.75</v>
          </cell>
        </row>
        <row r="1273">
          <cell r="A1273">
            <v>3778</v>
          </cell>
          <cell r="B1273">
            <v>1</v>
          </cell>
          <cell r="D1273" t="str">
            <v>洗脸盆</v>
          </cell>
          <cell r="E1273" t="str">
            <v>个</v>
          </cell>
          <cell r="G1273">
            <v>41.58</v>
          </cell>
          <cell r="H1273">
            <v>40.369999999999997</v>
          </cell>
          <cell r="I1273">
            <v>1.21</v>
          </cell>
          <cell r="K1273" t="str">
            <v>个</v>
          </cell>
          <cell r="L1273">
            <v>41.58</v>
          </cell>
        </row>
        <row r="1274">
          <cell r="A1274">
            <v>3779</v>
          </cell>
          <cell r="B1274">
            <v>1</v>
          </cell>
          <cell r="D1274" t="str">
            <v>托架</v>
          </cell>
          <cell r="E1274" t="str">
            <v>付</v>
          </cell>
          <cell r="G1274">
            <v>8.76</v>
          </cell>
          <cell r="H1274">
            <v>8.5</v>
          </cell>
          <cell r="I1274">
            <v>0.26</v>
          </cell>
          <cell r="K1274" t="str">
            <v>付</v>
          </cell>
          <cell r="L1274">
            <v>8.76</v>
          </cell>
        </row>
        <row r="1275">
          <cell r="A1275">
            <v>3780</v>
          </cell>
          <cell r="B1275">
            <v>1</v>
          </cell>
          <cell r="D1275" t="str">
            <v>地漏DN50</v>
          </cell>
          <cell r="E1275" t="str">
            <v>个</v>
          </cell>
          <cell r="G1275">
            <v>14.5</v>
          </cell>
          <cell r="H1275">
            <v>14.08</v>
          </cell>
          <cell r="I1275">
            <v>0.42</v>
          </cell>
          <cell r="K1275" t="str">
            <v>个</v>
          </cell>
          <cell r="L1275">
            <v>14.5</v>
          </cell>
        </row>
        <row r="1276">
          <cell r="A1276">
            <v>3781</v>
          </cell>
          <cell r="B1276">
            <v>1</v>
          </cell>
          <cell r="D1276" t="str">
            <v>焊接钢管DN50</v>
          </cell>
          <cell r="E1276" t="str">
            <v>m</v>
          </cell>
          <cell r="G1276">
            <v>11.1</v>
          </cell>
          <cell r="H1276">
            <v>10.78</v>
          </cell>
          <cell r="I1276">
            <v>0.32</v>
          </cell>
          <cell r="K1276" t="str">
            <v>m</v>
          </cell>
          <cell r="L1276">
            <v>11.1</v>
          </cell>
        </row>
        <row r="1277">
          <cell r="A1277">
            <v>3782</v>
          </cell>
          <cell r="B1277">
            <v>1</v>
          </cell>
          <cell r="D1277" t="str">
            <v>清扫口（铜盖DN50）</v>
          </cell>
          <cell r="E1277" t="str">
            <v>个</v>
          </cell>
          <cell r="G1277">
            <v>8.5299999999999994</v>
          </cell>
          <cell r="H1277">
            <v>8.2799999999999994</v>
          </cell>
          <cell r="I1277">
            <v>0.25</v>
          </cell>
          <cell r="K1277" t="str">
            <v>个</v>
          </cell>
          <cell r="L1277">
            <v>8.5299999999999994</v>
          </cell>
        </row>
        <row r="1278">
          <cell r="A1278">
            <v>3783</v>
          </cell>
          <cell r="B1278">
            <v>1</v>
          </cell>
          <cell r="D1278" t="str">
            <v>通气帽DN100</v>
          </cell>
          <cell r="E1278" t="str">
            <v>个</v>
          </cell>
          <cell r="G1278">
            <v>5.87</v>
          </cell>
          <cell r="H1278">
            <v>5.7</v>
          </cell>
          <cell r="I1278">
            <v>0.17</v>
          </cell>
          <cell r="K1278" t="str">
            <v>个</v>
          </cell>
          <cell r="L1278">
            <v>5.87</v>
          </cell>
        </row>
        <row r="1279">
          <cell r="A1279">
            <v>3784</v>
          </cell>
          <cell r="B1279">
            <v>1</v>
          </cell>
          <cell r="D1279" t="str">
            <v>镀锌管接头DN15</v>
          </cell>
          <cell r="E1279" t="str">
            <v>个</v>
          </cell>
          <cell r="G1279">
            <v>0.82000000000000006</v>
          </cell>
          <cell r="H1279">
            <v>0.8</v>
          </cell>
          <cell r="I1279">
            <v>0.02</v>
          </cell>
          <cell r="K1279" t="str">
            <v>个</v>
          </cell>
          <cell r="L1279">
            <v>0.82000000000000006</v>
          </cell>
        </row>
        <row r="1280">
          <cell r="A1280">
            <v>3785</v>
          </cell>
          <cell r="B1280">
            <v>1</v>
          </cell>
          <cell r="D1280" t="str">
            <v>管子托钩</v>
          </cell>
          <cell r="E1280" t="str">
            <v>个</v>
          </cell>
          <cell r="G1280">
            <v>1.05</v>
          </cell>
          <cell r="H1280">
            <v>1.02</v>
          </cell>
          <cell r="I1280">
            <v>0.03</v>
          </cell>
          <cell r="K1280" t="str">
            <v>个</v>
          </cell>
          <cell r="L1280">
            <v>1.05</v>
          </cell>
        </row>
        <row r="1281">
          <cell r="A1281">
            <v>3786</v>
          </cell>
          <cell r="B1281">
            <v>1</v>
          </cell>
          <cell r="D1281" t="str">
            <v>镀锌钢管DN20</v>
          </cell>
          <cell r="E1281" t="str">
            <v>m</v>
          </cell>
          <cell r="G1281">
            <v>5.3100000000000005</v>
          </cell>
          <cell r="H1281">
            <v>5.16</v>
          </cell>
          <cell r="I1281">
            <v>0.15</v>
          </cell>
          <cell r="K1281" t="str">
            <v>m</v>
          </cell>
          <cell r="L1281">
            <v>5.3100000000000005</v>
          </cell>
        </row>
        <row r="1282">
          <cell r="A1282">
            <v>3787</v>
          </cell>
          <cell r="B1282">
            <v>1</v>
          </cell>
          <cell r="D1282" t="str">
            <v>铸铁排水管DN50</v>
          </cell>
          <cell r="E1282" t="str">
            <v>m</v>
          </cell>
          <cell r="G1282">
            <v>14.42</v>
          </cell>
          <cell r="H1282">
            <v>14</v>
          </cell>
          <cell r="I1282">
            <v>0.42</v>
          </cell>
          <cell r="K1282" t="str">
            <v>m</v>
          </cell>
          <cell r="L1282">
            <v>14.42</v>
          </cell>
        </row>
        <row r="1283">
          <cell r="A1283">
            <v>3788</v>
          </cell>
          <cell r="B1283">
            <v>1</v>
          </cell>
          <cell r="D1283" t="str">
            <v>铸铁排水管DN75</v>
          </cell>
          <cell r="E1283" t="str">
            <v>m</v>
          </cell>
          <cell r="G1283">
            <v>20.6</v>
          </cell>
          <cell r="H1283">
            <v>20</v>
          </cell>
          <cell r="I1283">
            <v>0.6</v>
          </cell>
          <cell r="K1283" t="str">
            <v>m</v>
          </cell>
          <cell r="L1283">
            <v>20.6</v>
          </cell>
        </row>
        <row r="1284">
          <cell r="A1284">
            <v>3789</v>
          </cell>
          <cell r="B1284">
            <v>1</v>
          </cell>
          <cell r="D1284" t="str">
            <v>闸阀</v>
          </cell>
          <cell r="E1284" t="str">
            <v>个</v>
          </cell>
          <cell r="G1284">
            <v>9.4799999999999986</v>
          </cell>
          <cell r="H1284">
            <v>9.1999999999999993</v>
          </cell>
          <cell r="I1284">
            <v>0.28000000000000003</v>
          </cell>
          <cell r="K1284" t="str">
            <v>个</v>
          </cell>
          <cell r="L1284">
            <v>9.4799999999999986</v>
          </cell>
        </row>
        <row r="1285">
          <cell r="A1285">
            <v>3790</v>
          </cell>
          <cell r="B1285">
            <v>1</v>
          </cell>
          <cell r="D1285" t="str">
            <v>铸铁排水管DN100</v>
          </cell>
          <cell r="E1285" t="str">
            <v>m</v>
          </cell>
          <cell r="G1285">
            <v>26.78</v>
          </cell>
          <cell r="H1285">
            <v>26</v>
          </cell>
          <cell r="I1285">
            <v>0.78</v>
          </cell>
          <cell r="K1285" t="str">
            <v>m</v>
          </cell>
          <cell r="L1285">
            <v>26.78</v>
          </cell>
        </row>
        <row r="1286">
          <cell r="A1286">
            <v>3791</v>
          </cell>
          <cell r="B1286">
            <v>1</v>
          </cell>
          <cell r="D1286" t="str">
            <v>镀锌管接头DN20</v>
          </cell>
          <cell r="E1286" t="str">
            <v>个</v>
          </cell>
          <cell r="G1286">
            <v>1.17</v>
          </cell>
          <cell r="H1286">
            <v>1.1399999999999999</v>
          </cell>
          <cell r="I1286">
            <v>0.03</v>
          </cell>
          <cell r="K1286" t="str">
            <v>个</v>
          </cell>
          <cell r="L1286">
            <v>1.17</v>
          </cell>
        </row>
        <row r="1287">
          <cell r="A1287">
            <v>3792</v>
          </cell>
          <cell r="B1287">
            <v>1</v>
          </cell>
          <cell r="G1287">
            <v>0</v>
          </cell>
          <cell r="I1287">
            <v>0</v>
          </cell>
          <cell r="K1287">
            <v>0</v>
          </cell>
          <cell r="L1287">
            <v>0</v>
          </cell>
        </row>
        <row r="1288">
          <cell r="A1288">
            <v>3801</v>
          </cell>
          <cell r="B1288">
            <v>1</v>
          </cell>
          <cell r="D1288" t="str">
            <v>闸阀 Z41T-10 DN50</v>
          </cell>
          <cell r="E1288" t="str">
            <v>个</v>
          </cell>
          <cell r="G1288">
            <v>123.6</v>
          </cell>
          <cell r="H1288">
            <v>120</v>
          </cell>
          <cell r="I1288">
            <v>3.6</v>
          </cell>
          <cell r="K1288" t="str">
            <v>个</v>
          </cell>
          <cell r="L1288">
            <v>123.6</v>
          </cell>
        </row>
        <row r="1289">
          <cell r="A1289">
            <v>3802</v>
          </cell>
          <cell r="B1289">
            <v>1</v>
          </cell>
          <cell r="D1289" t="str">
            <v>闸阀 Z41T-10 DN100</v>
          </cell>
          <cell r="E1289" t="str">
            <v>个</v>
          </cell>
          <cell r="G1289">
            <v>309</v>
          </cell>
          <cell r="H1289">
            <v>300</v>
          </cell>
          <cell r="I1289">
            <v>9</v>
          </cell>
          <cell r="K1289" t="str">
            <v>个</v>
          </cell>
          <cell r="L1289">
            <v>309</v>
          </cell>
        </row>
        <row r="1290">
          <cell r="A1290">
            <v>3803</v>
          </cell>
          <cell r="B1290">
            <v>1</v>
          </cell>
          <cell r="D1290" t="str">
            <v>闸阀 Z41T-10 DN150</v>
          </cell>
          <cell r="E1290" t="str">
            <v>个</v>
          </cell>
          <cell r="G1290">
            <v>463.5</v>
          </cell>
          <cell r="H1290">
            <v>450</v>
          </cell>
          <cell r="I1290">
            <v>13.5</v>
          </cell>
          <cell r="K1290" t="str">
            <v>个</v>
          </cell>
          <cell r="L1290">
            <v>463.5</v>
          </cell>
        </row>
        <row r="1291">
          <cell r="A1291">
            <v>3804</v>
          </cell>
          <cell r="B1291">
            <v>1</v>
          </cell>
          <cell r="D1291" t="str">
            <v>闸阀 Z41T-10 DN250</v>
          </cell>
          <cell r="E1291" t="str">
            <v>个</v>
          </cell>
          <cell r="G1291">
            <v>1236</v>
          </cell>
          <cell r="H1291">
            <v>1200</v>
          </cell>
          <cell r="I1291">
            <v>36</v>
          </cell>
          <cell r="K1291" t="str">
            <v>个</v>
          </cell>
          <cell r="L1291">
            <v>1236</v>
          </cell>
        </row>
        <row r="1292">
          <cell r="A1292">
            <v>3805</v>
          </cell>
          <cell r="B1292">
            <v>1</v>
          </cell>
          <cell r="D1292" t="str">
            <v>闸阀 Z41T-10 DN300</v>
          </cell>
          <cell r="E1292" t="str">
            <v>个</v>
          </cell>
          <cell r="G1292">
            <v>1493.5</v>
          </cell>
          <cell r="H1292">
            <v>1450</v>
          </cell>
          <cell r="I1292">
            <v>43.5</v>
          </cell>
          <cell r="K1292" t="str">
            <v>个</v>
          </cell>
          <cell r="L1292">
            <v>1493.5</v>
          </cell>
        </row>
        <row r="1293">
          <cell r="A1293">
            <v>3806</v>
          </cell>
          <cell r="B1293">
            <v>1</v>
          </cell>
          <cell r="D1293" t="str">
            <v>止回阀 H41W-16 DN100</v>
          </cell>
          <cell r="E1293" t="str">
            <v>个</v>
          </cell>
          <cell r="G1293">
            <v>463.5</v>
          </cell>
          <cell r="H1293">
            <v>450</v>
          </cell>
          <cell r="I1293">
            <v>13.5</v>
          </cell>
          <cell r="K1293" t="str">
            <v>个</v>
          </cell>
          <cell r="L1293">
            <v>463.5</v>
          </cell>
        </row>
        <row r="1294">
          <cell r="A1294">
            <v>3807</v>
          </cell>
          <cell r="B1294">
            <v>1</v>
          </cell>
          <cell r="D1294" t="str">
            <v>止回阀 H41W-16 DN150</v>
          </cell>
          <cell r="E1294" t="str">
            <v>个</v>
          </cell>
          <cell r="G1294">
            <v>638.6</v>
          </cell>
          <cell r="H1294">
            <v>620</v>
          </cell>
          <cell r="I1294">
            <v>18.600000000000001</v>
          </cell>
          <cell r="K1294" t="str">
            <v>个</v>
          </cell>
          <cell r="L1294">
            <v>638.6</v>
          </cell>
        </row>
        <row r="1295">
          <cell r="A1295">
            <v>3808</v>
          </cell>
          <cell r="B1295">
            <v>1</v>
          </cell>
          <cell r="D1295" t="str">
            <v>止回阀 H41W-16 DN200</v>
          </cell>
          <cell r="E1295" t="str">
            <v>个</v>
          </cell>
          <cell r="G1295">
            <v>772.5</v>
          </cell>
          <cell r="H1295">
            <v>750</v>
          </cell>
          <cell r="I1295">
            <v>22.5</v>
          </cell>
          <cell r="K1295" t="str">
            <v>个</v>
          </cell>
          <cell r="L1295">
            <v>772.5</v>
          </cell>
        </row>
        <row r="1296">
          <cell r="A1296">
            <v>3809</v>
          </cell>
          <cell r="B1296">
            <v>1</v>
          </cell>
          <cell r="D1296" t="str">
            <v>止回阀 H41W-16 DN250</v>
          </cell>
          <cell r="E1296" t="str">
            <v>个</v>
          </cell>
          <cell r="G1296">
            <v>1725.25</v>
          </cell>
          <cell r="H1296">
            <v>1675</v>
          </cell>
          <cell r="I1296">
            <v>50.25</v>
          </cell>
          <cell r="K1296" t="str">
            <v>个</v>
          </cell>
          <cell r="L1296">
            <v>1725.25</v>
          </cell>
        </row>
        <row r="1297">
          <cell r="A1297">
            <v>3810</v>
          </cell>
          <cell r="B1297">
            <v>1</v>
          </cell>
          <cell r="D1297" t="str">
            <v>止回阀 H41W-16 DN300</v>
          </cell>
          <cell r="E1297" t="str">
            <v>个</v>
          </cell>
          <cell r="G1297">
            <v>2595.6</v>
          </cell>
          <cell r="H1297">
            <v>2520</v>
          </cell>
          <cell r="I1297">
            <v>75.599999999999994</v>
          </cell>
          <cell r="K1297" t="str">
            <v>个</v>
          </cell>
          <cell r="L1297">
            <v>2595.6</v>
          </cell>
        </row>
        <row r="1298">
          <cell r="A1298">
            <v>3811</v>
          </cell>
          <cell r="B1298">
            <v>1</v>
          </cell>
          <cell r="D1298" t="str">
            <v>阀门D341-1.0 DN100</v>
          </cell>
          <cell r="E1298" t="str">
            <v>个</v>
          </cell>
          <cell r="G1298">
            <v>875.5</v>
          </cell>
          <cell r="H1298">
            <v>850</v>
          </cell>
          <cell r="I1298">
            <v>25.5</v>
          </cell>
          <cell r="K1298" t="str">
            <v>个</v>
          </cell>
          <cell r="L1298">
            <v>875.5</v>
          </cell>
        </row>
        <row r="1299">
          <cell r="A1299">
            <v>3812</v>
          </cell>
          <cell r="B1299">
            <v>1</v>
          </cell>
          <cell r="D1299" t="str">
            <v>伸缩节KXT-(1)-1000</v>
          </cell>
          <cell r="E1299" t="str">
            <v>个</v>
          </cell>
          <cell r="G1299">
            <v>123.6</v>
          </cell>
          <cell r="H1299">
            <v>120</v>
          </cell>
          <cell r="I1299">
            <v>3.6</v>
          </cell>
          <cell r="K1299" t="str">
            <v>个</v>
          </cell>
          <cell r="L1299">
            <v>123.6</v>
          </cell>
        </row>
        <row r="1300">
          <cell r="A1300">
            <v>3813</v>
          </cell>
          <cell r="B1300">
            <v>1</v>
          </cell>
          <cell r="D1300" t="str">
            <v>闸门 ф25</v>
          </cell>
          <cell r="E1300" t="str">
            <v>个</v>
          </cell>
          <cell r="G1300">
            <v>8.01</v>
          </cell>
          <cell r="H1300">
            <v>7.78</v>
          </cell>
          <cell r="I1300">
            <v>0.23</v>
          </cell>
          <cell r="K1300" t="str">
            <v>个</v>
          </cell>
          <cell r="L1300">
            <v>8.01</v>
          </cell>
        </row>
        <row r="1301">
          <cell r="A1301">
            <v>3814</v>
          </cell>
          <cell r="B1301">
            <v>1</v>
          </cell>
          <cell r="D1301" t="str">
            <v>法兰盘φ25</v>
          </cell>
          <cell r="E1301" t="str">
            <v>付</v>
          </cell>
          <cell r="G1301">
            <v>20.6</v>
          </cell>
          <cell r="H1301">
            <v>20</v>
          </cell>
          <cell r="I1301">
            <v>0.6</v>
          </cell>
          <cell r="K1301" t="str">
            <v>付</v>
          </cell>
          <cell r="L1301">
            <v>20.6</v>
          </cell>
        </row>
        <row r="1302">
          <cell r="A1302">
            <v>3815</v>
          </cell>
          <cell r="B1302">
            <v>1</v>
          </cell>
          <cell r="D1302" t="str">
            <v>阀门DG50</v>
          </cell>
          <cell r="E1302" t="str">
            <v>个</v>
          </cell>
          <cell r="G1302">
            <v>53.56</v>
          </cell>
          <cell r="H1302">
            <v>52</v>
          </cell>
          <cell r="I1302">
            <v>1.56</v>
          </cell>
          <cell r="K1302" t="str">
            <v>个</v>
          </cell>
          <cell r="L1302">
            <v>53.56</v>
          </cell>
        </row>
        <row r="1303">
          <cell r="A1303">
            <v>3816</v>
          </cell>
          <cell r="B1303">
            <v>1</v>
          </cell>
          <cell r="D1303" t="str">
            <v>法兰盘φ50</v>
          </cell>
          <cell r="E1303" t="str">
            <v>付</v>
          </cell>
          <cell r="G1303">
            <v>35.020000000000003</v>
          </cell>
          <cell r="H1303">
            <v>34</v>
          </cell>
          <cell r="I1303">
            <v>1.02</v>
          </cell>
          <cell r="K1303" t="str">
            <v>付</v>
          </cell>
          <cell r="L1303">
            <v>35.020000000000003</v>
          </cell>
        </row>
        <row r="1304">
          <cell r="A1304">
            <v>3817</v>
          </cell>
          <cell r="B1304">
            <v>1</v>
          </cell>
          <cell r="D1304" t="str">
            <v>φ75阀门</v>
          </cell>
          <cell r="E1304" t="str">
            <v>个</v>
          </cell>
          <cell r="G1304">
            <v>103</v>
          </cell>
          <cell r="H1304">
            <v>100</v>
          </cell>
          <cell r="I1304">
            <v>3</v>
          </cell>
          <cell r="K1304" t="str">
            <v>个</v>
          </cell>
          <cell r="L1304">
            <v>103</v>
          </cell>
        </row>
        <row r="1305">
          <cell r="A1305">
            <v>3818</v>
          </cell>
          <cell r="B1305">
            <v>1</v>
          </cell>
          <cell r="D1305" t="str">
            <v>φ75法兰盘</v>
          </cell>
          <cell r="E1305" t="str">
            <v>付</v>
          </cell>
          <cell r="G1305">
            <v>49.44</v>
          </cell>
          <cell r="H1305">
            <v>48</v>
          </cell>
          <cell r="I1305">
            <v>1.44</v>
          </cell>
          <cell r="K1305" t="str">
            <v>付</v>
          </cell>
          <cell r="L1305">
            <v>49.44</v>
          </cell>
        </row>
        <row r="1306">
          <cell r="A1306">
            <v>3819</v>
          </cell>
          <cell r="B1306">
            <v>1</v>
          </cell>
          <cell r="D1306" t="str">
            <v>φ80阀门</v>
          </cell>
          <cell r="E1306" t="str">
            <v>个</v>
          </cell>
          <cell r="G1306">
            <v>123.6</v>
          </cell>
          <cell r="H1306">
            <v>120</v>
          </cell>
          <cell r="I1306">
            <v>3.6</v>
          </cell>
          <cell r="K1306" t="str">
            <v>个</v>
          </cell>
          <cell r="L1306">
            <v>123.6</v>
          </cell>
        </row>
        <row r="1307">
          <cell r="A1307">
            <v>3820</v>
          </cell>
          <cell r="B1307">
            <v>1</v>
          </cell>
          <cell r="D1307" t="str">
            <v>φ80法兰盘</v>
          </cell>
          <cell r="E1307" t="str">
            <v>付</v>
          </cell>
          <cell r="G1307">
            <v>57.68</v>
          </cell>
          <cell r="H1307">
            <v>56</v>
          </cell>
          <cell r="I1307">
            <v>1.68</v>
          </cell>
          <cell r="K1307" t="str">
            <v>付</v>
          </cell>
          <cell r="L1307">
            <v>57.68</v>
          </cell>
        </row>
        <row r="1308">
          <cell r="A1308">
            <v>3821</v>
          </cell>
          <cell r="B1308">
            <v>1</v>
          </cell>
          <cell r="D1308" t="str">
            <v>φ100阀门</v>
          </cell>
          <cell r="E1308" t="str">
            <v>个</v>
          </cell>
          <cell r="G1308">
            <v>144.19999999999999</v>
          </cell>
          <cell r="H1308">
            <v>140</v>
          </cell>
          <cell r="I1308">
            <v>4.2</v>
          </cell>
          <cell r="K1308" t="str">
            <v>个</v>
          </cell>
          <cell r="L1308">
            <v>144.19999999999999</v>
          </cell>
        </row>
        <row r="1309">
          <cell r="A1309">
            <v>3822</v>
          </cell>
          <cell r="B1309">
            <v>1</v>
          </cell>
          <cell r="D1309" t="str">
            <v>φ100法兰盘</v>
          </cell>
          <cell r="E1309" t="str">
            <v>付</v>
          </cell>
          <cell r="G1309">
            <v>72.099999999999994</v>
          </cell>
          <cell r="H1309">
            <v>70</v>
          </cell>
          <cell r="I1309">
            <v>2.1</v>
          </cell>
          <cell r="K1309" t="str">
            <v>付</v>
          </cell>
          <cell r="L1309">
            <v>72.099999999999994</v>
          </cell>
        </row>
        <row r="1310">
          <cell r="A1310">
            <v>3823</v>
          </cell>
          <cell r="B1310">
            <v>1</v>
          </cell>
          <cell r="D1310" t="str">
            <v>φ150阀门</v>
          </cell>
          <cell r="E1310" t="str">
            <v>个</v>
          </cell>
          <cell r="G1310">
            <v>257.5</v>
          </cell>
          <cell r="H1310">
            <v>250</v>
          </cell>
          <cell r="I1310">
            <v>7.5</v>
          </cell>
          <cell r="K1310" t="str">
            <v>个</v>
          </cell>
          <cell r="L1310">
            <v>257.5</v>
          </cell>
        </row>
        <row r="1311">
          <cell r="A1311">
            <v>3824</v>
          </cell>
          <cell r="B1311">
            <v>1</v>
          </cell>
          <cell r="D1311" t="str">
            <v>φ150法兰盘</v>
          </cell>
          <cell r="E1311" t="str">
            <v>付</v>
          </cell>
          <cell r="G1311">
            <v>103</v>
          </cell>
          <cell r="H1311">
            <v>100</v>
          </cell>
          <cell r="I1311">
            <v>3</v>
          </cell>
          <cell r="K1311" t="str">
            <v>付</v>
          </cell>
          <cell r="L1311">
            <v>103</v>
          </cell>
        </row>
        <row r="1312">
          <cell r="A1312">
            <v>3825</v>
          </cell>
          <cell r="B1312">
            <v>1</v>
          </cell>
          <cell r="D1312" t="str">
            <v>φ200阀门</v>
          </cell>
          <cell r="E1312" t="str">
            <v>个</v>
          </cell>
          <cell r="G1312">
            <v>288.39999999999998</v>
          </cell>
          <cell r="H1312">
            <v>280</v>
          </cell>
          <cell r="I1312">
            <v>8.4</v>
          </cell>
          <cell r="K1312" t="str">
            <v>个</v>
          </cell>
          <cell r="L1312">
            <v>288.39999999999998</v>
          </cell>
        </row>
        <row r="1313">
          <cell r="A1313">
            <v>3826</v>
          </cell>
          <cell r="B1313">
            <v>1</v>
          </cell>
          <cell r="D1313" t="str">
            <v>φ200法兰盘</v>
          </cell>
          <cell r="E1313" t="str">
            <v>付</v>
          </cell>
          <cell r="G1313">
            <v>175.1</v>
          </cell>
          <cell r="H1313">
            <v>170</v>
          </cell>
          <cell r="I1313">
            <v>5.0999999999999996</v>
          </cell>
          <cell r="K1313" t="str">
            <v>付</v>
          </cell>
          <cell r="L1313">
            <v>175.1</v>
          </cell>
        </row>
        <row r="1314">
          <cell r="A1314">
            <v>3827</v>
          </cell>
          <cell r="B1314">
            <v>1</v>
          </cell>
          <cell r="D1314" t="str">
            <v>φ250阀门</v>
          </cell>
          <cell r="E1314" t="str">
            <v>个</v>
          </cell>
          <cell r="G1314">
            <v>679.8</v>
          </cell>
          <cell r="H1314">
            <v>660</v>
          </cell>
          <cell r="I1314">
            <v>19.8</v>
          </cell>
          <cell r="K1314" t="str">
            <v>个</v>
          </cell>
          <cell r="L1314">
            <v>679.8</v>
          </cell>
        </row>
        <row r="1315">
          <cell r="A1315">
            <v>3828</v>
          </cell>
          <cell r="B1315">
            <v>1</v>
          </cell>
          <cell r="D1315" t="str">
            <v>φ250法兰盘</v>
          </cell>
          <cell r="E1315" t="str">
            <v>付</v>
          </cell>
          <cell r="G1315">
            <v>247.2</v>
          </cell>
          <cell r="H1315">
            <v>240</v>
          </cell>
          <cell r="I1315">
            <v>7.2</v>
          </cell>
          <cell r="K1315" t="str">
            <v>付</v>
          </cell>
          <cell r="L1315">
            <v>247.2</v>
          </cell>
        </row>
        <row r="1316">
          <cell r="A1316">
            <v>3829</v>
          </cell>
          <cell r="B1316">
            <v>1</v>
          </cell>
          <cell r="D1316" t="str">
            <v>φ300阀门</v>
          </cell>
          <cell r="E1316" t="str">
            <v>个</v>
          </cell>
          <cell r="G1316">
            <v>824</v>
          </cell>
          <cell r="H1316">
            <v>800</v>
          </cell>
          <cell r="I1316">
            <v>24</v>
          </cell>
          <cell r="K1316" t="str">
            <v>个</v>
          </cell>
          <cell r="L1316">
            <v>824</v>
          </cell>
        </row>
        <row r="1317">
          <cell r="A1317">
            <v>3830</v>
          </cell>
          <cell r="B1317">
            <v>1</v>
          </cell>
          <cell r="D1317" t="str">
            <v>φ300法兰盘</v>
          </cell>
          <cell r="E1317" t="str">
            <v>付</v>
          </cell>
          <cell r="G1317">
            <v>309</v>
          </cell>
          <cell r="H1317">
            <v>300</v>
          </cell>
          <cell r="I1317">
            <v>9</v>
          </cell>
          <cell r="K1317" t="str">
            <v>付</v>
          </cell>
          <cell r="L1317">
            <v>309</v>
          </cell>
        </row>
        <row r="1318">
          <cell r="A1318">
            <v>3831</v>
          </cell>
          <cell r="B1318">
            <v>1</v>
          </cell>
          <cell r="D1318" t="str">
            <v>φ350阀门</v>
          </cell>
          <cell r="E1318" t="str">
            <v>个</v>
          </cell>
          <cell r="G1318">
            <v>1236</v>
          </cell>
          <cell r="H1318">
            <v>1200</v>
          </cell>
          <cell r="I1318">
            <v>36</v>
          </cell>
          <cell r="K1318" t="str">
            <v>个</v>
          </cell>
          <cell r="L1318">
            <v>1236</v>
          </cell>
        </row>
        <row r="1319">
          <cell r="A1319">
            <v>3832</v>
          </cell>
          <cell r="B1319">
            <v>1</v>
          </cell>
          <cell r="D1319" t="str">
            <v>φ350法兰盘</v>
          </cell>
          <cell r="E1319" t="str">
            <v>付</v>
          </cell>
          <cell r="G1319">
            <v>370.8</v>
          </cell>
          <cell r="H1319">
            <v>360</v>
          </cell>
          <cell r="I1319">
            <v>10.8</v>
          </cell>
          <cell r="K1319" t="str">
            <v>付</v>
          </cell>
          <cell r="L1319">
            <v>370.8</v>
          </cell>
        </row>
        <row r="1320">
          <cell r="A1320">
            <v>3833</v>
          </cell>
          <cell r="B1320">
            <v>1</v>
          </cell>
          <cell r="D1320" t="str">
            <v>φ400阀门</v>
          </cell>
          <cell r="E1320" t="str">
            <v>个</v>
          </cell>
          <cell r="G1320">
            <v>1648</v>
          </cell>
          <cell r="H1320">
            <v>1600</v>
          </cell>
          <cell r="I1320">
            <v>48</v>
          </cell>
          <cell r="K1320" t="str">
            <v>个</v>
          </cell>
          <cell r="L1320">
            <v>1648</v>
          </cell>
        </row>
        <row r="1321">
          <cell r="A1321">
            <v>3834</v>
          </cell>
          <cell r="B1321">
            <v>1</v>
          </cell>
          <cell r="D1321" t="str">
            <v>φ400法兰盘</v>
          </cell>
          <cell r="E1321" t="str">
            <v>付</v>
          </cell>
          <cell r="G1321">
            <v>494.4</v>
          </cell>
          <cell r="H1321">
            <v>480</v>
          </cell>
          <cell r="I1321">
            <v>14.4</v>
          </cell>
          <cell r="K1321" t="str">
            <v>付</v>
          </cell>
          <cell r="L1321">
            <v>494.4</v>
          </cell>
        </row>
        <row r="1322">
          <cell r="A1322">
            <v>3835</v>
          </cell>
          <cell r="B1322">
            <v>1</v>
          </cell>
          <cell r="D1322" t="str">
            <v>φ500阀门</v>
          </cell>
          <cell r="E1322" t="str">
            <v>个</v>
          </cell>
          <cell r="G1322">
            <v>2472</v>
          </cell>
          <cell r="H1322">
            <v>2400</v>
          </cell>
          <cell r="I1322">
            <v>72</v>
          </cell>
          <cell r="K1322" t="str">
            <v>个</v>
          </cell>
          <cell r="L1322">
            <v>2472</v>
          </cell>
        </row>
        <row r="1323">
          <cell r="A1323">
            <v>3836</v>
          </cell>
          <cell r="B1323">
            <v>1</v>
          </cell>
          <cell r="D1323" t="str">
            <v>φ500法兰盘</v>
          </cell>
          <cell r="E1323" t="str">
            <v>付</v>
          </cell>
          <cell r="G1323">
            <v>669.5</v>
          </cell>
          <cell r="H1323">
            <v>650</v>
          </cell>
          <cell r="I1323">
            <v>19.5</v>
          </cell>
          <cell r="K1323" t="str">
            <v>付</v>
          </cell>
          <cell r="L1323">
            <v>669.5</v>
          </cell>
        </row>
        <row r="1324">
          <cell r="A1324">
            <v>3837</v>
          </cell>
          <cell r="B1324">
            <v>1</v>
          </cell>
          <cell r="D1324" t="str">
            <v>φ600阀门</v>
          </cell>
          <cell r="E1324" t="str">
            <v>个</v>
          </cell>
          <cell r="G1324">
            <v>3193</v>
          </cell>
          <cell r="H1324">
            <v>3100</v>
          </cell>
          <cell r="I1324">
            <v>93</v>
          </cell>
          <cell r="K1324" t="str">
            <v>个</v>
          </cell>
          <cell r="L1324">
            <v>3193</v>
          </cell>
        </row>
        <row r="1325">
          <cell r="A1325">
            <v>3838</v>
          </cell>
          <cell r="B1325">
            <v>1</v>
          </cell>
          <cell r="D1325" t="str">
            <v>φ600法兰盘</v>
          </cell>
          <cell r="E1325" t="str">
            <v>付</v>
          </cell>
          <cell r="G1325">
            <v>844.6</v>
          </cell>
          <cell r="H1325">
            <v>820</v>
          </cell>
          <cell r="I1325">
            <v>24.6</v>
          </cell>
          <cell r="K1325" t="str">
            <v>付</v>
          </cell>
          <cell r="L1325">
            <v>844.6</v>
          </cell>
        </row>
        <row r="1326">
          <cell r="A1326">
            <v>3839</v>
          </cell>
          <cell r="B1326">
            <v>1</v>
          </cell>
          <cell r="D1326" t="str">
            <v>φ800阀门</v>
          </cell>
          <cell r="E1326" t="str">
            <v>个</v>
          </cell>
          <cell r="G1326">
            <v>5665</v>
          </cell>
          <cell r="H1326">
            <v>5500</v>
          </cell>
          <cell r="I1326">
            <v>165</v>
          </cell>
          <cell r="K1326" t="str">
            <v>个</v>
          </cell>
          <cell r="L1326">
            <v>5665</v>
          </cell>
        </row>
        <row r="1327">
          <cell r="A1327">
            <v>3840</v>
          </cell>
          <cell r="B1327">
            <v>1</v>
          </cell>
          <cell r="D1327" t="str">
            <v>φ800法兰盘</v>
          </cell>
          <cell r="E1327" t="str">
            <v>付</v>
          </cell>
          <cell r="G1327">
            <v>1236</v>
          </cell>
          <cell r="H1327">
            <v>1200</v>
          </cell>
          <cell r="I1327">
            <v>36</v>
          </cell>
          <cell r="K1327" t="str">
            <v>付</v>
          </cell>
          <cell r="L1327">
            <v>1236</v>
          </cell>
        </row>
        <row r="1328">
          <cell r="A1328">
            <v>3841</v>
          </cell>
          <cell r="B1328">
            <v>1</v>
          </cell>
          <cell r="D1328" t="str">
            <v>φ1200阀门</v>
          </cell>
          <cell r="E1328" t="str">
            <v>个</v>
          </cell>
          <cell r="G1328">
            <v>8240</v>
          </cell>
          <cell r="H1328">
            <v>8000</v>
          </cell>
          <cell r="I1328">
            <v>240</v>
          </cell>
          <cell r="K1328" t="str">
            <v>个</v>
          </cell>
          <cell r="L1328">
            <v>8240</v>
          </cell>
        </row>
        <row r="1329">
          <cell r="A1329">
            <v>3842</v>
          </cell>
          <cell r="B1329">
            <v>1</v>
          </cell>
          <cell r="D1329" t="str">
            <v>φ1200法兰盘</v>
          </cell>
          <cell r="E1329" t="str">
            <v>付</v>
          </cell>
          <cell r="G1329">
            <v>1854</v>
          </cell>
          <cell r="H1329">
            <v>1800</v>
          </cell>
          <cell r="I1329">
            <v>54</v>
          </cell>
          <cell r="K1329" t="str">
            <v>付</v>
          </cell>
          <cell r="L1329">
            <v>1854</v>
          </cell>
        </row>
        <row r="1330">
          <cell r="A1330">
            <v>3843</v>
          </cell>
          <cell r="B1330">
            <v>1</v>
          </cell>
          <cell r="D1330" t="str">
            <v>铸铁井盖</v>
          </cell>
          <cell r="E1330" t="str">
            <v>个</v>
          </cell>
          <cell r="G1330">
            <v>195.7</v>
          </cell>
          <cell r="H1330">
            <v>190</v>
          </cell>
          <cell r="I1330">
            <v>5.7</v>
          </cell>
          <cell r="K1330" t="str">
            <v>个</v>
          </cell>
          <cell r="L1330">
            <v>195.7</v>
          </cell>
        </row>
        <row r="1331">
          <cell r="A1331">
            <v>3844</v>
          </cell>
          <cell r="B1331">
            <v>1</v>
          </cell>
          <cell r="D1331" t="str">
            <v>Φ250mm蝶阀</v>
          </cell>
          <cell r="E1331" t="str">
            <v>个</v>
          </cell>
          <cell r="G1331">
            <v>1722.16</v>
          </cell>
          <cell r="H1331">
            <v>1672</v>
          </cell>
          <cell r="I1331">
            <v>50.16</v>
          </cell>
          <cell r="K1331" t="str">
            <v>个</v>
          </cell>
          <cell r="L1331">
            <v>1722.16</v>
          </cell>
        </row>
        <row r="1332">
          <cell r="A1332">
            <v>3845</v>
          </cell>
          <cell r="B1332">
            <v>1</v>
          </cell>
          <cell r="D1332" t="str">
            <v>Φ700mm蝶阀</v>
          </cell>
          <cell r="E1332" t="str">
            <v>个</v>
          </cell>
          <cell r="G1332">
            <v>11420.64</v>
          </cell>
          <cell r="H1332">
            <v>11088</v>
          </cell>
          <cell r="I1332">
            <v>332.64</v>
          </cell>
          <cell r="K1332" t="str">
            <v>个</v>
          </cell>
          <cell r="L1332">
            <v>11420.64</v>
          </cell>
        </row>
        <row r="1333">
          <cell r="A1333">
            <v>3846</v>
          </cell>
          <cell r="B1333">
            <v>1</v>
          </cell>
          <cell r="D1333" t="str">
            <v>Φ1000mm蝶阀</v>
          </cell>
          <cell r="E1333" t="str">
            <v>个</v>
          </cell>
          <cell r="G1333">
            <v>23793</v>
          </cell>
          <cell r="H1333">
            <v>23100</v>
          </cell>
          <cell r="I1333">
            <v>693</v>
          </cell>
          <cell r="K1333" t="str">
            <v>个</v>
          </cell>
          <cell r="L1333">
            <v>23793</v>
          </cell>
        </row>
        <row r="1334">
          <cell r="A1334">
            <v>3847</v>
          </cell>
          <cell r="B1334">
            <v>1</v>
          </cell>
          <cell r="D1334" t="str">
            <v>闸阀Z44T-10,DN50</v>
          </cell>
          <cell r="E1334" t="str">
            <v>个</v>
          </cell>
          <cell r="G1334">
            <v>154.5</v>
          </cell>
          <cell r="H1334">
            <v>150</v>
          </cell>
          <cell r="I1334">
            <v>4.5</v>
          </cell>
          <cell r="K1334" t="str">
            <v>个</v>
          </cell>
          <cell r="L1334">
            <v>154.5</v>
          </cell>
        </row>
        <row r="1335">
          <cell r="A1335">
            <v>3848</v>
          </cell>
          <cell r="B1335">
            <v>1</v>
          </cell>
          <cell r="D1335" t="str">
            <v>闸阀Z44T-10,DN100</v>
          </cell>
          <cell r="E1335" t="str">
            <v>个</v>
          </cell>
          <cell r="G1335">
            <v>296.64</v>
          </cell>
          <cell r="H1335">
            <v>288</v>
          </cell>
          <cell r="I1335">
            <v>8.64</v>
          </cell>
          <cell r="K1335" t="str">
            <v>个</v>
          </cell>
          <cell r="L1335">
            <v>296.64</v>
          </cell>
        </row>
        <row r="1336">
          <cell r="A1336">
            <v>3849</v>
          </cell>
          <cell r="B1336">
            <v>1</v>
          </cell>
          <cell r="D1336" t="str">
            <v>闸阀Z44T-10,DN150</v>
          </cell>
          <cell r="E1336" t="str">
            <v>个</v>
          </cell>
          <cell r="G1336">
            <v>521.17999999999995</v>
          </cell>
          <cell r="H1336">
            <v>506</v>
          </cell>
          <cell r="I1336">
            <v>15.18</v>
          </cell>
          <cell r="K1336" t="str">
            <v>个</v>
          </cell>
          <cell r="L1336">
            <v>521.17999999999995</v>
          </cell>
        </row>
        <row r="1337">
          <cell r="A1337">
            <v>3850</v>
          </cell>
          <cell r="B1337">
            <v>1</v>
          </cell>
          <cell r="D1337" t="str">
            <v>管件</v>
          </cell>
          <cell r="E1337" t="str">
            <v>kg</v>
          </cell>
          <cell r="G1337">
            <v>13.39</v>
          </cell>
          <cell r="H1337">
            <v>13</v>
          </cell>
          <cell r="I1337">
            <v>0.39</v>
          </cell>
          <cell r="K1337" t="str">
            <v>kg</v>
          </cell>
          <cell r="L1337">
            <v>13.39</v>
          </cell>
        </row>
        <row r="1338">
          <cell r="A1338">
            <v>3851</v>
          </cell>
          <cell r="B1338">
            <v>1</v>
          </cell>
          <cell r="D1338" t="str">
            <v>活接头Dg100</v>
          </cell>
          <cell r="E1338" t="str">
            <v>个</v>
          </cell>
          <cell r="G1338">
            <v>17.510000000000002</v>
          </cell>
          <cell r="H1338">
            <v>17</v>
          </cell>
          <cell r="I1338">
            <v>0.51</v>
          </cell>
          <cell r="K1338" t="str">
            <v>个</v>
          </cell>
          <cell r="L1338">
            <v>17.510000000000002</v>
          </cell>
        </row>
        <row r="1339">
          <cell r="A1339">
            <v>3852</v>
          </cell>
          <cell r="B1339">
            <v>1</v>
          </cell>
          <cell r="D1339" t="str">
            <v>活接头Dg50</v>
          </cell>
          <cell r="E1339" t="str">
            <v>个</v>
          </cell>
          <cell r="G1339">
            <v>8.24</v>
          </cell>
          <cell r="H1339">
            <v>8</v>
          </cell>
          <cell r="I1339">
            <v>0.24</v>
          </cell>
          <cell r="K1339" t="str">
            <v>个</v>
          </cell>
          <cell r="L1339">
            <v>8.24</v>
          </cell>
        </row>
        <row r="1340">
          <cell r="A1340">
            <v>3853</v>
          </cell>
          <cell r="B1340">
            <v>1</v>
          </cell>
          <cell r="D1340" t="str">
            <v>潜水泵</v>
          </cell>
          <cell r="E1340" t="str">
            <v>台</v>
          </cell>
          <cell r="G1340">
            <v>721</v>
          </cell>
          <cell r="H1340">
            <v>700</v>
          </cell>
          <cell r="I1340">
            <v>21</v>
          </cell>
          <cell r="K1340" t="str">
            <v>台</v>
          </cell>
          <cell r="L1340">
            <v>721</v>
          </cell>
        </row>
        <row r="1341">
          <cell r="A1341">
            <v>3854</v>
          </cell>
          <cell r="B1341">
            <v>1</v>
          </cell>
          <cell r="D1341" t="str">
            <v>铸铁管接头DN50</v>
          </cell>
          <cell r="E1341" t="str">
            <v>个</v>
          </cell>
          <cell r="G1341">
            <v>8.14</v>
          </cell>
          <cell r="H1341">
            <v>7.9</v>
          </cell>
          <cell r="I1341">
            <v>0.24</v>
          </cell>
          <cell r="K1341" t="str">
            <v>个</v>
          </cell>
          <cell r="L1341">
            <v>8.14</v>
          </cell>
        </row>
        <row r="1342">
          <cell r="A1342">
            <v>3855</v>
          </cell>
          <cell r="B1342">
            <v>1</v>
          </cell>
          <cell r="D1342" t="str">
            <v>铸铁管接头DN75</v>
          </cell>
          <cell r="E1342" t="str">
            <v>个</v>
          </cell>
          <cell r="G1342">
            <v>16.47</v>
          </cell>
          <cell r="H1342">
            <v>15.99</v>
          </cell>
          <cell r="I1342">
            <v>0.48</v>
          </cell>
          <cell r="K1342" t="str">
            <v>个</v>
          </cell>
          <cell r="L1342">
            <v>16.47</v>
          </cell>
        </row>
        <row r="1343">
          <cell r="A1343">
            <v>3856</v>
          </cell>
          <cell r="B1343">
            <v>1</v>
          </cell>
          <cell r="D1343" t="str">
            <v>铸铁管接头DN100</v>
          </cell>
          <cell r="E1343" t="str">
            <v>个</v>
          </cell>
          <cell r="G1343">
            <v>21.19</v>
          </cell>
          <cell r="H1343">
            <v>20.57</v>
          </cell>
          <cell r="I1343">
            <v>0.62</v>
          </cell>
          <cell r="K1343" t="str">
            <v>个</v>
          </cell>
          <cell r="L1343">
            <v>21.19</v>
          </cell>
        </row>
        <row r="1344">
          <cell r="A1344">
            <v>3857</v>
          </cell>
          <cell r="B1344">
            <v>1</v>
          </cell>
          <cell r="D1344" t="str">
            <v>移动卫生间</v>
          </cell>
          <cell r="E1344" t="str">
            <v>个</v>
          </cell>
          <cell r="G1344">
            <v>12360</v>
          </cell>
          <cell r="H1344">
            <v>12000</v>
          </cell>
          <cell r="I1344">
            <v>360</v>
          </cell>
          <cell r="K1344" t="str">
            <v>个</v>
          </cell>
          <cell r="L1344">
            <v>12360</v>
          </cell>
        </row>
        <row r="1345">
          <cell r="A1345">
            <v>3858</v>
          </cell>
          <cell r="B1345">
            <v>1</v>
          </cell>
          <cell r="G1345">
            <v>0</v>
          </cell>
          <cell r="I1345">
            <v>0</v>
          </cell>
          <cell r="K1345">
            <v>0</v>
          </cell>
          <cell r="L1345">
            <v>0</v>
          </cell>
        </row>
        <row r="1346">
          <cell r="A1346">
            <v>3859</v>
          </cell>
          <cell r="B1346">
            <v>1</v>
          </cell>
          <cell r="G1346">
            <v>0</v>
          </cell>
          <cell r="I1346">
            <v>0</v>
          </cell>
          <cell r="K1346">
            <v>0</v>
          </cell>
          <cell r="L1346">
            <v>0</v>
          </cell>
        </row>
        <row r="1347">
          <cell r="A1347">
            <v>3860</v>
          </cell>
          <cell r="B1347">
            <v>1</v>
          </cell>
          <cell r="G1347">
            <v>0</v>
          </cell>
          <cell r="I1347">
            <v>0</v>
          </cell>
          <cell r="K1347">
            <v>0</v>
          </cell>
          <cell r="L1347">
            <v>0</v>
          </cell>
        </row>
        <row r="1348">
          <cell r="A1348">
            <v>3861</v>
          </cell>
          <cell r="B1348">
            <v>1</v>
          </cell>
          <cell r="G1348">
            <v>0</v>
          </cell>
          <cell r="I1348">
            <v>0</v>
          </cell>
          <cell r="K1348">
            <v>0</v>
          </cell>
          <cell r="L1348">
            <v>0</v>
          </cell>
        </row>
        <row r="1349">
          <cell r="A1349">
            <v>3862</v>
          </cell>
          <cell r="B1349">
            <v>1</v>
          </cell>
          <cell r="G1349">
            <v>0</v>
          </cell>
          <cell r="I1349">
            <v>0</v>
          </cell>
          <cell r="K1349">
            <v>0</v>
          </cell>
          <cell r="L1349">
            <v>0</v>
          </cell>
        </row>
        <row r="1350">
          <cell r="A1350">
            <v>3863</v>
          </cell>
          <cell r="B1350">
            <v>1</v>
          </cell>
          <cell r="G1350">
            <v>0</v>
          </cell>
          <cell r="I1350">
            <v>0</v>
          </cell>
          <cell r="K1350">
            <v>0</v>
          </cell>
          <cell r="L1350">
            <v>0</v>
          </cell>
        </row>
        <row r="1351">
          <cell r="A1351">
            <v>3864</v>
          </cell>
          <cell r="B1351">
            <v>1</v>
          </cell>
          <cell r="G1351">
            <v>0</v>
          </cell>
          <cell r="I1351">
            <v>0</v>
          </cell>
          <cell r="K1351">
            <v>0</v>
          </cell>
          <cell r="L1351">
            <v>0</v>
          </cell>
        </row>
        <row r="1352">
          <cell r="A1352">
            <v>3865</v>
          </cell>
          <cell r="B1352">
            <v>1</v>
          </cell>
          <cell r="G1352">
            <v>0</v>
          </cell>
          <cell r="I1352">
            <v>0</v>
          </cell>
          <cell r="K1352">
            <v>0</v>
          </cell>
          <cell r="L1352">
            <v>0</v>
          </cell>
        </row>
        <row r="1353">
          <cell r="A1353">
            <v>3866</v>
          </cell>
          <cell r="B1353">
            <v>1</v>
          </cell>
          <cell r="G1353">
            <v>0</v>
          </cell>
          <cell r="I1353">
            <v>0</v>
          </cell>
          <cell r="K1353">
            <v>0</v>
          </cell>
          <cell r="L1353">
            <v>0</v>
          </cell>
        </row>
        <row r="1354">
          <cell r="A1354">
            <v>3867</v>
          </cell>
          <cell r="B1354">
            <v>1</v>
          </cell>
          <cell r="G1354">
            <v>0</v>
          </cell>
          <cell r="I1354">
            <v>0</v>
          </cell>
          <cell r="K1354">
            <v>0</v>
          </cell>
          <cell r="L1354">
            <v>0</v>
          </cell>
        </row>
        <row r="1355">
          <cell r="A1355">
            <v>3868</v>
          </cell>
          <cell r="B1355">
            <v>1</v>
          </cell>
          <cell r="G1355">
            <v>0</v>
          </cell>
          <cell r="I1355">
            <v>0</v>
          </cell>
          <cell r="K1355">
            <v>0</v>
          </cell>
          <cell r="L1355">
            <v>0</v>
          </cell>
        </row>
        <row r="1356">
          <cell r="A1356">
            <v>3869</v>
          </cell>
          <cell r="B1356">
            <v>1</v>
          </cell>
          <cell r="G1356">
            <v>0</v>
          </cell>
          <cell r="I1356">
            <v>0</v>
          </cell>
          <cell r="K1356">
            <v>0</v>
          </cell>
          <cell r="L1356">
            <v>0</v>
          </cell>
        </row>
        <row r="1357">
          <cell r="A1357">
            <v>3870</v>
          </cell>
          <cell r="B1357">
            <v>1</v>
          </cell>
          <cell r="G1357">
            <v>0</v>
          </cell>
          <cell r="I1357">
            <v>0</v>
          </cell>
          <cell r="K1357">
            <v>0</v>
          </cell>
          <cell r="L1357">
            <v>0</v>
          </cell>
        </row>
        <row r="1358">
          <cell r="A1358">
            <v>3901</v>
          </cell>
          <cell r="B1358">
            <v>1</v>
          </cell>
          <cell r="D1358" t="str">
            <v>橡胶支座</v>
          </cell>
          <cell r="E1358" t="str">
            <v>dm3</v>
          </cell>
          <cell r="G1358">
            <v>61.8</v>
          </cell>
          <cell r="H1358">
            <v>60</v>
          </cell>
          <cell r="I1358">
            <v>1.8</v>
          </cell>
          <cell r="K1358" t="str">
            <v>dm3</v>
          </cell>
          <cell r="L1358">
            <v>61.8</v>
          </cell>
        </row>
        <row r="1359">
          <cell r="A1359">
            <v>3902</v>
          </cell>
          <cell r="B1359">
            <v>1</v>
          </cell>
          <cell r="D1359" t="str">
            <v>固定支座(GD-200)</v>
          </cell>
          <cell r="E1359" t="str">
            <v>套</v>
          </cell>
          <cell r="G1359">
            <v>412</v>
          </cell>
          <cell r="H1359">
            <v>400</v>
          </cell>
          <cell r="I1359">
            <v>12</v>
          </cell>
          <cell r="K1359" t="str">
            <v>套</v>
          </cell>
          <cell r="L1359">
            <v>412</v>
          </cell>
        </row>
        <row r="1360">
          <cell r="A1360">
            <v>3903</v>
          </cell>
          <cell r="B1360">
            <v>1</v>
          </cell>
          <cell r="D1360" t="str">
            <v>活动支座(ZX-200)</v>
          </cell>
          <cell r="E1360" t="str">
            <v>套</v>
          </cell>
          <cell r="G1360">
            <v>412</v>
          </cell>
          <cell r="H1360">
            <v>400</v>
          </cell>
          <cell r="I1360">
            <v>12</v>
          </cell>
          <cell r="K1360" t="str">
            <v>套</v>
          </cell>
          <cell r="L1360">
            <v>412</v>
          </cell>
        </row>
        <row r="1361">
          <cell r="A1361">
            <v>3904</v>
          </cell>
          <cell r="B1361">
            <v>1</v>
          </cell>
          <cell r="G1361">
            <v>0</v>
          </cell>
          <cell r="I1361">
            <v>0</v>
          </cell>
          <cell r="K1361">
            <v>0</v>
          </cell>
          <cell r="L1361">
            <v>0</v>
          </cell>
        </row>
        <row r="1362">
          <cell r="A1362">
            <v>3905</v>
          </cell>
          <cell r="B1362">
            <v>1</v>
          </cell>
          <cell r="G1362">
            <v>0</v>
          </cell>
          <cell r="I1362">
            <v>0</v>
          </cell>
          <cell r="K1362">
            <v>0</v>
          </cell>
          <cell r="L1362">
            <v>0</v>
          </cell>
        </row>
        <row r="1363">
          <cell r="A1363">
            <v>3906</v>
          </cell>
          <cell r="B1363">
            <v>1</v>
          </cell>
          <cell r="G1363">
            <v>0</v>
          </cell>
          <cell r="I1363">
            <v>0</v>
          </cell>
          <cell r="K1363">
            <v>0</v>
          </cell>
          <cell r="L1363">
            <v>0</v>
          </cell>
        </row>
        <row r="1364">
          <cell r="A1364">
            <v>3907</v>
          </cell>
          <cell r="B1364">
            <v>1</v>
          </cell>
          <cell r="G1364">
            <v>0</v>
          </cell>
          <cell r="I1364">
            <v>0</v>
          </cell>
          <cell r="K1364">
            <v>0</v>
          </cell>
          <cell r="L1364">
            <v>0</v>
          </cell>
        </row>
        <row r="1365">
          <cell r="A1365">
            <v>3908</v>
          </cell>
          <cell r="B1365">
            <v>1</v>
          </cell>
          <cell r="G1365">
            <v>0</v>
          </cell>
          <cell r="I1365">
            <v>0</v>
          </cell>
          <cell r="K1365">
            <v>0</v>
          </cell>
          <cell r="L1365">
            <v>0</v>
          </cell>
        </row>
        <row r="1366">
          <cell r="A1366">
            <v>3909</v>
          </cell>
          <cell r="B1366">
            <v>1</v>
          </cell>
          <cell r="G1366">
            <v>0</v>
          </cell>
          <cell r="I1366">
            <v>0</v>
          </cell>
          <cell r="K1366">
            <v>0</v>
          </cell>
          <cell r="L1366">
            <v>0</v>
          </cell>
        </row>
        <row r="1367">
          <cell r="A1367">
            <v>3910</v>
          </cell>
          <cell r="B1367">
            <v>1</v>
          </cell>
          <cell r="G1367">
            <v>0</v>
          </cell>
          <cell r="I1367">
            <v>0</v>
          </cell>
          <cell r="K1367">
            <v>0</v>
          </cell>
          <cell r="L1367">
            <v>0</v>
          </cell>
        </row>
        <row r="1368">
          <cell r="A1368">
            <v>3911</v>
          </cell>
          <cell r="B1368">
            <v>1</v>
          </cell>
          <cell r="G1368">
            <v>0</v>
          </cell>
          <cell r="I1368">
            <v>0</v>
          </cell>
          <cell r="K1368">
            <v>0</v>
          </cell>
          <cell r="L1368">
            <v>0</v>
          </cell>
        </row>
        <row r="1369">
          <cell r="A1369">
            <v>3912</v>
          </cell>
          <cell r="B1369">
            <v>1</v>
          </cell>
          <cell r="G1369">
            <v>0</v>
          </cell>
          <cell r="I1369">
            <v>0</v>
          </cell>
          <cell r="K1369">
            <v>0</v>
          </cell>
          <cell r="L1369">
            <v>0</v>
          </cell>
        </row>
        <row r="1370">
          <cell r="A1370">
            <v>5001</v>
          </cell>
          <cell r="B1370">
            <v>1</v>
          </cell>
          <cell r="D1370" t="str">
            <v>石棉橡胶板 低压δ=0.8-6</v>
          </cell>
          <cell r="E1370" t="str">
            <v>kg</v>
          </cell>
          <cell r="G1370">
            <v>4.93</v>
          </cell>
          <cell r="H1370">
            <v>4.79</v>
          </cell>
          <cell r="I1370">
            <v>0.14000000000000001</v>
          </cell>
          <cell r="K1370" t="str">
            <v>kg</v>
          </cell>
          <cell r="L1370">
            <v>4.93</v>
          </cell>
        </row>
        <row r="1371">
          <cell r="A1371">
            <v>5002</v>
          </cell>
          <cell r="B1371">
            <v>1</v>
          </cell>
          <cell r="D1371" t="str">
            <v>镀锌四通 ф50</v>
          </cell>
          <cell r="E1371" t="str">
            <v>个</v>
          </cell>
          <cell r="G1371">
            <v>12.469999999999999</v>
          </cell>
          <cell r="H1371">
            <v>12.11</v>
          </cell>
          <cell r="I1371">
            <v>0.36</v>
          </cell>
          <cell r="K1371" t="str">
            <v>个</v>
          </cell>
          <cell r="L1371">
            <v>12.469999999999999</v>
          </cell>
        </row>
        <row r="1372">
          <cell r="A1372">
            <v>5003</v>
          </cell>
          <cell r="B1372">
            <v>1</v>
          </cell>
          <cell r="D1372" t="str">
            <v>牙轮钻头</v>
          </cell>
          <cell r="E1372" t="str">
            <v>个</v>
          </cell>
          <cell r="G1372">
            <v>1648</v>
          </cell>
          <cell r="H1372">
            <v>1600</v>
          </cell>
          <cell r="I1372">
            <v>48</v>
          </cell>
          <cell r="K1372" t="str">
            <v>个</v>
          </cell>
          <cell r="L1372">
            <v>1648</v>
          </cell>
        </row>
        <row r="1373">
          <cell r="A1373">
            <v>5004</v>
          </cell>
          <cell r="B1373">
            <v>1</v>
          </cell>
          <cell r="D1373" t="str">
            <v>采暖辐射板</v>
          </cell>
          <cell r="E1373" t="str">
            <v>个</v>
          </cell>
          <cell r="G1373">
            <v>834.3</v>
          </cell>
          <cell r="H1373">
            <v>810</v>
          </cell>
          <cell r="I1373">
            <v>24.3</v>
          </cell>
          <cell r="K1373" t="str">
            <v>个</v>
          </cell>
          <cell r="L1373">
            <v>834.3</v>
          </cell>
        </row>
        <row r="1374">
          <cell r="A1374">
            <v>5005</v>
          </cell>
          <cell r="B1374">
            <v>1</v>
          </cell>
          <cell r="D1374" t="str">
            <v>四氟板式支座350×350×56</v>
          </cell>
          <cell r="E1374" t="str">
            <v>个</v>
          </cell>
          <cell r="G1374">
            <v>424.36</v>
          </cell>
          <cell r="H1374">
            <v>412</v>
          </cell>
          <cell r="I1374">
            <v>12.36</v>
          </cell>
          <cell r="K1374" t="str">
            <v>个</v>
          </cell>
          <cell r="L1374">
            <v>424.36</v>
          </cell>
        </row>
        <row r="1375">
          <cell r="A1375">
            <v>5006</v>
          </cell>
          <cell r="B1375">
            <v>1</v>
          </cell>
          <cell r="D1375" t="str">
            <v>橡胶板(100×500×54)</v>
          </cell>
          <cell r="E1375" t="str">
            <v>块</v>
          </cell>
          <cell r="G1375">
            <v>111.24</v>
          </cell>
          <cell r="H1375">
            <v>108</v>
          </cell>
          <cell r="I1375">
            <v>3.24</v>
          </cell>
          <cell r="K1375" t="str">
            <v>块</v>
          </cell>
          <cell r="L1375">
            <v>111.24</v>
          </cell>
        </row>
        <row r="1376">
          <cell r="A1376">
            <v>5007</v>
          </cell>
          <cell r="B1376">
            <v>1</v>
          </cell>
          <cell r="D1376" t="str">
            <v>园型钢垫片 ф160×ф136</v>
          </cell>
          <cell r="E1376" t="str">
            <v>个</v>
          </cell>
          <cell r="G1376">
            <v>1.03</v>
          </cell>
          <cell r="H1376">
            <v>1</v>
          </cell>
          <cell r="I1376">
            <v>0.03</v>
          </cell>
          <cell r="K1376" t="str">
            <v>个</v>
          </cell>
          <cell r="L1376">
            <v>1.03</v>
          </cell>
        </row>
        <row r="1377">
          <cell r="A1377">
            <v>5008</v>
          </cell>
          <cell r="B1377">
            <v>1</v>
          </cell>
          <cell r="D1377" t="str">
            <v>铜板</v>
          </cell>
          <cell r="E1377" t="str">
            <v>kg</v>
          </cell>
          <cell r="G1377">
            <v>3.61</v>
          </cell>
          <cell r="H1377">
            <v>3.5</v>
          </cell>
          <cell r="I1377">
            <v>0.11</v>
          </cell>
          <cell r="K1377" t="str">
            <v>kg</v>
          </cell>
          <cell r="L1377">
            <v>3.61</v>
          </cell>
        </row>
        <row r="1378">
          <cell r="A1378">
            <v>5009</v>
          </cell>
          <cell r="B1378">
            <v>1</v>
          </cell>
          <cell r="D1378" t="str">
            <v>铁纱</v>
          </cell>
          <cell r="E1378" t="str">
            <v>kg</v>
          </cell>
          <cell r="G1378">
            <v>72.099999999999994</v>
          </cell>
          <cell r="H1378">
            <v>70</v>
          </cell>
          <cell r="I1378">
            <v>2.1</v>
          </cell>
          <cell r="K1378" t="str">
            <v>kg</v>
          </cell>
          <cell r="L1378">
            <v>72.099999999999994</v>
          </cell>
        </row>
        <row r="1379">
          <cell r="A1379">
            <v>5010</v>
          </cell>
          <cell r="B1379">
            <v>1</v>
          </cell>
          <cell r="D1379" t="str">
            <v>六偏磷酸钠</v>
          </cell>
          <cell r="E1379" t="str">
            <v>kg</v>
          </cell>
          <cell r="G1379">
            <v>2.2999999999999998</v>
          </cell>
          <cell r="H1379">
            <v>2.23</v>
          </cell>
          <cell r="I1379">
            <v>7.0000000000000007E-2</v>
          </cell>
          <cell r="K1379" t="str">
            <v>kg</v>
          </cell>
          <cell r="L1379">
            <v>2.2999999999999998</v>
          </cell>
        </row>
        <row r="1380">
          <cell r="A1380">
            <v>5011</v>
          </cell>
          <cell r="B1380">
            <v>1</v>
          </cell>
          <cell r="D1380" t="str">
            <v>色粉</v>
          </cell>
          <cell r="E1380" t="str">
            <v>kg</v>
          </cell>
          <cell r="G1380">
            <v>12.12</v>
          </cell>
          <cell r="H1380">
            <v>11.77</v>
          </cell>
          <cell r="I1380">
            <v>0.35</v>
          </cell>
          <cell r="K1380" t="str">
            <v>kg</v>
          </cell>
          <cell r="L1380">
            <v>12.12</v>
          </cell>
        </row>
        <row r="1381">
          <cell r="A1381">
            <v>5012</v>
          </cell>
          <cell r="B1381">
            <v>1</v>
          </cell>
          <cell r="D1381" t="str">
            <v>甲基硅酸钠</v>
          </cell>
          <cell r="E1381" t="str">
            <v>kg</v>
          </cell>
          <cell r="G1381">
            <v>1.98</v>
          </cell>
          <cell r="H1381">
            <v>1.92</v>
          </cell>
          <cell r="I1381">
            <v>0.06</v>
          </cell>
          <cell r="K1381" t="str">
            <v>kg</v>
          </cell>
          <cell r="L1381">
            <v>1.98</v>
          </cell>
        </row>
        <row r="1382">
          <cell r="A1382">
            <v>5013</v>
          </cell>
          <cell r="B1382">
            <v>1</v>
          </cell>
          <cell r="D1382" t="str">
            <v>石油沥青玛碲脂</v>
          </cell>
          <cell r="E1382" t="str">
            <v>t</v>
          </cell>
          <cell r="G1382">
            <v>2116.65</v>
          </cell>
          <cell r="H1382">
            <v>2055</v>
          </cell>
          <cell r="I1382">
            <v>61.65</v>
          </cell>
          <cell r="K1382" t="str">
            <v>t</v>
          </cell>
          <cell r="L1382">
            <v>2116.65</v>
          </cell>
        </row>
        <row r="1383">
          <cell r="A1383">
            <v>5014</v>
          </cell>
          <cell r="B1383">
            <v>1</v>
          </cell>
          <cell r="D1383" t="str">
            <v>白石子</v>
          </cell>
          <cell r="E1383" t="str">
            <v>kg</v>
          </cell>
          <cell r="G1383">
            <v>0.15</v>
          </cell>
          <cell r="H1383">
            <v>0.15</v>
          </cell>
          <cell r="I1383">
            <v>0</v>
          </cell>
          <cell r="K1383" t="str">
            <v>kg</v>
          </cell>
          <cell r="L1383">
            <v>0.15</v>
          </cell>
        </row>
        <row r="1384">
          <cell r="A1384">
            <v>5015</v>
          </cell>
          <cell r="B1384">
            <v>1</v>
          </cell>
          <cell r="D1384" t="str">
            <v>LDJ胶</v>
          </cell>
          <cell r="E1384" t="str">
            <v>kg</v>
          </cell>
          <cell r="G1384">
            <v>13.39</v>
          </cell>
          <cell r="H1384">
            <v>13</v>
          </cell>
          <cell r="I1384">
            <v>0.39</v>
          </cell>
          <cell r="K1384" t="str">
            <v>kg</v>
          </cell>
          <cell r="L1384">
            <v>13.39</v>
          </cell>
        </row>
        <row r="1385">
          <cell r="A1385">
            <v>5016</v>
          </cell>
          <cell r="B1385">
            <v>1</v>
          </cell>
          <cell r="D1385" t="str">
            <v>PVC胶</v>
          </cell>
          <cell r="E1385" t="str">
            <v>kg</v>
          </cell>
          <cell r="G1385">
            <v>12.88</v>
          </cell>
          <cell r="H1385">
            <v>12.5</v>
          </cell>
          <cell r="I1385">
            <v>0.38</v>
          </cell>
          <cell r="K1385" t="str">
            <v>kg</v>
          </cell>
          <cell r="L1385">
            <v>12.88</v>
          </cell>
        </row>
        <row r="1386">
          <cell r="A1386">
            <v>5017</v>
          </cell>
          <cell r="B1386">
            <v>1</v>
          </cell>
          <cell r="D1386" t="str">
            <v>石英粉</v>
          </cell>
          <cell r="E1386" t="str">
            <v>kg</v>
          </cell>
          <cell r="G1386">
            <v>0.31</v>
          </cell>
          <cell r="H1386">
            <v>0.3</v>
          </cell>
          <cell r="I1386">
            <v>0.01</v>
          </cell>
          <cell r="K1386" t="str">
            <v>kg</v>
          </cell>
          <cell r="L1386">
            <v>0.31</v>
          </cell>
        </row>
        <row r="1387">
          <cell r="A1387">
            <v>5018</v>
          </cell>
          <cell r="B1387">
            <v>1</v>
          </cell>
          <cell r="D1387" t="str">
            <v>乙二胺</v>
          </cell>
          <cell r="E1387" t="str">
            <v>kg</v>
          </cell>
          <cell r="G1387">
            <v>6.18</v>
          </cell>
          <cell r="H1387">
            <v>6</v>
          </cell>
          <cell r="I1387">
            <v>0.18</v>
          </cell>
          <cell r="K1387" t="str">
            <v>kg</v>
          </cell>
          <cell r="L1387">
            <v>6.18</v>
          </cell>
        </row>
        <row r="1388">
          <cell r="A1388">
            <v>5019</v>
          </cell>
          <cell r="B1388">
            <v>1</v>
          </cell>
          <cell r="D1388" t="str">
            <v>丁子螺栓 M6-8×60-80</v>
          </cell>
          <cell r="E1388" t="str">
            <v>套</v>
          </cell>
          <cell r="G1388">
            <v>0.16</v>
          </cell>
          <cell r="H1388">
            <v>0.16</v>
          </cell>
          <cell r="I1388">
            <v>0</v>
          </cell>
          <cell r="K1388" t="str">
            <v>套</v>
          </cell>
          <cell r="L1388">
            <v>0.16</v>
          </cell>
        </row>
        <row r="1389">
          <cell r="A1389">
            <v>5020</v>
          </cell>
          <cell r="B1389">
            <v>1</v>
          </cell>
          <cell r="D1389" t="str">
            <v>木螺钉 M2-4×6-65</v>
          </cell>
          <cell r="E1389" t="str">
            <v>个</v>
          </cell>
          <cell r="G1389">
            <v>0.03</v>
          </cell>
          <cell r="H1389">
            <v>0.03</v>
          </cell>
          <cell r="I1389">
            <v>0</v>
          </cell>
          <cell r="K1389" t="str">
            <v>个</v>
          </cell>
          <cell r="L1389">
            <v>0.03</v>
          </cell>
        </row>
        <row r="1390">
          <cell r="A1390">
            <v>5021</v>
          </cell>
          <cell r="B1390">
            <v>1</v>
          </cell>
          <cell r="D1390" t="str">
            <v>酚荃层压板</v>
          </cell>
          <cell r="E1390" t="str">
            <v>m2</v>
          </cell>
          <cell r="G1390">
            <v>288.39999999999998</v>
          </cell>
          <cell r="H1390">
            <v>280</v>
          </cell>
          <cell r="I1390">
            <v>8.4</v>
          </cell>
          <cell r="K1390" t="str">
            <v>m2</v>
          </cell>
          <cell r="L1390">
            <v>288.39999999999998</v>
          </cell>
        </row>
        <row r="1391">
          <cell r="A1391">
            <v>5022</v>
          </cell>
          <cell r="B1391">
            <v>1</v>
          </cell>
          <cell r="D1391" t="str">
            <v>二丁脂</v>
          </cell>
          <cell r="E1391" t="str">
            <v>kg</v>
          </cell>
          <cell r="G1391">
            <v>5.36</v>
          </cell>
          <cell r="H1391">
            <v>5.2</v>
          </cell>
          <cell r="I1391">
            <v>0.16</v>
          </cell>
          <cell r="K1391" t="str">
            <v>kg</v>
          </cell>
          <cell r="L1391">
            <v>5.36</v>
          </cell>
        </row>
        <row r="1392">
          <cell r="A1392">
            <v>5023</v>
          </cell>
          <cell r="B1392">
            <v>1</v>
          </cell>
          <cell r="D1392" t="str">
            <v>甲苯</v>
          </cell>
          <cell r="E1392" t="str">
            <v>kg</v>
          </cell>
          <cell r="G1392">
            <v>4.12</v>
          </cell>
          <cell r="H1392">
            <v>4</v>
          </cell>
          <cell r="I1392">
            <v>0.12</v>
          </cell>
          <cell r="K1392" t="str">
            <v>kg</v>
          </cell>
          <cell r="L1392">
            <v>4.12</v>
          </cell>
        </row>
        <row r="1393">
          <cell r="A1393">
            <v>5024</v>
          </cell>
          <cell r="B1393">
            <v>1</v>
          </cell>
          <cell r="D1393" t="str">
            <v>PVC雨水管φ100　　　</v>
          </cell>
          <cell r="E1393" t="str">
            <v>m</v>
          </cell>
          <cell r="G1393">
            <v>21.73</v>
          </cell>
          <cell r="H1393">
            <v>21.1</v>
          </cell>
          <cell r="I1393">
            <v>0.63</v>
          </cell>
          <cell r="K1393" t="str">
            <v>m</v>
          </cell>
          <cell r="L1393">
            <v>21.73</v>
          </cell>
        </row>
        <row r="1394">
          <cell r="A1394">
            <v>5025</v>
          </cell>
          <cell r="B1394">
            <v>1</v>
          </cell>
          <cell r="D1394" t="str">
            <v>石棉</v>
          </cell>
          <cell r="E1394" t="str">
            <v>kg</v>
          </cell>
          <cell r="G1394">
            <v>1.55</v>
          </cell>
          <cell r="H1394">
            <v>1.5</v>
          </cell>
          <cell r="I1394">
            <v>0.05</v>
          </cell>
          <cell r="K1394" t="str">
            <v>kg</v>
          </cell>
          <cell r="L1394">
            <v>1.55</v>
          </cell>
        </row>
        <row r="1395">
          <cell r="A1395">
            <v>5026</v>
          </cell>
          <cell r="B1395">
            <v>1</v>
          </cell>
          <cell r="D1395" t="str">
            <v>乳胶漆</v>
          </cell>
          <cell r="E1395" t="str">
            <v>kg</v>
          </cell>
          <cell r="G1395">
            <v>10.82</v>
          </cell>
          <cell r="H1395">
            <v>10.5</v>
          </cell>
          <cell r="I1395">
            <v>0.32</v>
          </cell>
          <cell r="K1395" t="str">
            <v>kg</v>
          </cell>
          <cell r="L1395">
            <v>10.82</v>
          </cell>
        </row>
        <row r="1396">
          <cell r="A1396">
            <v>5027</v>
          </cell>
          <cell r="B1396">
            <v>1</v>
          </cell>
          <cell r="D1396" t="str">
            <v>连结固定件</v>
          </cell>
          <cell r="E1396" t="str">
            <v>kg</v>
          </cell>
          <cell r="G1396">
            <v>5.15</v>
          </cell>
          <cell r="H1396">
            <v>5</v>
          </cell>
          <cell r="I1396">
            <v>0.15</v>
          </cell>
          <cell r="K1396" t="str">
            <v>kg</v>
          </cell>
          <cell r="L1396">
            <v>5.15</v>
          </cell>
        </row>
        <row r="1397">
          <cell r="A1397">
            <v>5028</v>
          </cell>
          <cell r="B1397">
            <v>1</v>
          </cell>
          <cell r="D1397" t="str">
            <v>射钉</v>
          </cell>
          <cell r="E1397" t="str">
            <v>个</v>
          </cell>
          <cell r="G1397">
            <v>0.36</v>
          </cell>
          <cell r="H1397">
            <v>0.35</v>
          </cell>
          <cell r="I1397">
            <v>0.01</v>
          </cell>
          <cell r="K1397" t="str">
            <v>个</v>
          </cell>
          <cell r="L1397">
            <v>0.36</v>
          </cell>
        </row>
        <row r="1398">
          <cell r="A1398">
            <v>5029</v>
          </cell>
          <cell r="B1398">
            <v>1</v>
          </cell>
          <cell r="D1398" t="str">
            <v>玻璃胶</v>
          </cell>
          <cell r="E1398" t="str">
            <v xml:space="preserve">  kg</v>
          </cell>
          <cell r="G1398">
            <v>17</v>
          </cell>
          <cell r="H1398">
            <v>16.5</v>
          </cell>
          <cell r="I1398">
            <v>0.5</v>
          </cell>
          <cell r="K1398" t="str">
            <v xml:space="preserve">  kg</v>
          </cell>
          <cell r="L1398">
            <v>17</v>
          </cell>
        </row>
        <row r="1399">
          <cell r="A1399">
            <v>5030</v>
          </cell>
          <cell r="B1399">
            <v>1</v>
          </cell>
          <cell r="D1399" t="str">
            <v>密封条</v>
          </cell>
          <cell r="E1399" t="str">
            <v>m</v>
          </cell>
          <cell r="G1399">
            <v>4.9399999999999995</v>
          </cell>
          <cell r="H1399">
            <v>4.8</v>
          </cell>
          <cell r="I1399">
            <v>0.14000000000000001</v>
          </cell>
          <cell r="K1399" t="str">
            <v>m</v>
          </cell>
          <cell r="L1399">
            <v>4.9399999999999995</v>
          </cell>
        </row>
        <row r="1400">
          <cell r="A1400">
            <v>5031</v>
          </cell>
          <cell r="B1400">
            <v>1</v>
          </cell>
          <cell r="D1400" t="str">
            <v>甲基纤维素</v>
          </cell>
          <cell r="E1400" t="str">
            <v>kg</v>
          </cell>
          <cell r="G1400">
            <v>8.3800000000000008</v>
          </cell>
          <cell r="H1400">
            <v>8.14</v>
          </cell>
          <cell r="I1400">
            <v>0.24</v>
          </cell>
          <cell r="K1400" t="str">
            <v>kg</v>
          </cell>
          <cell r="L1400">
            <v>8.3800000000000008</v>
          </cell>
        </row>
        <row r="1401">
          <cell r="A1401">
            <v>5032</v>
          </cell>
          <cell r="B1401">
            <v>1</v>
          </cell>
          <cell r="D1401" t="str">
            <v>聚醋乙稀乳液</v>
          </cell>
          <cell r="E1401" t="str">
            <v>kg</v>
          </cell>
          <cell r="G1401">
            <v>3.7399999999999998</v>
          </cell>
          <cell r="H1401">
            <v>3.63</v>
          </cell>
          <cell r="I1401">
            <v>0.11</v>
          </cell>
          <cell r="K1401" t="str">
            <v>kg</v>
          </cell>
          <cell r="L1401">
            <v>3.7399999999999998</v>
          </cell>
        </row>
        <row r="1402">
          <cell r="A1402">
            <v>5033</v>
          </cell>
          <cell r="B1402">
            <v>1</v>
          </cell>
          <cell r="D1402" t="str">
            <v>滑石粉</v>
          </cell>
          <cell r="E1402" t="str">
            <v>kg</v>
          </cell>
          <cell r="G1402">
            <v>1.03</v>
          </cell>
          <cell r="H1402">
            <v>1</v>
          </cell>
          <cell r="I1402">
            <v>0.03</v>
          </cell>
          <cell r="K1402" t="str">
            <v>kg</v>
          </cell>
          <cell r="L1402">
            <v>1.03</v>
          </cell>
        </row>
        <row r="1403">
          <cell r="A1403">
            <v>5034</v>
          </cell>
          <cell r="B1403">
            <v>1</v>
          </cell>
          <cell r="D1403" t="str">
            <v>防水粉</v>
          </cell>
          <cell r="E1403" t="str">
            <v>kg</v>
          </cell>
          <cell r="G1403">
            <v>2.58</v>
          </cell>
          <cell r="H1403">
            <v>2.5</v>
          </cell>
          <cell r="I1403">
            <v>0.08</v>
          </cell>
          <cell r="K1403" t="str">
            <v>kg</v>
          </cell>
          <cell r="L1403">
            <v>2.58</v>
          </cell>
        </row>
        <row r="1404">
          <cell r="A1404">
            <v>5035</v>
          </cell>
          <cell r="B1404">
            <v>1</v>
          </cell>
          <cell r="D1404" t="str">
            <v>石膏粉</v>
          </cell>
          <cell r="E1404" t="str">
            <v>kg</v>
          </cell>
          <cell r="G1404">
            <v>0.59</v>
          </cell>
          <cell r="H1404">
            <v>0.56999999999999995</v>
          </cell>
          <cell r="I1404">
            <v>0.02</v>
          </cell>
          <cell r="K1404" t="str">
            <v>kg</v>
          </cell>
          <cell r="L1404">
            <v>0.59</v>
          </cell>
        </row>
        <row r="1405">
          <cell r="A1405">
            <v>5036</v>
          </cell>
          <cell r="B1405">
            <v>1</v>
          </cell>
          <cell r="D1405" t="str">
            <v>丙稀酸涂料</v>
          </cell>
          <cell r="E1405" t="str">
            <v>kg</v>
          </cell>
          <cell r="G1405">
            <v>11.67</v>
          </cell>
          <cell r="H1405">
            <v>11.33</v>
          </cell>
          <cell r="I1405">
            <v>0.34</v>
          </cell>
          <cell r="K1405" t="str">
            <v>kg</v>
          </cell>
          <cell r="L1405">
            <v>11.67</v>
          </cell>
        </row>
        <row r="1406">
          <cell r="A1406">
            <v>5037</v>
          </cell>
          <cell r="B1406">
            <v>1</v>
          </cell>
          <cell r="D1406" t="str">
            <v>醋酸乙脂</v>
          </cell>
          <cell r="E1406" t="str">
            <v>kg</v>
          </cell>
          <cell r="G1406">
            <v>7.54</v>
          </cell>
          <cell r="H1406">
            <v>7.32</v>
          </cell>
          <cell r="I1406">
            <v>0.22</v>
          </cell>
          <cell r="K1406" t="str">
            <v>kg</v>
          </cell>
          <cell r="L1406">
            <v>7.54</v>
          </cell>
        </row>
        <row r="1407">
          <cell r="A1407">
            <v>5038</v>
          </cell>
          <cell r="B1407">
            <v>1</v>
          </cell>
          <cell r="D1407" t="str">
            <v>404胶粘剂</v>
          </cell>
          <cell r="E1407" t="str">
            <v>kg</v>
          </cell>
          <cell r="G1407">
            <v>17</v>
          </cell>
          <cell r="H1407">
            <v>16.5</v>
          </cell>
          <cell r="I1407">
            <v>0.5</v>
          </cell>
          <cell r="K1407" t="str">
            <v>kg</v>
          </cell>
          <cell r="L1407">
            <v>17</v>
          </cell>
        </row>
        <row r="1408">
          <cell r="A1408">
            <v>5039</v>
          </cell>
          <cell r="B1408">
            <v>1</v>
          </cell>
          <cell r="D1408" t="str">
            <v>砂纸</v>
          </cell>
          <cell r="E1408" t="str">
            <v>kg</v>
          </cell>
          <cell r="G1408">
            <v>1.03</v>
          </cell>
          <cell r="H1408">
            <v>1</v>
          </cell>
          <cell r="I1408">
            <v>0.03</v>
          </cell>
          <cell r="K1408" t="str">
            <v>kg</v>
          </cell>
          <cell r="L1408">
            <v>1.03</v>
          </cell>
        </row>
        <row r="1409">
          <cell r="A1409">
            <v>5040</v>
          </cell>
          <cell r="B1409">
            <v>1</v>
          </cell>
          <cell r="D1409" t="str">
            <v>金钢石(三角型）</v>
          </cell>
          <cell r="E1409" t="str">
            <v>块</v>
          </cell>
          <cell r="G1409">
            <v>5.0600000000000005</v>
          </cell>
          <cell r="H1409">
            <v>4.91</v>
          </cell>
          <cell r="I1409">
            <v>0.15</v>
          </cell>
          <cell r="K1409" t="str">
            <v>块</v>
          </cell>
          <cell r="L1409">
            <v>5.0600000000000005</v>
          </cell>
        </row>
        <row r="1410">
          <cell r="A1410">
            <v>5041</v>
          </cell>
          <cell r="B1410">
            <v>1</v>
          </cell>
          <cell r="D1410" t="str">
            <v>草酸</v>
          </cell>
          <cell r="E1410" t="str">
            <v xml:space="preserve">   kg</v>
          </cell>
          <cell r="G1410">
            <v>7.75</v>
          </cell>
          <cell r="H1410">
            <v>7.52</v>
          </cell>
          <cell r="I1410">
            <v>0.23</v>
          </cell>
          <cell r="K1410" t="str">
            <v xml:space="preserve">   kg</v>
          </cell>
          <cell r="L1410">
            <v>7.75</v>
          </cell>
        </row>
        <row r="1411">
          <cell r="A1411">
            <v>5042</v>
          </cell>
          <cell r="B1411">
            <v>1</v>
          </cell>
          <cell r="D1411" t="str">
            <v>硬白蜡</v>
          </cell>
          <cell r="E1411" t="str">
            <v xml:space="preserve">   kg</v>
          </cell>
          <cell r="G1411">
            <v>6.3800000000000008</v>
          </cell>
          <cell r="H1411">
            <v>6.19</v>
          </cell>
          <cell r="I1411">
            <v>0.19</v>
          </cell>
          <cell r="K1411" t="str">
            <v xml:space="preserve">   kg</v>
          </cell>
          <cell r="L1411">
            <v>6.3800000000000008</v>
          </cell>
        </row>
        <row r="1412">
          <cell r="A1412">
            <v>5043</v>
          </cell>
          <cell r="B1412">
            <v>1</v>
          </cell>
          <cell r="D1412" t="str">
            <v>铜条</v>
          </cell>
          <cell r="E1412" t="str">
            <v xml:space="preserve">   kg</v>
          </cell>
          <cell r="G1412">
            <v>7.73</v>
          </cell>
          <cell r="H1412">
            <v>7.5</v>
          </cell>
          <cell r="I1412">
            <v>0.23</v>
          </cell>
          <cell r="K1412" t="str">
            <v xml:space="preserve">   kg</v>
          </cell>
          <cell r="L1412">
            <v>7.73</v>
          </cell>
        </row>
        <row r="1413">
          <cell r="A1413">
            <v>5044</v>
          </cell>
          <cell r="B1413">
            <v>1</v>
          </cell>
          <cell r="D1413" t="str">
            <v>锡纸</v>
          </cell>
          <cell r="E1413" t="str">
            <v>m2</v>
          </cell>
          <cell r="G1413">
            <v>71.39</v>
          </cell>
          <cell r="H1413">
            <v>69.31</v>
          </cell>
          <cell r="I1413">
            <v>2.08</v>
          </cell>
          <cell r="K1413" t="str">
            <v>m2</v>
          </cell>
          <cell r="L1413">
            <v>71.39</v>
          </cell>
        </row>
        <row r="1414">
          <cell r="A1414">
            <v>5045</v>
          </cell>
          <cell r="B1414">
            <v>1</v>
          </cell>
          <cell r="D1414" t="str">
            <v>管箍Dg25</v>
          </cell>
          <cell r="E1414" t="str">
            <v>个</v>
          </cell>
          <cell r="G1414">
            <v>1.85</v>
          </cell>
          <cell r="H1414">
            <v>1.8</v>
          </cell>
          <cell r="I1414">
            <v>0.05</v>
          </cell>
          <cell r="K1414" t="str">
            <v>个</v>
          </cell>
          <cell r="L1414">
            <v>1.85</v>
          </cell>
        </row>
        <row r="1415">
          <cell r="A1415">
            <v>5046</v>
          </cell>
          <cell r="B1415">
            <v>1</v>
          </cell>
          <cell r="D1415" t="str">
            <v>管箍Dg50</v>
          </cell>
          <cell r="E1415" t="str">
            <v>个</v>
          </cell>
          <cell r="G1415">
            <v>3.71</v>
          </cell>
          <cell r="H1415">
            <v>3.6</v>
          </cell>
          <cell r="I1415">
            <v>0.11</v>
          </cell>
          <cell r="K1415" t="str">
            <v>个</v>
          </cell>
          <cell r="L1415">
            <v>3.71</v>
          </cell>
        </row>
        <row r="1416">
          <cell r="A1416">
            <v>5047</v>
          </cell>
          <cell r="B1416">
            <v>1</v>
          </cell>
          <cell r="D1416" t="str">
            <v>螺帽</v>
          </cell>
          <cell r="E1416" t="str">
            <v>kg</v>
          </cell>
          <cell r="G1416">
            <v>7.21</v>
          </cell>
          <cell r="H1416">
            <v>7</v>
          </cell>
          <cell r="I1416">
            <v>0.21</v>
          </cell>
          <cell r="K1416" t="str">
            <v>kg</v>
          </cell>
          <cell r="L1416">
            <v>7.21</v>
          </cell>
        </row>
        <row r="1417">
          <cell r="A1417">
            <v>5048</v>
          </cell>
          <cell r="B1417">
            <v>1</v>
          </cell>
          <cell r="D1417" t="str">
            <v>三角铁</v>
          </cell>
          <cell r="E1417" t="str">
            <v>kg</v>
          </cell>
          <cell r="G1417">
            <v>4.6399999999999997</v>
          </cell>
          <cell r="H1417">
            <v>4.5</v>
          </cell>
          <cell r="I1417">
            <v>0.14000000000000001</v>
          </cell>
          <cell r="K1417" t="str">
            <v>kg</v>
          </cell>
          <cell r="L1417">
            <v>4.6399999999999997</v>
          </cell>
        </row>
        <row r="1418">
          <cell r="A1418">
            <v>5049</v>
          </cell>
          <cell r="B1418">
            <v>1</v>
          </cell>
          <cell r="D1418" t="str">
            <v>丙纶袋</v>
          </cell>
          <cell r="E1418" t="str">
            <v>条</v>
          </cell>
          <cell r="G1418">
            <v>1.6500000000000001</v>
          </cell>
          <cell r="H1418">
            <v>1.6</v>
          </cell>
          <cell r="I1418">
            <v>0.05</v>
          </cell>
          <cell r="K1418" t="str">
            <v>条</v>
          </cell>
          <cell r="L1418">
            <v>1.6500000000000001</v>
          </cell>
        </row>
        <row r="1419">
          <cell r="A1419">
            <v>5050</v>
          </cell>
          <cell r="B1419">
            <v>1</v>
          </cell>
          <cell r="D1419" t="str">
            <v>乳胶漆</v>
          </cell>
          <cell r="E1419" t="str">
            <v>kg</v>
          </cell>
          <cell r="G1419">
            <v>10.82</v>
          </cell>
          <cell r="H1419">
            <v>10.5</v>
          </cell>
          <cell r="I1419">
            <v>0.32</v>
          </cell>
          <cell r="K1419" t="str">
            <v>kg</v>
          </cell>
          <cell r="L1419">
            <v>10.82</v>
          </cell>
        </row>
        <row r="1420">
          <cell r="A1420">
            <v>5051</v>
          </cell>
          <cell r="B1420">
            <v>1</v>
          </cell>
          <cell r="D1420" t="str">
            <v>聚苯乙烯</v>
          </cell>
          <cell r="E1420" t="str">
            <v>m3</v>
          </cell>
          <cell r="G1420">
            <v>2605.9</v>
          </cell>
          <cell r="H1420">
            <v>2530</v>
          </cell>
          <cell r="I1420">
            <v>75.900000000000006</v>
          </cell>
          <cell r="K1420" t="str">
            <v>m3</v>
          </cell>
          <cell r="L1420">
            <v>2605.9</v>
          </cell>
        </row>
        <row r="1421">
          <cell r="A1421">
            <v>5052</v>
          </cell>
          <cell r="B1421">
            <v>1</v>
          </cell>
          <cell r="D1421" t="str">
            <v xml:space="preserve"> 钢轨鱼尾板TG38</v>
          </cell>
          <cell r="E1421" t="str">
            <v>套</v>
          </cell>
          <cell r="G1421">
            <v>51.27</v>
          </cell>
          <cell r="H1421">
            <v>49.78</v>
          </cell>
          <cell r="I1421">
            <v>1.49</v>
          </cell>
          <cell r="K1421" t="str">
            <v>套</v>
          </cell>
          <cell r="L1421">
            <v>51.27</v>
          </cell>
        </row>
        <row r="1422">
          <cell r="A1422">
            <v>5053</v>
          </cell>
          <cell r="B1422">
            <v>1</v>
          </cell>
          <cell r="D1422" t="str">
            <v>接头钢垫板</v>
          </cell>
          <cell r="E1422" t="str">
            <v>块</v>
          </cell>
          <cell r="G1422">
            <v>13.39</v>
          </cell>
          <cell r="H1422">
            <v>13</v>
          </cell>
          <cell r="I1422">
            <v>0.39</v>
          </cell>
          <cell r="K1422" t="str">
            <v>块</v>
          </cell>
          <cell r="L1422">
            <v>13.39</v>
          </cell>
        </row>
        <row r="1423">
          <cell r="A1423">
            <v>5054</v>
          </cell>
          <cell r="B1423">
            <v>1</v>
          </cell>
          <cell r="D1423" t="str">
            <v>压板</v>
          </cell>
          <cell r="E1423" t="str">
            <v>块</v>
          </cell>
          <cell r="G1423">
            <v>47.38</v>
          </cell>
          <cell r="H1423">
            <v>46</v>
          </cell>
          <cell r="I1423">
            <v>1.38</v>
          </cell>
          <cell r="K1423" t="str">
            <v>块</v>
          </cell>
          <cell r="L1423">
            <v>47.38</v>
          </cell>
        </row>
        <row r="1424">
          <cell r="A1424">
            <v>5055</v>
          </cell>
          <cell r="B1424">
            <v>1</v>
          </cell>
          <cell r="D1424" t="str">
            <v>弹性垫板橡胶17#</v>
          </cell>
          <cell r="E1424" t="str">
            <v>块</v>
          </cell>
          <cell r="G1424">
            <v>9.7899999999999991</v>
          </cell>
          <cell r="H1424">
            <v>9.5</v>
          </cell>
          <cell r="I1424">
            <v>0.28999999999999998</v>
          </cell>
          <cell r="K1424" t="str">
            <v>块</v>
          </cell>
          <cell r="L1424">
            <v>9.7899999999999991</v>
          </cell>
        </row>
        <row r="1425">
          <cell r="A1425">
            <v>5056</v>
          </cell>
          <cell r="B1425">
            <v>1</v>
          </cell>
          <cell r="D1425" t="str">
            <v>螺母垫圈2型</v>
          </cell>
          <cell r="E1425" t="str">
            <v>块</v>
          </cell>
          <cell r="G1425">
            <v>0.62</v>
          </cell>
          <cell r="H1425">
            <v>0.6</v>
          </cell>
          <cell r="I1425">
            <v>0.02</v>
          </cell>
          <cell r="K1425" t="str">
            <v>块</v>
          </cell>
          <cell r="L1425">
            <v>0.62</v>
          </cell>
        </row>
        <row r="1426">
          <cell r="A1426">
            <v>5057</v>
          </cell>
          <cell r="B1426">
            <v>1</v>
          </cell>
          <cell r="D1426" t="str">
            <v>螺栓M20*180-300</v>
          </cell>
          <cell r="E1426" t="str">
            <v>个</v>
          </cell>
          <cell r="G1426">
            <v>17.510000000000002</v>
          </cell>
          <cell r="H1426">
            <v>17</v>
          </cell>
          <cell r="I1426">
            <v>0.51</v>
          </cell>
          <cell r="K1426" t="str">
            <v>个</v>
          </cell>
          <cell r="L1426">
            <v>17.510000000000002</v>
          </cell>
        </row>
        <row r="1427">
          <cell r="A1427">
            <v>5058</v>
          </cell>
          <cell r="B1427">
            <v>1</v>
          </cell>
          <cell r="D1427" t="str">
            <v>螺母M18-22</v>
          </cell>
          <cell r="E1427" t="str">
            <v>个</v>
          </cell>
          <cell r="G1427">
            <v>1.75</v>
          </cell>
          <cell r="H1427">
            <v>1.7</v>
          </cell>
          <cell r="I1427">
            <v>0.05</v>
          </cell>
          <cell r="K1427" t="str">
            <v>个</v>
          </cell>
          <cell r="L1427">
            <v>1.75</v>
          </cell>
        </row>
        <row r="1428">
          <cell r="A1428">
            <v>5059</v>
          </cell>
          <cell r="B1428">
            <v>1</v>
          </cell>
          <cell r="D1428" t="str">
            <v>硬木擦片2#</v>
          </cell>
          <cell r="E1428" t="str">
            <v>块</v>
          </cell>
          <cell r="G1428">
            <v>0.15</v>
          </cell>
          <cell r="H1428">
            <v>0.15</v>
          </cell>
          <cell r="I1428">
            <v>0</v>
          </cell>
          <cell r="K1428" t="str">
            <v>块</v>
          </cell>
          <cell r="L1428">
            <v>0.15</v>
          </cell>
        </row>
        <row r="1429">
          <cell r="A1429">
            <v>5060</v>
          </cell>
          <cell r="B1429">
            <v>1</v>
          </cell>
          <cell r="D1429" t="str">
            <v>尼龙砂轮片</v>
          </cell>
          <cell r="E1429" t="str">
            <v>块</v>
          </cell>
          <cell r="G1429">
            <v>13.39</v>
          </cell>
          <cell r="H1429">
            <v>13</v>
          </cell>
          <cell r="I1429">
            <v>0.39</v>
          </cell>
          <cell r="K1429" t="str">
            <v>块</v>
          </cell>
          <cell r="L1429">
            <v>13.39</v>
          </cell>
        </row>
        <row r="1430">
          <cell r="A1430">
            <v>5061</v>
          </cell>
          <cell r="B1430">
            <v>1</v>
          </cell>
          <cell r="D1430" t="str">
            <v>铝合金卡具</v>
          </cell>
          <cell r="E1430" t="str">
            <v>个</v>
          </cell>
          <cell r="G1430">
            <v>3.3000000000000003</v>
          </cell>
          <cell r="H1430">
            <v>3.2</v>
          </cell>
          <cell r="I1430">
            <v>0.1</v>
          </cell>
          <cell r="K1430" t="str">
            <v>个</v>
          </cell>
          <cell r="L1430">
            <v>3.3000000000000003</v>
          </cell>
        </row>
        <row r="1431">
          <cell r="A1431">
            <v>5062</v>
          </cell>
          <cell r="B1431">
            <v>1</v>
          </cell>
          <cell r="D1431" t="str">
            <v>107胶</v>
          </cell>
          <cell r="E1431" t="str">
            <v>kg</v>
          </cell>
          <cell r="G1431">
            <v>2.58</v>
          </cell>
          <cell r="H1431">
            <v>2.5</v>
          </cell>
          <cell r="I1431">
            <v>0.08</v>
          </cell>
          <cell r="K1431" t="str">
            <v>kg</v>
          </cell>
          <cell r="L1431">
            <v>2.58</v>
          </cell>
        </row>
        <row r="1432">
          <cell r="A1432">
            <v>5063</v>
          </cell>
          <cell r="B1432">
            <v>1</v>
          </cell>
          <cell r="D1432" t="str">
            <v>真石漆</v>
          </cell>
          <cell r="E1432" t="str">
            <v>kg</v>
          </cell>
          <cell r="G1432">
            <v>9.27</v>
          </cell>
          <cell r="H1432">
            <v>9</v>
          </cell>
          <cell r="I1432">
            <v>0.27</v>
          </cell>
          <cell r="K1432" t="str">
            <v>kg</v>
          </cell>
          <cell r="L1432">
            <v>9.27</v>
          </cell>
        </row>
        <row r="1433">
          <cell r="A1433">
            <v>5064</v>
          </cell>
          <cell r="B1433">
            <v>1</v>
          </cell>
          <cell r="D1433" t="str">
            <v>导线14#铁丝</v>
          </cell>
          <cell r="E1433" t="str">
            <v>kg</v>
          </cell>
          <cell r="G1433">
            <v>4.51</v>
          </cell>
          <cell r="H1433">
            <v>4.38</v>
          </cell>
          <cell r="I1433">
            <v>0.13</v>
          </cell>
          <cell r="K1433" t="str">
            <v>kg</v>
          </cell>
          <cell r="L1433">
            <v>4.51</v>
          </cell>
        </row>
        <row r="1434">
          <cell r="A1434">
            <v>5065</v>
          </cell>
          <cell r="B1434">
            <v>1</v>
          </cell>
          <cell r="D1434" t="str">
            <v>环氧树脂</v>
          </cell>
          <cell r="E1434" t="str">
            <v>kg</v>
          </cell>
          <cell r="G1434">
            <v>25.75</v>
          </cell>
          <cell r="H1434">
            <v>25</v>
          </cell>
          <cell r="I1434">
            <v>0.75</v>
          </cell>
          <cell r="K1434" t="str">
            <v>kg</v>
          </cell>
          <cell r="L1434">
            <v>25.75</v>
          </cell>
        </row>
        <row r="1435">
          <cell r="A1435">
            <v>5066</v>
          </cell>
          <cell r="B1435">
            <v>1</v>
          </cell>
          <cell r="D1435" t="str">
            <v>丙酮</v>
          </cell>
          <cell r="E1435" t="str">
            <v>kg</v>
          </cell>
          <cell r="G1435">
            <v>6.49</v>
          </cell>
          <cell r="H1435">
            <v>6.3</v>
          </cell>
          <cell r="I1435">
            <v>0.19</v>
          </cell>
          <cell r="K1435" t="str">
            <v>kg</v>
          </cell>
          <cell r="L1435">
            <v>6.49</v>
          </cell>
        </row>
        <row r="1436">
          <cell r="A1436">
            <v>5067</v>
          </cell>
          <cell r="B1436">
            <v>1</v>
          </cell>
          <cell r="D1436" t="str">
            <v xml:space="preserve">水玻璃 </v>
          </cell>
          <cell r="E1436" t="str">
            <v>kg</v>
          </cell>
          <cell r="G1436">
            <v>1.24</v>
          </cell>
          <cell r="H1436">
            <v>1.2</v>
          </cell>
          <cell r="I1436">
            <v>0.04</v>
          </cell>
          <cell r="K1436" t="str">
            <v>kg</v>
          </cell>
          <cell r="L1436">
            <v>1.24</v>
          </cell>
        </row>
        <row r="1437">
          <cell r="A1437">
            <v>5068</v>
          </cell>
          <cell r="B1437">
            <v>1</v>
          </cell>
          <cell r="D1437" t="str">
            <v>氩气</v>
          </cell>
          <cell r="E1437" t="str">
            <v>m3</v>
          </cell>
          <cell r="G1437">
            <v>21.63</v>
          </cell>
          <cell r="H1437">
            <v>21</v>
          </cell>
          <cell r="I1437">
            <v>0.63</v>
          </cell>
          <cell r="K1437" t="str">
            <v>m3</v>
          </cell>
          <cell r="L1437">
            <v>21.63</v>
          </cell>
        </row>
        <row r="1438">
          <cell r="A1438">
            <v>5069</v>
          </cell>
          <cell r="B1438">
            <v>1</v>
          </cell>
          <cell r="D1438" t="str">
            <v>钨棒</v>
          </cell>
          <cell r="E1438" t="str">
            <v>kg</v>
          </cell>
          <cell r="G1438">
            <v>385.18</v>
          </cell>
          <cell r="H1438">
            <v>373.96</v>
          </cell>
          <cell r="I1438">
            <v>11.22</v>
          </cell>
          <cell r="K1438" t="str">
            <v>kg</v>
          </cell>
          <cell r="L1438">
            <v>385.18</v>
          </cell>
        </row>
        <row r="1439">
          <cell r="A1439">
            <v>5070</v>
          </cell>
          <cell r="B1439">
            <v>1</v>
          </cell>
          <cell r="D1439" t="str">
            <v>钨丝</v>
          </cell>
          <cell r="E1439" t="str">
            <v>kg</v>
          </cell>
          <cell r="G1439">
            <v>515</v>
          </cell>
          <cell r="H1439">
            <v>500</v>
          </cell>
          <cell r="I1439">
            <v>15</v>
          </cell>
          <cell r="K1439" t="str">
            <v>kg</v>
          </cell>
          <cell r="L1439">
            <v>515</v>
          </cell>
        </row>
        <row r="1440">
          <cell r="A1440">
            <v>5071</v>
          </cell>
          <cell r="B1440">
            <v>1</v>
          </cell>
          <cell r="D1440" t="str">
            <v>滑石粉</v>
          </cell>
          <cell r="E1440" t="str">
            <v>kg</v>
          </cell>
          <cell r="G1440">
            <v>0.46</v>
          </cell>
          <cell r="H1440">
            <v>0.45</v>
          </cell>
          <cell r="I1440">
            <v>0.01</v>
          </cell>
          <cell r="K1440" t="str">
            <v>kg</v>
          </cell>
          <cell r="L1440">
            <v>0.46</v>
          </cell>
        </row>
        <row r="1441">
          <cell r="A1441">
            <v>5072</v>
          </cell>
          <cell r="B1441">
            <v>1</v>
          </cell>
          <cell r="D1441" t="str">
            <v>塑料薄膜</v>
          </cell>
          <cell r="E1441" t="str">
            <v>m2</v>
          </cell>
          <cell r="G1441">
            <v>6.18</v>
          </cell>
          <cell r="H1441">
            <v>6</v>
          </cell>
          <cell r="I1441">
            <v>0.18</v>
          </cell>
          <cell r="K1441" t="str">
            <v>m2</v>
          </cell>
          <cell r="L1441">
            <v>6.18</v>
          </cell>
        </row>
        <row r="1442">
          <cell r="A1442">
            <v>5073</v>
          </cell>
          <cell r="B1442">
            <v>1</v>
          </cell>
          <cell r="D1442" t="str">
            <v>砂纸</v>
          </cell>
          <cell r="E1442" t="str">
            <v>张</v>
          </cell>
          <cell r="G1442">
            <v>0.27</v>
          </cell>
          <cell r="H1442">
            <v>0.26</v>
          </cell>
          <cell r="I1442">
            <v>0.01</v>
          </cell>
          <cell r="K1442" t="str">
            <v>张</v>
          </cell>
          <cell r="L1442">
            <v>0.27</v>
          </cell>
        </row>
        <row r="1443">
          <cell r="A1443">
            <v>5074</v>
          </cell>
          <cell r="B1443">
            <v>1</v>
          </cell>
          <cell r="D1443" t="str">
            <v>白水泥</v>
          </cell>
          <cell r="E1443" t="str">
            <v>kg</v>
          </cell>
          <cell r="G1443">
            <v>0.57000000000000006</v>
          </cell>
          <cell r="H1443">
            <v>0.55000000000000004</v>
          </cell>
          <cell r="I1443">
            <v>0.02</v>
          </cell>
          <cell r="K1443" t="str">
            <v>kg</v>
          </cell>
          <cell r="L1443">
            <v>0.57000000000000006</v>
          </cell>
        </row>
        <row r="1444">
          <cell r="A1444">
            <v>5075</v>
          </cell>
          <cell r="B1444">
            <v>1</v>
          </cell>
          <cell r="D1444" t="str">
            <v>石料切割锯片</v>
          </cell>
          <cell r="E1444" t="str">
            <v>个</v>
          </cell>
          <cell r="G1444">
            <v>12.36</v>
          </cell>
          <cell r="H1444">
            <v>12</v>
          </cell>
          <cell r="I1444">
            <v>0.36</v>
          </cell>
          <cell r="K1444" t="str">
            <v>个</v>
          </cell>
          <cell r="L1444">
            <v>12.36</v>
          </cell>
        </row>
        <row r="1445">
          <cell r="A1445">
            <v>5076</v>
          </cell>
          <cell r="B1445">
            <v>1</v>
          </cell>
          <cell r="D1445" t="str">
            <v>苛性钠水泥砂浆</v>
          </cell>
          <cell r="E1445" t="str">
            <v>kg</v>
          </cell>
          <cell r="G1445">
            <v>0</v>
          </cell>
          <cell r="I1445">
            <v>0</v>
          </cell>
          <cell r="K1445" t="str">
            <v>kg</v>
          </cell>
          <cell r="L1445">
            <v>0</v>
          </cell>
        </row>
        <row r="1446">
          <cell r="A1446">
            <v>5077</v>
          </cell>
          <cell r="B1446">
            <v>1</v>
          </cell>
          <cell r="D1446" t="str">
            <v>苛性钠</v>
          </cell>
          <cell r="E1446" t="str">
            <v>kg</v>
          </cell>
          <cell r="G1446">
            <v>2.58</v>
          </cell>
          <cell r="H1446">
            <v>2.5</v>
          </cell>
          <cell r="I1446">
            <v>0.08</v>
          </cell>
          <cell r="K1446" t="str">
            <v>kg</v>
          </cell>
          <cell r="L1446">
            <v>2.58</v>
          </cell>
        </row>
        <row r="1447">
          <cell r="A1447">
            <v>5078</v>
          </cell>
          <cell r="B1447">
            <v>1</v>
          </cell>
          <cell r="D1447" t="str">
            <v>防锈剂</v>
          </cell>
          <cell r="E1447" t="str">
            <v>kg</v>
          </cell>
          <cell r="G1447">
            <v>3.09</v>
          </cell>
          <cell r="H1447">
            <v>3</v>
          </cell>
          <cell r="I1447">
            <v>0.09</v>
          </cell>
          <cell r="K1447" t="str">
            <v>kg</v>
          </cell>
          <cell r="L1447">
            <v>3.09</v>
          </cell>
        </row>
        <row r="1448">
          <cell r="A1448">
            <v>5079</v>
          </cell>
          <cell r="B1448">
            <v>1</v>
          </cell>
          <cell r="D1448" t="str">
            <v>玻璃纤维</v>
          </cell>
          <cell r="E1448" t="str">
            <v>kg</v>
          </cell>
          <cell r="G1448">
            <v>4.12</v>
          </cell>
          <cell r="H1448">
            <v>4</v>
          </cell>
          <cell r="I1448">
            <v>0.12</v>
          </cell>
          <cell r="K1448" t="str">
            <v>kg</v>
          </cell>
          <cell r="L1448">
            <v>4.12</v>
          </cell>
        </row>
        <row r="1449">
          <cell r="A1449">
            <v>5080</v>
          </cell>
          <cell r="B1449">
            <v>1</v>
          </cell>
          <cell r="D1449" t="str">
            <v>锌丝</v>
          </cell>
          <cell r="E1449" t="str">
            <v>kg</v>
          </cell>
          <cell r="G1449">
            <v>5.36</v>
          </cell>
          <cell r="H1449">
            <v>5.2</v>
          </cell>
          <cell r="I1449">
            <v>0.16</v>
          </cell>
          <cell r="K1449" t="str">
            <v>kg</v>
          </cell>
          <cell r="L1449">
            <v>5.36</v>
          </cell>
        </row>
        <row r="1450">
          <cell r="A1450">
            <v>5081</v>
          </cell>
          <cell r="B1450">
            <v>1</v>
          </cell>
          <cell r="D1450" t="str">
            <v>隔音板</v>
          </cell>
          <cell r="E1450" t="str">
            <v>m2</v>
          </cell>
          <cell r="G1450">
            <v>61.8</v>
          </cell>
          <cell r="H1450">
            <v>60</v>
          </cell>
          <cell r="I1450">
            <v>1.8</v>
          </cell>
          <cell r="K1450" t="str">
            <v>m2</v>
          </cell>
          <cell r="L1450">
            <v>61.8</v>
          </cell>
        </row>
        <row r="1451">
          <cell r="A1451">
            <v>5082</v>
          </cell>
          <cell r="B1451">
            <v>1</v>
          </cell>
          <cell r="D1451" t="str">
            <v>聚苯乙烯泡沫板</v>
          </cell>
          <cell r="E1451" t="str">
            <v>m3</v>
          </cell>
          <cell r="G1451">
            <v>2605.9</v>
          </cell>
          <cell r="H1451">
            <v>2530</v>
          </cell>
          <cell r="I1451">
            <v>75.900000000000006</v>
          </cell>
          <cell r="K1451" t="str">
            <v>m3</v>
          </cell>
          <cell r="L1451">
            <v>2605.9</v>
          </cell>
        </row>
        <row r="1452">
          <cell r="A1452">
            <v>5083</v>
          </cell>
          <cell r="B1452">
            <v>1</v>
          </cell>
          <cell r="D1452" t="str">
            <v>炭精棒</v>
          </cell>
          <cell r="E1452" t="str">
            <v>根</v>
          </cell>
          <cell r="G1452">
            <v>1.24</v>
          </cell>
          <cell r="H1452">
            <v>1.2</v>
          </cell>
          <cell r="I1452">
            <v>0.04</v>
          </cell>
          <cell r="K1452" t="str">
            <v>根</v>
          </cell>
          <cell r="L1452">
            <v>1.24</v>
          </cell>
        </row>
        <row r="1453">
          <cell r="A1453">
            <v>5084</v>
          </cell>
          <cell r="B1453">
            <v>1</v>
          </cell>
          <cell r="D1453" t="str">
            <v>增感纸85*300</v>
          </cell>
          <cell r="E1453" t="str">
            <v>张</v>
          </cell>
          <cell r="G1453">
            <v>11</v>
          </cell>
          <cell r="H1453">
            <v>10.68</v>
          </cell>
          <cell r="I1453">
            <v>0.32</v>
          </cell>
          <cell r="K1453" t="str">
            <v>张</v>
          </cell>
          <cell r="L1453">
            <v>11</v>
          </cell>
        </row>
        <row r="1454">
          <cell r="A1454">
            <v>5085</v>
          </cell>
          <cell r="B1454">
            <v>1</v>
          </cell>
          <cell r="D1454" t="str">
            <v>电力复合脂</v>
          </cell>
          <cell r="E1454" t="str">
            <v>kg</v>
          </cell>
          <cell r="G1454">
            <v>4.67</v>
          </cell>
          <cell r="H1454">
            <v>4.53</v>
          </cell>
          <cell r="I1454">
            <v>0.14000000000000001</v>
          </cell>
          <cell r="K1454" t="str">
            <v>kg</v>
          </cell>
          <cell r="L1454">
            <v>4.67</v>
          </cell>
        </row>
        <row r="1455">
          <cell r="A1455">
            <v>5086</v>
          </cell>
          <cell r="B1455">
            <v>1</v>
          </cell>
          <cell r="D1455" t="str">
            <v>纯硫酸</v>
          </cell>
          <cell r="E1455" t="str">
            <v>kg</v>
          </cell>
          <cell r="G1455">
            <v>5.87</v>
          </cell>
          <cell r="H1455">
            <v>5.7</v>
          </cell>
          <cell r="I1455">
            <v>0.17</v>
          </cell>
          <cell r="K1455" t="str">
            <v>kg</v>
          </cell>
          <cell r="L1455">
            <v>5.87</v>
          </cell>
        </row>
        <row r="1456">
          <cell r="A1456">
            <v>5087</v>
          </cell>
          <cell r="B1456">
            <v>1</v>
          </cell>
          <cell r="D1456" t="str">
            <v>香蕉水</v>
          </cell>
          <cell r="E1456" t="str">
            <v>kg</v>
          </cell>
          <cell r="G1456">
            <v>6.18</v>
          </cell>
          <cell r="H1456">
            <v>6</v>
          </cell>
          <cell r="I1456">
            <v>0.18</v>
          </cell>
          <cell r="K1456" t="str">
            <v>kg</v>
          </cell>
          <cell r="L1456">
            <v>6.18</v>
          </cell>
        </row>
        <row r="1457">
          <cell r="A1457">
            <v>5088</v>
          </cell>
          <cell r="B1457">
            <v>1</v>
          </cell>
          <cell r="D1457" t="str">
            <v>蒸馏水</v>
          </cell>
          <cell r="E1457" t="str">
            <v>kg</v>
          </cell>
          <cell r="G1457">
            <v>0.21000000000000002</v>
          </cell>
          <cell r="H1457">
            <v>0.2</v>
          </cell>
          <cell r="I1457">
            <v>0.01</v>
          </cell>
          <cell r="K1457" t="str">
            <v>kg</v>
          </cell>
          <cell r="L1457">
            <v>0.21000000000000002</v>
          </cell>
        </row>
        <row r="1458">
          <cell r="A1458">
            <v>5089</v>
          </cell>
          <cell r="B1458">
            <v>1</v>
          </cell>
          <cell r="D1458" t="str">
            <v>六氟化硫</v>
          </cell>
          <cell r="E1458" t="str">
            <v>kg</v>
          </cell>
          <cell r="G1458">
            <v>22.59</v>
          </cell>
          <cell r="H1458">
            <v>21.93</v>
          </cell>
          <cell r="I1458">
            <v>0.66</v>
          </cell>
          <cell r="K1458" t="str">
            <v>kg</v>
          </cell>
          <cell r="L1458">
            <v>22.59</v>
          </cell>
        </row>
        <row r="1459">
          <cell r="A1459">
            <v>5090</v>
          </cell>
          <cell r="B1459">
            <v>1</v>
          </cell>
          <cell r="D1459" t="str">
            <v>酒精  500g/瓶</v>
          </cell>
          <cell r="E1459" t="str">
            <v>瓶</v>
          </cell>
          <cell r="G1459">
            <v>3.38</v>
          </cell>
          <cell r="H1459">
            <v>3.28</v>
          </cell>
          <cell r="I1459">
            <v>0.1</v>
          </cell>
          <cell r="K1459" t="str">
            <v>瓶</v>
          </cell>
          <cell r="L1459">
            <v>3.38</v>
          </cell>
        </row>
        <row r="1460">
          <cell r="A1460">
            <v>5091</v>
          </cell>
          <cell r="B1460">
            <v>1</v>
          </cell>
          <cell r="D1460" t="str">
            <v>沥青绝缘胶</v>
          </cell>
          <cell r="E1460" t="str">
            <v>kg</v>
          </cell>
          <cell r="G1460">
            <v>7.31</v>
          </cell>
          <cell r="H1460">
            <v>7.1</v>
          </cell>
          <cell r="I1460">
            <v>0.21</v>
          </cell>
          <cell r="K1460" t="str">
            <v>kg</v>
          </cell>
          <cell r="L1460">
            <v>7.31</v>
          </cell>
        </row>
        <row r="1461">
          <cell r="A1461">
            <v>5092</v>
          </cell>
          <cell r="B1461">
            <v>1</v>
          </cell>
          <cell r="D1461" t="str">
            <v>酚基层压板δ=10~20mm</v>
          </cell>
          <cell r="E1461" t="str">
            <v>kg</v>
          </cell>
          <cell r="G1461">
            <v>40.020000000000003</v>
          </cell>
          <cell r="H1461">
            <v>38.85</v>
          </cell>
          <cell r="I1461">
            <v>1.17</v>
          </cell>
          <cell r="K1461" t="str">
            <v>kg</v>
          </cell>
          <cell r="L1461">
            <v>40.020000000000003</v>
          </cell>
        </row>
        <row r="1462">
          <cell r="A1462">
            <v>5093</v>
          </cell>
          <cell r="B1462">
            <v>1</v>
          </cell>
          <cell r="D1462" t="str">
            <v>漆布</v>
          </cell>
          <cell r="E1462" t="str">
            <v>kg</v>
          </cell>
          <cell r="G1462">
            <v>35.97</v>
          </cell>
          <cell r="H1462">
            <v>34.92</v>
          </cell>
          <cell r="I1462">
            <v>1.05</v>
          </cell>
          <cell r="K1462" t="str">
            <v>kg</v>
          </cell>
          <cell r="L1462">
            <v>35.97</v>
          </cell>
        </row>
        <row r="1463">
          <cell r="A1463">
            <v>5094</v>
          </cell>
          <cell r="B1463">
            <v>1</v>
          </cell>
          <cell r="D1463" t="str">
            <v>石棉布1.7kg/m2,δ=2.5</v>
          </cell>
          <cell r="E1463" t="str">
            <v>kg</v>
          </cell>
          <cell r="G1463">
            <v>18.25</v>
          </cell>
          <cell r="H1463">
            <v>17.72</v>
          </cell>
          <cell r="I1463">
            <v>0.53</v>
          </cell>
          <cell r="K1463" t="str">
            <v>kg</v>
          </cell>
          <cell r="L1463">
            <v>18.25</v>
          </cell>
        </row>
        <row r="1464">
          <cell r="A1464">
            <v>5095</v>
          </cell>
          <cell r="B1464">
            <v>1</v>
          </cell>
          <cell r="D1464" t="str">
            <v>石棉橡胶板</v>
          </cell>
          <cell r="E1464" t="str">
            <v>kg</v>
          </cell>
          <cell r="G1464">
            <v>7.75</v>
          </cell>
          <cell r="H1464">
            <v>7.52</v>
          </cell>
          <cell r="I1464">
            <v>0.23</v>
          </cell>
          <cell r="K1464" t="str">
            <v>kg</v>
          </cell>
          <cell r="L1464">
            <v>7.75</v>
          </cell>
        </row>
        <row r="1465">
          <cell r="A1465">
            <v>5096</v>
          </cell>
          <cell r="B1465">
            <v>1</v>
          </cell>
          <cell r="D1465" t="str">
            <v>胶木板δ=20</v>
          </cell>
          <cell r="E1465" t="str">
            <v>m2</v>
          </cell>
          <cell r="G1465">
            <v>309</v>
          </cell>
          <cell r="H1465">
            <v>300</v>
          </cell>
          <cell r="I1465">
            <v>9</v>
          </cell>
          <cell r="K1465" t="str">
            <v>m2</v>
          </cell>
          <cell r="L1465">
            <v>309</v>
          </cell>
        </row>
        <row r="1466">
          <cell r="A1466">
            <v>5097</v>
          </cell>
          <cell r="B1466">
            <v>1</v>
          </cell>
          <cell r="D1466" t="str">
            <v>垫铁δ=1-3</v>
          </cell>
          <cell r="E1466" t="str">
            <v>kg</v>
          </cell>
          <cell r="G1466">
            <v>7.59</v>
          </cell>
          <cell r="H1466">
            <v>7.37</v>
          </cell>
          <cell r="I1466">
            <v>0.22</v>
          </cell>
          <cell r="K1466" t="str">
            <v>kg</v>
          </cell>
          <cell r="L1466">
            <v>7.59</v>
          </cell>
        </row>
        <row r="1467">
          <cell r="A1467">
            <v>5098</v>
          </cell>
          <cell r="B1467">
            <v>1</v>
          </cell>
          <cell r="D1467" t="str">
            <v>钢板垫板</v>
          </cell>
          <cell r="E1467" t="str">
            <v>kg</v>
          </cell>
          <cell r="G1467">
            <v>6.7</v>
          </cell>
          <cell r="H1467">
            <v>6.5</v>
          </cell>
          <cell r="I1467">
            <v>0.2</v>
          </cell>
          <cell r="K1467" t="str">
            <v>kg</v>
          </cell>
          <cell r="L1467">
            <v>6.7</v>
          </cell>
        </row>
        <row r="1468">
          <cell r="A1468">
            <v>5099</v>
          </cell>
          <cell r="B1468">
            <v>1</v>
          </cell>
          <cell r="D1468" t="str">
            <v>钢丝φ1.6</v>
          </cell>
          <cell r="E1468" t="str">
            <v>kg</v>
          </cell>
          <cell r="G1468">
            <v>6.27</v>
          </cell>
          <cell r="H1468">
            <v>6.09</v>
          </cell>
          <cell r="I1468">
            <v>0.18</v>
          </cell>
          <cell r="K1468" t="str">
            <v>kg</v>
          </cell>
          <cell r="L1468">
            <v>6.27</v>
          </cell>
        </row>
        <row r="1469">
          <cell r="A1469">
            <v>5100</v>
          </cell>
          <cell r="B1469">
            <v>1</v>
          </cell>
          <cell r="D1469" t="str">
            <v>橡胶水封</v>
          </cell>
          <cell r="E1469" t="str">
            <v>kg</v>
          </cell>
          <cell r="G1469">
            <v>28.84</v>
          </cell>
          <cell r="H1469">
            <v>28</v>
          </cell>
          <cell r="I1469">
            <v>0.84</v>
          </cell>
          <cell r="K1469" t="str">
            <v>kg</v>
          </cell>
          <cell r="L1469">
            <v>28.84</v>
          </cell>
        </row>
        <row r="1470">
          <cell r="A1470">
            <v>5101</v>
          </cell>
          <cell r="B1470">
            <v>1</v>
          </cell>
          <cell r="D1470" t="str">
            <v>埋弧焊丝</v>
          </cell>
          <cell r="E1470" t="str">
            <v>kg</v>
          </cell>
          <cell r="G1470">
            <v>0</v>
          </cell>
          <cell r="I1470">
            <v>0</v>
          </cell>
          <cell r="K1470" t="str">
            <v>kg</v>
          </cell>
          <cell r="L1470">
            <v>0</v>
          </cell>
        </row>
        <row r="1471">
          <cell r="A1471">
            <v>5102</v>
          </cell>
          <cell r="B1471">
            <v>1</v>
          </cell>
          <cell r="D1471" t="str">
            <v>焊剂</v>
          </cell>
          <cell r="E1471" t="str">
            <v>kg</v>
          </cell>
          <cell r="G1471">
            <v>0</v>
          </cell>
          <cell r="I1471">
            <v>0</v>
          </cell>
          <cell r="K1471" t="str">
            <v>kg</v>
          </cell>
          <cell r="L1471">
            <v>0</v>
          </cell>
        </row>
        <row r="1472">
          <cell r="A1472">
            <v>5103</v>
          </cell>
          <cell r="B1472">
            <v>1</v>
          </cell>
          <cell r="D1472" t="str">
            <v>CO2气体</v>
          </cell>
          <cell r="E1472" t="str">
            <v>m3</v>
          </cell>
          <cell r="G1472">
            <v>0</v>
          </cell>
          <cell r="I1472">
            <v>0</v>
          </cell>
          <cell r="K1472" t="str">
            <v>m3</v>
          </cell>
          <cell r="L1472">
            <v>0</v>
          </cell>
        </row>
        <row r="1473">
          <cell r="A1473">
            <v>5104</v>
          </cell>
          <cell r="B1473">
            <v>1</v>
          </cell>
          <cell r="D1473" t="str">
            <v>钢丝轮</v>
          </cell>
          <cell r="E1473" t="str">
            <v>个</v>
          </cell>
          <cell r="G1473">
            <v>2.58</v>
          </cell>
          <cell r="H1473">
            <v>2.5</v>
          </cell>
          <cell r="I1473">
            <v>0.08</v>
          </cell>
          <cell r="K1473" t="str">
            <v>个</v>
          </cell>
          <cell r="L1473">
            <v>2.58</v>
          </cell>
        </row>
        <row r="1474">
          <cell r="A1474">
            <v>5105</v>
          </cell>
          <cell r="B1474">
            <v>1</v>
          </cell>
          <cell r="D1474" t="str">
            <v>实心焊丝</v>
          </cell>
          <cell r="E1474" t="str">
            <v>kg</v>
          </cell>
          <cell r="G1474">
            <v>0</v>
          </cell>
          <cell r="I1474">
            <v>0</v>
          </cell>
          <cell r="K1474" t="str">
            <v>kg</v>
          </cell>
          <cell r="L1474">
            <v>0</v>
          </cell>
        </row>
        <row r="1475">
          <cell r="A1475">
            <v>5106</v>
          </cell>
          <cell r="B1475">
            <v>1</v>
          </cell>
          <cell r="D1475" t="str">
            <v>探伤材料</v>
          </cell>
          <cell r="E1475" t="str">
            <v>张</v>
          </cell>
          <cell r="G1475">
            <v>2.3499999999999996</v>
          </cell>
          <cell r="H1475">
            <v>2.2799999999999998</v>
          </cell>
          <cell r="I1475">
            <v>7.0000000000000007E-2</v>
          </cell>
          <cell r="K1475" t="str">
            <v>张</v>
          </cell>
          <cell r="L1475">
            <v>2.3499999999999996</v>
          </cell>
        </row>
        <row r="1476">
          <cell r="A1476">
            <v>5107</v>
          </cell>
          <cell r="B1476">
            <v>1</v>
          </cell>
          <cell r="D1476" t="str">
            <v>XYPEX涂料</v>
          </cell>
          <cell r="E1476" t="str">
            <v>kg</v>
          </cell>
          <cell r="G1476">
            <v>7.42</v>
          </cell>
          <cell r="H1476">
            <v>7.2</v>
          </cell>
          <cell r="I1476">
            <v>0.22</v>
          </cell>
          <cell r="K1476" t="str">
            <v>kg</v>
          </cell>
          <cell r="L1476">
            <v>7.42</v>
          </cell>
        </row>
        <row r="1477">
          <cell r="A1477">
            <v>5108</v>
          </cell>
          <cell r="B1477">
            <v>1</v>
          </cell>
          <cell r="D1477" t="str">
            <v>X射线探伤</v>
          </cell>
          <cell r="E1477" t="str">
            <v>张</v>
          </cell>
          <cell r="G1477">
            <v>133.22999999999999</v>
          </cell>
          <cell r="H1477">
            <v>129.35</v>
          </cell>
          <cell r="I1477">
            <v>3.88</v>
          </cell>
          <cell r="K1477" t="str">
            <v>张</v>
          </cell>
          <cell r="L1477">
            <v>133.22999999999999</v>
          </cell>
        </row>
        <row r="1478">
          <cell r="A1478">
            <v>5109</v>
          </cell>
          <cell r="B1478">
            <v>1</v>
          </cell>
          <cell r="D1478" t="str">
            <v>超声波探伤</v>
          </cell>
          <cell r="E1478" t="str">
            <v>m</v>
          </cell>
          <cell r="G1478">
            <v>8.24</v>
          </cell>
          <cell r="H1478">
            <v>8</v>
          </cell>
          <cell r="I1478">
            <v>0.24</v>
          </cell>
          <cell r="K1478" t="str">
            <v>m</v>
          </cell>
          <cell r="L1478">
            <v>8.24</v>
          </cell>
        </row>
        <row r="1479">
          <cell r="A1479">
            <v>5110</v>
          </cell>
          <cell r="B1479">
            <v>1</v>
          </cell>
          <cell r="D1479" t="str">
            <v>渗透探伤</v>
          </cell>
          <cell r="E1479" t="str">
            <v>m</v>
          </cell>
          <cell r="G1479">
            <v>85.97</v>
          </cell>
          <cell r="H1479">
            <v>83.47</v>
          </cell>
          <cell r="I1479">
            <v>2.5</v>
          </cell>
          <cell r="K1479" t="str">
            <v>m</v>
          </cell>
          <cell r="L1479">
            <v>85.97</v>
          </cell>
        </row>
        <row r="1480">
          <cell r="A1480">
            <v>5111</v>
          </cell>
          <cell r="B1480">
            <v>1</v>
          </cell>
          <cell r="D1480" t="str">
            <v>盘根</v>
          </cell>
          <cell r="E1480" t="str">
            <v>kg</v>
          </cell>
          <cell r="G1480">
            <v>0</v>
          </cell>
          <cell r="I1480">
            <v>0</v>
          </cell>
          <cell r="K1480" t="str">
            <v>kg</v>
          </cell>
          <cell r="L1480">
            <v>0</v>
          </cell>
        </row>
        <row r="1481">
          <cell r="A1481">
            <v>5112</v>
          </cell>
          <cell r="B1481">
            <v>1</v>
          </cell>
          <cell r="D1481" t="str">
            <v>焊条保温筒</v>
          </cell>
          <cell r="E1481" t="str">
            <v>个</v>
          </cell>
          <cell r="G1481">
            <v>123.6</v>
          </cell>
          <cell r="H1481">
            <v>120</v>
          </cell>
          <cell r="I1481">
            <v>3.6</v>
          </cell>
          <cell r="K1481" t="str">
            <v>个</v>
          </cell>
          <cell r="L1481">
            <v>123.6</v>
          </cell>
        </row>
        <row r="1482">
          <cell r="A1482">
            <v>5113</v>
          </cell>
          <cell r="B1482">
            <v>1</v>
          </cell>
          <cell r="D1482" t="str">
            <v>焊把</v>
          </cell>
          <cell r="E1482" t="str">
            <v>个</v>
          </cell>
          <cell r="G1482">
            <v>22.66</v>
          </cell>
          <cell r="H1482">
            <v>22</v>
          </cell>
          <cell r="I1482">
            <v>0.66</v>
          </cell>
          <cell r="K1482" t="str">
            <v>个</v>
          </cell>
          <cell r="L1482">
            <v>22.66</v>
          </cell>
        </row>
        <row r="1483">
          <cell r="A1483">
            <v>5114</v>
          </cell>
          <cell r="B1483">
            <v>1</v>
          </cell>
          <cell r="D1483" t="str">
            <v>焊把线</v>
          </cell>
          <cell r="E1483" t="str">
            <v>m</v>
          </cell>
          <cell r="G1483">
            <v>23.18</v>
          </cell>
          <cell r="H1483">
            <v>22.5</v>
          </cell>
          <cell r="I1483">
            <v>0.68</v>
          </cell>
          <cell r="K1483" t="str">
            <v>m</v>
          </cell>
          <cell r="L1483">
            <v>23.18</v>
          </cell>
        </row>
        <row r="1484">
          <cell r="A1484">
            <v>5115</v>
          </cell>
          <cell r="B1484">
            <v>1</v>
          </cell>
          <cell r="D1484" t="str">
            <v>SBS改性油毡</v>
          </cell>
          <cell r="E1484" t="str">
            <v>m2</v>
          </cell>
          <cell r="G1484">
            <v>3.61</v>
          </cell>
          <cell r="H1484">
            <v>3.5</v>
          </cell>
          <cell r="I1484">
            <v>0.11</v>
          </cell>
          <cell r="K1484" t="str">
            <v>m2</v>
          </cell>
          <cell r="L1484">
            <v>3.61</v>
          </cell>
        </row>
        <row r="1485">
          <cell r="A1485">
            <v>5116</v>
          </cell>
          <cell r="B1485">
            <v>1</v>
          </cell>
          <cell r="D1485" t="str">
            <v>乙酸乙脂</v>
          </cell>
          <cell r="E1485" t="str">
            <v>kg</v>
          </cell>
          <cell r="G1485">
            <v>7.42</v>
          </cell>
          <cell r="H1485">
            <v>7.2</v>
          </cell>
          <cell r="I1485">
            <v>0.22</v>
          </cell>
          <cell r="K1485" t="str">
            <v>kg</v>
          </cell>
          <cell r="L1485">
            <v>7.42</v>
          </cell>
        </row>
        <row r="1486">
          <cell r="A1486">
            <v>5117</v>
          </cell>
          <cell r="B1486">
            <v>1</v>
          </cell>
          <cell r="D1486" t="str">
            <v>液化气</v>
          </cell>
          <cell r="E1486" t="str">
            <v>kg</v>
          </cell>
          <cell r="G1486">
            <v>3.9099999999999997</v>
          </cell>
          <cell r="H1486">
            <v>3.8</v>
          </cell>
          <cell r="I1486">
            <v>0.11</v>
          </cell>
          <cell r="K1486" t="str">
            <v>kg</v>
          </cell>
          <cell r="L1486">
            <v>3.9099999999999997</v>
          </cell>
        </row>
        <row r="1487">
          <cell r="A1487">
            <v>5118</v>
          </cell>
          <cell r="B1487">
            <v>1</v>
          </cell>
          <cell r="D1487" t="str">
            <v>地脚</v>
          </cell>
          <cell r="E1487" t="str">
            <v>个</v>
          </cell>
          <cell r="G1487">
            <v>12.36</v>
          </cell>
          <cell r="H1487">
            <v>12</v>
          </cell>
          <cell r="I1487">
            <v>0.36</v>
          </cell>
          <cell r="K1487" t="str">
            <v>个</v>
          </cell>
          <cell r="L1487">
            <v>12.36</v>
          </cell>
        </row>
        <row r="1488">
          <cell r="A1488">
            <v>5119</v>
          </cell>
          <cell r="B1488">
            <v>1</v>
          </cell>
          <cell r="D1488" t="str">
            <v>镀锌螺钉</v>
          </cell>
          <cell r="E1488" t="str">
            <v>百个</v>
          </cell>
          <cell r="G1488">
            <v>94.76</v>
          </cell>
          <cell r="H1488">
            <v>92</v>
          </cell>
          <cell r="I1488">
            <v>2.76</v>
          </cell>
          <cell r="K1488" t="str">
            <v>百个</v>
          </cell>
          <cell r="L1488">
            <v>94.76</v>
          </cell>
        </row>
        <row r="1489">
          <cell r="A1489">
            <v>5120</v>
          </cell>
          <cell r="B1489">
            <v>1</v>
          </cell>
          <cell r="D1489" t="str">
            <v>草泥浆</v>
          </cell>
          <cell r="E1489" t="str">
            <v>m3</v>
          </cell>
          <cell r="G1489">
            <v>51.5</v>
          </cell>
          <cell r="H1489">
            <v>50</v>
          </cell>
          <cell r="I1489">
            <v>1.5</v>
          </cell>
          <cell r="K1489" t="str">
            <v>m3</v>
          </cell>
          <cell r="L1489">
            <v>51.5</v>
          </cell>
        </row>
        <row r="1490">
          <cell r="A1490">
            <v>5121</v>
          </cell>
          <cell r="B1490">
            <v>1</v>
          </cell>
          <cell r="D1490" t="str">
            <v>软填料</v>
          </cell>
          <cell r="E1490" t="str">
            <v>kg</v>
          </cell>
          <cell r="G1490">
            <v>9.27</v>
          </cell>
          <cell r="H1490">
            <v>9</v>
          </cell>
          <cell r="I1490">
            <v>0.27</v>
          </cell>
          <cell r="K1490" t="str">
            <v>kg</v>
          </cell>
          <cell r="L1490">
            <v>9.27</v>
          </cell>
        </row>
        <row r="1491">
          <cell r="A1491">
            <v>5122</v>
          </cell>
          <cell r="B1491">
            <v>1</v>
          </cell>
          <cell r="D1491" t="str">
            <v>密封油膏</v>
          </cell>
          <cell r="E1491" t="str">
            <v>支</v>
          </cell>
          <cell r="G1491">
            <v>10.3</v>
          </cell>
          <cell r="H1491">
            <v>10</v>
          </cell>
          <cell r="I1491">
            <v>0.3</v>
          </cell>
          <cell r="K1491" t="str">
            <v>支</v>
          </cell>
          <cell r="L1491">
            <v>10.3</v>
          </cell>
        </row>
        <row r="1492">
          <cell r="A1492">
            <v>5123</v>
          </cell>
          <cell r="B1492">
            <v>1</v>
          </cell>
          <cell r="D1492" t="str">
            <v>催干剂</v>
          </cell>
          <cell r="E1492" t="str">
            <v>kg</v>
          </cell>
          <cell r="G1492">
            <v>7.73</v>
          </cell>
          <cell r="H1492">
            <v>7.5</v>
          </cell>
          <cell r="I1492">
            <v>0.23</v>
          </cell>
          <cell r="K1492" t="str">
            <v>kg</v>
          </cell>
          <cell r="L1492">
            <v>7.73</v>
          </cell>
        </row>
        <row r="1493">
          <cell r="A1493">
            <v>5124</v>
          </cell>
          <cell r="B1493">
            <v>1</v>
          </cell>
          <cell r="D1493" t="str">
            <v>聚醋酸乙烯乳液</v>
          </cell>
          <cell r="E1493" t="str">
            <v>kg</v>
          </cell>
          <cell r="G1493">
            <v>4.53</v>
          </cell>
          <cell r="H1493">
            <v>4.4000000000000004</v>
          </cell>
          <cell r="I1493">
            <v>0.13</v>
          </cell>
          <cell r="K1493" t="str">
            <v>kg</v>
          </cell>
          <cell r="L1493">
            <v>4.53</v>
          </cell>
        </row>
        <row r="1494">
          <cell r="A1494">
            <v>5125</v>
          </cell>
          <cell r="B1494">
            <v>1</v>
          </cell>
          <cell r="D1494" t="str">
            <v>骏甲基纤维素</v>
          </cell>
          <cell r="E1494" t="str">
            <v>kg</v>
          </cell>
          <cell r="G1494">
            <v>3.3000000000000003</v>
          </cell>
          <cell r="H1494">
            <v>3.2</v>
          </cell>
          <cell r="I1494">
            <v>0.1</v>
          </cell>
          <cell r="K1494" t="str">
            <v>kg</v>
          </cell>
          <cell r="L1494">
            <v>3.3000000000000003</v>
          </cell>
        </row>
        <row r="1495">
          <cell r="A1495">
            <v>5126</v>
          </cell>
          <cell r="B1495">
            <v>1</v>
          </cell>
          <cell r="D1495" t="str">
            <v>螺栓</v>
          </cell>
          <cell r="E1495" t="str">
            <v>kg</v>
          </cell>
          <cell r="G1495">
            <v>8.76</v>
          </cell>
          <cell r="H1495">
            <v>8.5</v>
          </cell>
          <cell r="I1495">
            <v>0.26</v>
          </cell>
          <cell r="K1495" t="str">
            <v>kg</v>
          </cell>
          <cell r="L1495">
            <v>8.76</v>
          </cell>
        </row>
        <row r="1496">
          <cell r="A1496">
            <v>5127</v>
          </cell>
          <cell r="B1496">
            <v>1</v>
          </cell>
          <cell r="D1496" t="str">
            <v>铸铁管</v>
          </cell>
          <cell r="E1496" t="str">
            <v>kg</v>
          </cell>
          <cell r="G1496">
            <v>2.06</v>
          </cell>
          <cell r="H1496">
            <v>2</v>
          </cell>
          <cell r="I1496">
            <v>0.06</v>
          </cell>
          <cell r="K1496" t="str">
            <v>kg</v>
          </cell>
          <cell r="L1496">
            <v>2.06</v>
          </cell>
        </row>
        <row r="1497">
          <cell r="A1497">
            <v>5128</v>
          </cell>
          <cell r="B1497">
            <v>1</v>
          </cell>
          <cell r="D1497" t="str">
            <v>钢网架</v>
          </cell>
          <cell r="E1497" t="str">
            <v>t</v>
          </cell>
          <cell r="G1497">
            <v>8446</v>
          </cell>
          <cell r="H1497">
            <v>8200</v>
          </cell>
          <cell r="I1497">
            <v>246</v>
          </cell>
          <cell r="K1497" t="str">
            <v>t</v>
          </cell>
          <cell r="L1497">
            <v>8446</v>
          </cell>
        </row>
        <row r="1498">
          <cell r="A1498">
            <v>5129</v>
          </cell>
          <cell r="B1498">
            <v>1</v>
          </cell>
          <cell r="D1498" t="str">
            <v>铁丝切丸</v>
          </cell>
          <cell r="E1498" t="str">
            <v>kg</v>
          </cell>
          <cell r="G1498">
            <v>2.9899999999999998</v>
          </cell>
          <cell r="H1498">
            <v>2.9</v>
          </cell>
          <cell r="I1498">
            <v>0.09</v>
          </cell>
          <cell r="K1498" t="str">
            <v>kg</v>
          </cell>
          <cell r="L1498">
            <v>2.9899999999999998</v>
          </cell>
        </row>
        <row r="1499">
          <cell r="A1499">
            <v>5130</v>
          </cell>
          <cell r="B1499">
            <v>1</v>
          </cell>
          <cell r="D1499" t="str">
            <v>环氧富锌漆</v>
          </cell>
          <cell r="E1499" t="str">
            <v>kg</v>
          </cell>
          <cell r="G1499">
            <v>22.66</v>
          </cell>
          <cell r="H1499">
            <v>22</v>
          </cell>
          <cell r="I1499">
            <v>0.66</v>
          </cell>
          <cell r="K1499" t="str">
            <v>kg</v>
          </cell>
          <cell r="L1499">
            <v>22.66</v>
          </cell>
        </row>
        <row r="1500">
          <cell r="A1500">
            <v>5131</v>
          </cell>
          <cell r="B1500">
            <v>1</v>
          </cell>
          <cell r="D1500" t="str">
            <v>防火涂料</v>
          </cell>
          <cell r="E1500" t="str">
            <v>kg</v>
          </cell>
          <cell r="G1500">
            <v>22.66</v>
          </cell>
          <cell r="H1500">
            <v>22</v>
          </cell>
          <cell r="I1500">
            <v>0.66</v>
          </cell>
          <cell r="K1500" t="str">
            <v>kg</v>
          </cell>
          <cell r="L1500">
            <v>22.66</v>
          </cell>
        </row>
        <row r="1501">
          <cell r="A1501">
            <v>5132</v>
          </cell>
          <cell r="B1501">
            <v>1</v>
          </cell>
          <cell r="D1501" t="str">
            <v>毛刷</v>
          </cell>
          <cell r="E1501" t="str">
            <v>把</v>
          </cell>
          <cell r="G1501">
            <v>2.06</v>
          </cell>
          <cell r="H1501">
            <v>2</v>
          </cell>
          <cell r="I1501">
            <v>0.06</v>
          </cell>
          <cell r="K1501" t="str">
            <v>把</v>
          </cell>
          <cell r="L1501">
            <v>2.06</v>
          </cell>
        </row>
        <row r="1502">
          <cell r="A1502">
            <v>5133</v>
          </cell>
          <cell r="B1502">
            <v>1</v>
          </cell>
          <cell r="D1502" t="str">
            <v>金刚石200*75*50</v>
          </cell>
          <cell r="E1502" t="str">
            <v>块</v>
          </cell>
          <cell r="G1502">
            <v>25.75</v>
          </cell>
          <cell r="H1502">
            <v>25</v>
          </cell>
          <cell r="I1502">
            <v>0.75</v>
          </cell>
          <cell r="K1502" t="str">
            <v>块</v>
          </cell>
          <cell r="L1502">
            <v>25.75</v>
          </cell>
        </row>
        <row r="1503">
          <cell r="A1503">
            <v>5134</v>
          </cell>
          <cell r="B1503">
            <v>1</v>
          </cell>
          <cell r="D1503" t="str">
            <v>油石</v>
          </cell>
          <cell r="E1503" t="str">
            <v>块</v>
          </cell>
          <cell r="G1503">
            <v>6.18</v>
          </cell>
          <cell r="H1503">
            <v>6</v>
          </cell>
          <cell r="I1503">
            <v>0.18</v>
          </cell>
          <cell r="K1503" t="str">
            <v>块</v>
          </cell>
          <cell r="L1503">
            <v>6.18</v>
          </cell>
        </row>
        <row r="1504">
          <cell r="A1504">
            <v>5135</v>
          </cell>
          <cell r="B1504">
            <v>1</v>
          </cell>
          <cell r="D1504" t="str">
            <v>镀锌螺栓M10*75</v>
          </cell>
          <cell r="E1504" t="str">
            <v>套</v>
          </cell>
          <cell r="G1504">
            <v>2.58</v>
          </cell>
          <cell r="H1504">
            <v>2.5</v>
          </cell>
          <cell r="I1504">
            <v>0.08</v>
          </cell>
          <cell r="K1504" t="str">
            <v>套</v>
          </cell>
          <cell r="L1504">
            <v>2.58</v>
          </cell>
        </row>
        <row r="1505">
          <cell r="A1505">
            <v>5136</v>
          </cell>
          <cell r="B1505">
            <v>1</v>
          </cell>
          <cell r="D1505" t="str">
            <v>氯化橡胶面漆</v>
          </cell>
          <cell r="E1505" t="str">
            <v>kg</v>
          </cell>
          <cell r="G1505">
            <v>22.66</v>
          </cell>
          <cell r="H1505">
            <v>22</v>
          </cell>
          <cell r="I1505">
            <v>0.66</v>
          </cell>
          <cell r="K1505" t="str">
            <v>kg</v>
          </cell>
          <cell r="L1505">
            <v>22.66</v>
          </cell>
        </row>
        <row r="1506">
          <cell r="A1506">
            <v>5137</v>
          </cell>
          <cell r="B1506">
            <v>1</v>
          </cell>
          <cell r="D1506" t="str">
            <v>张拉机具</v>
          </cell>
          <cell r="E1506" t="str">
            <v>kg</v>
          </cell>
          <cell r="G1506">
            <v>18.54</v>
          </cell>
          <cell r="H1506">
            <v>18</v>
          </cell>
          <cell r="I1506">
            <v>0.54</v>
          </cell>
          <cell r="K1506" t="str">
            <v>kg</v>
          </cell>
          <cell r="L1506">
            <v>18.54</v>
          </cell>
        </row>
        <row r="1507">
          <cell r="A1507">
            <v>5138</v>
          </cell>
          <cell r="B1507">
            <v>1</v>
          </cell>
          <cell r="D1507" t="str">
            <v>土坯</v>
          </cell>
          <cell r="E1507" t="str">
            <v>千块</v>
          </cell>
          <cell r="G1507">
            <v>72.099999999999994</v>
          </cell>
          <cell r="H1507">
            <v>70</v>
          </cell>
          <cell r="I1507">
            <v>2.1</v>
          </cell>
          <cell r="K1507" t="str">
            <v>千块</v>
          </cell>
          <cell r="L1507">
            <v>72.099999999999994</v>
          </cell>
        </row>
        <row r="1508">
          <cell r="A1508">
            <v>5139</v>
          </cell>
          <cell r="B1508">
            <v>1</v>
          </cell>
          <cell r="D1508" t="str">
            <v xml:space="preserve">实腹钢门 </v>
          </cell>
          <cell r="E1508" t="str">
            <v>m2</v>
          </cell>
          <cell r="G1508">
            <v>133.9</v>
          </cell>
          <cell r="H1508">
            <v>130</v>
          </cell>
          <cell r="I1508">
            <v>3.9</v>
          </cell>
          <cell r="K1508" t="str">
            <v>m2</v>
          </cell>
          <cell r="L1508">
            <v>133.9</v>
          </cell>
        </row>
        <row r="1509">
          <cell r="A1509">
            <v>5140</v>
          </cell>
          <cell r="B1509">
            <v>1</v>
          </cell>
          <cell r="D1509" t="str">
            <v>玻璃胶</v>
          </cell>
          <cell r="E1509" t="str">
            <v>支</v>
          </cell>
          <cell r="G1509">
            <v>4.6399999999999997</v>
          </cell>
          <cell r="H1509">
            <v>4.5</v>
          </cell>
          <cell r="I1509">
            <v>0.14000000000000001</v>
          </cell>
          <cell r="K1509" t="str">
            <v>支</v>
          </cell>
          <cell r="L1509">
            <v>4.6399999999999997</v>
          </cell>
        </row>
        <row r="1510">
          <cell r="A1510">
            <v>5141</v>
          </cell>
          <cell r="B1510">
            <v>1</v>
          </cell>
          <cell r="D1510" t="str">
            <v>密封油膏</v>
          </cell>
          <cell r="E1510" t="str">
            <v>kg</v>
          </cell>
          <cell r="G1510">
            <v>25.75</v>
          </cell>
          <cell r="H1510">
            <v>25</v>
          </cell>
          <cell r="I1510">
            <v>0.75</v>
          </cell>
          <cell r="K1510" t="str">
            <v>kg</v>
          </cell>
          <cell r="L1510">
            <v>25.75</v>
          </cell>
        </row>
        <row r="1511">
          <cell r="A1511">
            <v>5142</v>
          </cell>
          <cell r="B1511">
            <v>1</v>
          </cell>
          <cell r="D1511" t="str">
            <v>液压油</v>
          </cell>
          <cell r="E1511" t="str">
            <v>kg</v>
          </cell>
          <cell r="G1511">
            <v>6.08</v>
          </cell>
          <cell r="H1511">
            <v>5.9</v>
          </cell>
          <cell r="I1511">
            <v>0.18</v>
          </cell>
          <cell r="K1511" t="str">
            <v>kg</v>
          </cell>
          <cell r="L1511">
            <v>6.08</v>
          </cell>
        </row>
        <row r="1512">
          <cell r="A1512">
            <v>5143</v>
          </cell>
          <cell r="B1512">
            <v>1</v>
          </cell>
          <cell r="D1512" t="str">
            <v>铸钢支座</v>
          </cell>
          <cell r="E1512" t="str">
            <v>kg</v>
          </cell>
          <cell r="G1512">
            <v>8.24</v>
          </cell>
          <cell r="H1512">
            <v>8</v>
          </cell>
          <cell r="I1512">
            <v>0.24</v>
          </cell>
          <cell r="K1512" t="str">
            <v>kg</v>
          </cell>
          <cell r="L1512">
            <v>8.24</v>
          </cell>
        </row>
        <row r="1513">
          <cell r="A1513">
            <v>5144</v>
          </cell>
          <cell r="B1513">
            <v>1</v>
          </cell>
          <cell r="D1513" t="str">
            <v>锯木屑</v>
          </cell>
          <cell r="E1513" t="str">
            <v>m3</v>
          </cell>
          <cell r="G1513">
            <v>25.75</v>
          </cell>
          <cell r="H1513">
            <v>25</v>
          </cell>
          <cell r="I1513">
            <v>0.75</v>
          </cell>
          <cell r="K1513" t="str">
            <v>m3</v>
          </cell>
          <cell r="L1513">
            <v>25.75</v>
          </cell>
        </row>
        <row r="1514">
          <cell r="A1514">
            <v>5145</v>
          </cell>
          <cell r="B1514">
            <v>1</v>
          </cell>
          <cell r="C1514" t="str">
            <v/>
          </cell>
          <cell r="D1514" t="str">
            <v>铝合金窗茶色73系列</v>
          </cell>
          <cell r="E1514" t="str">
            <v>m2</v>
          </cell>
          <cell r="G1514">
            <v>257.5</v>
          </cell>
          <cell r="H1514">
            <v>250</v>
          </cell>
          <cell r="I1514">
            <v>7.5</v>
          </cell>
          <cell r="K1514" t="str">
            <v>m2</v>
          </cell>
          <cell r="L1514">
            <v>257.5</v>
          </cell>
        </row>
        <row r="1515">
          <cell r="A1515">
            <v>5146</v>
          </cell>
          <cell r="B1515">
            <v>1</v>
          </cell>
          <cell r="C1515" t="str">
            <v/>
          </cell>
          <cell r="D1515" t="str">
            <v>铝合金窗白色73系列</v>
          </cell>
          <cell r="E1515" t="str">
            <v>m2</v>
          </cell>
          <cell r="G1515">
            <v>267.8</v>
          </cell>
          <cell r="H1515">
            <v>260</v>
          </cell>
          <cell r="I1515">
            <v>7.8</v>
          </cell>
          <cell r="K1515" t="str">
            <v>m2</v>
          </cell>
          <cell r="L1515">
            <v>267.8</v>
          </cell>
        </row>
        <row r="1516">
          <cell r="A1516">
            <v>5147</v>
          </cell>
          <cell r="B1516">
            <v>1</v>
          </cell>
          <cell r="D1516" t="str">
            <v>复合钢卷闸门</v>
          </cell>
          <cell r="E1516" t="str">
            <v>m2</v>
          </cell>
          <cell r="G1516">
            <v>130.81</v>
          </cell>
          <cell r="H1516">
            <v>127</v>
          </cell>
          <cell r="I1516">
            <v>3.81</v>
          </cell>
          <cell r="K1516" t="str">
            <v>m2</v>
          </cell>
          <cell r="L1516">
            <v>130.81</v>
          </cell>
        </row>
        <row r="1517">
          <cell r="A1517">
            <v>5148</v>
          </cell>
          <cell r="B1517">
            <v>1</v>
          </cell>
          <cell r="D1517" t="str">
            <v>变压器专用门</v>
          </cell>
          <cell r="E1517" t="str">
            <v>m2</v>
          </cell>
          <cell r="G1517">
            <v>195.7</v>
          </cell>
          <cell r="H1517">
            <v>190</v>
          </cell>
          <cell r="I1517">
            <v>5.7</v>
          </cell>
          <cell r="K1517" t="str">
            <v>m2</v>
          </cell>
          <cell r="L1517">
            <v>195.7</v>
          </cell>
        </row>
        <row r="1518">
          <cell r="A1518">
            <v>5149</v>
          </cell>
          <cell r="B1518">
            <v>1</v>
          </cell>
          <cell r="D1518" t="str">
            <v>夹板门</v>
          </cell>
          <cell r="E1518" t="str">
            <v>m2</v>
          </cell>
          <cell r="G1518">
            <v>226.6</v>
          </cell>
          <cell r="H1518">
            <v>220</v>
          </cell>
          <cell r="I1518">
            <v>6.6</v>
          </cell>
          <cell r="K1518" t="str">
            <v>m2</v>
          </cell>
          <cell r="L1518">
            <v>226.6</v>
          </cell>
        </row>
        <row r="1519">
          <cell r="A1519">
            <v>5150</v>
          </cell>
          <cell r="B1519">
            <v>1</v>
          </cell>
          <cell r="D1519" t="str">
            <v>FCB超薄膨胀放火涂料</v>
          </cell>
          <cell r="E1519" t="str">
            <v xml:space="preserve"> kg</v>
          </cell>
          <cell r="G1519">
            <v>24.310000000000002</v>
          </cell>
          <cell r="H1519">
            <v>23.6</v>
          </cell>
          <cell r="I1519">
            <v>0.71</v>
          </cell>
          <cell r="K1519" t="str">
            <v xml:space="preserve"> kg</v>
          </cell>
          <cell r="L1519">
            <v>24.310000000000002</v>
          </cell>
        </row>
        <row r="1520">
          <cell r="A1520">
            <v>5151</v>
          </cell>
          <cell r="B1520">
            <v>1</v>
          </cell>
          <cell r="D1520" t="str">
            <v>氧化钙</v>
          </cell>
          <cell r="E1520" t="str">
            <v xml:space="preserve"> kg</v>
          </cell>
          <cell r="G1520">
            <v>0.21000000000000002</v>
          </cell>
          <cell r="H1520">
            <v>0.2</v>
          </cell>
          <cell r="I1520">
            <v>0.01</v>
          </cell>
          <cell r="K1520" t="str">
            <v xml:space="preserve"> kg</v>
          </cell>
          <cell r="L1520">
            <v>0.21000000000000002</v>
          </cell>
        </row>
        <row r="1521">
          <cell r="A1521">
            <v>5152</v>
          </cell>
          <cell r="B1521">
            <v>1</v>
          </cell>
          <cell r="D1521" t="str">
            <v>190*190*190砼空心砌块</v>
          </cell>
          <cell r="E1521" t="str">
            <v>块</v>
          </cell>
          <cell r="G1521">
            <v>2.4699999999999998</v>
          </cell>
          <cell r="H1521">
            <v>2.4</v>
          </cell>
          <cell r="I1521">
            <v>7.0000000000000007E-2</v>
          </cell>
          <cell r="K1521" t="str">
            <v>块</v>
          </cell>
          <cell r="L1521">
            <v>2.4699999999999998</v>
          </cell>
        </row>
        <row r="1522">
          <cell r="A1522">
            <v>5153</v>
          </cell>
          <cell r="B1522">
            <v>1</v>
          </cell>
          <cell r="D1522" t="str">
            <v>106涂料</v>
          </cell>
          <cell r="E1522" t="str">
            <v xml:space="preserve"> kg</v>
          </cell>
          <cell r="G1522">
            <v>0.93</v>
          </cell>
          <cell r="H1522">
            <v>0.9</v>
          </cell>
          <cell r="I1522">
            <v>0.03</v>
          </cell>
          <cell r="K1522" t="str">
            <v xml:space="preserve"> kg</v>
          </cell>
          <cell r="L1522">
            <v>0.93</v>
          </cell>
        </row>
        <row r="1523">
          <cell r="A1523">
            <v>5154</v>
          </cell>
          <cell r="B1523">
            <v>1</v>
          </cell>
          <cell r="D1523" t="str">
            <v>YJ-302粘结剂</v>
          </cell>
          <cell r="E1523" t="str">
            <v xml:space="preserve"> kg</v>
          </cell>
          <cell r="G1523">
            <v>17.350000000000001</v>
          </cell>
          <cell r="H1523">
            <v>16.84</v>
          </cell>
          <cell r="I1523">
            <v>0.51</v>
          </cell>
          <cell r="K1523" t="str">
            <v xml:space="preserve"> kg</v>
          </cell>
          <cell r="L1523">
            <v>17.350000000000001</v>
          </cell>
        </row>
        <row r="1524">
          <cell r="A1524">
            <v>5155</v>
          </cell>
          <cell r="B1524">
            <v>1</v>
          </cell>
          <cell r="D1524" t="str">
            <v>194*94*11劈离砖</v>
          </cell>
          <cell r="E1524" t="str">
            <v>千块</v>
          </cell>
          <cell r="G1524">
            <v>16.09</v>
          </cell>
          <cell r="H1524">
            <v>15.62</v>
          </cell>
          <cell r="I1524">
            <v>0.47</v>
          </cell>
          <cell r="K1524" t="str">
            <v>千块</v>
          </cell>
          <cell r="L1524">
            <v>16.09</v>
          </cell>
        </row>
        <row r="1525">
          <cell r="A1525">
            <v>5156</v>
          </cell>
          <cell r="B1525">
            <v>1</v>
          </cell>
          <cell r="D1525" t="str">
            <v>300*600*10仿石砖</v>
          </cell>
          <cell r="E1525" t="str">
            <v>千块</v>
          </cell>
          <cell r="G1525">
            <v>93.11</v>
          </cell>
          <cell r="H1525">
            <v>90.4</v>
          </cell>
          <cell r="I1525">
            <v>2.71</v>
          </cell>
          <cell r="K1525" t="str">
            <v>千块</v>
          </cell>
          <cell r="L1525">
            <v>93.11</v>
          </cell>
        </row>
        <row r="1526">
          <cell r="A1526">
            <v>5157</v>
          </cell>
          <cell r="B1526">
            <v>1</v>
          </cell>
          <cell r="D1526" t="str">
            <v>高级平光漆</v>
          </cell>
          <cell r="E1526" t="str">
            <v xml:space="preserve"> kg</v>
          </cell>
          <cell r="G1526">
            <v>18.54</v>
          </cell>
          <cell r="H1526">
            <v>18</v>
          </cell>
          <cell r="I1526">
            <v>0.54</v>
          </cell>
          <cell r="K1526" t="str">
            <v xml:space="preserve"> kg</v>
          </cell>
          <cell r="L1526">
            <v>18.54</v>
          </cell>
        </row>
        <row r="1527">
          <cell r="A1527">
            <v>5158</v>
          </cell>
          <cell r="B1527">
            <v>1</v>
          </cell>
          <cell r="D1527" t="str">
            <v>铝合金推拉门</v>
          </cell>
          <cell r="E1527" t="str">
            <v>m2</v>
          </cell>
          <cell r="G1527">
            <v>192.46</v>
          </cell>
          <cell r="H1527">
            <v>186.85</v>
          </cell>
          <cell r="I1527">
            <v>5.61</v>
          </cell>
          <cell r="K1527" t="str">
            <v>m2</v>
          </cell>
          <cell r="L1527">
            <v>192.46</v>
          </cell>
        </row>
        <row r="1528">
          <cell r="A1528">
            <v>5159</v>
          </cell>
          <cell r="B1528">
            <v>1</v>
          </cell>
          <cell r="D1528" t="str">
            <v>垫木</v>
          </cell>
          <cell r="E1528" t="str">
            <v>m3</v>
          </cell>
          <cell r="G1528">
            <v>1398.74</v>
          </cell>
          <cell r="H1528">
            <v>1358</v>
          </cell>
          <cell r="I1528">
            <v>40.74</v>
          </cell>
          <cell r="K1528" t="str">
            <v>m3</v>
          </cell>
          <cell r="L1528">
            <v>1398.74</v>
          </cell>
        </row>
        <row r="1529">
          <cell r="A1529">
            <v>5160</v>
          </cell>
          <cell r="B1529">
            <v>1</v>
          </cell>
          <cell r="D1529" t="str">
            <v>磨砂玻璃3mm</v>
          </cell>
          <cell r="E1529" t="str">
            <v>m2</v>
          </cell>
          <cell r="G1529">
            <v>20.76</v>
          </cell>
          <cell r="H1529">
            <v>20.16</v>
          </cell>
          <cell r="I1529">
            <v>0.6</v>
          </cell>
          <cell r="K1529" t="str">
            <v>m2</v>
          </cell>
          <cell r="L1529">
            <v>20.76</v>
          </cell>
        </row>
        <row r="1530">
          <cell r="A1530">
            <v>5161</v>
          </cell>
          <cell r="B1530">
            <v>1</v>
          </cell>
          <cell r="D1530" t="str">
            <v>橡胶板2mm</v>
          </cell>
          <cell r="E1530" t="str">
            <v>m2</v>
          </cell>
          <cell r="G1530">
            <v>25.68</v>
          </cell>
          <cell r="H1530">
            <v>24.93</v>
          </cell>
          <cell r="I1530">
            <v>0.75</v>
          </cell>
          <cell r="K1530" t="str">
            <v>m2</v>
          </cell>
          <cell r="L1530">
            <v>25.68</v>
          </cell>
        </row>
        <row r="1531">
          <cell r="A1531">
            <v>5162</v>
          </cell>
          <cell r="B1531">
            <v>1</v>
          </cell>
          <cell r="D1531" t="str">
            <v>橡胶板3mm</v>
          </cell>
          <cell r="E1531" t="str">
            <v>m2</v>
          </cell>
          <cell r="G1531">
            <v>38.51</v>
          </cell>
          <cell r="H1531">
            <v>37.39</v>
          </cell>
          <cell r="I1531">
            <v>1.1200000000000001</v>
          </cell>
          <cell r="K1531" t="str">
            <v>m2</v>
          </cell>
          <cell r="L1531">
            <v>38.51</v>
          </cell>
        </row>
        <row r="1532">
          <cell r="A1532">
            <v>5163</v>
          </cell>
          <cell r="B1532">
            <v>1</v>
          </cell>
          <cell r="D1532" t="str">
            <v>钢丝弹簧L=95</v>
          </cell>
          <cell r="E1532" t="str">
            <v>个</v>
          </cell>
          <cell r="G1532">
            <v>4.04</v>
          </cell>
          <cell r="H1532">
            <v>3.92</v>
          </cell>
          <cell r="I1532">
            <v>0.12</v>
          </cell>
          <cell r="K1532" t="str">
            <v>个</v>
          </cell>
          <cell r="L1532">
            <v>4.04</v>
          </cell>
        </row>
        <row r="1533">
          <cell r="A1533">
            <v>5164</v>
          </cell>
          <cell r="B1533">
            <v>1</v>
          </cell>
          <cell r="D1533" t="str">
            <v>钢珠32.5</v>
          </cell>
          <cell r="E1533" t="str">
            <v>个</v>
          </cell>
          <cell r="G1533">
            <v>5.71</v>
          </cell>
          <cell r="H1533">
            <v>5.54</v>
          </cell>
          <cell r="I1533">
            <v>0.17</v>
          </cell>
          <cell r="K1533" t="str">
            <v>个</v>
          </cell>
          <cell r="L1533">
            <v>5.71</v>
          </cell>
        </row>
        <row r="1534">
          <cell r="A1534">
            <v>5165</v>
          </cell>
          <cell r="B1534">
            <v>1</v>
          </cell>
          <cell r="D1534" t="str">
            <v>五金铁件</v>
          </cell>
          <cell r="E1534" t="str">
            <v xml:space="preserve"> kg</v>
          </cell>
          <cell r="G1534">
            <v>4.8999999999999995</v>
          </cell>
          <cell r="H1534">
            <v>4.76</v>
          </cell>
          <cell r="I1534">
            <v>0.14000000000000001</v>
          </cell>
          <cell r="K1534" t="str">
            <v xml:space="preserve"> kg</v>
          </cell>
          <cell r="L1534">
            <v>4.8999999999999995</v>
          </cell>
        </row>
        <row r="1535">
          <cell r="A1535">
            <v>5166</v>
          </cell>
          <cell r="B1535">
            <v>1</v>
          </cell>
          <cell r="D1535" t="str">
            <v>专用螺母垫圈</v>
          </cell>
          <cell r="E1535" t="str">
            <v>个</v>
          </cell>
          <cell r="G1535">
            <v>0.04</v>
          </cell>
          <cell r="H1535">
            <v>0.04</v>
          </cell>
          <cell r="I1535">
            <v>0</v>
          </cell>
          <cell r="K1535" t="str">
            <v>个</v>
          </cell>
          <cell r="L1535">
            <v>0.04</v>
          </cell>
        </row>
        <row r="1536">
          <cell r="A1536">
            <v>5167</v>
          </cell>
          <cell r="B1536">
            <v>1</v>
          </cell>
          <cell r="D1536" t="str">
            <v>钢全玻有上亮防火门</v>
          </cell>
          <cell r="E1536" t="str">
            <v>m2</v>
          </cell>
          <cell r="G1536">
            <v>432.6</v>
          </cell>
          <cell r="H1536">
            <v>420</v>
          </cell>
          <cell r="I1536">
            <v>12.6</v>
          </cell>
          <cell r="K1536" t="str">
            <v>m2</v>
          </cell>
          <cell r="L1536">
            <v>432.6</v>
          </cell>
        </row>
        <row r="1537">
          <cell r="A1537">
            <v>5168</v>
          </cell>
          <cell r="B1537">
            <v>1</v>
          </cell>
          <cell r="D1537" t="str">
            <v>防火玻璃12mm</v>
          </cell>
          <cell r="E1537" t="str">
            <v>m2</v>
          </cell>
          <cell r="G1537">
            <v>494.4</v>
          </cell>
          <cell r="H1537">
            <v>480</v>
          </cell>
          <cell r="I1537">
            <v>14.4</v>
          </cell>
          <cell r="K1537" t="str">
            <v>m2</v>
          </cell>
          <cell r="L1537">
            <v>494.4</v>
          </cell>
        </row>
        <row r="1538">
          <cell r="A1538">
            <v>5169</v>
          </cell>
          <cell r="B1538">
            <v>1</v>
          </cell>
          <cell r="D1538" t="str">
            <v>闭烟条</v>
          </cell>
          <cell r="E1538" t="str">
            <v>m</v>
          </cell>
          <cell r="G1538">
            <v>5.61</v>
          </cell>
          <cell r="H1538">
            <v>5.45</v>
          </cell>
          <cell r="I1538">
            <v>0.16</v>
          </cell>
          <cell r="K1538" t="str">
            <v>m</v>
          </cell>
          <cell r="L1538">
            <v>5.61</v>
          </cell>
        </row>
        <row r="1539">
          <cell r="A1539">
            <v>5170</v>
          </cell>
          <cell r="B1539">
            <v>1</v>
          </cell>
          <cell r="D1539" t="str">
            <v>塑钢窗单层</v>
          </cell>
          <cell r="E1539" t="str">
            <v>m2</v>
          </cell>
          <cell r="G1539">
            <v>221.45</v>
          </cell>
          <cell r="H1539">
            <v>215</v>
          </cell>
          <cell r="I1539">
            <v>6.45</v>
          </cell>
          <cell r="K1539" t="str">
            <v>m2</v>
          </cell>
          <cell r="L1539">
            <v>221.45</v>
          </cell>
        </row>
        <row r="1540">
          <cell r="A1540">
            <v>5171</v>
          </cell>
          <cell r="B1540">
            <v>1</v>
          </cell>
          <cell r="D1540" t="str">
            <v>绿色镀膜玻璃6mm</v>
          </cell>
          <cell r="E1540" t="str">
            <v>m2</v>
          </cell>
          <cell r="G1540">
            <v>87.55</v>
          </cell>
          <cell r="H1540">
            <v>85</v>
          </cell>
          <cell r="I1540">
            <v>2.5499999999999998</v>
          </cell>
          <cell r="K1540" t="str">
            <v>m2</v>
          </cell>
          <cell r="L1540">
            <v>87.55</v>
          </cell>
        </row>
        <row r="1541">
          <cell r="A1541">
            <v>5172</v>
          </cell>
          <cell r="B1541">
            <v>1</v>
          </cell>
          <cell r="D1541" t="str">
            <v>塑料压条</v>
          </cell>
          <cell r="E1541" t="str">
            <v>m</v>
          </cell>
          <cell r="G1541">
            <v>1.51</v>
          </cell>
          <cell r="H1541">
            <v>1.47</v>
          </cell>
          <cell r="I1541">
            <v>0.04</v>
          </cell>
          <cell r="K1541" t="str">
            <v>m</v>
          </cell>
          <cell r="L1541">
            <v>1.51</v>
          </cell>
        </row>
        <row r="1542">
          <cell r="A1542">
            <v>5173</v>
          </cell>
          <cell r="B1542">
            <v>1</v>
          </cell>
          <cell r="D1542" t="str">
            <v>玻璃8mm</v>
          </cell>
          <cell r="E1542" t="str">
            <v>m2</v>
          </cell>
          <cell r="G1542">
            <v>27.34</v>
          </cell>
          <cell r="H1542">
            <v>26.54</v>
          </cell>
          <cell r="I1542">
            <v>0.8</v>
          </cell>
          <cell r="K1542" t="str">
            <v>m2</v>
          </cell>
          <cell r="L1542">
            <v>27.34</v>
          </cell>
        </row>
        <row r="1543">
          <cell r="A1543">
            <v>5174</v>
          </cell>
          <cell r="B1543">
            <v>1</v>
          </cell>
          <cell r="D1543" t="str">
            <v>丙烯酸清漆</v>
          </cell>
          <cell r="E1543" t="str">
            <v xml:space="preserve"> kg</v>
          </cell>
          <cell r="G1543">
            <v>567.96999999999991</v>
          </cell>
          <cell r="H1543">
            <v>551.42999999999995</v>
          </cell>
          <cell r="I1543">
            <v>16.54</v>
          </cell>
          <cell r="K1543" t="str">
            <v xml:space="preserve"> kg</v>
          </cell>
          <cell r="L1543">
            <v>567.96999999999991</v>
          </cell>
        </row>
        <row r="1544">
          <cell r="A1544">
            <v>5175</v>
          </cell>
          <cell r="B1544">
            <v>1</v>
          </cell>
          <cell r="D1544" t="str">
            <v>醇酸清漆</v>
          </cell>
          <cell r="E1544" t="str">
            <v xml:space="preserve"> kg</v>
          </cell>
          <cell r="G1544">
            <v>12.399999999999999</v>
          </cell>
          <cell r="H1544">
            <v>12.04</v>
          </cell>
          <cell r="I1544">
            <v>0.36</v>
          </cell>
          <cell r="K1544" t="str">
            <v xml:space="preserve"> kg</v>
          </cell>
          <cell r="L1544">
            <v>12.399999999999999</v>
          </cell>
        </row>
        <row r="1545">
          <cell r="A1545">
            <v>5176</v>
          </cell>
          <cell r="B1545">
            <v>1</v>
          </cell>
          <cell r="D1545" t="str">
            <v>丙烯酸稀释剂</v>
          </cell>
          <cell r="E1545" t="str">
            <v xml:space="preserve"> kg</v>
          </cell>
          <cell r="G1545">
            <v>1323.55</v>
          </cell>
          <cell r="H1545">
            <v>1285</v>
          </cell>
          <cell r="I1545">
            <v>38.549999999999997</v>
          </cell>
          <cell r="K1545" t="str">
            <v xml:space="preserve"> kg</v>
          </cell>
          <cell r="L1545">
            <v>1323.55</v>
          </cell>
        </row>
        <row r="1546">
          <cell r="A1546">
            <v>5177</v>
          </cell>
          <cell r="B1546">
            <v>1</v>
          </cell>
          <cell r="D1546" t="str">
            <v>醇酸稀释剂</v>
          </cell>
          <cell r="E1546" t="str">
            <v xml:space="preserve"> kg</v>
          </cell>
          <cell r="G1546">
            <v>7.64</v>
          </cell>
          <cell r="H1546">
            <v>7.42</v>
          </cell>
          <cell r="I1546">
            <v>0.22</v>
          </cell>
          <cell r="K1546" t="str">
            <v xml:space="preserve"> kg</v>
          </cell>
          <cell r="L1546">
            <v>7.64</v>
          </cell>
        </row>
        <row r="1547">
          <cell r="A1547">
            <v>5178</v>
          </cell>
          <cell r="B1547">
            <v>1</v>
          </cell>
          <cell r="D1547" t="str">
            <v>酒精</v>
          </cell>
          <cell r="E1547" t="str">
            <v xml:space="preserve"> kg</v>
          </cell>
          <cell r="G1547">
            <v>6.27</v>
          </cell>
          <cell r="H1547">
            <v>6.09</v>
          </cell>
          <cell r="I1547">
            <v>0.18</v>
          </cell>
          <cell r="K1547" t="str">
            <v xml:space="preserve"> kg</v>
          </cell>
          <cell r="L1547">
            <v>6.27</v>
          </cell>
        </row>
        <row r="1548">
          <cell r="A1548">
            <v>5179</v>
          </cell>
          <cell r="B1548">
            <v>1</v>
          </cell>
          <cell r="D1548" t="str">
            <v>砂蜡</v>
          </cell>
          <cell r="E1548" t="str">
            <v xml:space="preserve"> kg</v>
          </cell>
          <cell r="G1548">
            <v>3.6399999999999997</v>
          </cell>
          <cell r="H1548">
            <v>3.53</v>
          </cell>
          <cell r="I1548">
            <v>0.11</v>
          </cell>
          <cell r="K1548" t="str">
            <v xml:space="preserve"> kg</v>
          </cell>
          <cell r="L1548">
            <v>3.6399999999999997</v>
          </cell>
        </row>
        <row r="1549">
          <cell r="A1549">
            <v>5180</v>
          </cell>
          <cell r="B1549">
            <v>1</v>
          </cell>
          <cell r="D1549" t="str">
            <v>上光蜡</v>
          </cell>
          <cell r="E1549" t="str">
            <v xml:space="preserve"> kg</v>
          </cell>
          <cell r="G1549">
            <v>2.58</v>
          </cell>
          <cell r="H1549">
            <v>2.5</v>
          </cell>
          <cell r="I1549">
            <v>0.08</v>
          </cell>
          <cell r="K1549" t="str">
            <v xml:space="preserve"> kg</v>
          </cell>
          <cell r="L1549">
            <v>2.58</v>
          </cell>
        </row>
        <row r="1550">
          <cell r="A1550">
            <v>5181</v>
          </cell>
          <cell r="B1550">
            <v>1</v>
          </cell>
          <cell r="D1550" t="str">
            <v>水砂纸</v>
          </cell>
          <cell r="E1550" t="str">
            <v>张</v>
          </cell>
          <cell r="G1550">
            <v>0.45</v>
          </cell>
          <cell r="H1550">
            <v>0.44</v>
          </cell>
          <cell r="I1550">
            <v>0.01</v>
          </cell>
          <cell r="K1550" t="str">
            <v>张</v>
          </cell>
          <cell r="L1550">
            <v>0.45</v>
          </cell>
        </row>
        <row r="1551">
          <cell r="A1551">
            <v>5182</v>
          </cell>
          <cell r="B1551">
            <v>1</v>
          </cell>
          <cell r="D1551" t="str">
            <v>麻绳</v>
          </cell>
          <cell r="E1551" t="str">
            <v xml:space="preserve"> kg</v>
          </cell>
          <cell r="G1551">
            <v>8.49</v>
          </cell>
          <cell r="H1551">
            <v>8.24</v>
          </cell>
          <cell r="I1551">
            <v>0.25</v>
          </cell>
          <cell r="K1551" t="str">
            <v xml:space="preserve"> kg</v>
          </cell>
          <cell r="L1551">
            <v>8.49</v>
          </cell>
        </row>
        <row r="1552">
          <cell r="A1552">
            <v>5183</v>
          </cell>
          <cell r="B1552">
            <v>1</v>
          </cell>
          <cell r="D1552" t="str">
            <v>抛光地砖300*300</v>
          </cell>
          <cell r="E1552" t="str">
            <v>m2</v>
          </cell>
          <cell r="G1552">
            <v>84.23</v>
          </cell>
          <cell r="H1552">
            <v>81.78</v>
          </cell>
          <cell r="I1552">
            <v>2.4500000000000002</v>
          </cell>
          <cell r="K1552" t="str">
            <v>m2</v>
          </cell>
          <cell r="L1552">
            <v>84.23</v>
          </cell>
        </row>
        <row r="1553">
          <cell r="A1553">
            <v>5184</v>
          </cell>
          <cell r="B1553">
            <v>1</v>
          </cell>
          <cell r="D1553" t="str">
            <v>镀锌钢板横梁</v>
          </cell>
          <cell r="E1553" t="str">
            <v>根</v>
          </cell>
          <cell r="G1553">
            <v>5.34</v>
          </cell>
          <cell r="H1553">
            <v>5.18</v>
          </cell>
          <cell r="I1553">
            <v>0.16</v>
          </cell>
          <cell r="K1553" t="str">
            <v>根</v>
          </cell>
          <cell r="L1553">
            <v>5.34</v>
          </cell>
        </row>
        <row r="1554">
          <cell r="A1554">
            <v>5185</v>
          </cell>
          <cell r="B1554">
            <v>1</v>
          </cell>
          <cell r="D1554" t="str">
            <v>铸铁支架</v>
          </cell>
          <cell r="E1554" t="str">
            <v>套</v>
          </cell>
          <cell r="G1554">
            <v>5.3500000000000005</v>
          </cell>
          <cell r="H1554">
            <v>5.19</v>
          </cell>
          <cell r="I1554">
            <v>0.16</v>
          </cell>
          <cell r="K1554" t="str">
            <v>套</v>
          </cell>
          <cell r="L1554">
            <v>5.3500000000000005</v>
          </cell>
        </row>
        <row r="1555">
          <cell r="A1555">
            <v>5186</v>
          </cell>
          <cell r="B1555">
            <v>1</v>
          </cell>
          <cell r="D1555" t="str">
            <v>木质活动地板600*600*25</v>
          </cell>
          <cell r="E1555" t="str">
            <v>m2</v>
          </cell>
          <cell r="G1555">
            <v>184.02</v>
          </cell>
          <cell r="H1555">
            <v>178.66</v>
          </cell>
          <cell r="I1555">
            <v>5.36</v>
          </cell>
          <cell r="K1555" t="str">
            <v>m2</v>
          </cell>
          <cell r="L1555">
            <v>184.02</v>
          </cell>
        </row>
        <row r="1556">
          <cell r="A1556">
            <v>5187</v>
          </cell>
          <cell r="B1556">
            <v>1</v>
          </cell>
          <cell r="D1556" t="str">
            <v>亚西亚墙砖200*300</v>
          </cell>
          <cell r="E1556" t="str">
            <v>千块</v>
          </cell>
          <cell r="G1556">
            <v>87.09</v>
          </cell>
          <cell r="H1556">
            <v>84.55</v>
          </cell>
          <cell r="I1556">
            <v>2.54</v>
          </cell>
          <cell r="K1556" t="str">
            <v>千块</v>
          </cell>
          <cell r="L1556">
            <v>87.09</v>
          </cell>
        </row>
        <row r="1557">
          <cell r="A1557">
            <v>5188</v>
          </cell>
          <cell r="B1557">
            <v>1</v>
          </cell>
          <cell r="D1557" t="str">
            <v>YJ-Ⅲ粘结剂</v>
          </cell>
          <cell r="E1557" t="str">
            <v xml:space="preserve"> kg</v>
          </cell>
          <cell r="G1557">
            <v>12.709999999999999</v>
          </cell>
          <cell r="H1557">
            <v>12.34</v>
          </cell>
          <cell r="I1557">
            <v>0.37</v>
          </cell>
          <cell r="K1557" t="str">
            <v xml:space="preserve"> kg</v>
          </cell>
          <cell r="L1557">
            <v>12.709999999999999</v>
          </cell>
        </row>
        <row r="1558">
          <cell r="A1558">
            <v>5189</v>
          </cell>
          <cell r="B1558">
            <v>1</v>
          </cell>
          <cell r="D1558" t="str">
            <v>花岗岩</v>
          </cell>
          <cell r="E1558" t="str">
            <v>m2</v>
          </cell>
          <cell r="G1558">
            <v>208.72</v>
          </cell>
          <cell r="H1558">
            <v>202.64</v>
          </cell>
          <cell r="I1558">
            <v>6.08</v>
          </cell>
          <cell r="K1558" t="str">
            <v>m2</v>
          </cell>
          <cell r="L1558">
            <v>208.72</v>
          </cell>
        </row>
        <row r="1559">
          <cell r="A1559">
            <v>5190</v>
          </cell>
          <cell r="B1559">
            <v>1</v>
          </cell>
          <cell r="D1559" t="str">
            <v>XY401胶</v>
          </cell>
          <cell r="E1559" t="str">
            <v xml:space="preserve"> kg</v>
          </cell>
          <cell r="G1559">
            <v>12.61</v>
          </cell>
          <cell r="H1559">
            <v>12.24</v>
          </cell>
          <cell r="I1559">
            <v>0.37</v>
          </cell>
          <cell r="K1559" t="str">
            <v xml:space="preserve"> kg</v>
          </cell>
          <cell r="L1559">
            <v>12.61</v>
          </cell>
        </row>
        <row r="1560">
          <cell r="A1560">
            <v>5191</v>
          </cell>
          <cell r="B1560">
            <v>1</v>
          </cell>
          <cell r="D1560" t="str">
            <v>吊筋</v>
          </cell>
          <cell r="E1560" t="str">
            <v xml:space="preserve"> kg</v>
          </cell>
          <cell r="G1560">
            <v>3.46</v>
          </cell>
          <cell r="H1560">
            <v>3.36</v>
          </cell>
          <cell r="I1560">
            <v>0.1</v>
          </cell>
          <cell r="K1560" t="str">
            <v xml:space="preserve"> kg</v>
          </cell>
          <cell r="L1560">
            <v>3.46</v>
          </cell>
        </row>
        <row r="1561">
          <cell r="A1561">
            <v>5192</v>
          </cell>
          <cell r="B1561">
            <v>1</v>
          </cell>
          <cell r="D1561" t="str">
            <v>轻钢边龙骨h35</v>
          </cell>
          <cell r="E1561" t="str">
            <v>m</v>
          </cell>
          <cell r="G1561">
            <v>4.3499999999999996</v>
          </cell>
          <cell r="H1561">
            <v>4.22</v>
          </cell>
          <cell r="I1561">
            <v>0.13</v>
          </cell>
          <cell r="K1561" t="str">
            <v>m</v>
          </cell>
          <cell r="L1561">
            <v>4.3499999999999996</v>
          </cell>
        </row>
        <row r="1562">
          <cell r="A1562">
            <v>5193</v>
          </cell>
          <cell r="B1562">
            <v>1</v>
          </cell>
          <cell r="D1562" t="str">
            <v>轻钢边龙骨垂直吊挂件</v>
          </cell>
          <cell r="E1562" t="str">
            <v>个</v>
          </cell>
          <cell r="G1562">
            <v>0.9</v>
          </cell>
          <cell r="H1562">
            <v>0.87</v>
          </cell>
          <cell r="I1562">
            <v>0.03</v>
          </cell>
          <cell r="K1562" t="str">
            <v>个</v>
          </cell>
          <cell r="L1562">
            <v>0.9</v>
          </cell>
        </row>
        <row r="1563">
          <cell r="A1563">
            <v>5194</v>
          </cell>
          <cell r="B1563">
            <v>1</v>
          </cell>
          <cell r="D1563" t="str">
            <v>轻钢大龙骨h45</v>
          </cell>
          <cell r="E1563" t="str">
            <v>m</v>
          </cell>
          <cell r="G1563">
            <v>4.3499999999999996</v>
          </cell>
          <cell r="H1563">
            <v>4.22</v>
          </cell>
          <cell r="I1563">
            <v>0.13</v>
          </cell>
          <cell r="K1563" t="str">
            <v>m</v>
          </cell>
          <cell r="L1563">
            <v>4.3499999999999996</v>
          </cell>
        </row>
        <row r="1564">
          <cell r="A1564">
            <v>5195</v>
          </cell>
          <cell r="B1564">
            <v>1</v>
          </cell>
          <cell r="D1564" t="str">
            <v>轻钢大龙骨垂直吊挂件</v>
          </cell>
          <cell r="E1564" t="str">
            <v>个</v>
          </cell>
          <cell r="G1564">
            <v>0.9</v>
          </cell>
          <cell r="H1564">
            <v>0.87</v>
          </cell>
          <cell r="I1564">
            <v>0.03</v>
          </cell>
          <cell r="K1564" t="str">
            <v>个</v>
          </cell>
          <cell r="L1564">
            <v>0.9</v>
          </cell>
        </row>
        <row r="1565">
          <cell r="A1565">
            <v>5196</v>
          </cell>
          <cell r="B1565">
            <v>1</v>
          </cell>
          <cell r="D1565" t="str">
            <v>轻钢龙骨次接件</v>
          </cell>
          <cell r="E1565" t="str">
            <v>个</v>
          </cell>
          <cell r="G1565">
            <v>0.5</v>
          </cell>
          <cell r="H1565">
            <v>0.49</v>
          </cell>
          <cell r="I1565">
            <v>0.01</v>
          </cell>
          <cell r="K1565" t="str">
            <v>个</v>
          </cell>
          <cell r="L1565">
            <v>0.5</v>
          </cell>
        </row>
        <row r="1566">
          <cell r="A1566">
            <v>5197</v>
          </cell>
          <cell r="B1566">
            <v>1</v>
          </cell>
          <cell r="D1566" t="str">
            <v>轻钢龙骨主接件</v>
          </cell>
          <cell r="E1566" t="str">
            <v>个</v>
          </cell>
          <cell r="G1566">
            <v>1.22</v>
          </cell>
          <cell r="H1566">
            <v>1.18</v>
          </cell>
          <cell r="I1566">
            <v>0.04</v>
          </cell>
          <cell r="K1566" t="str">
            <v>个</v>
          </cell>
          <cell r="L1566">
            <v>1.22</v>
          </cell>
        </row>
        <row r="1567">
          <cell r="A1567">
            <v>5198</v>
          </cell>
          <cell r="B1567">
            <v>1</v>
          </cell>
          <cell r="D1567" t="str">
            <v>轻钢小龙骨h19</v>
          </cell>
          <cell r="E1567" t="str">
            <v>m</v>
          </cell>
          <cell r="G1567">
            <v>2.34</v>
          </cell>
          <cell r="H1567">
            <v>2.27</v>
          </cell>
          <cell r="I1567">
            <v>7.0000000000000007E-2</v>
          </cell>
          <cell r="K1567" t="str">
            <v>m</v>
          </cell>
          <cell r="L1567">
            <v>2.34</v>
          </cell>
        </row>
        <row r="1568">
          <cell r="A1568">
            <v>5199</v>
          </cell>
          <cell r="B1568">
            <v>1</v>
          </cell>
          <cell r="D1568" t="str">
            <v>轻钢中龙骨h19</v>
          </cell>
          <cell r="E1568" t="str">
            <v>m</v>
          </cell>
          <cell r="G1568">
            <v>3.29</v>
          </cell>
          <cell r="H1568">
            <v>3.19</v>
          </cell>
          <cell r="I1568">
            <v>0.1</v>
          </cell>
          <cell r="K1568" t="str">
            <v>m</v>
          </cell>
          <cell r="L1568">
            <v>3.29</v>
          </cell>
        </row>
        <row r="1569">
          <cell r="A1569">
            <v>5200</v>
          </cell>
          <cell r="B1569">
            <v>1</v>
          </cell>
          <cell r="D1569" t="str">
            <v>轻钢中龙骨垂直吊挂件</v>
          </cell>
          <cell r="E1569" t="str">
            <v>个</v>
          </cell>
          <cell r="G1569">
            <v>0.49</v>
          </cell>
          <cell r="H1569">
            <v>0.48</v>
          </cell>
          <cell r="I1569">
            <v>0.01</v>
          </cell>
          <cell r="K1569" t="str">
            <v>个</v>
          </cell>
          <cell r="L1569">
            <v>0.49</v>
          </cell>
        </row>
        <row r="1570">
          <cell r="A1570">
            <v>5201</v>
          </cell>
          <cell r="B1570">
            <v>1</v>
          </cell>
          <cell r="D1570" t="str">
            <v>垫圈</v>
          </cell>
          <cell r="E1570" t="str">
            <v>百个</v>
          </cell>
          <cell r="G1570">
            <v>4.5</v>
          </cell>
          <cell r="H1570">
            <v>4.37</v>
          </cell>
          <cell r="I1570">
            <v>0.13</v>
          </cell>
          <cell r="K1570" t="str">
            <v>百个</v>
          </cell>
          <cell r="L1570">
            <v>4.5</v>
          </cell>
        </row>
        <row r="1571">
          <cell r="A1571">
            <v>5202</v>
          </cell>
          <cell r="B1571">
            <v>1</v>
          </cell>
          <cell r="D1571" t="str">
            <v>机螺丝</v>
          </cell>
          <cell r="E1571" t="str">
            <v xml:space="preserve"> kg</v>
          </cell>
          <cell r="G1571">
            <v>10.8</v>
          </cell>
          <cell r="H1571">
            <v>10.49</v>
          </cell>
          <cell r="I1571">
            <v>0.31</v>
          </cell>
          <cell r="K1571" t="str">
            <v xml:space="preserve"> kg</v>
          </cell>
          <cell r="L1571">
            <v>10.8</v>
          </cell>
        </row>
        <row r="1572">
          <cell r="A1572">
            <v>5203</v>
          </cell>
          <cell r="B1572">
            <v>1</v>
          </cell>
          <cell r="D1572" t="str">
            <v>螺母</v>
          </cell>
          <cell r="E1572" t="str">
            <v>百个</v>
          </cell>
          <cell r="G1572">
            <v>21.66</v>
          </cell>
          <cell r="H1572">
            <v>21.03</v>
          </cell>
          <cell r="I1572">
            <v>0.63</v>
          </cell>
          <cell r="K1572" t="str">
            <v>百个</v>
          </cell>
          <cell r="L1572">
            <v>21.66</v>
          </cell>
        </row>
        <row r="1573">
          <cell r="A1573">
            <v>5204</v>
          </cell>
          <cell r="B1573">
            <v>1</v>
          </cell>
          <cell r="D1573" t="str">
            <v>膨胀螺栓</v>
          </cell>
          <cell r="E1573" t="str">
            <v>套</v>
          </cell>
          <cell r="G1573">
            <v>0.88</v>
          </cell>
          <cell r="H1573">
            <v>0.85</v>
          </cell>
          <cell r="I1573">
            <v>0.03</v>
          </cell>
          <cell r="K1573" t="str">
            <v>套</v>
          </cell>
          <cell r="L1573">
            <v>0.88</v>
          </cell>
        </row>
        <row r="1574">
          <cell r="A1574">
            <v>5205</v>
          </cell>
          <cell r="B1574">
            <v>1</v>
          </cell>
          <cell r="D1574" t="str">
            <v>钙塑板</v>
          </cell>
          <cell r="E1574" t="str">
            <v>m2</v>
          </cell>
          <cell r="G1574">
            <v>14.78</v>
          </cell>
          <cell r="H1574">
            <v>14.35</v>
          </cell>
          <cell r="I1574">
            <v>0.43</v>
          </cell>
          <cell r="K1574" t="str">
            <v>m2</v>
          </cell>
          <cell r="L1574">
            <v>14.78</v>
          </cell>
        </row>
        <row r="1575">
          <cell r="A1575">
            <v>5206</v>
          </cell>
          <cell r="B1575">
            <v>1</v>
          </cell>
          <cell r="D1575" t="str">
            <v>乳白胶</v>
          </cell>
          <cell r="E1575" t="str">
            <v xml:space="preserve"> kg</v>
          </cell>
          <cell r="G1575">
            <v>4.58</v>
          </cell>
          <cell r="H1575">
            <v>4.45</v>
          </cell>
          <cell r="I1575">
            <v>0.13</v>
          </cell>
          <cell r="K1575" t="str">
            <v xml:space="preserve"> kg</v>
          </cell>
          <cell r="L1575">
            <v>4.58</v>
          </cell>
        </row>
        <row r="1576">
          <cell r="A1576">
            <v>5207</v>
          </cell>
          <cell r="B1576">
            <v>1</v>
          </cell>
          <cell r="D1576" t="str">
            <v>镀锌窗纱</v>
          </cell>
          <cell r="E1576" t="str">
            <v>m2</v>
          </cell>
          <cell r="G1576">
            <v>4.24</v>
          </cell>
          <cell r="H1576">
            <v>4.12</v>
          </cell>
          <cell r="I1576">
            <v>0.12</v>
          </cell>
          <cell r="K1576" t="str">
            <v>m2</v>
          </cell>
          <cell r="L1576">
            <v>4.24</v>
          </cell>
        </row>
        <row r="1577">
          <cell r="A1577">
            <v>5208</v>
          </cell>
          <cell r="B1577">
            <v>1</v>
          </cell>
          <cell r="D1577" t="str">
            <v>绿色镀膜玻璃8mm</v>
          </cell>
          <cell r="E1577" t="str">
            <v>m2</v>
          </cell>
          <cell r="G1577">
            <v>87.55</v>
          </cell>
          <cell r="H1577">
            <v>85</v>
          </cell>
          <cell r="I1577">
            <v>2.5499999999999998</v>
          </cell>
          <cell r="K1577" t="str">
            <v>m2</v>
          </cell>
          <cell r="L1577">
            <v>87.55</v>
          </cell>
        </row>
        <row r="1578">
          <cell r="A1578">
            <v>5209</v>
          </cell>
          <cell r="B1578">
            <v>1</v>
          </cell>
          <cell r="D1578" t="str">
            <v>木螺丝</v>
          </cell>
          <cell r="E1578" t="str">
            <v>百个</v>
          </cell>
          <cell r="G1578">
            <v>3.09</v>
          </cell>
          <cell r="H1578">
            <v>3</v>
          </cell>
          <cell r="I1578">
            <v>0.09</v>
          </cell>
          <cell r="K1578" t="str">
            <v>百个</v>
          </cell>
          <cell r="L1578">
            <v>3.09</v>
          </cell>
        </row>
        <row r="1579">
          <cell r="A1579">
            <v>5210</v>
          </cell>
          <cell r="B1579">
            <v>1</v>
          </cell>
          <cell r="D1579" t="str">
            <v>铁艺栏杆</v>
          </cell>
          <cell r="E1579" t="str">
            <v>m2</v>
          </cell>
          <cell r="G1579">
            <v>257.5</v>
          </cell>
          <cell r="H1579">
            <v>250</v>
          </cell>
          <cell r="I1579">
            <v>7.5</v>
          </cell>
          <cell r="K1579" t="str">
            <v>m2</v>
          </cell>
          <cell r="L1579">
            <v>257.5</v>
          </cell>
        </row>
        <row r="1580">
          <cell r="A1580">
            <v>5211</v>
          </cell>
          <cell r="B1580">
            <v>1</v>
          </cell>
          <cell r="D1580" t="str">
            <v>水波石棉脊瓦850*360</v>
          </cell>
          <cell r="E1580" t="str">
            <v>块</v>
          </cell>
          <cell r="G1580">
            <v>8.42</v>
          </cell>
          <cell r="H1580">
            <v>8.17</v>
          </cell>
          <cell r="I1580">
            <v>0.25</v>
          </cell>
          <cell r="K1580" t="str">
            <v>块</v>
          </cell>
          <cell r="L1580">
            <v>8.42</v>
          </cell>
        </row>
        <row r="1581">
          <cell r="A1581">
            <v>5212</v>
          </cell>
          <cell r="B1581">
            <v>1</v>
          </cell>
          <cell r="D1581" t="str">
            <v>水波石棉脊瓦1820*720</v>
          </cell>
          <cell r="E1581" t="str">
            <v>块</v>
          </cell>
          <cell r="G1581">
            <v>18.82</v>
          </cell>
          <cell r="H1581">
            <v>18.27</v>
          </cell>
          <cell r="I1581">
            <v>0.55000000000000004</v>
          </cell>
          <cell r="K1581" t="str">
            <v>块</v>
          </cell>
          <cell r="L1581">
            <v>18.82</v>
          </cell>
        </row>
        <row r="1582">
          <cell r="A1582">
            <v>5213</v>
          </cell>
          <cell r="B1582">
            <v>1</v>
          </cell>
          <cell r="D1582" t="str">
            <v>镀锌扁钢钩3*12*400</v>
          </cell>
          <cell r="E1582" t="str">
            <v>个</v>
          </cell>
          <cell r="G1582">
            <v>3.61</v>
          </cell>
          <cell r="H1582">
            <v>3.5</v>
          </cell>
          <cell r="I1582">
            <v>0.11</v>
          </cell>
          <cell r="K1582" t="str">
            <v>个</v>
          </cell>
          <cell r="L1582">
            <v>3.61</v>
          </cell>
        </row>
        <row r="1583">
          <cell r="A1583">
            <v>5214</v>
          </cell>
          <cell r="B1583">
            <v>1</v>
          </cell>
          <cell r="D1583" t="str">
            <v>镀锌螺栓钩</v>
          </cell>
          <cell r="E1583" t="str">
            <v>个</v>
          </cell>
          <cell r="G1583">
            <v>3.09</v>
          </cell>
          <cell r="H1583">
            <v>3</v>
          </cell>
          <cell r="I1583">
            <v>0.09</v>
          </cell>
          <cell r="K1583" t="str">
            <v>个</v>
          </cell>
          <cell r="L1583">
            <v>3.09</v>
          </cell>
        </row>
        <row r="1584">
          <cell r="A1584">
            <v>5215</v>
          </cell>
          <cell r="B1584">
            <v>1</v>
          </cell>
          <cell r="D1584" t="str">
            <v>玻璃瓦</v>
          </cell>
          <cell r="E1584" t="str">
            <v>个</v>
          </cell>
          <cell r="G1584">
            <v>14.75</v>
          </cell>
          <cell r="H1584">
            <v>14.32</v>
          </cell>
          <cell r="I1584">
            <v>0.43</v>
          </cell>
          <cell r="K1584" t="str">
            <v>个</v>
          </cell>
          <cell r="L1584">
            <v>14.75</v>
          </cell>
        </row>
        <row r="1585">
          <cell r="A1585">
            <v>5216</v>
          </cell>
          <cell r="B1585">
            <v>1</v>
          </cell>
          <cell r="D1585" t="str">
            <v>灰板条</v>
          </cell>
          <cell r="E1585" t="str">
            <v>百根</v>
          </cell>
          <cell r="G1585">
            <v>27.14</v>
          </cell>
          <cell r="H1585">
            <v>26.35</v>
          </cell>
          <cell r="I1585">
            <v>0.79</v>
          </cell>
          <cell r="K1585" t="str">
            <v>百根</v>
          </cell>
          <cell r="L1585">
            <v>27.14</v>
          </cell>
        </row>
        <row r="1586">
          <cell r="A1586">
            <v>5217</v>
          </cell>
          <cell r="B1586">
            <v>1</v>
          </cell>
          <cell r="D1586" t="str">
            <v>三通</v>
          </cell>
          <cell r="E1586" t="str">
            <v>t</v>
          </cell>
          <cell r="G1586">
            <v>5150</v>
          </cell>
          <cell r="H1586">
            <v>5000</v>
          </cell>
          <cell r="I1586">
            <v>150</v>
          </cell>
          <cell r="K1586" t="str">
            <v>t</v>
          </cell>
          <cell r="L1586">
            <v>5150</v>
          </cell>
        </row>
        <row r="1587">
          <cell r="A1587">
            <v>5218</v>
          </cell>
          <cell r="B1587">
            <v>1</v>
          </cell>
          <cell r="D1587" t="str">
            <v>弯头</v>
          </cell>
          <cell r="E1587" t="str">
            <v>t</v>
          </cell>
          <cell r="G1587">
            <v>4944</v>
          </cell>
          <cell r="H1587">
            <v>4800</v>
          </cell>
          <cell r="I1587">
            <v>144</v>
          </cell>
          <cell r="K1587" t="str">
            <v>t</v>
          </cell>
          <cell r="L1587">
            <v>4944</v>
          </cell>
        </row>
        <row r="1588">
          <cell r="A1588">
            <v>5219</v>
          </cell>
          <cell r="B1588">
            <v>1</v>
          </cell>
          <cell r="D1588" t="str">
            <v>棚布8*10m</v>
          </cell>
          <cell r="E1588" t="str">
            <v>条</v>
          </cell>
          <cell r="G1588">
            <v>309</v>
          </cell>
          <cell r="H1588">
            <v>300</v>
          </cell>
          <cell r="I1588">
            <v>9</v>
          </cell>
          <cell r="K1588" t="str">
            <v>条</v>
          </cell>
          <cell r="L1588">
            <v>309</v>
          </cell>
        </row>
        <row r="1589">
          <cell r="A1589">
            <v>5220</v>
          </cell>
          <cell r="B1589">
            <v>1</v>
          </cell>
          <cell r="D1589" t="str">
            <v>瓷砖60*230*8</v>
          </cell>
          <cell r="E1589" t="str">
            <v>千块</v>
          </cell>
          <cell r="G1589">
            <v>309.52999999999997</v>
          </cell>
          <cell r="H1589">
            <v>300.51</v>
          </cell>
          <cell r="I1589">
            <v>9.02</v>
          </cell>
          <cell r="K1589" t="str">
            <v>千块</v>
          </cell>
          <cell r="L1589">
            <v>309.52999999999997</v>
          </cell>
        </row>
        <row r="1590">
          <cell r="A1590">
            <v>5221</v>
          </cell>
          <cell r="B1590">
            <v>1</v>
          </cell>
          <cell r="D1590" t="str">
            <v>压顶瓷砖</v>
          </cell>
          <cell r="E1590" t="str">
            <v>千块</v>
          </cell>
          <cell r="G1590">
            <v>318.16999999999996</v>
          </cell>
          <cell r="H1590">
            <v>308.89999999999998</v>
          </cell>
          <cell r="I1590">
            <v>9.27</v>
          </cell>
          <cell r="K1590" t="str">
            <v>千块</v>
          </cell>
          <cell r="L1590">
            <v>318.16999999999996</v>
          </cell>
        </row>
        <row r="1591">
          <cell r="A1591">
            <v>5222</v>
          </cell>
          <cell r="B1591">
            <v>1</v>
          </cell>
          <cell r="D1591" t="str">
            <v>阴阳角瓷砖</v>
          </cell>
          <cell r="E1591" t="str">
            <v>千块</v>
          </cell>
          <cell r="G1591">
            <v>267.37</v>
          </cell>
          <cell r="H1591">
            <v>259.58</v>
          </cell>
          <cell r="I1591">
            <v>7.79</v>
          </cell>
          <cell r="K1591" t="str">
            <v>千块</v>
          </cell>
          <cell r="L1591">
            <v>267.37</v>
          </cell>
        </row>
        <row r="1592">
          <cell r="A1592">
            <v>5223</v>
          </cell>
          <cell r="B1592">
            <v>1</v>
          </cell>
          <cell r="D1592" t="str">
            <v>AB接缝胶</v>
          </cell>
          <cell r="E1592" t="str">
            <v>kg</v>
          </cell>
          <cell r="G1592">
            <v>5.67</v>
          </cell>
          <cell r="H1592">
            <v>5.5</v>
          </cell>
          <cell r="I1592">
            <v>0.17</v>
          </cell>
          <cell r="K1592" t="str">
            <v>kg</v>
          </cell>
          <cell r="L1592">
            <v>5.67</v>
          </cell>
        </row>
        <row r="1593">
          <cell r="A1593">
            <v>5224</v>
          </cell>
          <cell r="B1593">
            <v>1</v>
          </cell>
          <cell r="D1593" t="str">
            <v>聚氯乙烯防水涂料</v>
          </cell>
          <cell r="E1593" t="str">
            <v>kg</v>
          </cell>
          <cell r="G1593">
            <v>2.27</v>
          </cell>
          <cell r="H1593">
            <v>2.2000000000000002</v>
          </cell>
          <cell r="I1593">
            <v>7.0000000000000007E-2</v>
          </cell>
          <cell r="K1593" t="str">
            <v>kg</v>
          </cell>
          <cell r="L1593">
            <v>2.27</v>
          </cell>
        </row>
        <row r="1594">
          <cell r="A1594">
            <v>5225</v>
          </cell>
          <cell r="B1594">
            <v>1</v>
          </cell>
          <cell r="D1594" t="str">
            <v>聚苯乙烯塑料板</v>
          </cell>
          <cell r="E1594" t="str">
            <v>m3</v>
          </cell>
          <cell r="G1594">
            <v>3605</v>
          </cell>
          <cell r="H1594">
            <v>3500</v>
          </cell>
          <cell r="I1594">
            <v>105</v>
          </cell>
          <cell r="K1594" t="str">
            <v>m3</v>
          </cell>
          <cell r="L1594">
            <v>3605</v>
          </cell>
        </row>
        <row r="1595">
          <cell r="A1595">
            <v>5226</v>
          </cell>
          <cell r="B1595">
            <v>1</v>
          </cell>
          <cell r="D1595" t="str">
            <v>石棉粉</v>
          </cell>
          <cell r="E1595" t="str">
            <v>kg</v>
          </cell>
          <cell r="G1595">
            <v>0.9</v>
          </cell>
          <cell r="H1595">
            <v>0.87</v>
          </cell>
          <cell r="I1595">
            <v>0.03</v>
          </cell>
          <cell r="K1595" t="str">
            <v>kg</v>
          </cell>
          <cell r="L1595">
            <v>0.9</v>
          </cell>
        </row>
        <row r="1596">
          <cell r="A1596">
            <v>5227</v>
          </cell>
          <cell r="B1596">
            <v>1</v>
          </cell>
          <cell r="D1596" t="str">
            <v>冷胶料</v>
          </cell>
          <cell r="E1596" t="str">
            <v>kg</v>
          </cell>
          <cell r="G1596">
            <v>12.809999999999999</v>
          </cell>
          <cell r="H1596">
            <v>12.44</v>
          </cell>
          <cell r="I1596">
            <v>0.37</v>
          </cell>
          <cell r="K1596" t="str">
            <v>kg</v>
          </cell>
          <cell r="L1596">
            <v>12.809999999999999</v>
          </cell>
        </row>
        <row r="1597">
          <cell r="A1597">
            <v>5228</v>
          </cell>
          <cell r="B1597">
            <v>1</v>
          </cell>
          <cell r="D1597" t="str">
            <v>斯米克地砖300*300</v>
          </cell>
          <cell r="E1597" t="str">
            <v>m2</v>
          </cell>
          <cell r="G1597">
            <v>92.8</v>
          </cell>
          <cell r="H1597">
            <v>90.1</v>
          </cell>
          <cell r="I1597">
            <v>2.7</v>
          </cell>
          <cell r="K1597" t="str">
            <v>m2</v>
          </cell>
          <cell r="L1597">
            <v>92.8</v>
          </cell>
        </row>
        <row r="1598">
          <cell r="A1598">
            <v>5229</v>
          </cell>
          <cell r="B1598">
            <v>1</v>
          </cell>
          <cell r="D1598" t="str">
            <v>GSPE嵌缝油膏330ml</v>
          </cell>
          <cell r="E1598" t="str">
            <v>支</v>
          </cell>
          <cell r="G1598">
            <v>9.09</v>
          </cell>
          <cell r="H1598">
            <v>8.83</v>
          </cell>
          <cell r="I1598">
            <v>0.26</v>
          </cell>
          <cell r="K1598" t="str">
            <v>支</v>
          </cell>
          <cell r="L1598">
            <v>9.09</v>
          </cell>
        </row>
        <row r="1599">
          <cell r="A1599">
            <v>5230</v>
          </cell>
          <cell r="B1599">
            <v>1</v>
          </cell>
          <cell r="D1599" t="str">
            <v>聚氨脂甲料</v>
          </cell>
          <cell r="E1599" t="str">
            <v>kg</v>
          </cell>
          <cell r="G1599">
            <v>15.24</v>
          </cell>
          <cell r="H1599">
            <v>14.8</v>
          </cell>
          <cell r="I1599">
            <v>0.44</v>
          </cell>
          <cell r="K1599" t="str">
            <v>kg</v>
          </cell>
          <cell r="L1599">
            <v>15.24</v>
          </cell>
        </row>
        <row r="1600">
          <cell r="A1600">
            <v>5231</v>
          </cell>
          <cell r="B1600">
            <v>1</v>
          </cell>
          <cell r="D1600" t="str">
            <v>聚氨脂乙料</v>
          </cell>
          <cell r="E1600" t="str">
            <v>kg</v>
          </cell>
          <cell r="G1600">
            <v>13.24</v>
          </cell>
          <cell r="H1600">
            <v>12.85</v>
          </cell>
          <cell r="I1600">
            <v>0.39</v>
          </cell>
          <cell r="K1600" t="str">
            <v>kg</v>
          </cell>
          <cell r="L1600">
            <v>13.24</v>
          </cell>
        </row>
        <row r="1601">
          <cell r="A1601">
            <v>5232</v>
          </cell>
          <cell r="B1601">
            <v>1</v>
          </cell>
          <cell r="D1601" t="str">
            <v>氯丁胶粘合剂</v>
          </cell>
          <cell r="E1601" t="str">
            <v>kg</v>
          </cell>
          <cell r="G1601">
            <v>17.05</v>
          </cell>
          <cell r="H1601">
            <v>16.55</v>
          </cell>
          <cell r="I1601">
            <v>0.5</v>
          </cell>
          <cell r="K1601" t="str">
            <v>kg</v>
          </cell>
          <cell r="L1601">
            <v>17.05</v>
          </cell>
        </row>
        <row r="1602">
          <cell r="A1602">
            <v>5233</v>
          </cell>
          <cell r="B1602">
            <v>1</v>
          </cell>
          <cell r="D1602" t="str">
            <v>镀锌铁件</v>
          </cell>
          <cell r="E1602" t="str">
            <v>kg</v>
          </cell>
          <cell r="G1602">
            <v>5.55</v>
          </cell>
          <cell r="H1602">
            <v>5.39</v>
          </cell>
          <cell r="I1602">
            <v>0.16</v>
          </cell>
          <cell r="K1602" t="str">
            <v>kg</v>
          </cell>
          <cell r="L1602">
            <v>5.55</v>
          </cell>
        </row>
        <row r="1603">
          <cell r="A1603">
            <v>5234</v>
          </cell>
          <cell r="B1603">
            <v>1</v>
          </cell>
          <cell r="D1603" t="str">
            <v>木螺丝</v>
          </cell>
          <cell r="E1603" t="str">
            <v>个</v>
          </cell>
          <cell r="G1603">
            <v>0.03</v>
          </cell>
          <cell r="H1603">
            <v>0.03</v>
          </cell>
          <cell r="I1603">
            <v>0</v>
          </cell>
          <cell r="K1603" t="str">
            <v>个</v>
          </cell>
          <cell r="L1603">
            <v>0.03</v>
          </cell>
        </row>
        <row r="1604">
          <cell r="A1604">
            <v>5235</v>
          </cell>
          <cell r="B1604">
            <v>1</v>
          </cell>
          <cell r="D1604" t="str">
            <v>内外执钩</v>
          </cell>
          <cell r="E1604" t="str">
            <v>组</v>
          </cell>
          <cell r="G1604">
            <v>5.33</v>
          </cell>
          <cell r="H1604">
            <v>5.17</v>
          </cell>
          <cell r="I1604">
            <v>0.16</v>
          </cell>
          <cell r="K1604" t="str">
            <v>组</v>
          </cell>
          <cell r="L1604">
            <v>5.33</v>
          </cell>
        </row>
        <row r="1605">
          <cell r="A1605">
            <v>5236</v>
          </cell>
          <cell r="B1605">
            <v>1</v>
          </cell>
          <cell r="D1605" t="str">
            <v>过氯乙烯底漆</v>
          </cell>
          <cell r="E1605" t="str">
            <v>kg</v>
          </cell>
          <cell r="G1605">
            <v>11.24</v>
          </cell>
          <cell r="H1605">
            <v>10.91</v>
          </cell>
          <cell r="I1605">
            <v>0.33</v>
          </cell>
          <cell r="K1605" t="str">
            <v>kg</v>
          </cell>
          <cell r="L1605">
            <v>11.24</v>
          </cell>
        </row>
        <row r="1606">
          <cell r="A1606">
            <v>5237</v>
          </cell>
          <cell r="B1606">
            <v>1</v>
          </cell>
          <cell r="D1606" t="str">
            <v>过氯乙烯磁漆</v>
          </cell>
          <cell r="E1606" t="str">
            <v>kg</v>
          </cell>
          <cell r="G1606">
            <v>13.98</v>
          </cell>
          <cell r="H1606">
            <v>13.57</v>
          </cell>
          <cell r="I1606">
            <v>0.41</v>
          </cell>
          <cell r="K1606" t="str">
            <v>kg</v>
          </cell>
          <cell r="L1606">
            <v>13.98</v>
          </cell>
        </row>
        <row r="1607">
          <cell r="A1607">
            <v>5238</v>
          </cell>
          <cell r="B1607">
            <v>1</v>
          </cell>
          <cell r="D1607" t="str">
            <v>过氯乙烯腻子</v>
          </cell>
          <cell r="E1607" t="str">
            <v>kg</v>
          </cell>
          <cell r="G1607">
            <v>8.6999999999999993</v>
          </cell>
          <cell r="H1607">
            <v>8.4499999999999993</v>
          </cell>
          <cell r="I1607">
            <v>0.25</v>
          </cell>
          <cell r="K1607" t="str">
            <v>kg</v>
          </cell>
          <cell r="L1607">
            <v>8.6999999999999993</v>
          </cell>
        </row>
        <row r="1608">
          <cell r="A1608">
            <v>5239</v>
          </cell>
          <cell r="B1608">
            <v>1</v>
          </cell>
          <cell r="D1608" t="str">
            <v>过氯乙烯稀释剂</v>
          </cell>
          <cell r="E1608" t="str">
            <v>kg</v>
          </cell>
          <cell r="G1608">
            <v>9.6499999999999986</v>
          </cell>
          <cell r="H1608">
            <v>9.3699999999999992</v>
          </cell>
          <cell r="I1608">
            <v>0.28000000000000003</v>
          </cell>
          <cell r="K1608" t="str">
            <v>kg</v>
          </cell>
          <cell r="L1608">
            <v>9.6499999999999986</v>
          </cell>
        </row>
        <row r="1609">
          <cell r="A1609">
            <v>5240</v>
          </cell>
          <cell r="B1609">
            <v>1</v>
          </cell>
          <cell r="D1609" t="str">
            <v>环氧云铁</v>
          </cell>
          <cell r="E1609" t="str">
            <v>kg</v>
          </cell>
          <cell r="G1609">
            <v>20.6</v>
          </cell>
          <cell r="H1609">
            <v>20</v>
          </cell>
          <cell r="I1609">
            <v>0.6</v>
          </cell>
          <cell r="K1609" t="str">
            <v>kg</v>
          </cell>
          <cell r="L1609">
            <v>20.6</v>
          </cell>
        </row>
        <row r="1610">
          <cell r="A1610">
            <v>5241</v>
          </cell>
          <cell r="B1610">
            <v>1</v>
          </cell>
          <cell r="D1610" t="str">
            <v>PE塑料板</v>
          </cell>
          <cell r="E1610" t="str">
            <v>m2</v>
          </cell>
          <cell r="G1610">
            <v>8.4499999999999993</v>
          </cell>
          <cell r="H1610">
            <v>8.1999999999999993</v>
          </cell>
          <cell r="I1610">
            <v>0.25</v>
          </cell>
          <cell r="K1610" t="str">
            <v>m2</v>
          </cell>
          <cell r="L1610">
            <v>8.4499999999999993</v>
          </cell>
        </row>
        <row r="1611">
          <cell r="A1611">
            <v>5242</v>
          </cell>
          <cell r="B1611">
            <v>1</v>
          </cell>
          <cell r="D1611" t="str">
            <v>水泥熔接剂</v>
          </cell>
          <cell r="E1611" t="str">
            <v>m</v>
          </cell>
          <cell r="G1611">
            <v>100.84</v>
          </cell>
          <cell r="H1611">
            <v>97.9</v>
          </cell>
          <cell r="I1611">
            <v>2.94</v>
          </cell>
          <cell r="K1611" t="str">
            <v>m</v>
          </cell>
          <cell r="L1611">
            <v>100.84</v>
          </cell>
        </row>
        <row r="1612">
          <cell r="A1612">
            <v>5243</v>
          </cell>
          <cell r="B1612">
            <v>1</v>
          </cell>
          <cell r="D1612" t="str">
            <v>3#模具</v>
          </cell>
          <cell r="E1612" t="str">
            <v>个</v>
          </cell>
          <cell r="G1612">
            <v>1019.7</v>
          </cell>
          <cell r="H1612">
            <v>990</v>
          </cell>
          <cell r="I1612">
            <v>29.7</v>
          </cell>
          <cell r="K1612" t="str">
            <v>个</v>
          </cell>
          <cell r="L1612">
            <v>1019.7</v>
          </cell>
        </row>
        <row r="1613">
          <cell r="A1613">
            <v>5244</v>
          </cell>
          <cell r="B1613">
            <v>1</v>
          </cell>
          <cell r="D1613" t="str">
            <v>铜绞线TJ-185mm2</v>
          </cell>
          <cell r="E1613" t="str">
            <v>罐</v>
          </cell>
          <cell r="G1613">
            <v>40.69</v>
          </cell>
          <cell r="H1613">
            <v>39.5</v>
          </cell>
          <cell r="I1613">
            <v>1.19</v>
          </cell>
          <cell r="K1613" t="str">
            <v>罐</v>
          </cell>
          <cell r="L1613">
            <v>40.69</v>
          </cell>
        </row>
        <row r="1614">
          <cell r="A1614">
            <v>5245</v>
          </cell>
          <cell r="B1614">
            <v>1</v>
          </cell>
          <cell r="D1614" t="str">
            <v>镀锌管φ250</v>
          </cell>
          <cell r="E1614" t="str">
            <v>m</v>
          </cell>
          <cell r="G1614">
            <v>127.38</v>
          </cell>
          <cell r="H1614">
            <v>123.67</v>
          </cell>
          <cell r="I1614">
            <v>3.71</v>
          </cell>
          <cell r="K1614" t="str">
            <v>m</v>
          </cell>
          <cell r="L1614">
            <v>127.38</v>
          </cell>
        </row>
        <row r="1615">
          <cell r="A1615">
            <v>5246</v>
          </cell>
          <cell r="B1615">
            <v>1</v>
          </cell>
          <cell r="D1615" t="str">
            <v>镀锌管φ300</v>
          </cell>
          <cell r="E1615" t="str">
            <v>m</v>
          </cell>
          <cell r="G1615">
            <v>152.85</v>
          </cell>
          <cell r="H1615">
            <v>148.4</v>
          </cell>
          <cell r="I1615">
            <v>4.45</v>
          </cell>
          <cell r="K1615" t="str">
            <v>m</v>
          </cell>
          <cell r="L1615">
            <v>152.85</v>
          </cell>
        </row>
        <row r="1616">
          <cell r="A1616">
            <v>5247</v>
          </cell>
          <cell r="B1616">
            <v>1</v>
          </cell>
          <cell r="D1616" t="str">
            <v>色粉</v>
          </cell>
          <cell r="E1616" t="str">
            <v>kg</v>
          </cell>
          <cell r="G1616">
            <v>13.530000000000001</v>
          </cell>
          <cell r="H1616">
            <v>13.14</v>
          </cell>
          <cell r="I1616">
            <v>0.39</v>
          </cell>
          <cell r="K1616" t="str">
            <v>kg</v>
          </cell>
          <cell r="L1616">
            <v>13.530000000000001</v>
          </cell>
        </row>
        <row r="1617">
          <cell r="A1617">
            <v>5248</v>
          </cell>
          <cell r="B1617">
            <v>1</v>
          </cell>
          <cell r="D1617" t="str">
            <v>沿口包角板</v>
          </cell>
          <cell r="E1617" t="str">
            <v>m2</v>
          </cell>
          <cell r="G1617">
            <v>33.769999999999996</v>
          </cell>
          <cell r="H1617">
            <v>32.79</v>
          </cell>
          <cell r="I1617">
            <v>0.98</v>
          </cell>
          <cell r="K1617" t="str">
            <v>m2</v>
          </cell>
          <cell r="L1617">
            <v>33.769999999999996</v>
          </cell>
        </row>
        <row r="1618">
          <cell r="A1618">
            <v>5249</v>
          </cell>
          <cell r="B1618">
            <v>1</v>
          </cell>
          <cell r="D1618" t="str">
            <v>屋脊板</v>
          </cell>
          <cell r="E1618" t="str">
            <v>m2</v>
          </cell>
          <cell r="G1618">
            <v>73.84</v>
          </cell>
          <cell r="H1618">
            <v>71.69</v>
          </cell>
          <cell r="I1618">
            <v>2.15</v>
          </cell>
          <cell r="K1618" t="str">
            <v>m2</v>
          </cell>
          <cell r="L1618">
            <v>73.84</v>
          </cell>
        </row>
        <row r="1619">
          <cell r="A1619">
            <v>5250</v>
          </cell>
          <cell r="B1619">
            <v>1</v>
          </cell>
          <cell r="D1619" t="str">
            <v>屋脊挡雨板</v>
          </cell>
          <cell r="E1619" t="str">
            <v>块</v>
          </cell>
          <cell r="G1619">
            <v>5.43</v>
          </cell>
          <cell r="H1619">
            <v>5.27</v>
          </cell>
          <cell r="I1619">
            <v>0.16</v>
          </cell>
          <cell r="K1619" t="str">
            <v>块</v>
          </cell>
          <cell r="L1619">
            <v>5.43</v>
          </cell>
        </row>
        <row r="1620">
          <cell r="A1620">
            <v>5251</v>
          </cell>
          <cell r="B1620">
            <v>1</v>
          </cell>
          <cell r="D1620" t="str">
            <v>屋脊堵头板</v>
          </cell>
          <cell r="E1620" t="str">
            <v>块</v>
          </cell>
          <cell r="G1620">
            <v>3.94</v>
          </cell>
          <cell r="H1620">
            <v>3.83</v>
          </cell>
          <cell r="I1620">
            <v>0.11</v>
          </cell>
          <cell r="K1620" t="str">
            <v>块</v>
          </cell>
          <cell r="L1620">
            <v>3.94</v>
          </cell>
        </row>
        <row r="1621">
          <cell r="A1621">
            <v>5252</v>
          </cell>
          <cell r="B1621">
            <v>1</v>
          </cell>
          <cell r="D1621" t="str">
            <v>彩色波形钢屋面板</v>
          </cell>
          <cell r="E1621" t="str">
            <v>m2</v>
          </cell>
          <cell r="G1621">
            <v>46.150000000000006</v>
          </cell>
          <cell r="H1621">
            <v>44.81</v>
          </cell>
          <cell r="I1621">
            <v>1.34</v>
          </cell>
          <cell r="K1621" t="str">
            <v>m2</v>
          </cell>
          <cell r="L1621">
            <v>46.150000000000006</v>
          </cell>
        </row>
        <row r="1622">
          <cell r="A1622">
            <v>5253</v>
          </cell>
          <cell r="B1622">
            <v>1</v>
          </cell>
          <cell r="D1622" t="str">
            <v>檐口堵头</v>
          </cell>
          <cell r="E1622" t="str">
            <v>个</v>
          </cell>
          <cell r="G1622">
            <v>9.02</v>
          </cell>
          <cell r="H1622">
            <v>8.76</v>
          </cell>
          <cell r="I1622">
            <v>0.26</v>
          </cell>
          <cell r="K1622" t="str">
            <v>个</v>
          </cell>
          <cell r="L1622">
            <v>9.02</v>
          </cell>
        </row>
        <row r="1623">
          <cell r="A1623">
            <v>5254</v>
          </cell>
          <cell r="B1623">
            <v>1</v>
          </cell>
          <cell r="D1623" t="str">
            <v>端部固定架</v>
          </cell>
          <cell r="E1623" t="str">
            <v>个</v>
          </cell>
          <cell r="G1623">
            <v>5.71</v>
          </cell>
          <cell r="H1623">
            <v>5.54</v>
          </cell>
          <cell r="I1623">
            <v>0.17</v>
          </cell>
          <cell r="K1623" t="str">
            <v>个</v>
          </cell>
          <cell r="L1623">
            <v>5.71</v>
          </cell>
        </row>
        <row r="1624">
          <cell r="A1624">
            <v>5255</v>
          </cell>
          <cell r="B1624">
            <v>1</v>
          </cell>
          <cell r="D1624" t="str">
            <v>中间固定架</v>
          </cell>
          <cell r="E1624" t="str">
            <v>个</v>
          </cell>
          <cell r="G1624">
            <v>10.1</v>
          </cell>
          <cell r="H1624">
            <v>9.81</v>
          </cell>
          <cell r="I1624">
            <v>0.28999999999999998</v>
          </cell>
          <cell r="K1624" t="str">
            <v>个</v>
          </cell>
          <cell r="L1624">
            <v>10.1</v>
          </cell>
        </row>
        <row r="1625">
          <cell r="A1625">
            <v>5256</v>
          </cell>
          <cell r="B1625">
            <v>1</v>
          </cell>
          <cell r="D1625" t="str">
            <v>铝合金装饰条</v>
          </cell>
          <cell r="E1625" t="str">
            <v>m</v>
          </cell>
          <cell r="G1625">
            <v>10.74</v>
          </cell>
          <cell r="H1625">
            <v>10.43</v>
          </cell>
          <cell r="I1625">
            <v>0.31</v>
          </cell>
          <cell r="K1625" t="str">
            <v>m</v>
          </cell>
          <cell r="L1625">
            <v>10.74</v>
          </cell>
        </row>
        <row r="1626">
          <cell r="A1626">
            <v>5257</v>
          </cell>
          <cell r="B1626">
            <v>1</v>
          </cell>
          <cell r="D1626" t="str">
            <v>白瓷砖152*152</v>
          </cell>
          <cell r="E1626" t="str">
            <v>千块</v>
          </cell>
          <cell r="G1626">
            <v>267.8</v>
          </cell>
          <cell r="H1626">
            <v>260</v>
          </cell>
          <cell r="I1626">
            <v>7.8</v>
          </cell>
          <cell r="K1626" t="str">
            <v>千块</v>
          </cell>
          <cell r="L1626">
            <v>267.8</v>
          </cell>
        </row>
        <row r="1627">
          <cell r="A1627">
            <v>5258</v>
          </cell>
          <cell r="B1627">
            <v>1</v>
          </cell>
          <cell r="D1627" t="str">
            <v>安全网</v>
          </cell>
          <cell r="E1627" t="str">
            <v>m2</v>
          </cell>
          <cell r="G1627">
            <v>10.540000000000001</v>
          </cell>
          <cell r="H1627">
            <v>10.23</v>
          </cell>
          <cell r="I1627">
            <v>0.31</v>
          </cell>
          <cell r="K1627" t="str">
            <v>m2</v>
          </cell>
          <cell r="L1627">
            <v>10.540000000000001</v>
          </cell>
        </row>
        <row r="1628">
          <cell r="A1628">
            <v>5259</v>
          </cell>
          <cell r="B1628">
            <v>1</v>
          </cell>
          <cell r="D1628" t="str">
            <v>丙烯酸脂底釉</v>
          </cell>
          <cell r="E1628" t="str">
            <v>kg</v>
          </cell>
          <cell r="G1628">
            <v>13.49</v>
          </cell>
          <cell r="H1628">
            <v>13.1</v>
          </cell>
          <cell r="I1628">
            <v>0.39</v>
          </cell>
          <cell r="K1628" t="str">
            <v>kg</v>
          </cell>
          <cell r="L1628">
            <v>13.49</v>
          </cell>
        </row>
        <row r="1629">
          <cell r="A1629">
            <v>5260</v>
          </cell>
          <cell r="B1629">
            <v>1</v>
          </cell>
          <cell r="D1629" t="str">
            <v>丙烯酸脂中釉</v>
          </cell>
          <cell r="E1629" t="str">
            <v>kg</v>
          </cell>
          <cell r="G1629">
            <v>12.36</v>
          </cell>
          <cell r="H1629">
            <v>12</v>
          </cell>
          <cell r="I1629">
            <v>0.36</v>
          </cell>
          <cell r="K1629" t="str">
            <v>kg</v>
          </cell>
          <cell r="L1629">
            <v>12.36</v>
          </cell>
        </row>
        <row r="1630">
          <cell r="A1630">
            <v>5261</v>
          </cell>
          <cell r="B1630">
            <v>1</v>
          </cell>
          <cell r="D1630" t="str">
            <v>丙烯酸脂面釉</v>
          </cell>
          <cell r="E1630" t="str">
            <v>kg</v>
          </cell>
          <cell r="G1630">
            <v>17.64</v>
          </cell>
          <cell r="H1630">
            <v>17.13</v>
          </cell>
          <cell r="I1630">
            <v>0.51</v>
          </cell>
          <cell r="K1630" t="str">
            <v>kg</v>
          </cell>
          <cell r="L1630">
            <v>17.64</v>
          </cell>
        </row>
        <row r="1631">
          <cell r="A1631">
            <v>5262</v>
          </cell>
          <cell r="B1631">
            <v>1</v>
          </cell>
          <cell r="D1631" t="str">
            <v>聚苯乙烯保温板</v>
          </cell>
          <cell r="E1631" t="str">
            <v>m3</v>
          </cell>
          <cell r="G1631">
            <v>472.77</v>
          </cell>
          <cell r="H1631">
            <v>459</v>
          </cell>
          <cell r="I1631">
            <v>13.77</v>
          </cell>
          <cell r="K1631" t="str">
            <v>m3</v>
          </cell>
          <cell r="L1631">
            <v>472.77</v>
          </cell>
        </row>
        <row r="1632">
          <cell r="A1632">
            <v>5263</v>
          </cell>
          <cell r="B1632">
            <v>1</v>
          </cell>
          <cell r="D1632" t="str">
            <v>聚丁橡胶防水层1.2厚</v>
          </cell>
          <cell r="E1632" t="str">
            <v>m2</v>
          </cell>
          <cell r="G1632">
            <v>0</v>
          </cell>
          <cell r="I1632">
            <v>0</v>
          </cell>
          <cell r="K1632" t="str">
            <v>m2</v>
          </cell>
          <cell r="L1632">
            <v>0</v>
          </cell>
        </row>
        <row r="1633">
          <cell r="A1633">
            <v>5264</v>
          </cell>
          <cell r="B1633">
            <v>1</v>
          </cell>
          <cell r="D1633" t="str">
            <v>胶结剂</v>
          </cell>
          <cell r="E1633" t="str">
            <v>kg</v>
          </cell>
          <cell r="G1633">
            <v>5.59</v>
          </cell>
          <cell r="H1633">
            <v>5.43</v>
          </cell>
          <cell r="I1633">
            <v>0.16</v>
          </cell>
          <cell r="K1633" t="str">
            <v>kg</v>
          </cell>
          <cell r="L1633">
            <v>5.59</v>
          </cell>
        </row>
        <row r="1634">
          <cell r="A1634">
            <v>5265</v>
          </cell>
          <cell r="B1634">
            <v>1</v>
          </cell>
          <cell r="D1634" t="str">
            <v>多彩底涂</v>
          </cell>
          <cell r="E1634" t="str">
            <v>kg</v>
          </cell>
          <cell r="G1634">
            <v>4.9499999999999993</v>
          </cell>
          <cell r="H1634">
            <v>4.8099999999999996</v>
          </cell>
          <cell r="I1634">
            <v>0.14000000000000001</v>
          </cell>
          <cell r="K1634" t="str">
            <v>kg</v>
          </cell>
          <cell r="L1634">
            <v>4.9499999999999993</v>
          </cell>
        </row>
        <row r="1635">
          <cell r="A1635">
            <v>5266</v>
          </cell>
          <cell r="B1635">
            <v>1</v>
          </cell>
          <cell r="D1635" t="str">
            <v>多彩中涂</v>
          </cell>
          <cell r="E1635" t="str">
            <v>kg</v>
          </cell>
          <cell r="G1635">
            <v>7.74</v>
          </cell>
          <cell r="H1635">
            <v>7.51</v>
          </cell>
          <cell r="I1635">
            <v>0.23</v>
          </cell>
          <cell r="K1635" t="str">
            <v>kg</v>
          </cell>
          <cell r="L1635">
            <v>7.74</v>
          </cell>
        </row>
        <row r="1636">
          <cell r="A1636">
            <v>5267</v>
          </cell>
          <cell r="B1636">
            <v>1</v>
          </cell>
          <cell r="D1636" t="str">
            <v>多彩面涂</v>
          </cell>
          <cell r="E1636" t="str">
            <v>kg</v>
          </cell>
          <cell r="G1636">
            <v>15.459999999999999</v>
          </cell>
          <cell r="H1636">
            <v>15.01</v>
          </cell>
          <cell r="I1636">
            <v>0.45</v>
          </cell>
          <cell r="K1636" t="str">
            <v>kg</v>
          </cell>
          <cell r="L1636">
            <v>15.459999999999999</v>
          </cell>
        </row>
        <row r="1637">
          <cell r="A1637">
            <v>5268</v>
          </cell>
          <cell r="B1637">
            <v>1</v>
          </cell>
          <cell r="D1637" t="str">
            <v>毛面板岩</v>
          </cell>
          <cell r="E1637" t="str">
            <v>m2</v>
          </cell>
          <cell r="G1637">
            <v>72.099999999999994</v>
          </cell>
          <cell r="H1637">
            <v>70</v>
          </cell>
          <cell r="I1637">
            <v>2.1</v>
          </cell>
          <cell r="K1637" t="str">
            <v>m2</v>
          </cell>
          <cell r="L1637">
            <v>72.099999999999994</v>
          </cell>
        </row>
        <row r="1638">
          <cell r="A1638">
            <v>5269</v>
          </cell>
          <cell r="B1638">
            <v>1</v>
          </cell>
          <cell r="D1638" t="str">
            <v>光面板岩</v>
          </cell>
          <cell r="E1638" t="str">
            <v>m2</v>
          </cell>
          <cell r="G1638">
            <v>77.25</v>
          </cell>
          <cell r="H1638">
            <v>75</v>
          </cell>
          <cell r="I1638">
            <v>2.25</v>
          </cell>
          <cell r="K1638" t="str">
            <v>m2</v>
          </cell>
          <cell r="L1638">
            <v>77.25</v>
          </cell>
        </row>
        <row r="1639">
          <cell r="A1639">
            <v>5270</v>
          </cell>
          <cell r="B1639">
            <v>1</v>
          </cell>
          <cell r="D1639" t="str">
            <v>银着色剂</v>
          </cell>
          <cell r="E1639" t="str">
            <v>kg</v>
          </cell>
          <cell r="G1639">
            <v>6.5900000000000007</v>
          </cell>
          <cell r="H1639">
            <v>6.4</v>
          </cell>
          <cell r="I1639">
            <v>0.19</v>
          </cell>
          <cell r="K1639" t="str">
            <v>kg</v>
          </cell>
          <cell r="L1639">
            <v>6.5900000000000007</v>
          </cell>
        </row>
        <row r="1640">
          <cell r="A1640">
            <v>5271</v>
          </cell>
          <cell r="B1640">
            <v>1</v>
          </cell>
          <cell r="D1640" t="str">
            <v>脊瓦</v>
          </cell>
          <cell r="E1640" t="str">
            <v>m2</v>
          </cell>
          <cell r="G1640">
            <v>7.9600000000000009</v>
          </cell>
          <cell r="H1640">
            <v>7.73</v>
          </cell>
          <cell r="I1640">
            <v>0.23</v>
          </cell>
          <cell r="K1640" t="str">
            <v>m2</v>
          </cell>
          <cell r="L1640">
            <v>7.9600000000000009</v>
          </cell>
        </row>
        <row r="1641">
          <cell r="A1641">
            <v>5272</v>
          </cell>
          <cell r="B1641">
            <v>1</v>
          </cell>
          <cell r="D1641" t="str">
            <v>竹席</v>
          </cell>
          <cell r="E1641" t="str">
            <v>m2</v>
          </cell>
          <cell r="G1641">
            <v>2.06</v>
          </cell>
          <cell r="H1641">
            <v>2</v>
          </cell>
          <cell r="I1641">
            <v>0.06</v>
          </cell>
          <cell r="K1641" t="str">
            <v>m2</v>
          </cell>
          <cell r="L1641">
            <v>2.06</v>
          </cell>
        </row>
        <row r="1642">
          <cell r="A1642">
            <v>5273</v>
          </cell>
          <cell r="B1642">
            <v>1</v>
          </cell>
          <cell r="D1642" t="str">
            <v>砂胶料</v>
          </cell>
          <cell r="E1642" t="str">
            <v>kg</v>
          </cell>
          <cell r="G1642">
            <v>2.37</v>
          </cell>
          <cell r="H1642">
            <v>2.37</v>
          </cell>
          <cell r="K1642" t="str">
            <v>kg</v>
          </cell>
          <cell r="L1642">
            <v>2.37</v>
          </cell>
        </row>
        <row r="1643">
          <cell r="A1643">
            <v>5274</v>
          </cell>
          <cell r="B1643">
            <v>1</v>
          </cell>
          <cell r="D1643" t="str">
            <v>仿蘑菇花岗石弹性涂料</v>
          </cell>
          <cell r="E1643" t="str">
            <v>kg</v>
          </cell>
          <cell r="G1643">
            <v>14.5</v>
          </cell>
          <cell r="H1643">
            <v>14.5</v>
          </cell>
          <cell r="K1643" t="str">
            <v>kg</v>
          </cell>
          <cell r="L1643">
            <v>14.5</v>
          </cell>
        </row>
        <row r="1644">
          <cell r="A1644">
            <v>5275</v>
          </cell>
          <cell r="B1644">
            <v>1</v>
          </cell>
          <cell r="D1644" t="str">
            <v>铝合金型材90系列</v>
          </cell>
          <cell r="E1644" t="str">
            <v>kg</v>
          </cell>
          <cell r="G1644">
            <v>2</v>
          </cell>
          <cell r="H1644">
            <v>2</v>
          </cell>
          <cell r="K1644" t="str">
            <v>kg</v>
          </cell>
          <cell r="L1644">
            <v>2</v>
          </cell>
        </row>
        <row r="1645">
          <cell r="A1645">
            <v>5276</v>
          </cell>
          <cell r="B1645">
            <v>1</v>
          </cell>
          <cell r="D1645" t="str">
            <v>铝合金推拉窗90系列(白色)</v>
          </cell>
          <cell r="E1645" t="str">
            <v>m2</v>
          </cell>
          <cell r="G1645">
            <v>195</v>
          </cell>
          <cell r="H1645">
            <v>195</v>
          </cell>
          <cell r="K1645" t="str">
            <v>m2</v>
          </cell>
          <cell r="L1645">
            <v>195</v>
          </cell>
        </row>
        <row r="1646">
          <cell r="A1646">
            <v>5277</v>
          </cell>
          <cell r="B1646">
            <v>1</v>
          </cell>
          <cell r="D1646" t="str">
            <v>铝合金纱窗</v>
          </cell>
          <cell r="E1646" t="str">
            <v>m2</v>
          </cell>
          <cell r="G1646">
            <v>48</v>
          </cell>
          <cell r="H1646">
            <v>48</v>
          </cell>
          <cell r="K1646" t="str">
            <v>m2</v>
          </cell>
          <cell r="L1646">
            <v>48</v>
          </cell>
        </row>
        <row r="1647">
          <cell r="A1647">
            <v>5278</v>
          </cell>
          <cell r="B1647">
            <v>1</v>
          </cell>
          <cell r="D1647" t="str">
            <v>落水斗DN100</v>
          </cell>
          <cell r="E1647" t="str">
            <v>个</v>
          </cell>
          <cell r="G1647">
            <v>20.8</v>
          </cell>
          <cell r="H1647">
            <v>20.8</v>
          </cell>
          <cell r="K1647" t="str">
            <v>个</v>
          </cell>
          <cell r="L1647">
            <v>20.8</v>
          </cell>
        </row>
        <row r="1648">
          <cell r="A1648">
            <v>5279</v>
          </cell>
          <cell r="B1648">
            <v>1</v>
          </cell>
          <cell r="D1648" t="str">
            <v>落水斗DN150</v>
          </cell>
          <cell r="E1648" t="str">
            <v>个</v>
          </cell>
          <cell r="G1648">
            <v>26.34</v>
          </cell>
          <cell r="H1648">
            <v>26.34</v>
          </cell>
          <cell r="K1648" t="str">
            <v>个</v>
          </cell>
          <cell r="L1648">
            <v>26.34</v>
          </cell>
        </row>
        <row r="1649">
          <cell r="A1649">
            <v>5280</v>
          </cell>
          <cell r="B1649">
            <v>1</v>
          </cell>
          <cell r="D1649" t="str">
            <v>PVC伸缩节DN150</v>
          </cell>
          <cell r="E1649" t="str">
            <v>个</v>
          </cell>
          <cell r="G1649">
            <v>24</v>
          </cell>
          <cell r="H1649">
            <v>24</v>
          </cell>
          <cell r="K1649" t="str">
            <v>个</v>
          </cell>
          <cell r="L1649">
            <v>24</v>
          </cell>
        </row>
        <row r="1650">
          <cell r="A1650">
            <v>5281</v>
          </cell>
          <cell r="B1650">
            <v>1</v>
          </cell>
          <cell r="D1650" t="str">
            <v>PVC雨水管DN150</v>
          </cell>
          <cell r="E1650" t="str">
            <v>m</v>
          </cell>
          <cell r="G1650">
            <v>40</v>
          </cell>
          <cell r="H1650">
            <v>40</v>
          </cell>
          <cell r="K1650" t="str">
            <v>m</v>
          </cell>
          <cell r="L1650">
            <v>40</v>
          </cell>
        </row>
        <row r="1651">
          <cell r="A1651">
            <v>5282</v>
          </cell>
          <cell r="B1651">
            <v>1</v>
          </cell>
          <cell r="D1651" t="str">
            <v>普通木门</v>
          </cell>
          <cell r="E1651" t="str">
            <v>m2</v>
          </cell>
          <cell r="G1651">
            <v>200</v>
          </cell>
          <cell r="H1651">
            <v>200</v>
          </cell>
          <cell r="K1651" t="str">
            <v>m2</v>
          </cell>
          <cell r="L1651">
            <v>200</v>
          </cell>
        </row>
        <row r="1652">
          <cell r="A1652">
            <v>5283</v>
          </cell>
          <cell r="B1652">
            <v>1</v>
          </cell>
          <cell r="D1652" t="str">
            <v>平开防火门(甲级)</v>
          </cell>
          <cell r="E1652" t="str">
            <v>m2</v>
          </cell>
          <cell r="G1652">
            <v>400</v>
          </cell>
          <cell r="H1652">
            <v>400</v>
          </cell>
          <cell r="K1652" t="str">
            <v>m2</v>
          </cell>
          <cell r="L1652">
            <v>400</v>
          </cell>
        </row>
        <row r="1653">
          <cell r="A1653">
            <v>5284</v>
          </cell>
          <cell r="B1653">
            <v>1</v>
          </cell>
          <cell r="D1653" t="str">
            <v>平开防火门(乙级)</v>
          </cell>
          <cell r="E1653" t="str">
            <v>m2</v>
          </cell>
          <cell r="G1653">
            <v>370</v>
          </cell>
          <cell r="H1653">
            <v>370</v>
          </cell>
          <cell r="K1653" t="str">
            <v>m2</v>
          </cell>
          <cell r="L1653">
            <v>370</v>
          </cell>
        </row>
        <row r="1654">
          <cell r="A1654">
            <v>5285</v>
          </cell>
          <cell r="B1654">
            <v>1</v>
          </cell>
          <cell r="D1654" t="str">
            <v>外墙漆(半光高级水性弹料)</v>
          </cell>
          <cell r="E1654" t="str">
            <v>kg</v>
          </cell>
          <cell r="G1654">
            <v>35.200000000000003</v>
          </cell>
          <cell r="H1654">
            <v>35.200000000000003</v>
          </cell>
          <cell r="K1654" t="str">
            <v>kg</v>
          </cell>
          <cell r="L1654">
            <v>35.200000000000003</v>
          </cell>
        </row>
        <row r="1655">
          <cell r="A1655">
            <v>5286</v>
          </cell>
          <cell r="B1655">
            <v>1</v>
          </cell>
          <cell r="D1655" t="str">
            <v>塑钢平开窗(50系列)</v>
          </cell>
          <cell r="E1655" t="str">
            <v>m2</v>
          </cell>
          <cell r="G1655">
            <v>280</v>
          </cell>
          <cell r="H1655">
            <v>280</v>
          </cell>
          <cell r="K1655" t="str">
            <v>m2</v>
          </cell>
          <cell r="L1655">
            <v>280</v>
          </cell>
        </row>
        <row r="1656">
          <cell r="A1656">
            <v>5287</v>
          </cell>
          <cell r="B1656">
            <v>1</v>
          </cell>
          <cell r="D1656" t="str">
            <v>立邦"三合一"弹性乳胶漆</v>
          </cell>
          <cell r="E1656" t="str">
            <v>L</v>
          </cell>
          <cell r="G1656">
            <v>60</v>
          </cell>
          <cell r="H1656">
            <v>60</v>
          </cell>
          <cell r="K1656" t="str">
            <v>L</v>
          </cell>
          <cell r="L1656">
            <v>60</v>
          </cell>
        </row>
        <row r="1657">
          <cell r="A1657">
            <v>5288</v>
          </cell>
          <cell r="B1657">
            <v>1</v>
          </cell>
          <cell r="D1657" t="str">
            <v>胶合板(三层)</v>
          </cell>
          <cell r="E1657" t="str">
            <v>m2</v>
          </cell>
          <cell r="G1657">
            <v>16</v>
          </cell>
          <cell r="H1657">
            <v>16</v>
          </cell>
          <cell r="K1657" t="str">
            <v>m2</v>
          </cell>
          <cell r="L1657">
            <v>16</v>
          </cell>
        </row>
        <row r="1658">
          <cell r="A1658">
            <v>5289</v>
          </cell>
          <cell r="B1658">
            <v>1</v>
          </cell>
          <cell r="D1658" t="str">
            <v>胶合板(五层)</v>
          </cell>
          <cell r="E1658" t="str">
            <v>m2</v>
          </cell>
          <cell r="G1658">
            <v>25</v>
          </cell>
          <cell r="H1658">
            <v>25</v>
          </cell>
          <cell r="K1658" t="str">
            <v>m2</v>
          </cell>
          <cell r="L1658">
            <v>25</v>
          </cell>
        </row>
        <row r="1659">
          <cell r="A1659">
            <v>5290</v>
          </cell>
          <cell r="B1659">
            <v>1</v>
          </cell>
          <cell r="D1659" t="str">
            <v>加气砼块</v>
          </cell>
          <cell r="E1659" t="str">
            <v>m3</v>
          </cell>
          <cell r="G1659">
            <v>150</v>
          </cell>
          <cell r="H1659">
            <v>150</v>
          </cell>
          <cell r="K1659" t="str">
            <v>m3</v>
          </cell>
          <cell r="L1659">
            <v>150</v>
          </cell>
        </row>
        <row r="1660">
          <cell r="A1660">
            <v>5291</v>
          </cell>
          <cell r="B1660">
            <v>1</v>
          </cell>
          <cell r="D1660" t="str">
            <v>塑钢窗(海螺或实德)</v>
          </cell>
          <cell r="E1660" t="str">
            <v>m2</v>
          </cell>
          <cell r="G1660">
            <v>280</v>
          </cell>
          <cell r="H1660">
            <v>280</v>
          </cell>
          <cell r="K1660" t="str">
            <v>m2</v>
          </cell>
          <cell r="L1660">
            <v>280</v>
          </cell>
        </row>
        <row r="1661">
          <cell r="A1661">
            <v>5292</v>
          </cell>
          <cell r="B1661">
            <v>1</v>
          </cell>
          <cell r="D1661" t="str">
            <v>氯丁胶乳沥青(水溶型)</v>
          </cell>
          <cell r="E1661" t="str">
            <v>kg</v>
          </cell>
          <cell r="G1661">
            <v>13.85</v>
          </cell>
          <cell r="H1661">
            <v>13.85</v>
          </cell>
          <cell r="K1661" t="str">
            <v>kg</v>
          </cell>
          <cell r="L1661">
            <v>13.85</v>
          </cell>
        </row>
        <row r="1662">
          <cell r="A1662">
            <v>5293</v>
          </cell>
          <cell r="B1662">
            <v>1</v>
          </cell>
          <cell r="D1662" t="str">
            <v>J基粘结剂乙</v>
          </cell>
          <cell r="E1662" t="str">
            <v>kg</v>
          </cell>
          <cell r="G1662">
            <v>12.85</v>
          </cell>
          <cell r="H1662">
            <v>12.85</v>
          </cell>
          <cell r="K1662" t="str">
            <v>kg</v>
          </cell>
          <cell r="L1662">
            <v>12.85</v>
          </cell>
        </row>
        <row r="1663">
          <cell r="A1663">
            <v>5294</v>
          </cell>
          <cell r="B1663">
            <v>1</v>
          </cell>
          <cell r="D1663" t="str">
            <v>烟煤</v>
          </cell>
          <cell r="E1663" t="str">
            <v>kg</v>
          </cell>
          <cell r="G1663">
            <v>0.18</v>
          </cell>
          <cell r="H1663">
            <v>0.18</v>
          </cell>
          <cell r="K1663" t="str">
            <v>kg</v>
          </cell>
          <cell r="L1663">
            <v>0.18</v>
          </cell>
        </row>
        <row r="1664">
          <cell r="A1664">
            <v>5295</v>
          </cell>
          <cell r="B1664">
            <v>1</v>
          </cell>
          <cell r="D1664" t="str">
            <v>铝合金百页窗</v>
          </cell>
          <cell r="E1664" t="str">
            <v>m2</v>
          </cell>
          <cell r="G1664">
            <v>480</v>
          </cell>
          <cell r="H1664">
            <v>480</v>
          </cell>
          <cell r="K1664" t="str">
            <v>m2</v>
          </cell>
          <cell r="L1664">
            <v>480</v>
          </cell>
        </row>
        <row r="1665">
          <cell r="A1665">
            <v>5296</v>
          </cell>
          <cell r="B1665">
            <v>1</v>
          </cell>
          <cell r="D1665" t="str">
            <v>乳胶</v>
          </cell>
          <cell r="E1665" t="str">
            <v>kg</v>
          </cell>
          <cell r="G1665">
            <v>9.32</v>
          </cell>
          <cell r="H1665">
            <v>9.32</v>
          </cell>
          <cell r="K1665" t="str">
            <v>kg</v>
          </cell>
          <cell r="L1665">
            <v>9.32</v>
          </cell>
        </row>
        <row r="1666">
          <cell r="A1666">
            <v>5297</v>
          </cell>
          <cell r="B1666">
            <v>1</v>
          </cell>
          <cell r="D1666" t="str">
            <v>漆片</v>
          </cell>
          <cell r="E1666" t="str">
            <v>kg</v>
          </cell>
          <cell r="G1666">
            <v>0</v>
          </cell>
          <cell r="K1666" t="str">
            <v>kg</v>
          </cell>
          <cell r="L1666">
            <v>0</v>
          </cell>
        </row>
        <row r="1667">
          <cell r="A1667">
            <v>5298</v>
          </cell>
          <cell r="B1667">
            <v>1</v>
          </cell>
          <cell r="D1667" t="str">
            <v>仿彩色平光花岗石弹性涂料</v>
          </cell>
          <cell r="E1667" t="str">
            <v>kg</v>
          </cell>
          <cell r="G1667">
            <v>14.5</v>
          </cell>
          <cell r="H1667">
            <v>14.5</v>
          </cell>
          <cell r="K1667" t="str">
            <v>kg</v>
          </cell>
          <cell r="L1667">
            <v>14.5</v>
          </cell>
        </row>
        <row r="1668">
          <cell r="A1668">
            <v>5299</v>
          </cell>
          <cell r="B1668">
            <v>1</v>
          </cell>
          <cell r="D1668" t="str">
            <v>SBS改性沥青防水卷材</v>
          </cell>
          <cell r="E1668" t="str">
            <v>m2</v>
          </cell>
          <cell r="G1668">
            <v>34.090000000000003</v>
          </cell>
          <cell r="H1668">
            <v>34.090000000000003</v>
          </cell>
          <cell r="K1668" t="str">
            <v>m2</v>
          </cell>
          <cell r="L1668">
            <v>34.090000000000003</v>
          </cell>
        </row>
        <row r="1669">
          <cell r="A1669">
            <v>5300</v>
          </cell>
          <cell r="B1669">
            <v>1</v>
          </cell>
          <cell r="D1669" t="str">
            <v>改性沥青防水卷材3mm厚</v>
          </cell>
          <cell r="E1669" t="str">
            <v>m2</v>
          </cell>
          <cell r="G1669">
            <v>26</v>
          </cell>
          <cell r="H1669">
            <v>26</v>
          </cell>
          <cell r="K1669" t="str">
            <v>m2</v>
          </cell>
          <cell r="L1669">
            <v>26</v>
          </cell>
        </row>
        <row r="1671">
          <cell r="A1671">
            <v>5501</v>
          </cell>
          <cell r="B1671">
            <v>1</v>
          </cell>
          <cell r="D1671" t="str">
            <v>钢筋计  KL</v>
          </cell>
          <cell r="E1671" t="str">
            <v>支</v>
          </cell>
          <cell r="G1671">
            <v>1642.85</v>
          </cell>
          <cell r="H1671">
            <v>1595</v>
          </cell>
          <cell r="I1671">
            <v>47.85</v>
          </cell>
          <cell r="K1671" t="str">
            <v>支</v>
          </cell>
          <cell r="L1671">
            <v>1642.85</v>
          </cell>
        </row>
        <row r="1672">
          <cell r="A1672">
            <v>5502</v>
          </cell>
          <cell r="B1672">
            <v>1</v>
          </cell>
          <cell r="D1672" t="str">
            <v xml:space="preserve">单项应变计 </v>
          </cell>
          <cell r="E1672" t="str">
            <v>套</v>
          </cell>
          <cell r="G1672">
            <v>2111.5</v>
          </cell>
          <cell r="H1672">
            <v>2050</v>
          </cell>
          <cell r="I1672">
            <v>61.5</v>
          </cell>
          <cell r="K1672" t="str">
            <v>套</v>
          </cell>
          <cell r="L1672">
            <v>2111.5</v>
          </cell>
        </row>
        <row r="1673">
          <cell r="A1673">
            <v>5503</v>
          </cell>
          <cell r="B1673">
            <v>1</v>
          </cell>
          <cell r="D1673" t="str">
            <v>应变计 S5 D125</v>
          </cell>
          <cell r="E1673" t="str">
            <v>套</v>
          </cell>
          <cell r="G1673">
            <v>875.5</v>
          </cell>
          <cell r="H1673">
            <v>850</v>
          </cell>
          <cell r="I1673">
            <v>25.5</v>
          </cell>
          <cell r="K1673" t="str">
            <v>套</v>
          </cell>
          <cell r="L1673">
            <v>875.5</v>
          </cell>
        </row>
        <row r="1674">
          <cell r="A1674">
            <v>5504</v>
          </cell>
          <cell r="B1674">
            <v>1</v>
          </cell>
          <cell r="D1674" t="str">
            <v>岩石变位计 配CF-5、12</v>
          </cell>
          <cell r="E1674" t="str">
            <v>支</v>
          </cell>
          <cell r="G1674">
            <v>1189.6500000000001</v>
          </cell>
          <cell r="H1674">
            <v>1155</v>
          </cell>
          <cell r="I1674">
            <v>34.65</v>
          </cell>
          <cell r="K1674" t="str">
            <v>支</v>
          </cell>
          <cell r="L1674">
            <v>1189.6500000000001</v>
          </cell>
        </row>
        <row r="1675">
          <cell r="A1675">
            <v>5505</v>
          </cell>
          <cell r="B1675">
            <v>1</v>
          </cell>
          <cell r="D1675" t="str">
            <v>无应力计 N</v>
          </cell>
          <cell r="E1675" t="str">
            <v>支</v>
          </cell>
          <cell r="G1675">
            <v>1577.96</v>
          </cell>
          <cell r="H1675">
            <v>1532</v>
          </cell>
          <cell r="I1675">
            <v>45.96</v>
          </cell>
          <cell r="K1675" t="str">
            <v>支</v>
          </cell>
          <cell r="L1675">
            <v>1577.96</v>
          </cell>
        </row>
        <row r="1676">
          <cell r="A1676">
            <v>5506</v>
          </cell>
          <cell r="B1676">
            <v>1</v>
          </cell>
          <cell r="D1676" t="str">
            <v>渗压计 SZ-8、10</v>
          </cell>
          <cell r="E1676" t="str">
            <v>支</v>
          </cell>
          <cell r="G1676">
            <v>1556.33</v>
          </cell>
          <cell r="H1676">
            <v>1511</v>
          </cell>
          <cell r="I1676">
            <v>45.33</v>
          </cell>
          <cell r="K1676" t="str">
            <v>支</v>
          </cell>
          <cell r="L1676">
            <v>1556.33</v>
          </cell>
        </row>
        <row r="1677">
          <cell r="A1677">
            <v>5507</v>
          </cell>
          <cell r="B1677">
            <v>1</v>
          </cell>
          <cell r="D1677" t="str">
            <v>渗压计 （PWS）</v>
          </cell>
          <cell r="E1677" t="str">
            <v>支</v>
          </cell>
          <cell r="G1677">
            <v>0</v>
          </cell>
          <cell r="I1677">
            <v>0</v>
          </cell>
          <cell r="K1677" t="str">
            <v>支</v>
          </cell>
          <cell r="L1677">
            <v>0</v>
          </cell>
        </row>
        <row r="1678">
          <cell r="A1678">
            <v>5508</v>
          </cell>
          <cell r="B1678">
            <v>1</v>
          </cell>
          <cell r="D1678" t="str">
            <v>渗压计 （振弦式）</v>
          </cell>
          <cell r="E1678" t="str">
            <v>支</v>
          </cell>
          <cell r="G1678">
            <v>4696.8</v>
          </cell>
          <cell r="H1678">
            <v>4560</v>
          </cell>
          <cell r="I1678">
            <v>136.80000000000001</v>
          </cell>
          <cell r="K1678" t="str">
            <v>支</v>
          </cell>
          <cell r="L1678">
            <v>4696.8</v>
          </cell>
        </row>
        <row r="1679">
          <cell r="A1679">
            <v>5509</v>
          </cell>
          <cell r="B1679">
            <v>1</v>
          </cell>
          <cell r="D1679" t="str">
            <v>渗压计 （HXS-1型）</v>
          </cell>
          <cell r="E1679" t="str">
            <v>支</v>
          </cell>
          <cell r="G1679">
            <v>556.20000000000005</v>
          </cell>
          <cell r="H1679">
            <v>540</v>
          </cell>
          <cell r="I1679">
            <v>16.2</v>
          </cell>
          <cell r="K1679" t="str">
            <v>支</v>
          </cell>
          <cell r="L1679">
            <v>556.20000000000005</v>
          </cell>
        </row>
        <row r="1680">
          <cell r="A1680">
            <v>5510</v>
          </cell>
          <cell r="B1680">
            <v>1</v>
          </cell>
          <cell r="D1680" t="str">
            <v>渗压计 SZ-2-8</v>
          </cell>
          <cell r="E1680" t="str">
            <v>支</v>
          </cell>
          <cell r="G1680">
            <v>865.2</v>
          </cell>
          <cell r="H1680">
            <v>840</v>
          </cell>
          <cell r="I1680">
            <v>25.2</v>
          </cell>
          <cell r="K1680" t="str">
            <v>支</v>
          </cell>
          <cell r="L1680">
            <v>865.2</v>
          </cell>
        </row>
        <row r="1681">
          <cell r="A1681">
            <v>5511</v>
          </cell>
          <cell r="B1681">
            <v>1</v>
          </cell>
          <cell r="D1681" t="str">
            <v>测缝计 CF-5、12</v>
          </cell>
          <cell r="E1681" t="str">
            <v>支</v>
          </cell>
          <cell r="G1681">
            <v>968.2</v>
          </cell>
          <cell r="H1681">
            <v>940</v>
          </cell>
          <cell r="I1681">
            <v>28.2</v>
          </cell>
          <cell r="K1681" t="str">
            <v>支</v>
          </cell>
          <cell r="L1681">
            <v>968.2</v>
          </cell>
        </row>
        <row r="1682">
          <cell r="A1682">
            <v>5512</v>
          </cell>
          <cell r="B1682">
            <v>1</v>
          </cell>
          <cell r="D1682" t="str">
            <v>测缝计</v>
          </cell>
          <cell r="E1682" t="str">
            <v>支</v>
          </cell>
          <cell r="G1682">
            <v>1854</v>
          </cell>
          <cell r="H1682">
            <v>1800</v>
          </cell>
          <cell r="I1682">
            <v>54</v>
          </cell>
          <cell r="K1682" t="str">
            <v>支</v>
          </cell>
          <cell r="L1682">
            <v>1854</v>
          </cell>
        </row>
        <row r="1683">
          <cell r="A1683">
            <v>5513</v>
          </cell>
          <cell r="B1683">
            <v>1</v>
          </cell>
          <cell r="D1683" t="str">
            <v>三项测缝计</v>
          </cell>
          <cell r="E1683" t="str">
            <v>支</v>
          </cell>
          <cell r="G1683">
            <v>5562</v>
          </cell>
          <cell r="H1683">
            <v>5400</v>
          </cell>
          <cell r="I1683">
            <v>162</v>
          </cell>
          <cell r="K1683" t="str">
            <v>支</v>
          </cell>
          <cell r="L1683">
            <v>5562</v>
          </cell>
        </row>
        <row r="1684">
          <cell r="A1684">
            <v>5514</v>
          </cell>
          <cell r="B1684">
            <v>1</v>
          </cell>
          <cell r="D1684" t="str">
            <v>锚杆应力计</v>
          </cell>
          <cell r="E1684" t="str">
            <v>套</v>
          </cell>
          <cell r="G1684">
            <v>2266</v>
          </cell>
          <cell r="H1684">
            <v>2200</v>
          </cell>
          <cell r="I1684">
            <v>66</v>
          </cell>
          <cell r="K1684" t="str">
            <v>套</v>
          </cell>
          <cell r="L1684">
            <v>2266</v>
          </cell>
        </row>
        <row r="1685">
          <cell r="A1685">
            <v>5515</v>
          </cell>
          <cell r="B1685">
            <v>1</v>
          </cell>
          <cell r="D1685" t="str">
            <v>多点变位计 S7D125</v>
          </cell>
          <cell r="E1685" t="str">
            <v>套</v>
          </cell>
          <cell r="G1685">
            <v>3270.25</v>
          </cell>
          <cell r="H1685">
            <v>3175</v>
          </cell>
          <cell r="I1685">
            <v>95.25</v>
          </cell>
          <cell r="K1685" t="str">
            <v>套</v>
          </cell>
          <cell r="L1685">
            <v>3270.25</v>
          </cell>
        </row>
        <row r="1686">
          <cell r="A1686">
            <v>5516</v>
          </cell>
          <cell r="B1686">
            <v>1</v>
          </cell>
          <cell r="D1686" t="str">
            <v>钢板计 配DI-10</v>
          </cell>
          <cell r="E1686" t="str">
            <v>支</v>
          </cell>
          <cell r="G1686">
            <v>1562.51</v>
          </cell>
          <cell r="H1686">
            <v>1517</v>
          </cell>
          <cell r="I1686">
            <v>45.51</v>
          </cell>
          <cell r="K1686" t="str">
            <v>支</v>
          </cell>
          <cell r="L1686">
            <v>1562.51</v>
          </cell>
        </row>
        <row r="1687">
          <cell r="A1687">
            <v>5517</v>
          </cell>
          <cell r="B1687">
            <v>1</v>
          </cell>
          <cell r="D1687" t="str">
            <v>钢筋计（基利）</v>
          </cell>
          <cell r="E1687" t="str">
            <v>支</v>
          </cell>
          <cell r="G1687">
            <v>2575</v>
          </cell>
          <cell r="H1687">
            <v>2500</v>
          </cell>
          <cell r="I1687">
            <v>75</v>
          </cell>
          <cell r="K1687" t="str">
            <v>支</v>
          </cell>
          <cell r="L1687">
            <v>2575</v>
          </cell>
        </row>
        <row r="1688">
          <cell r="A1688">
            <v>5518</v>
          </cell>
          <cell r="B1688">
            <v>1</v>
          </cell>
          <cell r="D1688" t="str">
            <v>钢筋计（KL—36）</v>
          </cell>
          <cell r="E1688" t="str">
            <v>支</v>
          </cell>
          <cell r="G1688">
            <v>1236</v>
          </cell>
          <cell r="H1688">
            <v>1200</v>
          </cell>
          <cell r="I1688">
            <v>36</v>
          </cell>
          <cell r="K1688" t="str">
            <v>支</v>
          </cell>
          <cell r="L1688">
            <v>1236</v>
          </cell>
        </row>
        <row r="1689">
          <cell r="A1689">
            <v>5519</v>
          </cell>
          <cell r="B1689">
            <v>1</v>
          </cell>
          <cell r="D1689" t="str">
            <v>钢筋计（KL—25）</v>
          </cell>
          <cell r="E1689" t="str">
            <v>支</v>
          </cell>
          <cell r="G1689">
            <v>1236</v>
          </cell>
          <cell r="H1689">
            <v>1200</v>
          </cell>
          <cell r="I1689">
            <v>36</v>
          </cell>
          <cell r="K1689" t="str">
            <v>支</v>
          </cell>
          <cell r="L1689">
            <v>1236</v>
          </cell>
        </row>
        <row r="1690">
          <cell r="A1690">
            <v>5520</v>
          </cell>
          <cell r="B1690">
            <v>1</v>
          </cell>
          <cell r="D1690" t="str">
            <v>钢筋计（KL—20）</v>
          </cell>
          <cell r="E1690" t="str">
            <v>支</v>
          </cell>
          <cell r="G1690">
            <v>856.96</v>
          </cell>
          <cell r="H1690">
            <v>832</v>
          </cell>
          <cell r="I1690">
            <v>24.96</v>
          </cell>
          <cell r="K1690" t="str">
            <v>支</v>
          </cell>
          <cell r="L1690">
            <v>856.96</v>
          </cell>
        </row>
        <row r="1691">
          <cell r="A1691">
            <v>5521</v>
          </cell>
          <cell r="B1691">
            <v>1</v>
          </cell>
          <cell r="D1691" t="str">
            <v>钢筋计（KL—18）</v>
          </cell>
          <cell r="E1691" t="str">
            <v>支</v>
          </cell>
          <cell r="G1691">
            <v>1236</v>
          </cell>
          <cell r="H1691">
            <v>1200</v>
          </cell>
          <cell r="I1691">
            <v>36</v>
          </cell>
          <cell r="K1691" t="str">
            <v>支</v>
          </cell>
          <cell r="L1691">
            <v>1236</v>
          </cell>
        </row>
        <row r="1692">
          <cell r="A1692">
            <v>5522</v>
          </cell>
          <cell r="B1692">
            <v>1</v>
          </cell>
          <cell r="D1692" t="str">
            <v>电阻式渗压计（SZ—6)</v>
          </cell>
          <cell r="E1692" t="str">
            <v>支</v>
          </cell>
          <cell r="G1692">
            <v>988.8</v>
          </cell>
          <cell r="H1692">
            <v>960</v>
          </cell>
          <cell r="I1692">
            <v>28.8</v>
          </cell>
          <cell r="K1692" t="str">
            <v>支</v>
          </cell>
          <cell r="L1692">
            <v>988.8</v>
          </cell>
        </row>
        <row r="1693">
          <cell r="A1693">
            <v>5523</v>
          </cell>
          <cell r="B1693">
            <v>1</v>
          </cell>
          <cell r="D1693" t="str">
            <v>压力盒（土压力计YUB—8）</v>
          </cell>
          <cell r="E1693" t="str">
            <v>支</v>
          </cell>
          <cell r="G1693">
            <v>1957</v>
          </cell>
          <cell r="H1693">
            <v>1900</v>
          </cell>
          <cell r="I1693">
            <v>57</v>
          </cell>
          <cell r="K1693" t="str">
            <v>支</v>
          </cell>
          <cell r="L1693">
            <v>1957</v>
          </cell>
        </row>
        <row r="1694">
          <cell r="A1694">
            <v>5524</v>
          </cell>
          <cell r="B1694">
            <v>1</v>
          </cell>
          <cell r="D1694" t="str">
            <v>无应力计（带桶DI—10）</v>
          </cell>
          <cell r="E1694" t="str">
            <v>支</v>
          </cell>
          <cell r="G1694">
            <v>1050.5999999999999</v>
          </cell>
          <cell r="H1694">
            <v>1020</v>
          </cell>
          <cell r="I1694">
            <v>30.6</v>
          </cell>
          <cell r="K1694" t="str">
            <v>支</v>
          </cell>
          <cell r="L1694">
            <v>1050.5999999999999</v>
          </cell>
        </row>
        <row r="1695">
          <cell r="A1695">
            <v>5525</v>
          </cell>
          <cell r="B1695">
            <v>1</v>
          </cell>
          <cell r="D1695" t="str">
            <v>无应力计套桶</v>
          </cell>
          <cell r="E1695" t="str">
            <v>个</v>
          </cell>
          <cell r="G1695">
            <v>515</v>
          </cell>
          <cell r="H1695">
            <v>500</v>
          </cell>
          <cell r="I1695">
            <v>15</v>
          </cell>
          <cell r="K1695" t="str">
            <v>个</v>
          </cell>
          <cell r="L1695">
            <v>515</v>
          </cell>
        </row>
        <row r="1696">
          <cell r="A1696">
            <v>5526</v>
          </cell>
          <cell r="B1696">
            <v>1</v>
          </cell>
          <cell r="D1696" t="str">
            <v>压应力计</v>
          </cell>
          <cell r="E1696" t="str">
            <v>支</v>
          </cell>
          <cell r="G1696">
            <v>1957</v>
          </cell>
          <cell r="H1696">
            <v>1900</v>
          </cell>
          <cell r="I1696">
            <v>57</v>
          </cell>
          <cell r="K1696" t="str">
            <v>支</v>
          </cell>
          <cell r="L1696">
            <v>1957</v>
          </cell>
        </row>
        <row r="1697">
          <cell r="A1697">
            <v>5527</v>
          </cell>
          <cell r="B1697">
            <v>1</v>
          </cell>
          <cell r="D1697" t="str">
            <v>收敛计（YSJ—2，测点50个）</v>
          </cell>
          <cell r="E1697" t="str">
            <v>台</v>
          </cell>
          <cell r="G1697">
            <v>4120</v>
          </cell>
          <cell r="H1697">
            <v>4000</v>
          </cell>
          <cell r="I1697">
            <v>120</v>
          </cell>
          <cell r="K1697" t="str">
            <v>台</v>
          </cell>
          <cell r="L1697">
            <v>4120</v>
          </cell>
        </row>
        <row r="1698">
          <cell r="A1698">
            <v>5528</v>
          </cell>
          <cell r="B1698">
            <v>1</v>
          </cell>
          <cell r="D1698" t="str">
            <v>收敛计标点</v>
          </cell>
          <cell r="E1698" t="str">
            <v>点</v>
          </cell>
          <cell r="G1698">
            <v>49.44</v>
          </cell>
          <cell r="H1698">
            <v>48</v>
          </cell>
          <cell r="I1698">
            <v>1.44</v>
          </cell>
          <cell r="K1698" t="str">
            <v>点</v>
          </cell>
          <cell r="L1698">
            <v>49.44</v>
          </cell>
        </row>
        <row r="1699">
          <cell r="A1699">
            <v>5529</v>
          </cell>
          <cell r="B1699">
            <v>1</v>
          </cell>
          <cell r="D1699" t="str">
            <v>位移计（DWJ—20，三点）</v>
          </cell>
          <cell r="E1699" t="str">
            <v>套</v>
          </cell>
          <cell r="G1699">
            <v>5150</v>
          </cell>
          <cell r="H1699">
            <v>5000</v>
          </cell>
          <cell r="I1699">
            <v>150</v>
          </cell>
          <cell r="K1699" t="str">
            <v>套</v>
          </cell>
          <cell r="L1699">
            <v>5150</v>
          </cell>
        </row>
        <row r="1700">
          <cell r="A1700">
            <v>5530</v>
          </cell>
          <cell r="B1700">
            <v>1</v>
          </cell>
          <cell r="D1700" t="str">
            <v>位移计（DWJ—20，单点）</v>
          </cell>
          <cell r="E1700" t="str">
            <v>套</v>
          </cell>
          <cell r="G1700">
            <v>3605</v>
          </cell>
          <cell r="H1700">
            <v>3500</v>
          </cell>
          <cell r="I1700">
            <v>105</v>
          </cell>
          <cell r="K1700" t="str">
            <v>套</v>
          </cell>
          <cell r="L1700">
            <v>3605</v>
          </cell>
        </row>
        <row r="1701">
          <cell r="A1701">
            <v>5531</v>
          </cell>
          <cell r="B1701">
            <v>1</v>
          </cell>
          <cell r="D1701" t="str">
            <v>多点位移计（振弦式）</v>
          </cell>
          <cell r="E1701" t="str">
            <v>套</v>
          </cell>
          <cell r="G1701">
            <v>17644.419999999998</v>
          </cell>
          <cell r="H1701">
            <v>17130.5</v>
          </cell>
          <cell r="I1701">
            <v>513.91999999999996</v>
          </cell>
          <cell r="K1701" t="str">
            <v>套</v>
          </cell>
          <cell r="L1701">
            <v>17644.419999999998</v>
          </cell>
        </row>
        <row r="1702">
          <cell r="A1702">
            <v>5532</v>
          </cell>
          <cell r="B1702">
            <v>1</v>
          </cell>
          <cell r="D1702" t="str">
            <v>电缆YXZW，5X0.75</v>
          </cell>
          <cell r="E1702" t="str">
            <v>m</v>
          </cell>
          <cell r="G1702">
            <v>5.3915442743654323</v>
          </cell>
          <cell r="H1702">
            <v>5.2315442743654321</v>
          </cell>
          <cell r="I1702">
            <v>0.16</v>
          </cell>
          <cell r="K1702" t="str">
            <v>m</v>
          </cell>
          <cell r="L1702">
            <v>5.3915442743654323</v>
          </cell>
        </row>
        <row r="1703">
          <cell r="A1703">
            <v>5533</v>
          </cell>
          <cell r="B1703">
            <v>1</v>
          </cell>
          <cell r="D1703" t="str">
            <v>五芯电缆（YSX—5*0.75)</v>
          </cell>
          <cell r="E1703" t="str">
            <v>m</v>
          </cell>
          <cell r="G1703">
            <v>8.24</v>
          </cell>
          <cell r="H1703">
            <v>8</v>
          </cell>
          <cell r="I1703">
            <v>0.24</v>
          </cell>
          <cell r="K1703" t="str">
            <v>m</v>
          </cell>
          <cell r="L1703">
            <v>8.24</v>
          </cell>
        </row>
        <row r="1704">
          <cell r="A1704">
            <v>5534</v>
          </cell>
          <cell r="B1704">
            <v>1</v>
          </cell>
          <cell r="D1704" t="str">
            <v>五芯电缆（YSX—5)</v>
          </cell>
          <cell r="E1704" t="str">
            <v>m</v>
          </cell>
          <cell r="G1704">
            <v>8.24</v>
          </cell>
          <cell r="H1704">
            <v>8</v>
          </cell>
          <cell r="I1704">
            <v>0.24</v>
          </cell>
          <cell r="K1704" t="str">
            <v>m</v>
          </cell>
          <cell r="L1704">
            <v>8.24</v>
          </cell>
        </row>
        <row r="1705">
          <cell r="A1705">
            <v>5535</v>
          </cell>
          <cell r="B1705">
            <v>1</v>
          </cell>
          <cell r="D1705" t="str">
            <v>五芯电缆（YSX—6)</v>
          </cell>
          <cell r="E1705" t="str">
            <v>m</v>
          </cell>
          <cell r="G1705">
            <v>15.45</v>
          </cell>
          <cell r="H1705">
            <v>15</v>
          </cell>
          <cell r="I1705">
            <v>0.45</v>
          </cell>
          <cell r="K1705" t="str">
            <v>m</v>
          </cell>
          <cell r="L1705">
            <v>15.45</v>
          </cell>
        </row>
        <row r="1706">
          <cell r="A1706">
            <v>5536</v>
          </cell>
          <cell r="B1706">
            <v>1</v>
          </cell>
          <cell r="D1706" t="str">
            <v>电缆</v>
          </cell>
          <cell r="E1706" t="str">
            <v>m</v>
          </cell>
          <cell r="G1706">
            <v>8.24</v>
          </cell>
          <cell r="H1706">
            <v>8</v>
          </cell>
          <cell r="I1706">
            <v>0.24</v>
          </cell>
          <cell r="K1706" t="str">
            <v>m</v>
          </cell>
          <cell r="L1706">
            <v>8.24</v>
          </cell>
        </row>
        <row r="1707">
          <cell r="A1707">
            <v>5537</v>
          </cell>
          <cell r="B1707">
            <v>1</v>
          </cell>
          <cell r="D1707" t="str">
            <v>电缆</v>
          </cell>
          <cell r="E1707" t="str">
            <v>m</v>
          </cell>
          <cell r="G1707">
            <v>10.3</v>
          </cell>
          <cell r="H1707">
            <v>10</v>
          </cell>
          <cell r="I1707">
            <v>0.3</v>
          </cell>
          <cell r="K1707" t="str">
            <v>m</v>
          </cell>
          <cell r="L1707">
            <v>10.3</v>
          </cell>
        </row>
        <row r="1708">
          <cell r="A1708">
            <v>5538</v>
          </cell>
          <cell r="B1708">
            <v>1</v>
          </cell>
          <cell r="D1708" t="str">
            <v>电缆</v>
          </cell>
          <cell r="E1708" t="str">
            <v>m</v>
          </cell>
          <cell r="G1708">
            <v>15.45</v>
          </cell>
          <cell r="H1708">
            <v>15</v>
          </cell>
          <cell r="I1708">
            <v>0.45</v>
          </cell>
          <cell r="K1708" t="str">
            <v>m</v>
          </cell>
          <cell r="L1708">
            <v>15.45</v>
          </cell>
        </row>
        <row r="1709">
          <cell r="A1709">
            <v>5539</v>
          </cell>
          <cell r="B1709">
            <v>1</v>
          </cell>
          <cell r="D1709" t="str">
            <v>4芯屏蔽电缆</v>
          </cell>
          <cell r="E1709" t="str">
            <v>m</v>
          </cell>
          <cell r="G1709">
            <v>0</v>
          </cell>
          <cell r="I1709">
            <v>0</v>
          </cell>
          <cell r="K1709" t="str">
            <v>m</v>
          </cell>
          <cell r="L1709">
            <v>0</v>
          </cell>
        </row>
        <row r="1710">
          <cell r="A1710">
            <v>5540</v>
          </cell>
          <cell r="B1710">
            <v>1</v>
          </cell>
          <cell r="D1710" t="str">
            <v>水工观测电缆YSSX（5*0.75）</v>
          </cell>
          <cell r="E1710" t="str">
            <v>m</v>
          </cell>
          <cell r="G1710">
            <v>8.24</v>
          </cell>
          <cell r="H1710">
            <v>8</v>
          </cell>
          <cell r="I1710">
            <v>0.24</v>
          </cell>
          <cell r="K1710" t="str">
            <v>m</v>
          </cell>
          <cell r="L1710">
            <v>8.24</v>
          </cell>
        </row>
        <row r="1711">
          <cell r="A1711">
            <v>5541</v>
          </cell>
          <cell r="B1711">
            <v>1</v>
          </cell>
          <cell r="D1711" t="str">
            <v>三向测缝计专用电缆（双护套7×0.75）</v>
          </cell>
          <cell r="E1711" t="str">
            <v>m</v>
          </cell>
          <cell r="G1711">
            <v>9.7899999999999991</v>
          </cell>
          <cell r="H1711">
            <v>9.5</v>
          </cell>
          <cell r="I1711">
            <v>0.28999999999999998</v>
          </cell>
          <cell r="K1711" t="str">
            <v>m</v>
          </cell>
          <cell r="L1711">
            <v>9.7899999999999991</v>
          </cell>
        </row>
        <row r="1712">
          <cell r="A1712">
            <v>5542</v>
          </cell>
          <cell r="B1712">
            <v>1</v>
          </cell>
          <cell r="D1712" t="str">
            <v>集线箱</v>
          </cell>
          <cell r="E1712" t="str">
            <v>台</v>
          </cell>
          <cell r="G1712">
            <v>6283</v>
          </cell>
          <cell r="H1712">
            <v>6100</v>
          </cell>
          <cell r="I1712">
            <v>183</v>
          </cell>
          <cell r="K1712" t="str">
            <v>台</v>
          </cell>
          <cell r="L1712">
            <v>6283</v>
          </cell>
        </row>
        <row r="1713">
          <cell r="A1713">
            <v>5543</v>
          </cell>
          <cell r="B1713">
            <v>1</v>
          </cell>
          <cell r="D1713" t="str">
            <v>集线箱 J-32</v>
          </cell>
          <cell r="E1713" t="str">
            <v>台</v>
          </cell>
          <cell r="G1713">
            <v>6901</v>
          </cell>
          <cell r="H1713">
            <v>6700</v>
          </cell>
          <cell r="I1713">
            <v>201</v>
          </cell>
          <cell r="K1713" t="str">
            <v>台</v>
          </cell>
          <cell r="L1713">
            <v>6901</v>
          </cell>
        </row>
        <row r="1714">
          <cell r="A1714">
            <v>5544</v>
          </cell>
          <cell r="B1714">
            <v>1</v>
          </cell>
          <cell r="D1714" t="str">
            <v>集线箱（J—19）</v>
          </cell>
          <cell r="E1714" t="str">
            <v>台</v>
          </cell>
          <cell r="G1714">
            <v>1854</v>
          </cell>
          <cell r="H1714">
            <v>1800</v>
          </cell>
          <cell r="I1714">
            <v>54</v>
          </cell>
          <cell r="K1714" t="str">
            <v>台</v>
          </cell>
          <cell r="L1714">
            <v>1854</v>
          </cell>
        </row>
        <row r="1715">
          <cell r="A1715">
            <v>5545</v>
          </cell>
          <cell r="B1715">
            <v>1</v>
          </cell>
          <cell r="D1715" t="str">
            <v>集线箱 MJ-20</v>
          </cell>
          <cell r="E1715" t="str">
            <v>台</v>
          </cell>
          <cell r="G1715">
            <v>4120</v>
          </cell>
          <cell r="H1715">
            <v>4000</v>
          </cell>
          <cell r="I1715">
            <v>120</v>
          </cell>
          <cell r="K1715" t="str">
            <v>台</v>
          </cell>
          <cell r="L1715">
            <v>4120</v>
          </cell>
        </row>
        <row r="1716">
          <cell r="A1716">
            <v>5546</v>
          </cell>
          <cell r="B1716">
            <v>1</v>
          </cell>
          <cell r="D1716" t="str">
            <v>集线箱MJ-20A</v>
          </cell>
          <cell r="E1716" t="str">
            <v>台</v>
          </cell>
          <cell r="G1716">
            <v>2266</v>
          </cell>
          <cell r="H1716">
            <v>2200</v>
          </cell>
          <cell r="I1716">
            <v>66</v>
          </cell>
          <cell r="K1716" t="str">
            <v>台</v>
          </cell>
          <cell r="L1716">
            <v>2266</v>
          </cell>
        </row>
        <row r="1717">
          <cell r="A1717">
            <v>5547</v>
          </cell>
          <cell r="B1717">
            <v>1</v>
          </cell>
          <cell r="D1717" t="str">
            <v>分线箱（WC-1无触点型）</v>
          </cell>
          <cell r="E1717" t="str">
            <v>台</v>
          </cell>
          <cell r="G1717">
            <v>1236</v>
          </cell>
          <cell r="H1717">
            <v>1200</v>
          </cell>
          <cell r="I1717">
            <v>36</v>
          </cell>
          <cell r="K1717" t="str">
            <v>台</v>
          </cell>
          <cell r="L1717">
            <v>1236</v>
          </cell>
        </row>
        <row r="1718">
          <cell r="A1718">
            <v>5548</v>
          </cell>
          <cell r="B1718">
            <v>1</v>
          </cell>
          <cell r="D1718" t="str">
            <v>数字式电桥(SQ—2）</v>
          </cell>
          <cell r="E1718" t="str">
            <v>台</v>
          </cell>
          <cell r="G1718">
            <v>7004</v>
          </cell>
          <cell r="H1718">
            <v>6800</v>
          </cell>
          <cell r="I1718">
            <v>204</v>
          </cell>
          <cell r="K1718" t="str">
            <v>台</v>
          </cell>
          <cell r="L1718">
            <v>7004</v>
          </cell>
        </row>
        <row r="1719">
          <cell r="A1719">
            <v>5549</v>
          </cell>
          <cell r="B1719">
            <v>1</v>
          </cell>
          <cell r="D1719" t="str">
            <v>电桥率定器（SQL—3）</v>
          </cell>
          <cell r="E1719" t="str">
            <v>台</v>
          </cell>
          <cell r="G1719">
            <v>2266</v>
          </cell>
          <cell r="H1719">
            <v>2200</v>
          </cell>
          <cell r="I1719">
            <v>66</v>
          </cell>
          <cell r="K1719" t="str">
            <v>台</v>
          </cell>
          <cell r="L1719">
            <v>2266</v>
          </cell>
        </row>
        <row r="1720">
          <cell r="A1720">
            <v>5550</v>
          </cell>
          <cell r="B1720">
            <v>1</v>
          </cell>
          <cell r="D1720" t="str">
            <v>电缆硫化器LH-1</v>
          </cell>
          <cell r="E1720" t="str">
            <v>台</v>
          </cell>
          <cell r="G1720">
            <v>901.25</v>
          </cell>
          <cell r="H1720">
            <v>875</v>
          </cell>
          <cell r="I1720">
            <v>26.25</v>
          </cell>
          <cell r="K1720" t="str">
            <v>台</v>
          </cell>
          <cell r="L1720">
            <v>901.25</v>
          </cell>
        </row>
        <row r="1721">
          <cell r="A1721">
            <v>5551</v>
          </cell>
          <cell r="B1721">
            <v>1</v>
          </cell>
          <cell r="D1721" t="str">
            <v>收敛计测点挂钩</v>
          </cell>
          <cell r="E1721" t="str">
            <v>个</v>
          </cell>
          <cell r="G1721">
            <v>91.16</v>
          </cell>
          <cell r="H1721">
            <v>88.5</v>
          </cell>
          <cell r="I1721">
            <v>2.66</v>
          </cell>
          <cell r="K1721" t="str">
            <v>个</v>
          </cell>
          <cell r="L1721">
            <v>91.16</v>
          </cell>
        </row>
        <row r="1722">
          <cell r="A1722">
            <v>5552</v>
          </cell>
          <cell r="B1722">
            <v>1</v>
          </cell>
          <cell r="D1722" t="str">
            <v>收敛计（SL—2型，）</v>
          </cell>
          <cell r="E1722" t="str">
            <v>套</v>
          </cell>
          <cell r="G1722">
            <v>973.35</v>
          </cell>
          <cell r="H1722">
            <v>945</v>
          </cell>
          <cell r="I1722">
            <v>28.35</v>
          </cell>
          <cell r="K1722" t="str">
            <v>套</v>
          </cell>
          <cell r="L1722">
            <v>973.35</v>
          </cell>
        </row>
        <row r="1723">
          <cell r="A1723">
            <v>5553</v>
          </cell>
          <cell r="B1723">
            <v>1</v>
          </cell>
          <cell r="D1723" t="str">
            <v>收敛计侧点挂钩（不锈钢</v>
          </cell>
          <cell r="E1723" t="str">
            <v>个</v>
          </cell>
          <cell r="G1723">
            <v>91.16</v>
          </cell>
          <cell r="H1723">
            <v>88.5</v>
          </cell>
          <cell r="I1723">
            <v>2.66</v>
          </cell>
          <cell r="K1723" t="str">
            <v>个</v>
          </cell>
          <cell r="L1723">
            <v>91.16</v>
          </cell>
        </row>
        <row r="1724">
          <cell r="A1724">
            <v>5554</v>
          </cell>
          <cell r="B1724">
            <v>1</v>
          </cell>
          <cell r="D1724" t="str">
            <v>侧缝计CF-12GY型（高压）</v>
          </cell>
          <cell r="E1724" t="str">
            <v>支</v>
          </cell>
          <cell r="G1724">
            <v>1380.2</v>
          </cell>
          <cell r="H1724">
            <v>1340</v>
          </cell>
          <cell r="I1724">
            <v>40.200000000000003</v>
          </cell>
          <cell r="K1724" t="str">
            <v>支</v>
          </cell>
          <cell r="L1724">
            <v>1380.2</v>
          </cell>
        </row>
        <row r="1725">
          <cell r="A1725">
            <v>5555</v>
          </cell>
          <cell r="B1725">
            <v>1</v>
          </cell>
          <cell r="D1725" t="str">
            <v>电桥率定器（SQL—5）</v>
          </cell>
          <cell r="E1725" t="str">
            <v>台</v>
          </cell>
          <cell r="G1725">
            <v>1797.35</v>
          </cell>
          <cell r="H1725">
            <v>1745</v>
          </cell>
          <cell r="I1725">
            <v>52.35</v>
          </cell>
          <cell r="K1725" t="str">
            <v>台</v>
          </cell>
          <cell r="L1725">
            <v>1797.35</v>
          </cell>
        </row>
        <row r="1726">
          <cell r="A1726">
            <v>5556</v>
          </cell>
          <cell r="B1726">
            <v>1</v>
          </cell>
          <cell r="D1726" t="str">
            <v>固定觇标</v>
          </cell>
          <cell r="E1726" t="str">
            <v>台</v>
          </cell>
          <cell r="G1726">
            <v>0</v>
          </cell>
          <cell r="I1726">
            <v>0</v>
          </cell>
          <cell r="K1726" t="str">
            <v>台</v>
          </cell>
          <cell r="L1726">
            <v>0</v>
          </cell>
        </row>
        <row r="1727">
          <cell r="A1727">
            <v>5557</v>
          </cell>
          <cell r="B1727">
            <v>1</v>
          </cell>
          <cell r="D1727" t="str">
            <v>量水堰</v>
          </cell>
          <cell r="E1727" t="str">
            <v>个</v>
          </cell>
          <cell r="G1727">
            <v>1854</v>
          </cell>
          <cell r="H1727">
            <v>1800</v>
          </cell>
          <cell r="I1727">
            <v>54</v>
          </cell>
          <cell r="K1727" t="str">
            <v>个</v>
          </cell>
          <cell r="L1727">
            <v>1854</v>
          </cell>
        </row>
        <row r="1728">
          <cell r="A1728">
            <v>5558</v>
          </cell>
          <cell r="B1728">
            <v>1</v>
          </cell>
          <cell r="D1728" t="str">
            <v>测深钟</v>
          </cell>
          <cell r="E1728" t="str">
            <v>套</v>
          </cell>
          <cell r="G1728">
            <v>4120</v>
          </cell>
          <cell r="H1728">
            <v>4000</v>
          </cell>
          <cell r="I1728">
            <v>120</v>
          </cell>
          <cell r="K1728" t="str">
            <v>套</v>
          </cell>
          <cell r="L1728">
            <v>4120</v>
          </cell>
        </row>
        <row r="1729">
          <cell r="A1729">
            <v>5559</v>
          </cell>
          <cell r="B1729">
            <v>1</v>
          </cell>
          <cell r="D1729" t="str">
            <v>水位观测点</v>
          </cell>
          <cell r="E1729" t="str">
            <v>个</v>
          </cell>
          <cell r="G1729">
            <v>154.5</v>
          </cell>
          <cell r="H1729">
            <v>150</v>
          </cell>
          <cell r="I1729">
            <v>4.5</v>
          </cell>
          <cell r="K1729" t="str">
            <v>个</v>
          </cell>
          <cell r="L1729">
            <v>154.5</v>
          </cell>
        </row>
        <row r="1730">
          <cell r="A1730">
            <v>5560</v>
          </cell>
          <cell r="B1730">
            <v>1</v>
          </cell>
          <cell r="D1730" t="str">
            <v>水位工作基点</v>
          </cell>
          <cell r="E1730" t="str">
            <v>组</v>
          </cell>
          <cell r="G1730">
            <v>566.5</v>
          </cell>
          <cell r="H1730">
            <v>550</v>
          </cell>
          <cell r="I1730">
            <v>16.5</v>
          </cell>
          <cell r="K1730" t="str">
            <v>组</v>
          </cell>
          <cell r="L1730">
            <v>566.5</v>
          </cell>
        </row>
        <row r="1731">
          <cell r="A1731">
            <v>5561</v>
          </cell>
          <cell r="B1731">
            <v>1</v>
          </cell>
          <cell r="D1731" t="str">
            <v>水位基点</v>
          </cell>
          <cell r="E1731" t="str">
            <v>组</v>
          </cell>
          <cell r="G1731">
            <v>30900</v>
          </cell>
          <cell r="H1731">
            <v>30000</v>
          </cell>
          <cell r="I1731">
            <v>900</v>
          </cell>
          <cell r="K1731" t="str">
            <v>组</v>
          </cell>
          <cell r="L1731">
            <v>30900</v>
          </cell>
        </row>
        <row r="1732">
          <cell r="A1732">
            <v>5562</v>
          </cell>
          <cell r="B1732">
            <v>1</v>
          </cell>
          <cell r="D1732" t="str">
            <v>水位测量仪</v>
          </cell>
          <cell r="E1732" t="str">
            <v>套</v>
          </cell>
          <cell r="G1732">
            <v>0</v>
          </cell>
          <cell r="I1732">
            <v>0</v>
          </cell>
          <cell r="K1732" t="str">
            <v>套</v>
          </cell>
          <cell r="L1732">
            <v>0</v>
          </cell>
        </row>
        <row r="1733">
          <cell r="A1733">
            <v>5563</v>
          </cell>
          <cell r="B1733">
            <v>1</v>
          </cell>
          <cell r="D1733" t="str">
            <v>激光发射端</v>
          </cell>
          <cell r="E1733" t="str">
            <v>套</v>
          </cell>
          <cell r="G1733">
            <v>2060</v>
          </cell>
          <cell r="H1733">
            <v>2000</v>
          </cell>
          <cell r="I1733">
            <v>60</v>
          </cell>
          <cell r="K1733" t="str">
            <v>套</v>
          </cell>
          <cell r="L1733">
            <v>2060</v>
          </cell>
        </row>
        <row r="1734">
          <cell r="A1734">
            <v>5564</v>
          </cell>
          <cell r="B1734">
            <v>1</v>
          </cell>
          <cell r="D1734" t="str">
            <v>激光接收端</v>
          </cell>
          <cell r="E1734" t="str">
            <v>套</v>
          </cell>
          <cell r="G1734">
            <v>3090</v>
          </cell>
          <cell r="H1734">
            <v>3000</v>
          </cell>
          <cell r="I1734">
            <v>90</v>
          </cell>
          <cell r="K1734" t="str">
            <v>套</v>
          </cell>
          <cell r="L1734">
            <v>3090</v>
          </cell>
        </row>
        <row r="1735">
          <cell r="A1735">
            <v>5565</v>
          </cell>
          <cell r="B1735">
            <v>1</v>
          </cell>
          <cell r="D1735" t="str">
            <v>测点波带板</v>
          </cell>
          <cell r="E1735" t="str">
            <v>个</v>
          </cell>
          <cell r="G1735">
            <v>1545</v>
          </cell>
          <cell r="H1735">
            <v>1500</v>
          </cell>
          <cell r="I1735">
            <v>45</v>
          </cell>
          <cell r="K1735" t="str">
            <v>个</v>
          </cell>
          <cell r="L1735">
            <v>1545</v>
          </cell>
        </row>
        <row r="1736">
          <cell r="A1736">
            <v>5566</v>
          </cell>
          <cell r="B1736">
            <v>1</v>
          </cell>
          <cell r="D1736" t="str">
            <v>三项测缝器</v>
          </cell>
          <cell r="E1736" t="str">
            <v>个</v>
          </cell>
          <cell r="G1736">
            <v>3605</v>
          </cell>
          <cell r="H1736">
            <v>3500</v>
          </cell>
          <cell r="I1736">
            <v>105</v>
          </cell>
          <cell r="K1736" t="str">
            <v>个</v>
          </cell>
          <cell r="L1736">
            <v>3605</v>
          </cell>
        </row>
        <row r="1737">
          <cell r="A1737">
            <v>5567</v>
          </cell>
          <cell r="B1737">
            <v>1</v>
          </cell>
          <cell r="D1737" t="str">
            <v>侧缝计CF-12GY型（普通）</v>
          </cell>
          <cell r="E1737" t="str">
            <v>支</v>
          </cell>
          <cell r="G1737">
            <v>749.84</v>
          </cell>
          <cell r="H1737">
            <v>728</v>
          </cell>
          <cell r="I1737">
            <v>21.84</v>
          </cell>
          <cell r="K1737" t="str">
            <v>支</v>
          </cell>
          <cell r="L1737">
            <v>749.84</v>
          </cell>
        </row>
        <row r="1738">
          <cell r="A1738">
            <v>5568</v>
          </cell>
          <cell r="B1738">
            <v>1</v>
          </cell>
          <cell r="D1738" t="str">
            <v>油标卡尺</v>
          </cell>
          <cell r="E1738" t="str">
            <v>付</v>
          </cell>
          <cell r="G1738">
            <v>463.5</v>
          </cell>
          <cell r="H1738">
            <v>450</v>
          </cell>
          <cell r="I1738">
            <v>13.5</v>
          </cell>
          <cell r="K1738" t="str">
            <v>付</v>
          </cell>
          <cell r="L1738">
            <v>463.5</v>
          </cell>
        </row>
        <row r="1739">
          <cell r="A1739">
            <v>5569</v>
          </cell>
          <cell r="B1739">
            <v>1</v>
          </cell>
          <cell r="D1739" t="str">
            <v>电阻温度计</v>
          </cell>
          <cell r="E1739" t="str">
            <v>只</v>
          </cell>
          <cell r="G1739">
            <v>283.25</v>
          </cell>
          <cell r="H1739">
            <v>275</v>
          </cell>
          <cell r="I1739">
            <v>8.25</v>
          </cell>
          <cell r="K1739" t="str">
            <v>只</v>
          </cell>
          <cell r="L1739">
            <v>283.25</v>
          </cell>
        </row>
        <row r="1740">
          <cell r="A1740">
            <v>5570</v>
          </cell>
          <cell r="B1740">
            <v>1</v>
          </cell>
          <cell r="D1740" t="str">
            <v>水位比例电桥</v>
          </cell>
          <cell r="E1740" t="str">
            <v>台</v>
          </cell>
          <cell r="G1740">
            <v>7004</v>
          </cell>
          <cell r="H1740">
            <v>6800</v>
          </cell>
          <cell r="I1740">
            <v>204</v>
          </cell>
          <cell r="K1740" t="str">
            <v>台</v>
          </cell>
          <cell r="L1740">
            <v>7004</v>
          </cell>
        </row>
        <row r="1741">
          <cell r="A1741">
            <v>5571</v>
          </cell>
          <cell r="B1741">
            <v>1</v>
          </cell>
          <cell r="D1741" t="str">
            <v>电子水准仪</v>
          </cell>
          <cell r="E1741" t="str">
            <v>套</v>
          </cell>
          <cell r="G1741">
            <v>113300</v>
          </cell>
          <cell r="H1741">
            <v>110000</v>
          </cell>
          <cell r="I1741">
            <v>3300</v>
          </cell>
          <cell r="K1741" t="str">
            <v>套</v>
          </cell>
          <cell r="L1741">
            <v>113300</v>
          </cell>
        </row>
        <row r="1742">
          <cell r="A1742">
            <v>5572</v>
          </cell>
          <cell r="B1742">
            <v>1</v>
          </cell>
          <cell r="D1742" t="str">
            <v>百叶箱</v>
          </cell>
          <cell r="E1742" t="str">
            <v>个</v>
          </cell>
          <cell r="G1742">
            <v>1648</v>
          </cell>
          <cell r="H1742">
            <v>1600</v>
          </cell>
          <cell r="I1742">
            <v>48</v>
          </cell>
          <cell r="K1742" t="str">
            <v>个</v>
          </cell>
          <cell r="L1742">
            <v>1648</v>
          </cell>
        </row>
        <row r="1743">
          <cell r="A1743">
            <v>5573</v>
          </cell>
          <cell r="B1743">
            <v>1</v>
          </cell>
          <cell r="D1743" t="str">
            <v>自计温度计</v>
          </cell>
          <cell r="E1743" t="str">
            <v>台</v>
          </cell>
          <cell r="G1743">
            <v>1390.5</v>
          </cell>
          <cell r="H1743">
            <v>1350</v>
          </cell>
          <cell r="I1743">
            <v>40.5</v>
          </cell>
          <cell r="K1743" t="str">
            <v>台</v>
          </cell>
          <cell r="L1743">
            <v>1390.5</v>
          </cell>
        </row>
        <row r="1744">
          <cell r="A1744">
            <v>5574</v>
          </cell>
          <cell r="B1744">
            <v>1</v>
          </cell>
          <cell r="D1744" t="str">
            <v>自计水位计</v>
          </cell>
          <cell r="E1744" t="str">
            <v>台</v>
          </cell>
          <cell r="G1744">
            <v>4120</v>
          </cell>
          <cell r="H1744">
            <v>4000</v>
          </cell>
          <cell r="I1744">
            <v>120</v>
          </cell>
          <cell r="K1744" t="str">
            <v>台</v>
          </cell>
          <cell r="L1744">
            <v>4120</v>
          </cell>
        </row>
        <row r="1745">
          <cell r="A1745">
            <v>5575</v>
          </cell>
          <cell r="B1745">
            <v>1</v>
          </cell>
          <cell r="D1745" t="str">
            <v>计算机</v>
          </cell>
          <cell r="E1745" t="str">
            <v>台</v>
          </cell>
          <cell r="G1745">
            <v>20600</v>
          </cell>
          <cell r="H1745">
            <v>20000</v>
          </cell>
          <cell r="I1745">
            <v>600</v>
          </cell>
          <cell r="K1745" t="str">
            <v>台</v>
          </cell>
          <cell r="L1745">
            <v>20600</v>
          </cell>
        </row>
        <row r="1746">
          <cell r="A1746">
            <v>5576</v>
          </cell>
          <cell r="B1746">
            <v>1</v>
          </cell>
          <cell r="D1746" t="str">
            <v>应变计组DI—25（五项）</v>
          </cell>
          <cell r="E1746" t="str">
            <v>支</v>
          </cell>
          <cell r="G1746">
            <v>3811</v>
          </cell>
          <cell r="H1746">
            <v>3700</v>
          </cell>
          <cell r="I1746">
            <v>111</v>
          </cell>
          <cell r="K1746" t="str">
            <v>支</v>
          </cell>
          <cell r="L1746">
            <v>3811</v>
          </cell>
        </row>
        <row r="1747">
          <cell r="A1747">
            <v>5577</v>
          </cell>
          <cell r="B1747">
            <v>1</v>
          </cell>
          <cell r="D1747" t="str">
            <v>应变计组DI—26（三项）</v>
          </cell>
          <cell r="E1747" t="str">
            <v>组</v>
          </cell>
          <cell r="G1747">
            <v>2286.6</v>
          </cell>
          <cell r="H1747">
            <v>2220</v>
          </cell>
          <cell r="I1747">
            <v>66.599999999999994</v>
          </cell>
          <cell r="K1747" t="str">
            <v>组</v>
          </cell>
          <cell r="L1747">
            <v>2286.6</v>
          </cell>
        </row>
        <row r="1748">
          <cell r="A1748">
            <v>5578</v>
          </cell>
          <cell r="B1748">
            <v>1</v>
          </cell>
          <cell r="D1748" t="str">
            <v>应变计组DI—27（二项）</v>
          </cell>
          <cell r="E1748" t="str">
            <v>组</v>
          </cell>
          <cell r="G1748">
            <v>1524.4</v>
          </cell>
          <cell r="H1748">
            <v>1480</v>
          </cell>
          <cell r="I1748">
            <v>44.4</v>
          </cell>
          <cell r="K1748" t="str">
            <v>组</v>
          </cell>
          <cell r="L1748">
            <v>1524.4</v>
          </cell>
        </row>
        <row r="1749">
          <cell r="A1749">
            <v>5579</v>
          </cell>
          <cell r="B1749">
            <v>1</v>
          </cell>
          <cell r="D1749" t="str">
            <v>应变计 DI—25</v>
          </cell>
          <cell r="E1749" t="str">
            <v>支</v>
          </cell>
          <cell r="G1749">
            <v>844.6</v>
          </cell>
          <cell r="H1749">
            <v>820</v>
          </cell>
          <cell r="I1749">
            <v>24.6</v>
          </cell>
          <cell r="K1749" t="str">
            <v>支</v>
          </cell>
          <cell r="L1749">
            <v>844.6</v>
          </cell>
        </row>
        <row r="1750">
          <cell r="A1750">
            <v>5580</v>
          </cell>
          <cell r="B1750">
            <v>1</v>
          </cell>
          <cell r="D1750" t="str">
            <v>应变计支杆</v>
          </cell>
          <cell r="E1750" t="str">
            <v>套</v>
          </cell>
          <cell r="G1750">
            <v>762.2</v>
          </cell>
          <cell r="H1750">
            <v>740</v>
          </cell>
          <cell r="I1750">
            <v>22.2</v>
          </cell>
          <cell r="K1750" t="str">
            <v>套</v>
          </cell>
          <cell r="L1750">
            <v>762.2</v>
          </cell>
        </row>
        <row r="1751">
          <cell r="A1751">
            <v>5581</v>
          </cell>
          <cell r="B1751">
            <v>1</v>
          </cell>
          <cell r="D1751" t="str">
            <v>渗压计 SZ-4</v>
          </cell>
          <cell r="E1751" t="str">
            <v>支</v>
          </cell>
          <cell r="G1751">
            <v>957.9</v>
          </cell>
          <cell r="H1751">
            <v>930</v>
          </cell>
          <cell r="I1751">
            <v>27.9</v>
          </cell>
          <cell r="K1751" t="str">
            <v>支</v>
          </cell>
          <cell r="L1751">
            <v>957.9</v>
          </cell>
        </row>
        <row r="1752">
          <cell r="A1752">
            <v>5582</v>
          </cell>
          <cell r="B1752">
            <v>1</v>
          </cell>
          <cell r="D1752" t="str">
            <v>温度计DW-1</v>
          </cell>
          <cell r="E1752" t="str">
            <v>支</v>
          </cell>
          <cell r="G1752">
            <v>252.35</v>
          </cell>
          <cell r="H1752">
            <v>245</v>
          </cell>
          <cell r="I1752">
            <v>7.35</v>
          </cell>
          <cell r="K1752" t="str">
            <v>支</v>
          </cell>
          <cell r="L1752">
            <v>252.35</v>
          </cell>
        </row>
        <row r="1753">
          <cell r="A1753">
            <v>5583</v>
          </cell>
          <cell r="B1753">
            <v>1</v>
          </cell>
          <cell r="D1753" t="str">
            <v>钢筋计  KL-20~36</v>
          </cell>
          <cell r="E1753" t="str">
            <v>支</v>
          </cell>
          <cell r="G1753">
            <v>1236</v>
          </cell>
          <cell r="H1753">
            <v>1200</v>
          </cell>
          <cell r="I1753">
            <v>36</v>
          </cell>
          <cell r="K1753" t="str">
            <v>支</v>
          </cell>
          <cell r="L1753">
            <v>1236</v>
          </cell>
        </row>
        <row r="1754">
          <cell r="A1754">
            <v>5584</v>
          </cell>
          <cell r="B1754">
            <v>1</v>
          </cell>
          <cell r="D1754" t="str">
            <v>钢筋计（HXG-1型）</v>
          </cell>
          <cell r="E1754" t="str">
            <v>支</v>
          </cell>
          <cell r="G1754">
            <v>484.1</v>
          </cell>
          <cell r="H1754">
            <v>470</v>
          </cell>
          <cell r="I1754">
            <v>14.1</v>
          </cell>
          <cell r="K1754" t="str">
            <v>支</v>
          </cell>
          <cell r="L1754">
            <v>484.1</v>
          </cell>
        </row>
        <row r="1755">
          <cell r="A1755">
            <v>5585</v>
          </cell>
          <cell r="B1755">
            <v>1</v>
          </cell>
          <cell r="D1755" t="str">
            <v>无应力计 DI—25</v>
          </cell>
          <cell r="E1755" t="str">
            <v>支</v>
          </cell>
          <cell r="G1755">
            <v>1050.5999999999999</v>
          </cell>
          <cell r="H1755">
            <v>1020</v>
          </cell>
          <cell r="I1755">
            <v>30.6</v>
          </cell>
          <cell r="K1755" t="str">
            <v>支</v>
          </cell>
          <cell r="L1755">
            <v>1050.5999999999999</v>
          </cell>
        </row>
        <row r="1756">
          <cell r="A1756">
            <v>5586</v>
          </cell>
          <cell r="B1756">
            <v>1</v>
          </cell>
          <cell r="D1756" t="str">
            <v>应变计支座支杆ZZ</v>
          </cell>
          <cell r="E1756" t="str">
            <v>支</v>
          </cell>
          <cell r="G1756">
            <v>309</v>
          </cell>
          <cell r="H1756">
            <v>300</v>
          </cell>
          <cell r="I1756">
            <v>9</v>
          </cell>
          <cell r="K1756" t="str">
            <v>支</v>
          </cell>
          <cell r="L1756">
            <v>309</v>
          </cell>
        </row>
        <row r="1757">
          <cell r="A1757">
            <v>5587</v>
          </cell>
          <cell r="B1757">
            <v>1</v>
          </cell>
          <cell r="D1757" t="str">
            <v>多点变位计 DRW型</v>
          </cell>
          <cell r="E1757" t="str">
            <v>套</v>
          </cell>
          <cell r="G1757">
            <v>11330</v>
          </cell>
          <cell r="H1757">
            <v>11000</v>
          </cell>
          <cell r="I1757">
            <v>330</v>
          </cell>
          <cell r="K1757" t="str">
            <v>套</v>
          </cell>
          <cell r="L1757">
            <v>11330</v>
          </cell>
        </row>
        <row r="1758">
          <cell r="A1758">
            <v>5588</v>
          </cell>
          <cell r="B1758">
            <v>1</v>
          </cell>
          <cell r="D1758" t="str">
            <v>多点变位计（BWC-10</v>
          </cell>
          <cell r="E1758" t="str">
            <v>套</v>
          </cell>
          <cell r="G1758">
            <v>0</v>
          </cell>
          <cell r="I1758">
            <v>0</v>
          </cell>
          <cell r="K1758" t="str">
            <v>套</v>
          </cell>
          <cell r="L1758">
            <v>0</v>
          </cell>
        </row>
        <row r="1759">
          <cell r="A1759">
            <v>5589</v>
          </cell>
          <cell r="B1759">
            <v>1</v>
          </cell>
          <cell r="D1759" t="str">
            <v>多点变位计专用电缆</v>
          </cell>
          <cell r="E1759" t="str">
            <v>m</v>
          </cell>
          <cell r="G1759">
            <v>6.18</v>
          </cell>
          <cell r="H1759">
            <v>6</v>
          </cell>
          <cell r="I1759">
            <v>0.18</v>
          </cell>
          <cell r="K1759" t="str">
            <v>m</v>
          </cell>
          <cell r="L1759">
            <v>6.18</v>
          </cell>
        </row>
        <row r="1760">
          <cell r="A1760">
            <v>5590</v>
          </cell>
          <cell r="B1760">
            <v>1</v>
          </cell>
          <cell r="D1760" t="str">
            <v>多点变位计读数仪DNA1311</v>
          </cell>
          <cell r="E1760" t="str">
            <v>台</v>
          </cell>
          <cell r="G1760">
            <v>3708</v>
          </cell>
          <cell r="H1760">
            <v>3600</v>
          </cell>
          <cell r="I1760">
            <v>108</v>
          </cell>
          <cell r="K1760" t="str">
            <v>台</v>
          </cell>
          <cell r="L1760">
            <v>3708</v>
          </cell>
        </row>
        <row r="1761">
          <cell r="A1761">
            <v>5591</v>
          </cell>
          <cell r="B1761">
            <v>1</v>
          </cell>
          <cell r="D1761" t="str">
            <v>岩石变位计（配CF-12GY）</v>
          </cell>
          <cell r="E1761" t="str">
            <v>支</v>
          </cell>
          <cell r="G1761">
            <v>3306.3</v>
          </cell>
          <cell r="H1761">
            <v>3210</v>
          </cell>
          <cell r="I1761">
            <v>96.3</v>
          </cell>
          <cell r="K1761" t="str">
            <v>支</v>
          </cell>
          <cell r="L1761">
            <v>3306.3</v>
          </cell>
        </row>
        <row r="1762">
          <cell r="A1762">
            <v>5592</v>
          </cell>
          <cell r="B1762">
            <v>1</v>
          </cell>
          <cell r="D1762" t="str">
            <v>水工比例电桥（SQ-2数显）</v>
          </cell>
          <cell r="E1762" t="str">
            <v>台</v>
          </cell>
          <cell r="G1762">
            <v>6901</v>
          </cell>
          <cell r="H1762">
            <v>6700</v>
          </cell>
          <cell r="I1762">
            <v>201</v>
          </cell>
          <cell r="K1762" t="str">
            <v>台</v>
          </cell>
          <cell r="L1762">
            <v>6901</v>
          </cell>
        </row>
        <row r="1763">
          <cell r="A1763">
            <v>5593</v>
          </cell>
          <cell r="B1763">
            <v>1</v>
          </cell>
          <cell r="D1763" t="str">
            <v>读数仪（ZXY-3型）</v>
          </cell>
          <cell r="E1763" t="str">
            <v>台</v>
          </cell>
          <cell r="G1763">
            <v>4120</v>
          </cell>
          <cell r="H1763">
            <v>4000</v>
          </cell>
          <cell r="I1763">
            <v>120</v>
          </cell>
          <cell r="K1763" t="str">
            <v>台</v>
          </cell>
          <cell r="L1763">
            <v>4120</v>
          </cell>
        </row>
        <row r="1764">
          <cell r="A1764">
            <v>5594</v>
          </cell>
          <cell r="B1764">
            <v>1</v>
          </cell>
          <cell r="D1764" t="str">
            <v>弦式读数仪（ZXY-3型）</v>
          </cell>
          <cell r="E1764" t="str">
            <v>台</v>
          </cell>
          <cell r="G1764">
            <v>0</v>
          </cell>
          <cell r="I1764">
            <v>0</v>
          </cell>
          <cell r="K1764" t="str">
            <v>台</v>
          </cell>
          <cell r="L1764">
            <v>0</v>
          </cell>
        </row>
        <row r="1765">
          <cell r="A1765">
            <v>5595</v>
          </cell>
          <cell r="B1765">
            <v>1</v>
          </cell>
          <cell r="D1765" t="str">
            <v>电桥率定器（SQL-5）</v>
          </cell>
          <cell r="E1765" t="str">
            <v>台</v>
          </cell>
          <cell r="G1765">
            <v>2266</v>
          </cell>
          <cell r="H1765">
            <v>2200</v>
          </cell>
          <cell r="I1765">
            <v>66</v>
          </cell>
          <cell r="K1765" t="str">
            <v>台</v>
          </cell>
          <cell r="L1765">
            <v>2266</v>
          </cell>
        </row>
        <row r="1766">
          <cell r="A1766">
            <v>5596</v>
          </cell>
          <cell r="B1766">
            <v>1</v>
          </cell>
          <cell r="D1766" t="str">
            <v>卡尔逊式仪器率定设备</v>
          </cell>
          <cell r="E1766" t="str">
            <v>套</v>
          </cell>
          <cell r="G1766">
            <v>41200</v>
          </cell>
          <cell r="H1766">
            <v>40000</v>
          </cell>
          <cell r="I1766">
            <v>1200</v>
          </cell>
          <cell r="K1766" t="str">
            <v>套</v>
          </cell>
          <cell r="L1766">
            <v>41200</v>
          </cell>
        </row>
        <row r="1767">
          <cell r="A1767">
            <v>5597</v>
          </cell>
          <cell r="B1767">
            <v>1</v>
          </cell>
          <cell r="D1767" t="str">
            <v>电缆硫化器（LH-1）</v>
          </cell>
          <cell r="E1767" t="str">
            <v>台</v>
          </cell>
          <cell r="G1767">
            <v>927</v>
          </cell>
          <cell r="H1767">
            <v>900</v>
          </cell>
          <cell r="I1767">
            <v>27</v>
          </cell>
          <cell r="K1767" t="str">
            <v>台</v>
          </cell>
          <cell r="L1767">
            <v>927</v>
          </cell>
        </row>
        <row r="1768">
          <cell r="A1768">
            <v>5598</v>
          </cell>
          <cell r="B1768">
            <v>1</v>
          </cell>
          <cell r="D1768" t="str">
            <v>测压管（含钢套管、压力表）</v>
          </cell>
          <cell r="E1768" t="str">
            <v>根</v>
          </cell>
          <cell r="G1768">
            <v>0</v>
          </cell>
          <cell r="I1768">
            <v>0</v>
          </cell>
          <cell r="K1768" t="str">
            <v>根</v>
          </cell>
          <cell r="L1768">
            <v>0</v>
          </cell>
        </row>
        <row r="1769">
          <cell r="A1769">
            <v>5599</v>
          </cell>
          <cell r="B1769">
            <v>1</v>
          </cell>
          <cell r="D1769" t="str">
            <v>量水堰</v>
          </cell>
          <cell r="E1769" t="str">
            <v>台</v>
          </cell>
          <cell r="G1769">
            <v>618</v>
          </cell>
          <cell r="H1769">
            <v>600</v>
          </cell>
          <cell r="I1769">
            <v>18</v>
          </cell>
          <cell r="K1769" t="str">
            <v>台</v>
          </cell>
          <cell r="L1769">
            <v>618</v>
          </cell>
        </row>
        <row r="1770">
          <cell r="A1770">
            <v>5600</v>
          </cell>
          <cell r="B1770">
            <v>1</v>
          </cell>
          <cell r="D1770" t="str">
            <v>水准测点（B-2）</v>
          </cell>
          <cell r="E1770" t="str">
            <v>个</v>
          </cell>
          <cell r="G1770">
            <v>149.35</v>
          </cell>
          <cell r="H1770">
            <v>145</v>
          </cell>
          <cell r="I1770">
            <v>4.3499999999999996</v>
          </cell>
          <cell r="K1770" t="str">
            <v>个</v>
          </cell>
          <cell r="L1770">
            <v>149.35</v>
          </cell>
        </row>
        <row r="1771">
          <cell r="A1771">
            <v>5601</v>
          </cell>
          <cell r="B1771">
            <v>1</v>
          </cell>
          <cell r="D1771" t="str">
            <v>水准仪（NA3003）</v>
          </cell>
          <cell r="E1771" t="str">
            <v>台</v>
          </cell>
          <cell r="G1771">
            <v>117729</v>
          </cell>
          <cell r="H1771">
            <v>114300</v>
          </cell>
          <cell r="I1771">
            <v>3429</v>
          </cell>
          <cell r="K1771" t="str">
            <v>台</v>
          </cell>
          <cell r="L1771">
            <v>117729</v>
          </cell>
        </row>
        <row r="1772">
          <cell r="A1772">
            <v>5602</v>
          </cell>
          <cell r="B1772">
            <v>1</v>
          </cell>
          <cell r="D1772" t="str">
            <v>铟钢水准尺（2m）</v>
          </cell>
          <cell r="E1772" t="str">
            <v>付</v>
          </cell>
          <cell r="G1772">
            <v>32960</v>
          </cell>
          <cell r="H1772">
            <v>32000</v>
          </cell>
          <cell r="I1772">
            <v>960</v>
          </cell>
          <cell r="K1772" t="str">
            <v>付</v>
          </cell>
          <cell r="L1772">
            <v>32960</v>
          </cell>
        </row>
        <row r="1773">
          <cell r="A1773">
            <v>5603</v>
          </cell>
          <cell r="B1773">
            <v>1</v>
          </cell>
          <cell r="D1773" t="str">
            <v>引张线设备（包括铟钢丝）</v>
          </cell>
          <cell r="E1773" t="str">
            <v>套</v>
          </cell>
          <cell r="G1773">
            <v>0</v>
          </cell>
          <cell r="H1773">
            <v>0</v>
          </cell>
          <cell r="I1773">
            <v>0</v>
          </cell>
          <cell r="K1773" t="str">
            <v>套</v>
          </cell>
          <cell r="L1773">
            <v>0</v>
          </cell>
        </row>
        <row r="1774">
          <cell r="A1774">
            <v>5604</v>
          </cell>
          <cell r="B1774">
            <v>1</v>
          </cell>
          <cell r="D1774" t="str">
            <v>静力水准（钢管、铝管及管口附件）</v>
          </cell>
          <cell r="E1774" t="str">
            <v>套</v>
          </cell>
          <cell r="G1774">
            <v>8240</v>
          </cell>
          <cell r="H1774">
            <v>8000</v>
          </cell>
          <cell r="I1774">
            <v>240</v>
          </cell>
          <cell r="K1774" t="str">
            <v>套</v>
          </cell>
          <cell r="L1774">
            <v>8240</v>
          </cell>
        </row>
        <row r="1775">
          <cell r="A1775">
            <v>5605</v>
          </cell>
          <cell r="B1775">
            <v>1</v>
          </cell>
          <cell r="D1775" t="str">
            <v>大小校正仪</v>
          </cell>
          <cell r="E1775" t="str">
            <v>台</v>
          </cell>
          <cell r="G1775">
            <v>0</v>
          </cell>
          <cell r="I1775">
            <v>0</v>
          </cell>
          <cell r="K1775" t="str">
            <v>台</v>
          </cell>
          <cell r="L1775">
            <v>0</v>
          </cell>
        </row>
        <row r="1776">
          <cell r="A1776">
            <v>5606</v>
          </cell>
          <cell r="B1776">
            <v>1</v>
          </cell>
          <cell r="D1776" t="str">
            <v>静力水准坐标仪</v>
          </cell>
          <cell r="E1776" t="str">
            <v>台</v>
          </cell>
          <cell r="G1776">
            <v>8034</v>
          </cell>
          <cell r="H1776">
            <v>7800</v>
          </cell>
          <cell r="I1776">
            <v>234</v>
          </cell>
          <cell r="K1776" t="str">
            <v>台</v>
          </cell>
          <cell r="L1776">
            <v>8034</v>
          </cell>
        </row>
        <row r="1777">
          <cell r="A1777">
            <v>5607</v>
          </cell>
          <cell r="B1777">
            <v>1</v>
          </cell>
          <cell r="D1777" t="str">
            <v>电子水准仪（DA-101C）</v>
          </cell>
          <cell r="E1777" t="str">
            <v>台</v>
          </cell>
          <cell r="G1777">
            <v>0</v>
          </cell>
          <cell r="I1777">
            <v>0</v>
          </cell>
          <cell r="K1777" t="str">
            <v>台</v>
          </cell>
          <cell r="L1777">
            <v>0</v>
          </cell>
        </row>
        <row r="1778">
          <cell r="A1778">
            <v>5608</v>
          </cell>
          <cell r="B1778">
            <v>1</v>
          </cell>
          <cell r="D1778" t="str">
            <v>普通水准仪（DSZZ）</v>
          </cell>
          <cell r="E1778" t="str">
            <v>台</v>
          </cell>
          <cell r="G1778">
            <v>0</v>
          </cell>
          <cell r="I1778">
            <v>0</v>
          </cell>
          <cell r="K1778" t="str">
            <v>台</v>
          </cell>
          <cell r="L1778">
            <v>0</v>
          </cell>
        </row>
        <row r="1779">
          <cell r="A1779">
            <v>5609</v>
          </cell>
          <cell r="B1779">
            <v>1</v>
          </cell>
          <cell r="D1779" t="str">
            <v>照相机</v>
          </cell>
          <cell r="E1779" t="str">
            <v>台</v>
          </cell>
          <cell r="G1779">
            <v>0</v>
          </cell>
          <cell r="I1779">
            <v>0</v>
          </cell>
          <cell r="K1779" t="str">
            <v>台</v>
          </cell>
          <cell r="L1779">
            <v>0</v>
          </cell>
        </row>
        <row r="1780">
          <cell r="A1780">
            <v>5610</v>
          </cell>
          <cell r="B1780">
            <v>1</v>
          </cell>
          <cell r="D1780" t="str">
            <v>通用底座</v>
          </cell>
          <cell r="E1780" t="str">
            <v>套</v>
          </cell>
          <cell r="G1780">
            <v>0</v>
          </cell>
          <cell r="I1780">
            <v>0</v>
          </cell>
          <cell r="K1780" t="str">
            <v>套</v>
          </cell>
          <cell r="L1780">
            <v>0</v>
          </cell>
        </row>
        <row r="1781">
          <cell r="A1781">
            <v>5611</v>
          </cell>
          <cell r="B1781">
            <v>1</v>
          </cell>
          <cell r="D1781" t="str">
            <v>倒垂设备</v>
          </cell>
          <cell r="E1781" t="str">
            <v>套</v>
          </cell>
          <cell r="G1781">
            <v>61800</v>
          </cell>
          <cell r="H1781">
            <v>60000</v>
          </cell>
          <cell r="I1781">
            <v>1800</v>
          </cell>
          <cell r="K1781" t="str">
            <v>套</v>
          </cell>
          <cell r="L1781">
            <v>61800</v>
          </cell>
        </row>
        <row r="1782">
          <cell r="A1782">
            <v>5612</v>
          </cell>
          <cell r="B1782">
            <v>1</v>
          </cell>
          <cell r="D1782" t="str">
            <v>垂线坐标仪</v>
          </cell>
          <cell r="E1782" t="str">
            <v>套</v>
          </cell>
          <cell r="G1782">
            <v>7488.1</v>
          </cell>
          <cell r="H1782">
            <v>7270</v>
          </cell>
          <cell r="I1782">
            <v>218.1</v>
          </cell>
          <cell r="K1782" t="str">
            <v>套</v>
          </cell>
          <cell r="L1782">
            <v>7488.1</v>
          </cell>
        </row>
        <row r="1783">
          <cell r="A1783">
            <v>5613</v>
          </cell>
          <cell r="B1783">
            <v>1</v>
          </cell>
          <cell r="D1783" t="str">
            <v>倒垂线装置（包括油桶、浮体、锚块）</v>
          </cell>
          <cell r="E1783" t="str">
            <v>套</v>
          </cell>
          <cell r="G1783">
            <v>0</v>
          </cell>
          <cell r="I1783">
            <v>0</v>
          </cell>
          <cell r="K1783" t="str">
            <v>套</v>
          </cell>
          <cell r="L1783">
            <v>0</v>
          </cell>
        </row>
        <row r="1784">
          <cell r="A1784">
            <v>5614</v>
          </cell>
          <cell r="B1784">
            <v>1</v>
          </cell>
          <cell r="D1784" t="str">
            <v>倒垂设备（DC-40）（包括铟钢丝）</v>
          </cell>
          <cell r="E1784" t="str">
            <v>套</v>
          </cell>
          <cell r="G1784">
            <v>0</v>
          </cell>
          <cell r="I1784">
            <v>0</v>
          </cell>
          <cell r="K1784" t="str">
            <v>套</v>
          </cell>
          <cell r="L1784">
            <v>0</v>
          </cell>
        </row>
        <row r="1785">
          <cell r="A1785">
            <v>5615</v>
          </cell>
          <cell r="B1785">
            <v>1</v>
          </cell>
          <cell r="D1785" t="str">
            <v>正垂线装置（包括夹线装置、油桶、重锤等）</v>
          </cell>
          <cell r="E1785" t="str">
            <v>套</v>
          </cell>
          <cell r="G1785">
            <v>0</v>
          </cell>
          <cell r="I1785">
            <v>0</v>
          </cell>
          <cell r="K1785" t="str">
            <v>套</v>
          </cell>
          <cell r="L1785">
            <v>0</v>
          </cell>
        </row>
        <row r="1786">
          <cell r="A1786">
            <v>5616</v>
          </cell>
          <cell r="B1786">
            <v>1</v>
          </cell>
          <cell r="D1786" t="str">
            <v>正垂设备（ZC-40）（包括铟钢丝）</v>
          </cell>
          <cell r="E1786" t="str">
            <v>套</v>
          </cell>
          <cell r="G1786">
            <v>0</v>
          </cell>
          <cell r="I1786">
            <v>0</v>
          </cell>
          <cell r="K1786" t="str">
            <v>套</v>
          </cell>
          <cell r="L1786">
            <v>0</v>
          </cell>
        </row>
        <row r="1787">
          <cell r="A1787">
            <v>5617</v>
          </cell>
          <cell r="B1787">
            <v>1</v>
          </cell>
          <cell r="D1787" t="str">
            <v>垂线标定装置</v>
          </cell>
          <cell r="E1787" t="str">
            <v>套</v>
          </cell>
          <cell r="G1787">
            <v>0</v>
          </cell>
          <cell r="I1787">
            <v>0</v>
          </cell>
          <cell r="K1787" t="str">
            <v>套</v>
          </cell>
          <cell r="L1787">
            <v>0</v>
          </cell>
        </row>
        <row r="1788">
          <cell r="A1788">
            <v>5618</v>
          </cell>
          <cell r="B1788">
            <v>1</v>
          </cell>
          <cell r="D1788" t="str">
            <v>全站仪（TC1800）</v>
          </cell>
          <cell r="E1788" t="str">
            <v>台</v>
          </cell>
          <cell r="G1788">
            <v>0</v>
          </cell>
          <cell r="I1788">
            <v>0</v>
          </cell>
          <cell r="K1788" t="str">
            <v>台</v>
          </cell>
          <cell r="L1788">
            <v>0</v>
          </cell>
        </row>
        <row r="1789">
          <cell r="A1789">
            <v>5619</v>
          </cell>
          <cell r="B1789">
            <v>1</v>
          </cell>
          <cell r="D1789" t="str">
            <v>经纬仪（J2-2）</v>
          </cell>
          <cell r="E1789" t="str">
            <v>台</v>
          </cell>
          <cell r="G1789">
            <v>0</v>
          </cell>
          <cell r="I1789">
            <v>0</v>
          </cell>
          <cell r="K1789" t="str">
            <v>台</v>
          </cell>
          <cell r="L1789">
            <v>0</v>
          </cell>
        </row>
        <row r="1790">
          <cell r="A1790">
            <v>5620</v>
          </cell>
          <cell r="B1790">
            <v>1</v>
          </cell>
          <cell r="D1790" t="str">
            <v>垂线坐标仪（GYC-50）</v>
          </cell>
          <cell r="E1790" t="str">
            <v>台</v>
          </cell>
          <cell r="G1790">
            <v>14935</v>
          </cell>
          <cell r="H1790">
            <v>14500</v>
          </cell>
          <cell r="I1790">
            <v>435</v>
          </cell>
          <cell r="K1790" t="str">
            <v>台</v>
          </cell>
          <cell r="L1790">
            <v>14935</v>
          </cell>
        </row>
        <row r="1791">
          <cell r="A1791">
            <v>5621</v>
          </cell>
          <cell r="B1791">
            <v>1</v>
          </cell>
          <cell r="D1791" t="str">
            <v>倒垂护管Φ159mm无缝钢管</v>
          </cell>
          <cell r="E1791" t="str">
            <v>m</v>
          </cell>
          <cell r="G1791">
            <v>0</v>
          </cell>
          <cell r="I1791">
            <v>0</v>
          </cell>
          <cell r="K1791" t="str">
            <v>m</v>
          </cell>
          <cell r="L1791">
            <v>0</v>
          </cell>
        </row>
        <row r="1792">
          <cell r="A1792">
            <v>5622</v>
          </cell>
          <cell r="B1792">
            <v>1</v>
          </cell>
          <cell r="D1792" t="str">
            <v>正垂护管Φ270mm普通钢管</v>
          </cell>
          <cell r="E1792" t="str">
            <v>m</v>
          </cell>
          <cell r="G1792">
            <v>0</v>
          </cell>
          <cell r="I1792">
            <v>0</v>
          </cell>
          <cell r="K1792" t="str">
            <v>m</v>
          </cell>
          <cell r="L1792">
            <v>0</v>
          </cell>
        </row>
        <row r="1793">
          <cell r="A1793">
            <v>5623</v>
          </cell>
          <cell r="B1793">
            <v>1</v>
          </cell>
          <cell r="D1793" t="str">
            <v>水尺（搪瓷）</v>
          </cell>
          <cell r="E1793" t="str">
            <v>m</v>
          </cell>
          <cell r="G1793">
            <v>77.25</v>
          </cell>
          <cell r="H1793">
            <v>75</v>
          </cell>
          <cell r="I1793">
            <v>2.25</v>
          </cell>
          <cell r="K1793" t="str">
            <v>m</v>
          </cell>
          <cell r="L1793">
            <v>77.25</v>
          </cell>
        </row>
        <row r="1794">
          <cell r="A1794">
            <v>5624</v>
          </cell>
          <cell r="B1794">
            <v>1</v>
          </cell>
          <cell r="D1794" t="str">
            <v>涂漆水尺</v>
          </cell>
          <cell r="E1794" t="str">
            <v>m</v>
          </cell>
          <cell r="G1794">
            <v>39.14</v>
          </cell>
          <cell r="H1794">
            <v>38</v>
          </cell>
          <cell r="I1794">
            <v>1.1399999999999999</v>
          </cell>
          <cell r="K1794" t="str">
            <v>m</v>
          </cell>
          <cell r="L1794">
            <v>39.14</v>
          </cell>
        </row>
        <row r="1795">
          <cell r="A1795">
            <v>5625</v>
          </cell>
          <cell r="B1795">
            <v>1</v>
          </cell>
          <cell r="D1795" t="str">
            <v>水准尺</v>
          </cell>
          <cell r="E1795" t="str">
            <v>把</v>
          </cell>
          <cell r="G1795">
            <v>0</v>
          </cell>
          <cell r="I1795">
            <v>0</v>
          </cell>
          <cell r="K1795" t="str">
            <v>把</v>
          </cell>
          <cell r="L1795">
            <v>0</v>
          </cell>
        </row>
        <row r="1796">
          <cell r="A1796">
            <v>5626</v>
          </cell>
          <cell r="B1796">
            <v>1</v>
          </cell>
          <cell r="D1796" t="str">
            <v>玻璃钢塔尺</v>
          </cell>
          <cell r="E1796" t="str">
            <v>把</v>
          </cell>
          <cell r="G1796">
            <v>0</v>
          </cell>
          <cell r="I1796">
            <v>0</v>
          </cell>
          <cell r="K1796" t="str">
            <v>把</v>
          </cell>
          <cell r="L1796">
            <v>0</v>
          </cell>
        </row>
        <row r="1797">
          <cell r="A1797">
            <v>5627</v>
          </cell>
          <cell r="B1797">
            <v>1</v>
          </cell>
          <cell r="D1797" t="str">
            <v>普通钢带尺（30m）</v>
          </cell>
          <cell r="E1797" t="str">
            <v>把</v>
          </cell>
          <cell r="G1797">
            <v>0</v>
          </cell>
          <cell r="I1797">
            <v>0</v>
          </cell>
          <cell r="K1797" t="str">
            <v>把</v>
          </cell>
          <cell r="L1797">
            <v>0</v>
          </cell>
        </row>
        <row r="1798">
          <cell r="A1798">
            <v>5628</v>
          </cell>
          <cell r="B1798">
            <v>1</v>
          </cell>
          <cell r="D1798" t="str">
            <v>普通钢带尺（70m）</v>
          </cell>
          <cell r="E1798" t="str">
            <v>把</v>
          </cell>
          <cell r="G1798">
            <v>0</v>
          </cell>
          <cell r="I1798">
            <v>0</v>
          </cell>
          <cell r="K1798" t="str">
            <v>把</v>
          </cell>
          <cell r="L1798">
            <v>0</v>
          </cell>
        </row>
        <row r="1799">
          <cell r="A1799">
            <v>5629</v>
          </cell>
          <cell r="B1799">
            <v>1</v>
          </cell>
          <cell r="D1799" t="str">
            <v>皮尺（50m）</v>
          </cell>
          <cell r="E1799" t="str">
            <v>把</v>
          </cell>
          <cell r="G1799">
            <v>0</v>
          </cell>
          <cell r="I1799">
            <v>0</v>
          </cell>
          <cell r="K1799" t="str">
            <v>把</v>
          </cell>
          <cell r="L1799">
            <v>0</v>
          </cell>
        </row>
        <row r="1800">
          <cell r="A1800">
            <v>5630</v>
          </cell>
          <cell r="B1800">
            <v>1</v>
          </cell>
          <cell r="D1800" t="str">
            <v>皮尺（30m）</v>
          </cell>
          <cell r="E1800" t="str">
            <v>把</v>
          </cell>
          <cell r="G1800">
            <v>0</v>
          </cell>
          <cell r="I1800">
            <v>0</v>
          </cell>
          <cell r="K1800" t="str">
            <v>把</v>
          </cell>
          <cell r="L1800">
            <v>0</v>
          </cell>
        </row>
        <row r="1801">
          <cell r="A1801">
            <v>5631</v>
          </cell>
          <cell r="B1801">
            <v>1</v>
          </cell>
          <cell r="D1801" t="str">
            <v>铟钢水准尺</v>
          </cell>
          <cell r="E1801" t="str">
            <v>付</v>
          </cell>
          <cell r="G1801">
            <v>30900</v>
          </cell>
          <cell r="H1801">
            <v>30000</v>
          </cell>
          <cell r="I1801">
            <v>900</v>
          </cell>
          <cell r="K1801" t="str">
            <v>付</v>
          </cell>
          <cell r="L1801">
            <v>30900</v>
          </cell>
        </row>
        <row r="1802">
          <cell r="A1802">
            <v>5632</v>
          </cell>
          <cell r="B1802">
            <v>1</v>
          </cell>
          <cell r="D1802" t="str">
            <v>铟钢基线尺</v>
          </cell>
          <cell r="E1802" t="str">
            <v>付</v>
          </cell>
          <cell r="G1802">
            <v>10300</v>
          </cell>
          <cell r="H1802">
            <v>10000</v>
          </cell>
          <cell r="I1802">
            <v>300</v>
          </cell>
          <cell r="K1802" t="str">
            <v>付</v>
          </cell>
          <cell r="L1802">
            <v>10300</v>
          </cell>
        </row>
        <row r="1803">
          <cell r="A1803">
            <v>5633</v>
          </cell>
          <cell r="B1803">
            <v>1</v>
          </cell>
          <cell r="D1803" t="str">
            <v>铟钢带尺</v>
          </cell>
          <cell r="E1803" t="str">
            <v>付</v>
          </cell>
          <cell r="G1803">
            <v>12415.62</v>
          </cell>
          <cell r="H1803">
            <v>12054</v>
          </cell>
          <cell r="I1803">
            <v>361.62</v>
          </cell>
          <cell r="K1803" t="str">
            <v>付</v>
          </cell>
          <cell r="L1803">
            <v>12415.62</v>
          </cell>
        </row>
        <row r="1804">
          <cell r="A1804">
            <v>5634</v>
          </cell>
          <cell r="B1804">
            <v>1</v>
          </cell>
          <cell r="D1804" t="str">
            <v>自计水位计</v>
          </cell>
          <cell r="E1804" t="str">
            <v>台</v>
          </cell>
          <cell r="G1804">
            <v>2472</v>
          </cell>
          <cell r="H1804">
            <v>2400</v>
          </cell>
          <cell r="I1804">
            <v>72</v>
          </cell>
          <cell r="K1804" t="str">
            <v>台</v>
          </cell>
          <cell r="L1804">
            <v>2472</v>
          </cell>
        </row>
        <row r="1805">
          <cell r="A1805">
            <v>5635</v>
          </cell>
          <cell r="B1805">
            <v>1</v>
          </cell>
          <cell r="D1805" t="str">
            <v>计算机（便携式、包括打印机）</v>
          </cell>
          <cell r="E1805" t="str">
            <v>套</v>
          </cell>
          <cell r="G1805">
            <v>20600</v>
          </cell>
          <cell r="H1805">
            <v>20000</v>
          </cell>
          <cell r="I1805">
            <v>600</v>
          </cell>
          <cell r="K1805" t="str">
            <v>套</v>
          </cell>
          <cell r="L1805">
            <v>20600</v>
          </cell>
        </row>
        <row r="1806">
          <cell r="A1806">
            <v>5636</v>
          </cell>
          <cell r="B1806">
            <v>1</v>
          </cell>
          <cell r="D1806" t="str">
            <v>双管金属坐标仪</v>
          </cell>
          <cell r="E1806" t="str">
            <v>台</v>
          </cell>
          <cell r="G1806">
            <v>14935</v>
          </cell>
          <cell r="H1806">
            <v>14500</v>
          </cell>
          <cell r="I1806">
            <v>435</v>
          </cell>
          <cell r="K1806" t="str">
            <v>台</v>
          </cell>
          <cell r="L1806">
            <v>14935</v>
          </cell>
        </row>
        <row r="1807">
          <cell r="A1807">
            <v>5637</v>
          </cell>
          <cell r="B1807">
            <v>1</v>
          </cell>
          <cell r="D1807" t="str">
            <v>测斜仪</v>
          </cell>
          <cell r="E1807" t="str">
            <v>套</v>
          </cell>
          <cell r="G1807">
            <v>81370</v>
          </cell>
          <cell r="H1807">
            <v>79000</v>
          </cell>
          <cell r="I1807">
            <v>2370</v>
          </cell>
          <cell r="K1807" t="str">
            <v>套</v>
          </cell>
          <cell r="L1807">
            <v>81370</v>
          </cell>
        </row>
        <row r="1808">
          <cell r="A1808">
            <v>5638</v>
          </cell>
          <cell r="B1808">
            <v>1</v>
          </cell>
          <cell r="D1808" t="str">
            <v>锚索测力计</v>
          </cell>
          <cell r="E1808" t="str">
            <v>套</v>
          </cell>
          <cell r="G1808">
            <v>11124</v>
          </cell>
          <cell r="H1808">
            <v>10800</v>
          </cell>
          <cell r="I1808">
            <v>324</v>
          </cell>
          <cell r="K1808" t="str">
            <v>套</v>
          </cell>
          <cell r="L1808">
            <v>11124</v>
          </cell>
        </row>
        <row r="1809">
          <cell r="A1809">
            <v>5639</v>
          </cell>
          <cell r="B1809">
            <v>1</v>
          </cell>
          <cell r="D1809" t="str">
            <v>钢板计（DI-10）</v>
          </cell>
          <cell r="E1809" t="str">
            <v>支</v>
          </cell>
          <cell r="G1809">
            <v>1215.4000000000001</v>
          </cell>
          <cell r="H1809">
            <v>1180</v>
          </cell>
          <cell r="I1809">
            <v>35.4</v>
          </cell>
          <cell r="K1809" t="str">
            <v>支</v>
          </cell>
          <cell r="L1809">
            <v>1215.4000000000001</v>
          </cell>
        </row>
        <row r="1810">
          <cell r="A1810">
            <v>5640</v>
          </cell>
          <cell r="B1810">
            <v>1</v>
          </cell>
          <cell r="D1810" t="str">
            <v>缝隙计（CF-12）</v>
          </cell>
          <cell r="E1810" t="str">
            <v>支</v>
          </cell>
          <cell r="G1810">
            <v>968.2</v>
          </cell>
          <cell r="H1810">
            <v>940</v>
          </cell>
          <cell r="I1810">
            <v>28.2</v>
          </cell>
          <cell r="K1810" t="str">
            <v>支</v>
          </cell>
          <cell r="L1810">
            <v>968.2</v>
          </cell>
        </row>
        <row r="1811">
          <cell r="A1811">
            <v>5641</v>
          </cell>
          <cell r="B1811">
            <v>1</v>
          </cell>
          <cell r="D1811" t="str">
            <v>土压力计（HXY-4）（YUB-2,4,8,16)</v>
          </cell>
          <cell r="E1811" t="str">
            <v>支</v>
          </cell>
          <cell r="G1811">
            <v>1957</v>
          </cell>
          <cell r="H1811">
            <v>1900</v>
          </cell>
          <cell r="I1811">
            <v>57</v>
          </cell>
          <cell r="K1811" t="str">
            <v>支</v>
          </cell>
          <cell r="L1811">
            <v>1957</v>
          </cell>
        </row>
        <row r="1812">
          <cell r="A1812">
            <v>5642</v>
          </cell>
          <cell r="B1812">
            <v>1</v>
          </cell>
          <cell r="D1812" t="str">
            <v>管口保护装置</v>
          </cell>
          <cell r="E1812" t="str">
            <v>套</v>
          </cell>
          <cell r="G1812">
            <v>30.490000000000002</v>
          </cell>
          <cell r="H1812">
            <v>29.6</v>
          </cell>
          <cell r="I1812">
            <v>0.89</v>
          </cell>
          <cell r="K1812" t="str">
            <v>套</v>
          </cell>
          <cell r="L1812">
            <v>30.490000000000002</v>
          </cell>
        </row>
        <row r="1813">
          <cell r="A1813">
            <v>5643</v>
          </cell>
          <cell r="B1813">
            <v>1</v>
          </cell>
          <cell r="D1813" t="str">
            <v>Φ75镀锌钢管（7 m）</v>
          </cell>
          <cell r="E1813" t="str">
            <v>根</v>
          </cell>
          <cell r="G1813">
            <v>129.25</v>
          </cell>
          <cell r="H1813">
            <v>125.49</v>
          </cell>
          <cell r="I1813">
            <v>3.76</v>
          </cell>
          <cell r="K1813" t="str">
            <v>根</v>
          </cell>
          <cell r="L1813">
            <v>129.25</v>
          </cell>
        </row>
        <row r="1814">
          <cell r="A1814">
            <v>5644</v>
          </cell>
          <cell r="B1814">
            <v>1</v>
          </cell>
          <cell r="D1814" t="str">
            <v>压力表</v>
          </cell>
          <cell r="E1814" t="str">
            <v>块</v>
          </cell>
          <cell r="G1814">
            <v>41.2</v>
          </cell>
          <cell r="H1814">
            <v>40</v>
          </cell>
          <cell r="I1814">
            <v>1.2</v>
          </cell>
          <cell r="K1814" t="str">
            <v>块</v>
          </cell>
          <cell r="L1814">
            <v>41.2</v>
          </cell>
        </row>
        <row r="1815">
          <cell r="A1815">
            <v>5645</v>
          </cell>
          <cell r="B1815">
            <v>1</v>
          </cell>
          <cell r="D1815" t="str">
            <v>读数显微镜</v>
          </cell>
          <cell r="E1815" t="str">
            <v>台</v>
          </cell>
          <cell r="G1815">
            <v>15.45</v>
          </cell>
          <cell r="H1815">
            <v>15</v>
          </cell>
          <cell r="I1815">
            <v>0.45</v>
          </cell>
          <cell r="K1815" t="str">
            <v>台</v>
          </cell>
          <cell r="L1815">
            <v>15.45</v>
          </cell>
        </row>
        <row r="1816">
          <cell r="A1816">
            <v>5646</v>
          </cell>
          <cell r="B1816">
            <v>1</v>
          </cell>
          <cell r="D1816" t="str">
            <v>引张线端点拉力装置</v>
          </cell>
          <cell r="E1816" t="str">
            <v>套</v>
          </cell>
          <cell r="G1816">
            <v>0</v>
          </cell>
          <cell r="I1816">
            <v>0</v>
          </cell>
          <cell r="K1816" t="str">
            <v>套</v>
          </cell>
          <cell r="L1816">
            <v>0</v>
          </cell>
        </row>
        <row r="1817">
          <cell r="A1817">
            <v>5647</v>
          </cell>
          <cell r="B1817">
            <v>1</v>
          </cell>
          <cell r="D1817" t="str">
            <v>引张线端点装置</v>
          </cell>
          <cell r="E1817" t="str">
            <v>套</v>
          </cell>
          <cell r="G1817">
            <v>0</v>
          </cell>
          <cell r="I1817">
            <v>0</v>
          </cell>
          <cell r="K1817" t="str">
            <v>套</v>
          </cell>
          <cell r="L1817">
            <v>0</v>
          </cell>
        </row>
        <row r="1818">
          <cell r="A1818">
            <v>5648</v>
          </cell>
          <cell r="B1818">
            <v>1</v>
          </cell>
          <cell r="D1818" t="str">
            <v>引张线测点装置</v>
          </cell>
          <cell r="E1818" t="str">
            <v>套</v>
          </cell>
          <cell r="G1818">
            <v>0</v>
          </cell>
          <cell r="I1818">
            <v>0</v>
          </cell>
          <cell r="K1818" t="str">
            <v>套</v>
          </cell>
          <cell r="L1818">
            <v>0</v>
          </cell>
        </row>
        <row r="1819">
          <cell r="A1819">
            <v>5649</v>
          </cell>
          <cell r="B1819">
            <v>1</v>
          </cell>
          <cell r="D1819" t="str">
            <v>引张线标定装置</v>
          </cell>
          <cell r="E1819" t="str">
            <v>套</v>
          </cell>
          <cell r="G1819">
            <v>0</v>
          </cell>
          <cell r="I1819">
            <v>0</v>
          </cell>
          <cell r="K1819" t="str">
            <v>套</v>
          </cell>
          <cell r="L1819">
            <v>0</v>
          </cell>
        </row>
        <row r="1820">
          <cell r="A1820">
            <v>5650</v>
          </cell>
          <cell r="B1820">
            <v>1</v>
          </cell>
          <cell r="D1820" t="str">
            <v>测点装置</v>
          </cell>
          <cell r="E1820" t="str">
            <v>套</v>
          </cell>
          <cell r="G1820">
            <v>2020.35</v>
          </cell>
          <cell r="H1820">
            <v>1961.5</v>
          </cell>
          <cell r="I1820">
            <v>58.85</v>
          </cell>
          <cell r="K1820" t="str">
            <v>套</v>
          </cell>
          <cell r="L1820">
            <v>2020.35</v>
          </cell>
        </row>
        <row r="1821">
          <cell r="A1821">
            <v>5651</v>
          </cell>
          <cell r="B1821">
            <v>1</v>
          </cell>
          <cell r="D1821" t="str">
            <v>测点保护装置</v>
          </cell>
          <cell r="E1821" t="str">
            <v>套</v>
          </cell>
          <cell r="G1821">
            <v>606.16</v>
          </cell>
          <cell r="H1821">
            <v>588.5</v>
          </cell>
          <cell r="I1821">
            <v>17.66</v>
          </cell>
          <cell r="K1821" t="str">
            <v>套</v>
          </cell>
          <cell r="L1821">
            <v>606.16</v>
          </cell>
        </row>
        <row r="1822">
          <cell r="A1822">
            <v>5652</v>
          </cell>
          <cell r="B1822">
            <v>1</v>
          </cell>
          <cell r="D1822" t="str">
            <v>引张线测点支架</v>
          </cell>
          <cell r="E1822" t="str">
            <v>套</v>
          </cell>
          <cell r="G1822">
            <v>380.07</v>
          </cell>
          <cell r="H1822">
            <v>369</v>
          </cell>
          <cell r="I1822">
            <v>11.07</v>
          </cell>
          <cell r="K1822" t="str">
            <v>套</v>
          </cell>
          <cell r="L1822">
            <v>380.07</v>
          </cell>
        </row>
        <row r="1823">
          <cell r="A1823">
            <v>5653</v>
          </cell>
          <cell r="B1823">
            <v>1</v>
          </cell>
          <cell r="D1823" t="str">
            <v>引张线保护管VPVC110mm</v>
          </cell>
          <cell r="E1823" t="str">
            <v>m</v>
          </cell>
          <cell r="G1823">
            <v>23.07</v>
          </cell>
          <cell r="H1823">
            <v>22.4</v>
          </cell>
          <cell r="I1823">
            <v>0.67</v>
          </cell>
          <cell r="K1823" t="str">
            <v>m</v>
          </cell>
          <cell r="L1823">
            <v>23.07</v>
          </cell>
        </row>
        <row r="1824">
          <cell r="A1824">
            <v>5654</v>
          </cell>
          <cell r="B1824">
            <v>1</v>
          </cell>
          <cell r="D1824" t="str">
            <v>保护管内检查接口</v>
          </cell>
          <cell r="E1824" t="str">
            <v>个</v>
          </cell>
          <cell r="G1824">
            <v>20.190000000000001</v>
          </cell>
          <cell r="H1824">
            <v>19.600000000000001</v>
          </cell>
          <cell r="I1824">
            <v>0.59</v>
          </cell>
          <cell r="K1824" t="str">
            <v>个</v>
          </cell>
          <cell r="L1824">
            <v>20.190000000000001</v>
          </cell>
        </row>
        <row r="1825">
          <cell r="A1825">
            <v>5655</v>
          </cell>
          <cell r="B1825">
            <v>1</v>
          </cell>
          <cell r="D1825" t="str">
            <v>铟钢丝</v>
          </cell>
          <cell r="E1825" t="str">
            <v>m</v>
          </cell>
          <cell r="G1825">
            <v>30.9</v>
          </cell>
          <cell r="H1825">
            <v>30</v>
          </cell>
          <cell r="I1825">
            <v>0.9</v>
          </cell>
          <cell r="K1825" t="str">
            <v>m</v>
          </cell>
          <cell r="L1825">
            <v>30.9</v>
          </cell>
        </row>
        <row r="1826">
          <cell r="A1826">
            <v>5656</v>
          </cell>
          <cell r="B1826">
            <v>1</v>
          </cell>
          <cell r="D1826" t="str">
            <v>保护管支架</v>
          </cell>
          <cell r="E1826" t="str">
            <v>kg</v>
          </cell>
          <cell r="G1826">
            <v>2.96</v>
          </cell>
          <cell r="H1826">
            <v>2.87</v>
          </cell>
          <cell r="I1826">
            <v>0.09</v>
          </cell>
          <cell r="K1826" t="str">
            <v>kg</v>
          </cell>
          <cell r="L1826">
            <v>2.96</v>
          </cell>
        </row>
        <row r="1827">
          <cell r="A1827">
            <v>5657</v>
          </cell>
          <cell r="B1827">
            <v>1</v>
          </cell>
          <cell r="D1827" t="str">
            <v>引张线读数仪</v>
          </cell>
          <cell r="E1827" t="str">
            <v>台</v>
          </cell>
          <cell r="G1827">
            <v>3535.68</v>
          </cell>
          <cell r="H1827">
            <v>3432.7</v>
          </cell>
          <cell r="I1827">
            <v>102.98</v>
          </cell>
          <cell r="K1827" t="str">
            <v>台</v>
          </cell>
          <cell r="L1827">
            <v>3535.68</v>
          </cell>
        </row>
        <row r="1828">
          <cell r="A1828">
            <v>5658</v>
          </cell>
          <cell r="B1828">
            <v>1</v>
          </cell>
          <cell r="D1828" t="str">
            <v>钢套管</v>
          </cell>
          <cell r="E1828" t="str">
            <v>个</v>
          </cell>
          <cell r="G1828">
            <v>15.45</v>
          </cell>
          <cell r="H1828">
            <v>15</v>
          </cell>
          <cell r="I1828">
            <v>0.45</v>
          </cell>
          <cell r="K1828" t="str">
            <v>个</v>
          </cell>
          <cell r="L1828">
            <v>15.45</v>
          </cell>
        </row>
        <row r="1829">
          <cell r="A1829">
            <v>5659</v>
          </cell>
          <cell r="B1829">
            <v>1</v>
          </cell>
          <cell r="D1829" t="str">
            <v>Φ20钢管</v>
          </cell>
          <cell r="E1829" t="str">
            <v>m</v>
          </cell>
          <cell r="G1829">
            <v>5.38</v>
          </cell>
          <cell r="H1829">
            <v>5.22</v>
          </cell>
          <cell r="I1829">
            <v>0.16</v>
          </cell>
          <cell r="K1829" t="str">
            <v>m</v>
          </cell>
          <cell r="L1829">
            <v>5.38</v>
          </cell>
        </row>
        <row r="1830">
          <cell r="A1830">
            <v>5660</v>
          </cell>
          <cell r="B1830">
            <v>1</v>
          </cell>
          <cell r="D1830" t="str">
            <v>Φ15钢管</v>
          </cell>
          <cell r="E1830" t="str">
            <v>m</v>
          </cell>
          <cell r="G1830">
            <v>5.03</v>
          </cell>
          <cell r="H1830">
            <v>4.88</v>
          </cell>
          <cell r="I1830">
            <v>0.15</v>
          </cell>
          <cell r="K1830" t="str">
            <v>m</v>
          </cell>
          <cell r="L1830">
            <v>5.03</v>
          </cell>
        </row>
        <row r="1831">
          <cell r="A1831">
            <v>5661</v>
          </cell>
          <cell r="B1831">
            <v>1</v>
          </cell>
          <cell r="D1831" t="str">
            <v>静力水准保护箱</v>
          </cell>
          <cell r="E1831" t="str">
            <v>个</v>
          </cell>
          <cell r="G1831">
            <v>736.45</v>
          </cell>
          <cell r="H1831">
            <v>715</v>
          </cell>
          <cell r="I1831">
            <v>21.45</v>
          </cell>
          <cell r="K1831" t="str">
            <v>个</v>
          </cell>
          <cell r="L1831">
            <v>736.45</v>
          </cell>
        </row>
        <row r="1832">
          <cell r="A1832">
            <v>5662</v>
          </cell>
          <cell r="B1832">
            <v>1</v>
          </cell>
          <cell r="D1832" t="str">
            <v>钢管托槽</v>
          </cell>
          <cell r="E1832" t="str">
            <v>m</v>
          </cell>
          <cell r="G1832">
            <v>28.34</v>
          </cell>
          <cell r="H1832">
            <v>27.51</v>
          </cell>
          <cell r="I1832">
            <v>0.83</v>
          </cell>
          <cell r="K1832" t="str">
            <v>m</v>
          </cell>
          <cell r="L1832">
            <v>28.34</v>
          </cell>
        </row>
        <row r="1833">
          <cell r="A1833">
            <v>5663</v>
          </cell>
          <cell r="B1833">
            <v>1</v>
          </cell>
          <cell r="D1833" t="str">
            <v>托槽支架</v>
          </cell>
          <cell r="E1833" t="str">
            <v>个</v>
          </cell>
          <cell r="G1833">
            <v>40.619999999999997</v>
          </cell>
          <cell r="H1833">
            <v>39.44</v>
          </cell>
          <cell r="I1833">
            <v>1.18</v>
          </cell>
          <cell r="K1833" t="str">
            <v>个</v>
          </cell>
          <cell r="L1833">
            <v>40.619999999999997</v>
          </cell>
        </row>
        <row r="1834">
          <cell r="A1834">
            <v>5664</v>
          </cell>
          <cell r="B1834">
            <v>1</v>
          </cell>
          <cell r="D1834" t="str">
            <v>浮体支架</v>
          </cell>
          <cell r="E1834" t="str">
            <v>个</v>
          </cell>
          <cell r="G1834">
            <v>309</v>
          </cell>
          <cell r="H1834">
            <v>300</v>
          </cell>
          <cell r="I1834">
            <v>9</v>
          </cell>
          <cell r="K1834" t="str">
            <v>个</v>
          </cell>
          <cell r="L1834">
            <v>309</v>
          </cell>
        </row>
        <row r="1835">
          <cell r="A1835">
            <v>5665</v>
          </cell>
          <cell r="B1835">
            <v>1</v>
          </cell>
          <cell r="D1835" t="str">
            <v>坐标仪基座</v>
          </cell>
          <cell r="E1835" t="str">
            <v>kg</v>
          </cell>
          <cell r="G1835">
            <v>633.35</v>
          </cell>
          <cell r="H1835">
            <v>614.9</v>
          </cell>
          <cell r="I1835">
            <v>18.45</v>
          </cell>
          <cell r="K1835" t="str">
            <v>kg</v>
          </cell>
          <cell r="L1835">
            <v>633.35</v>
          </cell>
        </row>
        <row r="1836">
          <cell r="A1836">
            <v>5666</v>
          </cell>
          <cell r="B1836">
            <v>1</v>
          </cell>
          <cell r="D1836" t="str">
            <v>三维坐标仪</v>
          </cell>
          <cell r="E1836" t="str">
            <v>台</v>
          </cell>
          <cell r="G1836">
            <v>9053.19</v>
          </cell>
          <cell r="H1836">
            <v>8789.5</v>
          </cell>
          <cell r="I1836">
            <v>263.69</v>
          </cell>
          <cell r="K1836" t="str">
            <v>台</v>
          </cell>
          <cell r="L1836">
            <v>9053.19</v>
          </cell>
        </row>
        <row r="1837">
          <cell r="A1837">
            <v>5667</v>
          </cell>
          <cell r="B1837">
            <v>1</v>
          </cell>
          <cell r="D1837" t="str">
            <v>悬挂处保护装置</v>
          </cell>
          <cell r="E1837" t="str">
            <v>套</v>
          </cell>
          <cell r="G1837">
            <v>360.5</v>
          </cell>
          <cell r="H1837">
            <v>350</v>
          </cell>
          <cell r="I1837">
            <v>10.5</v>
          </cell>
          <cell r="K1837" t="str">
            <v>套</v>
          </cell>
          <cell r="L1837">
            <v>360.5</v>
          </cell>
        </row>
        <row r="1838">
          <cell r="A1838">
            <v>5668</v>
          </cell>
          <cell r="B1838">
            <v>1</v>
          </cell>
          <cell r="D1838" t="str">
            <v>二维坐标仪</v>
          </cell>
          <cell r="E1838" t="str">
            <v>台</v>
          </cell>
          <cell r="G1838">
            <v>7070.95</v>
          </cell>
          <cell r="H1838">
            <v>6865</v>
          </cell>
          <cell r="I1838">
            <v>205.95</v>
          </cell>
          <cell r="K1838" t="str">
            <v>台</v>
          </cell>
          <cell r="L1838">
            <v>7070.95</v>
          </cell>
        </row>
        <row r="1839">
          <cell r="A1839">
            <v>5669</v>
          </cell>
          <cell r="B1839">
            <v>1</v>
          </cell>
          <cell r="D1839" t="str">
            <v>铝管Φ92</v>
          </cell>
          <cell r="E1839" t="str">
            <v>m</v>
          </cell>
          <cell r="G1839">
            <v>75.19</v>
          </cell>
          <cell r="H1839">
            <v>73</v>
          </cell>
          <cell r="I1839">
            <v>2.19</v>
          </cell>
          <cell r="K1839" t="str">
            <v>m</v>
          </cell>
          <cell r="L1839">
            <v>75.19</v>
          </cell>
        </row>
        <row r="1840">
          <cell r="A1840">
            <v>5670</v>
          </cell>
          <cell r="B1840">
            <v>1</v>
          </cell>
          <cell r="D1840" t="str">
            <v>铝管Φ71</v>
          </cell>
          <cell r="E1840" t="str">
            <v>m</v>
          </cell>
          <cell r="G1840">
            <v>66.95</v>
          </cell>
          <cell r="H1840">
            <v>65</v>
          </cell>
          <cell r="I1840">
            <v>1.95</v>
          </cell>
          <cell r="K1840" t="str">
            <v>m</v>
          </cell>
          <cell r="L1840">
            <v>66.95</v>
          </cell>
        </row>
        <row r="1841">
          <cell r="A1841">
            <v>5671</v>
          </cell>
          <cell r="B1841">
            <v>1</v>
          </cell>
          <cell r="D1841" t="str">
            <v>测斜仪护管∮85mm</v>
          </cell>
          <cell r="E1841" t="str">
            <v>m</v>
          </cell>
          <cell r="G1841">
            <v>56.65</v>
          </cell>
          <cell r="H1841">
            <v>55</v>
          </cell>
          <cell r="I1841">
            <v>1.65</v>
          </cell>
          <cell r="K1841" t="str">
            <v>m</v>
          </cell>
          <cell r="L1841">
            <v>56.65</v>
          </cell>
        </row>
        <row r="1842">
          <cell r="A1842">
            <v>5672</v>
          </cell>
          <cell r="B1842">
            <v>1</v>
          </cell>
          <cell r="D1842" t="str">
            <v>保护罩</v>
          </cell>
          <cell r="E1842" t="str">
            <v>个</v>
          </cell>
          <cell r="G1842">
            <v>16.48</v>
          </cell>
          <cell r="H1842">
            <v>16</v>
          </cell>
          <cell r="I1842">
            <v>0.48</v>
          </cell>
          <cell r="K1842" t="str">
            <v>个</v>
          </cell>
          <cell r="L1842">
            <v>16.48</v>
          </cell>
        </row>
        <row r="1843">
          <cell r="A1843">
            <v>5673</v>
          </cell>
          <cell r="B1843">
            <v>1</v>
          </cell>
          <cell r="D1843" t="str">
            <v>不锈钢丝</v>
          </cell>
          <cell r="E1843" t="str">
            <v>m</v>
          </cell>
          <cell r="G1843">
            <v>0.62</v>
          </cell>
          <cell r="H1843">
            <v>0.6</v>
          </cell>
          <cell r="I1843">
            <v>0.02</v>
          </cell>
          <cell r="K1843" t="str">
            <v>m</v>
          </cell>
          <cell r="L1843">
            <v>0.62</v>
          </cell>
        </row>
        <row r="1844">
          <cell r="A1844">
            <v>5674</v>
          </cell>
          <cell r="B1844">
            <v>1</v>
          </cell>
          <cell r="D1844" t="str">
            <v>铜棒</v>
          </cell>
          <cell r="E1844" t="str">
            <v>t</v>
          </cell>
          <cell r="G1844">
            <v>36050</v>
          </cell>
          <cell r="H1844">
            <v>35000</v>
          </cell>
          <cell r="I1844">
            <v>1050</v>
          </cell>
          <cell r="K1844" t="str">
            <v>t</v>
          </cell>
          <cell r="L1844">
            <v>36050</v>
          </cell>
        </row>
        <row r="1845">
          <cell r="A1845">
            <v>5675</v>
          </cell>
          <cell r="B1845">
            <v>1</v>
          </cell>
          <cell r="D1845" t="str">
            <v>钢棒</v>
          </cell>
          <cell r="E1845" t="str">
            <v>t</v>
          </cell>
          <cell r="G1845">
            <v>3502</v>
          </cell>
          <cell r="H1845">
            <v>3400</v>
          </cell>
          <cell r="I1845">
            <v>102</v>
          </cell>
          <cell r="K1845" t="str">
            <v>t</v>
          </cell>
          <cell r="L1845">
            <v>3502</v>
          </cell>
        </row>
        <row r="1846">
          <cell r="A1846">
            <v>5676</v>
          </cell>
          <cell r="B1846">
            <v>1</v>
          </cell>
          <cell r="D1846" t="str">
            <v>铜丝网</v>
          </cell>
          <cell r="E1846" t="str">
            <v>m2</v>
          </cell>
          <cell r="G1846">
            <v>12.36</v>
          </cell>
          <cell r="H1846">
            <v>12</v>
          </cell>
          <cell r="I1846">
            <v>0.36</v>
          </cell>
          <cell r="K1846" t="str">
            <v>m2</v>
          </cell>
          <cell r="L1846">
            <v>12.36</v>
          </cell>
        </row>
        <row r="1847">
          <cell r="A1847">
            <v>5677</v>
          </cell>
          <cell r="B1847">
            <v>1</v>
          </cell>
          <cell r="D1847" t="str">
            <v>水尺涂料</v>
          </cell>
          <cell r="E1847" t="str">
            <v>kg</v>
          </cell>
          <cell r="G1847">
            <v>20.6</v>
          </cell>
          <cell r="H1847">
            <v>20</v>
          </cell>
          <cell r="I1847">
            <v>0.6</v>
          </cell>
          <cell r="K1847" t="str">
            <v>kg</v>
          </cell>
          <cell r="L1847">
            <v>20.6</v>
          </cell>
        </row>
        <row r="1848">
          <cell r="A1848">
            <v>5678</v>
          </cell>
          <cell r="B1848">
            <v>1</v>
          </cell>
          <cell r="D1848" t="str">
            <v>视准线强制对中基座</v>
          </cell>
          <cell r="E1848" t="str">
            <v>套</v>
          </cell>
          <cell r="G1848">
            <v>36050</v>
          </cell>
          <cell r="H1848">
            <v>35000</v>
          </cell>
          <cell r="I1848">
            <v>1050</v>
          </cell>
          <cell r="K1848" t="str">
            <v>套</v>
          </cell>
          <cell r="L1848">
            <v>36050</v>
          </cell>
        </row>
        <row r="1849">
          <cell r="A1849">
            <v>5679</v>
          </cell>
          <cell r="B1849">
            <v>1</v>
          </cell>
          <cell r="D1849" t="str">
            <v>钢弦数据采集仪</v>
          </cell>
          <cell r="E1849" t="str">
            <v>台</v>
          </cell>
          <cell r="G1849">
            <v>38110</v>
          </cell>
          <cell r="H1849">
            <v>37000</v>
          </cell>
          <cell r="I1849">
            <v>1110</v>
          </cell>
          <cell r="K1849" t="str">
            <v>台</v>
          </cell>
          <cell r="L1849">
            <v>38110</v>
          </cell>
        </row>
        <row r="1850">
          <cell r="A1850">
            <v>5680</v>
          </cell>
          <cell r="B1850">
            <v>1</v>
          </cell>
          <cell r="D1850" t="str">
            <v>电阻比巡检仪</v>
          </cell>
          <cell r="E1850" t="str">
            <v>台</v>
          </cell>
          <cell r="G1850">
            <v>36050</v>
          </cell>
          <cell r="H1850">
            <v>35000</v>
          </cell>
          <cell r="I1850">
            <v>1050</v>
          </cell>
          <cell r="K1850" t="str">
            <v>台</v>
          </cell>
          <cell r="L1850">
            <v>36050</v>
          </cell>
        </row>
        <row r="1851">
          <cell r="A1851">
            <v>5681</v>
          </cell>
          <cell r="B1851">
            <v>1</v>
          </cell>
          <cell r="D1851" t="str">
            <v>强制对中基盘</v>
          </cell>
          <cell r="E1851" t="str">
            <v>个</v>
          </cell>
          <cell r="G1851">
            <v>618</v>
          </cell>
          <cell r="H1851">
            <v>600</v>
          </cell>
          <cell r="I1851">
            <v>18</v>
          </cell>
          <cell r="K1851" t="str">
            <v>个</v>
          </cell>
          <cell r="L1851">
            <v>618</v>
          </cell>
        </row>
        <row r="1852">
          <cell r="A1852">
            <v>5682</v>
          </cell>
          <cell r="B1852">
            <v>1</v>
          </cell>
          <cell r="D1852" t="str">
            <v>对中基盘(不锈钢）</v>
          </cell>
          <cell r="E1852" t="str">
            <v>个</v>
          </cell>
          <cell r="G1852">
            <v>803.4</v>
          </cell>
          <cell r="H1852">
            <v>780</v>
          </cell>
          <cell r="I1852">
            <v>23.4</v>
          </cell>
          <cell r="K1852" t="str">
            <v>个</v>
          </cell>
          <cell r="L1852">
            <v>803.4</v>
          </cell>
        </row>
        <row r="1853">
          <cell r="A1853">
            <v>5683</v>
          </cell>
          <cell r="B1853">
            <v>1</v>
          </cell>
          <cell r="D1853" t="str">
            <v>工具型仪器</v>
          </cell>
          <cell r="E1853" t="str">
            <v>套</v>
          </cell>
          <cell r="G1853">
            <v>1030</v>
          </cell>
          <cell r="H1853">
            <v>1000</v>
          </cell>
          <cell r="I1853">
            <v>30</v>
          </cell>
          <cell r="K1853" t="str">
            <v>套</v>
          </cell>
          <cell r="L1853">
            <v>1030</v>
          </cell>
        </row>
        <row r="1854">
          <cell r="A1854">
            <v>5684</v>
          </cell>
          <cell r="B1854">
            <v>1</v>
          </cell>
          <cell r="D1854" t="str">
            <v>保护装置</v>
          </cell>
          <cell r="E1854" t="str">
            <v>套</v>
          </cell>
          <cell r="G1854">
            <v>497.49</v>
          </cell>
          <cell r="H1854">
            <v>483</v>
          </cell>
          <cell r="I1854">
            <v>14.49</v>
          </cell>
          <cell r="K1854" t="str">
            <v>套</v>
          </cell>
          <cell r="L1854">
            <v>497.49</v>
          </cell>
        </row>
        <row r="1855">
          <cell r="A1855">
            <v>5685</v>
          </cell>
          <cell r="B1855">
            <v>1</v>
          </cell>
          <cell r="D1855" t="str">
            <v>测力计</v>
          </cell>
          <cell r="E1855" t="str">
            <v>套</v>
          </cell>
          <cell r="G1855">
            <v>1854</v>
          </cell>
          <cell r="H1855">
            <v>1800</v>
          </cell>
          <cell r="I1855">
            <v>54</v>
          </cell>
          <cell r="K1855" t="str">
            <v>套</v>
          </cell>
          <cell r="L1855">
            <v>1854</v>
          </cell>
        </row>
        <row r="1856">
          <cell r="A1856">
            <v>5686</v>
          </cell>
          <cell r="B1856">
            <v>1</v>
          </cell>
          <cell r="D1856" t="str">
            <v>标墩</v>
          </cell>
          <cell r="E1856" t="str">
            <v>座</v>
          </cell>
          <cell r="G1856">
            <v>1884.9</v>
          </cell>
          <cell r="H1856">
            <v>1830</v>
          </cell>
          <cell r="I1856">
            <v>54.9</v>
          </cell>
          <cell r="K1856" t="str">
            <v>座</v>
          </cell>
          <cell r="L1856">
            <v>1884.9</v>
          </cell>
        </row>
        <row r="1857">
          <cell r="A1857">
            <v>5687</v>
          </cell>
          <cell r="B1857">
            <v>1</v>
          </cell>
          <cell r="D1857" t="str">
            <v>标墩</v>
          </cell>
          <cell r="E1857" t="str">
            <v>座</v>
          </cell>
          <cell r="G1857">
            <v>4011.85</v>
          </cell>
          <cell r="H1857">
            <v>3895</v>
          </cell>
          <cell r="I1857">
            <v>116.85</v>
          </cell>
          <cell r="K1857" t="str">
            <v>座</v>
          </cell>
          <cell r="L1857">
            <v>4011.85</v>
          </cell>
        </row>
        <row r="1858">
          <cell r="A1858">
            <v>5688</v>
          </cell>
          <cell r="B1858">
            <v>1</v>
          </cell>
          <cell r="D1858" t="str">
            <v>标墩</v>
          </cell>
          <cell r="E1858" t="str">
            <v>座</v>
          </cell>
          <cell r="G1858">
            <v>5557.88</v>
          </cell>
          <cell r="H1858">
            <v>5396</v>
          </cell>
          <cell r="I1858">
            <v>161.88</v>
          </cell>
          <cell r="K1858" t="str">
            <v>座</v>
          </cell>
          <cell r="L1858">
            <v>5557.88</v>
          </cell>
        </row>
        <row r="1859">
          <cell r="A1859">
            <v>5689</v>
          </cell>
          <cell r="B1859">
            <v>1</v>
          </cell>
          <cell r="D1859" t="str">
            <v>测墩保护箱</v>
          </cell>
          <cell r="E1859" t="str">
            <v>个</v>
          </cell>
          <cell r="G1859">
            <v>1090.77</v>
          </cell>
          <cell r="H1859">
            <v>1059</v>
          </cell>
          <cell r="I1859">
            <v>31.77</v>
          </cell>
          <cell r="K1859" t="str">
            <v>个</v>
          </cell>
          <cell r="L1859">
            <v>1090.77</v>
          </cell>
        </row>
        <row r="1860">
          <cell r="A1860">
            <v>5690</v>
          </cell>
          <cell r="B1860">
            <v>1</v>
          </cell>
          <cell r="D1860" t="str">
            <v>基座专用工具</v>
          </cell>
          <cell r="E1860" t="str">
            <v>套</v>
          </cell>
          <cell r="G1860">
            <v>86.52</v>
          </cell>
          <cell r="H1860">
            <v>84</v>
          </cell>
          <cell r="I1860">
            <v>2.52</v>
          </cell>
          <cell r="K1860" t="str">
            <v>套</v>
          </cell>
          <cell r="L1860">
            <v>86.52</v>
          </cell>
        </row>
        <row r="1861">
          <cell r="A1861">
            <v>5691</v>
          </cell>
          <cell r="B1861">
            <v>1</v>
          </cell>
          <cell r="D1861" t="str">
            <v>基座保护盖</v>
          </cell>
          <cell r="E1861" t="str">
            <v>个</v>
          </cell>
          <cell r="G1861">
            <v>49.44</v>
          </cell>
          <cell r="H1861">
            <v>48</v>
          </cell>
          <cell r="I1861">
            <v>1.44</v>
          </cell>
          <cell r="K1861" t="str">
            <v>个</v>
          </cell>
          <cell r="L1861">
            <v>49.44</v>
          </cell>
        </row>
        <row r="1862">
          <cell r="A1862">
            <v>5692</v>
          </cell>
          <cell r="B1862">
            <v>1</v>
          </cell>
          <cell r="D1862" t="str">
            <v>墙上对中基盘</v>
          </cell>
          <cell r="E1862" t="str">
            <v>个</v>
          </cell>
          <cell r="G1862">
            <v>615.94000000000005</v>
          </cell>
          <cell r="H1862">
            <v>598</v>
          </cell>
          <cell r="I1862">
            <v>17.940000000000001</v>
          </cell>
          <cell r="K1862" t="str">
            <v>个</v>
          </cell>
          <cell r="L1862">
            <v>615.94000000000005</v>
          </cell>
        </row>
        <row r="1863">
          <cell r="A1863">
            <v>5693</v>
          </cell>
          <cell r="B1863">
            <v>1</v>
          </cell>
          <cell r="D1863" t="str">
            <v>观测墩保护盖</v>
          </cell>
          <cell r="E1863" t="str">
            <v>个</v>
          </cell>
          <cell r="G1863">
            <v>198.69</v>
          </cell>
          <cell r="H1863">
            <v>192.9</v>
          </cell>
          <cell r="I1863">
            <v>5.79</v>
          </cell>
          <cell r="K1863" t="str">
            <v>个</v>
          </cell>
          <cell r="L1863">
            <v>198.69</v>
          </cell>
        </row>
        <row r="1864">
          <cell r="A1864">
            <v>5694</v>
          </cell>
          <cell r="B1864">
            <v>1</v>
          </cell>
          <cell r="D1864" t="str">
            <v>地震测点基墩</v>
          </cell>
          <cell r="E1864" t="str">
            <v>座</v>
          </cell>
          <cell r="G1864">
            <v>905.37</v>
          </cell>
          <cell r="H1864">
            <v>879</v>
          </cell>
          <cell r="I1864">
            <v>26.37</v>
          </cell>
          <cell r="K1864" t="str">
            <v>座</v>
          </cell>
          <cell r="L1864">
            <v>905.37</v>
          </cell>
        </row>
        <row r="1865">
          <cell r="A1865">
            <v>5695</v>
          </cell>
          <cell r="B1865">
            <v>1</v>
          </cell>
          <cell r="D1865" t="str">
            <v>基墩保护箱</v>
          </cell>
          <cell r="E1865" t="str">
            <v>个</v>
          </cell>
          <cell r="G1865">
            <v>515</v>
          </cell>
          <cell r="H1865">
            <v>500</v>
          </cell>
          <cell r="I1865">
            <v>15</v>
          </cell>
          <cell r="K1865" t="str">
            <v>个</v>
          </cell>
          <cell r="L1865">
            <v>515</v>
          </cell>
        </row>
        <row r="1866">
          <cell r="A1866">
            <v>5696</v>
          </cell>
          <cell r="B1866">
            <v>1</v>
          </cell>
          <cell r="G1866">
            <v>0</v>
          </cell>
          <cell r="I1866">
            <v>0</v>
          </cell>
          <cell r="K1866">
            <v>0</v>
          </cell>
          <cell r="L1866">
            <v>0</v>
          </cell>
        </row>
        <row r="1867">
          <cell r="A1867">
            <v>5697</v>
          </cell>
          <cell r="B1867">
            <v>1</v>
          </cell>
          <cell r="G1867">
            <v>0</v>
          </cell>
          <cell r="I1867">
            <v>0</v>
          </cell>
          <cell r="K1867">
            <v>0</v>
          </cell>
          <cell r="L1867">
            <v>0</v>
          </cell>
        </row>
        <row r="1868">
          <cell r="A1868">
            <v>5698</v>
          </cell>
          <cell r="B1868">
            <v>1</v>
          </cell>
          <cell r="G1868">
            <v>0</v>
          </cell>
          <cell r="I1868">
            <v>0</v>
          </cell>
          <cell r="K1868">
            <v>0</v>
          </cell>
          <cell r="L1868">
            <v>0</v>
          </cell>
        </row>
        <row r="1869">
          <cell r="A1869">
            <v>5696</v>
          </cell>
          <cell r="B1869">
            <v>1</v>
          </cell>
          <cell r="G1869">
            <v>0</v>
          </cell>
          <cell r="I1869">
            <v>0</v>
          </cell>
          <cell r="K1869">
            <v>0</v>
          </cell>
          <cell r="L1869">
            <v>0</v>
          </cell>
        </row>
        <row r="1870">
          <cell r="A1870">
            <v>5697</v>
          </cell>
          <cell r="B1870">
            <v>1</v>
          </cell>
          <cell r="G1870">
            <v>0</v>
          </cell>
          <cell r="I1870">
            <v>0</v>
          </cell>
          <cell r="K1870">
            <v>0</v>
          </cell>
          <cell r="L1870">
            <v>0</v>
          </cell>
        </row>
        <row r="1871">
          <cell r="A1871">
            <v>5698</v>
          </cell>
          <cell r="B1871">
            <v>1</v>
          </cell>
          <cell r="G1871">
            <v>0</v>
          </cell>
          <cell r="I1871">
            <v>0</v>
          </cell>
          <cell r="K1871">
            <v>0</v>
          </cell>
          <cell r="L1871">
            <v>0</v>
          </cell>
        </row>
        <row r="1872">
          <cell r="A1872">
            <v>5696</v>
          </cell>
          <cell r="B1872">
            <v>1</v>
          </cell>
          <cell r="G1872">
            <v>0</v>
          </cell>
          <cell r="I1872">
            <v>0</v>
          </cell>
          <cell r="K1872">
            <v>0</v>
          </cell>
          <cell r="L1872">
            <v>0</v>
          </cell>
        </row>
        <row r="1873">
          <cell r="A1873">
            <v>5697</v>
          </cell>
          <cell r="B1873">
            <v>1</v>
          </cell>
          <cell r="G1873">
            <v>0</v>
          </cell>
          <cell r="I1873">
            <v>0</v>
          </cell>
          <cell r="K1873">
            <v>0</v>
          </cell>
          <cell r="L1873">
            <v>0</v>
          </cell>
        </row>
        <row r="1874">
          <cell r="A1874">
            <v>5698</v>
          </cell>
          <cell r="B1874">
            <v>1</v>
          </cell>
          <cell r="G1874">
            <v>0</v>
          </cell>
          <cell r="I1874">
            <v>0</v>
          </cell>
          <cell r="K1874">
            <v>0</v>
          </cell>
          <cell r="L1874">
            <v>0</v>
          </cell>
        </row>
        <row r="1875">
          <cell r="A1875">
            <v>5696</v>
          </cell>
          <cell r="B1875">
            <v>1</v>
          </cell>
          <cell r="G1875">
            <v>0</v>
          </cell>
          <cell r="I1875">
            <v>0</v>
          </cell>
          <cell r="K1875">
            <v>0</v>
          </cell>
          <cell r="L1875">
            <v>0</v>
          </cell>
        </row>
        <row r="1876">
          <cell r="A1876">
            <v>5697</v>
          </cell>
          <cell r="B1876">
            <v>1</v>
          </cell>
          <cell r="G1876">
            <v>0</v>
          </cell>
          <cell r="I1876">
            <v>0</v>
          </cell>
          <cell r="K1876">
            <v>0</v>
          </cell>
          <cell r="L1876">
            <v>0</v>
          </cell>
        </row>
        <row r="1877">
          <cell r="A1877">
            <v>5698</v>
          </cell>
          <cell r="B1877">
            <v>1</v>
          </cell>
          <cell r="G1877">
            <v>0</v>
          </cell>
          <cell r="I1877">
            <v>0</v>
          </cell>
          <cell r="K1877">
            <v>0</v>
          </cell>
          <cell r="L1877">
            <v>0</v>
          </cell>
        </row>
        <row r="1878">
          <cell r="A1878">
            <v>5801</v>
          </cell>
          <cell r="B1878">
            <v>1</v>
          </cell>
          <cell r="D1878" t="str">
            <v>玻璃钢斜流式通风机LXL2.5型</v>
          </cell>
          <cell r="E1878" t="str">
            <v>台</v>
          </cell>
          <cell r="G1878">
            <v>6592</v>
          </cell>
          <cell r="H1878">
            <v>6400</v>
          </cell>
          <cell r="I1878">
            <v>192</v>
          </cell>
          <cell r="K1878" t="str">
            <v>台</v>
          </cell>
          <cell r="L1878">
            <v>6592</v>
          </cell>
        </row>
        <row r="1879">
          <cell r="A1879">
            <v>5802</v>
          </cell>
          <cell r="B1879">
            <v>1</v>
          </cell>
          <cell r="D1879" t="str">
            <v>玻璃钢斜流式通风机LXL3.0型</v>
          </cell>
          <cell r="E1879" t="str">
            <v>台</v>
          </cell>
          <cell r="G1879">
            <v>6901</v>
          </cell>
          <cell r="H1879">
            <v>6700</v>
          </cell>
          <cell r="I1879">
            <v>201</v>
          </cell>
          <cell r="K1879" t="str">
            <v>台</v>
          </cell>
          <cell r="L1879">
            <v>6901</v>
          </cell>
        </row>
        <row r="1880">
          <cell r="A1880">
            <v>5803</v>
          </cell>
          <cell r="B1880">
            <v>1</v>
          </cell>
          <cell r="D1880" t="str">
            <v>玻璃钢斜流式通风机LXL3.5型</v>
          </cell>
          <cell r="E1880" t="str">
            <v>台</v>
          </cell>
          <cell r="G1880">
            <v>7519</v>
          </cell>
          <cell r="H1880">
            <v>7300</v>
          </cell>
          <cell r="I1880">
            <v>219</v>
          </cell>
          <cell r="K1880" t="str">
            <v>台</v>
          </cell>
          <cell r="L1880">
            <v>7519</v>
          </cell>
        </row>
        <row r="1881">
          <cell r="A1881">
            <v>5804</v>
          </cell>
          <cell r="B1881">
            <v>1</v>
          </cell>
          <cell r="D1881" t="str">
            <v>玻璃钢斜流式通风机LXL4.5型</v>
          </cell>
          <cell r="E1881" t="str">
            <v>台</v>
          </cell>
          <cell r="G1881">
            <v>9373</v>
          </cell>
          <cell r="H1881">
            <v>9100</v>
          </cell>
          <cell r="I1881">
            <v>273</v>
          </cell>
          <cell r="K1881" t="str">
            <v>台</v>
          </cell>
          <cell r="L1881">
            <v>9373</v>
          </cell>
        </row>
        <row r="1882">
          <cell r="A1882">
            <v>5805</v>
          </cell>
          <cell r="B1882">
            <v>1</v>
          </cell>
          <cell r="D1882" t="str">
            <v>玻璃钢离心式通风机LGL09型</v>
          </cell>
          <cell r="E1882" t="str">
            <v>台</v>
          </cell>
          <cell r="G1882">
            <v>9167</v>
          </cell>
          <cell r="H1882">
            <v>8900</v>
          </cell>
          <cell r="I1882">
            <v>267</v>
          </cell>
          <cell r="K1882" t="str">
            <v>台</v>
          </cell>
          <cell r="L1882">
            <v>9167</v>
          </cell>
        </row>
        <row r="1883">
          <cell r="A1883">
            <v>5806</v>
          </cell>
          <cell r="B1883">
            <v>1</v>
          </cell>
          <cell r="D1883" t="str">
            <v>玻璃钢离心式通风机LGL10型</v>
          </cell>
          <cell r="E1883" t="str">
            <v>台</v>
          </cell>
          <cell r="G1883">
            <v>11742</v>
          </cell>
          <cell r="H1883">
            <v>11400</v>
          </cell>
          <cell r="I1883">
            <v>342</v>
          </cell>
          <cell r="K1883" t="str">
            <v>台</v>
          </cell>
          <cell r="L1883">
            <v>11742</v>
          </cell>
        </row>
        <row r="1884">
          <cell r="A1884">
            <v>5807</v>
          </cell>
          <cell r="B1884">
            <v>1</v>
          </cell>
          <cell r="D1884" t="str">
            <v>玻璃钢风机箱LFX23型</v>
          </cell>
          <cell r="E1884" t="str">
            <v>台</v>
          </cell>
          <cell r="G1884">
            <v>8755</v>
          </cell>
          <cell r="H1884">
            <v>8500</v>
          </cell>
          <cell r="I1884">
            <v>255</v>
          </cell>
          <cell r="K1884" t="str">
            <v>台</v>
          </cell>
          <cell r="L1884">
            <v>8755</v>
          </cell>
        </row>
        <row r="1885">
          <cell r="A1885">
            <v>5808</v>
          </cell>
          <cell r="B1885">
            <v>1</v>
          </cell>
          <cell r="D1885" t="str">
            <v>玻璃钢风机箱LFX40型</v>
          </cell>
          <cell r="E1885" t="str">
            <v>台</v>
          </cell>
          <cell r="G1885">
            <v>10815</v>
          </cell>
          <cell r="H1885">
            <v>10500</v>
          </cell>
          <cell r="I1885">
            <v>315</v>
          </cell>
          <cell r="K1885" t="str">
            <v>台</v>
          </cell>
          <cell r="L1885">
            <v>10815</v>
          </cell>
        </row>
        <row r="1886">
          <cell r="A1886">
            <v>5809</v>
          </cell>
          <cell r="B1886">
            <v>1</v>
          </cell>
          <cell r="D1886" t="str">
            <v>玻璃钢轴流式通风机LZL3.5型</v>
          </cell>
          <cell r="E1886" t="str">
            <v>台</v>
          </cell>
          <cell r="G1886">
            <v>3605</v>
          </cell>
          <cell r="H1886">
            <v>3500</v>
          </cell>
          <cell r="I1886">
            <v>105</v>
          </cell>
          <cell r="K1886" t="str">
            <v>台</v>
          </cell>
          <cell r="L1886">
            <v>3605</v>
          </cell>
        </row>
        <row r="1887">
          <cell r="A1887">
            <v>5810</v>
          </cell>
          <cell r="B1887">
            <v>1</v>
          </cell>
          <cell r="D1887" t="str">
            <v>防火风口</v>
          </cell>
          <cell r="E1887" t="str">
            <v>个</v>
          </cell>
          <cell r="G1887">
            <v>1389.47</v>
          </cell>
          <cell r="H1887">
            <v>1349</v>
          </cell>
          <cell r="I1887">
            <v>40.47</v>
          </cell>
          <cell r="K1887" t="str">
            <v>个</v>
          </cell>
          <cell r="L1887">
            <v>1389.47</v>
          </cell>
        </row>
        <row r="1888">
          <cell r="A1888">
            <v>5811</v>
          </cell>
          <cell r="B1888">
            <v>1</v>
          </cell>
          <cell r="D1888" t="str">
            <v>百叶排风口</v>
          </cell>
          <cell r="E1888" t="str">
            <v>个</v>
          </cell>
          <cell r="G1888">
            <v>216.3</v>
          </cell>
          <cell r="H1888">
            <v>210</v>
          </cell>
          <cell r="I1888">
            <v>6.3</v>
          </cell>
          <cell r="K1888" t="str">
            <v>个</v>
          </cell>
          <cell r="L1888">
            <v>216.3</v>
          </cell>
        </row>
        <row r="1889">
          <cell r="A1889">
            <v>5812</v>
          </cell>
          <cell r="B1889">
            <v>1</v>
          </cell>
          <cell r="D1889" t="str">
            <v>消防泵SBL100-200B,Q=16.9~31.4L/S,H=41~37.5m , N=15kw</v>
          </cell>
          <cell r="E1889" t="str">
            <v>台</v>
          </cell>
          <cell r="G1889">
            <v>3090</v>
          </cell>
          <cell r="H1889">
            <v>3000</v>
          </cell>
          <cell r="I1889">
            <v>90</v>
          </cell>
          <cell r="K1889" t="str">
            <v>台</v>
          </cell>
          <cell r="L1889">
            <v>3090</v>
          </cell>
        </row>
        <row r="1890">
          <cell r="A1890">
            <v>5813</v>
          </cell>
          <cell r="B1890">
            <v>1</v>
          </cell>
          <cell r="D1890" t="str">
            <v>室内消火栓SN65</v>
          </cell>
          <cell r="E1890" t="str">
            <v>套</v>
          </cell>
          <cell r="G1890">
            <v>1030</v>
          </cell>
          <cell r="H1890">
            <v>1000</v>
          </cell>
          <cell r="I1890">
            <v>30</v>
          </cell>
          <cell r="K1890" t="str">
            <v>套</v>
          </cell>
          <cell r="L1890">
            <v>1030</v>
          </cell>
        </row>
        <row r="1891">
          <cell r="A1891">
            <v>5814</v>
          </cell>
          <cell r="B1891">
            <v>1</v>
          </cell>
          <cell r="D1891" t="str">
            <v>室外消火栓SX-100-1.0</v>
          </cell>
          <cell r="E1891" t="str">
            <v>套</v>
          </cell>
          <cell r="G1891">
            <v>1030</v>
          </cell>
          <cell r="H1891">
            <v>1000</v>
          </cell>
          <cell r="I1891">
            <v>30</v>
          </cell>
          <cell r="K1891" t="str">
            <v>套</v>
          </cell>
          <cell r="L1891">
            <v>1030</v>
          </cell>
        </row>
        <row r="1892">
          <cell r="A1892">
            <v>5815</v>
          </cell>
          <cell r="B1892">
            <v>1</v>
          </cell>
          <cell r="D1892" t="str">
            <v>手提式干粉灭火器MF5</v>
          </cell>
          <cell r="E1892" t="str">
            <v>个</v>
          </cell>
          <cell r="G1892">
            <v>154.5</v>
          </cell>
          <cell r="H1892">
            <v>150</v>
          </cell>
          <cell r="I1892">
            <v>4.5</v>
          </cell>
          <cell r="K1892" t="str">
            <v>个</v>
          </cell>
          <cell r="L1892">
            <v>154.5</v>
          </cell>
        </row>
        <row r="1893">
          <cell r="A1893">
            <v>5816</v>
          </cell>
          <cell r="B1893">
            <v>1</v>
          </cell>
          <cell r="D1893" t="str">
            <v>手提式CO2灭火器MT5</v>
          </cell>
          <cell r="E1893" t="str">
            <v>个</v>
          </cell>
          <cell r="G1893">
            <v>257.5</v>
          </cell>
          <cell r="H1893">
            <v>250</v>
          </cell>
          <cell r="I1893">
            <v>7.5</v>
          </cell>
          <cell r="K1893" t="str">
            <v>个</v>
          </cell>
          <cell r="L1893">
            <v>257.5</v>
          </cell>
        </row>
        <row r="1894">
          <cell r="A1894">
            <v>5817</v>
          </cell>
          <cell r="B1894">
            <v>1</v>
          </cell>
          <cell r="D1894" t="str">
            <v>推车式干粉灭火器MFT50</v>
          </cell>
          <cell r="E1894" t="str">
            <v>个</v>
          </cell>
          <cell r="G1894">
            <v>2018.8</v>
          </cell>
          <cell r="H1894">
            <v>1960</v>
          </cell>
          <cell r="I1894">
            <v>58.8</v>
          </cell>
          <cell r="K1894" t="str">
            <v>个</v>
          </cell>
          <cell r="L1894">
            <v>2018.8</v>
          </cell>
        </row>
        <row r="1895">
          <cell r="A1895">
            <v>5818</v>
          </cell>
          <cell r="B1895">
            <v>1</v>
          </cell>
          <cell r="D1895" t="str">
            <v>电动葫芦1.2t</v>
          </cell>
          <cell r="E1895" t="str">
            <v>台</v>
          </cell>
          <cell r="G1895">
            <v>19776</v>
          </cell>
          <cell r="H1895">
            <v>19200</v>
          </cell>
          <cell r="I1895">
            <v>576</v>
          </cell>
          <cell r="K1895" t="str">
            <v>台</v>
          </cell>
          <cell r="L1895">
            <v>19776</v>
          </cell>
        </row>
        <row r="1896">
          <cell r="A1896">
            <v>5819</v>
          </cell>
          <cell r="B1896">
            <v>1</v>
          </cell>
          <cell r="D1896" t="str">
            <v>锁定梁0.2t</v>
          </cell>
          <cell r="E1896" t="str">
            <v>t</v>
          </cell>
          <cell r="G1896">
            <v>7519</v>
          </cell>
          <cell r="H1896">
            <v>7300</v>
          </cell>
          <cell r="I1896">
            <v>219</v>
          </cell>
          <cell r="K1896" t="str">
            <v>t</v>
          </cell>
          <cell r="L1896">
            <v>7519</v>
          </cell>
        </row>
        <row r="1897">
          <cell r="A1897">
            <v>5820</v>
          </cell>
          <cell r="B1897">
            <v>1</v>
          </cell>
          <cell r="D1897" t="str">
            <v>平板检修闸门5.9X2.18SBL100-200B</v>
          </cell>
          <cell r="E1897" t="str">
            <v>台</v>
          </cell>
          <cell r="G1897">
            <v>8034</v>
          </cell>
          <cell r="H1897">
            <v>7800</v>
          </cell>
          <cell r="I1897">
            <v>234</v>
          </cell>
          <cell r="K1897" t="str">
            <v>台</v>
          </cell>
          <cell r="L1897">
            <v>8034</v>
          </cell>
        </row>
        <row r="1898">
          <cell r="A1898">
            <v>5821</v>
          </cell>
          <cell r="B1898">
            <v>1</v>
          </cell>
          <cell r="D1898" t="str">
            <v xml:space="preserve">消防泵Q=16.9~31.4L/S,H=41~37.5m,N=15kw  </v>
          </cell>
          <cell r="E1898" t="str">
            <v>台</v>
          </cell>
          <cell r="G1898">
            <v>3090</v>
          </cell>
          <cell r="H1898">
            <v>3000</v>
          </cell>
          <cell r="I1898">
            <v>90</v>
          </cell>
          <cell r="K1898" t="str">
            <v>台</v>
          </cell>
          <cell r="L1898">
            <v>3090</v>
          </cell>
        </row>
        <row r="1899">
          <cell r="A1899">
            <v>5822</v>
          </cell>
          <cell r="B1899">
            <v>1</v>
          </cell>
          <cell r="D1899" t="str">
            <v>紫外线消毒器DJ200/30X4</v>
          </cell>
          <cell r="E1899" t="str">
            <v>台</v>
          </cell>
          <cell r="G1899">
            <v>2060</v>
          </cell>
          <cell r="H1899">
            <v>2000</v>
          </cell>
          <cell r="I1899">
            <v>60</v>
          </cell>
          <cell r="K1899" t="str">
            <v>台</v>
          </cell>
          <cell r="L1899">
            <v>2060</v>
          </cell>
        </row>
        <row r="1900">
          <cell r="A1900">
            <v>5823</v>
          </cell>
          <cell r="B1900">
            <v>1</v>
          </cell>
          <cell r="D1900" t="str">
            <v>一体化净水器JS-Ⅱ50型</v>
          </cell>
          <cell r="E1900" t="str">
            <v>台</v>
          </cell>
          <cell r="G1900">
            <v>72100</v>
          </cell>
          <cell r="H1900">
            <v>70000</v>
          </cell>
          <cell r="I1900">
            <v>2100</v>
          </cell>
          <cell r="K1900" t="str">
            <v>台</v>
          </cell>
          <cell r="L1900">
            <v>72100</v>
          </cell>
        </row>
        <row r="1901">
          <cell r="A1901">
            <v>5824</v>
          </cell>
          <cell r="B1901">
            <v>1</v>
          </cell>
          <cell r="D1901" t="str">
            <v>压力表</v>
          </cell>
          <cell r="E1901" t="str">
            <v>只</v>
          </cell>
          <cell r="G1901">
            <v>51.5</v>
          </cell>
          <cell r="H1901">
            <v>50</v>
          </cell>
          <cell r="I1901">
            <v>1.5</v>
          </cell>
          <cell r="K1901" t="str">
            <v>只</v>
          </cell>
          <cell r="L1901">
            <v>51.5</v>
          </cell>
        </row>
        <row r="1902">
          <cell r="A1902">
            <v>5825</v>
          </cell>
          <cell r="B1902">
            <v>1</v>
          </cell>
          <cell r="D1902" t="str">
            <v>埋件</v>
          </cell>
          <cell r="E1902" t="str">
            <v>t</v>
          </cell>
          <cell r="G1902">
            <v>8240</v>
          </cell>
          <cell r="H1902">
            <v>8000</v>
          </cell>
          <cell r="I1902">
            <v>240</v>
          </cell>
          <cell r="K1902" t="str">
            <v>t</v>
          </cell>
          <cell r="L1902">
            <v>8240</v>
          </cell>
        </row>
        <row r="1903">
          <cell r="B1903">
            <v>1</v>
          </cell>
          <cell r="G1903">
            <v>0</v>
          </cell>
          <cell r="I1903">
            <v>0</v>
          </cell>
          <cell r="K1903">
            <v>0</v>
          </cell>
          <cell r="L1903">
            <v>0</v>
          </cell>
        </row>
        <row r="1904">
          <cell r="B1904">
            <v>1</v>
          </cell>
          <cell r="G1904">
            <v>0</v>
          </cell>
          <cell r="I1904">
            <v>0</v>
          </cell>
          <cell r="K1904">
            <v>0</v>
          </cell>
          <cell r="L1904">
            <v>0</v>
          </cell>
        </row>
        <row r="1905">
          <cell r="A1905">
            <v>6001</v>
          </cell>
          <cell r="B1905">
            <v>1</v>
          </cell>
          <cell r="D1905" t="str">
            <v>镀锌扁钢</v>
          </cell>
          <cell r="E1905" t="str">
            <v>套</v>
          </cell>
          <cell r="G1905">
            <v>3.3000000000000003</v>
          </cell>
          <cell r="H1905">
            <v>3.2</v>
          </cell>
          <cell r="I1905">
            <v>0.1</v>
          </cell>
          <cell r="K1905" t="str">
            <v>套</v>
          </cell>
          <cell r="L1905">
            <v>3.3000000000000003</v>
          </cell>
        </row>
        <row r="1906">
          <cell r="A1906">
            <v>6002</v>
          </cell>
          <cell r="B1906">
            <v>1</v>
          </cell>
          <cell r="D1906" t="str">
            <v>接地端子</v>
          </cell>
          <cell r="E1906" t="str">
            <v>套</v>
          </cell>
          <cell r="G1906">
            <v>6.18</v>
          </cell>
          <cell r="H1906">
            <v>6</v>
          </cell>
          <cell r="I1906">
            <v>0.18</v>
          </cell>
          <cell r="K1906" t="str">
            <v>套</v>
          </cell>
          <cell r="L1906">
            <v>6.18</v>
          </cell>
        </row>
        <row r="1907">
          <cell r="A1907">
            <v>6003</v>
          </cell>
          <cell r="B1907">
            <v>1</v>
          </cell>
          <cell r="D1907" t="str">
            <v>硬质塑料管φ15~25mm</v>
          </cell>
          <cell r="E1907" t="str">
            <v>套</v>
          </cell>
          <cell r="G1907">
            <v>3.61</v>
          </cell>
          <cell r="H1907">
            <v>3.5</v>
          </cell>
          <cell r="I1907">
            <v>0.11</v>
          </cell>
          <cell r="K1907" t="str">
            <v>套</v>
          </cell>
          <cell r="L1907">
            <v>3.61</v>
          </cell>
        </row>
        <row r="1908">
          <cell r="A1908">
            <v>6004</v>
          </cell>
          <cell r="B1908">
            <v>1</v>
          </cell>
          <cell r="D1908" t="str">
            <v>照明分电箱（PTX型)</v>
          </cell>
          <cell r="E1908" t="str">
            <v>套</v>
          </cell>
          <cell r="G1908">
            <v>669.5</v>
          </cell>
          <cell r="H1908">
            <v>650</v>
          </cell>
          <cell r="I1908">
            <v>19.5</v>
          </cell>
          <cell r="K1908" t="str">
            <v>套</v>
          </cell>
          <cell r="L1908">
            <v>669.5</v>
          </cell>
        </row>
        <row r="1909">
          <cell r="A1909">
            <v>6005</v>
          </cell>
          <cell r="B1909">
            <v>1</v>
          </cell>
          <cell r="D1909" t="str">
            <v>地漏</v>
          </cell>
          <cell r="E1909" t="str">
            <v>套</v>
          </cell>
          <cell r="G1909">
            <v>19.059999999999999</v>
          </cell>
          <cell r="H1909">
            <v>18.5</v>
          </cell>
          <cell r="I1909">
            <v>0.56000000000000005</v>
          </cell>
          <cell r="K1909" t="str">
            <v>套</v>
          </cell>
          <cell r="L1909">
            <v>19.059999999999999</v>
          </cell>
        </row>
        <row r="1910">
          <cell r="A1910">
            <v>6006</v>
          </cell>
          <cell r="B1910">
            <v>1</v>
          </cell>
          <cell r="D1910" t="str">
            <v>清扫口</v>
          </cell>
          <cell r="E1910" t="str">
            <v>套</v>
          </cell>
          <cell r="G1910">
            <v>10.82</v>
          </cell>
          <cell r="H1910">
            <v>10.5</v>
          </cell>
          <cell r="I1910">
            <v>0.32</v>
          </cell>
          <cell r="K1910" t="str">
            <v>套</v>
          </cell>
          <cell r="L1910">
            <v>10.82</v>
          </cell>
        </row>
        <row r="1911">
          <cell r="A1911">
            <v>6007</v>
          </cell>
          <cell r="B1911">
            <v>1</v>
          </cell>
          <cell r="D1911" t="str">
            <v>铸铁排水管DN150</v>
          </cell>
          <cell r="E1911" t="str">
            <v>套</v>
          </cell>
          <cell r="G1911">
            <v>30.9</v>
          </cell>
          <cell r="H1911">
            <v>30</v>
          </cell>
          <cell r="I1911">
            <v>0.9</v>
          </cell>
          <cell r="K1911" t="str">
            <v>套</v>
          </cell>
          <cell r="L1911">
            <v>30.9</v>
          </cell>
        </row>
        <row r="1912">
          <cell r="A1912">
            <v>6008</v>
          </cell>
          <cell r="B1912">
            <v>1</v>
          </cell>
          <cell r="D1912" t="str">
            <v>三相插座   （63A,三相,5极）</v>
          </cell>
          <cell r="E1912" t="str">
            <v>套</v>
          </cell>
          <cell r="G1912">
            <v>25.75</v>
          </cell>
          <cell r="H1912">
            <v>25</v>
          </cell>
          <cell r="I1912">
            <v>0.75</v>
          </cell>
          <cell r="K1912" t="str">
            <v>套</v>
          </cell>
          <cell r="L1912">
            <v>25.75</v>
          </cell>
        </row>
        <row r="1913">
          <cell r="A1913">
            <v>6009</v>
          </cell>
          <cell r="B1913">
            <v>1</v>
          </cell>
          <cell r="D1913" t="str">
            <v>电源插座箱  （XRM302-06-2B）</v>
          </cell>
          <cell r="E1913" t="str">
            <v>只</v>
          </cell>
          <cell r="G1913">
            <v>309</v>
          </cell>
          <cell r="H1913">
            <v>300</v>
          </cell>
          <cell r="I1913">
            <v>9</v>
          </cell>
          <cell r="K1913" t="str">
            <v>只</v>
          </cell>
          <cell r="L1913">
            <v>309</v>
          </cell>
        </row>
        <row r="1914">
          <cell r="A1914">
            <v>6010</v>
          </cell>
          <cell r="B1914">
            <v>1</v>
          </cell>
          <cell r="D1914" t="str">
            <v>暗装跷板开关（250V 10A）</v>
          </cell>
          <cell r="E1914" t="str">
            <v>套</v>
          </cell>
          <cell r="G1914">
            <v>5.92</v>
          </cell>
          <cell r="H1914">
            <v>5.75</v>
          </cell>
          <cell r="I1914">
            <v>0.17</v>
          </cell>
          <cell r="K1914" t="str">
            <v>套</v>
          </cell>
          <cell r="L1914">
            <v>5.92</v>
          </cell>
        </row>
        <row r="1915">
          <cell r="A1915">
            <v>6011</v>
          </cell>
          <cell r="B1915">
            <v>1</v>
          </cell>
          <cell r="D1915" t="str">
            <v>暗装两极双用、两极带接地插座（250V 10A）</v>
          </cell>
          <cell r="E1915" t="str">
            <v>套</v>
          </cell>
          <cell r="G1915">
            <v>8.86</v>
          </cell>
          <cell r="H1915">
            <v>8.6</v>
          </cell>
          <cell r="I1915">
            <v>0.26</v>
          </cell>
          <cell r="K1915" t="str">
            <v>套</v>
          </cell>
          <cell r="L1915">
            <v>8.86</v>
          </cell>
        </row>
        <row r="1916">
          <cell r="A1916">
            <v>6012</v>
          </cell>
          <cell r="B1916">
            <v>1</v>
          </cell>
          <cell r="D1916" t="str">
            <v>明装防水防尘插座（56S0310C，250V，10A，IP56）</v>
          </cell>
          <cell r="E1916" t="str">
            <v>套</v>
          </cell>
          <cell r="G1916">
            <v>31.93</v>
          </cell>
          <cell r="H1916">
            <v>31</v>
          </cell>
          <cell r="I1916">
            <v>0.93</v>
          </cell>
          <cell r="K1916" t="str">
            <v>套</v>
          </cell>
          <cell r="L1916">
            <v>31.93</v>
          </cell>
        </row>
        <row r="1917">
          <cell r="A1917">
            <v>6013</v>
          </cell>
          <cell r="B1917">
            <v>1</v>
          </cell>
          <cell r="D1917" t="str">
            <v>分线盒（T12）</v>
          </cell>
          <cell r="E1917" t="str">
            <v>套</v>
          </cell>
          <cell r="G1917">
            <v>3.61</v>
          </cell>
          <cell r="H1917">
            <v>3.5</v>
          </cell>
          <cell r="I1917">
            <v>0.11</v>
          </cell>
          <cell r="K1917" t="str">
            <v>套</v>
          </cell>
          <cell r="L1917">
            <v>3.61</v>
          </cell>
        </row>
        <row r="1918">
          <cell r="A1918">
            <v>6014</v>
          </cell>
          <cell r="B1918">
            <v>1</v>
          </cell>
          <cell r="D1918" t="str">
            <v>暗装照明配电箱（XRM302-06-2B）</v>
          </cell>
          <cell r="E1918" t="str">
            <v>只</v>
          </cell>
          <cell r="G1918">
            <v>329.6</v>
          </cell>
          <cell r="H1918">
            <v>320</v>
          </cell>
          <cell r="I1918">
            <v>9.6</v>
          </cell>
          <cell r="K1918" t="str">
            <v>只</v>
          </cell>
          <cell r="L1918">
            <v>329.6</v>
          </cell>
        </row>
        <row r="1919">
          <cell r="A1919">
            <v>6015</v>
          </cell>
          <cell r="B1919">
            <v>1</v>
          </cell>
          <cell r="D1919" t="str">
            <v>明装照明配电箱（防水型）XXM302-06-2B</v>
          </cell>
          <cell r="E1919" t="str">
            <v>只</v>
          </cell>
          <cell r="G1919">
            <v>329.6</v>
          </cell>
          <cell r="H1919">
            <v>320</v>
          </cell>
          <cell r="I1919">
            <v>9.6</v>
          </cell>
          <cell r="K1919" t="str">
            <v>只</v>
          </cell>
          <cell r="L1919">
            <v>329.6</v>
          </cell>
        </row>
        <row r="1920">
          <cell r="A1920">
            <v>6016</v>
          </cell>
          <cell r="B1920">
            <v>1</v>
          </cell>
          <cell r="D1920" t="str">
            <v>照明配电箱XRM</v>
          </cell>
          <cell r="E1920" t="str">
            <v>面</v>
          </cell>
          <cell r="G1920">
            <v>329.6</v>
          </cell>
          <cell r="H1920">
            <v>320</v>
          </cell>
          <cell r="I1920">
            <v>9.6</v>
          </cell>
          <cell r="K1920" t="str">
            <v>面</v>
          </cell>
          <cell r="L1920">
            <v>329.6</v>
          </cell>
        </row>
        <row r="1921">
          <cell r="A1921">
            <v>6017</v>
          </cell>
          <cell r="B1921">
            <v>1</v>
          </cell>
          <cell r="D1921" t="str">
            <v>照明灯具</v>
          </cell>
          <cell r="E1921" t="str">
            <v>套</v>
          </cell>
          <cell r="G1921">
            <v>36.049999999999997</v>
          </cell>
          <cell r="H1921">
            <v>35</v>
          </cell>
          <cell r="I1921">
            <v>1.05</v>
          </cell>
          <cell r="K1921" t="str">
            <v>套</v>
          </cell>
          <cell r="L1921">
            <v>36.049999999999997</v>
          </cell>
        </row>
        <row r="1922">
          <cell r="A1922">
            <v>6018</v>
          </cell>
          <cell r="B1922">
            <v>1</v>
          </cell>
          <cell r="D1922" t="str">
            <v>照明开关插座</v>
          </cell>
          <cell r="E1922" t="str">
            <v>套</v>
          </cell>
          <cell r="G1922">
            <v>20.6</v>
          </cell>
          <cell r="H1922">
            <v>20</v>
          </cell>
          <cell r="I1922">
            <v>0.6</v>
          </cell>
          <cell r="K1922" t="str">
            <v>套</v>
          </cell>
          <cell r="L1922">
            <v>20.6</v>
          </cell>
        </row>
        <row r="1923">
          <cell r="A1923">
            <v>6019</v>
          </cell>
          <cell r="B1923">
            <v>1</v>
          </cell>
          <cell r="D1923" t="str">
            <v>铜芯导线 （BV-6  500V）</v>
          </cell>
          <cell r="E1923" t="str">
            <v>m</v>
          </cell>
          <cell r="G1923">
            <v>1.69</v>
          </cell>
          <cell r="H1923">
            <v>1.64</v>
          </cell>
          <cell r="I1923">
            <v>0.05</v>
          </cell>
          <cell r="K1923" t="str">
            <v>m</v>
          </cell>
          <cell r="L1923">
            <v>1.69</v>
          </cell>
        </row>
        <row r="1924">
          <cell r="A1924">
            <v>6020</v>
          </cell>
          <cell r="B1924">
            <v>1</v>
          </cell>
          <cell r="D1924" t="str">
            <v>铜芯导线 （BV-2.5  500V）</v>
          </cell>
          <cell r="E1924" t="str">
            <v>m</v>
          </cell>
          <cell r="G1924">
            <v>0.73</v>
          </cell>
          <cell r="H1924">
            <v>0.71</v>
          </cell>
          <cell r="I1924">
            <v>0.02</v>
          </cell>
          <cell r="K1924" t="str">
            <v>m</v>
          </cell>
          <cell r="L1924">
            <v>0.73</v>
          </cell>
        </row>
        <row r="1925">
          <cell r="A1925">
            <v>6021</v>
          </cell>
          <cell r="B1925">
            <v>1</v>
          </cell>
          <cell r="D1925" t="str">
            <v>铜芯导线 （BV-35  500V）</v>
          </cell>
          <cell r="E1925" t="str">
            <v>m</v>
          </cell>
          <cell r="G1925">
            <v>11.32</v>
          </cell>
          <cell r="H1925">
            <v>10.99</v>
          </cell>
          <cell r="I1925">
            <v>0.33</v>
          </cell>
          <cell r="K1925" t="str">
            <v>m</v>
          </cell>
          <cell r="L1925">
            <v>11.32</v>
          </cell>
        </row>
        <row r="1926">
          <cell r="A1926">
            <v>6022</v>
          </cell>
          <cell r="B1926">
            <v>1</v>
          </cell>
          <cell r="D1926" t="str">
            <v>动力电缆  (ZCR-VV22-3×185+1×90)</v>
          </cell>
          <cell r="E1926" t="str">
            <v>m</v>
          </cell>
          <cell r="G1926">
            <v>193.64</v>
          </cell>
          <cell r="H1926">
            <v>188</v>
          </cell>
          <cell r="I1926">
            <v>5.64</v>
          </cell>
          <cell r="K1926" t="str">
            <v>m</v>
          </cell>
          <cell r="L1926">
            <v>193.64</v>
          </cell>
        </row>
        <row r="1927">
          <cell r="A1927">
            <v>6023</v>
          </cell>
          <cell r="B1927">
            <v>1</v>
          </cell>
          <cell r="D1927" t="str">
            <v>动力电缆  (ZCR-VV22-3×50+1×25)</v>
          </cell>
          <cell r="E1927" t="str">
            <v xml:space="preserve">m </v>
          </cell>
          <cell r="G1927">
            <v>52.32</v>
          </cell>
          <cell r="H1927">
            <v>50.8</v>
          </cell>
          <cell r="I1927">
            <v>1.52</v>
          </cell>
          <cell r="K1927" t="str">
            <v xml:space="preserve">m </v>
          </cell>
          <cell r="L1927">
            <v>52.32</v>
          </cell>
        </row>
        <row r="1928">
          <cell r="A1928">
            <v>6024</v>
          </cell>
          <cell r="B1928">
            <v>1</v>
          </cell>
          <cell r="D1928" t="str">
            <v>动力电缆  (YJV22-3×25+2×16)</v>
          </cell>
          <cell r="E1928" t="str">
            <v xml:space="preserve">m </v>
          </cell>
          <cell r="G1928">
            <v>36.119999999999997</v>
          </cell>
          <cell r="H1928">
            <v>35.07</v>
          </cell>
          <cell r="I1928">
            <v>1.05</v>
          </cell>
          <cell r="K1928" t="str">
            <v xml:space="preserve">m </v>
          </cell>
          <cell r="L1928">
            <v>36.119999999999997</v>
          </cell>
        </row>
        <row r="1929">
          <cell r="A1929">
            <v>6025</v>
          </cell>
          <cell r="B1929">
            <v>1</v>
          </cell>
          <cell r="D1929" t="str">
            <v>动力电缆  (YJV22-5x16)</v>
          </cell>
          <cell r="E1929" t="str">
            <v>m</v>
          </cell>
          <cell r="G1929">
            <v>33.269999999999996</v>
          </cell>
          <cell r="H1929">
            <v>32.299999999999997</v>
          </cell>
          <cell r="I1929">
            <v>0.97</v>
          </cell>
          <cell r="K1929" t="str">
            <v>m</v>
          </cell>
          <cell r="L1929">
            <v>33.269999999999996</v>
          </cell>
        </row>
        <row r="1930">
          <cell r="A1930">
            <v>6026</v>
          </cell>
          <cell r="B1930">
            <v>1</v>
          </cell>
          <cell r="D1930" t="str">
            <v>控制电缆 （ZR-KVVP2-22-（B）-4×2.5）</v>
          </cell>
          <cell r="E1930" t="str">
            <v>m</v>
          </cell>
          <cell r="G1930">
            <v>7.34</v>
          </cell>
          <cell r="H1930">
            <v>7.13</v>
          </cell>
          <cell r="I1930">
            <v>0.21</v>
          </cell>
          <cell r="K1930" t="str">
            <v>m</v>
          </cell>
          <cell r="L1930">
            <v>7.34</v>
          </cell>
        </row>
        <row r="1931">
          <cell r="A1931">
            <v>6027</v>
          </cell>
          <cell r="B1931">
            <v>1</v>
          </cell>
          <cell r="D1931" t="str">
            <v>控制电缆 （ZR-KVVP2-22-（B）-10×1.5）</v>
          </cell>
          <cell r="E1931" t="str">
            <v>m</v>
          </cell>
          <cell r="G1931">
            <v>11.58</v>
          </cell>
          <cell r="H1931">
            <v>11.24</v>
          </cell>
          <cell r="I1931">
            <v>0.34</v>
          </cell>
          <cell r="K1931" t="str">
            <v>m</v>
          </cell>
          <cell r="L1931">
            <v>11.58</v>
          </cell>
        </row>
        <row r="1932">
          <cell r="A1932">
            <v>6028</v>
          </cell>
          <cell r="B1932">
            <v>1</v>
          </cell>
          <cell r="D1932" t="str">
            <v>控制电缆（ZR-DJVPV22P（B）-2×2×1.5）</v>
          </cell>
          <cell r="E1932" t="str">
            <v>m</v>
          </cell>
          <cell r="G1932">
            <v>6.04</v>
          </cell>
          <cell r="H1932">
            <v>5.86</v>
          </cell>
          <cell r="I1932">
            <v>0.18</v>
          </cell>
          <cell r="K1932" t="str">
            <v>m</v>
          </cell>
          <cell r="L1932">
            <v>6.04</v>
          </cell>
        </row>
        <row r="1933">
          <cell r="A1933">
            <v>6029</v>
          </cell>
          <cell r="B1933">
            <v>1</v>
          </cell>
          <cell r="D1933" t="str">
            <v>控制电缆KVVP4/-10*1.5</v>
          </cell>
          <cell r="E1933" t="str">
            <v>米</v>
          </cell>
          <cell r="G1933">
            <v>10.200000000000001</v>
          </cell>
          <cell r="H1933">
            <v>9.9</v>
          </cell>
          <cell r="I1933">
            <v>0.3</v>
          </cell>
          <cell r="K1933" t="str">
            <v>米</v>
          </cell>
          <cell r="L1933">
            <v>10.200000000000001</v>
          </cell>
        </row>
        <row r="1934">
          <cell r="A1934">
            <v>6030</v>
          </cell>
          <cell r="B1934">
            <v>1</v>
          </cell>
          <cell r="D1934" t="str">
            <v>交联聚乙烯绝缘钢带铠装铜电缆YJV22-1kV 3×185＋2×95</v>
          </cell>
          <cell r="E1934" t="str">
            <v>米</v>
          </cell>
          <cell r="G1934">
            <v>221.07</v>
          </cell>
          <cell r="H1934">
            <v>214.63</v>
          </cell>
          <cell r="I1934">
            <v>6.44</v>
          </cell>
          <cell r="K1934" t="str">
            <v>米</v>
          </cell>
          <cell r="L1934">
            <v>221.07</v>
          </cell>
        </row>
        <row r="1935">
          <cell r="A1935">
            <v>6031</v>
          </cell>
          <cell r="B1935">
            <v>1</v>
          </cell>
          <cell r="D1935" t="str">
            <v>交联聚乙烯绝缘钢带铠装铜电缆YJV22-1kV 3×150＋2×70</v>
          </cell>
          <cell r="E1935" t="str">
            <v>米</v>
          </cell>
          <cell r="G1935">
            <v>157.59</v>
          </cell>
          <cell r="H1935">
            <v>153</v>
          </cell>
          <cell r="I1935">
            <v>4.59</v>
          </cell>
          <cell r="K1935" t="str">
            <v>米</v>
          </cell>
          <cell r="L1935">
            <v>157.59</v>
          </cell>
        </row>
        <row r="1936">
          <cell r="A1936">
            <v>6032</v>
          </cell>
          <cell r="B1936">
            <v>1</v>
          </cell>
          <cell r="D1936" t="str">
            <v>交联聚乙烯绝缘钢带铠装铜电缆YJV22-1kV 5×16</v>
          </cell>
          <cell r="E1936" t="str">
            <v>米</v>
          </cell>
          <cell r="G1936">
            <v>34.809999999999995</v>
          </cell>
          <cell r="H1936">
            <v>33.799999999999997</v>
          </cell>
          <cell r="I1936">
            <v>1.01</v>
          </cell>
          <cell r="K1936" t="str">
            <v>米</v>
          </cell>
          <cell r="L1936">
            <v>34.809999999999995</v>
          </cell>
        </row>
        <row r="1937">
          <cell r="A1937">
            <v>6033</v>
          </cell>
          <cell r="B1937">
            <v>1</v>
          </cell>
          <cell r="D1937" t="str">
            <v>绝缘导线  （BV-2.5  500V）</v>
          </cell>
          <cell r="E1937" t="str">
            <v>m</v>
          </cell>
          <cell r="G1937">
            <v>0.21000000000000002</v>
          </cell>
          <cell r="H1937">
            <v>0.2</v>
          </cell>
          <cell r="I1937">
            <v>0.01</v>
          </cell>
          <cell r="K1937" t="str">
            <v>m</v>
          </cell>
          <cell r="L1937">
            <v>0.21000000000000002</v>
          </cell>
        </row>
        <row r="1938">
          <cell r="A1938">
            <v>6034</v>
          </cell>
          <cell r="B1938">
            <v>1</v>
          </cell>
          <cell r="D1938" t="str">
            <v>绝缘导线  （BV-6  500V）</v>
          </cell>
          <cell r="E1938" t="str">
            <v>m</v>
          </cell>
          <cell r="G1938">
            <v>0.46</v>
          </cell>
          <cell r="H1938">
            <v>0.45</v>
          </cell>
          <cell r="I1938">
            <v>0.01</v>
          </cell>
          <cell r="K1938" t="str">
            <v>m</v>
          </cell>
          <cell r="L1938">
            <v>0.46</v>
          </cell>
        </row>
        <row r="1939">
          <cell r="A1939">
            <v>6035</v>
          </cell>
          <cell r="B1939">
            <v>1</v>
          </cell>
          <cell r="D1939" t="str">
            <v>塑料铜导线BV-2.5,500V</v>
          </cell>
          <cell r="E1939" t="str">
            <v>米</v>
          </cell>
          <cell r="G1939">
            <v>0.52</v>
          </cell>
          <cell r="H1939">
            <v>0.5</v>
          </cell>
          <cell r="I1939">
            <v>0.02</v>
          </cell>
          <cell r="K1939" t="str">
            <v>米</v>
          </cell>
          <cell r="L1939">
            <v>0.52</v>
          </cell>
        </row>
        <row r="1940">
          <cell r="A1940">
            <v>6036</v>
          </cell>
          <cell r="B1940">
            <v>1</v>
          </cell>
          <cell r="D1940" t="str">
            <v>电缆终端头  (YJV32-3×120+2x70)</v>
          </cell>
          <cell r="E1940" t="str">
            <v>套</v>
          </cell>
          <cell r="G1940">
            <v>329.6</v>
          </cell>
          <cell r="H1940">
            <v>320</v>
          </cell>
          <cell r="I1940">
            <v>9.6</v>
          </cell>
          <cell r="K1940" t="str">
            <v>套</v>
          </cell>
          <cell r="L1940">
            <v>329.6</v>
          </cell>
        </row>
        <row r="1941">
          <cell r="A1941">
            <v>6037</v>
          </cell>
          <cell r="B1941">
            <v>1</v>
          </cell>
          <cell r="D1941" t="str">
            <v>电缆终端头  (YJV22-3×50+2x25)</v>
          </cell>
          <cell r="E1941" t="str">
            <v>套</v>
          </cell>
          <cell r="G1941">
            <v>267.8</v>
          </cell>
          <cell r="H1941">
            <v>260</v>
          </cell>
          <cell r="I1941">
            <v>7.8</v>
          </cell>
          <cell r="K1941" t="str">
            <v>套</v>
          </cell>
          <cell r="L1941">
            <v>267.8</v>
          </cell>
        </row>
        <row r="1942">
          <cell r="A1942">
            <v>6038</v>
          </cell>
          <cell r="B1942">
            <v>1</v>
          </cell>
          <cell r="D1942" t="str">
            <v>电缆终端头  (YJV22-3×25+2x16)</v>
          </cell>
          <cell r="E1942" t="str">
            <v>套</v>
          </cell>
          <cell r="G1942">
            <v>226.6</v>
          </cell>
          <cell r="H1942">
            <v>220</v>
          </cell>
          <cell r="I1942">
            <v>6.6</v>
          </cell>
          <cell r="K1942" t="str">
            <v>套</v>
          </cell>
          <cell r="L1942">
            <v>226.6</v>
          </cell>
        </row>
        <row r="1943">
          <cell r="A1943">
            <v>6039</v>
          </cell>
          <cell r="B1943">
            <v>1</v>
          </cell>
          <cell r="D1943" t="str">
            <v>电缆终端头  (YJV22-5x16)</v>
          </cell>
          <cell r="E1943" t="str">
            <v>套</v>
          </cell>
          <cell r="G1943">
            <v>247.2</v>
          </cell>
          <cell r="H1943">
            <v>240</v>
          </cell>
          <cell r="I1943">
            <v>7.2</v>
          </cell>
          <cell r="K1943" t="str">
            <v>套</v>
          </cell>
          <cell r="L1943">
            <v>247.2</v>
          </cell>
        </row>
        <row r="1944">
          <cell r="A1944">
            <v>6040</v>
          </cell>
          <cell r="B1944">
            <v>1</v>
          </cell>
          <cell r="D1944" t="str">
            <v>电缆终端头（含接线端子）用于YJV22-1kV 3×185＋2×95</v>
          </cell>
          <cell r="E1944" t="str">
            <v>套</v>
          </cell>
          <cell r="G1944">
            <v>432.6</v>
          </cell>
          <cell r="H1944">
            <v>420</v>
          </cell>
          <cell r="I1944">
            <v>12.6</v>
          </cell>
          <cell r="K1944" t="str">
            <v>套</v>
          </cell>
          <cell r="L1944">
            <v>432.6</v>
          </cell>
        </row>
        <row r="1945">
          <cell r="A1945">
            <v>6041</v>
          </cell>
          <cell r="B1945">
            <v>1</v>
          </cell>
          <cell r="D1945" t="str">
            <v>电缆终端头（含接线端子）用于YJV22-1kV 3×150＋2×70</v>
          </cell>
          <cell r="E1945" t="str">
            <v>套</v>
          </cell>
          <cell r="G1945">
            <v>391.4</v>
          </cell>
          <cell r="H1945">
            <v>380</v>
          </cell>
          <cell r="I1945">
            <v>11.4</v>
          </cell>
          <cell r="K1945" t="str">
            <v>套</v>
          </cell>
          <cell r="L1945">
            <v>391.4</v>
          </cell>
        </row>
        <row r="1946">
          <cell r="A1946">
            <v>6042</v>
          </cell>
          <cell r="B1946">
            <v>1</v>
          </cell>
          <cell r="D1946" t="str">
            <v>电缆终端头（含接线端子）用于YJV22-1kV 5×16</v>
          </cell>
          <cell r="E1946" t="str">
            <v>套</v>
          </cell>
          <cell r="G1946">
            <v>247.2</v>
          </cell>
          <cell r="H1946">
            <v>240</v>
          </cell>
          <cell r="I1946">
            <v>7.2</v>
          </cell>
          <cell r="K1946" t="str">
            <v>套</v>
          </cell>
          <cell r="L1946">
            <v>247.2</v>
          </cell>
        </row>
        <row r="1947">
          <cell r="A1947">
            <v>6043</v>
          </cell>
          <cell r="B1947">
            <v>1</v>
          </cell>
          <cell r="D1947" t="str">
            <v>铜接线端子 （120mm2）</v>
          </cell>
          <cell r="E1947" t="str">
            <v>个</v>
          </cell>
          <cell r="G1947">
            <v>32.550000000000004</v>
          </cell>
          <cell r="H1947">
            <v>31.6</v>
          </cell>
          <cell r="I1947">
            <v>0.95</v>
          </cell>
          <cell r="K1947" t="str">
            <v>个</v>
          </cell>
          <cell r="L1947">
            <v>32.550000000000004</v>
          </cell>
        </row>
        <row r="1948">
          <cell r="A1948">
            <v>6044</v>
          </cell>
          <cell r="B1948">
            <v>1</v>
          </cell>
          <cell r="D1948" t="str">
            <v>铜接线端子 （70mm2）</v>
          </cell>
          <cell r="E1948" t="str">
            <v>个</v>
          </cell>
          <cell r="G1948">
            <v>11.120000000000001</v>
          </cell>
          <cell r="H1948">
            <v>10.8</v>
          </cell>
          <cell r="I1948">
            <v>0.32</v>
          </cell>
          <cell r="K1948" t="str">
            <v>个</v>
          </cell>
          <cell r="L1948">
            <v>11.120000000000001</v>
          </cell>
        </row>
        <row r="1949">
          <cell r="A1949">
            <v>6045</v>
          </cell>
          <cell r="B1949">
            <v>1</v>
          </cell>
          <cell r="D1949" t="str">
            <v>铜接线端子 （50mm2）</v>
          </cell>
          <cell r="E1949" t="str">
            <v>个</v>
          </cell>
          <cell r="G1949">
            <v>4.53</v>
          </cell>
          <cell r="H1949">
            <v>4.4000000000000004</v>
          </cell>
          <cell r="I1949">
            <v>0.13</v>
          </cell>
          <cell r="K1949" t="str">
            <v>个</v>
          </cell>
          <cell r="L1949">
            <v>4.53</v>
          </cell>
        </row>
        <row r="1950">
          <cell r="A1950">
            <v>6046</v>
          </cell>
          <cell r="B1950">
            <v>1</v>
          </cell>
          <cell r="D1950" t="str">
            <v>铜接线端子 （25mm2）</v>
          </cell>
          <cell r="E1950" t="str">
            <v>个</v>
          </cell>
          <cell r="G1950">
            <v>6.18</v>
          </cell>
          <cell r="H1950">
            <v>6</v>
          </cell>
          <cell r="I1950">
            <v>0.18</v>
          </cell>
          <cell r="K1950" t="str">
            <v>个</v>
          </cell>
          <cell r="L1950">
            <v>6.18</v>
          </cell>
        </row>
        <row r="1951">
          <cell r="A1951">
            <v>6047</v>
          </cell>
          <cell r="B1951">
            <v>1</v>
          </cell>
          <cell r="D1951" t="str">
            <v>铜接线端子 （16mm2）</v>
          </cell>
          <cell r="E1951" t="str">
            <v>个</v>
          </cell>
          <cell r="G1951">
            <v>4.12</v>
          </cell>
          <cell r="H1951">
            <v>4</v>
          </cell>
          <cell r="I1951">
            <v>0.12</v>
          </cell>
          <cell r="K1951" t="str">
            <v>个</v>
          </cell>
          <cell r="L1951">
            <v>4.12</v>
          </cell>
        </row>
        <row r="1952">
          <cell r="A1952">
            <v>6048</v>
          </cell>
          <cell r="B1952">
            <v>1</v>
          </cell>
          <cell r="D1952" t="str">
            <v>铝合金管 （Φ25 壁厚1.5mm）</v>
          </cell>
          <cell r="E1952" t="str">
            <v>kg</v>
          </cell>
          <cell r="G1952">
            <v>22.66</v>
          </cell>
          <cell r="H1952">
            <v>22</v>
          </cell>
          <cell r="I1952">
            <v>0.66</v>
          </cell>
          <cell r="K1952" t="str">
            <v>kg</v>
          </cell>
          <cell r="L1952">
            <v>22.66</v>
          </cell>
        </row>
        <row r="1953">
          <cell r="A1953">
            <v>6049</v>
          </cell>
          <cell r="B1953">
            <v>1</v>
          </cell>
          <cell r="D1953" t="str">
            <v>管卡 （30×4扁钢制作，L=130mm）</v>
          </cell>
          <cell r="E1953" t="str">
            <v>个</v>
          </cell>
          <cell r="G1953">
            <v>0</v>
          </cell>
          <cell r="I1953">
            <v>0</v>
          </cell>
          <cell r="K1953" t="str">
            <v>个</v>
          </cell>
          <cell r="L1953">
            <v>0</v>
          </cell>
        </row>
        <row r="1954">
          <cell r="A1954">
            <v>6050</v>
          </cell>
          <cell r="B1954">
            <v>1</v>
          </cell>
          <cell r="D1954" t="str">
            <v>膨胀螺栓 （M10×105）</v>
          </cell>
          <cell r="E1954" t="str">
            <v>套</v>
          </cell>
          <cell r="G1954">
            <v>0</v>
          </cell>
          <cell r="I1954">
            <v>0</v>
          </cell>
          <cell r="K1954" t="str">
            <v>套</v>
          </cell>
          <cell r="L1954">
            <v>0</v>
          </cell>
        </row>
        <row r="1955">
          <cell r="A1955">
            <v>6051</v>
          </cell>
          <cell r="B1955">
            <v>1</v>
          </cell>
          <cell r="D1955" t="str">
            <v>电缆卡子 （40×4扁钢制作，L=180）</v>
          </cell>
          <cell r="E1955" t="str">
            <v>只</v>
          </cell>
          <cell r="G1955">
            <v>0</v>
          </cell>
          <cell r="I1955">
            <v>0</v>
          </cell>
          <cell r="K1955" t="str">
            <v>只</v>
          </cell>
          <cell r="L1955">
            <v>0</v>
          </cell>
        </row>
        <row r="1956">
          <cell r="A1956">
            <v>6052</v>
          </cell>
          <cell r="B1956">
            <v>1</v>
          </cell>
          <cell r="D1956" t="str">
            <v>电缆托架 （50×5mm镀锌角钢制作）</v>
          </cell>
          <cell r="E1956" t="str">
            <v>m</v>
          </cell>
          <cell r="G1956">
            <v>0</v>
          </cell>
          <cell r="I1956">
            <v>0</v>
          </cell>
          <cell r="K1956" t="str">
            <v>m</v>
          </cell>
          <cell r="L1956">
            <v>0</v>
          </cell>
        </row>
        <row r="1957">
          <cell r="A1957">
            <v>6053</v>
          </cell>
          <cell r="B1957">
            <v>1</v>
          </cell>
          <cell r="D1957" t="str">
            <v>有机防火堵料 （DFC-III）</v>
          </cell>
          <cell r="E1957" t="str">
            <v>kg</v>
          </cell>
          <cell r="G1957">
            <v>36.049999999999997</v>
          </cell>
          <cell r="H1957">
            <v>35</v>
          </cell>
          <cell r="I1957">
            <v>1.05</v>
          </cell>
          <cell r="K1957" t="str">
            <v>kg</v>
          </cell>
          <cell r="L1957">
            <v>36.049999999999997</v>
          </cell>
        </row>
        <row r="1958">
          <cell r="A1958">
            <v>6054</v>
          </cell>
          <cell r="B1958">
            <v>1</v>
          </cell>
          <cell r="D1958" t="str">
            <v>无机防火堵料 （SFD-II）</v>
          </cell>
          <cell r="E1958" t="str">
            <v>kg</v>
          </cell>
          <cell r="G1958">
            <v>36.049999999999997</v>
          </cell>
          <cell r="H1958">
            <v>35</v>
          </cell>
          <cell r="I1958">
            <v>1.05</v>
          </cell>
          <cell r="K1958" t="str">
            <v>kg</v>
          </cell>
          <cell r="L1958">
            <v>36.049999999999997</v>
          </cell>
        </row>
        <row r="1959">
          <cell r="A1959">
            <v>6055</v>
          </cell>
          <cell r="B1959">
            <v>1</v>
          </cell>
          <cell r="D1959" t="str">
            <v>启闭机室动力盘</v>
          </cell>
          <cell r="E1959" t="str">
            <v>面</v>
          </cell>
          <cell r="G1959">
            <v>0</v>
          </cell>
          <cell r="I1959">
            <v>0</v>
          </cell>
          <cell r="K1959" t="str">
            <v>面</v>
          </cell>
          <cell r="L1959">
            <v>0</v>
          </cell>
        </row>
        <row r="1960">
          <cell r="A1960">
            <v>6056</v>
          </cell>
          <cell r="B1960">
            <v>1</v>
          </cell>
          <cell r="D1960" t="str">
            <v>启闭机室控制盘</v>
          </cell>
          <cell r="E1960" t="str">
            <v>面</v>
          </cell>
          <cell r="G1960">
            <v>0</v>
          </cell>
          <cell r="I1960">
            <v>0</v>
          </cell>
          <cell r="K1960" t="str">
            <v>面</v>
          </cell>
          <cell r="L1960">
            <v>0</v>
          </cell>
        </row>
        <row r="1961">
          <cell r="A1961">
            <v>6057</v>
          </cell>
          <cell r="B1961">
            <v>1</v>
          </cell>
          <cell r="D1961" t="str">
            <v>镀锌圆钢  Φ12</v>
          </cell>
          <cell r="E1961" t="str">
            <v>kg</v>
          </cell>
          <cell r="G1961">
            <v>3.9099999999999997</v>
          </cell>
          <cell r="H1961">
            <v>3.8</v>
          </cell>
          <cell r="I1961">
            <v>0.11</v>
          </cell>
          <cell r="K1961" t="str">
            <v>kg</v>
          </cell>
          <cell r="L1961">
            <v>3.9099999999999997</v>
          </cell>
        </row>
        <row r="1962">
          <cell r="A1962">
            <v>6058</v>
          </cell>
          <cell r="B1962">
            <v>1</v>
          </cell>
          <cell r="D1962" t="str">
            <v>电话接线盒</v>
          </cell>
          <cell r="E1962" t="str">
            <v>个</v>
          </cell>
          <cell r="G1962">
            <v>1.44</v>
          </cell>
          <cell r="H1962">
            <v>1.4</v>
          </cell>
          <cell r="I1962">
            <v>0.04</v>
          </cell>
          <cell r="K1962" t="str">
            <v>个</v>
          </cell>
          <cell r="L1962">
            <v>1.44</v>
          </cell>
        </row>
        <row r="1963">
          <cell r="A1963">
            <v>6059</v>
          </cell>
          <cell r="B1963">
            <v>1</v>
          </cell>
          <cell r="D1963" t="str">
            <v>电话机</v>
          </cell>
          <cell r="E1963" t="str">
            <v>个</v>
          </cell>
          <cell r="G1963">
            <v>103</v>
          </cell>
          <cell r="H1963">
            <v>100</v>
          </cell>
          <cell r="I1963">
            <v>3</v>
          </cell>
          <cell r="K1963" t="str">
            <v>个</v>
          </cell>
          <cell r="L1963">
            <v>103</v>
          </cell>
        </row>
        <row r="1964">
          <cell r="A1964">
            <v>6060</v>
          </cell>
          <cell r="B1964">
            <v>1</v>
          </cell>
          <cell r="D1964" t="str">
            <v>电话分线箱  （10对）</v>
          </cell>
          <cell r="E1964" t="str">
            <v>只</v>
          </cell>
          <cell r="G1964">
            <v>154.5</v>
          </cell>
          <cell r="H1964">
            <v>150</v>
          </cell>
          <cell r="I1964">
            <v>4.5</v>
          </cell>
          <cell r="K1964" t="str">
            <v>只</v>
          </cell>
          <cell r="L1964">
            <v>154.5</v>
          </cell>
        </row>
        <row r="1965">
          <cell r="A1965">
            <v>6061</v>
          </cell>
          <cell r="B1965">
            <v>1</v>
          </cell>
          <cell r="D1965" t="str">
            <v>用户线   （RVB2×1.0mm2）</v>
          </cell>
          <cell r="E1965" t="str">
            <v>m</v>
          </cell>
          <cell r="G1965">
            <v>0.52</v>
          </cell>
          <cell r="H1965">
            <v>0.5</v>
          </cell>
          <cell r="I1965">
            <v>0.02</v>
          </cell>
          <cell r="K1965" t="str">
            <v>m</v>
          </cell>
          <cell r="L1965">
            <v>0.52</v>
          </cell>
        </row>
        <row r="1966">
          <cell r="A1966">
            <v>6062</v>
          </cell>
          <cell r="B1966">
            <v>1</v>
          </cell>
          <cell r="D1966" t="str">
            <v>水位计套管   （Φ219×6）</v>
          </cell>
          <cell r="E1966" t="str">
            <v>m</v>
          </cell>
          <cell r="G1966">
            <v>0</v>
          </cell>
          <cell r="I1966">
            <v>0</v>
          </cell>
          <cell r="K1966" t="str">
            <v>m</v>
          </cell>
          <cell r="L1966">
            <v>0</v>
          </cell>
        </row>
        <row r="1967">
          <cell r="A1967">
            <v>6063</v>
          </cell>
          <cell r="B1967">
            <v>1</v>
          </cell>
          <cell r="D1967" t="str">
            <v>深井潜水泵套管Φ426×7</v>
          </cell>
          <cell r="E1967" t="str">
            <v>m</v>
          </cell>
          <cell r="G1967">
            <v>0</v>
          </cell>
          <cell r="I1967">
            <v>0</v>
          </cell>
          <cell r="K1967" t="str">
            <v>m</v>
          </cell>
          <cell r="L1967">
            <v>0</v>
          </cell>
        </row>
        <row r="1968">
          <cell r="A1968">
            <v>6064</v>
          </cell>
          <cell r="B1968">
            <v>1</v>
          </cell>
          <cell r="D1968" t="str">
            <v>深井潜水泵(300QTJ250-18×3)Q=165,250,280m3/h;H=58,44,37m;N=45kW</v>
          </cell>
          <cell r="E1968" t="str">
            <v>台</v>
          </cell>
          <cell r="G1968">
            <v>0</v>
          </cell>
          <cell r="I1968">
            <v>0</v>
          </cell>
          <cell r="K1968" t="str">
            <v>台</v>
          </cell>
          <cell r="L1968">
            <v>0</v>
          </cell>
        </row>
        <row r="1969">
          <cell r="A1969">
            <v>6065</v>
          </cell>
          <cell r="B1969">
            <v>1</v>
          </cell>
          <cell r="D1969" t="str">
            <v>多级离心泵Q=125m3/h;H=54m;N=37kW</v>
          </cell>
          <cell r="E1969" t="str">
            <v>台</v>
          </cell>
          <cell r="G1969">
            <v>0</v>
          </cell>
          <cell r="I1969">
            <v>0</v>
          </cell>
          <cell r="K1969" t="str">
            <v>台</v>
          </cell>
          <cell r="L1969">
            <v>0</v>
          </cell>
        </row>
        <row r="1970">
          <cell r="A1970">
            <v>6066</v>
          </cell>
          <cell r="B1970">
            <v>1</v>
          </cell>
          <cell r="D1970" t="str">
            <v>自动清污滤水器 DN200 PN1.6MPa Qr=250m3/h</v>
          </cell>
          <cell r="E1970" t="str">
            <v>台</v>
          </cell>
          <cell r="G1970">
            <v>0</v>
          </cell>
          <cell r="I1970">
            <v>0</v>
          </cell>
          <cell r="K1970" t="str">
            <v>台</v>
          </cell>
          <cell r="L1970">
            <v>0</v>
          </cell>
        </row>
        <row r="1971">
          <cell r="A1971">
            <v>6067</v>
          </cell>
          <cell r="B1971">
            <v>1</v>
          </cell>
          <cell r="D1971" t="str">
            <v>闸阀 Z41H-16C DN200 PN1.6MPa</v>
          </cell>
          <cell r="E1971" t="str">
            <v>个</v>
          </cell>
          <cell r="G1971">
            <v>2152.6999999999998</v>
          </cell>
          <cell r="H1971">
            <v>2090</v>
          </cell>
          <cell r="I1971">
            <v>62.7</v>
          </cell>
          <cell r="K1971" t="str">
            <v>个</v>
          </cell>
          <cell r="L1971">
            <v>2152.6999999999998</v>
          </cell>
        </row>
        <row r="1972">
          <cell r="A1972">
            <v>6068</v>
          </cell>
          <cell r="B1972">
            <v>1</v>
          </cell>
          <cell r="D1972" t="str">
            <v>闸阀 Z41H-16C DN150 PN1.6MPa</v>
          </cell>
          <cell r="E1972" t="str">
            <v>个</v>
          </cell>
          <cell r="G1972">
            <v>1565.6</v>
          </cell>
          <cell r="H1972">
            <v>1520</v>
          </cell>
          <cell r="I1972">
            <v>45.6</v>
          </cell>
          <cell r="K1972" t="str">
            <v>个</v>
          </cell>
          <cell r="L1972">
            <v>1565.6</v>
          </cell>
        </row>
        <row r="1973">
          <cell r="A1973">
            <v>6069</v>
          </cell>
          <cell r="B1973">
            <v>1</v>
          </cell>
          <cell r="D1973" t="str">
            <v>闸阀 Z41H-16C DN125 PN1.6MPa</v>
          </cell>
          <cell r="E1973" t="str">
            <v>个</v>
          </cell>
          <cell r="G1973">
            <v>1287.5</v>
          </cell>
          <cell r="H1973">
            <v>1250</v>
          </cell>
          <cell r="I1973">
            <v>37.5</v>
          </cell>
          <cell r="K1973" t="str">
            <v>个</v>
          </cell>
          <cell r="L1973">
            <v>1287.5</v>
          </cell>
        </row>
        <row r="1974">
          <cell r="A1974">
            <v>6070</v>
          </cell>
          <cell r="B1974">
            <v>1</v>
          </cell>
          <cell r="D1974" t="str">
            <v>电动蝶阀 D971X-16C DN80 PN1.6MPa</v>
          </cell>
          <cell r="E1974" t="str">
            <v>个</v>
          </cell>
          <cell r="G1974">
            <v>669.5</v>
          </cell>
          <cell r="H1974">
            <v>650</v>
          </cell>
          <cell r="I1974">
            <v>19.5</v>
          </cell>
          <cell r="K1974" t="str">
            <v>个</v>
          </cell>
          <cell r="L1974">
            <v>669.5</v>
          </cell>
        </row>
        <row r="1975">
          <cell r="A1975">
            <v>6071</v>
          </cell>
          <cell r="B1975">
            <v>1</v>
          </cell>
          <cell r="D1975" t="str">
            <v>电动蝶阀 D971X-16C DN200 PN1.6MPa</v>
          </cell>
          <cell r="E1975" t="str">
            <v>个</v>
          </cell>
          <cell r="G1975">
            <v>12318.8</v>
          </cell>
          <cell r="H1975">
            <v>11960</v>
          </cell>
          <cell r="I1975">
            <v>358.8</v>
          </cell>
          <cell r="K1975" t="str">
            <v>个</v>
          </cell>
          <cell r="L1975">
            <v>12318.8</v>
          </cell>
        </row>
        <row r="1976">
          <cell r="A1976">
            <v>6072</v>
          </cell>
          <cell r="B1976">
            <v>1</v>
          </cell>
          <cell r="D1976" t="str">
            <v>缓开缓闭止回阀 760-03型 DN150 PN1.6MPa</v>
          </cell>
          <cell r="E1976" t="str">
            <v>个</v>
          </cell>
          <cell r="G1976">
            <v>20916.21</v>
          </cell>
          <cell r="H1976">
            <v>20307</v>
          </cell>
          <cell r="I1976">
            <v>609.21</v>
          </cell>
          <cell r="K1976" t="str">
            <v>个</v>
          </cell>
          <cell r="L1976">
            <v>20916.21</v>
          </cell>
        </row>
        <row r="1977">
          <cell r="A1977">
            <v>6073</v>
          </cell>
          <cell r="B1977">
            <v>1</v>
          </cell>
          <cell r="D1977" t="str">
            <v>压力波控制阀 735型 DN125 PN1.6MPa</v>
          </cell>
          <cell r="E1977" t="str">
            <v>个</v>
          </cell>
          <cell r="G1977">
            <v>10478.19</v>
          </cell>
          <cell r="H1977">
            <v>10173</v>
          </cell>
          <cell r="I1977">
            <v>305.19</v>
          </cell>
          <cell r="K1977" t="str">
            <v>个</v>
          </cell>
          <cell r="L1977">
            <v>10478.19</v>
          </cell>
        </row>
        <row r="1978">
          <cell r="A1978">
            <v>6074</v>
          </cell>
          <cell r="B1978">
            <v>1</v>
          </cell>
          <cell r="D1978" t="str">
            <v>压力表 YTN-100H型 0～1.0MPa</v>
          </cell>
          <cell r="E1978" t="str">
            <v>块</v>
          </cell>
          <cell r="G1978">
            <v>36.049999999999997</v>
          </cell>
          <cell r="H1978">
            <v>35</v>
          </cell>
          <cell r="I1978">
            <v>1.05</v>
          </cell>
          <cell r="K1978" t="str">
            <v>块</v>
          </cell>
          <cell r="L1978">
            <v>36.049999999999997</v>
          </cell>
        </row>
        <row r="1979">
          <cell r="A1979">
            <v>6075</v>
          </cell>
          <cell r="B1979">
            <v>1</v>
          </cell>
          <cell r="D1979" t="str">
            <v>表用阀 GL-6224A DN15 PN1.6MPa</v>
          </cell>
          <cell r="E1979" t="str">
            <v>个</v>
          </cell>
          <cell r="G1979">
            <v>56.65</v>
          </cell>
          <cell r="H1979">
            <v>55</v>
          </cell>
          <cell r="I1979">
            <v>1.65</v>
          </cell>
          <cell r="K1979" t="str">
            <v>个</v>
          </cell>
          <cell r="L1979">
            <v>56.65</v>
          </cell>
        </row>
        <row r="1980">
          <cell r="A1980">
            <v>6076</v>
          </cell>
          <cell r="B1980">
            <v>1</v>
          </cell>
          <cell r="D1980" t="str">
            <v>液位变送器 FWX-43型 控制4个液位, 量程 0～3.5m</v>
          </cell>
          <cell r="E1980" t="str">
            <v>套</v>
          </cell>
          <cell r="G1980">
            <v>5150</v>
          </cell>
          <cell r="H1980">
            <v>5000</v>
          </cell>
          <cell r="I1980">
            <v>150</v>
          </cell>
          <cell r="K1980" t="str">
            <v>套</v>
          </cell>
          <cell r="L1980">
            <v>5150</v>
          </cell>
        </row>
        <row r="1981">
          <cell r="A1981">
            <v>6077</v>
          </cell>
          <cell r="B1981">
            <v>1</v>
          </cell>
          <cell r="D1981" t="str">
            <v>截止阀 J11T-16 DN25 PN1.6MPa</v>
          </cell>
          <cell r="E1981" t="str">
            <v>个</v>
          </cell>
          <cell r="G1981">
            <v>18.970000000000002</v>
          </cell>
          <cell r="H1981">
            <v>18.420000000000002</v>
          </cell>
          <cell r="I1981">
            <v>0.55000000000000004</v>
          </cell>
          <cell r="K1981" t="str">
            <v>个</v>
          </cell>
          <cell r="L1981">
            <v>18.970000000000002</v>
          </cell>
        </row>
        <row r="1982">
          <cell r="A1982">
            <v>6078</v>
          </cell>
          <cell r="B1982">
            <v>1</v>
          </cell>
          <cell r="D1982" t="str">
            <v>DN150钢管固定管架</v>
          </cell>
          <cell r="E1982" t="str">
            <v>套</v>
          </cell>
          <cell r="G1982">
            <v>0</v>
          </cell>
          <cell r="I1982">
            <v>0</v>
          </cell>
          <cell r="K1982" t="str">
            <v>套</v>
          </cell>
          <cell r="L1982">
            <v>0</v>
          </cell>
        </row>
        <row r="1983">
          <cell r="A1983">
            <v>6079</v>
          </cell>
          <cell r="B1983">
            <v>1</v>
          </cell>
          <cell r="D1983" t="str">
            <v>DN200钢管固定管架</v>
          </cell>
          <cell r="E1983" t="str">
            <v>套</v>
          </cell>
          <cell r="G1983">
            <v>0</v>
          </cell>
          <cell r="I1983">
            <v>0</v>
          </cell>
          <cell r="K1983" t="str">
            <v>套</v>
          </cell>
          <cell r="L1983">
            <v>0</v>
          </cell>
        </row>
        <row r="1984">
          <cell r="A1984">
            <v>6080</v>
          </cell>
          <cell r="B1984">
            <v>1</v>
          </cell>
          <cell r="D1984" t="str">
            <v>深井潜水泵控制盘2260(高)×600(深)×800(宽)mm</v>
          </cell>
          <cell r="E1984" t="str">
            <v>面</v>
          </cell>
          <cell r="G1984">
            <v>0</v>
          </cell>
          <cell r="I1984">
            <v>0</v>
          </cell>
          <cell r="K1984" t="str">
            <v>面</v>
          </cell>
          <cell r="L1984">
            <v>0</v>
          </cell>
        </row>
        <row r="1985">
          <cell r="A1985">
            <v>6081</v>
          </cell>
          <cell r="B1985">
            <v>1</v>
          </cell>
          <cell r="D1985" t="str">
            <v>多级离心泵控制盘2260(高)×600(深)×800(宽)mm</v>
          </cell>
          <cell r="E1985" t="str">
            <v>面</v>
          </cell>
          <cell r="G1985">
            <v>0</v>
          </cell>
          <cell r="I1985">
            <v>0</v>
          </cell>
          <cell r="K1985" t="str">
            <v>面</v>
          </cell>
          <cell r="L1985">
            <v>0</v>
          </cell>
        </row>
        <row r="1986">
          <cell r="A1986">
            <v>6082</v>
          </cell>
          <cell r="B1986">
            <v>1</v>
          </cell>
          <cell r="D1986" t="str">
            <v>动力配电盘GGD</v>
          </cell>
          <cell r="E1986" t="str">
            <v>面</v>
          </cell>
          <cell r="G1986">
            <v>0</v>
          </cell>
          <cell r="I1986">
            <v>0</v>
          </cell>
          <cell r="K1986" t="str">
            <v>面</v>
          </cell>
          <cell r="L1986">
            <v>0</v>
          </cell>
        </row>
        <row r="1987">
          <cell r="A1987">
            <v>6083</v>
          </cell>
          <cell r="B1987">
            <v>1</v>
          </cell>
          <cell r="D1987" t="str">
            <v xml:space="preserve">六角螺栓 </v>
          </cell>
          <cell r="E1987" t="str">
            <v>套</v>
          </cell>
          <cell r="G1987">
            <v>0.76</v>
          </cell>
          <cell r="H1987">
            <v>0.74</v>
          </cell>
          <cell r="I1987">
            <v>0.02</v>
          </cell>
          <cell r="K1987" t="str">
            <v>套</v>
          </cell>
          <cell r="L1987">
            <v>0.76</v>
          </cell>
        </row>
        <row r="1988">
          <cell r="A1988">
            <v>6084</v>
          </cell>
          <cell r="B1988">
            <v>1</v>
          </cell>
          <cell r="D1988" t="str">
            <v>铝接线端子</v>
          </cell>
          <cell r="E1988" t="str">
            <v>个</v>
          </cell>
          <cell r="G1988">
            <v>2.0499999999999998</v>
          </cell>
          <cell r="H1988">
            <v>1.99</v>
          </cell>
          <cell r="I1988">
            <v>0.06</v>
          </cell>
          <cell r="K1988" t="str">
            <v>个</v>
          </cell>
          <cell r="L1988">
            <v>2.0499999999999998</v>
          </cell>
        </row>
        <row r="1989">
          <cell r="A1989">
            <v>6085</v>
          </cell>
          <cell r="B1989">
            <v>1</v>
          </cell>
          <cell r="D1989" t="str">
            <v>镀锌管接头</v>
          </cell>
          <cell r="E1989" t="str">
            <v>个</v>
          </cell>
          <cell r="G1989">
            <v>2.6</v>
          </cell>
          <cell r="H1989">
            <v>2.52</v>
          </cell>
          <cell r="I1989">
            <v>0.08</v>
          </cell>
          <cell r="K1989" t="str">
            <v>个</v>
          </cell>
          <cell r="L1989">
            <v>2.6</v>
          </cell>
        </row>
        <row r="1990">
          <cell r="A1990">
            <v>6086</v>
          </cell>
          <cell r="B1990">
            <v>1</v>
          </cell>
          <cell r="D1990" t="str">
            <v xml:space="preserve">锁紧螺母 </v>
          </cell>
          <cell r="E1990" t="str">
            <v>个</v>
          </cell>
          <cell r="G1990">
            <v>0.58000000000000007</v>
          </cell>
          <cell r="H1990">
            <v>0.56000000000000005</v>
          </cell>
          <cell r="I1990">
            <v>0.02</v>
          </cell>
          <cell r="K1990" t="str">
            <v>个</v>
          </cell>
          <cell r="L1990">
            <v>0.58000000000000007</v>
          </cell>
        </row>
        <row r="1991">
          <cell r="A1991">
            <v>6087</v>
          </cell>
          <cell r="B1991">
            <v>1</v>
          </cell>
          <cell r="D1991" t="str">
            <v>塑料护口 钢管用15-20</v>
          </cell>
          <cell r="E1991" t="str">
            <v>个</v>
          </cell>
          <cell r="G1991">
            <v>0.29000000000000004</v>
          </cell>
          <cell r="H1991">
            <v>0.28000000000000003</v>
          </cell>
          <cell r="I1991">
            <v>0.01</v>
          </cell>
          <cell r="K1991" t="str">
            <v>个</v>
          </cell>
          <cell r="L1991">
            <v>0.29000000000000004</v>
          </cell>
        </row>
        <row r="1992">
          <cell r="A1992">
            <v>6088</v>
          </cell>
          <cell r="B1992">
            <v>1</v>
          </cell>
          <cell r="D1992" t="str">
            <v>镀锌角钢</v>
          </cell>
          <cell r="E1992" t="str">
            <v>kg</v>
          </cell>
          <cell r="G1992">
            <v>3.71</v>
          </cell>
          <cell r="H1992">
            <v>3.6</v>
          </cell>
          <cell r="I1992">
            <v>0.11</v>
          </cell>
          <cell r="K1992" t="str">
            <v>kg</v>
          </cell>
          <cell r="L1992">
            <v>3.71</v>
          </cell>
        </row>
        <row r="1993">
          <cell r="A1993">
            <v>6089</v>
          </cell>
          <cell r="B1993">
            <v>1</v>
          </cell>
          <cell r="D1993" t="str">
            <v xml:space="preserve">刘清华 </v>
          </cell>
          <cell r="G1993">
            <v>0</v>
          </cell>
          <cell r="I1993">
            <v>0</v>
          </cell>
          <cell r="K1993">
            <v>0</v>
          </cell>
          <cell r="L1993">
            <v>0</v>
          </cell>
        </row>
        <row r="1994">
          <cell r="A1994">
            <v>6090</v>
          </cell>
          <cell r="B1994">
            <v>1</v>
          </cell>
          <cell r="D1994" t="str">
            <v>钢筋笼摊销</v>
          </cell>
          <cell r="E1994" t="str">
            <v>kg</v>
          </cell>
          <cell r="G1994">
            <v>2.7800000000000002</v>
          </cell>
          <cell r="H1994">
            <v>2.7</v>
          </cell>
          <cell r="I1994">
            <v>0.08</v>
          </cell>
          <cell r="K1994" t="str">
            <v>kg</v>
          </cell>
          <cell r="L1994">
            <v>2.7800000000000002</v>
          </cell>
        </row>
        <row r="1995">
          <cell r="A1995">
            <v>6091</v>
          </cell>
          <cell r="B1995">
            <v>1</v>
          </cell>
          <cell r="D1995" t="str">
            <v>浇筑钢平台摊销</v>
          </cell>
          <cell r="E1995" t="str">
            <v>kg</v>
          </cell>
          <cell r="G1995">
            <v>3.5</v>
          </cell>
          <cell r="H1995">
            <v>3.4</v>
          </cell>
          <cell r="I1995">
            <v>0.1</v>
          </cell>
          <cell r="K1995" t="str">
            <v>kg</v>
          </cell>
          <cell r="L1995">
            <v>3.5</v>
          </cell>
        </row>
        <row r="1996">
          <cell r="A1996">
            <v>6092</v>
          </cell>
          <cell r="B1996">
            <v>1</v>
          </cell>
          <cell r="D1996" t="str">
            <v>黑铁管DN50</v>
          </cell>
          <cell r="E1996" t="str">
            <v>M</v>
          </cell>
          <cell r="G1996">
            <v>12.569999999999999</v>
          </cell>
          <cell r="H1996">
            <v>12.2</v>
          </cell>
          <cell r="I1996">
            <v>0.37</v>
          </cell>
          <cell r="K1996" t="str">
            <v>M</v>
          </cell>
          <cell r="L1996">
            <v>12.569999999999999</v>
          </cell>
        </row>
        <row r="1997">
          <cell r="A1997">
            <v>6093</v>
          </cell>
          <cell r="B1997">
            <v>1</v>
          </cell>
          <cell r="D1997" t="str">
            <v>黑铁管DN80</v>
          </cell>
          <cell r="E1997" t="str">
            <v>M</v>
          </cell>
          <cell r="G1997">
            <v>21.48</v>
          </cell>
          <cell r="H1997">
            <v>20.85</v>
          </cell>
          <cell r="I1997">
            <v>0.63</v>
          </cell>
          <cell r="K1997" t="str">
            <v>M</v>
          </cell>
          <cell r="L1997">
            <v>21.48</v>
          </cell>
        </row>
        <row r="1998">
          <cell r="A1998">
            <v>6094</v>
          </cell>
          <cell r="B1998">
            <v>1</v>
          </cell>
          <cell r="D1998" t="str">
            <v>硬质塑料管φ38~45mm</v>
          </cell>
          <cell r="E1998" t="str">
            <v>m</v>
          </cell>
          <cell r="G1998">
            <v>6.18</v>
          </cell>
          <cell r="H1998">
            <v>6</v>
          </cell>
          <cell r="I1998">
            <v>0.18</v>
          </cell>
          <cell r="K1998" t="str">
            <v>m</v>
          </cell>
          <cell r="L1998">
            <v>6.18</v>
          </cell>
        </row>
        <row r="1999">
          <cell r="A1999">
            <v>6095</v>
          </cell>
          <cell r="B1999">
            <v>1</v>
          </cell>
          <cell r="D1999" t="str">
            <v>无缝钢管DN32-50</v>
          </cell>
          <cell r="E1999" t="str">
            <v>kg</v>
          </cell>
          <cell r="G1999">
            <v>4.51</v>
          </cell>
          <cell r="H1999">
            <v>4.38</v>
          </cell>
          <cell r="I1999">
            <v>0.13</v>
          </cell>
          <cell r="K1999" t="str">
            <v>kg</v>
          </cell>
          <cell r="L1999">
            <v>4.51</v>
          </cell>
        </row>
        <row r="2000">
          <cell r="A2000">
            <v>6096</v>
          </cell>
          <cell r="B2000">
            <v>1</v>
          </cell>
          <cell r="D2000" t="str">
            <v>无缝钢管DN51-70</v>
          </cell>
          <cell r="E2000" t="str">
            <v>kg</v>
          </cell>
          <cell r="G2000">
            <v>4.33</v>
          </cell>
          <cell r="H2000">
            <v>4.2</v>
          </cell>
          <cell r="I2000">
            <v>0.13</v>
          </cell>
          <cell r="K2000" t="str">
            <v>kg</v>
          </cell>
          <cell r="L2000">
            <v>4.33</v>
          </cell>
        </row>
        <row r="2001">
          <cell r="A2001">
            <v>6097</v>
          </cell>
          <cell r="B2001">
            <v>1</v>
          </cell>
          <cell r="D2001" t="str">
            <v>无缝钢管DN71-245</v>
          </cell>
          <cell r="E2001" t="str">
            <v>kg</v>
          </cell>
          <cell r="G2001">
            <v>4.3099999999999996</v>
          </cell>
          <cell r="H2001">
            <v>4.18</v>
          </cell>
          <cell r="I2001">
            <v>0.13</v>
          </cell>
          <cell r="K2001" t="str">
            <v>kg</v>
          </cell>
          <cell r="L2001">
            <v>4.3099999999999996</v>
          </cell>
        </row>
        <row r="2002">
          <cell r="A2002">
            <v>6098</v>
          </cell>
          <cell r="B2002">
            <v>1</v>
          </cell>
          <cell r="D2002" t="str">
            <v>精密水压力表 1.0MPa</v>
          </cell>
          <cell r="E2002" t="str">
            <v>块</v>
          </cell>
          <cell r="G2002">
            <v>46.35</v>
          </cell>
          <cell r="H2002">
            <v>45</v>
          </cell>
          <cell r="I2002">
            <v>1.35</v>
          </cell>
          <cell r="K2002" t="str">
            <v>块</v>
          </cell>
          <cell r="L2002">
            <v>46.35</v>
          </cell>
        </row>
        <row r="2003">
          <cell r="A2003">
            <v>6099</v>
          </cell>
          <cell r="B2003">
            <v>1</v>
          </cell>
          <cell r="D2003" t="str">
            <v>合金钻头φ60~80</v>
          </cell>
          <cell r="E2003" t="str">
            <v>个</v>
          </cell>
          <cell r="G2003">
            <v>123.6</v>
          </cell>
          <cell r="H2003">
            <v>120</v>
          </cell>
          <cell r="I2003">
            <v>3.6</v>
          </cell>
          <cell r="K2003" t="str">
            <v>个</v>
          </cell>
          <cell r="L2003">
            <v>123.6</v>
          </cell>
        </row>
        <row r="2004">
          <cell r="A2004">
            <v>6100</v>
          </cell>
          <cell r="B2004">
            <v>1</v>
          </cell>
          <cell r="D2004" t="str">
            <v>MD50冲击器</v>
          </cell>
          <cell r="E2004" t="str">
            <v>套</v>
          </cell>
          <cell r="G2004">
            <v>3090</v>
          </cell>
          <cell r="H2004">
            <v>3000</v>
          </cell>
          <cell r="I2004">
            <v>90</v>
          </cell>
          <cell r="K2004" t="str">
            <v>套</v>
          </cell>
          <cell r="L2004">
            <v>3090</v>
          </cell>
        </row>
        <row r="2005">
          <cell r="A2005">
            <v>6101</v>
          </cell>
          <cell r="B2005">
            <v>1</v>
          </cell>
          <cell r="D2005" t="str">
            <v>合金钻头φ90</v>
          </cell>
          <cell r="E2005" t="str">
            <v>个</v>
          </cell>
          <cell r="G2005">
            <v>298.7</v>
          </cell>
          <cell r="H2005">
            <v>290</v>
          </cell>
          <cell r="I2005">
            <v>8.6999999999999993</v>
          </cell>
          <cell r="K2005" t="str">
            <v>个</v>
          </cell>
          <cell r="L2005">
            <v>298.7</v>
          </cell>
        </row>
        <row r="2006">
          <cell r="A2006">
            <v>6102</v>
          </cell>
          <cell r="B2006">
            <v>1</v>
          </cell>
          <cell r="D2006" t="str">
            <v>快易收口网</v>
          </cell>
          <cell r="E2006" t="str">
            <v>m2</v>
          </cell>
          <cell r="G2006">
            <v>59.74</v>
          </cell>
          <cell r="H2006">
            <v>58</v>
          </cell>
          <cell r="I2006">
            <v>1.74</v>
          </cell>
          <cell r="K2006" t="str">
            <v>m2</v>
          </cell>
          <cell r="L2006">
            <v>59.74</v>
          </cell>
        </row>
        <row r="2007">
          <cell r="A2007">
            <v>6103</v>
          </cell>
          <cell r="B2007">
            <v>1</v>
          </cell>
          <cell r="G2007">
            <v>0</v>
          </cell>
          <cell r="I2007">
            <v>0</v>
          </cell>
          <cell r="K2007">
            <v>0</v>
          </cell>
          <cell r="L2007">
            <v>0</v>
          </cell>
        </row>
        <row r="2008">
          <cell r="A2008">
            <v>6104</v>
          </cell>
          <cell r="B2008">
            <v>1</v>
          </cell>
          <cell r="G2008">
            <v>0</v>
          </cell>
          <cell r="I2008">
            <v>0</v>
          </cell>
          <cell r="K2008">
            <v>0</v>
          </cell>
          <cell r="L2008">
            <v>0</v>
          </cell>
        </row>
        <row r="2009">
          <cell r="A2009">
            <v>6105</v>
          </cell>
          <cell r="B2009">
            <v>1</v>
          </cell>
          <cell r="G2009">
            <v>0</v>
          </cell>
          <cell r="I2009">
            <v>0</v>
          </cell>
          <cell r="K2009">
            <v>0</v>
          </cell>
          <cell r="L2009">
            <v>0</v>
          </cell>
        </row>
        <row r="2010">
          <cell r="A2010">
            <v>6106</v>
          </cell>
          <cell r="B2010">
            <v>1</v>
          </cell>
          <cell r="G2010">
            <v>0</v>
          </cell>
          <cell r="I2010">
            <v>0</v>
          </cell>
          <cell r="K2010">
            <v>0</v>
          </cell>
          <cell r="L2010">
            <v>0</v>
          </cell>
        </row>
        <row r="2011">
          <cell r="A2011">
            <v>6107</v>
          </cell>
          <cell r="B2011">
            <v>1</v>
          </cell>
          <cell r="G2011">
            <v>0</v>
          </cell>
          <cell r="I2011">
            <v>0</v>
          </cell>
          <cell r="K2011">
            <v>0</v>
          </cell>
          <cell r="L2011">
            <v>0</v>
          </cell>
        </row>
        <row r="2012">
          <cell r="A2012">
            <v>6108</v>
          </cell>
          <cell r="B2012">
            <v>1</v>
          </cell>
          <cell r="G2012">
            <v>0</v>
          </cell>
          <cell r="I2012">
            <v>0</v>
          </cell>
          <cell r="K2012">
            <v>0</v>
          </cell>
          <cell r="L2012">
            <v>0</v>
          </cell>
        </row>
        <row r="2013">
          <cell r="A2013">
            <v>6109</v>
          </cell>
          <cell r="B2013">
            <v>1</v>
          </cell>
          <cell r="G2013">
            <v>0</v>
          </cell>
          <cell r="I2013">
            <v>0</v>
          </cell>
          <cell r="K2013">
            <v>0</v>
          </cell>
          <cell r="L2013">
            <v>0</v>
          </cell>
        </row>
        <row r="2014">
          <cell r="A2014">
            <v>6110</v>
          </cell>
          <cell r="B2014">
            <v>1</v>
          </cell>
          <cell r="G2014">
            <v>0</v>
          </cell>
          <cell r="I2014">
            <v>0</v>
          </cell>
          <cell r="K2014">
            <v>0</v>
          </cell>
          <cell r="L2014">
            <v>0</v>
          </cell>
        </row>
        <row r="2015">
          <cell r="A2015">
            <v>6111</v>
          </cell>
          <cell r="B2015">
            <v>1</v>
          </cell>
          <cell r="G2015">
            <v>0</v>
          </cell>
          <cell r="I2015">
            <v>0</v>
          </cell>
          <cell r="K2015">
            <v>0</v>
          </cell>
          <cell r="L2015">
            <v>0</v>
          </cell>
        </row>
        <row r="2016">
          <cell r="A2016">
            <v>6112</v>
          </cell>
          <cell r="B2016">
            <v>1</v>
          </cell>
          <cell r="G2016">
            <v>0</v>
          </cell>
          <cell r="I2016">
            <v>0</v>
          </cell>
          <cell r="K2016">
            <v>0</v>
          </cell>
          <cell r="L2016">
            <v>0</v>
          </cell>
        </row>
        <row r="2017">
          <cell r="A2017">
            <v>6113</v>
          </cell>
          <cell r="B2017">
            <v>1</v>
          </cell>
          <cell r="G2017">
            <v>0</v>
          </cell>
          <cell r="I2017">
            <v>0</v>
          </cell>
          <cell r="K2017">
            <v>0</v>
          </cell>
          <cell r="L2017">
            <v>0</v>
          </cell>
        </row>
        <row r="2018">
          <cell r="A2018">
            <v>6114</v>
          </cell>
          <cell r="B2018">
            <v>1</v>
          </cell>
          <cell r="G2018">
            <v>0</v>
          </cell>
          <cell r="I2018">
            <v>0</v>
          </cell>
          <cell r="K2018">
            <v>0</v>
          </cell>
          <cell r="L2018">
            <v>0</v>
          </cell>
        </row>
        <row r="2019">
          <cell r="A2019">
            <v>6115</v>
          </cell>
          <cell r="B2019">
            <v>1</v>
          </cell>
          <cell r="G2019">
            <v>0</v>
          </cell>
          <cell r="I2019">
            <v>0</v>
          </cell>
          <cell r="K2019">
            <v>0</v>
          </cell>
          <cell r="L2019">
            <v>0</v>
          </cell>
        </row>
        <row r="2020">
          <cell r="A2020">
            <v>6116</v>
          </cell>
          <cell r="B2020">
            <v>1</v>
          </cell>
          <cell r="D2020" t="str">
            <v>高秀红</v>
          </cell>
          <cell r="G2020">
            <v>0</v>
          </cell>
          <cell r="I2020">
            <v>0</v>
          </cell>
          <cell r="K2020">
            <v>0</v>
          </cell>
          <cell r="L2020">
            <v>0</v>
          </cell>
        </row>
        <row r="2021">
          <cell r="A2021">
            <v>6117</v>
          </cell>
          <cell r="B2021">
            <v>1</v>
          </cell>
          <cell r="G2021">
            <v>0</v>
          </cell>
          <cell r="I2021">
            <v>0</v>
          </cell>
          <cell r="K2021">
            <v>0</v>
          </cell>
          <cell r="L2021">
            <v>0</v>
          </cell>
        </row>
        <row r="2022">
          <cell r="A2022">
            <v>6118</v>
          </cell>
          <cell r="B2022">
            <v>1</v>
          </cell>
          <cell r="D2022" t="str">
            <v>100B钻机钻头(76mm)</v>
          </cell>
          <cell r="E2022" t="str">
            <v>个</v>
          </cell>
          <cell r="G2022">
            <v>206</v>
          </cell>
          <cell r="H2022">
            <v>200</v>
          </cell>
          <cell r="I2022">
            <v>6</v>
          </cell>
          <cell r="K2022" t="str">
            <v>个</v>
          </cell>
          <cell r="L2022">
            <v>206</v>
          </cell>
        </row>
        <row r="2023">
          <cell r="A2023">
            <v>6119</v>
          </cell>
          <cell r="B2023">
            <v>1</v>
          </cell>
          <cell r="G2023">
            <v>0</v>
          </cell>
          <cell r="I2023">
            <v>0</v>
          </cell>
          <cell r="K2023">
            <v>0</v>
          </cell>
          <cell r="L2023">
            <v>0</v>
          </cell>
        </row>
        <row r="2024">
          <cell r="A2024">
            <v>6120</v>
          </cell>
          <cell r="B2024">
            <v>1</v>
          </cell>
          <cell r="G2024">
            <v>0</v>
          </cell>
          <cell r="I2024">
            <v>0</v>
          </cell>
          <cell r="K2024">
            <v>0</v>
          </cell>
          <cell r="L2024">
            <v>0</v>
          </cell>
        </row>
        <row r="2025">
          <cell r="A2025">
            <v>6121</v>
          </cell>
          <cell r="B2025">
            <v>1</v>
          </cell>
          <cell r="G2025">
            <v>0</v>
          </cell>
          <cell r="I2025">
            <v>0</v>
          </cell>
          <cell r="K2025">
            <v>0</v>
          </cell>
          <cell r="L2025">
            <v>0</v>
          </cell>
        </row>
        <row r="2026">
          <cell r="A2026">
            <v>6122</v>
          </cell>
          <cell r="B2026">
            <v>1</v>
          </cell>
          <cell r="G2026">
            <v>0</v>
          </cell>
          <cell r="I2026">
            <v>0</v>
          </cell>
          <cell r="K2026">
            <v>0</v>
          </cell>
          <cell r="L2026">
            <v>0</v>
          </cell>
        </row>
        <row r="2027">
          <cell r="A2027">
            <v>6123</v>
          </cell>
          <cell r="B2027">
            <v>1</v>
          </cell>
          <cell r="G2027">
            <v>0</v>
          </cell>
          <cell r="I2027">
            <v>0</v>
          </cell>
          <cell r="K2027">
            <v>0</v>
          </cell>
          <cell r="L2027">
            <v>0</v>
          </cell>
        </row>
        <row r="2028">
          <cell r="A2028">
            <v>6124</v>
          </cell>
          <cell r="B2028">
            <v>1</v>
          </cell>
          <cell r="G2028">
            <v>0</v>
          </cell>
          <cell r="I2028">
            <v>0</v>
          </cell>
          <cell r="K2028">
            <v>0</v>
          </cell>
          <cell r="L2028">
            <v>0</v>
          </cell>
        </row>
        <row r="2029">
          <cell r="A2029">
            <v>6125</v>
          </cell>
          <cell r="B2029">
            <v>1</v>
          </cell>
          <cell r="G2029">
            <v>0</v>
          </cell>
          <cell r="I2029">
            <v>0</v>
          </cell>
          <cell r="K2029">
            <v>0</v>
          </cell>
          <cell r="L2029">
            <v>0</v>
          </cell>
        </row>
        <row r="2030">
          <cell r="A2030">
            <v>6126</v>
          </cell>
          <cell r="B2030">
            <v>1</v>
          </cell>
          <cell r="G2030">
            <v>0</v>
          </cell>
          <cell r="I2030">
            <v>0</v>
          </cell>
          <cell r="K2030">
            <v>0</v>
          </cell>
          <cell r="L2030">
            <v>0</v>
          </cell>
        </row>
        <row r="2031">
          <cell r="A2031">
            <v>6127</v>
          </cell>
          <cell r="B2031">
            <v>1</v>
          </cell>
          <cell r="G2031">
            <v>0</v>
          </cell>
          <cell r="I2031">
            <v>0</v>
          </cell>
          <cell r="K2031">
            <v>0</v>
          </cell>
          <cell r="L2031">
            <v>0</v>
          </cell>
        </row>
        <row r="2032">
          <cell r="A2032">
            <v>6128</v>
          </cell>
          <cell r="B2032">
            <v>1</v>
          </cell>
          <cell r="G2032">
            <v>0</v>
          </cell>
          <cell r="I2032">
            <v>0</v>
          </cell>
          <cell r="K2032">
            <v>0</v>
          </cell>
          <cell r="L2032">
            <v>0</v>
          </cell>
        </row>
        <row r="2033">
          <cell r="A2033">
            <v>6129</v>
          </cell>
          <cell r="B2033">
            <v>1</v>
          </cell>
          <cell r="G2033">
            <v>0</v>
          </cell>
          <cell r="I2033">
            <v>0</v>
          </cell>
          <cell r="K2033">
            <v>0</v>
          </cell>
          <cell r="L2033">
            <v>0</v>
          </cell>
        </row>
        <row r="2034">
          <cell r="A2034">
            <v>6130</v>
          </cell>
          <cell r="B2034">
            <v>1</v>
          </cell>
          <cell r="G2034">
            <v>0</v>
          </cell>
          <cell r="I2034">
            <v>0</v>
          </cell>
          <cell r="K2034">
            <v>0</v>
          </cell>
          <cell r="L2034">
            <v>0</v>
          </cell>
        </row>
        <row r="2035">
          <cell r="A2035">
            <v>6131</v>
          </cell>
          <cell r="B2035">
            <v>1</v>
          </cell>
          <cell r="G2035">
            <v>0</v>
          </cell>
          <cell r="I2035">
            <v>0</v>
          </cell>
          <cell r="K2035">
            <v>0</v>
          </cell>
          <cell r="L2035">
            <v>0</v>
          </cell>
        </row>
        <row r="2036">
          <cell r="A2036">
            <v>6132</v>
          </cell>
          <cell r="B2036">
            <v>1</v>
          </cell>
          <cell r="G2036">
            <v>0</v>
          </cell>
          <cell r="I2036">
            <v>0</v>
          </cell>
          <cell r="K2036">
            <v>0</v>
          </cell>
          <cell r="L2036">
            <v>0</v>
          </cell>
        </row>
        <row r="2037">
          <cell r="A2037">
            <v>6133</v>
          </cell>
          <cell r="B2037">
            <v>1</v>
          </cell>
          <cell r="G2037">
            <v>0</v>
          </cell>
          <cell r="I2037">
            <v>0</v>
          </cell>
          <cell r="K2037">
            <v>0</v>
          </cell>
          <cell r="L2037">
            <v>0</v>
          </cell>
        </row>
        <row r="2038">
          <cell r="A2038">
            <v>6134</v>
          </cell>
          <cell r="B2038">
            <v>1</v>
          </cell>
          <cell r="G2038">
            <v>0</v>
          </cell>
          <cell r="I2038">
            <v>0</v>
          </cell>
          <cell r="K2038">
            <v>0</v>
          </cell>
          <cell r="L2038">
            <v>0</v>
          </cell>
        </row>
        <row r="2039">
          <cell r="A2039">
            <v>6135</v>
          </cell>
          <cell r="B2039">
            <v>1</v>
          </cell>
          <cell r="G2039">
            <v>0</v>
          </cell>
          <cell r="I2039">
            <v>0</v>
          </cell>
          <cell r="K2039">
            <v>0</v>
          </cell>
          <cell r="L2039">
            <v>0</v>
          </cell>
        </row>
        <row r="2040">
          <cell r="A2040">
            <v>6136</v>
          </cell>
          <cell r="B2040">
            <v>1</v>
          </cell>
          <cell r="G2040">
            <v>0</v>
          </cell>
          <cell r="I2040">
            <v>0</v>
          </cell>
          <cell r="K2040">
            <v>0</v>
          </cell>
          <cell r="L2040">
            <v>0</v>
          </cell>
        </row>
        <row r="2041">
          <cell r="A2041">
            <v>6137</v>
          </cell>
          <cell r="B2041">
            <v>1</v>
          </cell>
          <cell r="G2041">
            <v>0</v>
          </cell>
          <cell r="I2041">
            <v>0</v>
          </cell>
          <cell r="K2041">
            <v>0</v>
          </cell>
          <cell r="L2041">
            <v>0</v>
          </cell>
        </row>
        <row r="2042">
          <cell r="A2042">
            <v>6138</v>
          </cell>
          <cell r="B2042">
            <v>1</v>
          </cell>
          <cell r="G2042">
            <v>0</v>
          </cell>
          <cell r="I2042">
            <v>0</v>
          </cell>
          <cell r="K2042">
            <v>0</v>
          </cell>
          <cell r="L2042">
            <v>0</v>
          </cell>
        </row>
        <row r="2043">
          <cell r="A2043">
            <v>6139</v>
          </cell>
          <cell r="B2043">
            <v>1</v>
          </cell>
          <cell r="G2043">
            <v>0</v>
          </cell>
          <cell r="I2043">
            <v>0</v>
          </cell>
          <cell r="K2043">
            <v>0</v>
          </cell>
          <cell r="L2043">
            <v>0</v>
          </cell>
        </row>
        <row r="2044">
          <cell r="A2044">
            <v>6140</v>
          </cell>
          <cell r="B2044">
            <v>1</v>
          </cell>
          <cell r="D2044" t="str">
            <v>陈鸿雁</v>
          </cell>
          <cell r="G2044">
            <v>0</v>
          </cell>
          <cell r="I2044">
            <v>0</v>
          </cell>
          <cell r="K2044">
            <v>0</v>
          </cell>
          <cell r="L2044">
            <v>0</v>
          </cell>
        </row>
        <row r="2045">
          <cell r="A2045">
            <v>6141</v>
          </cell>
          <cell r="B2045">
            <v>1</v>
          </cell>
          <cell r="D2045" t="str">
            <v>岩棉瓦  δ=4cm</v>
          </cell>
          <cell r="E2045" t="str">
            <v>m3</v>
          </cell>
          <cell r="G2045">
            <v>473.8</v>
          </cell>
          <cell r="H2045">
            <v>460</v>
          </cell>
          <cell r="I2045">
            <v>13.8</v>
          </cell>
          <cell r="K2045" t="str">
            <v>m3</v>
          </cell>
          <cell r="L2045">
            <v>473.8</v>
          </cell>
        </row>
        <row r="2046">
          <cell r="A2046">
            <v>6142</v>
          </cell>
          <cell r="B2046">
            <v>1</v>
          </cell>
          <cell r="D2046" t="str">
            <v>钢芯铝绞线LGJ-16mm</v>
          </cell>
          <cell r="E2046" t="str">
            <v>m</v>
          </cell>
          <cell r="G2046">
            <v>4.6599999999999993</v>
          </cell>
          <cell r="H2046">
            <v>4.5199999999999996</v>
          </cell>
          <cell r="I2046">
            <v>0.14000000000000001</v>
          </cell>
          <cell r="K2046" t="str">
            <v>m</v>
          </cell>
          <cell r="L2046">
            <v>4.6599999999999993</v>
          </cell>
        </row>
        <row r="2047">
          <cell r="A2047">
            <v>6143</v>
          </cell>
          <cell r="B2047">
            <v>1</v>
          </cell>
          <cell r="D2047" t="str">
            <v>电缆 ZRYJV22-3*35</v>
          </cell>
          <cell r="E2047" t="str">
            <v>m</v>
          </cell>
          <cell r="G2047">
            <v>36.049999999999997</v>
          </cell>
          <cell r="H2047">
            <v>35</v>
          </cell>
          <cell r="I2047">
            <v>1.05</v>
          </cell>
          <cell r="K2047" t="str">
            <v>m</v>
          </cell>
          <cell r="L2047">
            <v>36.049999999999997</v>
          </cell>
        </row>
        <row r="2048">
          <cell r="A2048">
            <v>6144</v>
          </cell>
          <cell r="B2048">
            <v>1</v>
          </cell>
          <cell r="D2048" t="str">
            <v>箱体δ=8mm 4500*1800*2400</v>
          </cell>
          <cell r="E2048" t="str">
            <v>只</v>
          </cell>
          <cell r="G2048">
            <v>46144</v>
          </cell>
          <cell r="H2048">
            <v>44800</v>
          </cell>
          <cell r="I2048">
            <v>1344</v>
          </cell>
          <cell r="K2048" t="str">
            <v>只</v>
          </cell>
          <cell r="L2048">
            <v>46144</v>
          </cell>
        </row>
        <row r="2049">
          <cell r="A2049">
            <v>6145</v>
          </cell>
          <cell r="B2049">
            <v>1</v>
          </cell>
          <cell r="D2049" t="str">
            <v>40对通讯电缆</v>
          </cell>
          <cell r="E2049" t="str">
            <v>m</v>
          </cell>
          <cell r="G2049">
            <v>10.46</v>
          </cell>
          <cell r="H2049">
            <v>10.16</v>
          </cell>
          <cell r="I2049">
            <v>0.3</v>
          </cell>
          <cell r="K2049" t="str">
            <v>m</v>
          </cell>
          <cell r="L2049">
            <v>10.46</v>
          </cell>
        </row>
        <row r="2050">
          <cell r="A2050">
            <v>6146</v>
          </cell>
          <cell r="B2050">
            <v>1</v>
          </cell>
          <cell r="D2050" t="str">
            <v>设备人孔</v>
          </cell>
          <cell r="E2050" t="str">
            <v>只</v>
          </cell>
          <cell r="G2050">
            <v>772.5</v>
          </cell>
          <cell r="H2050">
            <v>750</v>
          </cell>
          <cell r="I2050">
            <v>22.5</v>
          </cell>
          <cell r="K2050" t="str">
            <v>只</v>
          </cell>
          <cell r="L2050">
            <v>772.5</v>
          </cell>
        </row>
        <row r="2051">
          <cell r="A2051">
            <v>6147</v>
          </cell>
          <cell r="B2051">
            <v>1</v>
          </cell>
          <cell r="D2051" t="str">
            <v>钢轨QU70</v>
          </cell>
          <cell r="E2051" t="str">
            <v>t</v>
          </cell>
          <cell r="G2051">
            <v>5562</v>
          </cell>
          <cell r="H2051">
            <v>5400</v>
          </cell>
          <cell r="I2051">
            <v>162</v>
          </cell>
          <cell r="K2051" t="str">
            <v>t</v>
          </cell>
          <cell r="L2051">
            <v>5562</v>
          </cell>
        </row>
        <row r="2052">
          <cell r="A2052">
            <v>6148</v>
          </cell>
          <cell r="B2052">
            <v>1</v>
          </cell>
          <cell r="D2052" t="str">
            <v>Φ30水泥涵管</v>
          </cell>
          <cell r="E2052" t="str">
            <v>m</v>
          </cell>
          <cell r="G2052">
            <v>39.14</v>
          </cell>
          <cell r="H2052">
            <v>38</v>
          </cell>
          <cell r="I2052">
            <v>1.1399999999999999</v>
          </cell>
          <cell r="K2052" t="str">
            <v>m</v>
          </cell>
          <cell r="L2052">
            <v>39.14</v>
          </cell>
        </row>
        <row r="2053">
          <cell r="A2053">
            <v>6149</v>
          </cell>
          <cell r="B2053">
            <v>1</v>
          </cell>
          <cell r="D2053" t="str">
            <v>氧化池曝气系统</v>
          </cell>
          <cell r="E2053" t="str">
            <v>套</v>
          </cell>
          <cell r="G2053">
            <v>2575</v>
          </cell>
          <cell r="H2053">
            <v>2500</v>
          </cell>
          <cell r="I2053">
            <v>75</v>
          </cell>
          <cell r="K2053" t="str">
            <v>套</v>
          </cell>
          <cell r="L2053">
            <v>2575</v>
          </cell>
        </row>
        <row r="2054">
          <cell r="A2054">
            <v>6150</v>
          </cell>
          <cell r="B2054">
            <v>1</v>
          </cell>
          <cell r="D2054" t="str">
            <v>弹性填料</v>
          </cell>
          <cell r="E2054" t="str">
            <v>套</v>
          </cell>
          <cell r="G2054">
            <v>1545</v>
          </cell>
          <cell r="H2054">
            <v>1500</v>
          </cell>
          <cell r="I2054">
            <v>45</v>
          </cell>
          <cell r="K2054" t="str">
            <v>套</v>
          </cell>
          <cell r="L2054">
            <v>1545</v>
          </cell>
        </row>
        <row r="2055">
          <cell r="A2055">
            <v>6151</v>
          </cell>
          <cell r="B2055">
            <v>1</v>
          </cell>
          <cell r="D2055" t="str">
            <v>组合填料</v>
          </cell>
          <cell r="E2055" t="str">
            <v>套</v>
          </cell>
          <cell r="G2055">
            <v>1545</v>
          </cell>
          <cell r="H2055">
            <v>1500</v>
          </cell>
          <cell r="I2055">
            <v>45</v>
          </cell>
          <cell r="K2055" t="str">
            <v>套</v>
          </cell>
          <cell r="L2055">
            <v>1545</v>
          </cell>
        </row>
        <row r="2056">
          <cell r="A2056">
            <v>6152</v>
          </cell>
          <cell r="B2056">
            <v>1</v>
          </cell>
          <cell r="D2056" t="str">
            <v>浮球液位控制器</v>
          </cell>
          <cell r="E2056" t="str">
            <v>个</v>
          </cell>
          <cell r="G2056">
            <v>103</v>
          </cell>
          <cell r="H2056">
            <v>100</v>
          </cell>
          <cell r="I2056">
            <v>3</v>
          </cell>
          <cell r="K2056" t="str">
            <v>个</v>
          </cell>
          <cell r="L2056">
            <v>103</v>
          </cell>
        </row>
        <row r="2057">
          <cell r="A2057">
            <v>6153</v>
          </cell>
          <cell r="B2057">
            <v>1</v>
          </cell>
          <cell r="D2057" t="str">
            <v>PC控制柜</v>
          </cell>
          <cell r="E2057" t="str">
            <v>台</v>
          </cell>
          <cell r="G2057">
            <v>4635</v>
          </cell>
          <cell r="H2057">
            <v>4500</v>
          </cell>
          <cell r="I2057">
            <v>135</v>
          </cell>
          <cell r="K2057" t="str">
            <v>台</v>
          </cell>
          <cell r="L2057">
            <v>4635</v>
          </cell>
        </row>
        <row r="2058">
          <cell r="A2058">
            <v>6154</v>
          </cell>
          <cell r="B2058">
            <v>1</v>
          </cell>
          <cell r="D2058" t="str">
            <v>调节池曝气系统</v>
          </cell>
          <cell r="E2058" t="str">
            <v>套</v>
          </cell>
          <cell r="G2058">
            <v>2575</v>
          </cell>
          <cell r="H2058">
            <v>2500</v>
          </cell>
          <cell r="I2058">
            <v>75</v>
          </cell>
          <cell r="K2058" t="str">
            <v>套</v>
          </cell>
          <cell r="L2058">
            <v>2575</v>
          </cell>
        </row>
        <row r="2059">
          <cell r="A2059">
            <v>6155</v>
          </cell>
          <cell r="B2059">
            <v>1</v>
          </cell>
          <cell r="D2059" t="str">
            <v>管阀</v>
          </cell>
          <cell r="E2059" t="str">
            <v>套</v>
          </cell>
          <cell r="G2059">
            <v>3090</v>
          </cell>
          <cell r="H2059">
            <v>3000</v>
          </cell>
          <cell r="I2059">
            <v>90</v>
          </cell>
          <cell r="K2059" t="str">
            <v>套</v>
          </cell>
          <cell r="L2059">
            <v>3090</v>
          </cell>
        </row>
        <row r="2060">
          <cell r="A2060">
            <v>6156</v>
          </cell>
          <cell r="B2060">
            <v>1</v>
          </cell>
          <cell r="D2060" t="str">
            <v>王晓燕</v>
          </cell>
        </row>
        <row r="2061">
          <cell r="A2061">
            <v>6157</v>
          </cell>
          <cell r="B2061">
            <v>1</v>
          </cell>
          <cell r="D2061" t="str">
            <v>卵石</v>
          </cell>
          <cell r="E2061" t="str">
            <v>m3</v>
          </cell>
          <cell r="G2061">
            <v>47.38</v>
          </cell>
          <cell r="H2061">
            <v>46</v>
          </cell>
          <cell r="I2061">
            <v>1.38</v>
          </cell>
          <cell r="K2061" t="str">
            <v>m3</v>
          </cell>
          <cell r="L2061">
            <v>47.38</v>
          </cell>
        </row>
        <row r="2062">
          <cell r="A2062">
            <v>6158</v>
          </cell>
          <cell r="B2062">
            <v>1</v>
          </cell>
          <cell r="D2062" t="str">
            <v>内墙涂料</v>
          </cell>
          <cell r="E2062" t="str">
            <v>kg</v>
          </cell>
          <cell r="G2062">
            <v>0.98</v>
          </cell>
          <cell r="H2062">
            <v>0.95</v>
          </cell>
          <cell r="I2062">
            <v>0.03</v>
          </cell>
          <cell r="K2062" t="str">
            <v>kg</v>
          </cell>
          <cell r="L2062">
            <v>0.98</v>
          </cell>
        </row>
        <row r="2063">
          <cell r="A2063">
            <v>6159</v>
          </cell>
          <cell r="B2063">
            <v>1</v>
          </cell>
          <cell r="D2063" t="str">
            <v>防火玻璃  5+5+5</v>
          </cell>
          <cell r="E2063" t="str">
            <v>m2</v>
          </cell>
          <cell r="G2063">
            <v>267.8</v>
          </cell>
          <cell r="H2063">
            <v>260</v>
          </cell>
          <cell r="I2063">
            <v>7.8</v>
          </cell>
          <cell r="K2063" t="str">
            <v>m2</v>
          </cell>
          <cell r="L2063">
            <v>267.8</v>
          </cell>
        </row>
        <row r="2064">
          <cell r="A2064">
            <v>6160</v>
          </cell>
          <cell r="B2064">
            <v>1</v>
          </cell>
          <cell r="D2064" t="str">
            <v>闭合器</v>
          </cell>
          <cell r="E2064" t="str">
            <v>台</v>
          </cell>
          <cell r="G2064">
            <v>151.41</v>
          </cell>
          <cell r="H2064">
            <v>147</v>
          </cell>
          <cell r="I2064">
            <v>4.41</v>
          </cell>
          <cell r="K2064" t="str">
            <v>台</v>
          </cell>
          <cell r="L2064">
            <v>151.41</v>
          </cell>
        </row>
        <row r="2065">
          <cell r="A2065">
            <v>6161</v>
          </cell>
          <cell r="B2065">
            <v>1</v>
          </cell>
          <cell r="C2065" t="str">
            <v>自购</v>
          </cell>
          <cell r="D2065" t="str">
            <v>型钢(综合)</v>
          </cell>
          <cell r="E2065" t="str">
            <v>kg</v>
          </cell>
          <cell r="G2065">
            <v>3.04</v>
          </cell>
          <cell r="H2065">
            <v>2.95</v>
          </cell>
          <cell r="I2065">
            <v>0.09</v>
          </cell>
          <cell r="K2065" t="str">
            <v>kg</v>
          </cell>
          <cell r="L2065">
            <v>3.04</v>
          </cell>
        </row>
        <row r="2066">
          <cell r="A2066">
            <v>6162</v>
          </cell>
          <cell r="B2066">
            <v>1</v>
          </cell>
          <cell r="C2066" t="str">
            <v>自购</v>
          </cell>
          <cell r="D2066" t="str">
            <v>彩色波形钢屋面板瓦</v>
          </cell>
          <cell r="E2066" t="str">
            <v>m2</v>
          </cell>
          <cell r="G2066">
            <v>69.234999999999999</v>
          </cell>
          <cell r="H2066">
            <v>67.215000000000003</v>
          </cell>
          <cell r="I2066">
            <v>2.02</v>
          </cell>
          <cell r="K2066" t="str">
            <v>m2</v>
          </cell>
          <cell r="L2066">
            <v>69.234999999999999</v>
          </cell>
        </row>
        <row r="2067">
          <cell r="A2067">
            <v>6163</v>
          </cell>
          <cell r="B2067">
            <v>1</v>
          </cell>
          <cell r="D2067" t="str">
            <v>J基粘结剂甲</v>
          </cell>
          <cell r="E2067" t="str">
            <v>kg</v>
          </cell>
          <cell r="G2067">
            <v>15.24</v>
          </cell>
          <cell r="H2067">
            <v>14.8</v>
          </cell>
          <cell r="I2067">
            <v>0.44</v>
          </cell>
          <cell r="K2067" t="str">
            <v>kg</v>
          </cell>
          <cell r="L2067">
            <v>15.24</v>
          </cell>
        </row>
        <row r="2068">
          <cell r="A2068">
            <v>6164</v>
          </cell>
          <cell r="B2068">
            <v>1</v>
          </cell>
          <cell r="D2068" t="str">
            <v>焊接钢管DN60</v>
          </cell>
          <cell r="E2068" t="str">
            <v>m</v>
          </cell>
          <cell r="G2068">
            <v>12.6724</v>
          </cell>
          <cell r="H2068">
            <v>12.3024</v>
          </cell>
          <cell r="I2068">
            <v>0.37</v>
          </cell>
          <cell r="K2068" t="str">
            <v>m</v>
          </cell>
          <cell r="L2068">
            <v>12.6724</v>
          </cell>
        </row>
        <row r="2069">
          <cell r="A2069">
            <v>6165</v>
          </cell>
          <cell r="B2069">
            <v>1</v>
          </cell>
          <cell r="D2069" t="str">
            <v>地砖800*800</v>
          </cell>
          <cell r="E2069" t="str">
            <v>m2</v>
          </cell>
          <cell r="G2069">
            <v>97.85</v>
          </cell>
          <cell r="H2069">
            <v>95</v>
          </cell>
          <cell r="I2069">
            <v>2.85</v>
          </cell>
          <cell r="K2069" t="str">
            <v>m2</v>
          </cell>
          <cell r="L2069">
            <v>97.85</v>
          </cell>
        </row>
        <row r="2070">
          <cell r="A2070">
            <v>6166</v>
          </cell>
          <cell r="B2070">
            <v>1</v>
          </cell>
          <cell r="D2070" t="str">
            <v>铝合金穿孔吸音板</v>
          </cell>
          <cell r="E2070" t="str">
            <v>m3</v>
          </cell>
          <cell r="G2070">
            <v>72.099999999999994</v>
          </cell>
          <cell r="H2070">
            <v>70</v>
          </cell>
          <cell r="I2070">
            <v>2.1</v>
          </cell>
          <cell r="K2070" t="str">
            <v>m3</v>
          </cell>
          <cell r="L2070">
            <v>72.099999999999994</v>
          </cell>
        </row>
        <row r="2071">
          <cell r="A2071">
            <v>6167</v>
          </cell>
          <cell r="B2071">
            <v>1</v>
          </cell>
          <cell r="D2071" t="str">
            <v>轻钢龙骨75*50</v>
          </cell>
          <cell r="E2071" t="str">
            <v>kg</v>
          </cell>
          <cell r="G2071">
            <v>7</v>
          </cell>
          <cell r="H2071">
            <v>6.8</v>
          </cell>
          <cell r="I2071">
            <v>0.2</v>
          </cell>
          <cell r="K2071" t="str">
            <v>kg</v>
          </cell>
          <cell r="L2071">
            <v>7</v>
          </cell>
        </row>
        <row r="2072">
          <cell r="A2072">
            <v>6168</v>
          </cell>
          <cell r="B2072">
            <v>1</v>
          </cell>
          <cell r="D2072" t="str">
            <v>轻钢龙骨75*40</v>
          </cell>
          <cell r="E2072" t="str">
            <v>kg</v>
          </cell>
          <cell r="G2072">
            <v>7</v>
          </cell>
          <cell r="H2072">
            <v>6.8</v>
          </cell>
          <cell r="I2072">
            <v>0.2</v>
          </cell>
          <cell r="K2072" t="str">
            <v>kg</v>
          </cell>
          <cell r="L2072">
            <v>7</v>
          </cell>
        </row>
        <row r="2073">
          <cell r="A2073">
            <v>6169</v>
          </cell>
          <cell r="B2073">
            <v>1</v>
          </cell>
          <cell r="D2073" t="str">
            <v>岩棉</v>
          </cell>
          <cell r="E2073" t="str">
            <v>kg</v>
          </cell>
          <cell r="G2073">
            <v>1.05</v>
          </cell>
          <cell r="H2073">
            <v>1.02</v>
          </cell>
          <cell r="I2073">
            <v>0.03</v>
          </cell>
          <cell r="K2073" t="str">
            <v>kg</v>
          </cell>
          <cell r="L2073">
            <v>1.05</v>
          </cell>
        </row>
        <row r="2074">
          <cell r="A2074">
            <v>6170</v>
          </cell>
          <cell r="B2074">
            <v>1</v>
          </cell>
          <cell r="D2074" t="str">
            <v>铝合金龙骨</v>
          </cell>
          <cell r="E2074" t="str">
            <v>m</v>
          </cell>
          <cell r="G2074">
            <v>8.1</v>
          </cell>
          <cell r="H2074">
            <v>7.86</v>
          </cell>
          <cell r="I2074">
            <v>0.24</v>
          </cell>
          <cell r="K2074" t="str">
            <v>m</v>
          </cell>
          <cell r="L2074">
            <v>8.1</v>
          </cell>
        </row>
        <row r="2075">
          <cell r="A2075">
            <v>6171</v>
          </cell>
          <cell r="B2075">
            <v>1</v>
          </cell>
          <cell r="D2075" t="str">
            <v>铝合金龙骨挂件</v>
          </cell>
          <cell r="E2075" t="str">
            <v>个</v>
          </cell>
          <cell r="G2075">
            <v>0.56000000000000005</v>
          </cell>
          <cell r="H2075">
            <v>0.54</v>
          </cell>
          <cell r="I2075">
            <v>0.02</v>
          </cell>
          <cell r="K2075" t="str">
            <v>个</v>
          </cell>
          <cell r="L2075">
            <v>0.56000000000000005</v>
          </cell>
        </row>
        <row r="2076">
          <cell r="A2076">
            <v>6172</v>
          </cell>
          <cell r="B2076">
            <v>1</v>
          </cell>
          <cell r="D2076" t="str">
            <v>铝合金龙骨连接件</v>
          </cell>
          <cell r="E2076" t="str">
            <v>个</v>
          </cell>
          <cell r="G2076">
            <v>0.92</v>
          </cell>
          <cell r="H2076">
            <v>0.89</v>
          </cell>
          <cell r="I2076">
            <v>0.03</v>
          </cell>
          <cell r="K2076" t="str">
            <v>个</v>
          </cell>
          <cell r="L2076">
            <v>0.92</v>
          </cell>
        </row>
        <row r="2077">
          <cell r="A2077">
            <v>6173</v>
          </cell>
          <cell r="B2077">
            <v>1</v>
          </cell>
          <cell r="D2077" t="str">
            <v>铝合金穿孔方板</v>
          </cell>
          <cell r="E2077" t="str">
            <v>m3</v>
          </cell>
          <cell r="G2077">
            <v>72.099999999999994</v>
          </cell>
          <cell r="H2077">
            <v>70</v>
          </cell>
          <cell r="I2077">
            <v>2.1</v>
          </cell>
          <cell r="K2077" t="str">
            <v>m3</v>
          </cell>
          <cell r="L2077">
            <v>72.099999999999994</v>
          </cell>
        </row>
        <row r="2078">
          <cell r="A2078">
            <v>6174</v>
          </cell>
          <cell r="B2078">
            <v>1</v>
          </cell>
          <cell r="D2078" t="str">
            <v>预制水磨石板</v>
          </cell>
          <cell r="E2078" t="str">
            <v>m2</v>
          </cell>
          <cell r="G2078">
            <v>35.020000000000003</v>
          </cell>
          <cell r="H2078">
            <v>34</v>
          </cell>
          <cell r="I2078">
            <v>1.02</v>
          </cell>
          <cell r="K2078" t="str">
            <v>m2</v>
          </cell>
          <cell r="L2078">
            <v>35.020000000000003</v>
          </cell>
        </row>
        <row r="2079">
          <cell r="A2079">
            <v>6175</v>
          </cell>
          <cell r="B2079">
            <v>1</v>
          </cell>
          <cell r="D2079" t="str">
            <v>大理石板</v>
          </cell>
          <cell r="E2079" t="str">
            <v>m2</v>
          </cell>
          <cell r="G2079">
            <v>144.19999999999999</v>
          </cell>
          <cell r="H2079">
            <v>140</v>
          </cell>
          <cell r="I2079">
            <v>4.2</v>
          </cell>
          <cell r="K2079" t="str">
            <v>m2</v>
          </cell>
          <cell r="L2079">
            <v>144.19999999999999</v>
          </cell>
        </row>
        <row r="2080">
          <cell r="A2080">
            <v>6176</v>
          </cell>
          <cell r="B2080">
            <v>1</v>
          </cell>
          <cell r="D2080" t="str">
            <v>防火门</v>
          </cell>
          <cell r="E2080" t="str">
            <v>m2</v>
          </cell>
          <cell r="G2080">
            <v>370.8</v>
          </cell>
          <cell r="H2080">
            <v>360</v>
          </cell>
          <cell r="I2080">
            <v>10.8</v>
          </cell>
          <cell r="K2080" t="str">
            <v>m2</v>
          </cell>
          <cell r="L2080">
            <v>370.8</v>
          </cell>
        </row>
        <row r="2081">
          <cell r="A2081">
            <v>6177</v>
          </cell>
          <cell r="B2081">
            <v>1</v>
          </cell>
          <cell r="D2081" t="str">
            <v>环氧树脂漆</v>
          </cell>
          <cell r="E2081" t="str">
            <v>kg</v>
          </cell>
          <cell r="G2081">
            <v>41.2</v>
          </cell>
          <cell r="H2081">
            <v>40</v>
          </cell>
          <cell r="I2081">
            <v>1.2</v>
          </cell>
          <cell r="K2081" t="str">
            <v>kg</v>
          </cell>
          <cell r="L2081">
            <v>41.2</v>
          </cell>
        </row>
        <row r="2082">
          <cell r="A2082">
            <v>6178</v>
          </cell>
          <cell r="B2082">
            <v>1</v>
          </cell>
          <cell r="D2082" t="str">
            <v>固化剂</v>
          </cell>
          <cell r="E2082" t="str">
            <v>kg</v>
          </cell>
          <cell r="G2082">
            <v>31.48</v>
          </cell>
          <cell r="H2082">
            <v>30.56</v>
          </cell>
          <cell r="I2082">
            <v>0.92</v>
          </cell>
          <cell r="K2082" t="str">
            <v>kg</v>
          </cell>
          <cell r="L2082">
            <v>31.48</v>
          </cell>
        </row>
        <row r="2083">
          <cell r="A2083">
            <v>6179</v>
          </cell>
          <cell r="B2083">
            <v>1</v>
          </cell>
          <cell r="D2083" t="str">
            <v>瓷片</v>
          </cell>
          <cell r="E2083" t="str">
            <v>片</v>
          </cell>
          <cell r="G2083">
            <v>1.03</v>
          </cell>
          <cell r="H2083">
            <v>1</v>
          </cell>
          <cell r="I2083">
            <v>0.03</v>
          </cell>
          <cell r="K2083" t="str">
            <v>片</v>
          </cell>
          <cell r="L2083">
            <v>1.03</v>
          </cell>
        </row>
        <row r="2084">
          <cell r="A2084">
            <v>6180</v>
          </cell>
          <cell r="B2084">
            <v>1</v>
          </cell>
          <cell r="D2084" t="str">
            <v>轻钢中龙骨平面连接件</v>
          </cell>
          <cell r="E2084" t="str">
            <v>个</v>
          </cell>
          <cell r="G2084">
            <v>0.31</v>
          </cell>
          <cell r="H2084">
            <v>0.3</v>
          </cell>
          <cell r="I2084">
            <v>0.01</v>
          </cell>
          <cell r="K2084" t="str">
            <v>个</v>
          </cell>
          <cell r="L2084">
            <v>0.31</v>
          </cell>
        </row>
        <row r="2085">
          <cell r="A2085">
            <v>6181</v>
          </cell>
          <cell r="B2085">
            <v>1</v>
          </cell>
          <cell r="D2085" t="str">
            <v>铝合金横撑</v>
          </cell>
          <cell r="E2085" t="str">
            <v>m</v>
          </cell>
          <cell r="G2085">
            <v>5.29</v>
          </cell>
          <cell r="H2085">
            <v>5.14</v>
          </cell>
          <cell r="I2085">
            <v>0.15</v>
          </cell>
          <cell r="K2085" t="str">
            <v>m</v>
          </cell>
          <cell r="L2085">
            <v>5.29</v>
          </cell>
        </row>
        <row r="2086">
          <cell r="A2086">
            <v>6182</v>
          </cell>
          <cell r="B2086">
            <v>1</v>
          </cell>
          <cell r="D2086" t="str">
            <v>矿棉板</v>
          </cell>
          <cell r="E2086" t="str">
            <v>m2</v>
          </cell>
          <cell r="G2086">
            <v>24.72</v>
          </cell>
          <cell r="H2086">
            <v>24</v>
          </cell>
          <cell r="I2086">
            <v>0.72</v>
          </cell>
          <cell r="K2086" t="str">
            <v>m2</v>
          </cell>
          <cell r="L2086">
            <v>24.72</v>
          </cell>
        </row>
        <row r="2087">
          <cell r="A2087">
            <v>6183</v>
          </cell>
          <cell r="B2087">
            <v>1</v>
          </cell>
          <cell r="D2087" t="str">
            <v>铝合金中龙骨垂直挂件</v>
          </cell>
          <cell r="E2087" t="str">
            <v>个</v>
          </cell>
          <cell r="G2087">
            <v>0.14000000000000001</v>
          </cell>
          <cell r="H2087">
            <v>0.14000000000000001</v>
          </cell>
          <cell r="I2087">
            <v>0</v>
          </cell>
          <cell r="K2087" t="str">
            <v>个</v>
          </cell>
          <cell r="L2087">
            <v>0.14000000000000001</v>
          </cell>
        </row>
        <row r="2088">
          <cell r="A2088">
            <v>6184</v>
          </cell>
          <cell r="B2088">
            <v>1</v>
          </cell>
          <cell r="D2088" t="str">
            <v>铝合金方板</v>
          </cell>
          <cell r="E2088" t="str">
            <v>m2</v>
          </cell>
          <cell r="G2088">
            <v>74</v>
          </cell>
          <cell r="H2088">
            <v>71.84</v>
          </cell>
          <cell r="I2088">
            <v>2.16</v>
          </cell>
          <cell r="K2088" t="str">
            <v>m2</v>
          </cell>
          <cell r="L2088">
            <v>74</v>
          </cell>
        </row>
        <row r="2089">
          <cell r="A2089">
            <v>6185</v>
          </cell>
          <cell r="B2089">
            <v>1</v>
          </cell>
          <cell r="D2089" t="str">
            <v>洗手盆</v>
          </cell>
          <cell r="E2089" t="str">
            <v>套</v>
          </cell>
          <cell r="G2089">
            <v>51.5</v>
          </cell>
          <cell r="H2089">
            <v>50</v>
          </cell>
          <cell r="I2089">
            <v>1.5</v>
          </cell>
          <cell r="K2089" t="str">
            <v>套</v>
          </cell>
          <cell r="L2089">
            <v>51.5</v>
          </cell>
        </row>
        <row r="2090">
          <cell r="A2090">
            <v>6186</v>
          </cell>
          <cell r="B2090">
            <v>1</v>
          </cell>
          <cell r="D2090" t="str">
            <v>镜面</v>
          </cell>
          <cell r="E2090" t="str">
            <v>m2</v>
          </cell>
          <cell r="G2090">
            <v>24.88</v>
          </cell>
          <cell r="H2090">
            <v>24.16</v>
          </cell>
          <cell r="I2090">
            <v>0.72</v>
          </cell>
          <cell r="K2090" t="str">
            <v>m2</v>
          </cell>
          <cell r="L2090">
            <v>24.88</v>
          </cell>
        </row>
        <row r="2091">
          <cell r="A2091">
            <v>6187</v>
          </cell>
          <cell r="B2091">
            <v>1</v>
          </cell>
          <cell r="D2091" t="str">
            <v>烘手机</v>
          </cell>
          <cell r="E2091" t="str">
            <v>套</v>
          </cell>
          <cell r="G2091">
            <v>154.5</v>
          </cell>
          <cell r="H2091">
            <v>150</v>
          </cell>
          <cell r="I2091">
            <v>4.5</v>
          </cell>
          <cell r="K2091" t="str">
            <v>套</v>
          </cell>
          <cell r="L2091">
            <v>154.5</v>
          </cell>
        </row>
        <row r="2092">
          <cell r="A2092">
            <v>6188</v>
          </cell>
          <cell r="B2092">
            <v>1</v>
          </cell>
          <cell r="D2092" t="str">
            <v>拖布池</v>
          </cell>
          <cell r="E2092" t="str">
            <v>套</v>
          </cell>
          <cell r="G2092">
            <v>20.6</v>
          </cell>
          <cell r="H2092">
            <v>20</v>
          </cell>
          <cell r="I2092">
            <v>0.6</v>
          </cell>
          <cell r="K2092" t="str">
            <v>套</v>
          </cell>
          <cell r="L2092">
            <v>20.6</v>
          </cell>
        </row>
        <row r="2093">
          <cell r="A2093">
            <v>6189</v>
          </cell>
          <cell r="B2093">
            <v>1</v>
          </cell>
          <cell r="D2093" t="str">
            <v>大便器</v>
          </cell>
          <cell r="E2093" t="str">
            <v>套</v>
          </cell>
          <cell r="G2093">
            <v>154.5</v>
          </cell>
          <cell r="H2093">
            <v>150</v>
          </cell>
          <cell r="I2093">
            <v>4.5</v>
          </cell>
          <cell r="K2093" t="str">
            <v>套</v>
          </cell>
          <cell r="L2093">
            <v>154.5</v>
          </cell>
        </row>
        <row r="2094">
          <cell r="A2094">
            <v>6190</v>
          </cell>
          <cell r="B2094">
            <v>1</v>
          </cell>
          <cell r="D2094" t="str">
            <v>小便器</v>
          </cell>
          <cell r="E2094" t="str">
            <v>套</v>
          </cell>
          <cell r="G2094">
            <v>233.81</v>
          </cell>
          <cell r="H2094">
            <v>227</v>
          </cell>
          <cell r="I2094">
            <v>6.81</v>
          </cell>
          <cell r="K2094" t="str">
            <v>套</v>
          </cell>
          <cell r="L2094">
            <v>233.81</v>
          </cell>
        </row>
        <row r="2095">
          <cell r="A2095">
            <v>6191</v>
          </cell>
          <cell r="B2095">
            <v>1</v>
          </cell>
          <cell r="D2095" t="str">
            <v>防火板隔断</v>
          </cell>
          <cell r="E2095" t="str">
            <v>m2</v>
          </cell>
          <cell r="G2095">
            <v>41.2</v>
          </cell>
          <cell r="H2095">
            <v>40</v>
          </cell>
          <cell r="I2095">
            <v>1.2</v>
          </cell>
          <cell r="K2095" t="str">
            <v>m2</v>
          </cell>
          <cell r="L2095">
            <v>41.2</v>
          </cell>
        </row>
        <row r="2096">
          <cell r="A2096">
            <v>6192</v>
          </cell>
          <cell r="B2096">
            <v>1</v>
          </cell>
          <cell r="D2096" t="str">
            <v>耐酸地砖</v>
          </cell>
          <cell r="E2096" t="str">
            <v>m2</v>
          </cell>
          <cell r="G2096">
            <v>123.6</v>
          </cell>
          <cell r="H2096">
            <v>120</v>
          </cell>
          <cell r="I2096">
            <v>3.6</v>
          </cell>
          <cell r="K2096" t="str">
            <v>m2</v>
          </cell>
          <cell r="L2096">
            <v>123.6</v>
          </cell>
        </row>
        <row r="2097">
          <cell r="A2097">
            <v>6193</v>
          </cell>
          <cell r="B2097">
            <v>1</v>
          </cell>
          <cell r="D2097" t="str">
            <v>耐酸墙砖</v>
          </cell>
          <cell r="E2097" t="str">
            <v>m2</v>
          </cell>
          <cell r="G2097">
            <v>23.69</v>
          </cell>
          <cell r="H2097">
            <v>23</v>
          </cell>
          <cell r="I2097">
            <v>0.69</v>
          </cell>
          <cell r="K2097" t="str">
            <v>m2</v>
          </cell>
          <cell r="L2097">
            <v>23.69</v>
          </cell>
        </row>
        <row r="2098">
          <cell r="A2098">
            <v>6194</v>
          </cell>
          <cell r="B2098">
            <v>1</v>
          </cell>
          <cell r="D2098" t="str">
            <v>耐酸漆</v>
          </cell>
          <cell r="E2098" t="str">
            <v>kg</v>
          </cell>
          <cell r="G2098">
            <v>15.45</v>
          </cell>
          <cell r="H2098">
            <v>15</v>
          </cell>
          <cell r="I2098">
            <v>0.45</v>
          </cell>
          <cell r="K2098" t="str">
            <v>kg</v>
          </cell>
          <cell r="L2098">
            <v>15.45</v>
          </cell>
        </row>
        <row r="2099">
          <cell r="A2099">
            <v>6195</v>
          </cell>
          <cell r="B2099">
            <v>1</v>
          </cell>
          <cell r="D2099" t="str">
            <v>不锈钢管Φ32*1.5</v>
          </cell>
          <cell r="E2099" t="str">
            <v>m</v>
          </cell>
          <cell r="G2099">
            <v>20.490000000000002</v>
          </cell>
          <cell r="H2099">
            <v>19.89</v>
          </cell>
          <cell r="I2099">
            <v>0.6</v>
          </cell>
          <cell r="K2099" t="str">
            <v>m</v>
          </cell>
          <cell r="L2099">
            <v>20.490000000000002</v>
          </cell>
        </row>
        <row r="2100">
          <cell r="A2100">
            <v>6196</v>
          </cell>
          <cell r="B2100">
            <v>1</v>
          </cell>
          <cell r="D2100" t="str">
            <v>不锈钢管Φ75*2</v>
          </cell>
          <cell r="E2100" t="str">
            <v>m</v>
          </cell>
          <cell r="G2100">
            <v>64.17</v>
          </cell>
          <cell r="H2100">
            <v>62.3</v>
          </cell>
          <cell r="I2100">
            <v>1.87</v>
          </cell>
          <cell r="K2100" t="str">
            <v>m</v>
          </cell>
          <cell r="L2100">
            <v>64.17</v>
          </cell>
        </row>
        <row r="2101">
          <cell r="A2101">
            <v>6197</v>
          </cell>
          <cell r="B2101">
            <v>1</v>
          </cell>
          <cell r="D2101" t="str">
            <v>不锈钢管Φ89*2.5</v>
          </cell>
          <cell r="E2101" t="str">
            <v>m</v>
          </cell>
          <cell r="G2101">
            <v>122.47999999999999</v>
          </cell>
          <cell r="H2101">
            <v>118.91</v>
          </cell>
          <cell r="I2101">
            <v>3.57</v>
          </cell>
          <cell r="K2101" t="str">
            <v>m</v>
          </cell>
          <cell r="L2101">
            <v>122.47999999999999</v>
          </cell>
        </row>
        <row r="2102">
          <cell r="A2102">
            <v>6198</v>
          </cell>
          <cell r="B2102">
            <v>1</v>
          </cell>
          <cell r="D2102" t="str">
            <v>不锈钢焊丝</v>
          </cell>
          <cell r="E2102" t="str">
            <v>kg</v>
          </cell>
          <cell r="G2102">
            <v>33.809999999999995</v>
          </cell>
          <cell r="H2102">
            <v>32.83</v>
          </cell>
          <cell r="I2102">
            <v>0.98</v>
          </cell>
          <cell r="K2102" t="str">
            <v>kg</v>
          </cell>
          <cell r="L2102">
            <v>33.809999999999995</v>
          </cell>
        </row>
        <row r="2103">
          <cell r="A2103">
            <v>6199</v>
          </cell>
          <cell r="B2103">
            <v>1</v>
          </cell>
          <cell r="D2103" t="str">
            <v>环氧树脂</v>
          </cell>
          <cell r="E2103" t="str">
            <v>kg</v>
          </cell>
          <cell r="G2103">
            <v>22.32</v>
          </cell>
          <cell r="H2103">
            <v>21.67</v>
          </cell>
          <cell r="I2103">
            <v>0.65</v>
          </cell>
          <cell r="K2103" t="str">
            <v>kg</v>
          </cell>
          <cell r="L2103">
            <v>22.32</v>
          </cell>
        </row>
        <row r="2104">
          <cell r="A2104">
            <v>6200</v>
          </cell>
          <cell r="B2104">
            <v>1</v>
          </cell>
          <cell r="D2104" t="str">
            <v>氩气</v>
          </cell>
          <cell r="E2104" t="str">
            <v>m3</v>
          </cell>
          <cell r="G2104">
            <v>13.17</v>
          </cell>
          <cell r="H2104">
            <v>12.79</v>
          </cell>
          <cell r="I2104">
            <v>0.38</v>
          </cell>
          <cell r="K2104" t="str">
            <v>m3</v>
          </cell>
          <cell r="L2104">
            <v>13.17</v>
          </cell>
        </row>
        <row r="2105">
          <cell r="A2105">
            <v>6201</v>
          </cell>
          <cell r="B2105">
            <v>1</v>
          </cell>
          <cell r="D2105" t="str">
            <v>钨棒</v>
          </cell>
          <cell r="E2105" t="str">
            <v>kg</v>
          </cell>
          <cell r="G2105">
            <v>385.18</v>
          </cell>
          <cell r="H2105">
            <v>373.96</v>
          </cell>
          <cell r="I2105">
            <v>11.22</v>
          </cell>
          <cell r="K2105" t="str">
            <v>kg</v>
          </cell>
          <cell r="L2105">
            <v>385.18</v>
          </cell>
        </row>
        <row r="2106">
          <cell r="A2106">
            <v>6202</v>
          </cell>
          <cell r="B2106">
            <v>1</v>
          </cell>
          <cell r="D2106" t="str">
            <v>不锈钢法兰</v>
          </cell>
          <cell r="E2106" t="str">
            <v>个</v>
          </cell>
          <cell r="G2106">
            <v>44.449999999999996</v>
          </cell>
          <cell r="H2106">
            <v>43.16</v>
          </cell>
          <cell r="I2106">
            <v>1.29</v>
          </cell>
          <cell r="K2106" t="str">
            <v>个</v>
          </cell>
          <cell r="L2106">
            <v>44.449999999999996</v>
          </cell>
        </row>
        <row r="2107">
          <cell r="A2107">
            <v>6203</v>
          </cell>
          <cell r="B2107">
            <v>1</v>
          </cell>
          <cell r="D2107" t="str">
            <v>金刚石</v>
          </cell>
          <cell r="E2107" t="str">
            <v>块</v>
          </cell>
          <cell r="G2107">
            <v>5.0600000000000005</v>
          </cell>
          <cell r="H2107">
            <v>4.91</v>
          </cell>
          <cell r="I2107">
            <v>0.15</v>
          </cell>
          <cell r="K2107" t="str">
            <v>块</v>
          </cell>
          <cell r="L2107">
            <v>5.0600000000000005</v>
          </cell>
        </row>
        <row r="2108">
          <cell r="A2108">
            <v>6204</v>
          </cell>
          <cell r="B2108">
            <v>1</v>
          </cell>
          <cell r="D2108" t="str">
            <v>金刚石200*25*50</v>
          </cell>
          <cell r="E2108" t="str">
            <v>块</v>
          </cell>
          <cell r="G2108">
            <v>8.16</v>
          </cell>
          <cell r="H2108">
            <v>7.92</v>
          </cell>
          <cell r="I2108">
            <v>0.24</v>
          </cell>
          <cell r="K2108" t="str">
            <v>块</v>
          </cell>
          <cell r="L2108">
            <v>8.16</v>
          </cell>
        </row>
        <row r="2109">
          <cell r="A2109">
            <v>6205</v>
          </cell>
          <cell r="B2109">
            <v>1</v>
          </cell>
          <cell r="D2109" t="str">
            <v>防火卷帘门</v>
          </cell>
          <cell r="E2109" t="str">
            <v>m2</v>
          </cell>
          <cell r="G2109">
            <v>154.5</v>
          </cell>
          <cell r="H2109">
            <v>150</v>
          </cell>
          <cell r="I2109">
            <v>4.5</v>
          </cell>
          <cell r="K2109" t="str">
            <v>m2</v>
          </cell>
          <cell r="L2109">
            <v>154.5</v>
          </cell>
        </row>
        <row r="2110">
          <cell r="A2110">
            <v>6206</v>
          </cell>
          <cell r="B2110">
            <v>1</v>
          </cell>
          <cell r="D2110" t="str">
            <v>不锈钢管Φ60*2</v>
          </cell>
          <cell r="E2110" t="str">
            <v>m</v>
          </cell>
          <cell r="G2110">
            <v>57.989999999999995</v>
          </cell>
          <cell r="H2110">
            <v>56.3</v>
          </cell>
          <cell r="I2110">
            <v>1.69</v>
          </cell>
          <cell r="K2110" t="str">
            <v>m</v>
          </cell>
          <cell r="L2110">
            <v>57.989999999999995</v>
          </cell>
        </row>
        <row r="2111">
          <cell r="A2111">
            <v>6207</v>
          </cell>
          <cell r="B2111">
            <v>1</v>
          </cell>
          <cell r="D2111" t="str">
            <v>球型钢网架</v>
          </cell>
          <cell r="E2111" t="str">
            <v>m2</v>
          </cell>
          <cell r="G2111">
            <v>314.14999999999998</v>
          </cell>
          <cell r="H2111">
            <v>305</v>
          </cell>
          <cell r="I2111">
            <v>9.15</v>
          </cell>
          <cell r="K2111" t="str">
            <v>m2</v>
          </cell>
          <cell r="L2111">
            <v>314.14999999999998</v>
          </cell>
          <cell r="M2111" t="str">
            <v/>
          </cell>
        </row>
        <row r="2112">
          <cell r="A2112">
            <v>6208</v>
          </cell>
          <cell r="B2112">
            <v>1</v>
          </cell>
          <cell r="D2112" t="str">
            <v>彩钢屋面</v>
          </cell>
          <cell r="E2112" t="str">
            <v>m2</v>
          </cell>
          <cell r="G2112">
            <v>195.7</v>
          </cell>
          <cell r="H2112">
            <v>190</v>
          </cell>
          <cell r="I2112">
            <v>5.7</v>
          </cell>
          <cell r="K2112" t="str">
            <v>m2</v>
          </cell>
          <cell r="L2112">
            <v>195.7</v>
          </cell>
        </row>
        <row r="2114">
          <cell r="B2114">
            <v>1</v>
          </cell>
          <cell r="I2114">
            <v>0</v>
          </cell>
          <cell r="K2114">
            <v>0</v>
          </cell>
          <cell r="L2114">
            <v>0</v>
          </cell>
        </row>
        <row r="2115">
          <cell r="B2115">
            <v>1</v>
          </cell>
          <cell r="I2115">
            <v>0</v>
          </cell>
          <cell r="K2115">
            <v>0</v>
          </cell>
          <cell r="L2115">
            <v>0</v>
          </cell>
        </row>
        <row r="2116">
          <cell r="B2116">
            <v>1</v>
          </cell>
          <cell r="I2116">
            <v>0</v>
          </cell>
          <cell r="K2116">
            <v>0</v>
          </cell>
          <cell r="L2116">
            <v>0</v>
          </cell>
        </row>
        <row r="2117">
          <cell r="B2117">
            <v>1</v>
          </cell>
          <cell r="I2117">
            <v>0</v>
          </cell>
          <cell r="K2117">
            <v>0</v>
          </cell>
          <cell r="L2117">
            <v>0</v>
          </cell>
        </row>
        <row r="2118">
          <cell r="B2118">
            <v>1</v>
          </cell>
          <cell r="I2118">
            <v>0</v>
          </cell>
          <cell r="K2118">
            <v>0</v>
          </cell>
          <cell r="L2118">
            <v>0</v>
          </cell>
        </row>
        <row r="2119">
          <cell r="B2119">
            <v>1</v>
          </cell>
          <cell r="I2119">
            <v>0</v>
          </cell>
          <cell r="K2119">
            <v>0</v>
          </cell>
          <cell r="L2119">
            <v>0</v>
          </cell>
        </row>
        <row r="2120">
          <cell r="B2120">
            <v>1</v>
          </cell>
          <cell r="I2120">
            <v>0</v>
          </cell>
          <cell r="K2120">
            <v>0</v>
          </cell>
          <cell r="L2120">
            <v>0</v>
          </cell>
        </row>
        <row r="2121">
          <cell r="B2121">
            <v>1</v>
          </cell>
          <cell r="I2121">
            <v>0</v>
          </cell>
          <cell r="K2121">
            <v>0</v>
          </cell>
          <cell r="L2121">
            <v>0</v>
          </cell>
        </row>
        <row r="2122">
          <cell r="B2122">
            <v>1</v>
          </cell>
          <cell r="I2122">
            <v>0</v>
          </cell>
          <cell r="K2122">
            <v>0</v>
          </cell>
          <cell r="L2122">
            <v>0</v>
          </cell>
        </row>
        <row r="2123">
          <cell r="B2123">
            <v>1</v>
          </cell>
          <cell r="I2123">
            <v>0</v>
          </cell>
          <cell r="K2123">
            <v>0</v>
          </cell>
          <cell r="L2123">
            <v>0</v>
          </cell>
        </row>
        <row r="2124">
          <cell r="B2124">
            <v>1</v>
          </cell>
          <cell r="I2124">
            <v>0</v>
          </cell>
          <cell r="K2124">
            <v>0</v>
          </cell>
          <cell r="L2124">
            <v>0</v>
          </cell>
        </row>
        <row r="2125">
          <cell r="B2125">
            <v>1</v>
          </cell>
          <cell r="I2125">
            <v>0</v>
          </cell>
          <cell r="K2125">
            <v>0</v>
          </cell>
          <cell r="L2125">
            <v>0</v>
          </cell>
        </row>
        <row r="2126">
          <cell r="B2126">
            <v>1</v>
          </cell>
          <cell r="I2126">
            <v>0</v>
          </cell>
          <cell r="K2126">
            <v>0</v>
          </cell>
          <cell r="L2126">
            <v>0</v>
          </cell>
        </row>
        <row r="2127">
          <cell r="B2127">
            <v>1</v>
          </cell>
          <cell r="I2127">
            <v>0</v>
          </cell>
          <cell r="K2127">
            <v>0</v>
          </cell>
          <cell r="L2127">
            <v>0</v>
          </cell>
        </row>
        <row r="2128">
          <cell r="B2128">
            <v>1</v>
          </cell>
          <cell r="I2128">
            <v>0</v>
          </cell>
          <cell r="K2128">
            <v>0</v>
          </cell>
          <cell r="L2128">
            <v>0</v>
          </cell>
        </row>
        <row r="2129">
          <cell r="B2129">
            <v>1</v>
          </cell>
          <cell r="I2129">
            <v>0</v>
          </cell>
          <cell r="K2129">
            <v>0</v>
          </cell>
          <cell r="L2129">
            <v>0</v>
          </cell>
        </row>
        <row r="2130">
          <cell r="B2130">
            <v>1</v>
          </cell>
          <cell r="I2130">
            <v>0</v>
          </cell>
          <cell r="K2130">
            <v>0</v>
          </cell>
          <cell r="L2130">
            <v>0</v>
          </cell>
        </row>
        <row r="2131">
          <cell r="B2131">
            <v>1</v>
          </cell>
          <cell r="I2131">
            <v>0</v>
          </cell>
          <cell r="K2131">
            <v>0</v>
          </cell>
          <cell r="L2131">
            <v>0</v>
          </cell>
        </row>
        <row r="2132">
          <cell r="B2132">
            <v>1</v>
          </cell>
          <cell r="I2132">
            <v>0</v>
          </cell>
          <cell r="K2132">
            <v>0</v>
          </cell>
          <cell r="L2132">
            <v>0</v>
          </cell>
        </row>
        <row r="2133">
          <cell r="B2133">
            <v>1</v>
          </cell>
          <cell r="I2133">
            <v>0</v>
          </cell>
          <cell r="K2133">
            <v>0</v>
          </cell>
          <cell r="L2133">
            <v>0</v>
          </cell>
        </row>
        <row r="2134">
          <cell r="B2134">
            <v>1</v>
          </cell>
          <cell r="I2134">
            <v>0</v>
          </cell>
          <cell r="K2134">
            <v>0</v>
          </cell>
          <cell r="L2134">
            <v>0</v>
          </cell>
        </row>
        <row r="2135">
          <cell r="B2135">
            <v>1</v>
          </cell>
          <cell r="I2135">
            <v>0</v>
          </cell>
          <cell r="K2135">
            <v>0</v>
          </cell>
          <cell r="L2135">
            <v>0</v>
          </cell>
        </row>
        <row r="2136">
          <cell r="B2136">
            <v>1</v>
          </cell>
          <cell r="I2136">
            <v>0</v>
          </cell>
          <cell r="K2136">
            <v>0</v>
          </cell>
          <cell r="L2136">
            <v>0</v>
          </cell>
        </row>
        <row r="2137">
          <cell r="B2137">
            <v>1</v>
          </cell>
          <cell r="I2137">
            <v>0</v>
          </cell>
          <cell r="K2137">
            <v>0</v>
          </cell>
          <cell r="L2137">
            <v>0</v>
          </cell>
        </row>
        <row r="2138">
          <cell r="B2138">
            <v>1</v>
          </cell>
          <cell r="I2138">
            <v>0</v>
          </cell>
          <cell r="K2138">
            <v>0</v>
          </cell>
          <cell r="L2138">
            <v>0</v>
          </cell>
        </row>
        <row r="2139">
          <cell r="B2139">
            <v>1</v>
          </cell>
          <cell r="I2139">
            <v>0</v>
          </cell>
          <cell r="K2139">
            <v>0</v>
          </cell>
          <cell r="L2139">
            <v>0</v>
          </cell>
        </row>
        <row r="2140">
          <cell r="B2140">
            <v>1</v>
          </cell>
          <cell r="I2140">
            <v>0</v>
          </cell>
          <cell r="K2140">
            <v>0</v>
          </cell>
          <cell r="L2140">
            <v>0</v>
          </cell>
        </row>
        <row r="2141">
          <cell r="B2141">
            <v>1</v>
          </cell>
          <cell r="I2141">
            <v>0</v>
          </cell>
          <cell r="K2141">
            <v>0</v>
          </cell>
          <cell r="L2141">
            <v>0</v>
          </cell>
        </row>
        <row r="2142">
          <cell r="B2142">
            <v>1</v>
          </cell>
          <cell r="I2142">
            <v>0</v>
          </cell>
          <cell r="K2142">
            <v>0</v>
          </cell>
          <cell r="L2142">
            <v>0</v>
          </cell>
        </row>
        <row r="2143">
          <cell r="B2143">
            <v>1</v>
          </cell>
          <cell r="I2143">
            <v>0</v>
          </cell>
          <cell r="K2143">
            <v>0</v>
          </cell>
          <cell r="L2143">
            <v>0</v>
          </cell>
        </row>
        <row r="2144">
          <cell r="B2144">
            <v>1</v>
          </cell>
          <cell r="I2144">
            <v>0</v>
          </cell>
          <cell r="K2144">
            <v>0</v>
          </cell>
          <cell r="L2144">
            <v>0</v>
          </cell>
        </row>
        <row r="2145">
          <cell r="B2145">
            <v>1</v>
          </cell>
          <cell r="I2145">
            <v>0</v>
          </cell>
          <cell r="K2145">
            <v>0</v>
          </cell>
          <cell r="L2145">
            <v>0</v>
          </cell>
        </row>
        <row r="2146">
          <cell r="B2146">
            <v>1</v>
          </cell>
          <cell r="I2146">
            <v>0</v>
          </cell>
          <cell r="K2146">
            <v>0</v>
          </cell>
          <cell r="L2146">
            <v>0</v>
          </cell>
        </row>
        <row r="2147">
          <cell r="B2147">
            <v>1</v>
          </cell>
          <cell r="I2147">
            <v>0</v>
          </cell>
          <cell r="K2147">
            <v>0</v>
          </cell>
          <cell r="L2147">
            <v>0</v>
          </cell>
        </row>
        <row r="2148">
          <cell r="B2148">
            <v>1</v>
          </cell>
          <cell r="I2148">
            <v>0</v>
          </cell>
          <cell r="K2148">
            <v>0</v>
          </cell>
          <cell r="L2148">
            <v>0</v>
          </cell>
        </row>
        <row r="2149">
          <cell r="B2149">
            <v>1</v>
          </cell>
          <cell r="I2149">
            <v>0</v>
          </cell>
          <cell r="K2149">
            <v>0</v>
          </cell>
          <cell r="L2149">
            <v>0</v>
          </cell>
        </row>
        <row r="2150">
          <cell r="B2150">
            <v>1</v>
          </cell>
          <cell r="I2150">
            <v>0</v>
          </cell>
          <cell r="K2150">
            <v>0</v>
          </cell>
          <cell r="L2150">
            <v>0</v>
          </cell>
        </row>
        <row r="2151">
          <cell r="B2151">
            <v>1</v>
          </cell>
          <cell r="I2151">
            <v>0</v>
          </cell>
          <cell r="K2151">
            <v>0</v>
          </cell>
          <cell r="L2151">
            <v>0</v>
          </cell>
        </row>
        <row r="2152">
          <cell r="B2152">
            <v>1</v>
          </cell>
          <cell r="I2152">
            <v>0</v>
          </cell>
          <cell r="K2152">
            <v>0</v>
          </cell>
          <cell r="L2152">
            <v>0</v>
          </cell>
        </row>
        <row r="2153">
          <cell r="B2153">
            <v>1</v>
          </cell>
          <cell r="I2153">
            <v>0</v>
          </cell>
          <cell r="K2153">
            <v>0</v>
          </cell>
          <cell r="L2153">
            <v>0</v>
          </cell>
        </row>
        <row r="2154">
          <cell r="B2154">
            <v>1</v>
          </cell>
          <cell r="I2154">
            <v>0</v>
          </cell>
          <cell r="K2154">
            <v>0</v>
          </cell>
          <cell r="L2154">
            <v>0</v>
          </cell>
        </row>
        <row r="2155">
          <cell r="B2155">
            <v>1</v>
          </cell>
          <cell r="I2155">
            <v>0</v>
          </cell>
          <cell r="K2155">
            <v>0</v>
          </cell>
          <cell r="L2155">
            <v>0</v>
          </cell>
        </row>
        <row r="2156">
          <cell r="B2156">
            <v>1</v>
          </cell>
          <cell r="I2156">
            <v>0</v>
          </cell>
          <cell r="K2156">
            <v>0</v>
          </cell>
          <cell r="L2156">
            <v>0</v>
          </cell>
        </row>
        <row r="2157">
          <cell r="B2157">
            <v>1</v>
          </cell>
          <cell r="I2157">
            <v>0</v>
          </cell>
          <cell r="K2157">
            <v>0</v>
          </cell>
          <cell r="L2157">
            <v>0</v>
          </cell>
        </row>
        <row r="2158">
          <cell r="B2158">
            <v>1</v>
          </cell>
          <cell r="I2158">
            <v>0</v>
          </cell>
          <cell r="K2158">
            <v>0</v>
          </cell>
          <cell r="L2158">
            <v>0</v>
          </cell>
        </row>
        <row r="2159">
          <cell r="B2159">
            <v>1</v>
          </cell>
          <cell r="I2159">
            <v>0</v>
          </cell>
          <cell r="K2159">
            <v>0</v>
          </cell>
          <cell r="L2159">
            <v>0</v>
          </cell>
        </row>
        <row r="2160">
          <cell r="B2160">
            <v>1</v>
          </cell>
          <cell r="I2160">
            <v>0</v>
          </cell>
          <cell r="K2160">
            <v>0</v>
          </cell>
          <cell r="L2160">
            <v>0</v>
          </cell>
        </row>
        <row r="2161">
          <cell r="B2161">
            <v>1</v>
          </cell>
          <cell r="I2161">
            <v>0</v>
          </cell>
          <cell r="K2161">
            <v>0</v>
          </cell>
          <cell r="L2161">
            <v>0</v>
          </cell>
        </row>
        <row r="2162">
          <cell r="B2162">
            <v>1</v>
          </cell>
          <cell r="I2162">
            <v>0</v>
          </cell>
          <cell r="K2162">
            <v>0</v>
          </cell>
          <cell r="L2162">
            <v>0</v>
          </cell>
        </row>
        <row r="2163">
          <cell r="B2163">
            <v>1</v>
          </cell>
          <cell r="I2163">
            <v>0</v>
          </cell>
          <cell r="K2163">
            <v>0</v>
          </cell>
          <cell r="L2163">
            <v>0</v>
          </cell>
        </row>
        <row r="2164">
          <cell r="B2164">
            <v>1</v>
          </cell>
          <cell r="I2164">
            <v>0</v>
          </cell>
          <cell r="K2164">
            <v>0</v>
          </cell>
          <cell r="L2164">
            <v>0</v>
          </cell>
        </row>
        <row r="2165">
          <cell r="B2165">
            <v>1</v>
          </cell>
          <cell r="I2165">
            <v>0</v>
          </cell>
          <cell r="K2165">
            <v>0</v>
          </cell>
          <cell r="L2165">
            <v>0</v>
          </cell>
        </row>
        <row r="2166">
          <cell r="B2166">
            <v>1</v>
          </cell>
          <cell r="I2166">
            <v>0</v>
          </cell>
          <cell r="K2166">
            <v>0</v>
          </cell>
          <cell r="L2166">
            <v>0</v>
          </cell>
        </row>
        <row r="2167">
          <cell r="B2167">
            <v>1</v>
          </cell>
          <cell r="I2167">
            <v>0</v>
          </cell>
          <cell r="K2167">
            <v>0</v>
          </cell>
          <cell r="L2167">
            <v>0</v>
          </cell>
        </row>
        <row r="2168">
          <cell r="B2168">
            <v>1</v>
          </cell>
          <cell r="I2168">
            <v>0</v>
          </cell>
          <cell r="K2168">
            <v>0</v>
          </cell>
          <cell r="L2168">
            <v>0</v>
          </cell>
        </row>
        <row r="2169">
          <cell r="B2169">
            <v>1</v>
          </cell>
          <cell r="I2169">
            <v>0</v>
          </cell>
          <cell r="K2169">
            <v>0</v>
          </cell>
          <cell r="L2169">
            <v>0</v>
          </cell>
        </row>
        <row r="2170">
          <cell r="B2170">
            <v>1</v>
          </cell>
          <cell r="I2170">
            <v>0</v>
          </cell>
          <cell r="K2170">
            <v>0</v>
          </cell>
          <cell r="L2170">
            <v>0</v>
          </cell>
        </row>
        <row r="2171">
          <cell r="B2171">
            <v>1</v>
          </cell>
          <cell r="I2171">
            <v>0</v>
          </cell>
          <cell r="K2171">
            <v>0</v>
          </cell>
          <cell r="L2171">
            <v>0</v>
          </cell>
        </row>
        <row r="2172">
          <cell r="B2172">
            <v>1</v>
          </cell>
          <cell r="I2172">
            <v>0</v>
          </cell>
          <cell r="K2172">
            <v>0</v>
          </cell>
          <cell r="L2172">
            <v>0</v>
          </cell>
        </row>
        <row r="2173">
          <cell r="B2173">
            <v>1</v>
          </cell>
          <cell r="I2173">
            <v>0</v>
          </cell>
          <cell r="K2173">
            <v>0</v>
          </cell>
          <cell r="L2173">
            <v>0</v>
          </cell>
        </row>
        <row r="2174">
          <cell r="B2174">
            <v>1</v>
          </cell>
          <cell r="I2174">
            <v>0</v>
          </cell>
          <cell r="K2174">
            <v>0</v>
          </cell>
          <cell r="L2174">
            <v>0</v>
          </cell>
        </row>
        <row r="2175">
          <cell r="B2175">
            <v>1</v>
          </cell>
          <cell r="I2175">
            <v>0</v>
          </cell>
          <cell r="K2175">
            <v>0</v>
          </cell>
          <cell r="L2175">
            <v>0</v>
          </cell>
        </row>
        <row r="2176">
          <cell r="B2176">
            <v>1</v>
          </cell>
          <cell r="I2176">
            <v>0</v>
          </cell>
          <cell r="K2176">
            <v>0</v>
          </cell>
          <cell r="L2176">
            <v>0</v>
          </cell>
        </row>
        <row r="2177">
          <cell r="B2177">
            <v>1</v>
          </cell>
          <cell r="I2177">
            <v>0</v>
          </cell>
          <cell r="K2177">
            <v>0</v>
          </cell>
          <cell r="L2177">
            <v>0</v>
          </cell>
        </row>
        <row r="2178">
          <cell r="B2178">
            <v>1</v>
          </cell>
          <cell r="I2178">
            <v>0</v>
          </cell>
          <cell r="K2178">
            <v>0</v>
          </cell>
          <cell r="L2178">
            <v>0</v>
          </cell>
        </row>
        <row r="2179">
          <cell r="B2179">
            <v>1</v>
          </cell>
          <cell r="I2179">
            <v>0</v>
          </cell>
          <cell r="K2179">
            <v>0</v>
          </cell>
          <cell r="L2179">
            <v>0</v>
          </cell>
        </row>
        <row r="2180">
          <cell r="B2180">
            <v>1</v>
          </cell>
          <cell r="I2180">
            <v>0</v>
          </cell>
          <cell r="K2180">
            <v>0</v>
          </cell>
          <cell r="L2180">
            <v>0</v>
          </cell>
        </row>
        <row r="2181">
          <cell r="B2181">
            <v>1</v>
          </cell>
          <cell r="I2181">
            <v>0</v>
          </cell>
          <cell r="K2181">
            <v>0</v>
          </cell>
          <cell r="L2181">
            <v>0</v>
          </cell>
        </row>
        <row r="2182">
          <cell r="B2182">
            <v>1</v>
          </cell>
          <cell r="I2182">
            <v>0</v>
          </cell>
          <cell r="K2182">
            <v>0</v>
          </cell>
          <cell r="L2182">
            <v>0</v>
          </cell>
        </row>
        <row r="2183">
          <cell r="B2183">
            <v>1</v>
          </cell>
          <cell r="I2183">
            <v>0</v>
          </cell>
          <cell r="K2183">
            <v>0</v>
          </cell>
          <cell r="L2183">
            <v>0</v>
          </cell>
        </row>
        <row r="2184">
          <cell r="B2184">
            <v>1</v>
          </cell>
          <cell r="I2184">
            <v>0</v>
          </cell>
          <cell r="K2184">
            <v>0</v>
          </cell>
          <cell r="L2184">
            <v>0</v>
          </cell>
        </row>
        <row r="2185">
          <cell r="B2185">
            <v>1</v>
          </cell>
          <cell r="I2185">
            <v>0</v>
          </cell>
          <cell r="K2185">
            <v>0</v>
          </cell>
          <cell r="L2185">
            <v>0</v>
          </cell>
        </row>
        <row r="2186">
          <cell r="B2186">
            <v>1</v>
          </cell>
          <cell r="I2186">
            <v>0</v>
          </cell>
          <cell r="K2186">
            <v>0</v>
          </cell>
          <cell r="L2186">
            <v>0</v>
          </cell>
        </row>
        <row r="2187">
          <cell r="B2187">
            <v>1</v>
          </cell>
          <cell r="I2187">
            <v>0</v>
          </cell>
          <cell r="K2187">
            <v>0</v>
          </cell>
          <cell r="L2187">
            <v>0</v>
          </cell>
        </row>
        <row r="2188">
          <cell r="B2188">
            <v>1</v>
          </cell>
          <cell r="I2188">
            <v>0</v>
          </cell>
          <cell r="K2188">
            <v>0</v>
          </cell>
          <cell r="L2188">
            <v>0</v>
          </cell>
        </row>
        <row r="2189">
          <cell r="B2189">
            <v>1</v>
          </cell>
          <cell r="I2189">
            <v>0</v>
          </cell>
          <cell r="K2189">
            <v>0</v>
          </cell>
          <cell r="L2189">
            <v>0</v>
          </cell>
        </row>
        <row r="2190">
          <cell r="B2190">
            <v>1</v>
          </cell>
          <cell r="I2190">
            <v>0</v>
          </cell>
          <cell r="K2190">
            <v>0</v>
          </cell>
          <cell r="L2190">
            <v>0</v>
          </cell>
        </row>
        <row r="2191">
          <cell r="B2191">
            <v>1</v>
          </cell>
          <cell r="I2191">
            <v>0</v>
          </cell>
          <cell r="K2191">
            <v>0</v>
          </cell>
          <cell r="L2191">
            <v>0</v>
          </cell>
        </row>
        <row r="2192">
          <cell r="B2192">
            <v>1</v>
          </cell>
          <cell r="I2192">
            <v>0</v>
          </cell>
          <cell r="K2192">
            <v>0</v>
          </cell>
          <cell r="L2192">
            <v>0</v>
          </cell>
        </row>
        <row r="2193">
          <cell r="B2193">
            <v>1</v>
          </cell>
          <cell r="I2193">
            <v>0</v>
          </cell>
          <cell r="K2193">
            <v>0</v>
          </cell>
          <cell r="L2193">
            <v>0</v>
          </cell>
        </row>
        <row r="2194">
          <cell r="B2194">
            <v>1</v>
          </cell>
          <cell r="I2194">
            <v>0</v>
          </cell>
          <cell r="K2194">
            <v>0</v>
          </cell>
          <cell r="L2194">
            <v>0</v>
          </cell>
        </row>
        <row r="2195">
          <cell r="B2195">
            <v>1</v>
          </cell>
          <cell r="I2195">
            <v>0</v>
          </cell>
          <cell r="K2195">
            <v>0</v>
          </cell>
          <cell r="L2195">
            <v>0</v>
          </cell>
        </row>
        <row r="2196">
          <cell r="B2196">
            <v>1</v>
          </cell>
          <cell r="I2196">
            <v>0</v>
          </cell>
          <cell r="K2196">
            <v>0</v>
          </cell>
          <cell r="L2196">
            <v>0</v>
          </cell>
        </row>
        <row r="2197">
          <cell r="B2197">
            <v>1</v>
          </cell>
          <cell r="I2197">
            <v>0</v>
          </cell>
          <cell r="K2197">
            <v>0</v>
          </cell>
          <cell r="L2197">
            <v>0</v>
          </cell>
        </row>
        <row r="2198">
          <cell r="B2198">
            <v>1</v>
          </cell>
          <cell r="I2198">
            <v>0</v>
          </cell>
          <cell r="K2198">
            <v>0</v>
          </cell>
          <cell r="L2198">
            <v>0</v>
          </cell>
        </row>
        <row r="2199">
          <cell r="B2199">
            <v>1</v>
          </cell>
          <cell r="I2199">
            <v>0</v>
          </cell>
          <cell r="K2199">
            <v>0</v>
          </cell>
          <cell r="L2199">
            <v>0</v>
          </cell>
        </row>
        <row r="2200">
          <cell r="B2200">
            <v>1</v>
          </cell>
          <cell r="I2200">
            <v>0</v>
          </cell>
          <cell r="K2200">
            <v>0</v>
          </cell>
          <cell r="L2200">
            <v>0</v>
          </cell>
        </row>
        <row r="2201">
          <cell r="B2201">
            <v>1</v>
          </cell>
          <cell r="I2201">
            <v>0</v>
          </cell>
          <cell r="K2201">
            <v>0</v>
          </cell>
          <cell r="L2201">
            <v>0</v>
          </cell>
        </row>
        <row r="2202">
          <cell r="B2202">
            <v>1</v>
          </cell>
          <cell r="I2202">
            <v>0</v>
          </cell>
          <cell r="K2202">
            <v>0</v>
          </cell>
          <cell r="L2202">
            <v>0</v>
          </cell>
        </row>
        <row r="2203">
          <cell r="B2203">
            <v>1</v>
          </cell>
          <cell r="I2203">
            <v>0</v>
          </cell>
          <cell r="K2203">
            <v>0</v>
          </cell>
          <cell r="L2203">
            <v>0</v>
          </cell>
        </row>
        <row r="2204">
          <cell r="B2204">
            <v>1</v>
          </cell>
          <cell r="I2204">
            <v>0</v>
          </cell>
          <cell r="K2204">
            <v>0</v>
          </cell>
          <cell r="L2204">
            <v>0</v>
          </cell>
        </row>
        <row r="2205">
          <cell r="B2205">
            <v>1</v>
          </cell>
          <cell r="I2205">
            <v>0</v>
          </cell>
          <cell r="K2205">
            <v>0</v>
          </cell>
          <cell r="L2205">
            <v>0</v>
          </cell>
        </row>
        <row r="2206">
          <cell r="B2206">
            <v>1</v>
          </cell>
          <cell r="I2206">
            <v>0</v>
          </cell>
          <cell r="K2206">
            <v>0</v>
          </cell>
          <cell r="L2206">
            <v>0</v>
          </cell>
        </row>
        <row r="2207">
          <cell r="B2207">
            <v>1</v>
          </cell>
          <cell r="I2207">
            <v>0</v>
          </cell>
          <cell r="K2207">
            <v>0</v>
          </cell>
          <cell r="L2207">
            <v>0</v>
          </cell>
        </row>
        <row r="2208">
          <cell r="B2208">
            <v>1</v>
          </cell>
          <cell r="I2208">
            <v>0</v>
          </cell>
          <cell r="K2208">
            <v>0</v>
          </cell>
          <cell r="L2208">
            <v>0</v>
          </cell>
        </row>
        <row r="2209">
          <cell r="B2209">
            <v>1</v>
          </cell>
          <cell r="I2209">
            <v>0</v>
          </cell>
          <cell r="K2209">
            <v>0</v>
          </cell>
          <cell r="L2209">
            <v>0</v>
          </cell>
        </row>
        <row r="2210">
          <cell r="B2210">
            <v>1</v>
          </cell>
          <cell r="I2210">
            <v>0</v>
          </cell>
          <cell r="K2210">
            <v>0</v>
          </cell>
          <cell r="L2210">
            <v>0</v>
          </cell>
        </row>
        <row r="2211">
          <cell r="B2211">
            <v>1</v>
          </cell>
          <cell r="I2211">
            <v>0</v>
          </cell>
          <cell r="K2211">
            <v>0</v>
          </cell>
          <cell r="L2211">
            <v>0</v>
          </cell>
        </row>
        <row r="2212">
          <cell r="B2212">
            <v>1</v>
          </cell>
          <cell r="I2212">
            <v>0</v>
          </cell>
          <cell r="K2212">
            <v>0</v>
          </cell>
          <cell r="L2212">
            <v>0</v>
          </cell>
        </row>
        <row r="2213">
          <cell r="B2213">
            <v>1</v>
          </cell>
          <cell r="I2213">
            <v>0</v>
          </cell>
          <cell r="K2213">
            <v>0</v>
          </cell>
          <cell r="L2213">
            <v>0</v>
          </cell>
        </row>
        <row r="2214">
          <cell r="B2214">
            <v>1</v>
          </cell>
          <cell r="I2214">
            <v>0</v>
          </cell>
          <cell r="K2214">
            <v>0</v>
          </cell>
          <cell r="L2214">
            <v>0</v>
          </cell>
        </row>
        <row r="2215">
          <cell r="B2215">
            <v>1</v>
          </cell>
          <cell r="I2215">
            <v>0</v>
          </cell>
          <cell r="K2215">
            <v>0</v>
          </cell>
          <cell r="L2215">
            <v>0</v>
          </cell>
        </row>
        <row r="2216">
          <cell r="B2216">
            <v>1</v>
          </cell>
          <cell r="I2216">
            <v>0</v>
          </cell>
          <cell r="K2216">
            <v>0</v>
          </cell>
          <cell r="L2216">
            <v>0</v>
          </cell>
        </row>
        <row r="2217">
          <cell r="B2217">
            <v>1</v>
          </cell>
          <cell r="I2217">
            <v>0</v>
          </cell>
          <cell r="K2217">
            <v>0</v>
          </cell>
          <cell r="L2217">
            <v>0</v>
          </cell>
        </row>
        <row r="2218">
          <cell r="B2218">
            <v>1</v>
          </cell>
          <cell r="I2218">
            <v>0</v>
          </cell>
          <cell r="K2218">
            <v>0</v>
          </cell>
          <cell r="L2218">
            <v>0</v>
          </cell>
        </row>
        <row r="2219">
          <cell r="B2219">
            <v>1</v>
          </cell>
          <cell r="I2219">
            <v>0</v>
          </cell>
          <cell r="K2219">
            <v>0</v>
          </cell>
          <cell r="L2219">
            <v>0</v>
          </cell>
        </row>
        <row r="2220">
          <cell r="B2220">
            <v>1</v>
          </cell>
          <cell r="I2220">
            <v>0</v>
          </cell>
          <cell r="K2220">
            <v>0</v>
          </cell>
          <cell r="L2220">
            <v>0</v>
          </cell>
        </row>
        <row r="2221">
          <cell r="B2221">
            <v>1</v>
          </cell>
          <cell r="I2221">
            <v>0</v>
          </cell>
          <cell r="K2221">
            <v>0</v>
          </cell>
          <cell r="L2221">
            <v>0</v>
          </cell>
        </row>
        <row r="2222">
          <cell r="B2222">
            <v>1</v>
          </cell>
          <cell r="I2222">
            <v>0</v>
          </cell>
          <cell r="K2222">
            <v>0</v>
          </cell>
          <cell r="L2222">
            <v>0</v>
          </cell>
        </row>
        <row r="2223">
          <cell r="B2223">
            <v>1</v>
          </cell>
          <cell r="I2223">
            <v>0</v>
          </cell>
          <cell r="K2223">
            <v>0</v>
          </cell>
          <cell r="L2223">
            <v>0</v>
          </cell>
        </row>
        <row r="2224">
          <cell r="B2224">
            <v>1</v>
          </cell>
          <cell r="I2224">
            <v>0</v>
          </cell>
          <cell r="K2224">
            <v>0</v>
          </cell>
          <cell r="L2224">
            <v>0</v>
          </cell>
        </row>
        <row r="2225">
          <cell r="B2225">
            <v>1</v>
          </cell>
          <cell r="I2225">
            <v>0</v>
          </cell>
          <cell r="K2225">
            <v>0</v>
          </cell>
          <cell r="L2225">
            <v>0</v>
          </cell>
        </row>
        <row r="2226">
          <cell r="B2226">
            <v>1</v>
          </cell>
          <cell r="I2226">
            <v>0</v>
          </cell>
          <cell r="K2226">
            <v>0</v>
          </cell>
          <cell r="L2226">
            <v>0</v>
          </cell>
        </row>
        <row r="2227">
          <cell r="B2227">
            <v>1</v>
          </cell>
          <cell r="I2227">
            <v>0</v>
          </cell>
          <cell r="K2227">
            <v>0</v>
          </cell>
          <cell r="L2227">
            <v>0</v>
          </cell>
        </row>
        <row r="2228">
          <cell r="B2228">
            <v>1</v>
          </cell>
          <cell r="I2228">
            <v>0</v>
          </cell>
          <cell r="K2228">
            <v>0</v>
          </cell>
          <cell r="L2228">
            <v>0</v>
          </cell>
        </row>
        <row r="2229">
          <cell r="B2229">
            <v>1</v>
          </cell>
          <cell r="I2229">
            <v>0</v>
          </cell>
          <cell r="K2229">
            <v>0</v>
          </cell>
          <cell r="L2229">
            <v>0</v>
          </cell>
        </row>
        <row r="2230">
          <cell r="B2230">
            <v>1</v>
          </cell>
          <cell r="I2230">
            <v>0</v>
          </cell>
          <cell r="K2230">
            <v>0</v>
          </cell>
          <cell r="L2230">
            <v>0</v>
          </cell>
        </row>
        <row r="2231">
          <cell r="B2231">
            <v>1</v>
          </cell>
          <cell r="I2231">
            <v>0</v>
          </cell>
          <cell r="K2231">
            <v>0</v>
          </cell>
          <cell r="L2231">
            <v>0</v>
          </cell>
        </row>
        <row r="2232">
          <cell r="B2232">
            <v>1</v>
          </cell>
          <cell r="I2232">
            <v>0</v>
          </cell>
          <cell r="K2232">
            <v>0</v>
          </cell>
          <cell r="L2232">
            <v>0</v>
          </cell>
        </row>
        <row r="2233">
          <cell r="B2233">
            <v>1</v>
          </cell>
          <cell r="I2233">
            <v>0</v>
          </cell>
          <cell r="K2233">
            <v>0</v>
          </cell>
          <cell r="L2233">
            <v>0</v>
          </cell>
        </row>
        <row r="2234">
          <cell r="B2234">
            <v>1</v>
          </cell>
          <cell r="I2234">
            <v>0</v>
          </cell>
          <cell r="K2234">
            <v>0</v>
          </cell>
          <cell r="L2234">
            <v>0</v>
          </cell>
        </row>
        <row r="2235">
          <cell r="B2235">
            <v>1</v>
          </cell>
          <cell r="I2235">
            <v>0</v>
          </cell>
          <cell r="K2235">
            <v>0</v>
          </cell>
          <cell r="L2235">
            <v>0</v>
          </cell>
        </row>
        <row r="2236">
          <cell r="B2236">
            <v>1</v>
          </cell>
          <cell r="I2236">
            <v>0</v>
          </cell>
          <cell r="K2236">
            <v>0</v>
          </cell>
          <cell r="L2236">
            <v>0</v>
          </cell>
        </row>
        <row r="2237">
          <cell r="B2237">
            <v>1</v>
          </cell>
          <cell r="I2237">
            <v>0</v>
          </cell>
          <cell r="K2237">
            <v>0</v>
          </cell>
          <cell r="L2237">
            <v>0</v>
          </cell>
        </row>
        <row r="2238">
          <cell r="B2238">
            <v>1</v>
          </cell>
          <cell r="I2238">
            <v>0</v>
          </cell>
          <cell r="K2238">
            <v>0</v>
          </cell>
          <cell r="L2238">
            <v>0</v>
          </cell>
        </row>
        <row r="2239">
          <cell r="B2239">
            <v>1</v>
          </cell>
          <cell r="I2239">
            <v>0</v>
          </cell>
          <cell r="K2239">
            <v>0</v>
          </cell>
          <cell r="L2239">
            <v>0</v>
          </cell>
        </row>
        <row r="2240">
          <cell r="B2240">
            <v>1</v>
          </cell>
          <cell r="I2240">
            <v>0</v>
          </cell>
          <cell r="K2240">
            <v>0</v>
          </cell>
          <cell r="L2240">
            <v>0</v>
          </cell>
        </row>
        <row r="2241">
          <cell r="B2241">
            <v>1</v>
          </cell>
          <cell r="I2241">
            <v>0</v>
          </cell>
          <cell r="K2241">
            <v>0</v>
          </cell>
          <cell r="L2241">
            <v>0</v>
          </cell>
        </row>
        <row r="2242">
          <cell r="B2242">
            <v>1</v>
          </cell>
          <cell r="I2242">
            <v>0</v>
          </cell>
          <cell r="K2242">
            <v>0</v>
          </cell>
          <cell r="L2242">
            <v>0</v>
          </cell>
        </row>
        <row r="2243">
          <cell r="B2243">
            <v>1</v>
          </cell>
          <cell r="I2243">
            <v>0</v>
          </cell>
          <cell r="K2243">
            <v>0</v>
          </cell>
          <cell r="L2243">
            <v>0</v>
          </cell>
        </row>
        <row r="2244">
          <cell r="B2244">
            <v>1</v>
          </cell>
          <cell r="I2244">
            <v>0</v>
          </cell>
          <cell r="K2244">
            <v>0</v>
          </cell>
          <cell r="L2244">
            <v>0</v>
          </cell>
        </row>
        <row r="2245">
          <cell r="B2245">
            <v>1</v>
          </cell>
          <cell r="I2245">
            <v>0</v>
          </cell>
          <cell r="K2245">
            <v>0</v>
          </cell>
          <cell r="L2245">
            <v>0</v>
          </cell>
        </row>
        <row r="2246">
          <cell r="B2246">
            <v>1</v>
          </cell>
          <cell r="I2246">
            <v>0</v>
          </cell>
          <cell r="K2246">
            <v>0</v>
          </cell>
          <cell r="L2246">
            <v>0</v>
          </cell>
        </row>
        <row r="2247">
          <cell r="B2247">
            <v>1</v>
          </cell>
          <cell r="I2247">
            <v>0</v>
          </cell>
          <cell r="K2247">
            <v>0</v>
          </cell>
          <cell r="L2247">
            <v>0</v>
          </cell>
        </row>
        <row r="2248">
          <cell r="B2248">
            <v>1</v>
          </cell>
          <cell r="I2248">
            <v>0</v>
          </cell>
          <cell r="K2248">
            <v>0</v>
          </cell>
          <cell r="L2248">
            <v>0</v>
          </cell>
        </row>
        <row r="2249">
          <cell r="B2249">
            <v>1</v>
          </cell>
          <cell r="I2249">
            <v>0</v>
          </cell>
          <cell r="K2249">
            <v>0</v>
          </cell>
          <cell r="L2249">
            <v>0</v>
          </cell>
        </row>
        <row r="2250">
          <cell r="B2250">
            <v>1</v>
          </cell>
          <cell r="I2250">
            <v>0</v>
          </cell>
          <cell r="K2250">
            <v>0</v>
          </cell>
          <cell r="L2250">
            <v>0</v>
          </cell>
        </row>
        <row r="2251">
          <cell r="B2251">
            <v>1</v>
          </cell>
          <cell r="I2251">
            <v>0</v>
          </cell>
          <cell r="K2251">
            <v>0</v>
          </cell>
          <cell r="L2251">
            <v>0</v>
          </cell>
        </row>
        <row r="2252">
          <cell r="B2252">
            <v>1</v>
          </cell>
          <cell r="I2252">
            <v>0</v>
          </cell>
          <cell r="K2252">
            <v>0</v>
          </cell>
          <cell r="L2252">
            <v>0</v>
          </cell>
        </row>
        <row r="2253">
          <cell r="B2253">
            <v>1</v>
          </cell>
          <cell r="I2253">
            <v>0</v>
          </cell>
          <cell r="K2253">
            <v>0</v>
          </cell>
          <cell r="L2253">
            <v>0</v>
          </cell>
        </row>
        <row r="2254">
          <cell r="B2254">
            <v>1</v>
          </cell>
          <cell r="I2254">
            <v>0</v>
          </cell>
          <cell r="K2254">
            <v>0</v>
          </cell>
          <cell r="L2254">
            <v>0</v>
          </cell>
        </row>
        <row r="2255">
          <cell r="B2255">
            <v>1</v>
          </cell>
          <cell r="I2255">
            <v>0</v>
          </cell>
          <cell r="K2255">
            <v>0</v>
          </cell>
          <cell r="L2255">
            <v>0</v>
          </cell>
        </row>
        <row r="2256">
          <cell r="B2256">
            <v>1</v>
          </cell>
          <cell r="I2256">
            <v>0</v>
          </cell>
          <cell r="K2256">
            <v>0</v>
          </cell>
          <cell r="L2256">
            <v>0</v>
          </cell>
        </row>
        <row r="2257">
          <cell r="B2257">
            <v>1</v>
          </cell>
          <cell r="I2257">
            <v>0</v>
          </cell>
          <cell r="K2257">
            <v>0</v>
          </cell>
          <cell r="L2257">
            <v>0</v>
          </cell>
        </row>
        <row r="2258">
          <cell r="B2258">
            <v>1</v>
          </cell>
          <cell r="I2258">
            <v>0</v>
          </cell>
          <cell r="K2258">
            <v>0</v>
          </cell>
          <cell r="L2258">
            <v>0</v>
          </cell>
        </row>
        <row r="2259">
          <cell r="B2259">
            <v>1</v>
          </cell>
          <cell r="I2259">
            <v>0</v>
          </cell>
          <cell r="K2259">
            <v>0</v>
          </cell>
          <cell r="L2259">
            <v>0</v>
          </cell>
        </row>
        <row r="2260">
          <cell r="B2260">
            <v>1</v>
          </cell>
          <cell r="I2260">
            <v>0</v>
          </cell>
          <cell r="K2260">
            <v>0</v>
          </cell>
          <cell r="L2260">
            <v>0</v>
          </cell>
        </row>
        <row r="2261">
          <cell r="B2261">
            <v>1</v>
          </cell>
          <cell r="I2261">
            <v>0</v>
          </cell>
          <cell r="K2261">
            <v>0</v>
          </cell>
          <cell r="L2261">
            <v>0</v>
          </cell>
        </row>
        <row r="2262">
          <cell r="B2262">
            <v>1</v>
          </cell>
          <cell r="I2262">
            <v>0</v>
          </cell>
          <cell r="K2262">
            <v>0</v>
          </cell>
          <cell r="L2262">
            <v>0</v>
          </cell>
        </row>
        <row r="2263">
          <cell r="B2263">
            <v>1</v>
          </cell>
          <cell r="I2263">
            <v>0</v>
          </cell>
          <cell r="K2263">
            <v>0</v>
          </cell>
          <cell r="L2263">
            <v>0</v>
          </cell>
        </row>
        <row r="2264">
          <cell r="B2264">
            <v>1</v>
          </cell>
          <cell r="I2264">
            <v>0</v>
          </cell>
          <cell r="K2264">
            <v>0</v>
          </cell>
          <cell r="L2264">
            <v>0</v>
          </cell>
        </row>
        <row r="2265">
          <cell r="B2265">
            <v>1</v>
          </cell>
          <cell r="I2265">
            <v>0</v>
          </cell>
          <cell r="K2265">
            <v>0</v>
          </cell>
          <cell r="L2265">
            <v>0</v>
          </cell>
        </row>
        <row r="2266">
          <cell r="B2266">
            <v>1</v>
          </cell>
          <cell r="I2266">
            <v>0</v>
          </cell>
          <cell r="K2266">
            <v>0</v>
          </cell>
          <cell r="L2266">
            <v>0</v>
          </cell>
        </row>
        <row r="2267">
          <cell r="B2267">
            <v>1</v>
          </cell>
          <cell r="I2267">
            <v>0</v>
          </cell>
          <cell r="K2267">
            <v>0</v>
          </cell>
          <cell r="L2267">
            <v>0</v>
          </cell>
        </row>
        <row r="2268">
          <cell r="B2268">
            <v>1</v>
          </cell>
          <cell r="I2268">
            <v>0</v>
          </cell>
          <cell r="K2268">
            <v>0</v>
          </cell>
          <cell r="L2268">
            <v>0</v>
          </cell>
        </row>
        <row r="2269">
          <cell r="B2269">
            <v>1</v>
          </cell>
          <cell r="I2269">
            <v>0</v>
          </cell>
          <cell r="K2269">
            <v>0</v>
          </cell>
          <cell r="L2269">
            <v>0</v>
          </cell>
        </row>
        <row r="2270">
          <cell r="B2270">
            <v>1</v>
          </cell>
          <cell r="I2270">
            <v>0</v>
          </cell>
          <cell r="K2270">
            <v>0</v>
          </cell>
          <cell r="L2270">
            <v>0</v>
          </cell>
        </row>
        <row r="2271">
          <cell r="B2271">
            <v>1</v>
          </cell>
          <cell r="I2271">
            <v>0</v>
          </cell>
          <cell r="K2271">
            <v>0</v>
          </cell>
          <cell r="L2271">
            <v>0</v>
          </cell>
        </row>
        <row r="2272">
          <cell r="B2272">
            <v>1</v>
          </cell>
          <cell r="I2272">
            <v>0</v>
          </cell>
          <cell r="K2272">
            <v>0</v>
          </cell>
          <cell r="L2272">
            <v>0</v>
          </cell>
        </row>
        <row r="2273">
          <cell r="B2273">
            <v>1</v>
          </cell>
          <cell r="I2273">
            <v>0</v>
          </cell>
          <cell r="K2273">
            <v>0</v>
          </cell>
          <cell r="L2273">
            <v>0</v>
          </cell>
        </row>
        <row r="2274">
          <cell r="B2274">
            <v>1</v>
          </cell>
          <cell r="I2274">
            <v>0</v>
          </cell>
          <cell r="K2274">
            <v>0</v>
          </cell>
          <cell r="L2274">
            <v>0</v>
          </cell>
        </row>
        <row r="2275">
          <cell r="B2275">
            <v>1</v>
          </cell>
          <cell r="I2275">
            <v>0</v>
          </cell>
          <cell r="K2275">
            <v>0</v>
          </cell>
          <cell r="L2275">
            <v>0</v>
          </cell>
        </row>
        <row r="2276">
          <cell r="B2276">
            <v>1</v>
          </cell>
          <cell r="I2276">
            <v>0</v>
          </cell>
          <cell r="K2276">
            <v>0</v>
          </cell>
          <cell r="L2276">
            <v>0</v>
          </cell>
        </row>
        <row r="2277">
          <cell r="B2277">
            <v>1</v>
          </cell>
          <cell r="I2277">
            <v>0</v>
          </cell>
          <cell r="K2277">
            <v>0</v>
          </cell>
          <cell r="L2277">
            <v>0</v>
          </cell>
        </row>
        <row r="2278">
          <cell r="B2278">
            <v>1</v>
          </cell>
          <cell r="I2278">
            <v>0</v>
          </cell>
          <cell r="K2278">
            <v>0</v>
          </cell>
          <cell r="L2278">
            <v>0</v>
          </cell>
        </row>
        <row r="2279">
          <cell r="B2279">
            <v>1</v>
          </cell>
          <cell r="I2279">
            <v>0</v>
          </cell>
          <cell r="K2279">
            <v>0</v>
          </cell>
          <cell r="L2279">
            <v>0</v>
          </cell>
        </row>
        <row r="2280">
          <cell r="B2280">
            <v>1</v>
          </cell>
          <cell r="I2280">
            <v>0</v>
          </cell>
          <cell r="K2280">
            <v>0</v>
          </cell>
          <cell r="L2280">
            <v>0</v>
          </cell>
        </row>
        <row r="2281">
          <cell r="B2281">
            <v>1</v>
          </cell>
          <cell r="I2281">
            <v>0</v>
          </cell>
          <cell r="K2281">
            <v>0</v>
          </cell>
          <cell r="L2281">
            <v>0</v>
          </cell>
        </row>
        <row r="2282">
          <cell r="B2282">
            <v>1</v>
          </cell>
          <cell r="I2282">
            <v>0</v>
          </cell>
          <cell r="K2282">
            <v>0</v>
          </cell>
          <cell r="L2282">
            <v>0</v>
          </cell>
        </row>
        <row r="2283">
          <cell r="B2283">
            <v>1</v>
          </cell>
          <cell r="I2283">
            <v>0</v>
          </cell>
          <cell r="K2283">
            <v>0</v>
          </cell>
          <cell r="L2283">
            <v>0</v>
          </cell>
        </row>
        <row r="2284">
          <cell r="B2284">
            <v>1</v>
          </cell>
          <cell r="I2284">
            <v>0</v>
          </cell>
          <cell r="K2284">
            <v>0</v>
          </cell>
          <cell r="L2284">
            <v>0</v>
          </cell>
        </row>
        <row r="2285">
          <cell r="B2285">
            <v>1</v>
          </cell>
          <cell r="I2285">
            <v>0</v>
          </cell>
          <cell r="K2285">
            <v>0</v>
          </cell>
          <cell r="L2285">
            <v>0</v>
          </cell>
        </row>
        <row r="2286">
          <cell r="B2286">
            <v>1</v>
          </cell>
          <cell r="I2286">
            <v>0</v>
          </cell>
          <cell r="K2286">
            <v>0</v>
          </cell>
          <cell r="L2286">
            <v>0</v>
          </cell>
        </row>
        <row r="2287">
          <cell r="B2287">
            <v>1</v>
          </cell>
          <cell r="I2287">
            <v>0</v>
          </cell>
          <cell r="K2287">
            <v>0</v>
          </cell>
          <cell r="L2287">
            <v>0</v>
          </cell>
        </row>
        <row r="2288">
          <cell r="B2288">
            <v>1</v>
          </cell>
          <cell r="I2288">
            <v>0</v>
          </cell>
          <cell r="K2288">
            <v>0</v>
          </cell>
          <cell r="L2288">
            <v>0</v>
          </cell>
        </row>
        <row r="2289">
          <cell r="B2289">
            <v>1</v>
          </cell>
          <cell r="I2289">
            <v>0</v>
          </cell>
          <cell r="K2289">
            <v>0</v>
          </cell>
          <cell r="L2289">
            <v>0</v>
          </cell>
        </row>
        <row r="2290">
          <cell r="B2290">
            <v>1</v>
          </cell>
          <cell r="I2290">
            <v>0</v>
          </cell>
          <cell r="K2290">
            <v>0</v>
          </cell>
          <cell r="L2290">
            <v>0</v>
          </cell>
        </row>
        <row r="2291">
          <cell r="B2291">
            <v>1</v>
          </cell>
          <cell r="I2291">
            <v>0</v>
          </cell>
          <cell r="K2291">
            <v>0</v>
          </cell>
          <cell r="L2291">
            <v>0</v>
          </cell>
        </row>
        <row r="2292">
          <cell r="B2292">
            <v>1</v>
          </cell>
          <cell r="I2292">
            <v>0</v>
          </cell>
          <cell r="K2292">
            <v>0</v>
          </cell>
          <cell r="L2292">
            <v>0</v>
          </cell>
        </row>
        <row r="2293">
          <cell r="B2293">
            <v>1</v>
          </cell>
          <cell r="I2293">
            <v>0</v>
          </cell>
          <cell r="K2293">
            <v>0</v>
          </cell>
          <cell r="L2293">
            <v>0</v>
          </cell>
        </row>
        <row r="2294">
          <cell r="B2294">
            <v>1</v>
          </cell>
          <cell r="I2294">
            <v>0</v>
          </cell>
          <cell r="K2294">
            <v>0</v>
          </cell>
          <cell r="L2294">
            <v>0</v>
          </cell>
        </row>
        <row r="2295">
          <cell r="B2295">
            <v>1</v>
          </cell>
          <cell r="I2295">
            <v>0</v>
          </cell>
          <cell r="K2295">
            <v>0</v>
          </cell>
          <cell r="L2295">
            <v>0</v>
          </cell>
        </row>
        <row r="2296">
          <cell r="B2296">
            <v>1</v>
          </cell>
          <cell r="I2296">
            <v>0</v>
          </cell>
          <cell r="K2296">
            <v>0</v>
          </cell>
          <cell r="L2296">
            <v>0</v>
          </cell>
        </row>
        <row r="2297">
          <cell r="B2297">
            <v>1</v>
          </cell>
          <cell r="I2297">
            <v>0</v>
          </cell>
          <cell r="K2297">
            <v>0</v>
          </cell>
          <cell r="L2297">
            <v>0</v>
          </cell>
        </row>
        <row r="2298">
          <cell r="B2298">
            <v>1</v>
          </cell>
          <cell r="I2298">
            <v>0</v>
          </cell>
          <cell r="K2298">
            <v>0</v>
          </cell>
          <cell r="L2298">
            <v>0</v>
          </cell>
        </row>
        <row r="2299">
          <cell r="B2299">
            <v>1</v>
          </cell>
          <cell r="I2299">
            <v>0</v>
          </cell>
          <cell r="K2299">
            <v>0</v>
          </cell>
          <cell r="L2299">
            <v>0</v>
          </cell>
        </row>
        <row r="2300">
          <cell r="B2300">
            <v>1</v>
          </cell>
          <cell r="I2300">
            <v>0</v>
          </cell>
          <cell r="K2300">
            <v>0</v>
          </cell>
          <cell r="L2300">
            <v>0</v>
          </cell>
        </row>
        <row r="2301">
          <cell r="B2301">
            <v>1</v>
          </cell>
          <cell r="I2301">
            <v>0</v>
          </cell>
          <cell r="K2301">
            <v>0</v>
          </cell>
          <cell r="L2301">
            <v>0</v>
          </cell>
        </row>
        <row r="2302">
          <cell r="B2302">
            <v>1</v>
          </cell>
          <cell r="I2302">
            <v>0</v>
          </cell>
          <cell r="K2302">
            <v>0</v>
          </cell>
          <cell r="L2302">
            <v>0</v>
          </cell>
        </row>
        <row r="2303">
          <cell r="B2303">
            <v>1</v>
          </cell>
          <cell r="I2303">
            <v>0</v>
          </cell>
          <cell r="K2303">
            <v>0</v>
          </cell>
          <cell r="L2303">
            <v>0</v>
          </cell>
        </row>
        <row r="2304">
          <cell r="B2304">
            <v>1</v>
          </cell>
          <cell r="I2304">
            <v>0</v>
          </cell>
          <cell r="K2304">
            <v>0</v>
          </cell>
          <cell r="L2304">
            <v>0</v>
          </cell>
        </row>
        <row r="2305">
          <cell r="B2305">
            <v>1</v>
          </cell>
          <cell r="I2305">
            <v>0</v>
          </cell>
          <cell r="K2305">
            <v>0</v>
          </cell>
          <cell r="L2305">
            <v>0</v>
          </cell>
        </row>
        <row r="2306">
          <cell r="B2306">
            <v>1</v>
          </cell>
          <cell r="I2306">
            <v>0</v>
          </cell>
          <cell r="K2306">
            <v>0</v>
          </cell>
          <cell r="L2306">
            <v>0</v>
          </cell>
        </row>
        <row r="2307">
          <cell r="B2307">
            <v>1</v>
          </cell>
          <cell r="I2307">
            <v>0</v>
          </cell>
          <cell r="K2307">
            <v>0</v>
          </cell>
          <cell r="L2307">
            <v>0</v>
          </cell>
        </row>
        <row r="2308">
          <cell r="B2308">
            <v>1</v>
          </cell>
          <cell r="I2308">
            <v>0</v>
          </cell>
          <cell r="K2308">
            <v>0</v>
          </cell>
          <cell r="L2308">
            <v>0</v>
          </cell>
        </row>
        <row r="2309">
          <cell r="B2309">
            <v>1</v>
          </cell>
          <cell r="I2309">
            <v>0</v>
          </cell>
          <cell r="K2309">
            <v>0</v>
          </cell>
          <cell r="L2309">
            <v>0</v>
          </cell>
        </row>
        <row r="2310">
          <cell r="B2310">
            <v>1</v>
          </cell>
          <cell r="K2310">
            <v>0</v>
          </cell>
          <cell r="L2310">
            <v>0</v>
          </cell>
        </row>
        <row r="2311">
          <cell r="B2311">
            <v>1</v>
          </cell>
          <cell r="K2311">
            <v>0</v>
          </cell>
          <cell r="L2311">
            <v>0</v>
          </cell>
        </row>
        <row r="2312">
          <cell r="B2312">
            <v>1</v>
          </cell>
          <cell r="K2312">
            <v>0</v>
          </cell>
          <cell r="L2312">
            <v>0</v>
          </cell>
        </row>
        <row r="2313">
          <cell r="B2313">
            <v>1</v>
          </cell>
          <cell r="K2313">
            <v>0</v>
          </cell>
          <cell r="L2313">
            <v>0</v>
          </cell>
        </row>
        <row r="2314">
          <cell r="B2314">
            <v>1</v>
          </cell>
          <cell r="K2314">
            <v>0</v>
          </cell>
          <cell r="L2314">
            <v>0</v>
          </cell>
        </row>
        <row r="2315">
          <cell r="B2315">
            <v>1</v>
          </cell>
          <cell r="K2315">
            <v>0</v>
          </cell>
          <cell r="L2315">
            <v>0</v>
          </cell>
        </row>
        <row r="2316">
          <cell r="B2316">
            <v>1</v>
          </cell>
          <cell r="K2316">
            <v>0</v>
          </cell>
          <cell r="L2316">
            <v>0</v>
          </cell>
        </row>
        <row r="2317">
          <cell r="B2317">
            <v>1</v>
          </cell>
          <cell r="K2317">
            <v>0</v>
          </cell>
          <cell r="L2317">
            <v>0</v>
          </cell>
        </row>
        <row r="2318">
          <cell r="B2318">
            <v>1</v>
          </cell>
          <cell r="K2318">
            <v>0</v>
          </cell>
          <cell r="L2318">
            <v>0</v>
          </cell>
        </row>
        <row r="2319">
          <cell r="B2319">
            <v>1</v>
          </cell>
          <cell r="K2319">
            <v>0</v>
          </cell>
          <cell r="L2319">
            <v>0</v>
          </cell>
        </row>
        <row r="2320">
          <cell r="B2320">
            <v>1</v>
          </cell>
          <cell r="K2320">
            <v>0</v>
          </cell>
          <cell r="L2320">
            <v>0</v>
          </cell>
        </row>
        <row r="2321">
          <cell r="B2321">
            <v>1</v>
          </cell>
          <cell r="K2321">
            <v>0</v>
          </cell>
          <cell r="L2321">
            <v>0</v>
          </cell>
        </row>
        <row r="2322">
          <cell r="B2322">
            <v>1</v>
          </cell>
          <cell r="K2322">
            <v>0</v>
          </cell>
          <cell r="L2322">
            <v>0</v>
          </cell>
        </row>
        <row r="2323">
          <cell r="B2323">
            <v>1</v>
          </cell>
          <cell r="K2323">
            <v>0</v>
          </cell>
          <cell r="L2323">
            <v>0</v>
          </cell>
        </row>
        <row r="2324">
          <cell r="B2324">
            <v>1</v>
          </cell>
          <cell r="K2324">
            <v>0</v>
          </cell>
          <cell r="L2324">
            <v>0</v>
          </cell>
        </row>
        <row r="2325">
          <cell r="B2325">
            <v>1</v>
          </cell>
          <cell r="K2325">
            <v>0</v>
          </cell>
          <cell r="L2325">
            <v>0</v>
          </cell>
        </row>
        <row r="2326">
          <cell r="B2326">
            <v>1</v>
          </cell>
          <cell r="K2326">
            <v>0</v>
          </cell>
          <cell r="L2326">
            <v>0</v>
          </cell>
        </row>
        <row r="2327">
          <cell r="B2327">
            <v>1</v>
          </cell>
          <cell r="K2327">
            <v>0</v>
          </cell>
          <cell r="L2327">
            <v>0</v>
          </cell>
        </row>
        <row r="2328">
          <cell r="B2328">
            <v>1</v>
          </cell>
          <cell r="K2328">
            <v>0</v>
          </cell>
          <cell r="L2328">
            <v>0</v>
          </cell>
        </row>
        <row r="2329">
          <cell r="B2329">
            <v>1</v>
          </cell>
          <cell r="K2329">
            <v>0</v>
          </cell>
          <cell r="L2329">
            <v>0</v>
          </cell>
        </row>
        <row r="2330">
          <cell r="B2330">
            <v>1</v>
          </cell>
          <cell r="K2330">
            <v>0</v>
          </cell>
          <cell r="L2330">
            <v>0</v>
          </cell>
        </row>
        <row r="2331">
          <cell r="B2331">
            <v>1</v>
          </cell>
          <cell r="K2331">
            <v>0</v>
          </cell>
          <cell r="L2331">
            <v>0</v>
          </cell>
        </row>
        <row r="2332">
          <cell r="B2332">
            <v>1</v>
          </cell>
          <cell r="K2332">
            <v>0</v>
          </cell>
          <cell r="L2332">
            <v>0</v>
          </cell>
        </row>
        <row r="2333">
          <cell r="B2333">
            <v>1</v>
          </cell>
          <cell r="K2333">
            <v>0</v>
          </cell>
          <cell r="L2333">
            <v>0</v>
          </cell>
        </row>
        <row r="2334">
          <cell r="B2334">
            <v>1</v>
          </cell>
          <cell r="K2334">
            <v>0</v>
          </cell>
          <cell r="L2334">
            <v>0</v>
          </cell>
        </row>
        <row r="2335">
          <cell r="B2335">
            <v>1</v>
          </cell>
          <cell r="K2335">
            <v>0</v>
          </cell>
          <cell r="L2335">
            <v>0</v>
          </cell>
        </row>
        <row r="2336">
          <cell r="B2336">
            <v>1</v>
          </cell>
          <cell r="K2336">
            <v>0</v>
          </cell>
          <cell r="L2336">
            <v>0</v>
          </cell>
        </row>
        <row r="2337">
          <cell r="B2337">
            <v>1</v>
          </cell>
          <cell r="K2337">
            <v>0</v>
          </cell>
          <cell r="L2337">
            <v>0</v>
          </cell>
        </row>
        <row r="2338">
          <cell r="B2338">
            <v>1</v>
          </cell>
          <cell r="K2338">
            <v>0</v>
          </cell>
          <cell r="L2338">
            <v>0</v>
          </cell>
        </row>
        <row r="2339">
          <cell r="B2339">
            <v>1</v>
          </cell>
          <cell r="K2339">
            <v>0</v>
          </cell>
          <cell r="L2339">
            <v>0</v>
          </cell>
        </row>
        <row r="2340">
          <cell r="B2340">
            <v>1</v>
          </cell>
          <cell r="K2340">
            <v>0</v>
          </cell>
          <cell r="L2340">
            <v>0</v>
          </cell>
        </row>
        <row r="2341">
          <cell r="B2341">
            <v>1</v>
          </cell>
          <cell r="K2341">
            <v>0</v>
          </cell>
          <cell r="L2341">
            <v>0</v>
          </cell>
        </row>
        <row r="2342">
          <cell r="B2342">
            <v>1</v>
          </cell>
          <cell r="K2342">
            <v>0</v>
          </cell>
          <cell r="L2342">
            <v>0</v>
          </cell>
        </row>
        <row r="2343">
          <cell r="B2343">
            <v>1</v>
          </cell>
          <cell r="K2343">
            <v>0</v>
          </cell>
          <cell r="L2343">
            <v>0</v>
          </cell>
        </row>
        <row r="2344">
          <cell r="B2344">
            <v>1</v>
          </cell>
          <cell r="K2344">
            <v>0</v>
          </cell>
          <cell r="L2344">
            <v>0</v>
          </cell>
        </row>
        <row r="2345">
          <cell r="B2345">
            <v>1</v>
          </cell>
          <cell r="K2345">
            <v>0</v>
          </cell>
          <cell r="L2345">
            <v>0</v>
          </cell>
        </row>
        <row r="2346">
          <cell r="B2346">
            <v>1</v>
          </cell>
          <cell r="K2346">
            <v>0</v>
          </cell>
          <cell r="L2346">
            <v>0</v>
          </cell>
        </row>
        <row r="2347">
          <cell r="B2347">
            <v>1</v>
          </cell>
          <cell r="K2347">
            <v>0</v>
          </cell>
          <cell r="L2347">
            <v>0</v>
          </cell>
        </row>
        <row r="2348">
          <cell r="B2348">
            <v>1</v>
          </cell>
          <cell r="K2348">
            <v>0</v>
          </cell>
          <cell r="L2348">
            <v>0</v>
          </cell>
        </row>
        <row r="2349">
          <cell r="B2349">
            <v>1</v>
          </cell>
          <cell r="K2349">
            <v>0</v>
          </cell>
          <cell r="L2349">
            <v>0</v>
          </cell>
        </row>
        <row r="2350">
          <cell r="B2350">
            <v>1</v>
          </cell>
          <cell r="K2350">
            <v>0</v>
          </cell>
          <cell r="L2350">
            <v>0</v>
          </cell>
        </row>
        <row r="2351">
          <cell r="B2351">
            <v>1</v>
          </cell>
          <cell r="K2351">
            <v>0</v>
          </cell>
          <cell r="L2351">
            <v>0</v>
          </cell>
        </row>
        <row r="2352">
          <cell r="B2352">
            <v>1</v>
          </cell>
          <cell r="K2352">
            <v>0</v>
          </cell>
          <cell r="L2352">
            <v>0</v>
          </cell>
        </row>
        <row r="2353">
          <cell r="B2353">
            <v>1</v>
          </cell>
          <cell r="K2353">
            <v>0</v>
          </cell>
          <cell r="L2353">
            <v>0</v>
          </cell>
        </row>
        <row r="2354">
          <cell r="B2354">
            <v>1</v>
          </cell>
          <cell r="K2354">
            <v>0</v>
          </cell>
          <cell r="L2354">
            <v>0</v>
          </cell>
        </row>
        <row r="2355">
          <cell r="B2355">
            <v>1</v>
          </cell>
          <cell r="K2355">
            <v>0</v>
          </cell>
          <cell r="L2355">
            <v>0</v>
          </cell>
        </row>
        <row r="2356">
          <cell r="B2356">
            <v>1</v>
          </cell>
          <cell r="K2356">
            <v>0</v>
          </cell>
          <cell r="L2356">
            <v>0</v>
          </cell>
        </row>
        <row r="2357">
          <cell r="B2357">
            <v>1</v>
          </cell>
          <cell r="K2357">
            <v>0</v>
          </cell>
          <cell r="L2357">
            <v>0</v>
          </cell>
        </row>
        <row r="2358">
          <cell r="B2358">
            <v>1</v>
          </cell>
          <cell r="K2358">
            <v>0</v>
          </cell>
          <cell r="L2358">
            <v>0</v>
          </cell>
        </row>
        <row r="2359">
          <cell r="B2359">
            <v>1</v>
          </cell>
          <cell r="K2359">
            <v>0</v>
          </cell>
          <cell r="L2359">
            <v>0</v>
          </cell>
        </row>
        <row r="2360">
          <cell r="B2360">
            <v>1</v>
          </cell>
          <cell r="K2360">
            <v>0</v>
          </cell>
          <cell r="L2360">
            <v>0</v>
          </cell>
        </row>
        <row r="2361">
          <cell r="B2361">
            <v>1</v>
          </cell>
          <cell r="K2361">
            <v>0</v>
          </cell>
          <cell r="L2361">
            <v>0</v>
          </cell>
        </row>
        <row r="2362">
          <cell r="B2362">
            <v>1</v>
          </cell>
          <cell r="K2362">
            <v>0</v>
          </cell>
          <cell r="L2362">
            <v>0</v>
          </cell>
        </row>
        <row r="2363">
          <cell r="B2363">
            <v>1</v>
          </cell>
          <cell r="K2363">
            <v>0</v>
          </cell>
          <cell r="L2363">
            <v>0</v>
          </cell>
        </row>
        <row r="2364">
          <cell r="B2364">
            <v>1</v>
          </cell>
          <cell r="K2364">
            <v>0</v>
          </cell>
          <cell r="L2364">
            <v>0</v>
          </cell>
        </row>
        <row r="2365">
          <cell r="B2365">
            <v>1</v>
          </cell>
          <cell r="K2365">
            <v>0</v>
          </cell>
          <cell r="L2365">
            <v>0</v>
          </cell>
        </row>
        <row r="2366">
          <cell r="B2366">
            <v>1</v>
          </cell>
          <cell r="K2366">
            <v>0</v>
          </cell>
          <cell r="L2366">
            <v>0</v>
          </cell>
        </row>
        <row r="2367">
          <cell r="B2367">
            <v>1</v>
          </cell>
          <cell r="K2367">
            <v>0</v>
          </cell>
          <cell r="L2367">
            <v>0</v>
          </cell>
        </row>
        <row r="2368">
          <cell r="B2368">
            <v>1</v>
          </cell>
          <cell r="K2368">
            <v>0</v>
          </cell>
          <cell r="L2368">
            <v>0</v>
          </cell>
        </row>
        <row r="2369">
          <cell r="B2369">
            <v>1</v>
          </cell>
          <cell r="K2369">
            <v>0</v>
          </cell>
          <cell r="L2369">
            <v>0</v>
          </cell>
        </row>
        <row r="2370">
          <cell r="B2370">
            <v>1</v>
          </cell>
          <cell r="K2370">
            <v>0</v>
          </cell>
          <cell r="L2370">
            <v>0</v>
          </cell>
        </row>
        <row r="2371">
          <cell r="B2371">
            <v>1</v>
          </cell>
          <cell r="K2371">
            <v>0</v>
          </cell>
          <cell r="L2371">
            <v>0</v>
          </cell>
        </row>
        <row r="2372">
          <cell r="B2372">
            <v>1</v>
          </cell>
          <cell r="K2372">
            <v>0</v>
          </cell>
          <cell r="L2372">
            <v>0</v>
          </cell>
        </row>
        <row r="2373">
          <cell r="B2373">
            <v>1</v>
          </cell>
          <cell r="K2373">
            <v>0</v>
          </cell>
          <cell r="L2373">
            <v>0</v>
          </cell>
        </row>
        <row r="2374">
          <cell r="B2374">
            <v>1</v>
          </cell>
          <cell r="K2374">
            <v>0</v>
          </cell>
          <cell r="L2374">
            <v>0</v>
          </cell>
        </row>
        <row r="2375">
          <cell r="B2375">
            <v>1</v>
          </cell>
          <cell r="K2375">
            <v>0</v>
          </cell>
          <cell r="L2375">
            <v>0</v>
          </cell>
        </row>
        <row r="2376">
          <cell r="B2376">
            <v>1</v>
          </cell>
          <cell r="K2376">
            <v>0</v>
          </cell>
          <cell r="L2376">
            <v>0</v>
          </cell>
        </row>
        <row r="2377">
          <cell r="B2377">
            <v>1</v>
          </cell>
          <cell r="K2377">
            <v>0</v>
          </cell>
          <cell r="L2377">
            <v>0</v>
          </cell>
        </row>
        <row r="2378">
          <cell r="B2378">
            <v>1</v>
          </cell>
          <cell r="K2378">
            <v>0</v>
          </cell>
          <cell r="L2378">
            <v>0</v>
          </cell>
        </row>
        <row r="2379">
          <cell r="B2379">
            <v>1</v>
          </cell>
          <cell r="K2379">
            <v>0</v>
          </cell>
          <cell r="L2379">
            <v>0</v>
          </cell>
        </row>
        <row r="2380">
          <cell r="B2380">
            <v>1</v>
          </cell>
        </row>
        <row r="2381">
          <cell r="B2381">
            <v>1</v>
          </cell>
        </row>
        <row r="2382">
          <cell r="B2382">
            <v>1</v>
          </cell>
        </row>
        <row r="2383">
          <cell r="B2383">
            <v>1</v>
          </cell>
        </row>
        <row r="2384">
          <cell r="B2384">
            <v>1</v>
          </cell>
        </row>
        <row r="2385">
          <cell r="B2385">
            <v>1</v>
          </cell>
        </row>
        <row r="2386">
          <cell r="B2386">
            <v>1</v>
          </cell>
        </row>
        <row r="2387">
          <cell r="B2387">
            <v>1</v>
          </cell>
        </row>
        <row r="2388">
          <cell r="B2388">
            <v>1</v>
          </cell>
        </row>
        <row r="2389">
          <cell r="B2389">
            <v>1</v>
          </cell>
        </row>
        <row r="2390">
          <cell r="B2390">
            <v>1</v>
          </cell>
        </row>
        <row r="2391">
          <cell r="B2391">
            <v>1</v>
          </cell>
        </row>
        <row r="2392">
          <cell r="B2392">
            <v>1</v>
          </cell>
        </row>
        <row r="2393">
          <cell r="B2393">
            <v>1</v>
          </cell>
        </row>
        <row r="2394">
          <cell r="B2394">
            <v>1</v>
          </cell>
        </row>
        <row r="2395">
          <cell r="B2395">
            <v>1</v>
          </cell>
        </row>
        <row r="2396">
          <cell r="B2396">
            <v>1</v>
          </cell>
        </row>
        <row r="2397">
          <cell r="B2397">
            <v>1</v>
          </cell>
        </row>
        <row r="2398">
          <cell r="B2398">
            <v>1</v>
          </cell>
        </row>
        <row r="2399">
          <cell r="B2399">
            <v>1</v>
          </cell>
        </row>
        <row r="2400">
          <cell r="B2400">
            <v>1</v>
          </cell>
        </row>
        <row r="2401">
          <cell r="B2401">
            <v>1</v>
          </cell>
        </row>
        <row r="2402">
          <cell r="B2402">
            <v>1</v>
          </cell>
        </row>
        <row r="2403">
          <cell r="B2403">
            <v>1</v>
          </cell>
        </row>
        <row r="2404">
          <cell r="B2404">
            <v>1</v>
          </cell>
        </row>
        <row r="2405">
          <cell r="B2405">
            <v>1</v>
          </cell>
        </row>
        <row r="2406">
          <cell r="B2406">
            <v>1</v>
          </cell>
        </row>
        <row r="2407">
          <cell r="B2407">
            <v>1</v>
          </cell>
        </row>
        <row r="2408">
          <cell r="B2408">
            <v>1</v>
          </cell>
        </row>
        <row r="2409">
          <cell r="B2409">
            <v>1</v>
          </cell>
        </row>
        <row r="2410">
          <cell r="B2410">
            <v>1</v>
          </cell>
        </row>
        <row r="2411">
          <cell r="B2411">
            <v>1</v>
          </cell>
        </row>
        <row r="2412">
          <cell r="B2412">
            <v>1</v>
          </cell>
        </row>
        <row r="2413">
          <cell r="B2413">
            <v>1</v>
          </cell>
        </row>
        <row r="2414">
          <cell r="B2414">
            <v>1</v>
          </cell>
        </row>
        <row r="2415">
          <cell r="B2415">
            <v>1</v>
          </cell>
        </row>
        <row r="2416">
          <cell r="B2416">
            <v>1</v>
          </cell>
        </row>
        <row r="2417">
          <cell r="B2417">
            <v>1</v>
          </cell>
        </row>
        <row r="2418">
          <cell r="B2418">
            <v>1</v>
          </cell>
        </row>
        <row r="2419">
          <cell r="B2419">
            <v>1</v>
          </cell>
        </row>
        <row r="2420">
          <cell r="B2420">
            <v>1</v>
          </cell>
        </row>
        <row r="2421">
          <cell r="B2421">
            <v>1</v>
          </cell>
        </row>
        <row r="2422">
          <cell r="B2422">
            <v>1</v>
          </cell>
        </row>
        <row r="2423">
          <cell r="B2423">
            <v>1</v>
          </cell>
        </row>
        <row r="2424">
          <cell r="B2424">
            <v>1</v>
          </cell>
        </row>
        <row r="2425">
          <cell r="B2425">
            <v>1</v>
          </cell>
        </row>
        <row r="2426">
          <cell r="B2426">
            <v>1</v>
          </cell>
        </row>
        <row r="2427">
          <cell r="B2427">
            <v>1</v>
          </cell>
        </row>
        <row r="2428">
          <cell r="B2428">
            <v>1</v>
          </cell>
        </row>
        <row r="2429">
          <cell r="B2429">
            <v>1</v>
          </cell>
        </row>
        <row r="2430">
          <cell r="B2430">
            <v>1</v>
          </cell>
        </row>
        <row r="2431">
          <cell r="B2431">
            <v>1</v>
          </cell>
        </row>
        <row r="2432">
          <cell r="B2432">
            <v>1</v>
          </cell>
        </row>
        <row r="2433">
          <cell r="B2433">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人工费计算表"/>
      <sheetName val="取费标准"/>
      <sheetName val="主材"/>
      <sheetName val="施工附加量"/>
      <sheetName val="清单 (1)"/>
      <sheetName val="清单 (2)"/>
      <sheetName val="清单 (3)"/>
      <sheetName val="清单 (4)"/>
      <sheetName val="清单 (5)"/>
      <sheetName val="清单 (6)"/>
      <sheetName val="清单 (7)"/>
      <sheetName val="清单 (8)"/>
      <sheetName val="清单 (9)"/>
      <sheetName val="清单 (10)"/>
      <sheetName val="清单 (11)"/>
      <sheetName val="汇总表"/>
      <sheetName val="业主提供"/>
      <sheetName val="粗骨料清单"/>
      <sheetName val="钢纤维喷砼"/>
      <sheetName val="工程量清单（土）"/>
      <sheetName val="工程量清单（安）"/>
      <sheetName val="单价分析表"/>
      <sheetName val="总价承包"/>
      <sheetName val="基础"/>
      <sheetName val="Sheet2"/>
      <sheetName val="砼配合比"/>
      <sheetName val="PHB(田)"/>
      <sheetName val="保险"/>
      <sheetName val="台时库 "/>
      <sheetName val="材料库"/>
      <sheetName val="砂石"/>
      <sheetName val="风水电"/>
      <sheetName val="钢管价"/>
      <sheetName val="平均价"/>
      <sheetName val="Sheet3"/>
      <sheetName val="Sheet1"/>
      <sheetName val="概算"/>
      <sheetName val="钢纤维喷砼单价"/>
      <sheetName val="分组报价"/>
      <sheetName val="计日工"/>
      <sheetName val="配合比 (3)"/>
      <sheetName val="配合比 (2)"/>
      <sheetName val="资金流"/>
      <sheetName val="替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6">
          <cell r="L16">
            <v>0.63</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 Progeress  (1)"/>
      <sheetName val="work Progeress  2"/>
      <sheetName val="office work (2)"/>
      <sheetName val="Equipment"/>
      <sheetName val=" TABLE  "/>
      <sheetName val="Contractual matters"/>
      <sheetName val="Problem Encounter "/>
      <sheetName val="General Information"/>
      <sheetName val="Detail 2"/>
      <sheetName val="Progress (2)"/>
      <sheetName val="Progress "/>
      <sheetName val="Design status (2)"/>
      <sheetName val="structure plan (2)"/>
      <sheetName val="earthwaork and machinary plan"/>
      <sheetName val="Structure cons. summary (2)"/>
      <sheetName val="STORE BALANCE(2)"/>
      <sheetName val="Structural  (2)"/>
      <sheetName val="Contractors"/>
      <sheetName val="Labratory "/>
      <sheetName val="Surveyor"/>
      <sheetName val="Machinary "/>
      <sheetName val="Earth work "/>
      <sheetName val="Status"/>
      <sheetName val="Detail"/>
      <sheetName val="Earth Work (2)"/>
      <sheetName val="1-b Income VS Expence"/>
      <sheetName val="Status 2"/>
      <sheetName val="1-C Graphical Update"/>
      <sheetName val="Equpiment demand"/>
      <sheetName val="BOQ Summary"/>
      <sheetName val="Activity"/>
      <sheetName val="Detail financial"/>
      <sheetName val="Work Load by Bill item"/>
      <sheetName val="Next week plan"/>
      <sheetName val="2-Plan vs Executed  "/>
      <sheetName val="Crew formation "/>
      <sheetName val="4-1 Man power Expense"/>
      <sheetName val="Material"/>
      <sheetName val="OID Weekly"/>
      <sheetName val="4-3 Equipment Rent"/>
      <sheetName val="Feul Eva."/>
      <sheetName val="FUEL Eva"/>
      <sheetName val="Fuel cost"/>
      <sheetName val="7-Rental damp truck "/>
      <sheetName val="RDT total damp quan"/>
      <sheetName val="8-OWN DT Hauling"/>
      <sheetName val="Store Expense"/>
      <sheetName val="indirect and direct  Man Power"/>
      <sheetName val="Direct Man Power"/>
      <sheetName val="Structure"/>
      <sheetName val="Act.Brea.Down Total"/>
      <sheetName val="Sum- Time"/>
      <sheetName val="Sum-Inc &amp; PC"/>
      <sheetName val="Descr.1"/>
      <sheetName val="Sm Act 1"/>
      <sheetName val="Desc.r2"/>
      <sheetName val="Work Exe."/>
      <sheetName val="Descr. 3"/>
      <sheetName val="Descr. 4"/>
      <sheetName val="Descr. 5"/>
      <sheetName val="Descr. 7"/>
      <sheetName val="Descr. 6"/>
      <sheetName val="Sum Inc EQ"/>
      <sheetName val="Others"/>
      <sheetName val="Sum fuel"/>
      <sheetName val="Camp facility"/>
      <sheetName val="Admin D.L"/>
      <sheetName val="Material D.L"/>
      <sheetName val="Structure D.L"/>
      <sheetName val="Surveyor D.L"/>
      <sheetName val="Earth Work"/>
      <sheetName val="Equi &amp; Maintenance"/>
      <sheetName val="Descr.8"/>
      <sheetName val="sm eq"/>
      <sheetName val="sm Fuel"/>
      <sheetName val="sm Lub"/>
      <sheetName val="sm Spare"/>
      <sheetName val="Sum sk lab"/>
      <sheetName val="Sum Inc Lab"/>
      <sheetName val="Con.mat"/>
      <sheetName val="OT(Beza)(w28)"/>
      <sheetName val="Exep."/>
      <sheetName val="Prog Eva.(W28)"/>
      <sheetName val="Descr. 9"/>
      <sheetName val="Plan 4"/>
      <sheetName val="Plan 3"/>
      <sheetName val="Bitumen Escalation"/>
      <sheetName val="expence others"/>
      <sheetName val="Sheet1"/>
      <sheetName val="Sheet2"/>
      <sheetName val="Sheet3"/>
      <sheetName val="Sheet4"/>
      <sheetName val="Sheet6"/>
      <sheetName val="Sheet7"/>
      <sheetName val="Sheet5"/>
      <sheetName val="Sheet9"/>
      <sheetName val="Sheet8"/>
      <sheetName val="Manpower"/>
      <sheetName val="Rental damp truck "/>
      <sheetName val="Sheet11"/>
      <sheetName val="Sheet12"/>
      <sheetName val="Sheet10"/>
      <sheetName val="Template status"/>
      <sheetName val="Box or slab  culvert"/>
      <sheetName val="Pipe Culvert"/>
      <sheetName val="Perma Manpower (2)"/>
      <sheetName val="DL (2)"/>
      <sheetName val="Perma Manpower"/>
    </sheetNames>
    <sheetDataSet>
      <sheetData sheetId="0" refreshError="1"/>
      <sheetData sheetId="1" refreshError="1"/>
      <sheetData sheetId="2" refreshError="1"/>
      <sheetData sheetId="3" refreshError="1"/>
      <sheetData sheetId="4" refreshError="1"/>
      <sheetData sheetId="5" refreshError="1">
        <row r="6">
          <cell r="A6" t="str">
            <v>Week period from______ To _________</v>
          </cell>
        </row>
      </sheetData>
      <sheetData sheetId="6" refreshError="1"/>
      <sheetData sheetId="7" refreshError="1">
        <row r="3">
          <cell r="A3" t="str">
            <v>Week period from______ To _________</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4">
          <cell r="B4" t="str">
            <v>Week period from______ To _________</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4">
          <cell r="A4" t="str">
            <v>Week period from______ To _________</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emf"/><Relationship Id="rId4" Type="http://schemas.openxmlformats.org/officeDocument/2006/relationships/oleObject" Target="../embeddings/oleObject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1.emf"/><Relationship Id="rId4" Type="http://schemas.openxmlformats.org/officeDocument/2006/relationships/oleObject" Target="../embeddings/oleObject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oleObject" Target="../embeddings/oleObject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openxmlformats.org/officeDocument/2006/relationships/image" Target="../media/image1.emf"/><Relationship Id="rId4" Type="http://schemas.openxmlformats.org/officeDocument/2006/relationships/oleObject" Target="../embeddings/oleObject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openxmlformats.org/officeDocument/2006/relationships/image" Target="../media/image1.emf"/><Relationship Id="rId4" Type="http://schemas.openxmlformats.org/officeDocument/2006/relationships/oleObject" Target="../embeddings/oleObject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openxmlformats.org/officeDocument/2006/relationships/image" Target="../media/image1.emf"/><Relationship Id="rId4" Type="http://schemas.openxmlformats.org/officeDocument/2006/relationships/oleObject" Target="../embeddings/oleObject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6" Type="http://schemas.openxmlformats.org/officeDocument/2006/relationships/oleObject" Target="../embeddings/oleObject16.bin"/><Relationship Id="rId5" Type="http://schemas.openxmlformats.org/officeDocument/2006/relationships/image" Target="../media/image1.emf"/><Relationship Id="rId4" Type="http://schemas.openxmlformats.org/officeDocument/2006/relationships/oleObject" Target="../embeddings/oleObject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openxmlformats.org/officeDocument/2006/relationships/image" Target="../media/image1.emf"/><Relationship Id="rId4" Type="http://schemas.openxmlformats.org/officeDocument/2006/relationships/oleObject" Target="../embeddings/oleObject17.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image" Target="../media/image1.emf"/><Relationship Id="rId4" Type="http://schemas.openxmlformats.org/officeDocument/2006/relationships/oleObject" Target="../embeddings/oleObject18.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 Id="rId5" Type="http://schemas.openxmlformats.org/officeDocument/2006/relationships/image" Target="../media/image1.emf"/><Relationship Id="rId4" Type="http://schemas.openxmlformats.org/officeDocument/2006/relationships/oleObject" Target="../embeddings/oleObject19.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 Id="rId5" Type="http://schemas.openxmlformats.org/officeDocument/2006/relationships/image" Target="../media/image1.emf"/><Relationship Id="rId4" Type="http://schemas.openxmlformats.org/officeDocument/2006/relationships/oleObject" Target="../embeddings/oleObject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6"/>
  <sheetViews>
    <sheetView view="pageBreakPreview" workbookViewId="0">
      <selection activeCell="G2" sqref="G2"/>
    </sheetView>
  </sheetViews>
  <sheetFormatPr defaultRowHeight="15"/>
  <cols>
    <col min="1" max="1" width="4.140625" style="224" customWidth="1"/>
    <col min="2" max="2" width="8.140625" style="224" customWidth="1"/>
    <col min="3" max="3" width="6.5703125" style="224" customWidth="1"/>
    <col min="4" max="4" width="10.5703125" style="224" customWidth="1"/>
    <col min="5" max="5" width="40.7109375" style="224" customWidth="1"/>
    <col min="6" max="6" width="17.28515625" style="224" customWidth="1"/>
    <col min="7" max="7" width="1.85546875" style="224" customWidth="1"/>
    <col min="8" max="242" width="9.140625" style="224"/>
    <col min="243" max="243" width="4.140625" style="224" customWidth="1"/>
    <col min="244" max="244" width="8.140625" style="224" customWidth="1"/>
    <col min="245" max="245" width="6.5703125" style="224" customWidth="1"/>
    <col min="246" max="246" width="10.5703125" style="224" customWidth="1"/>
    <col min="247" max="247" width="55.140625" style="224" customWidth="1"/>
    <col min="248" max="248" width="8.7109375" style="224" customWidth="1"/>
    <col min="249" max="249" width="0" style="224" hidden="1" customWidth="1"/>
    <col min="250" max="252" width="9.140625" style="224"/>
    <col min="253" max="253" width="10.42578125" style="224" bestFit="1" customWidth="1"/>
    <col min="254" max="255" width="9.140625" style="224"/>
    <col min="256" max="256" width="10.42578125" style="224" bestFit="1" customWidth="1"/>
    <col min="257" max="498" width="9.140625" style="224"/>
    <col min="499" max="499" width="4.140625" style="224" customWidth="1"/>
    <col min="500" max="500" width="8.140625" style="224" customWidth="1"/>
    <col min="501" max="501" width="6.5703125" style="224" customWidth="1"/>
    <col min="502" max="502" width="10.5703125" style="224" customWidth="1"/>
    <col min="503" max="503" width="55.140625" style="224" customWidth="1"/>
    <col min="504" max="504" width="8.7109375" style="224" customWidth="1"/>
    <col min="505" max="505" width="0" style="224" hidden="1" customWidth="1"/>
    <col min="506" max="508" width="9.140625" style="224"/>
    <col min="509" max="509" width="10.42578125" style="224" bestFit="1" customWidth="1"/>
    <col min="510" max="511" width="9.140625" style="224"/>
    <col min="512" max="512" width="10.42578125" style="224" bestFit="1" customWidth="1"/>
    <col min="513" max="754" width="9.140625" style="224"/>
    <col min="755" max="755" width="4.140625" style="224" customWidth="1"/>
    <col min="756" max="756" width="8.140625" style="224" customWidth="1"/>
    <col min="757" max="757" width="6.5703125" style="224" customWidth="1"/>
    <col min="758" max="758" width="10.5703125" style="224" customWidth="1"/>
    <col min="759" max="759" width="55.140625" style="224" customWidth="1"/>
    <col min="760" max="760" width="8.7109375" style="224" customWidth="1"/>
    <col min="761" max="761" width="0" style="224" hidden="1" customWidth="1"/>
    <col min="762" max="764" width="9.140625" style="224"/>
    <col min="765" max="765" width="10.42578125" style="224" bestFit="1" customWidth="1"/>
    <col min="766" max="767" width="9.140625" style="224"/>
    <col min="768" max="768" width="10.42578125" style="224" bestFit="1" customWidth="1"/>
    <col min="769" max="1010" width="9.140625" style="224"/>
    <col min="1011" max="1011" width="4.140625" style="224" customWidth="1"/>
    <col min="1012" max="1012" width="8.140625" style="224" customWidth="1"/>
    <col min="1013" max="1013" width="6.5703125" style="224" customWidth="1"/>
    <col min="1014" max="1014" width="10.5703125" style="224" customWidth="1"/>
    <col min="1015" max="1015" width="55.140625" style="224" customWidth="1"/>
    <col min="1016" max="1016" width="8.7109375" style="224" customWidth="1"/>
    <col min="1017" max="1017" width="0" style="224" hidden="1" customWidth="1"/>
    <col min="1018" max="1020" width="9.140625" style="224"/>
    <col min="1021" max="1021" width="10.42578125" style="224" bestFit="1" customWidth="1"/>
    <col min="1022" max="1023" width="9.140625" style="224"/>
    <col min="1024" max="1024" width="10.42578125" style="224" bestFit="1" customWidth="1"/>
    <col min="1025" max="1266" width="9.140625" style="224"/>
    <col min="1267" max="1267" width="4.140625" style="224" customWidth="1"/>
    <col min="1268" max="1268" width="8.140625" style="224" customWidth="1"/>
    <col min="1269" max="1269" width="6.5703125" style="224" customWidth="1"/>
    <col min="1270" max="1270" width="10.5703125" style="224" customWidth="1"/>
    <col min="1271" max="1271" width="55.140625" style="224" customWidth="1"/>
    <col min="1272" max="1272" width="8.7109375" style="224" customWidth="1"/>
    <col min="1273" max="1273" width="0" style="224" hidden="1" customWidth="1"/>
    <col min="1274" max="1276" width="9.140625" style="224"/>
    <col min="1277" max="1277" width="10.42578125" style="224" bestFit="1" customWidth="1"/>
    <col min="1278" max="1279" width="9.140625" style="224"/>
    <col min="1280" max="1280" width="10.42578125" style="224" bestFit="1" customWidth="1"/>
    <col min="1281" max="1522" width="9.140625" style="224"/>
    <col min="1523" max="1523" width="4.140625" style="224" customWidth="1"/>
    <col min="1524" max="1524" width="8.140625" style="224" customWidth="1"/>
    <col min="1525" max="1525" width="6.5703125" style="224" customWidth="1"/>
    <col min="1526" max="1526" width="10.5703125" style="224" customWidth="1"/>
    <col min="1527" max="1527" width="55.140625" style="224" customWidth="1"/>
    <col min="1528" max="1528" width="8.7109375" style="224" customWidth="1"/>
    <col min="1529" max="1529" width="0" style="224" hidden="1" customWidth="1"/>
    <col min="1530" max="1532" width="9.140625" style="224"/>
    <col min="1533" max="1533" width="10.42578125" style="224" bestFit="1" customWidth="1"/>
    <col min="1534" max="1535" width="9.140625" style="224"/>
    <col min="1536" max="1536" width="10.42578125" style="224" bestFit="1" customWidth="1"/>
    <col min="1537" max="1778" width="9.140625" style="224"/>
    <col min="1779" max="1779" width="4.140625" style="224" customWidth="1"/>
    <col min="1780" max="1780" width="8.140625" style="224" customWidth="1"/>
    <col min="1781" max="1781" width="6.5703125" style="224" customWidth="1"/>
    <col min="1782" max="1782" width="10.5703125" style="224" customWidth="1"/>
    <col min="1783" max="1783" width="55.140625" style="224" customWidth="1"/>
    <col min="1784" max="1784" width="8.7109375" style="224" customWidth="1"/>
    <col min="1785" max="1785" width="0" style="224" hidden="1" customWidth="1"/>
    <col min="1786" max="1788" width="9.140625" style="224"/>
    <col min="1789" max="1789" width="10.42578125" style="224" bestFit="1" customWidth="1"/>
    <col min="1790" max="1791" width="9.140625" style="224"/>
    <col min="1792" max="1792" width="10.42578125" style="224" bestFit="1" customWidth="1"/>
    <col min="1793" max="2034" width="9.140625" style="224"/>
    <col min="2035" max="2035" width="4.140625" style="224" customWidth="1"/>
    <col min="2036" max="2036" width="8.140625" style="224" customWidth="1"/>
    <col min="2037" max="2037" width="6.5703125" style="224" customWidth="1"/>
    <col min="2038" max="2038" width="10.5703125" style="224" customWidth="1"/>
    <col min="2039" max="2039" width="55.140625" style="224" customWidth="1"/>
    <col min="2040" max="2040" width="8.7109375" style="224" customWidth="1"/>
    <col min="2041" max="2041" width="0" style="224" hidden="1" customWidth="1"/>
    <col min="2042" max="2044" width="9.140625" style="224"/>
    <col min="2045" max="2045" width="10.42578125" style="224" bestFit="1" customWidth="1"/>
    <col min="2046" max="2047" width="9.140625" style="224"/>
    <col min="2048" max="2048" width="10.42578125" style="224" bestFit="1" customWidth="1"/>
    <col min="2049" max="2290" width="9.140625" style="224"/>
    <col min="2291" max="2291" width="4.140625" style="224" customWidth="1"/>
    <col min="2292" max="2292" width="8.140625" style="224" customWidth="1"/>
    <col min="2293" max="2293" width="6.5703125" style="224" customWidth="1"/>
    <col min="2294" max="2294" width="10.5703125" style="224" customWidth="1"/>
    <col min="2295" max="2295" width="55.140625" style="224" customWidth="1"/>
    <col min="2296" max="2296" width="8.7109375" style="224" customWidth="1"/>
    <col min="2297" max="2297" width="0" style="224" hidden="1" customWidth="1"/>
    <col min="2298" max="2300" width="9.140625" style="224"/>
    <col min="2301" max="2301" width="10.42578125" style="224" bestFit="1" customWidth="1"/>
    <col min="2302" max="2303" width="9.140625" style="224"/>
    <col min="2304" max="2304" width="10.42578125" style="224" bestFit="1" customWidth="1"/>
    <col min="2305" max="2546" width="9.140625" style="224"/>
    <col min="2547" max="2547" width="4.140625" style="224" customWidth="1"/>
    <col min="2548" max="2548" width="8.140625" style="224" customWidth="1"/>
    <col min="2549" max="2549" width="6.5703125" style="224" customWidth="1"/>
    <col min="2550" max="2550" width="10.5703125" style="224" customWidth="1"/>
    <col min="2551" max="2551" width="55.140625" style="224" customWidth="1"/>
    <col min="2552" max="2552" width="8.7109375" style="224" customWidth="1"/>
    <col min="2553" max="2553" width="0" style="224" hidden="1" customWidth="1"/>
    <col min="2554" max="2556" width="9.140625" style="224"/>
    <col min="2557" max="2557" width="10.42578125" style="224" bestFit="1" customWidth="1"/>
    <col min="2558" max="2559" width="9.140625" style="224"/>
    <col min="2560" max="2560" width="10.42578125" style="224" bestFit="1" customWidth="1"/>
    <col min="2561" max="2802" width="9.140625" style="224"/>
    <col min="2803" max="2803" width="4.140625" style="224" customWidth="1"/>
    <col min="2804" max="2804" width="8.140625" style="224" customWidth="1"/>
    <col min="2805" max="2805" width="6.5703125" style="224" customWidth="1"/>
    <col min="2806" max="2806" width="10.5703125" style="224" customWidth="1"/>
    <col min="2807" max="2807" width="55.140625" style="224" customWidth="1"/>
    <col min="2808" max="2808" width="8.7109375" style="224" customWidth="1"/>
    <col min="2809" max="2809" width="0" style="224" hidden="1" customWidth="1"/>
    <col min="2810" max="2812" width="9.140625" style="224"/>
    <col min="2813" max="2813" width="10.42578125" style="224" bestFit="1" customWidth="1"/>
    <col min="2814" max="2815" width="9.140625" style="224"/>
    <col min="2816" max="2816" width="10.42578125" style="224" bestFit="1" customWidth="1"/>
    <col min="2817" max="3058" width="9.140625" style="224"/>
    <col min="3059" max="3059" width="4.140625" style="224" customWidth="1"/>
    <col min="3060" max="3060" width="8.140625" style="224" customWidth="1"/>
    <col min="3061" max="3061" width="6.5703125" style="224" customWidth="1"/>
    <col min="3062" max="3062" width="10.5703125" style="224" customWidth="1"/>
    <col min="3063" max="3063" width="55.140625" style="224" customWidth="1"/>
    <col min="3064" max="3064" width="8.7109375" style="224" customWidth="1"/>
    <col min="3065" max="3065" width="0" style="224" hidden="1" customWidth="1"/>
    <col min="3066" max="3068" width="9.140625" style="224"/>
    <col min="3069" max="3069" width="10.42578125" style="224" bestFit="1" customWidth="1"/>
    <col min="3070" max="3071" width="9.140625" style="224"/>
    <col min="3072" max="3072" width="10.42578125" style="224" bestFit="1" customWidth="1"/>
    <col min="3073" max="3314" width="9.140625" style="224"/>
    <col min="3315" max="3315" width="4.140625" style="224" customWidth="1"/>
    <col min="3316" max="3316" width="8.140625" style="224" customWidth="1"/>
    <col min="3317" max="3317" width="6.5703125" style="224" customWidth="1"/>
    <col min="3318" max="3318" width="10.5703125" style="224" customWidth="1"/>
    <col min="3319" max="3319" width="55.140625" style="224" customWidth="1"/>
    <col min="3320" max="3320" width="8.7109375" style="224" customWidth="1"/>
    <col min="3321" max="3321" width="0" style="224" hidden="1" customWidth="1"/>
    <col min="3322" max="3324" width="9.140625" style="224"/>
    <col min="3325" max="3325" width="10.42578125" style="224" bestFit="1" customWidth="1"/>
    <col min="3326" max="3327" width="9.140625" style="224"/>
    <col min="3328" max="3328" width="10.42578125" style="224" bestFit="1" customWidth="1"/>
    <col min="3329" max="3570" width="9.140625" style="224"/>
    <col min="3571" max="3571" width="4.140625" style="224" customWidth="1"/>
    <col min="3572" max="3572" width="8.140625" style="224" customWidth="1"/>
    <col min="3573" max="3573" width="6.5703125" style="224" customWidth="1"/>
    <col min="3574" max="3574" width="10.5703125" style="224" customWidth="1"/>
    <col min="3575" max="3575" width="55.140625" style="224" customWidth="1"/>
    <col min="3576" max="3576" width="8.7109375" style="224" customWidth="1"/>
    <col min="3577" max="3577" width="0" style="224" hidden="1" customWidth="1"/>
    <col min="3578" max="3580" width="9.140625" style="224"/>
    <col min="3581" max="3581" width="10.42578125" style="224" bestFit="1" customWidth="1"/>
    <col min="3582" max="3583" width="9.140625" style="224"/>
    <col min="3584" max="3584" width="10.42578125" style="224" bestFit="1" customWidth="1"/>
    <col min="3585" max="3826" width="9.140625" style="224"/>
    <col min="3827" max="3827" width="4.140625" style="224" customWidth="1"/>
    <col min="3828" max="3828" width="8.140625" style="224" customWidth="1"/>
    <col min="3829" max="3829" width="6.5703125" style="224" customWidth="1"/>
    <col min="3830" max="3830" width="10.5703125" style="224" customWidth="1"/>
    <col min="3831" max="3831" width="55.140625" style="224" customWidth="1"/>
    <col min="3832" max="3832" width="8.7109375" style="224" customWidth="1"/>
    <col min="3833" max="3833" width="0" style="224" hidden="1" customWidth="1"/>
    <col min="3834" max="3836" width="9.140625" style="224"/>
    <col min="3837" max="3837" width="10.42578125" style="224" bestFit="1" customWidth="1"/>
    <col min="3838" max="3839" width="9.140625" style="224"/>
    <col min="3840" max="3840" width="10.42578125" style="224" bestFit="1" customWidth="1"/>
    <col min="3841" max="4082" width="9.140625" style="224"/>
    <col min="4083" max="4083" width="4.140625" style="224" customWidth="1"/>
    <col min="4084" max="4084" width="8.140625" style="224" customWidth="1"/>
    <col min="4085" max="4085" width="6.5703125" style="224" customWidth="1"/>
    <col min="4086" max="4086" width="10.5703125" style="224" customWidth="1"/>
    <col min="4087" max="4087" width="55.140625" style="224" customWidth="1"/>
    <col min="4088" max="4088" width="8.7109375" style="224" customWidth="1"/>
    <col min="4089" max="4089" width="0" style="224" hidden="1" customWidth="1"/>
    <col min="4090" max="4092" width="9.140625" style="224"/>
    <col min="4093" max="4093" width="10.42578125" style="224" bestFit="1" customWidth="1"/>
    <col min="4094" max="4095" width="9.140625" style="224"/>
    <col min="4096" max="4096" width="10.42578125" style="224" bestFit="1" customWidth="1"/>
    <col min="4097" max="4338" width="9.140625" style="224"/>
    <col min="4339" max="4339" width="4.140625" style="224" customWidth="1"/>
    <col min="4340" max="4340" width="8.140625" style="224" customWidth="1"/>
    <col min="4341" max="4341" width="6.5703125" style="224" customWidth="1"/>
    <col min="4342" max="4342" width="10.5703125" style="224" customWidth="1"/>
    <col min="4343" max="4343" width="55.140625" style="224" customWidth="1"/>
    <col min="4344" max="4344" width="8.7109375" style="224" customWidth="1"/>
    <col min="4345" max="4345" width="0" style="224" hidden="1" customWidth="1"/>
    <col min="4346" max="4348" width="9.140625" style="224"/>
    <col min="4349" max="4349" width="10.42578125" style="224" bestFit="1" customWidth="1"/>
    <col min="4350" max="4351" width="9.140625" style="224"/>
    <col min="4352" max="4352" width="10.42578125" style="224" bestFit="1" customWidth="1"/>
    <col min="4353" max="4594" width="9.140625" style="224"/>
    <col min="4595" max="4595" width="4.140625" style="224" customWidth="1"/>
    <col min="4596" max="4596" width="8.140625" style="224" customWidth="1"/>
    <col min="4597" max="4597" width="6.5703125" style="224" customWidth="1"/>
    <col min="4598" max="4598" width="10.5703125" style="224" customWidth="1"/>
    <col min="4599" max="4599" width="55.140625" style="224" customWidth="1"/>
    <col min="4600" max="4600" width="8.7109375" style="224" customWidth="1"/>
    <col min="4601" max="4601" width="0" style="224" hidden="1" customWidth="1"/>
    <col min="4602" max="4604" width="9.140625" style="224"/>
    <col min="4605" max="4605" width="10.42578125" style="224" bestFit="1" customWidth="1"/>
    <col min="4606" max="4607" width="9.140625" style="224"/>
    <col min="4608" max="4608" width="10.42578125" style="224" bestFit="1" customWidth="1"/>
    <col min="4609" max="4850" width="9.140625" style="224"/>
    <col min="4851" max="4851" width="4.140625" style="224" customWidth="1"/>
    <col min="4852" max="4852" width="8.140625" style="224" customWidth="1"/>
    <col min="4853" max="4853" width="6.5703125" style="224" customWidth="1"/>
    <col min="4854" max="4854" width="10.5703125" style="224" customWidth="1"/>
    <col min="4855" max="4855" width="55.140625" style="224" customWidth="1"/>
    <col min="4856" max="4856" width="8.7109375" style="224" customWidth="1"/>
    <col min="4857" max="4857" width="0" style="224" hidden="1" customWidth="1"/>
    <col min="4858" max="4860" width="9.140625" style="224"/>
    <col min="4861" max="4861" width="10.42578125" style="224" bestFit="1" customWidth="1"/>
    <col min="4862" max="4863" width="9.140625" style="224"/>
    <col min="4864" max="4864" width="10.42578125" style="224" bestFit="1" customWidth="1"/>
    <col min="4865" max="5106" width="9.140625" style="224"/>
    <col min="5107" max="5107" width="4.140625" style="224" customWidth="1"/>
    <col min="5108" max="5108" width="8.140625" style="224" customWidth="1"/>
    <col min="5109" max="5109" width="6.5703125" style="224" customWidth="1"/>
    <col min="5110" max="5110" width="10.5703125" style="224" customWidth="1"/>
    <col min="5111" max="5111" width="55.140625" style="224" customWidth="1"/>
    <col min="5112" max="5112" width="8.7109375" style="224" customWidth="1"/>
    <col min="5113" max="5113" width="0" style="224" hidden="1" customWidth="1"/>
    <col min="5114" max="5116" width="9.140625" style="224"/>
    <col min="5117" max="5117" width="10.42578125" style="224" bestFit="1" customWidth="1"/>
    <col min="5118" max="5119" width="9.140625" style="224"/>
    <col min="5120" max="5120" width="10.42578125" style="224" bestFit="1" customWidth="1"/>
    <col min="5121" max="5362" width="9.140625" style="224"/>
    <col min="5363" max="5363" width="4.140625" style="224" customWidth="1"/>
    <col min="5364" max="5364" width="8.140625" style="224" customWidth="1"/>
    <col min="5365" max="5365" width="6.5703125" style="224" customWidth="1"/>
    <col min="5366" max="5366" width="10.5703125" style="224" customWidth="1"/>
    <col min="5367" max="5367" width="55.140625" style="224" customWidth="1"/>
    <col min="5368" max="5368" width="8.7109375" style="224" customWidth="1"/>
    <col min="5369" max="5369" width="0" style="224" hidden="1" customWidth="1"/>
    <col min="5370" max="5372" width="9.140625" style="224"/>
    <col min="5373" max="5373" width="10.42578125" style="224" bestFit="1" customWidth="1"/>
    <col min="5374" max="5375" width="9.140625" style="224"/>
    <col min="5376" max="5376" width="10.42578125" style="224" bestFit="1" customWidth="1"/>
    <col min="5377" max="5618" width="9.140625" style="224"/>
    <col min="5619" max="5619" width="4.140625" style="224" customWidth="1"/>
    <col min="5620" max="5620" width="8.140625" style="224" customWidth="1"/>
    <col min="5621" max="5621" width="6.5703125" style="224" customWidth="1"/>
    <col min="5622" max="5622" width="10.5703125" style="224" customWidth="1"/>
    <col min="5623" max="5623" width="55.140625" style="224" customWidth="1"/>
    <col min="5624" max="5624" width="8.7109375" style="224" customWidth="1"/>
    <col min="5625" max="5625" width="0" style="224" hidden="1" customWidth="1"/>
    <col min="5626" max="5628" width="9.140625" style="224"/>
    <col min="5629" max="5629" width="10.42578125" style="224" bestFit="1" customWidth="1"/>
    <col min="5630" max="5631" width="9.140625" style="224"/>
    <col min="5632" max="5632" width="10.42578125" style="224" bestFit="1" customWidth="1"/>
    <col min="5633" max="5874" width="9.140625" style="224"/>
    <col min="5875" max="5875" width="4.140625" style="224" customWidth="1"/>
    <col min="5876" max="5876" width="8.140625" style="224" customWidth="1"/>
    <col min="5877" max="5877" width="6.5703125" style="224" customWidth="1"/>
    <col min="5878" max="5878" width="10.5703125" style="224" customWidth="1"/>
    <col min="5879" max="5879" width="55.140625" style="224" customWidth="1"/>
    <col min="5880" max="5880" width="8.7109375" style="224" customWidth="1"/>
    <col min="5881" max="5881" width="0" style="224" hidden="1" customWidth="1"/>
    <col min="5882" max="5884" width="9.140625" style="224"/>
    <col min="5885" max="5885" width="10.42578125" style="224" bestFit="1" customWidth="1"/>
    <col min="5886" max="5887" width="9.140625" style="224"/>
    <col min="5888" max="5888" width="10.42578125" style="224" bestFit="1" customWidth="1"/>
    <col min="5889" max="6130" width="9.140625" style="224"/>
    <col min="6131" max="6131" width="4.140625" style="224" customWidth="1"/>
    <col min="6132" max="6132" width="8.140625" style="224" customWidth="1"/>
    <col min="6133" max="6133" width="6.5703125" style="224" customWidth="1"/>
    <col min="6134" max="6134" width="10.5703125" style="224" customWidth="1"/>
    <col min="6135" max="6135" width="55.140625" style="224" customWidth="1"/>
    <col min="6136" max="6136" width="8.7109375" style="224" customWidth="1"/>
    <col min="6137" max="6137" width="0" style="224" hidden="1" customWidth="1"/>
    <col min="6138" max="6140" width="9.140625" style="224"/>
    <col min="6141" max="6141" width="10.42578125" style="224" bestFit="1" customWidth="1"/>
    <col min="6142" max="6143" width="9.140625" style="224"/>
    <col min="6144" max="6144" width="10.42578125" style="224" bestFit="1" customWidth="1"/>
    <col min="6145" max="6386" width="9.140625" style="224"/>
    <col min="6387" max="6387" width="4.140625" style="224" customWidth="1"/>
    <col min="6388" max="6388" width="8.140625" style="224" customWidth="1"/>
    <col min="6389" max="6389" width="6.5703125" style="224" customWidth="1"/>
    <col min="6390" max="6390" width="10.5703125" style="224" customWidth="1"/>
    <col min="6391" max="6391" width="55.140625" style="224" customWidth="1"/>
    <col min="6392" max="6392" width="8.7109375" style="224" customWidth="1"/>
    <col min="6393" max="6393" width="0" style="224" hidden="1" customWidth="1"/>
    <col min="6394" max="6396" width="9.140625" style="224"/>
    <col min="6397" max="6397" width="10.42578125" style="224" bestFit="1" customWidth="1"/>
    <col min="6398" max="6399" width="9.140625" style="224"/>
    <col min="6400" max="6400" width="10.42578125" style="224" bestFit="1" customWidth="1"/>
    <col min="6401" max="6642" width="9.140625" style="224"/>
    <col min="6643" max="6643" width="4.140625" style="224" customWidth="1"/>
    <col min="6644" max="6644" width="8.140625" style="224" customWidth="1"/>
    <col min="6645" max="6645" width="6.5703125" style="224" customWidth="1"/>
    <col min="6646" max="6646" width="10.5703125" style="224" customWidth="1"/>
    <col min="6647" max="6647" width="55.140625" style="224" customWidth="1"/>
    <col min="6648" max="6648" width="8.7109375" style="224" customWidth="1"/>
    <col min="6649" max="6649" width="0" style="224" hidden="1" customWidth="1"/>
    <col min="6650" max="6652" width="9.140625" style="224"/>
    <col min="6653" max="6653" width="10.42578125" style="224" bestFit="1" customWidth="1"/>
    <col min="6654" max="6655" width="9.140625" style="224"/>
    <col min="6656" max="6656" width="10.42578125" style="224" bestFit="1" customWidth="1"/>
    <col min="6657" max="6898" width="9.140625" style="224"/>
    <col min="6899" max="6899" width="4.140625" style="224" customWidth="1"/>
    <col min="6900" max="6900" width="8.140625" style="224" customWidth="1"/>
    <col min="6901" max="6901" width="6.5703125" style="224" customWidth="1"/>
    <col min="6902" max="6902" width="10.5703125" style="224" customWidth="1"/>
    <col min="6903" max="6903" width="55.140625" style="224" customWidth="1"/>
    <col min="6904" max="6904" width="8.7109375" style="224" customWidth="1"/>
    <col min="6905" max="6905" width="0" style="224" hidden="1" customWidth="1"/>
    <col min="6906" max="6908" width="9.140625" style="224"/>
    <col min="6909" max="6909" width="10.42578125" style="224" bestFit="1" customWidth="1"/>
    <col min="6910" max="6911" width="9.140625" style="224"/>
    <col min="6912" max="6912" width="10.42578125" style="224" bestFit="1" customWidth="1"/>
    <col min="6913" max="7154" width="9.140625" style="224"/>
    <col min="7155" max="7155" width="4.140625" style="224" customWidth="1"/>
    <col min="7156" max="7156" width="8.140625" style="224" customWidth="1"/>
    <col min="7157" max="7157" width="6.5703125" style="224" customWidth="1"/>
    <col min="7158" max="7158" width="10.5703125" style="224" customWidth="1"/>
    <col min="7159" max="7159" width="55.140625" style="224" customWidth="1"/>
    <col min="7160" max="7160" width="8.7109375" style="224" customWidth="1"/>
    <col min="7161" max="7161" width="0" style="224" hidden="1" customWidth="1"/>
    <col min="7162" max="7164" width="9.140625" style="224"/>
    <col min="7165" max="7165" width="10.42578125" style="224" bestFit="1" customWidth="1"/>
    <col min="7166" max="7167" width="9.140625" style="224"/>
    <col min="7168" max="7168" width="10.42578125" style="224" bestFit="1" customWidth="1"/>
    <col min="7169" max="7410" width="9.140625" style="224"/>
    <col min="7411" max="7411" width="4.140625" style="224" customWidth="1"/>
    <col min="7412" max="7412" width="8.140625" style="224" customWidth="1"/>
    <col min="7413" max="7413" width="6.5703125" style="224" customWidth="1"/>
    <col min="7414" max="7414" width="10.5703125" style="224" customWidth="1"/>
    <col min="7415" max="7415" width="55.140625" style="224" customWidth="1"/>
    <col min="7416" max="7416" width="8.7109375" style="224" customWidth="1"/>
    <col min="7417" max="7417" width="0" style="224" hidden="1" customWidth="1"/>
    <col min="7418" max="7420" width="9.140625" style="224"/>
    <col min="7421" max="7421" width="10.42578125" style="224" bestFit="1" customWidth="1"/>
    <col min="7422" max="7423" width="9.140625" style="224"/>
    <col min="7424" max="7424" width="10.42578125" style="224" bestFit="1" customWidth="1"/>
    <col min="7425" max="7666" width="9.140625" style="224"/>
    <col min="7667" max="7667" width="4.140625" style="224" customWidth="1"/>
    <col min="7668" max="7668" width="8.140625" style="224" customWidth="1"/>
    <col min="7669" max="7669" width="6.5703125" style="224" customWidth="1"/>
    <col min="7670" max="7670" width="10.5703125" style="224" customWidth="1"/>
    <col min="7671" max="7671" width="55.140625" style="224" customWidth="1"/>
    <col min="7672" max="7672" width="8.7109375" style="224" customWidth="1"/>
    <col min="7673" max="7673" width="0" style="224" hidden="1" customWidth="1"/>
    <col min="7674" max="7676" width="9.140625" style="224"/>
    <col min="7677" max="7677" width="10.42578125" style="224" bestFit="1" customWidth="1"/>
    <col min="7678" max="7679" width="9.140625" style="224"/>
    <col min="7680" max="7680" width="10.42578125" style="224" bestFit="1" customWidth="1"/>
    <col min="7681" max="7922" width="9.140625" style="224"/>
    <col min="7923" max="7923" width="4.140625" style="224" customWidth="1"/>
    <col min="7924" max="7924" width="8.140625" style="224" customWidth="1"/>
    <col min="7925" max="7925" width="6.5703125" style="224" customWidth="1"/>
    <col min="7926" max="7926" width="10.5703125" style="224" customWidth="1"/>
    <col min="7927" max="7927" width="55.140625" style="224" customWidth="1"/>
    <col min="7928" max="7928" width="8.7109375" style="224" customWidth="1"/>
    <col min="7929" max="7929" width="0" style="224" hidden="1" customWidth="1"/>
    <col min="7930" max="7932" width="9.140625" style="224"/>
    <col min="7933" max="7933" width="10.42578125" style="224" bestFit="1" customWidth="1"/>
    <col min="7934" max="7935" width="9.140625" style="224"/>
    <col min="7936" max="7936" width="10.42578125" style="224" bestFit="1" customWidth="1"/>
    <col min="7937" max="8178" width="9.140625" style="224"/>
    <col min="8179" max="8179" width="4.140625" style="224" customWidth="1"/>
    <col min="8180" max="8180" width="8.140625" style="224" customWidth="1"/>
    <col min="8181" max="8181" width="6.5703125" style="224" customWidth="1"/>
    <col min="8182" max="8182" width="10.5703125" style="224" customWidth="1"/>
    <col min="8183" max="8183" width="55.140625" style="224" customWidth="1"/>
    <col min="8184" max="8184" width="8.7109375" style="224" customWidth="1"/>
    <col min="8185" max="8185" width="0" style="224" hidden="1" customWidth="1"/>
    <col min="8186" max="8188" width="9.140625" style="224"/>
    <col min="8189" max="8189" width="10.42578125" style="224" bestFit="1" customWidth="1"/>
    <col min="8190" max="8191" width="9.140625" style="224"/>
    <col min="8192" max="8192" width="10.42578125" style="224" bestFit="1" customWidth="1"/>
    <col min="8193" max="8434" width="9.140625" style="224"/>
    <col min="8435" max="8435" width="4.140625" style="224" customWidth="1"/>
    <col min="8436" max="8436" width="8.140625" style="224" customWidth="1"/>
    <col min="8437" max="8437" width="6.5703125" style="224" customWidth="1"/>
    <col min="8438" max="8438" width="10.5703125" style="224" customWidth="1"/>
    <col min="8439" max="8439" width="55.140625" style="224" customWidth="1"/>
    <col min="8440" max="8440" width="8.7109375" style="224" customWidth="1"/>
    <col min="8441" max="8441" width="0" style="224" hidden="1" customWidth="1"/>
    <col min="8442" max="8444" width="9.140625" style="224"/>
    <col min="8445" max="8445" width="10.42578125" style="224" bestFit="1" customWidth="1"/>
    <col min="8446" max="8447" width="9.140625" style="224"/>
    <col min="8448" max="8448" width="10.42578125" style="224" bestFit="1" customWidth="1"/>
    <col min="8449" max="8690" width="9.140625" style="224"/>
    <col min="8691" max="8691" width="4.140625" style="224" customWidth="1"/>
    <col min="8692" max="8692" width="8.140625" style="224" customWidth="1"/>
    <col min="8693" max="8693" width="6.5703125" style="224" customWidth="1"/>
    <col min="8694" max="8694" width="10.5703125" style="224" customWidth="1"/>
    <col min="8695" max="8695" width="55.140625" style="224" customWidth="1"/>
    <col min="8696" max="8696" width="8.7109375" style="224" customWidth="1"/>
    <col min="8697" max="8697" width="0" style="224" hidden="1" customWidth="1"/>
    <col min="8698" max="8700" width="9.140625" style="224"/>
    <col min="8701" max="8701" width="10.42578125" style="224" bestFit="1" customWidth="1"/>
    <col min="8702" max="8703" width="9.140625" style="224"/>
    <col min="8704" max="8704" width="10.42578125" style="224" bestFit="1" customWidth="1"/>
    <col min="8705" max="8946" width="9.140625" style="224"/>
    <col min="8947" max="8947" width="4.140625" style="224" customWidth="1"/>
    <col min="8948" max="8948" width="8.140625" style="224" customWidth="1"/>
    <col min="8949" max="8949" width="6.5703125" style="224" customWidth="1"/>
    <col min="8950" max="8950" width="10.5703125" style="224" customWidth="1"/>
    <col min="8951" max="8951" width="55.140625" style="224" customWidth="1"/>
    <col min="8952" max="8952" width="8.7109375" style="224" customWidth="1"/>
    <col min="8953" max="8953" width="0" style="224" hidden="1" customWidth="1"/>
    <col min="8954" max="8956" width="9.140625" style="224"/>
    <col min="8957" max="8957" width="10.42578125" style="224" bestFit="1" customWidth="1"/>
    <col min="8958" max="8959" width="9.140625" style="224"/>
    <col min="8960" max="8960" width="10.42578125" style="224" bestFit="1" customWidth="1"/>
    <col min="8961" max="9202" width="9.140625" style="224"/>
    <col min="9203" max="9203" width="4.140625" style="224" customWidth="1"/>
    <col min="9204" max="9204" width="8.140625" style="224" customWidth="1"/>
    <col min="9205" max="9205" width="6.5703125" style="224" customWidth="1"/>
    <col min="9206" max="9206" width="10.5703125" style="224" customWidth="1"/>
    <col min="9207" max="9207" width="55.140625" style="224" customWidth="1"/>
    <col min="9208" max="9208" width="8.7109375" style="224" customWidth="1"/>
    <col min="9209" max="9209" width="0" style="224" hidden="1" customWidth="1"/>
    <col min="9210" max="9212" width="9.140625" style="224"/>
    <col min="9213" max="9213" width="10.42578125" style="224" bestFit="1" customWidth="1"/>
    <col min="9214" max="9215" width="9.140625" style="224"/>
    <col min="9216" max="9216" width="10.42578125" style="224" bestFit="1" customWidth="1"/>
    <col min="9217" max="9458" width="9.140625" style="224"/>
    <col min="9459" max="9459" width="4.140625" style="224" customWidth="1"/>
    <col min="9460" max="9460" width="8.140625" style="224" customWidth="1"/>
    <col min="9461" max="9461" width="6.5703125" style="224" customWidth="1"/>
    <col min="9462" max="9462" width="10.5703125" style="224" customWidth="1"/>
    <col min="9463" max="9463" width="55.140625" style="224" customWidth="1"/>
    <col min="9464" max="9464" width="8.7109375" style="224" customWidth="1"/>
    <col min="9465" max="9465" width="0" style="224" hidden="1" customWidth="1"/>
    <col min="9466" max="9468" width="9.140625" style="224"/>
    <col min="9469" max="9469" width="10.42578125" style="224" bestFit="1" customWidth="1"/>
    <col min="9470" max="9471" width="9.140625" style="224"/>
    <col min="9472" max="9472" width="10.42578125" style="224" bestFit="1" customWidth="1"/>
    <col min="9473" max="9714" width="9.140625" style="224"/>
    <col min="9715" max="9715" width="4.140625" style="224" customWidth="1"/>
    <col min="9716" max="9716" width="8.140625" style="224" customWidth="1"/>
    <col min="9717" max="9717" width="6.5703125" style="224" customWidth="1"/>
    <col min="9718" max="9718" width="10.5703125" style="224" customWidth="1"/>
    <col min="9719" max="9719" width="55.140625" style="224" customWidth="1"/>
    <col min="9720" max="9720" width="8.7109375" style="224" customWidth="1"/>
    <col min="9721" max="9721" width="0" style="224" hidden="1" customWidth="1"/>
    <col min="9722" max="9724" width="9.140625" style="224"/>
    <col min="9725" max="9725" width="10.42578125" style="224" bestFit="1" customWidth="1"/>
    <col min="9726" max="9727" width="9.140625" style="224"/>
    <col min="9728" max="9728" width="10.42578125" style="224" bestFit="1" customWidth="1"/>
    <col min="9729" max="9970" width="9.140625" style="224"/>
    <col min="9971" max="9971" width="4.140625" style="224" customWidth="1"/>
    <col min="9972" max="9972" width="8.140625" style="224" customWidth="1"/>
    <col min="9973" max="9973" width="6.5703125" style="224" customWidth="1"/>
    <col min="9974" max="9974" width="10.5703125" style="224" customWidth="1"/>
    <col min="9975" max="9975" width="55.140625" style="224" customWidth="1"/>
    <col min="9976" max="9976" width="8.7109375" style="224" customWidth="1"/>
    <col min="9977" max="9977" width="0" style="224" hidden="1" customWidth="1"/>
    <col min="9978" max="9980" width="9.140625" style="224"/>
    <col min="9981" max="9981" width="10.42578125" style="224" bestFit="1" customWidth="1"/>
    <col min="9982" max="9983" width="9.140625" style="224"/>
    <col min="9984" max="9984" width="10.42578125" style="224" bestFit="1" customWidth="1"/>
    <col min="9985" max="10226" width="9.140625" style="224"/>
    <col min="10227" max="10227" width="4.140625" style="224" customWidth="1"/>
    <col min="10228" max="10228" width="8.140625" style="224" customWidth="1"/>
    <col min="10229" max="10229" width="6.5703125" style="224" customWidth="1"/>
    <col min="10230" max="10230" width="10.5703125" style="224" customWidth="1"/>
    <col min="10231" max="10231" width="55.140625" style="224" customWidth="1"/>
    <col min="10232" max="10232" width="8.7109375" style="224" customWidth="1"/>
    <col min="10233" max="10233" width="0" style="224" hidden="1" customWidth="1"/>
    <col min="10234" max="10236" width="9.140625" style="224"/>
    <col min="10237" max="10237" width="10.42578125" style="224" bestFit="1" customWidth="1"/>
    <col min="10238" max="10239" width="9.140625" style="224"/>
    <col min="10240" max="10240" width="10.42578125" style="224" bestFit="1" customWidth="1"/>
    <col min="10241" max="10482" width="9.140625" style="224"/>
    <col min="10483" max="10483" width="4.140625" style="224" customWidth="1"/>
    <col min="10484" max="10484" width="8.140625" style="224" customWidth="1"/>
    <col min="10485" max="10485" width="6.5703125" style="224" customWidth="1"/>
    <col min="10486" max="10486" width="10.5703125" style="224" customWidth="1"/>
    <col min="10487" max="10487" width="55.140625" style="224" customWidth="1"/>
    <col min="10488" max="10488" width="8.7109375" style="224" customWidth="1"/>
    <col min="10489" max="10489" width="0" style="224" hidden="1" customWidth="1"/>
    <col min="10490" max="10492" width="9.140625" style="224"/>
    <col min="10493" max="10493" width="10.42578125" style="224" bestFit="1" customWidth="1"/>
    <col min="10494" max="10495" width="9.140625" style="224"/>
    <col min="10496" max="10496" width="10.42578125" style="224" bestFit="1" customWidth="1"/>
    <col min="10497" max="10738" width="9.140625" style="224"/>
    <col min="10739" max="10739" width="4.140625" style="224" customWidth="1"/>
    <col min="10740" max="10740" width="8.140625" style="224" customWidth="1"/>
    <col min="10741" max="10741" width="6.5703125" style="224" customWidth="1"/>
    <col min="10742" max="10742" width="10.5703125" style="224" customWidth="1"/>
    <col min="10743" max="10743" width="55.140625" style="224" customWidth="1"/>
    <col min="10744" max="10744" width="8.7109375" style="224" customWidth="1"/>
    <col min="10745" max="10745" width="0" style="224" hidden="1" customWidth="1"/>
    <col min="10746" max="10748" width="9.140625" style="224"/>
    <col min="10749" max="10749" width="10.42578125" style="224" bestFit="1" customWidth="1"/>
    <col min="10750" max="10751" width="9.140625" style="224"/>
    <col min="10752" max="10752" width="10.42578125" style="224" bestFit="1" customWidth="1"/>
    <col min="10753" max="10994" width="9.140625" style="224"/>
    <col min="10995" max="10995" width="4.140625" style="224" customWidth="1"/>
    <col min="10996" max="10996" width="8.140625" style="224" customWidth="1"/>
    <col min="10997" max="10997" width="6.5703125" style="224" customWidth="1"/>
    <col min="10998" max="10998" width="10.5703125" style="224" customWidth="1"/>
    <col min="10999" max="10999" width="55.140625" style="224" customWidth="1"/>
    <col min="11000" max="11000" width="8.7109375" style="224" customWidth="1"/>
    <col min="11001" max="11001" width="0" style="224" hidden="1" customWidth="1"/>
    <col min="11002" max="11004" width="9.140625" style="224"/>
    <col min="11005" max="11005" width="10.42578125" style="224" bestFit="1" customWidth="1"/>
    <col min="11006" max="11007" width="9.140625" style="224"/>
    <col min="11008" max="11008" width="10.42578125" style="224" bestFit="1" customWidth="1"/>
    <col min="11009" max="11250" width="9.140625" style="224"/>
    <col min="11251" max="11251" width="4.140625" style="224" customWidth="1"/>
    <col min="11252" max="11252" width="8.140625" style="224" customWidth="1"/>
    <col min="11253" max="11253" width="6.5703125" style="224" customWidth="1"/>
    <col min="11254" max="11254" width="10.5703125" style="224" customWidth="1"/>
    <col min="11255" max="11255" width="55.140625" style="224" customWidth="1"/>
    <col min="11256" max="11256" width="8.7109375" style="224" customWidth="1"/>
    <col min="11257" max="11257" width="0" style="224" hidden="1" customWidth="1"/>
    <col min="11258" max="11260" width="9.140625" style="224"/>
    <col min="11261" max="11261" width="10.42578125" style="224" bestFit="1" customWidth="1"/>
    <col min="11262" max="11263" width="9.140625" style="224"/>
    <col min="11264" max="11264" width="10.42578125" style="224" bestFit="1" customWidth="1"/>
    <col min="11265" max="11506" width="9.140625" style="224"/>
    <col min="11507" max="11507" width="4.140625" style="224" customWidth="1"/>
    <col min="11508" max="11508" width="8.140625" style="224" customWidth="1"/>
    <col min="11509" max="11509" width="6.5703125" style="224" customWidth="1"/>
    <col min="11510" max="11510" width="10.5703125" style="224" customWidth="1"/>
    <col min="11511" max="11511" width="55.140625" style="224" customWidth="1"/>
    <col min="11512" max="11512" width="8.7109375" style="224" customWidth="1"/>
    <col min="11513" max="11513" width="0" style="224" hidden="1" customWidth="1"/>
    <col min="11514" max="11516" width="9.140625" style="224"/>
    <col min="11517" max="11517" width="10.42578125" style="224" bestFit="1" customWidth="1"/>
    <col min="11518" max="11519" width="9.140625" style="224"/>
    <col min="11520" max="11520" width="10.42578125" style="224" bestFit="1" customWidth="1"/>
    <col min="11521" max="11762" width="9.140625" style="224"/>
    <col min="11763" max="11763" width="4.140625" style="224" customWidth="1"/>
    <col min="11764" max="11764" width="8.140625" style="224" customWidth="1"/>
    <col min="11765" max="11765" width="6.5703125" style="224" customWidth="1"/>
    <col min="11766" max="11766" width="10.5703125" style="224" customWidth="1"/>
    <col min="11767" max="11767" width="55.140625" style="224" customWidth="1"/>
    <col min="11768" max="11768" width="8.7109375" style="224" customWidth="1"/>
    <col min="11769" max="11769" width="0" style="224" hidden="1" customWidth="1"/>
    <col min="11770" max="11772" width="9.140625" style="224"/>
    <col min="11773" max="11773" width="10.42578125" style="224" bestFit="1" customWidth="1"/>
    <col min="11774" max="11775" width="9.140625" style="224"/>
    <col min="11776" max="11776" width="10.42578125" style="224" bestFit="1" customWidth="1"/>
    <col min="11777" max="12018" width="9.140625" style="224"/>
    <col min="12019" max="12019" width="4.140625" style="224" customWidth="1"/>
    <col min="12020" max="12020" width="8.140625" style="224" customWidth="1"/>
    <col min="12021" max="12021" width="6.5703125" style="224" customWidth="1"/>
    <col min="12022" max="12022" width="10.5703125" style="224" customWidth="1"/>
    <col min="12023" max="12023" width="55.140625" style="224" customWidth="1"/>
    <col min="12024" max="12024" width="8.7109375" style="224" customWidth="1"/>
    <col min="12025" max="12025" width="0" style="224" hidden="1" customWidth="1"/>
    <col min="12026" max="12028" width="9.140625" style="224"/>
    <col min="12029" max="12029" width="10.42578125" style="224" bestFit="1" customWidth="1"/>
    <col min="12030" max="12031" width="9.140625" style="224"/>
    <col min="12032" max="12032" width="10.42578125" style="224" bestFit="1" customWidth="1"/>
    <col min="12033" max="12274" width="9.140625" style="224"/>
    <col min="12275" max="12275" width="4.140625" style="224" customWidth="1"/>
    <col min="12276" max="12276" width="8.140625" style="224" customWidth="1"/>
    <col min="12277" max="12277" width="6.5703125" style="224" customWidth="1"/>
    <col min="12278" max="12278" width="10.5703125" style="224" customWidth="1"/>
    <col min="12279" max="12279" width="55.140625" style="224" customWidth="1"/>
    <col min="12280" max="12280" width="8.7109375" style="224" customWidth="1"/>
    <col min="12281" max="12281" width="0" style="224" hidden="1" customWidth="1"/>
    <col min="12282" max="12284" width="9.140625" style="224"/>
    <col min="12285" max="12285" width="10.42578125" style="224" bestFit="1" customWidth="1"/>
    <col min="12286" max="12287" width="9.140625" style="224"/>
    <col min="12288" max="12288" width="10.42578125" style="224" bestFit="1" customWidth="1"/>
    <col min="12289" max="12530" width="9.140625" style="224"/>
    <col min="12531" max="12531" width="4.140625" style="224" customWidth="1"/>
    <col min="12532" max="12532" width="8.140625" style="224" customWidth="1"/>
    <col min="12533" max="12533" width="6.5703125" style="224" customWidth="1"/>
    <col min="12534" max="12534" width="10.5703125" style="224" customWidth="1"/>
    <col min="12535" max="12535" width="55.140625" style="224" customWidth="1"/>
    <col min="12536" max="12536" width="8.7109375" style="224" customWidth="1"/>
    <col min="12537" max="12537" width="0" style="224" hidden="1" customWidth="1"/>
    <col min="12538" max="12540" width="9.140625" style="224"/>
    <col min="12541" max="12541" width="10.42578125" style="224" bestFit="1" customWidth="1"/>
    <col min="12542" max="12543" width="9.140625" style="224"/>
    <col min="12544" max="12544" width="10.42578125" style="224" bestFit="1" customWidth="1"/>
    <col min="12545" max="12786" width="9.140625" style="224"/>
    <col min="12787" max="12787" width="4.140625" style="224" customWidth="1"/>
    <col min="12788" max="12788" width="8.140625" style="224" customWidth="1"/>
    <col min="12789" max="12789" width="6.5703125" style="224" customWidth="1"/>
    <col min="12790" max="12790" width="10.5703125" style="224" customWidth="1"/>
    <col min="12791" max="12791" width="55.140625" style="224" customWidth="1"/>
    <col min="12792" max="12792" width="8.7109375" style="224" customWidth="1"/>
    <col min="12793" max="12793" width="0" style="224" hidden="1" customWidth="1"/>
    <col min="12794" max="12796" width="9.140625" style="224"/>
    <col min="12797" max="12797" width="10.42578125" style="224" bestFit="1" customWidth="1"/>
    <col min="12798" max="12799" width="9.140625" style="224"/>
    <col min="12800" max="12800" width="10.42578125" style="224" bestFit="1" customWidth="1"/>
    <col min="12801" max="13042" width="9.140625" style="224"/>
    <col min="13043" max="13043" width="4.140625" style="224" customWidth="1"/>
    <col min="13044" max="13044" width="8.140625" style="224" customWidth="1"/>
    <col min="13045" max="13045" width="6.5703125" style="224" customWidth="1"/>
    <col min="13046" max="13046" width="10.5703125" style="224" customWidth="1"/>
    <col min="13047" max="13047" width="55.140625" style="224" customWidth="1"/>
    <col min="13048" max="13048" width="8.7109375" style="224" customWidth="1"/>
    <col min="13049" max="13049" width="0" style="224" hidden="1" customWidth="1"/>
    <col min="13050" max="13052" width="9.140625" style="224"/>
    <col min="13053" max="13053" width="10.42578125" style="224" bestFit="1" customWidth="1"/>
    <col min="13054" max="13055" width="9.140625" style="224"/>
    <col min="13056" max="13056" width="10.42578125" style="224" bestFit="1" customWidth="1"/>
    <col min="13057" max="13298" width="9.140625" style="224"/>
    <col min="13299" max="13299" width="4.140625" style="224" customWidth="1"/>
    <col min="13300" max="13300" width="8.140625" style="224" customWidth="1"/>
    <col min="13301" max="13301" width="6.5703125" style="224" customWidth="1"/>
    <col min="13302" max="13302" width="10.5703125" style="224" customWidth="1"/>
    <col min="13303" max="13303" width="55.140625" style="224" customWidth="1"/>
    <col min="13304" max="13304" width="8.7109375" style="224" customWidth="1"/>
    <col min="13305" max="13305" width="0" style="224" hidden="1" customWidth="1"/>
    <col min="13306" max="13308" width="9.140625" style="224"/>
    <col min="13309" max="13309" width="10.42578125" style="224" bestFit="1" customWidth="1"/>
    <col min="13310" max="13311" width="9.140625" style="224"/>
    <col min="13312" max="13312" width="10.42578125" style="224" bestFit="1" customWidth="1"/>
    <col min="13313" max="13554" width="9.140625" style="224"/>
    <col min="13555" max="13555" width="4.140625" style="224" customWidth="1"/>
    <col min="13556" max="13556" width="8.140625" style="224" customWidth="1"/>
    <col min="13557" max="13557" width="6.5703125" style="224" customWidth="1"/>
    <col min="13558" max="13558" width="10.5703125" style="224" customWidth="1"/>
    <col min="13559" max="13559" width="55.140625" style="224" customWidth="1"/>
    <col min="13560" max="13560" width="8.7109375" style="224" customWidth="1"/>
    <col min="13561" max="13561" width="0" style="224" hidden="1" customWidth="1"/>
    <col min="13562" max="13564" width="9.140625" style="224"/>
    <col min="13565" max="13565" width="10.42578125" style="224" bestFit="1" customWidth="1"/>
    <col min="13566" max="13567" width="9.140625" style="224"/>
    <col min="13568" max="13568" width="10.42578125" style="224" bestFit="1" customWidth="1"/>
    <col min="13569" max="13810" width="9.140625" style="224"/>
    <col min="13811" max="13811" width="4.140625" style="224" customWidth="1"/>
    <col min="13812" max="13812" width="8.140625" style="224" customWidth="1"/>
    <col min="13813" max="13813" width="6.5703125" style="224" customWidth="1"/>
    <col min="13814" max="13814" width="10.5703125" style="224" customWidth="1"/>
    <col min="13815" max="13815" width="55.140625" style="224" customWidth="1"/>
    <col min="13816" max="13816" width="8.7109375" style="224" customWidth="1"/>
    <col min="13817" max="13817" width="0" style="224" hidden="1" customWidth="1"/>
    <col min="13818" max="13820" width="9.140625" style="224"/>
    <col min="13821" max="13821" width="10.42578125" style="224" bestFit="1" customWidth="1"/>
    <col min="13822" max="13823" width="9.140625" style="224"/>
    <col min="13824" max="13824" width="10.42578125" style="224" bestFit="1" customWidth="1"/>
    <col min="13825" max="14066" width="9.140625" style="224"/>
    <col min="14067" max="14067" width="4.140625" style="224" customWidth="1"/>
    <col min="14068" max="14068" width="8.140625" style="224" customWidth="1"/>
    <col min="14069" max="14069" width="6.5703125" style="224" customWidth="1"/>
    <col min="14070" max="14070" width="10.5703125" style="224" customWidth="1"/>
    <col min="14071" max="14071" width="55.140625" style="224" customWidth="1"/>
    <col min="14072" max="14072" width="8.7109375" style="224" customWidth="1"/>
    <col min="14073" max="14073" width="0" style="224" hidden="1" customWidth="1"/>
    <col min="14074" max="14076" width="9.140625" style="224"/>
    <col min="14077" max="14077" width="10.42578125" style="224" bestFit="1" customWidth="1"/>
    <col min="14078" max="14079" width="9.140625" style="224"/>
    <col min="14080" max="14080" width="10.42578125" style="224" bestFit="1" customWidth="1"/>
    <col min="14081" max="14322" width="9.140625" style="224"/>
    <col min="14323" max="14323" width="4.140625" style="224" customWidth="1"/>
    <col min="14324" max="14324" width="8.140625" style="224" customWidth="1"/>
    <col min="14325" max="14325" width="6.5703125" style="224" customWidth="1"/>
    <col min="14326" max="14326" width="10.5703125" style="224" customWidth="1"/>
    <col min="14327" max="14327" width="55.140625" style="224" customWidth="1"/>
    <col min="14328" max="14328" width="8.7109375" style="224" customWidth="1"/>
    <col min="14329" max="14329" width="0" style="224" hidden="1" customWidth="1"/>
    <col min="14330" max="14332" width="9.140625" style="224"/>
    <col min="14333" max="14333" width="10.42578125" style="224" bestFit="1" customWidth="1"/>
    <col min="14334" max="14335" width="9.140625" style="224"/>
    <col min="14336" max="14336" width="10.42578125" style="224" bestFit="1" customWidth="1"/>
    <col min="14337" max="14578" width="9.140625" style="224"/>
    <col min="14579" max="14579" width="4.140625" style="224" customWidth="1"/>
    <col min="14580" max="14580" width="8.140625" style="224" customWidth="1"/>
    <col min="14581" max="14581" width="6.5703125" style="224" customWidth="1"/>
    <col min="14582" max="14582" width="10.5703125" style="224" customWidth="1"/>
    <col min="14583" max="14583" width="55.140625" style="224" customWidth="1"/>
    <col min="14584" max="14584" width="8.7109375" style="224" customWidth="1"/>
    <col min="14585" max="14585" width="0" style="224" hidden="1" customWidth="1"/>
    <col min="14586" max="14588" width="9.140625" style="224"/>
    <col min="14589" max="14589" width="10.42578125" style="224" bestFit="1" customWidth="1"/>
    <col min="14590" max="14591" width="9.140625" style="224"/>
    <col min="14592" max="14592" width="10.42578125" style="224" bestFit="1" customWidth="1"/>
    <col min="14593" max="14834" width="9.140625" style="224"/>
    <col min="14835" max="14835" width="4.140625" style="224" customWidth="1"/>
    <col min="14836" max="14836" width="8.140625" style="224" customWidth="1"/>
    <col min="14837" max="14837" width="6.5703125" style="224" customWidth="1"/>
    <col min="14838" max="14838" width="10.5703125" style="224" customWidth="1"/>
    <col min="14839" max="14839" width="55.140625" style="224" customWidth="1"/>
    <col min="14840" max="14840" width="8.7109375" style="224" customWidth="1"/>
    <col min="14841" max="14841" width="0" style="224" hidden="1" customWidth="1"/>
    <col min="14842" max="14844" width="9.140625" style="224"/>
    <col min="14845" max="14845" width="10.42578125" style="224" bestFit="1" customWidth="1"/>
    <col min="14846" max="14847" width="9.140625" style="224"/>
    <col min="14848" max="14848" width="10.42578125" style="224" bestFit="1" customWidth="1"/>
    <col min="14849" max="15090" width="9.140625" style="224"/>
    <col min="15091" max="15091" width="4.140625" style="224" customWidth="1"/>
    <col min="15092" max="15092" width="8.140625" style="224" customWidth="1"/>
    <col min="15093" max="15093" width="6.5703125" style="224" customWidth="1"/>
    <col min="15094" max="15094" width="10.5703125" style="224" customWidth="1"/>
    <col min="15095" max="15095" width="55.140625" style="224" customWidth="1"/>
    <col min="15096" max="15096" width="8.7109375" style="224" customWidth="1"/>
    <col min="15097" max="15097" width="0" style="224" hidden="1" customWidth="1"/>
    <col min="15098" max="15100" width="9.140625" style="224"/>
    <col min="15101" max="15101" width="10.42578125" style="224" bestFit="1" customWidth="1"/>
    <col min="15102" max="15103" width="9.140625" style="224"/>
    <col min="15104" max="15104" width="10.42578125" style="224" bestFit="1" customWidth="1"/>
    <col min="15105" max="15346" width="9.140625" style="224"/>
    <col min="15347" max="15347" width="4.140625" style="224" customWidth="1"/>
    <col min="15348" max="15348" width="8.140625" style="224" customWidth="1"/>
    <col min="15349" max="15349" width="6.5703125" style="224" customWidth="1"/>
    <col min="15350" max="15350" width="10.5703125" style="224" customWidth="1"/>
    <col min="15351" max="15351" width="55.140625" style="224" customWidth="1"/>
    <col min="15352" max="15352" width="8.7109375" style="224" customWidth="1"/>
    <col min="15353" max="15353" width="0" style="224" hidden="1" customWidth="1"/>
    <col min="15354" max="15356" width="9.140625" style="224"/>
    <col min="15357" max="15357" width="10.42578125" style="224" bestFit="1" customWidth="1"/>
    <col min="15358" max="15359" width="9.140625" style="224"/>
    <col min="15360" max="15360" width="10.42578125" style="224" bestFit="1" customWidth="1"/>
    <col min="15361" max="15602" width="9.140625" style="224"/>
    <col min="15603" max="15603" width="4.140625" style="224" customWidth="1"/>
    <col min="15604" max="15604" width="8.140625" style="224" customWidth="1"/>
    <col min="15605" max="15605" width="6.5703125" style="224" customWidth="1"/>
    <col min="15606" max="15606" width="10.5703125" style="224" customWidth="1"/>
    <col min="15607" max="15607" width="55.140625" style="224" customWidth="1"/>
    <col min="15608" max="15608" width="8.7109375" style="224" customWidth="1"/>
    <col min="15609" max="15609" width="0" style="224" hidden="1" customWidth="1"/>
    <col min="15610" max="15612" width="9.140625" style="224"/>
    <col min="15613" max="15613" width="10.42578125" style="224" bestFit="1" customWidth="1"/>
    <col min="15614" max="15615" width="9.140625" style="224"/>
    <col min="15616" max="15616" width="10.42578125" style="224" bestFit="1" customWidth="1"/>
    <col min="15617" max="15858" width="9.140625" style="224"/>
    <col min="15859" max="15859" width="4.140625" style="224" customWidth="1"/>
    <col min="15860" max="15860" width="8.140625" style="224" customWidth="1"/>
    <col min="15861" max="15861" width="6.5703125" style="224" customWidth="1"/>
    <col min="15862" max="15862" width="10.5703125" style="224" customWidth="1"/>
    <col min="15863" max="15863" width="55.140625" style="224" customWidth="1"/>
    <col min="15864" max="15864" width="8.7109375" style="224" customWidth="1"/>
    <col min="15865" max="15865" width="0" style="224" hidden="1" customWidth="1"/>
    <col min="15866" max="15868" width="9.140625" style="224"/>
    <col min="15869" max="15869" width="10.42578125" style="224" bestFit="1" customWidth="1"/>
    <col min="15870" max="15871" width="9.140625" style="224"/>
    <col min="15872" max="15872" width="10.42578125" style="224" bestFit="1" customWidth="1"/>
    <col min="15873" max="16114" width="9.140625" style="224"/>
    <col min="16115" max="16115" width="4.140625" style="224" customWidth="1"/>
    <col min="16116" max="16116" width="8.140625" style="224" customWidth="1"/>
    <col min="16117" max="16117" width="6.5703125" style="224" customWidth="1"/>
    <col min="16118" max="16118" width="10.5703125" style="224" customWidth="1"/>
    <col min="16119" max="16119" width="55.140625" style="224" customWidth="1"/>
    <col min="16120" max="16120" width="8.7109375" style="224" customWidth="1"/>
    <col min="16121" max="16121" width="0" style="224" hidden="1" customWidth="1"/>
    <col min="16122" max="16124" width="9.140625" style="224"/>
    <col min="16125" max="16125" width="10.42578125" style="224" bestFit="1" customWidth="1"/>
    <col min="16126" max="16127" width="9.140625" style="224"/>
    <col min="16128" max="16128" width="10.42578125" style="224" bestFit="1" customWidth="1"/>
    <col min="16129" max="16384" width="9.140625" style="224"/>
  </cols>
  <sheetData>
    <row r="1" spans="1:6">
      <c r="A1" s="819" t="s">
        <v>336</v>
      </c>
      <c r="B1" s="820"/>
      <c r="C1" s="820"/>
      <c r="D1" s="821"/>
      <c r="E1" s="829" t="s">
        <v>332</v>
      </c>
      <c r="F1" s="334" t="s">
        <v>340</v>
      </c>
    </row>
    <row r="2" spans="1:6">
      <c r="A2" s="822"/>
      <c r="B2" s="823"/>
      <c r="C2" s="823"/>
      <c r="D2" s="824"/>
      <c r="E2" s="830"/>
      <c r="F2" s="298"/>
    </row>
    <row r="3" spans="1:6">
      <c r="A3" s="825"/>
      <c r="B3" s="826"/>
      <c r="C3" s="826"/>
      <c r="D3" s="826"/>
      <c r="E3" s="299" t="s">
        <v>333</v>
      </c>
      <c r="F3" s="299" t="s">
        <v>339</v>
      </c>
    </row>
    <row r="4" spans="1:6" ht="16.5" thickBot="1">
      <c r="A4" s="827"/>
      <c r="B4" s="828"/>
      <c r="C4" s="828"/>
      <c r="D4" s="828"/>
      <c r="E4" s="315" t="s">
        <v>0</v>
      </c>
      <c r="F4" s="300">
        <v>1</v>
      </c>
    </row>
    <row r="5" spans="1:6" ht="30.75" customHeight="1">
      <c r="A5" s="832" t="s">
        <v>0</v>
      </c>
      <c r="B5" s="832"/>
      <c r="C5" s="832"/>
      <c r="D5" s="832"/>
      <c r="E5" s="832"/>
      <c r="F5" s="56"/>
    </row>
    <row r="6" spans="1:6" ht="27" customHeight="1">
      <c r="A6" s="56"/>
      <c r="B6" s="831"/>
      <c r="C6" s="831"/>
      <c r="D6" s="831"/>
      <c r="E6" s="831"/>
      <c r="F6" s="56"/>
    </row>
    <row r="7" spans="1:6" ht="27" customHeight="1">
      <c r="A7" s="301"/>
      <c r="B7" s="302" t="s">
        <v>1</v>
      </c>
      <c r="C7" s="303"/>
      <c r="D7" s="303"/>
      <c r="E7" s="303"/>
      <c r="F7" s="304" t="s">
        <v>2</v>
      </c>
    </row>
    <row r="8" spans="1:6" ht="27" customHeight="1">
      <c r="A8" s="301"/>
      <c r="B8" s="56">
        <v>1</v>
      </c>
      <c r="C8" s="51" t="s">
        <v>3</v>
      </c>
      <c r="D8" s="51"/>
      <c r="E8" s="51"/>
      <c r="F8" s="56"/>
    </row>
    <row r="9" spans="1:6" ht="31.5" customHeight="1">
      <c r="A9" s="56"/>
      <c r="B9" s="56">
        <f>1+B8</f>
        <v>2</v>
      </c>
      <c r="C9" s="51" t="s">
        <v>4</v>
      </c>
      <c r="D9" s="51"/>
      <c r="E9" s="51"/>
      <c r="F9" s="56"/>
    </row>
    <row r="10" spans="1:6" ht="31.5" customHeight="1">
      <c r="A10" s="56"/>
      <c r="B10" s="56">
        <v>3</v>
      </c>
      <c r="C10" s="833" t="s">
        <v>10</v>
      </c>
      <c r="D10" s="833"/>
      <c r="E10" s="833"/>
      <c r="F10" s="56"/>
    </row>
    <row r="11" spans="1:6" ht="27" customHeight="1">
      <c r="A11" s="56"/>
      <c r="B11" s="56">
        <f t="shared" ref="B11" si="0">1+B10</f>
        <v>4</v>
      </c>
      <c r="C11" s="833" t="s">
        <v>325</v>
      </c>
      <c r="D11" s="833"/>
      <c r="E11" s="833"/>
      <c r="F11" s="56"/>
    </row>
    <row r="12" spans="1:6" ht="27" customHeight="1">
      <c r="A12" s="56"/>
      <c r="B12" s="56">
        <v>5</v>
      </c>
      <c r="C12" s="833" t="s">
        <v>329</v>
      </c>
      <c r="D12" s="833"/>
      <c r="E12" s="833"/>
      <c r="F12" s="305"/>
    </row>
    <row r="13" spans="1:6" ht="27" customHeight="1">
      <c r="B13" s="56">
        <v>6</v>
      </c>
      <c r="C13" s="833" t="s">
        <v>6</v>
      </c>
      <c r="D13" s="833"/>
      <c r="E13" s="833"/>
      <c r="F13" s="56"/>
    </row>
    <row r="14" spans="1:6" ht="27" customHeight="1">
      <c r="B14" s="56">
        <v>7</v>
      </c>
      <c r="C14" s="833" t="s">
        <v>326</v>
      </c>
      <c r="D14" s="833"/>
      <c r="E14" s="833"/>
      <c r="F14" s="56"/>
    </row>
    <row r="15" spans="1:6" ht="27" customHeight="1">
      <c r="A15" s="56"/>
      <c r="B15" s="56">
        <v>8</v>
      </c>
      <c r="C15" s="833" t="s">
        <v>330</v>
      </c>
      <c r="D15" s="833"/>
      <c r="E15" s="833"/>
      <c r="F15" s="56"/>
    </row>
    <row r="16" spans="1:6" ht="27" customHeight="1">
      <c r="A16" s="56"/>
      <c r="B16" s="56">
        <v>9</v>
      </c>
      <c r="C16" s="833" t="s">
        <v>331</v>
      </c>
      <c r="D16" s="833"/>
      <c r="E16" s="833"/>
      <c r="F16" s="56"/>
    </row>
    <row r="17" spans="1:7" ht="27" customHeight="1">
      <c r="A17" s="56"/>
      <c r="B17" s="56">
        <v>10</v>
      </c>
      <c r="C17" s="833" t="s">
        <v>7</v>
      </c>
      <c r="D17" s="833"/>
      <c r="E17" s="833"/>
      <c r="F17" s="56"/>
    </row>
    <row r="18" spans="1:7" ht="27" customHeight="1">
      <c r="A18" s="56"/>
      <c r="B18" s="56">
        <f t="shared" ref="B18" si="1">1+B17</f>
        <v>11</v>
      </c>
      <c r="C18" s="306" t="s">
        <v>8</v>
      </c>
      <c r="D18" s="306"/>
      <c r="E18" s="306"/>
      <c r="F18" s="56"/>
    </row>
    <row r="19" spans="1:7" s="307" customFormat="1" ht="27" customHeight="1">
      <c r="A19" s="56"/>
      <c r="B19" s="56">
        <v>12</v>
      </c>
      <c r="C19" s="51" t="s">
        <v>9</v>
      </c>
      <c r="D19" s="51"/>
      <c r="E19" s="51"/>
      <c r="F19" s="56"/>
      <c r="G19" s="224"/>
    </row>
    <row r="20" spans="1:7" ht="27" customHeight="1">
      <c r="A20" s="308"/>
      <c r="B20" s="56">
        <v>13</v>
      </c>
      <c r="C20" s="51" t="s">
        <v>327</v>
      </c>
      <c r="D20" s="309"/>
      <c r="E20" s="309"/>
      <c r="F20" s="308">
        <v>15</v>
      </c>
      <c r="G20" s="307"/>
    </row>
    <row r="21" spans="1:7" s="314" customFormat="1" ht="26.25" customHeight="1">
      <c r="A21" s="310"/>
      <c r="B21" s="56">
        <v>14</v>
      </c>
      <c r="C21" s="311" t="s">
        <v>328</v>
      </c>
      <c r="D21" s="312"/>
      <c r="E21" s="312"/>
      <c r="F21" s="313">
        <v>18</v>
      </c>
    </row>
    <row r="22" spans="1:7" ht="27" customHeight="1">
      <c r="A22" s="56"/>
      <c r="B22" s="56">
        <v>15</v>
      </c>
      <c r="C22" s="51" t="s">
        <v>5</v>
      </c>
      <c r="D22" s="51"/>
      <c r="E22" s="51"/>
      <c r="F22" s="56"/>
    </row>
    <row r="23" spans="1:7" ht="27" customHeight="1">
      <c r="A23" s="832"/>
      <c r="B23" s="832"/>
      <c r="C23" s="832"/>
      <c r="D23" s="832"/>
      <c r="E23" s="832"/>
      <c r="F23" s="56"/>
    </row>
    <row r="24" spans="1:7" ht="27" customHeight="1">
      <c r="A24" s="56"/>
      <c r="B24" s="831"/>
      <c r="C24" s="831"/>
      <c r="D24" s="831"/>
      <c r="E24" s="831"/>
      <c r="F24" s="56"/>
    </row>
    <row r="25" spans="1:7" ht="27" customHeight="1">
      <c r="A25" s="301"/>
      <c r="B25" s="302"/>
      <c r="C25" s="303"/>
      <c r="D25" s="303"/>
      <c r="E25" s="303"/>
      <c r="F25" s="304"/>
    </row>
    <row r="26" spans="1:7" ht="15.75">
      <c r="A26" s="56"/>
      <c r="B26" s="56"/>
      <c r="C26" s="51"/>
      <c r="D26" s="51"/>
      <c r="E26" s="51"/>
      <c r="F26" s="56"/>
    </row>
  </sheetData>
  <mergeCells count="15">
    <mergeCell ref="A1:D2"/>
    <mergeCell ref="A3:D4"/>
    <mergeCell ref="E1:E2"/>
    <mergeCell ref="B24:E24"/>
    <mergeCell ref="A5:E5"/>
    <mergeCell ref="B6:E6"/>
    <mergeCell ref="C11:E11"/>
    <mergeCell ref="C12:E12"/>
    <mergeCell ref="C13:E13"/>
    <mergeCell ref="C10:E10"/>
    <mergeCell ref="C14:E14"/>
    <mergeCell ref="C15:E15"/>
    <mergeCell ref="C16:E16"/>
    <mergeCell ref="C17:E17"/>
    <mergeCell ref="A23:E23"/>
  </mergeCells>
  <printOptions horizontalCentered="1"/>
  <pageMargins left="0.3" right="0.3" top="0.3" bottom="0.3" header="0.3" footer="0.3"/>
  <pageSetup paperSize="9" scale="42" orientation="portrait" r:id="rId1"/>
  <headerFooter alignWithMargins="0"/>
  <drawing r:id="rId2"/>
  <legacyDrawing r:id="rId3"/>
  <oleObjects>
    <mc:AlternateContent xmlns:mc="http://schemas.openxmlformats.org/markup-compatibility/2006">
      <mc:Choice Requires="x14">
        <oleObject progId="PBrush" shapeId="28673" r:id="rId4">
          <objectPr defaultSize="0" autoPict="0" r:id="rId5">
            <anchor moveWithCells="1" sizeWithCells="1">
              <from>
                <xdr:col>0</xdr:col>
                <xdr:colOff>161925</xdr:colOff>
                <xdr:row>2</xdr:row>
                <xdr:rowOff>28575</xdr:rowOff>
              </from>
              <to>
                <xdr:col>3</xdr:col>
                <xdr:colOff>19050</xdr:colOff>
                <xdr:row>3</xdr:row>
                <xdr:rowOff>152400</xdr:rowOff>
              </to>
            </anchor>
          </objectPr>
        </oleObject>
      </mc:Choice>
      <mc:Fallback>
        <oleObject progId="PBrush" shapeId="2867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0"/>
  <sheetViews>
    <sheetView zoomScale="70" zoomScaleNormal="70" zoomScaleSheetLayoutView="70" workbookViewId="0">
      <selection activeCell="G10" sqref="G10"/>
    </sheetView>
  </sheetViews>
  <sheetFormatPr defaultRowHeight="15.75"/>
  <cols>
    <col min="1" max="1" width="9.140625" style="56" customWidth="1"/>
    <col min="2" max="2" width="53.85546875" style="51" bestFit="1" customWidth="1"/>
    <col min="3" max="3" width="19.42578125" style="51" customWidth="1"/>
    <col min="4" max="4" width="24.140625" style="55" customWidth="1"/>
    <col min="5" max="5" width="13.7109375" style="51" bestFit="1" customWidth="1"/>
    <col min="6" max="6" width="10.85546875" style="51" bestFit="1" customWidth="1"/>
    <col min="7" max="7" width="28.28515625" style="51" bestFit="1" customWidth="1"/>
    <col min="8" max="8" width="18" style="51" bestFit="1" customWidth="1"/>
    <col min="9" max="12" width="9.140625" style="51"/>
    <col min="13" max="13" width="11.85546875" style="51" customWidth="1"/>
    <col min="14" max="14" width="12.5703125" style="51" customWidth="1"/>
    <col min="15" max="15" width="11.85546875" style="51" customWidth="1"/>
    <col min="16" max="16384" width="9.140625" style="51"/>
  </cols>
  <sheetData>
    <row r="1" spans="1:15" ht="22.5" customHeight="1">
      <c r="A1" s="844" t="s">
        <v>336</v>
      </c>
      <c r="B1" s="845"/>
      <c r="C1" s="852" t="s">
        <v>332</v>
      </c>
      <c r="D1" s="853"/>
      <c r="E1" s="853"/>
      <c r="F1" s="854"/>
      <c r="G1" s="836" t="s">
        <v>334</v>
      </c>
      <c r="H1" s="837"/>
      <c r="I1" s="50"/>
      <c r="J1" s="50"/>
      <c r="K1" s="50"/>
      <c r="L1" s="50"/>
      <c r="M1" s="50"/>
      <c r="N1" s="50"/>
      <c r="O1" s="50"/>
    </row>
    <row r="2" spans="1:15" ht="22.5" customHeight="1">
      <c r="A2" s="846"/>
      <c r="B2" s="847"/>
      <c r="C2" s="855"/>
      <c r="D2" s="856"/>
      <c r="E2" s="856"/>
      <c r="F2" s="857"/>
      <c r="G2" s="838" t="s">
        <v>342</v>
      </c>
      <c r="H2" s="839"/>
      <c r="I2" s="50"/>
      <c r="J2" s="50"/>
      <c r="K2" s="50"/>
      <c r="L2" s="50"/>
      <c r="M2" s="50"/>
      <c r="N2" s="50"/>
      <c r="O2" s="50"/>
    </row>
    <row r="3" spans="1:15" ht="22.5" customHeight="1">
      <c r="A3" s="848"/>
      <c r="B3" s="849"/>
      <c r="C3" s="858"/>
      <c r="D3" s="859"/>
      <c r="E3" s="859"/>
      <c r="F3" s="860"/>
      <c r="G3" s="840" t="s">
        <v>335</v>
      </c>
      <c r="H3" s="841"/>
      <c r="I3" s="52"/>
      <c r="J3" s="53"/>
      <c r="K3" s="53"/>
      <c r="L3" s="53"/>
      <c r="M3" s="53"/>
      <c r="N3" s="53"/>
      <c r="O3" s="53"/>
    </row>
    <row r="4" spans="1:15" ht="56.25" customHeight="1" thickBot="1">
      <c r="A4" s="850"/>
      <c r="B4" s="851"/>
      <c r="C4" s="861" t="s">
        <v>357</v>
      </c>
      <c r="D4" s="862"/>
      <c r="E4" s="862"/>
      <c r="F4" s="863"/>
      <c r="G4" s="842">
        <v>1</v>
      </c>
      <c r="H4" s="843"/>
      <c r="I4" s="54"/>
      <c r="J4" s="54"/>
      <c r="K4" s="54"/>
      <c r="L4" s="54"/>
      <c r="M4" s="54"/>
      <c r="N4" s="54"/>
      <c r="O4" s="54"/>
    </row>
    <row r="5" spans="1:15" ht="20.25" customHeight="1">
      <c r="A5" s="834" t="s">
        <v>33</v>
      </c>
      <c r="B5" s="834"/>
      <c r="C5" s="834"/>
      <c r="D5" s="834"/>
      <c r="E5" s="834"/>
      <c r="F5" s="834"/>
      <c r="G5" s="834"/>
      <c r="H5" s="834"/>
    </row>
    <row r="6" spans="1:15" ht="24.75" customHeight="1" thickBot="1">
      <c r="A6" s="835" t="str">
        <f>'[74]Contractual matters'!A6:F6</f>
        <v>Week period from______ To _________</v>
      </c>
      <c r="B6" s="835"/>
      <c r="C6" s="835"/>
      <c r="D6" s="835"/>
    </row>
    <row r="7" spans="1:15" s="55" customFormat="1" ht="67.5" customHeight="1" thickTop="1" thickBot="1">
      <c r="A7" s="386" t="s">
        <v>11</v>
      </c>
      <c r="B7" s="387" t="s">
        <v>12</v>
      </c>
      <c r="C7" s="387" t="s">
        <v>23</v>
      </c>
      <c r="D7" s="387" t="s">
        <v>24</v>
      </c>
      <c r="E7" s="387" t="s">
        <v>25</v>
      </c>
      <c r="F7" s="387" t="s">
        <v>26</v>
      </c>
      <c r="G7" s="388" t="s">
        <v>27</v>
      </c>
      <c r="H7" s="389" t="s">
        <v>28</v>
      </c>
    </row>
    <row r="8" spans="1:15">
      <c r="A8" s="335"/>
      <c r="B8" s="336"/>
      <c r="C8" s="337"/>
      <c r="D8" s="338"/>
      <c r="E8" s="339"/>
      <c r="F8" s="340"/>
      <c r="G8" s="341"/>
      <c r="H8" s="342"/>
    </row>
    <row r="9" spans="1:15">
      <c r="A9" s="343"/>
      <c r="B9" s="344"/>
      <c r="C9" s="345"/>
      <c r="D9" s="346"/>
      <c r="E9" s="347"/>
      <c r="F9" s="348"/>
      <c r="G9" s="349"/>
      <c r="H9" s="350"/>
    </row>
    <row r="10" spans="1:15">
      <c r="A10" s="343"/>
      <c r="B10" s="344"/>
      <c r="C10" s="345"/>
      <c r="D10" s="346"/>
      <c r="E10" s="347"/>
      <c r="F10" s="348"/>
      <c r="G10" s="349"/>
      <c r="H10" s="350"/>
    </row>
    <row r="11" spans="1:15">
      <c r="A11" s="343"/>
      <c r="B11" s="344"/>
      <c r="C11" s="345"/>
      <c r="D11" s="346"/>
      <c r="E11" s="347"/>
      <c r="F11" s="348"/>
      <c r="G11" s="347"/>
      <c r="H11" s="350"/>
    </row>
    <row r="12" spans="1:15">
      <c r="A12" s="343"/>
      <c r="B12" s="344"/>
      <c r="C12" s="345"/>
      <c r="D12" s="344"/>
      <c r="E12" s="345"/>
      <c r="F12" s="345"/>
      <c r="G12" s="347"/>
      <c r="H12" s="350"/>
    </row>
    <row r="13" spans="1:15">
      <c r="A13" s="351"/>
      <c r="B13" s="344"/>
      <c r="C13" s="345"/>
      <c r="D13" s="344"/>
      <c r="E13" s="345"/>
      <c r="F13" s="345"/>
      <c r="G13" s="347"/>
      <c r="H13" s="350"/>
    </row>
    <row r="14" spans="1:15">
      <c r="A14" s="351"/>
      <c r="B14" s="344"/>
      <c r="C14" s="345"/>
      <c r="D14" s="344"/>
      <c r="E14" s="347"/>
      <c r="F14" s="345"/>
      <c r="G14" s="347"/>
      <c r="H14" s="350"/>
    </row>
    <row r="15" spans="1:15" ht="16.5" thickBot="1">
      <c r="A15" s="352"/>
      <c r="B15" s="353"/>
      <c r="C15" s="354"/>
      <c r="D15" s="355"/>
      <c r="E15" s="354"/>
      <c r="F15" s="354"/>
      <c r="G15" s="354"/>
      <c r="H15" s="356"/>
    </row>
    <row r="16" spans="1:15" ht="16.5" thickTop="1">
      <c r="B16" s="57"/>
    </row>
    <row r="17" spans="2:2">
      <c r="B17" s="57"/>
    </row>
    <row r="18" spans="2:2">
      <c r="B18" s="57"/>
    </row>
    <row r="19" spans="2:2">
      <c r="B19" s="57"/>
    </row>
    <row r="20" spans="2:2">
      <c r="B20" s="57"/>
    </row>
  </sheetData>
  <mergeCells count="11">
    <mergeCell ref="A5:H5"/>
    <mergeCell ref="A6:D6"/>
    <mergeCell ref="G1:H1"/>
    <mergeCell ref="G2:H2"/>
    <mergeCell ref="G3:H3"/>
    <mergeCell ref="G4:H4"/>
    <mergeCell ref="A1:B2"/>
    <mergeCell ref="A3:B4"/>
    <mergeCell ref="C1:F2"/>
    <mergeCell ref="C3:F3"/>
    <mergeCell ref="C4:F4"/>
  </mergeCells>
  <pageMargins left="0.7" right="0.7" top="0.75" bottom="0.51" header="0.3" footer="0.3"/>
  <pageSetup scale="68" orientation="landscape" r:id="rId1"/>
  <headerFooter>
    <oddFooter>&amp;RPage&amp;P of &amp;N</oddFooter>
  </headerFooter>
  <colBreaks count="1" manualBreakCount="1">
    <brk id="8" max="17" man="1"/>
  </colBreaks>
  <drawing r:id="rId2"/>
  <legacyDrawing r:id="rId3"/>
  <oleObjects>
    <mc:AlternateContent xmlns:mc="http://schemas.openxmlformats.org/markup-compatibility/2006">
      <mc:Choice Requires="x14">
        <oleObject progId="PBrush" shapeId="1025" r:id="rId4">
          <objectPr defaultSize="0" autoPict="0" r:id="rId5">
            <anchor moveWithCells="1" sizeWithCells="1">
              <from>
                <xdr:col>1</xdr:col>
                <xdr:colOff>762000</xdr:colOff>
                <xdr:row>2</xdr:row>
                <xdr:rowOff>123825</xdr:rowOff>
              </from>
              <to>
                <xdr:col>1</xdr:col>
                <xdr:colOff>2124075</xdr:colOff>
                <xdr:row>4</xdr:row>
                <xdr:rowOff>9525</xdr:rowOff>
              </to>
            </anchor>
          </objectPr>
        </oleObject>
      </mc:Choice>
      <mc:Fallback>
        <oleObject progId="PBrush" shapeId="102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A1:H45"/>
  <sheetViews>
    <sheetView topLeftCell="A4" workbookViewId="0">
      <selection activeCell="F11" sqref="F11"/>
    </sheetView>
  </sheetViews>
  <sheetFormatPr defaultRowHeight="15"/>
  <cols>
    <col min="2" max="2" width="23" customWidth="1"/>
    <col min="3" max="3" width="11.28515625" customWidth="1"/>
    <col min="5" max="5" width="9.7109375" customWidth="1"/>
    <col min="6" max="6" width="11.28515625" customWidth="1"/>
    <col min="8" max="8" width="20.28515625" customWidth="1"/>
  </cols>
  <sheetData>
    <row r="1" spans="1:8">
      <c r="A1" s="864" t="s">
        <v>336</v>
      </c>
      <c r="B1" s="865"/>
      <c r="C1" s="852" t="s">
        <v>332</v>
      </c>
      <c r="D1" s="853"/>
      <c r="E1" s="853"/>
      <c r="F1" s="854"/>
      <c r="G1" s="868" t="s">
        <v>334</v>
      </c>
      <c r="H1" s="869"/>
    </row>
    <row r="2" spans="1:8" ht="30" customHeight="1">
      <c r="A2" s="866"/>
      <c r="B2" s="867"/>
      <c r="C2" s="855"/>
      <c r="D2" s="856"/>
      <c r="E2" s="856"/>
      <c r="F2" s="857"/>
      <c r="G2" s="838" t="s">
        <v>342</v>
      </c>
      <c r="H2" s="839"/>
    </row>
    <row r="3" spans="1:8">
      <c r="A3" s="848"/>
      <c r="B3" s="849"/>
      <c r="C3" s="858"/>
      <c r="D3" s="859"/>
      <c r="E3" s="859"/>
      <c r="F3" s="860"/>
      <c r="G3" s="870" t="s">
        <v>335</v>
      </c>
      <c r="H3" s="871"/>
    </row>
    <row r="4" spans="1:8" ht="46.5" customHeight="1" thickBot="1">
      <c r="A4" s="850"/>
      <c r="B4" s="851"/>
      <c r="C4" s="872" t="s">
        <v>357</v>
      </c>
      <c r="D4" s="873"/>
      <c r="E4" s="873"/>
      <c r="F4" s="874"/>
      <c r="G4" s="842">
        <v>1</v>
      </c>
      <c r="H4" s="843"/>
    </row>
    <row r="5" spans="1:8" ht="15.75">
      <c r="A5" s="834" t="s">
        <v>33</v>
      </c>
      <c r="B5" s="834"/>
      <c r="C5" s="834"/>
      <c r="D5" s="834"/>
      <c r="E5" s="834"/>
      <c r="F5" s="834"/>
      <c r="G5" s="834"/>
      <c r="H5" s="834"/>
    </row>
    <row r="6" spans="1:8" ht="16.5" thickBot="1">
      <c r="A6" s="835" t="str">
        <f>'[74]Contractual matters'!A6:F6</f>
        <v>Week period from______ To _________</v>
      </c>
      <c r="B6" s="835"/>
      <c r="C6" s="835"/>
      <c r="D6" s="835"/>
      <c r="E6" s="51"/>
      <c r="F6" s="51"/>
      <c r="G6" s="51"/>
      <c r="H6" s="51"/>
    </row>
    <row r="7" spans="1:8" ht="39.75" thickTop="1" thickBot="1">
      <c r="A7" s="802" t="s">
        <v>11</v>
      </c>
      <c r="B7" s="803" t="s">
        <v>12</v>
      </c>
      <c r="C7" s="803" t="s">
        <v>23</v>
      </c>
      <c r="D7" s="803" t="s">
        <v>24</v>
      </c>
      <c r="E7" s="803" t="s">
        <v>25</v>
      </c>
      <c r="F7" s="803" t="s">
        <v>26</v>
      </c>
      <c r="G7" s="804" t="s">
        <v>27</v>
      </c>
      <c r="H7" s="805" t="s">
        <v>28</v>
      </c>
    </row>
    <row r="8" spans="1:8" ht="15.75">
      <c r="A8" s="335"/>
      <c r="B8" s="336"/>
      <c r="C8" s="337"/>
      <c r="D8" s="338"/>
      <c r="E8" s="339"/>
      <c r="F8" s="340"/>
      <c r="G8" s="341"/>
      <c r="H8" s="342"/>
    </row>
    <row r="9" spans="1:8" ht="15.75">
      <c r="A9" s="806"/>
      <c r="B9" s="807"/>
      <c r="C9" s="808"/>
      <c r="D9" s="809"/>
      <c r="E9" s="810"/>
      <c r="F9" s="811"/>
      <c r="G9" s="812"/>
      <c r="H9" s="813"/>
    </row>
    <row r="10" spans="1:8" ht="15.75">
      <c r="A10" s="806"/>
      <c r="B10" s="807"/>
      <c r="C10" s="808"/>
      <c r="D10" s="809"/>
      <c r="E10" s="810"/>
      <c r="F10" s="811"/>
      <c r="G10" s="812"/>
      <c r="H10" s="813"/>
    </row>
    <row r="11" spans="1:8" ht="15.75">
      <c r="A11" s="806"/>
      <c r="B11" s="807"/>
      <c r="C11" s="808"/>
      <c r="D11" s="809"/>
      <c r="E11" s="810"/>
      <c r="F11" s="811"/>
      <c r="G11" s="812"/>
      <c r="H11" s="813"/>
    </row>
    <row r="12" spans="1:8" ht="15.75">
      <c r="A12" s="806"/>
      <c r="B12" s="807"/>
      <c r="C12" s="808"/>
      <c r="D12" s="809"/>
      <c r="E12" s="810"/>
      <c r="F12" s="811"/>
      <c r="G12" s="812"/>
      <c r="H12" s="813"/>
    </row>
    <row r="13" spans="1:8" ht="15.75">
      <c r="A13" s="343"/>
      <c r="B13" s="344"/>
      <c r="C13" s="345"/>
      <c r="D13" s="346"/>
      <c r="E13" s="347"/>
      <c r="F13" s="348"/>
      <c r="G13" s="349"/>
      <c r="H13" s="350"/>
    </row>
    <row r="14" spans="1:8" ht="15.75">
      <c r="A14" s="343"/>
      <c r="B14" s="344"/>
      <c r="C14" s="345"/>
      <c r="D14" s="346"/>
      <c r="E14" s="347"/>
      <c r="F14" s="348"/>
      <c r="G14" s="349"/>
      <c r="H14" s="350"/>
    </row>
    <row r="15" spans="1:8" ht="15.75">
      <c r="A15" s="343"/>
      <c r="B15" s="344"/>
      <c r="C15" s="345"/>
      <c r="D15" s="346"/>
      <c r="E15" s="347"/>
      <c r="F15" s="348"/>
      <c r="G15" s="347"/>
      <c r="H15" s="350"/>
    </row>
    <row r="16" spans="1:8" ht="15.75">
      <c r="A16" s="343"/>
      <c r="B16" s="344"/>
      <c r="C16" s="345"/>
      <c r="D16" s="344"/>
      <c r="E16" s="345"/>
      <c r="F16" s="345"/>
      <c r="G16" s="347"/>
      <c r="H16" s="350"/>
    </row>
    <row r="17" spans="1:8" ht="15.75">
      <c r="A17" s="351"/>
      <c r="B17" s="344"/>
      <c r="C17" s="345"/>
      <c r="D17" s="344"/>
      <c r="E17" s="345"/>
      <c r="F17" s="345"/>
      <c r="G17" s="347"/>
      <c r="H17" s="350"/>
    </row>
    <row r="18" spans="1:8" ht="15.75">
      <c r="A18" s="351"/>
      <c r="B18" s="344"/>
      <c r="C18" s="345"/>
      <c r="D18" s="344"/>
      <c r="E18" s="347"/>
      <c r="F18" s="345"/>
      <c r="G18" s="347"/>
      <c r="H18" s="350"/>
    </row>
    <row r="19" spans="1:8" ht="16.5" thickBot="1">
      <c r="A19" s="352"/>
      <c r="B19" s="353"/>
      <c r="C19" s="354"/>
      <c r="D19" s="355"/>
      <c r="E19" s="354"/>
      <c r="F19" s="354"/>
      <c r="G19" s="354"/>
      <c r="H19" s="356"/>
    </row>
    <row r="20" spans="1:8" ht="15.75" thickTop="1"/>
    <row r="45" spans="2:2">
      <c r="B45">
        <v>11111</v>
      </c>
    </row>
  </sheetData>
  <mergeCells count="11">
    <mergeCell ref="A5:H5"/>
    <mergeCell ref="A6:D6"/>
    <mergeCell ref="A1:B2"/>
    <mergeCell ref="C1:F2"/>
    <mergeCell ref="G1:H1"/>
    <mergeCell ref="G2:H2"/>
    <mergeCell ref="A3:B4"/>
    <mergeCell ref="C3:F3"/>
    <mergeCell ref="G3:H3"/>
    <mergeCell ref="C4:F4"/>
    <mergeCell ref="G4:H4"/>
  </mergeCells>
  <pageMargins left="0" right="0" top="0.75" bottom="0.75" header="0.3" footer="0.3"/>
  <pageSetup orientation="portrait" r:id="rId1"/>
  <headerFooter>
    <oddFooter xml:space="preserve">&amp;L&amp;P&amp;R1 of 1 </oddFooter>
  </headerFooter>
  <drawing r:id="rId2"/>
  <legacyDrawing r:id="rId3"/>
  <oleObjects>
    <mc:AlternateContent xmlns:mc="http://schemas.openxmlformats.org/markup-compatibility/2006">
      <mc:Choice Requires="x14">
        <oleObject progId="PBrush" shapeId="71681" r:id="rId4">
          <objectPr defaultSize="0" autoPict="0" r:id="rId5">
            <anchor moveWithCells="1" sizeWithCells="1">
              <from>
                <xdr:col>1</xdr:col>
                <xdr:colOff>0</xdr:colOff>
                <xdr:row>2</xdr:row>
                <xdr:rowOff>85725</xdr:rowOff>
              </from>
              <to>
                <xdr:col>1</xdr:col>
                <xdr:colOff>1143000</xdr:colOff>
                <xdr:row>3</xdr:row>
                <xdr:rowOff>561975</xdr:rowOff>
              </to>
            </anchor>
          </objectPr>
        </oleObject>
      </mc:Choice>
      <mc:Fallback>
        <oleObject progId="PBrush" shapeId="7168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249977111117893"/>
  </sheetPr>
  <dimension ref="A1:M44"/>
  <sheetViews>
    <sheetView view="pageBreakPreview" topLeftCell="A16" zoomScaleSheetLayoutView="100" workbookViewId="0">
      <selection activeCell="C10" sqref="C10"/>
    </sheetView>
  </sheetViews>
  <sheetFormatPr defaultRowHeight="15"/>
  <cols>
    <col min="1" max="1" width="9.140625" style="58"/>
    <col min="2" max="2" width="6.140625" style="58" customWidth="1"/>
    <col min="3" max="3" width="10.85546875" style="58" customWidth="1"/>
    <col min="4" max="4" width="10.5703125" style="58" customWidth="1"/>
    <col min="5" max="7" width="9.140625" style="58"/>
    <col min="8" max="8" width="18.28515625" style="58" customWidth="1"/>
    <col min="9" max="9" width="15.42578125" style="58" customWidth="1"/>
    <col min="10" max="10" width="9.140625" style="58"/>
    <col min="11" max="11" width="13.7109375" style="58" bestFit="1" customWidth="1"/>
    <col min="12" max="16384" width="9.140625" style="58"/>
  </cols>
  <sheetData>
    <row r="1" spans="1:13">
      <c r="A1" s="880" t="s">
        <v>336</v>
      </c>
      <c r="B1" s="881"/>
      <c r="C1" s="881"/>
      <c r="D1" s="882"/>
      <c r="E1" s="890" t="s">
        <v>332</v>
      </c>
      <c r="F1" s="890"/>
      <c r="G1" s="890"/>
      <c r="H1" s="890"/>
      <c r="I1" s="391" t="s">
        <v>334</v>
      </c>
    </row>
    <row r="2" spans="1:13" ht="21.75" customHeight="1">
      <c r="A2" s="883"/>
      <c r="B2" s="884"/>
      <c r="C2" s="884"/>
      <c r="D2" s="885"/>
      <c r="E2" s="891"/>
      <c r="F2" s="891"/>
      <c r="G2" s="891"/>
      <c r="H2" s="891"/>
      <c r="I2" s="390" t="s">
        <v>343</v>
      </c>
    </row>
    <row r="3" spans="1:13" ht="22.5" customHeight="1">
      <c r="A3" s="886"/>
      <c r="B3" s="887"/>
      <c r="C3" s="887"/>
      <c r="D3" s="887"/>
      <c r="E3" s="892" t="s">
        <v>30</v>
      </c>
      <c r="F3" s="893"/>
      <c r="G3" s="893"/>
      <c r="H3" s="894"/>
      <c r="I3" s="297" t="s">
        <v>335</v>
      </c>
    </row>
    <row r="4" spans="1:13" ht="38.25" customHeight="1" thickBot="1">
      <c r="A4" s="888"/>
      <c r="B4" s="889"/>
      <c r="C4" s="889"/>
      <c r="D4" s="889"/>
      <c r="E4" s="895"/>
      <c r="F4" s="896"/>
      <c r="G4" s="896"/>
      <c r="H4" s="897"/>
      <c r="I4" s="382">
        <v>1</v>
      </c>
    </row>
    <row r="5" spans="1:13" ht="15.75">
      <c r="A5" s="878" t="s">
        <v>29</v>
      </c>
      <c r="B5" s="878"/>
      <c r="C5" s="878"/>
      <c r="D5" s="878"/>
      <c r="E5" s="878"/>
      <c r="F5" s="878"/>
      <c r="G5" s="878"/>
      <c r="H5" s="878"/>
      <c r="I5" s="878"/>
    </row>
    <row r="7" spans="1:13" ht="18" customHeight="1">
      <c r="A7" s="59" t="s">
        <v>19</v>
      </c>
      <c r="B7" s="58" t="s">
        <v>31</v>
      </c>
      <c r="C7" s="60" t="s">
        <v>32</v>
      </c>
      <c r="E7" s="879" t="s">
        <v>33</v>
      </c>
      <c r="F7" s="879"/>
      <c r="G7" s="879"/>
      <c r="H7" s="879"/>
      <c r="I7" s="879"/>
      <c r="J7" s="61"/>
      <c r="K7" s="61"/>
      <c r="L7" s="61"/>
      <c r="M7" s="61"/>
    </row>
    <row r="8" spans="1:13" ht="18" customHeight="1">
      <c r="A8" s="59" t="s">
        <v>21</v>
      </c>
      <c r="B8" s="58" t="s">
        <v>31</v>
      </c>
      <c r="C8" s="60" t="s">
        <v>34</v>
      </c>
      <c r="E8" s="877"/>
      <c r="F8" s="877"/>
      <c r="G8" s="877"/>
      <c r="H8" s="62" t="s">
        <v>35</v>
      </c>
      <c r="I8" s="62"/>
    </row>
    <row r="9" spans="1:13" ht="18" customHeight="1">
      <c r="A9" s="59" t="s">
        <v>22</v>
      </c>
      <c r="B9" s="58" t="s">
        <v>31</v>
      </c>
      <c r="C9" s="60" t="s">
        <v>36</v>
      </c>
      <c r="E9" s="877"/>
      <c r="F9" s="877"/>
      <c r="G9" s="877"/>
      <c r="H9" s="877"/>
      <c r="I9" s="877"/>
    </row>
    <row r="10" spans="1:13" ht="69" customHeight="1">
      <c r="A10" s="63" t="s">
        <v>37</v>
      </c>
      <c r="B10" s="64" t="s">
        <v>31</v>
      </c>
      <c r="C10" s="65" t="s">
        <v>38</v>
      </c>
      <c r="E10" s="875"/>
      <c r="F10" s="875"/>
      <c r="G10" s="875"/>
      <c r="H10" s="875"/>
      <c r="I10" s="875"/>
    </row>
    <row r="11" spans="1:13" ht="18" customHeight="1">
      <c r="A11" s="59" t="s">
        <v>39</v>
      </c>
      <c r="B11" s="58" t="s">
        <v>31</v>
      </c>
      <c r="C11" s="876" t="s">
        <v>40</v>
      </c>
      <c r="D11" s="876"/>
      <c r="E11" s="877" t="s">
        <v>41</v>
      </c>
      <c r="F11" s="877"/>
      <c r="G11" s="877"/>
      <c r="H11" s="877"/>
      <c r="I11" s="877"/>
    </row>
    <row r="12" spans="1:13" ht="18" customHeight="1">
      <c r="A12" s="59" t="s">
        <v>42</v>
      </c>
      <c r="B12" s="58" t="s">
        <v>31</v>
      </c>
      <c r="C12" s="58" t="s">
        <v>43</v>
      </c>
    </row>
    <row r="13" spans="1:13" ht="18" customHeight="1">
      <c r="A13" s="59" t="s">
        <v>44</v>
      </c>
      <c r="B13" s="58" t="s">
        <v>31</v>
      </c>
      <c r="C13" s="58" t="s">
        <v>45</v>
      </c>
      <c r="H13" s="66"/>
      <c r="K13" s="67"/>
    </row>
    <row r="14" spans="1:13" ht="18" customHeight="1">
      <c r="A14" s="59" t="s">
        <v>46</v>
      </c>
      <c r="B14" s="58" t="s">
        <v>31</v>
      </c>
      <c r="C14" s="58" t="s">
        <v>47</v>
      </c>
      <c r="H14" s="68"/>
    </row>
    <row r="15" spans="1:13" ht="18" customHeight="1">
      <c r="A15" s="59" t="s">
        <v>48</v>
      </c>
      <c r="B15" s="58" t="s">
        <v>31</v>
      </c>
      <c r="C15" s="58" t="s">
        <v>49</v>
      </c>
      <c r="H15" s="66"/>
    </row>
    <row r="16" spans="1:13" ht="18" customHeight="1">
      <c r="A16" s="59" t="s">
        <v>50</v>
      </c>
      <c r="B16" s="58" t="s">
        <v>31</v>
      </c>
      <c r="C16" s="58" t="s">
        <v>51</v>
      </c>
      <c r="H16" s="66"/>
    </row>
    <row r="17" spans="1:11" ht="18" customHeight="1">
      <c r="A17" s="59" t="s">
        <v>52</v>
      </c>
      <c r="B17" s="58" t="s">
        <v>31</v>
      </c>
      <c r="C17" s="58" t="s">
        <v>53</v>
      </c>
      <c r="H17" s="69"/>
    </row>
    <row r="18" spans="1:11" ht="18" customHeight="1">
      <c r="A18" s="59" t="s">
        <v>54</v>
      </c>
      <c r="B18" s="58" t="s">
        <v>31</v>
      </c>
      <c r="C18" s="58" t="s">
        <v>55</v>
      </c>
      <c r="H18" s="69">
        <f>H17*1.15</f>
        <v>0</v>
      </c>
    </row>
    <row r="19" spans="1:11" ht="18" customHeight="1">
      <c r="A19" s="59" t="s">
        <v>56</v>
      </c>
      <c r="B19" s="58" t="s">
        <v>31</v>
      </c>
      <c r="C19" s="58" t="s">
        <v>57</v>
      </c>
    </row>
    <row r="20" spans="1:11" ht="18" customHeight="1">
      <c r="B20" s="58" t="s">
        <v>31</v>
      </c>
      <c r="C20" s="58" t="s">
        <v>58</v>
      </c>
      <c r="H20" s="69"/>
    </row>
    <row r="21" spans="1:11" ht="18" customHeight="1">
      <c r="C21" s="58" t="s">
        <v>31</v>
      </c>
      <c r="D21" s="58" t="s">
        <v>59</v>
      </c>
      <c r="H21" s="70"/>
      <c r="I21" s="58" t="s">
        <v>60</v>
      </c>
    </row>
    <row r="22" spans="1:11" ht="18" customHeight="1">
      <c r="B22" s="58" t="s">
        <v>31</v>
      </c>
      <c r="C22" s="58" t="s">
        <v>61</v>
      </c>
      <c r="H22" s="69"/>
      <c r="I22" s="58" t="s">
        <v>62</v>
      </c>
    </row>
    <row r="23" spans="1:11" ht="18" customHeight="1">
      <c r="C23" s="58" t="s">
        <v>31</v>
      </c>
      <c r="D23" s="58" t="s">
        <v>59</v>
      </c>
      <c r="H23" s="70"/>
      <c r="I23" s="58" t="s">
        <v>60</v>
      </c>
      <c r="J23" s="71"/>
    </row>
    <row r="24" spans="1:11" ht="18" customHeight="1">
      <c r="A24" s="59" t="s">
        <v>63</v>
      </c>
      <c r="B24" s="58" t="s">
        <v>31</v>
      </c>
      <c r="C24" s="58" t="s">
        <v>64</v>
      </c>
      <c r="K24" s="72"/>
    </row>
    <row r="25" spans="1:11" ht="18" customHeight="1">
      <c r="C25" s="58" t="s">
        <v>31</v>
      </c>
      <c r="D25" s="58" t="s">
        <v>65</v>
      </c>
      <c r="H25" s="69"/>
    </row>
    <row r="26" spans="1:11" ht="18" customHeight="1">
      <c r="C26" s="58" t="s">
        <v>31</v>
      </c>
      <c r="D26" s="58" t="s">
        <v>66</v>
      </c>
      <c r="H26" s="69"/>
    </row>
    <row r="27" spans="1:11" ht="18" customHeight="1">
      <c r="A27" s="59" t="s">
        <v>67</v>
      </c>
      <c r="B27" s="58" t="s">
        <v>31</v>
      </c>
      <c r="C27" s="58" t="s">
        <v>68</v>
      </c>
    </row>
    <row r="28" spans="1:11" ht="18" customHeight="1">
      <c r="C28" s="58" t="s">
        <v>31</v>
      </c>
      <c r="D28" s="58" t="s">
        <v>69</v>
      </c>
      <c r="H28" s="68"/>
      <c r="I28" s="58" t="s">
        <v>70</v>
      </c>
    </row>
    <row r="29" spans="1:11" ht="18" customHeight="1">
      <c r="C29" s="58" t="s">
        <v>31</v>
      </c>
      <c r="D29" s="58" t="s">
        <v>59</v>
      </c>
      <c r="H29" s="70"/>
      <c r="I29" s="58" t="s">
        <v>60</v>
      </c>
    </row>
    <row r="30" spans="1:11" ht="18" customHeight="1">
      <c r="A30" s="59" t="s">
        <v>71</v>
      </c>
      <c r="B30" s="58" t="s">
        <v>31</v>
      </c>
      <c r="C30" s="58" t="s">
        <v>72</v>
      </c>
      <c r="H30" s="73"/>
    </row>
    <row r="31" spans="1:11" ht="18" customHeight="1">
      <c r="C31" s="58" t="s">
        <v>31</v>
      </c>
      <c r="D31" s="58" t="s">
        <v>73</v>
      </c>
      <c r="H31" s="74"/>
    </row>
    <row r="32" spans="1:11" ht="18" customHeight="1">
      <c r="A32" s="59" t="s">
        <v>74</v>
      </c>
      <c r="B32" s="58" t="s">
        <v>31</v>
      </c>
      <c r="C32" s="58" t="s">
        <v>75</v>
      </c>
      <c r="H32" s="73"/>
    </row>
    <row r="33" spans="1:8" ht="18" customHeight="1">
      <c r="C33" s="58" t="s">
        <v>31</v>
      </c>
      <c r="D33" s="58" t="s">
        <v>76</v>
      </c>
      <c r="H33" s="69"/>
    </row>
    <row r="34" spans="1:8" ht="18" customHeight="1">
      <c r="C34" s="58" t="s">
        <v>31</v>
      </c>
      <c r="D34" s="58" t="s">
        <v>77</v>
      </c>
      <c r="H34" s="69"/>
    </row>
    <row r="35" spans="1:8" ht="18" customHeight="1">
      <c r="C35" s="58" t="s">
        <v>31</v>
      </c>
      <c r="D35" s="58" t="s">
        <v>78</v>
      </c>
      <c r="H35" s="69"/>
    </row>
    <row r="36" spans="1:8" ht="18" customHeight="1">
      <c r="A36" s="59"/>
      <c r="B36" s="58" t="s">
        <v>31</v>
      </c>
      <c r="C36" s="58" t="s">
        <v>79</v>
      </c>
      <c r="H36" s="73"/>
    </row>
    <row r="37" spans="1:8" ht="18" customHeight="1">
      <c r="C37" s="58" t="s">
        <v>31</v>
      </c>
      <c r="D37" s="58" t="s">
        <v>76</v>
      </c>
      <c r="H37" s="69"/>
    </row>
    <row r="38" spans="1:8" ht="18" customHeight="1">
      <c r="C38" s="58" t="s">
        <v>31</v>
      </c>
      <c r="D38" s="58" t="s">
        <v>77</v>
      </c>
      <c r="H38" s="69"/>
    </row>
    <row r="39" spans="1:8" ht="18" customHeight="1">
      <c r="C39" s="58" t="s">
        <v>31</v>
      </c>
      <c r="D39" s="58" t="s">
        <v>78</v>
      </c>
      <c r="H39" s="69"/>
    </row>
    <row r="40" spans="1:8" ht="18" customHeight="1">
      <c r="A40" s="59"/>
      <c r="B40" s="58" t="s">
        <v>31</v>
      </c>
      <c r="C40" s="58" t="s">
        <v>75</v>
      </c>
      <c r="H40" s="73"/>
    </row>
    <row r="41" spans="1:8" ht="18" customHeight="1">
      <c r="C41" s="58" t="s">
        <v>31</v>
      </c>
      <c r="D41" s="58" t="s">
        <v>76</v>
      </c>
      <c r="H41" s="69"/>
    </row>
    <row r="42" spans="1:8" ht="18" customHeight="1">
      <c r="C42" s="58" t="s">
        <v>31</v>
      </c>
      <c r="D42" s="58" t="s">
        <v>77</v>
      </c>
      <c r="H42" s="69"/>
    </row>
    <row r="43" spans="1:8" ht="18" customHeight="1">
      <c r="C43" s="58" t="s">
        <v>31</v>
      </c>
      <c r="D43" s="58" t="s">
        <v>78</v>
      </c>
      <c r="H43" s="69"/>
    </row>
    <row r="44" spans="1:8" ht="18" customHeight="1">
      <c r="A44" s="59" t="s">
        <v>80</v>
      </c>
      <c r="B44" s="58" t="s">
        <v>31</v>
      </c>
      <c r="C44" s="58" t="s">
        <v>81</v>
      </c>
      <c r="H44" s="75"/>
    </row>
  </sheetData>
  <mergeCells count="11">
    <mergeCell ref="A1:D2"/>
    <mergeCell ref="A3:D4"/>
    <mergeCell ref="E1:H2"/>
    <mergeCell ref="E3:H4"/>
    <mergeCell ref="E9:I9"/>
    <mergeCell ref="E10:I10"/>
    <mergeCell ref="C11:D11"/>
    <mergeCell ref="E11:I11"/>
    <mergeCell ref="A5:I5"/>
    <mergeCell ref="E7:I7"/>
    <mergeCell ref="E8:G8"/>
  </mergeCells>
  <pageMargins left="0.27" right="0.28000000000000003" top="0.37" bottom="0.36" header="0.3" footer="0.3"/>
  <pageSetup paperSize="9" scale="92" orientation="portrait" r:id="rId1"/>
  <headerFooter>
    <oddFooter>&amp;RPage &amp;P of &amp;N</oddFooter>
  </headerFooter>
  <drawing r:id="rId2"/>
  <legacyDrawing r:id="rId3"/>
  <oleObjects>
    <mc:AlternateContent xmlns:mc="http://schemas.openxmlformats.org/markup-compatibility/2006">
      <mc:Choice Requires="x14">
        <oleObject progId="PBrush" shapeId="2049" r:id="rId4">
          <objectPr defaultSize="0" autoPict="0" r:id="rId5">
            <anchor moveWithCells="1" sizeWithCells="1">
              <from>
                <xdr:col>1</xdr:col>
                <xdr:colOff>123825</xdr:colOff>
                <xdr:row>2</xdr:row>
                <xdr:rowOff>38100</xdr:rowOff>
              </from>
              <to>
                <xdr:col>3</xdr:col>
                <xdr:colOff>104775</xdr:colOff>
                <xdr:row>3</xdr:row>
                <xdr:rowOff>409575</xdr:rowOff>
              </to>
            </anchor>
          </objectPr>
        </oleObject>
      </mc:Choice>
      <mc:Fallback>
        <oleObject progId="PBrush" shapeId="2049"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G39"/>
  <sheetViews>
    <sheetView topLeftCell="A13" workbookViewId="0">
      <selection activeCell="F10" sqref="F10"/>
    </sheetView>
  </sheetViews>
  <sheetFormatPr defaultRowHeight="15"/>
  <cols>
    <col min="2" max="2" width="21.7109375" customWidth="1"/>
    <col min="6" max="6" width="18.28515625" customWidth="1"/>
    <col min="7" max="7" width="23.5703125" customWidth="1"/>
  </cols>
  <sheetData>
    <row r="1" spans="1:7" ht="21.75" customHeight="1">
      <c r="A1" s="898" t="s">
        <v>336</v>
      </c>
      <c r="B1" s="899"/>
      <c r="C1" s="902" t="s">
        <v>332</v>
      </c>
      <c r="D1" s="903"/>
      <c r="E1" s="903"/>
      <c r="F1" s="904"/>
      <c r="G1" s="396" t="s">
        <v>334</v>
      </c>
    </row>
    <row r="2" spans="1:7">
      <c r="A2" s="900"/>
      <c r="B2" s="901"/>
      <c r="C2" s="905"/>
      <c r="D2" s="906"/>
      <c r="E2" s="906"/>
      <c r="F2" s="907"/>
      <c r="G2" s="357" t="s">
        <v>344</v>
      </c>
    </row>
    <row r="3" spans="1:7" ht="15.75">
      <c r="A3" s="908"/>
      <c r="B3" s="909"/>
      <c r="C3" s="911"/>
      <c r="D3" s="911"/>
      <c r="E3" s="911"/>
      <c r="F3" s="911"/>
      <c r="G3" s="383" t="s">
        <v>335</v>
      </c>
    </row>
    <row r="4" spans="1:7" ht="50.25" customHeight="1">
      <c r="A4" s="910"/>
      <c r="B4" s="911"/>
      <c r="C4" s="912" t="s">
        <v>358</v>
      </c>
      <c r="D4" s="913"/>
      <c r="E4" s="913"/>
      <c r="F4" s="914"/>
      <c r="G4" s="794">
        <v>1</v>
      </c>
    </row>
    <row r="5" spans="1:7" ht="15.75">
      <c r="A5" s="795" t="s">
        <v>341</v>
      </c>
      <c r="B5" s="796"/>
      <c r="C5" s="796"/>
      <c r="D5" s="796"/>
      <c r="E5" s="796"/>
      <c r="F5" s="796"/>
      <c r="G5" s="797"/>
    </row>
    <row r="6" spans="1:7" ht="15.75">
      <c r="A6" s="798" t="str">
        <f>'[74]General Information'!A3:I3</f>
        <v>Week period from______ To _________</v>
      </c>
      <c r="B6" s="799"/>
      <c r="C6" s="799"/>
      <c r="D6" s="799"/>
      <c r="E6" s="799"/>
      <c r="F6" s="800"/>
      <c r="G6" s="801"/>
    </row>
    <row r="7" spans="1:7" ht="15.75">
      <c r="A7" s="915" t="s">
        <v>11</v>
      </c>
      <c r="B7" s="917" t="s">
        <v>12</v>
      </c>
      <c r="C7" s="917" t="s">
        <v>13</v>
      </c>
      <c r="D7" s="917"/>
      <c r="E7" s="917"/>
      <c r="F7" s="917" t="s">
        <v>14</v>
      </c>
      <c r="G7" s="919" t="s">
        <v>15</v>
      </c>
    </row>
    <row r="8" spans="1:7" ht="16.5" thickBot="1">
      <c r="A8" s="916"/>
      <c r="B8" s="918"/>
      <c r="C8" s="451" t="s">
        <v>16</v>
      </c>
      <c r="D8" s="451" t="s">
        <v>17</v>
      </c>
      <c r="E8" s="451" t="s">
        <v>18</v>
      </c>
      <c r="F8" s="918"/>
      <c r="G8" s="920"/>
    </row>
    <row r="9" spans="1:7" ht="16.5" thickBot="1">
      <c r="A9" s="1" t="s">
        <v>19</v>
      </c>
      <c r="B9" s="2" t="s">
        <v>20</v>
      </c>
      <c r="C9" s="2"/>
      <c r="D9" s="2"/>
      <c r="E9" s="2"/>
      <c r="F9" s="3"/>
      <c r="G9" s="4"/>
    </row>
    <row r="10" spans="1:7" ht="15.75">
      <c r="A10" s="929">
        <v>1</v>
      </c>
      <c r="B10" s="931"/>
      <c r="C10" s="5"/>
      <c r="D10" s="5"/>
      <c r="E10" s="6"/>
      <c r="F10" s="6"/>
      <c r="G10" s="7"/>
    </row>
    <row r="11" spans="1:7" ht="15.75">
      <c r="A11" s="930"/>
      <c r="B11" s="932"/>
      <c r="C11" s="8"/>
      <c r="D11" s="8"/>
      <c r="E11" s="9"/>
      <c r="F11" s="10"/>
      <c r="G11" s="11"/>
    </row>
    <row r="12" spans="1:7" ht="15.75">
      <c r="A12" s="930"/>
      <c r="B12" s="932"/>
      <c r="C12" s="8"/>
      <c r="D12" s="8"/>
      <c r="E12" s="9"/>
      <c r="F12" s="10"/>
      <c r="G12" s="11"/>
    </row>
    <row r="13" spans="1:7" ht="15.75">
      <c r="A13" s="930"/>
      <c r="B13" s="932"/>
      <c r="C13" s="8"/>
      <c r="D13" s="8"/>
      <c r="E13" s="9"/>
      <c r="F13" s="10"/>
      <c r="G13" s="12"/>
    </row>
    <row r="14" spans="1:7" ht="15.75">
      <c r="A14" s="454"/>
      <c r="B14" s="13"/>
      <c r="C14" s="10"/>
      <c r="D14" s="10"/>
      <c r="E14" s="10"/>
      <c r="F14" s="14"/>
      <c r="G14" s="12"/>
    </row>
    <row r="15" spans="1:7" ht="15.75">
      <c r="A15" s="921">
        <v>2</v>
      </c>
      <c r="B15" s="933"/>
      <c r="C15" s="8"/>
      <c r="D15" s="8"/>
      <c r="E15" s="10"/>
      <c r="F15" s="10"/>
      <c r="G15" s="12"/>
    </row>
    <row r="16" spans="1:7" ht="15.75">
      <c r="A16" s="923"/>
      <c r="B16" s="934"/>
      <c r="C16" s="10"/>
      <c r="D16" s="10"/>
      <c r="E16" s="10"/>
      <c r="F16" s="10"/>
      <c r="G16" s="12"/>
    </row>
    <row r="17" spans="1:7" ht="16.5" thickBot="1">
      <c r="A17" s="15"/>
      <c r="B17" s="16"/>
      <c r="C17" s="17"/>
      <c r="D17" s="17"/>
      <c r="E17" s="17"/>
      <c r="F17" s="18"/>
      <c r="G17" s="19"/>
    </row>
    <row r="18" spans="1:7" ht="15.75">
      <c r="A18" s="453" t="s">
        <v>21</v>
      </c>
      <c r="B18" s="455"/>
      <c r="C18" s="20"/>
      <c r="D18" s="20"/>
      <c r="E18" s="20"/>
      <c r="F18" s="21"/>
      <c r="G18" s="22"/>
    </row>
    <row r="19" spans="1:7" ht="15.75">
      <c r="A19" s="930">
        <v>1</v>
      </c>
      <c r="B19" s="933"/>
      <c r="C19" s="8"/>
      <c r="D19" s="8"/>
      <c r="E19" s="10"/>
      <c r="F19" s="10"/>
      <c r="G19" s="12"/>
    </row>
    <row r="20" spans="1:7" ht="15.75">
      <c r="A20" s="930"/>
      <c r="B20" s="935"/>
      <c r="C20" s="8"/>
      <c r="D20" s="8"/>
      <c r="E20" s="10"/>
      <c r="F20" s="10"/>
      <c r="G20" s="12"/>
    </row>
    <row r="21" spans="1:7" ht="15.75">
      <c r="A21" s="921">
        <v>2</v>
      </c>
      <c r="B21" s="924"/>
      <c r="C21" s="8"/>
      <c r="D21" s="8"/>
      <c r="E21" s="23"/>
      <c r="F21" s="24"/>
      <c r="G21" s="12"/>
    </row>
    <row r="22" spans="1:7" ht="15.75">
      <c r="A22" s="922"/>
      <c r="B22" s="925"/>
      <c r="C22" s="8"/>
      <c r="D22" s="8"/>
      <c r="E22" s="23"/>
      <c r="F22" s="10"/>
      <c r="G22" s="12"/>
    </row>
    <row r="23" spans="1:7" ht="15.75">
      <c r="A23" s="923"/>
      <c r="B23" s="926"/>
      <c r="C23" s="8"/>
      <c r="D23" s="8"/>
      <c r="E23" s="23"/>
      <c r="F23" s="10"/>
      <c r="G23" s="12"/>
    </row>
    <row r="24" spans="1:7" ht="16.5" thickBot="1">
      <c r="A24" s="452">
        <v>3</v>
      </c>
      <c r="B24" s="25"/>
      <c r="C24" s="26"/>
      <c r="D24" s="27"/>
      <c r="E24" s="28"/>
      <c r="F24" s="9"/>
      <c r="G24" s="11"/>
    </row>
    <row r="25" spans="1:7" ht="15.75">
      <c r="A25" s="29" t="s">
        <v>22</v>
      </c>
      <c r="B25" s="927"/>
      <c r="C25" s="928"/>
      <c r="D25" s="30"/>
      <c r="E25" s="30"/>
      <c r="F25" s="30"/>
      <c r="G25" s="31"/>
    </row>
    <row r="26" spans="1:7" ht="15.75">
      <c r="A26" s="32">
        <v>1</v>
      </c>
      <c r="B26" s="33"/>
      <c r="C26" s="24"/>
      <c r="D26" s="24"/>
      <c r="E26" s="24"/>
      <c r="F26" s="24"/>
      <c r="G26" s="12"/>
    </row>
    <row r="27" spans="1:7" ht="15.75">
      <c r="A27" s="32">
        <v>2</v>
      </c>
      <c r="B27" s="33"/>
      <c r="C27" s="24"/>
      <c r="D27" s="24"/>
      <c r="E27" s="24"/>
      <c r="F27" s="24"/>
      <c r="G27" s="12"/>
    </row>
    <row r="28" spans="1:7" ht="15.75">
      <c r="A28" s="32">
        <v>3</v>
      </c>
      <c r="B28" s="33"/>
      <c r="C28" s="24"/>
      <c r="D28" s="24"/>
      <c r="E28" s="24"/>
      <c r="F28" s="24"/>
      <c r="G28" s="12"/>
    </row>
    <row r="29" spans="1:7" ht="15.75">
      <c r="A29" s="32">
        <v>4</v>
      </c>
      <c r="B29" s="33"/>
      <c r="C29" s="24"/>
      <c r="D29" s="24"/>
      <c r="E29" s="24"/>
      <c r="F29" s="24"/>
      <c r="G29" s="12"/>
    </row>
    <row r="30" spans="1:7" ht="15.75">
      <c r="A30" s="32">
        <v>5</v>
      </c>
      <c r="B30" s="34"/>
      <c r="C30" s="24"/>
      <c r="D30" s="24"/>
      <c r="E30" s="24"/>
      <c r="F30" s="24"/>
      <c r="G30" s="12"/>
    </row>
    <row r="31" spans="1:7" ht="16.5" thickBot="1">
      <c r="A31" s="35"/>
      <c r="B31" s="36"/>
      <c r="C31" s="37"/>
      <c r="D31" s="37"/>
      <c r="E31" s="37"/>
      <c r="F31" s="37"/>
      <c r="G31" s="38"/>
    </row>
    <row r="32" spans="1:7" ht="15.75">
      <c r="A32" s="454">
        <v>1</v>
      </c>
      <c r="B32" s="39"/>
      <c r="C32" s="28"/>
      <c r="D32" s="28"/>
      <c r="E32" s="28"/>
      <c r="F32" s="40"/>
      <c r="G32" s="11"/>
    </row>
    <row r="33" spans="1:7" ht="15.75">
      <c r="A33" s="454">
        <v>2</v>
      </c>
      <c r="B33" s="33"/>
      <c r="C33" s="23"/>
      <c r="D33" s="23"/>
      <c r="E33" s="23"/>
      <c r="F33" s="14"/>
      <c r="G33" s="41"/>
    </row>
    <row r="34" spans="1:7" ht="15.75">
      <c r="A34" s="454">
        <v>3</v>
      </c>
      <c r="B34" s="14"/>
      <c r="C34" s="14"/>
      <c r="D34" s="14"/>
      <c r="E34" s="14"/>
      <c r="F34" s="10"/>
      <c r="G34" s="41"/>
    </row>
    <row r="35" spans="1:7" ht="15.75">
      <c r="A35" s="454">
        <v>4</v>
      </c>
      <c r="B35" s="14"/>
      <c r="C35" s="14"/>
      <c r="D35" s="14"/>
      <c r="E35" s="14"/>
      <c r="F35" s="10"/>
      <c r="G35" s="41"/>
    </row>
    <row r="36" spans="1:7" ht="15.75">
      <c r="A36" s="395">
        <v>5</v>
      </c>
      <c r="B36" s="42"/>
      <c r="C36" s="14"/>
      <c r="D36" s="14"/>
      <c r="E36" s="14"/>
      <c r="F36" s="43"/>
      <c r="G36" s="41"/>
    </row>
    <row r="37" spans="1:7" ht="15.75">
      <c r="A37" s="395">
        <v>6</v>
      </c>
      <c r="B37" s="44"/>
      <c r="C37" s="18"/>
      <c r="D37" s="18"/>
      <c r="E37" s="18"/>
      <c r="F37" s="45"/>
      <c r="G37" s="46"/>
    </row>
    <row r="38" spans="1:7" ht="16.5" thickBot="1">
      <c r="A38" s="47"/>
      <c r="B38" s="48"/>
      <c r="C38" s="48"/>
      <c r="D38" s="48"/>
      <c r="E38" s="48"/>
      <c r="F38" s="48"/>
      <c r="G38" s="49"/>
    </row>
    <row r="39" spans="1:7" ht="15.75" thickTop="1"/>
  </sheetData>
  <mergeCells count="19">
    <mergeCell ref="A21:A23"/>
    <mergeCell ref="B21:B23"/>
    <mergeCell ref="B25:C25"/>
    <mergeCell ref="A10:A13"/>
    <mergeCell ref="B10:B13"/>
    <mergeCell ref="A15:A16"/>
    <mergeCell ref="B15:B16"/>
    <mergeCell ref="A19:A20"/>
    <mergeCell ref="B19:B20"/>
    <mergeCell ref="A7:A8"/>
    <mergeCell ref="B7:B8"/>
    <mergeCell ref="C7:E7"/>
    <mergeCell ref="F7:F8"/>
    <mergeCell ref="G7:G8"/>
    <mergeCell ref="A1:B2"/>
    <mergeCell ref="C1:F2"/>
    <mergeCell ref="A3:B4"/>
    <mergeCell ref="C3:F3"/>
    <mergeCell ref="C4:F4"/>
  </mergeCells>
  <pageMargins left="0" right="0" top="0.75" bottom="0.75" header="0.3" footer="0.3"/>
  <pageSetup orientation="portrait" r:id="rId1"/>
  <drawing r:id="rId2"/>
  <legacyDrawing r:id="rId3"/>
  <oleObjects>
    <mc:AlternateContent xmlns:mc="http://schemas.openxmlformats.org/markup-compatibility/2006">
      <mc:Choice Requires="x14">
        <oleObject progId="PBrush" shapeId="70657" r:id="rId4">
          <objectPr defaultSize="0" autoPict="0" r:id="rId5">
            <anchor moveWithCells="1" sizeWithCells="1">
              <from>
                <xdr:col>0</xdr:col>
                <xdr:colOff>400050</xdr:colOff>
                <xdr:row>2</xdr:row>
                <xdr:rowOff>76200</xdr:rowOff>
              </from>
              <to>
                <xdr:col>1</xdr:col>
                <xdr:colOff>1000125</xdr:colOff>
                <xdr:row>3</xdr:row>
                <xdr:rowOff>590550</xdr:rowOff>
              </to>
            </anchor>
          </objectPr>
        </oleObject>
      </mc:Choice>
      <mc:Fallback>
        <oleObject progId="PBrush" shapeId="7065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39997558519241921"/>
  </sheetPr>
  <dimension ref="A1:K64"/>
  <sheetViews>
    <sheetView showGridLines="0" view="pageBreakPreview" topLeftCell="A34" zoomScale="95" zoomScaleSheetLayoutView="95" workbookViewId="0">
      <selection activeCell="D48" sqref="D48"/>
    </sheetView>
  </sheetViews>
  <sheetFormatPr defaultRowHeight="15"/>
  <cols>
    <col min="1" max="1" width="7.85546875" style="93" customWidth="1"/>
    <col min="2" max="2" width="7.140625" style="76" customWidth="1"/>
    <col min="3" max="3" width="45.42578125" style="76" customWidth="1"/>
    <col min="4" max="5" width="27.85546875" style="76" customWidth="1"/>
    <col min="6" max="6" width="20" style="76" customWidth="1"/>
    <col min="7" max="7" width="17" style="76" customWidth="1"/>
    <col min="8" max="9" width="13.85546875" style="76" bestFit="1" customWidth="1"/>
    <col min="10" max="10" width="15.140625" style="76" customWidth="1"/>
    <col min="11" max="11" width="13.85546875" style="76" bestFit="1" customWidth="1"/>
    <col min="12" max="16384" width="9.140625" style="76"/>
  </cols>
  <sheetData>
    <row r="1" spans="1:7" ht="26.25" customHeight="1">
      <c r="A1" s="950" t="s">
        <v>336</v>
      </c>
      <c r="B1" s="951"/>
      <c r="C1" s="952"/>
      <c r="D1" s="960" t="s">
        <v>332</v>
      </c>
      <c r="E1" s="960"/>
      <c r="F1" s="384" t="s">
        <v>334</v>
      </c>
    </row>
    <row r="2" spans="1:7" s="77" customFormat="1" ht="26.25" customHeight="1">
      <c r="A2" s="953"/>
      <c r="B2" s="954"/>
      <c r="C2" s="955"/>
      <c r="D2" s="961"/>
      <c r="E2" s="961"/>
      <c r="F2" s="377"/>
    </row>
    <row r="3" spans="1:7" ht="26.25" customHeight="1">
      <c r="A3" s="956"/>
      <c r="B3" s="957"/>
      <c r="C3" s="957"/>
      <c r="D3" s="966" t="s">
        <v>360</v>
      </c>
      <c r="E3" s="967"/>
      <c r="F3" s="385" t="s">
        <v>335</v>
      </c>
    </row>
    <row r="4" spans="1:7" s="77" customFormat="1" ht="39.75" customHeight="1" thickBot="1">
      <c r="A4" s="958"/>
      <c r="B4" s="959"/>
      <c r="C4" s="959"/>
      <c r="D4" s="968"/>
      <c r="E4" s="969"/>
      <c r="F4" s="378">
        <v>1</v>
      </c>
    </row>
    <row r="5" spans="1:7" ht="18" customHeight="1">
      <c r="A5" s="962" t="s">
        <v>341</v>
      </c>
      <c r="B5" s="962"/>
      <c r="C5" s="962"/>
      <c r="D5" s="962"/>
      <c r="E5" s="962"/>
      <c r="F5" s="962"/>
    </row>
    <row r="6" spans="1:7" ht="15.75" customHeight="1" thickBot="1">
      <c r="A6" s="970" t="str">
        <f>'[74]General Information'!A3</f>
        <v>Week period from______ To _________</v>
      </c>
      <c r="B6" s="970"/>
      <c r="C6" s="970"/>
      <c r="D6" s="970"/>
      <c r="E6" s="970"/>
      <c r="F6" s="970"/>
    </row>
    <row r="7" spans="1:7" ht="15.75" thickTop="1">
      <c r="A7" s="963" t="s">
        <v>82</v>
      </c>
      <c r="B7" s="964"/>
      <c r="C7" s="964"/>
      <c r="D7" s="964"/>
      <c r="E7" s="964"/>
      <c r="F7" s="965"/>
    </row>
    <row r="8" spans="1:7">
      <c r="A8" s="397" t="s">
        <v>83</v>
      </c>
      <c r="B8" s="943" t="s">
        <v>84</v>
      </c>
      <c r="C8" s="943"/>
      <c r="D8" s="398" t="s">
        <v>85</v>
      </c>
      <c r="E8" s="398" t="s">
        <v>86</v>
      </c>
      <c r="F8" s="399" t="s">
        <v>87</v>
      </c>
    </row>
    <row r="9" spans="1:7" ht="24.95" customHeight="1">
      <c r="A9" s="78">
        <v>1</v>
      </c>
      <c r="B9" s="949"/>
      <c r="C9" s="949"/>
      <c r="D9" s="79"/>
      <c r="E9" s="79"/>
      <c r="F9" s="80"/>
      <c r="G9" s="81"/>
    </row>
    <row r="10" spans="1:7" ht="24.95" customHeight="1">
      <c r="A10" s="78">
        <v>2</v>
      </c>
      <c r="B10" s="949"/>
      <c r="C10" s="949"/>
      <c r="D10" s="79"/>
      <c r="E10" s="79"/>
      <c r="F10" s="80"/>
      <c r="G10" s="81"/>
    </row>
    <row r="11" spans="1:7" ht="24.95" customHeight="1">
      <c r="A11" s="78">
        <v>3</v>
      </c>
      <c r="B11" s="949"/>
      <c r="C11" s="949"/>
      <c r="D11" s="79"/>
      <c r="E11" s="79"/>
      <c r="F11" s="80"/>
      <c r="G11" s="81"/>
    </row>
    <row r="12" spans="1:7" ht="24.95" customHeight="1">
      <c r="A12" s="78">
        <v>4</v>
      </c>
      <c r="B12" s="949"/>
      <c r="C12" s="949"/>
      <c r="D12" s="79"/>
      <c r="E12" s="79"/>
      <c r="F12" s="80"/>
      <c r="G12" s="81"/>
    </row>
    <row r="13" spans="1:7" ht="30.75" customHeight="1">
      <c r="A13" s="78">
        <v>5</v>
      </c>
      <c r="B13" s="949"/>
      <c r="C13" s="949"/>
      <c r="D13" s="79"/>
      <c r="E13" s="79"/>
      <c r="F13" s="80"/>
      <c r="G13" s="81"/>
    </row>
    <row r="14" spans="1:7" ht="24.95" customHeight="1">
      <c r="A14" s="78">
        <v>6</v>
      </c>
      <c r="B14" s="949"/>
      <c r="C14" s="949"/>
      <c r="D14" s="79"/>
      <c r="E14" s="79"/>
      <c r="F14" s="80"/>
      <c r="G14" s="81"/>
    </row>
    <row r="15" spans="1:7" ht="24.95" customHeight="1">
      <c r="A15" s="78">
        <v>7</v>
      </c>
      <c r="B15" s="949"/>
      <c r="C15" s="949"/>
      <c r="D15" s="79"/>
      <c r="E15" s="79"/>
      <c r="F15" s="80"/>
      <c r="G15" s="81"/>
    </row>
    <row r="16" spans="1:7" ht="24.95" customHeight="1">
      <c r="A16" s="78">
        <v>8</v>
      </c>
      <c r="B16" s="949"/>
      <c r="C16" s="949"/>
      <c r="D16" s="79"/>
      <c r="E16" s="79"/>
      <c r="F16" s="80"/>
      <c r="G16" s="81"/>
    </row>
    <row r="17" spans="1:10" ht="24.95" customHeight="1">
      <c r="A17" s="78">
        <v>9</v>
      </c>
      <c r="B17" s="949"/>
      <c r="C17" s="949"/>
      <c r="D17" s="79"/>
      <c r="E17" s="79"/>
      <c r="F17" s="80"/>
      <c r="G17" s="81"/>
    </row>
    <row r="18" spans="1:10" ht="24.95" customHeight="1">
      <c r="A18" s="78">
        <v>10</v>
      </c>
      <c r="B18" s="949"/>
      <c r="C18" s="949"/>
      <c r="D18" s="79"/>
      <c r="E18" s="79"/>
      <c r="F18" s="80"/>
      <c r="G18" s="81"/>
      <c r="J18" s="82"/>
    </row>
    <row r="19" spans="1:10">
      <c r="A19" s="400"/>
      <c r="B19" s="937" t="s">
        <v>88</v>
      </c>
      <c r="C19" s="937"/>
      <c r="D19" s="401">
        <f t="shared" ref="D19" si="0">SUM(D9:D18)</f>
        <v>0</v>
      </c>
      <c r="E19" s="401">
        <f>SUM(E9:E18)</f>
        <v>0</v>
      </c>
      <c r="F19" s="402">
        <f>SUM(F9:F18)</f>
        <v>0</v>
      </c>
      <c r="G19" s="81"/>
    </row>
    <row r="20" spans="1:10">
      <c r="A20" s="947" t="s">
        <v>89</v>
      </c>
      <c r="B20" s="937"/>
      <c r="C20" s="937"/>
      <c r="D20" s="937"/>
      <c r="E20" s="937"/>
      <c r="F20" s="948"/>
      <c r="H20" s="81"/>
    </row>
    <row r="21" spans="1:10">
      <c r="A21" s="83"/>
      <c r="B21" s="84" t="s">
        <v>90</v>
      </c>
      <c r="C21" s="84"/>
      <c r="D21" s="84" t="s">
        <v>85</v>
      </c>
      <c r="E21" s="84" t="s">
        <v>86</v>
      </c>
      <c r="F21" s="85" t="s">
        <v>87</v>
      </c>
    </row>
    <row r="22" spans="1:10">
      <c r="A22" s="78"/>
      <c r="B22" s="86"/>
      <c r="C22" s="87"/>
      <c r="D22" s="88"/>
      <c r="E22" s="88"/>
      <c r="F22" s="80">
        <f>E22+D22</f>
        <v>0</v>
      </c>
      <c r="H22" s="81"/>
    </row>
    <row r="23" spans="1:10" ht="33">
      <c r="A23" s="78"/>
      <c r="B23" s="86"/>
      <c r="C23" s="87"/>
      <c r="D23" s="88"/>
      <c r="E23" s="88"/>
      <c r="F23" s="80">
        <f>D23+E23</f>
        <v>0</v>
      </c>
      <c r="H23" s="814">
        <v>222</v>
      </c>
    </row>
    <row r="24" spans="1:10">
      <c r="A24" s="940" t="s">
        <v>91</v>
      </c>
      <c r="B24" s="941"/>
      <c r="C24" s="941"/>
      <c r="D24" s="79">
        <f>SUM(D22:D23)</f>
        <v>0</v>
      </c>
      <c r="E24" s="79">
        <f>SUM(E22:E23)</f>
        <v>0</v>
      </c>
      <c r="F24" s="80">
        <f>SUM(F22:F23)</f>
        <v>0</v>
      </c>
    </row>
    <row r="25" spans="1:10">
      <c r="A25" s="942" t="s">
        <v>92</v>
      </c>
      <c r="B25" s="943"/>
      <c r="C25" s="943"/>
      <c r="D25" s="403"/>
      <c r="E25" s="403"/>
      <c r="F25" s="404"/>
    </row>
    <row r="26" spans="1:10" ht="14.25" customHeight="1">
      <c r="A26" s="78"/>
      <c r="B26" s="86" t="s">
        <v>90</v>
      </c>
      <c r="C26" s="86"/>
      <c r="D26" s="84" t="s">
        <v>85</v>
      </c>
      <c r="E26" s="84" t="s">
        <v>86</v>
      </c>
      <c r="F26" s="85" t="s">
        <v>87</v>
      </c>
    </row>
    <row r="27" spans="1:10">
      <c r="A27" s="78"/>
      <c r="B27" s="944" t="s">
        <v>93</v>
      </c>
      <c r="C27" s="944"/>
      <c r="D27" s="86"/>
      <c r="E27" s="86"/>
      <c r="F27" s="80">
        <f>D27+E27</f>
        <v>0</v>
      </c>
    </row>
    <row r="28" spans="1:10">
      <c r="A28" s="78">
        <v>1</v>
      </c>
      <c r="B28" s="938" t="s">
        <v>94</v>
      </c>
      <c r="C28" s="938"/>
      <c r="D28" s="86"/>
      <c r="E28" s="86"/>
      <c r="F28" s="80">
        <f t="shared" ref="F28:F29" si="1">D28+E28</f>
        <v>0</v>
      </c>
    </row>
    <row r="29" spans="1:10">
      <c r="A29" s="78">
        <v>1.1000000000000001</v>
      </c>
      <c r="B29" s="86" t="s">
        <v>95</v>
      </c>
      <c r="C29" s="86"/>
      <c r="D29" s="86"/>
      <c r="E29" s="86"/>
      <c r="F29" s="80">
        <f t="shared" si="1"/>
        <v>0</v>
      </c>
    </row>
    <row r="30" spans="1:10">
      <c r="A30" s="78"/>
      <c r="B30" s="86" t="s">
        <v>96</v>
      </c>
      <c r="C30" s="86" t="s">
        <v>97</v>
      </c>
      <c r="D30" s="79"/>
      <c r="E30" s="79"/>
      <c r="F30" s="80"/>
    </row>
    <row r="31" spans="1:10">
      <c r="A31" s="78"/>
      <c r="B31" s="86" t="s">
        <v>98</v>
      </c>
      <c r="C31" s="86" t="s">
        <v>99</v>
      </c>
      <c r="D31" s="79"/>
      <c r="E31" s="79"/>
      <c r="F31" s="80"/>
    </row>
    <row r="32" spans="1:10">
      <c r="A32" s="945" t="s">
        <v>100</v>
      </c>
      <c r="B32" s="946"/>
      <c r="C32" s="946"/>
      <c r="D32" s="401">
        <f>SUM(D27:D31)</f>
        <v>0</v>
      </c>
      <c r="E32" s="401">
        <f>SUM(E27:E31)</f>
        <v>0</v>
      </c>
      <c r="F32" s="402">
        <f>SUM(F27:F31)</f>
        <v>0</v>
      </c>
    </row>
    <row r="33" spans="1:11" ht="15.75">
      <c r="A33" s="78">
        <v>2</v>
      </c>
      <c r="B33" s="938" t="s">
        <v>101</v>
      </c>
      <c r="C33" s="938"/>
      <c r="D33" s="79"/>
      <c r="E33" s="79"/>
      <c r="F33" s="80"/>
    </row>
    <row r="34" spans="1:11">
      <c r="A34" s="78"/>
      <c r="B34" s="938" t="s">
        <v>102</v>
      </c>
      <c r="C34" s="938"/>
      <c r="D34" s="79"/>
      <c r="E34" s="79"/>
      <c r="F34" s="89"/>
    </row>
    <row r="35" spans="1:11">
      <c r="A35" s="78"/>
      <c r="B35" s="938" t="s">
        <v>103</v>
      </c>
      <c r="C35" s="938"/>
      <c r="D35" s="79"/>
      <c r="E35" s="79"/>
      <c r="F35" s="89"/>
    </row>
    <row r="36" spans="1:11">
      <c r="A36" s="78"/>
      <c r="B36" s="86" t="s">
        <v>104</v>
      </c>
      <c r="C36" s="86"/>
      <c r="D36" s="79"/>
      <c r="E36" s="79"/>
      <c r="F36" s="89"/>
    </row>
    <row r="37" spans="1:11">
      <c r="A37" s="78"/>
      <c r="B37" s="86" t="s">
        <v>105</v>
      </c>
      <c r="C37" s="86"/>
      <c r="D37" s="79"/>
      <c r="E37" s="79"/>
      <c r="F37" s="89"/>
    </row>
    <row r="38" spans="1:11">
      <c r="A38" s="78"/>
      <c r="B38" s="815" t="s">
        <v>106</v>
      </c>
      <c r="C38" s="816"/>
      <c r="D38" s="79"/>
      <c r="E38" s="79"/>
      <c r="F38" s="89"/>
      <c r="I38" s="81"/>
      <c r="K38" s="81"/>
    </row>
    <row r="39" spans="1:11">
      <c r="A39" s="78"/>
      <c r="B39" s="86" t="s">
        <v>107</v>
      </c>
      <c r="C39" s="86"/>
      <c r="D39" s="79"/>
      <c r="E39" s="79"/>
      <c r="F39" s="89"/>
    </row>
    <row r="40" spans="1:11">
      <c r="A40" s="945" t="s">
        <v>108</v>
      </c>
      <c r="B40" s="946"/>
      <c r="C40" s="946"/>
      <c r="D40" s="401">
        <f>SUM(D34:D39)</f>
        <v>0</v>
      </c>
      <c r="E40" s="401">
        <f>SUM(E34:E39)</f>
        <v>0</v>
      </c>
      <c r="F40" s="402">
        <f>SUM(F33:F39)</f>
        <v>0</v>
      </c>
      <c r="H40" s="90"/>
      <c r="I40" s="82"/>
    </row>
    <row r="41" spans="1:11">
      <c r="A41" s="78">
        <v>3</v>
      </c>
      <c r="B41" s="938" t="s">
        <v>109</v>
      </c>
      <c r="C41" s="938"/>
      <c r="D41" s="79"/>
      <c r="E41" s="79"/>
      <c r="F41" s="80"/>
      <c r="I41" s="81"/>
    </row>
    <row r="42" spans="1:11">
      <c r="A42" s="78"/>
      <c r="B42" s="86">
        <v>3.1</v>
      </c>
      <c r="C42" s="86" t="s">
        <v>110</v>
      </c>
      <c r="D42" s="79"/>
      <c r="E42" s="79"/>
      <c r="F42" s="80"/>
      <c r="I42" s="81"/>
    </row>
    <row r="43" spans="1:11">
      <c r="A43" s="78"/>
      <c r="B43" s="86">
        <v>3.2</v>
      </c>
      <c r="C43" s="86" t="s">
        <v>111</v>
      </c>
      <c r="D43" s="79"/>
      <c r="E43" s="79"/>
      <c r="F43" s="80"/>
      <c r="H43" s="81"/>
    </row>
    <row r="44" spans="1:11">
      <c r="A44" s="78"/>
      <c r="B44" s="86">
        <v>3.4</v>
      </c>
      <c r="C44" s="86" t="s">
        <v>112</v>
      </c>
      <c r="D44" s="79"/>
      <c r="E44" s="79"/>
      <c r="F44" s="80"/>
      <c r="H44" s="90"/>
    </row>
    <row r="45" spans="1:11">
      <c r="A45" s="78"/>
      <c r="B45" s="86">
        <v>3.5</v>
      </c>
      <c r="C45" s="86" t="s">
        <v>113</v>
      </c>
      <c r="D45" s="79"/>
      <c r="E45" s="79"/>
      <c r="F45" s="80"/>
      <c r="J45" s="81"/>
    </row>
    <row r="46" spans="1:11">
      <c r="A46" s="78"/>
      <c r="B46" s="86">
        <v>3.6</v>
      </c>
      <c r="C46" s="86" t="s">
        <v>114</v>
      </c>
      <c r="D46" s="79"/>
      <c r="E46" s="79"/>
      <c r="F46" s="80"/>
    </row>
    <row r="47" spans="1:11" ht="15.75" customHeight="1">
      <c r="A47" s="945" t="s">
        <v>115</v>
      </c>
      <c r="B47" s="946"/>
      <c r="C47" s="946"/>
      <c r="D47" s="401"/>
      <c r="E47" s="401"/>
      <c r="F47" s="402"/>
      <c r="H47" s="90"/>
    </row>
    <row r="48" spans="1:11" ht="15.75" customHeight="1">
      <c r="A48" s="78">
        <v>4</v>
      </c>
      <c r="B48" s="86" t="s">
        <v>116</v>
      </c>
      <c r="C48" s="86"/>
      <c r="D48" s="79"/>
      <c r="E48" s="79"/>
      <c r="F48" s="80"/>
    </row>
    <row r="49" spans="1:10" ht="15.75" customHeight="1">
      <c r="A49" s="78">
        <v>5</v>
      </c>
      <c r="B49" s="86" t="s">
        <v>117</v>
      </c>
      <c r="C49" s="86"/>
      <c r="D49" s="79"/>
      <c r="E49" s="79"/>
      <c r="F49" s="80"/>
    </row>
    <row r="50" spans="1:10" ht="15.75" customHeight="1">
      <c r="A50" s="939" t="s">
        <v>118</v>
      </c>
      <c r="B50" s="938"/>
      <c r="C50" s="938"/>
      <c r="D50" s="79"/>
      <c r="E50" s="79"/>
      <c r="F50" s="80"/>
    </row>
    <row r="51" spans="1:10">
      <c r="A51" s="78"/>
      <c r="B51" s="937" t="s">
        <v>119</v>
      </c>
      <c r="C51" s="937"/>
      <c r="D51" s="401"/>
      <c r="E51" s="401"/>
      <c r="F51" s="402"/>
    </row>
    <row r="52" spans="1:10">
      <c r="A52" s="78"/>
      <c r="B52" s="938" t="s">
        <v>120</v>
      </c>
      <c r="C52" s="938"/>
      <c r="D52" s="79"/>
      <c r="E52" s="79"/>
      <c r="F52" s="80"/>
    </row>
    <row r="53" spans="1:10">
      <c r="A53" s="78">
        <v>1</v>
      </c>
      <c r="B53" s="938" t="s">
        <v>121</v>
      </c>
      <c r="C53" s="938"/>
      <c r="D53" s="79"/>
      <c r="E53" s="79"/>
      <c r="F53" s="80"/>
    </row>
    <row r="54" spans="1:10">
      <c r="A54" s="78">
        <v>2</v>
      </c>
      <c r="B54" s="938" t="s">
        <v>122</v>
      </c>
      <c r="C54" s="938"/>
      <c r="D54" s="79"/>
      <c r="E54" s="79"/>
      <c r="F54" s="80"/>
      <c r="J54" s="91"/>
    </row>
    <row r="55" spans="1:10">
      <c r="A55" s="400"/>
      <c r="B55" s="937" t="s">
        <v>123</v>
      </c>
      <c r="C55" s="937"/>
      <c r="D55" s="401"/>
      <c r="E55" s="401"/>
      <c r="F55" s="402"/>
      <c r="G55" s="405"/>
      <c r="J55" s="92"/>
    </row>
    <row r="56" spans="1:10">
      <c r="A56" s="400"/>
      <c r="B56" s="937" t="s">
        <v>124</v>
      </c>
      <c r="C56" s="937"/>
      <c r="D56" s="401"/>
      <c r="E56" s="401"/>
      <c r="F56" s="402"/>
      <c r="G56" s="405"/>
      <c r="J56" s="92"/>
    </row>
    <row r="57" spans="1:10" ht="15.75" thickBot="1">
      <c r="A57" s="406"/>
      <c r="B57" s="936" t="s">
        <v>125</v>
      </c>
      <c r="C57" s="936"/>
      <c r="D57" s="407"/>
      <c r="E57" s="407"/>
      <c r="F57" s="408"/>
      <c r="G57" s="405"/>
    </row>
    <row r="58" spans="1:10" ht="15.75" thickTop="1">
      <c r="A58" s="409"/>
      <c r="B58" s="405"/>
      <c r="C58" s="405"/>
      <c r="D58" s="410"/>
      <c r="E58" s="405"/>
      <c r="F58" s="405"/>
      <c r="G58" s="405"/>
    </row>
    <row r="59" spans="1:10" ht="15.75" customHeight="1">
      <c r="D59" s="81"/>
    </row>
    <row r="60" spans="1:10">
      <c r="C60" s="81"/>
      <c r="D60" s="81"/>
    </row>
    <row r="61" spans="1:10">
      <c r="D61" s="82"/>
      <c r="E61" s="82"/>
      <c r="F61" s="82"/>
    </row>
    <row r="63" spans="1:10">
      <c r="D63" s="82"/>
      <c r="E63" s="82"/>
      <c r="F63" s="82"/>
    </row>
    <row r="64" spans="1:10">
      <c r="D64" s="81"/>
    </row>
  </sheetData>
  <mergeCells count="39">
    <mergeCell ref="B8:C8"/>
    <mergeCell ref="A1:C2"/>
    <mergeCell ref="A3:C4"/>
    <mergeCell ref="D1:E2"/>
    <mergeCell ref="A5:F5"/>
    <mergeCell ref="A7:F7"/>
    <mergeCell ref="D3:E4"/>
    <mergeCell ref="A6:F6"/>
    <mergeCell ref="A20:F20"/>
    <mergeCell ref="B9:C9"/>
    <mergeCell ref="B10:C10"/>
    <mergeCell ref="B11:C11"/>
    <mergeCell ref="B12:C12"/>
    <mergeCell ref="B13:C13"/>
    <mergeCell ref="B14:C14"/>
    <mergeCell ref="B15:C15"/>
    <mergeCell ref="B16:C16"/>
    <mergeCell ref="B17:C17"/>
    <mergeCell ref="B18:C18"/>
    <mergeCell ref="B19:C19"/>
    <mergeCell ref="A50:C50"/>
    <mergeCell ref="A24:C24"/>
    <mergeCell ref="A25:C25"/>
    <mergeCell ref="B27:C27"/>
    <mergeCell ref="B28:C28"/>
    <mergeCell ref="A32:C32"/>
    <mergeCell ref="B33:C33"/>
    <mergeCell ref="B34:C34"/>
    <mergeCell ref="B35:C35"/>
    <mergeCell ref="A40:C40"/>
    <mergeCell ref="B41:C41"/>
    <mergeCell ref="A47:C47"/>
    <mergeCell ref="B57:C57"/>
    <mergeCell ref="B51:C51"/>
    <mergeCell ref="B52:C52"/>
    <mergeCell ref="B53:C53"/>
    <mergeCell ref="B54:C54"/>
    <mergeCell ref="B55:C55"/>
    <mergeCell ref="B56:C56"/>
  </mergeCells>
  <pageMargins left="0.24" right="0.28999999999999998" top="0.19" bottom="0.3" header="0.16" footer="0.3"/>
  <pageSetup scale="73" fitToWidth="0" fitToHeight="0" orientation="portrait" r:id="rId1"/>
  <headerFooter>
    <oddFooter>&amp;C2&amp;RPage &amp;P of &amp;N</oddFooter>
  </headerFooter>
  <drawing r:id="rId2"/>
  <legacyDrawing r:id="rId3"/>
  <oleObjects>
    <mc:AlternateContent xmlns:mc="http://schemas.openxmlformats.org/markup-compatibility/2006">
      <mc:Choice Requires="x14">
        <oleObject progId="PBrush" shapeId="4097" r:id="rId4">
          <objectPr defaultSize="0" autoPict="0" r:id="rId5">
            <anchor moveWithCells="1" sizeWithCells="1">
              <from>
                <xdr:col>2</xdr:col>
                <xdr:colOff>514350</xdr:colOff>
                <xdr:row>2</xdr:row>
                <xdr:rowOff>104775</xdr:rowOff>
              </from>
              <to>
                <xdr:col>2</xdr:col>
                <xdr:colOff>1657350</xdr:colOff>
                <xdr:row>3</xdr:row>
                <xdr:rowOff>361950</xdr:rowOff>
              </to>
            </anchor>
          </objectPr>
        </oleObject>
      </mc:Choice>
      <mc:Fallback>
        <oleObject progId="PBrush" shapeId="4097"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249977111117893"/>
  </sheetPr>
  <dimension ref="A1:M53"/>
  <sheetViews>
    <sheetView zoomScaleSheetLayoutView="73" workbookViewId="0">
      <selection activeCell="B12" sqref="B12"/>
    </sheetView>
  </sheetViews>
  <sheetFormatPr defaultColWidth="9.140625" defaultRowHeight="15.75"/>
  <cols>
    <col min="1" max="1" width="10.85546875" style="158" customWidth="1"/>
    <col min="2" max="2" width="71.140625" style="157" customWidth="1"/>
    <col min="3" max="3" width="8.5703125" style="94" bestFit="1" customWidth="1"/>
    <col min="4" max="4" width="13.140625" style="158" bestFit="1" customWidth="1"/>
    <col min="5" max="5" width="16" style="159" customWidth="1"/>
    <col min="6" max="6" width="19.28515625" style="159" customWidth="1"/>
    <col min="7" max="9" width="14.5703125" style="159" customWidth="1"/>
    <col min="10" max="10" width="17.7109375" style="160" customWidth="1"/>
    <col min="11" max="11" width="17.7109375" style="158" customWidth="1"/>
    <col min="12" max="12" width="17.85546875" style="160" customWidth="1"/>
    <col min="13" max="13" width="13.140625" style="158" customWidth="1"/>
    <col min="14" max="16384" width="9.140625" style="94"/>
  </cols>
  <sheetData>
    <row r="1" spans="1:13" ht="24" customHeight="1">
      <c r="A1" s="989" t="s">
        <v>371</v>
      </c>
      <c r="B1" s="990"/>
      <c r="C1" s="457"/>
      <c r="D1" s="458"/>
      <c r="E1" s="458"/>
      <c r="F1" s="971" t="s">
        <v>332</v>
      </c>
      <c r="G1" s="971"/>
      <c r="H1" s="458"/>
      <c r="I1" s="458"/>
      <c r="J1" s="461"/>
      <c r="K1" s="466" t="s">
        <v>334</v>
      </c>
      <c r="L1" s="464"/>
      <c r="M1" s="465"/>
    </row>
    <row r="2" spans="1:13" ht="24" customHeight="1">
      <c r="A2" s="972" t="s">
        <v>372</v>
      </c>
      <c r="B2" s="973"/>
      <c r="C2" s="459"/>
      <c r="D2" s="460"/>
      <c r="E2" s="460"/>
      <c r="F2" s="460"/>
      <c r="G2" s="460"/>
      <c r="H2" s="460"/>
      <c r="I2" s="460"/>
      <c r="J2" s="462"/>
      <c r="K2" s="463" t="s">
        <v>345</v>
      </c>
      <c r="L2" s="464"/>
      <c r="M2" s="465"/>
    </row>
    <row r="3" spans="1:13" s="76" customFormat="1" ht="24" customHeight="1">
      <c r="A3" s="978"/>
      <c r="B3" s="979"/>
      <c r="C3" s="982"/>
      <c r="D3" s="982"/>
      <c r="E3" s="982"/>
      <c r="F3" s="982"/>
      <c r="G3" s="982"/>
      <c r="H3" s="982"/>
      <c r="I3" s="982"/>
      <c r="J3" s="982"/>
      <c r="K3" s="984" t="s">
        <v>335</v>
      </c>
      <c r="L3" s="985"/>
      <c r="M3" s="986"/>
    </row>
    <row r="4" spans="1:13" ht="59.25" customHeight="1" thickBot="1">
      <c r="A4" s="980"/>
      <c r="B4" s="981"/>
      <c r="C4" s="983" t="s">
        <v>359</v>
      </c>
      <c r="D4" s="983"/>
      <c r="E4" s="983"/>
      <c r="F4" s="983"/>
      <c r="G4" s="983"/>
      <c r="H4" s="983"/>
      <c r="I4" s="983"/>
      <c r="J4" s="983"/>
      <c r="K4" s="987">
        <v>1</v>
      </c>
      <c r="L4" s="987"/>
      <c r="M4" s="988"/>
    </row>
    <row r="5" spans="1:13" s="76" customFormat="1" ht="24" customHeight="1" thickBot="1">
      <c r="A5" s="974" t="s">
        <v>373</v>
      </c>
      <c r="B5" s="974"/>
      <c r="C5" s="974"/>
      <c r="D5" s="974"/>
      <c r="E5" s="974"/>
      <c r="F5" s="974"/>
      <c r="G5" s="974"/>
      <c r="H5" s="974"/>
      <c r="I5" s="974"/>
      <c r="J5" s="974"/>
      <c r="K5" s="974"/>
      <c r="L5" s="974"/>
      <c r="M5" s="974"/>
    </row>
    <row r="6" spans="1:13" ht="17.25" thickTop="1" thickBot="1">
      <c r="A6" s="411"/>
      <c r="B6" s="95" t="str">
        <f>'[74]General Information'!A3</f>
        <v>Week period from______ To _________</v>
      </c>
      <c r="C6" s="95"/>
      <c r="D6" s="95"/>
      <c r="E6" s="95"/>
      <c r="F6" s="95"/>
      <c r="G6" s="975" t="s">
        <v>126</v>
      </c>
      <c r="H6" s="976"/>
      <c r="I6" s="976"/>
      <c r="J6" s="976" t="s">
        <v>127</v>
      </c>
      <c r="K6" s="976"/>
      <c r="L6" s="977"/>
      <c r="M6" s="95"/>
    </row>
    <row r="7" spans="1:13" ht="33" thickTop="1" thickBot="1">
      <c r="A7" s="412" t="s">
        <v>128</v>
      </c>
      <c r="B7" s="413" t="s">
        <v>129</v>
      </c>
      <c r="C7" s="413" t="s">
        <v>130</v>
      </c>
      <c r="D7" s="414" t="s">
        <v>131</v>
      </c>
      <c r="E7" s="415" t="s">
        <v>132</v>
      </c>
      <c r="F7" s="416" t="s">
        <v>133</v>
      </c>
      <c r="G7" s="417" t="s">
        <v>134</v>
      </c>
      <c r="H7" s="418" t="s">
        <v>135</v>
      </c>
      <c r="I7" s="417" t="s">
        <v>136</v>
      </c>
      <c r="J7" s="417" t="s">
        <v>137</v>
      </c>
      <c r="K7" s="418" t="s">
        <v>138</v>
      </c>
      <c r="L7" s="417" t="s">
        <v>139</v>
      </c>
      <c r="M7" s="419" t="s">
        <v>15</v>
      </c>
    </row>
    <row r="8" spans="1:13">
      <c r="A8" s="420"/>
      <c r="B8" s="96"/>
      <c r="C8" s="97"/>
      <c r="D8" s="98"/>
      <c r="E8" s="99"/>
      <c r="F8" s="100"/>
      <c r="G8" s="99"/>
      <c r="H8" s="99"/>
      <c r="I8" s="99"/>
      <c r="J8" s="101"/>
      <c r="K8" s="98"/>
      <c r="L8" s="101"/>
      <c r="M8" s="102"/>
    </row>
    <row r="9" spans="1:13">
      <c r="A9" s="421"/>
      <c r="B9" s="103"/>
      <c r="C9" s="104"/>
      <c r="D9" s="105"/>
      <c r="E9" s="106"/>
      <c r="F9" s="107"/>
      <c r="G9" s="106"/>
      <c r="H9" s="106"/>
      <c r="I9" s="106"/>
      <c r="J9" s="108"/>
      <c r="K9" s="105"/>
      <c r="L9" s="108"/>
      <c r="M9" s="109"/>
    </row>
    <row r="10" spans="1:13">
      <c r="A10" s="422"/>
      <c r="B10" s="110"/>
      <c r="C10" s="111"/>
      <c r="D10" s="112"/>
      <c r="E10" s="113"/>
      <c r="F10" s="114"/>
      <c r="G10" s="113"/>
      <c r="H10" s="113"/>
      <c r="I10" s="113"/>
      <c r="J10" s="115"/>
      <c r="K10" s="112"/>
      <c r="L10" s="115"/>
      <c r="M10" s="116"/>
    </row>
    <row r="11" spans="1:13">
      <c r="A11" s="423"/>
      <c r="B11" s="117"/>
      <c r="C11" s="118"/>
      <c r="D11" s="119"/>
      <c r="E11" s="113"/>
      <c r="F11" s="120"/>
      <c r="G11" s="113"/>
      <c r="H11" s="113"/>
      <c r="I11" s="113"/>
      <c r="J11" s="121"/>
      <c r="K11" s="121"/>
      <c r="L11" s="121"/>
      <c r="M11" s="122"/>
    </row>
    <row r="12" spans="1:13">
      <c r="A12" s="424"/>
      <c r="B12" s="117"/>
      <c r="C12" s="118"/>
      <c r="D12" s="119"/>
      <c r="E12" s="123"/>
      <c r="F12" s="120"/>
      <c r="G12" s="124"/>
      <c r="H12" s="124"/>
      <c r="I12" s="124"/>
      <c r="J12" s="121"/>
      <c r="K12" s="121"/>
      <c r="L12" s="121"/>
      <c r="M12" s="122"/>
    </row>
    <row r="13" spans="1:13">
      <c r="A13" s="425"/>
      <c r="B13" s="125"/>
      <c r="C13" s="104"/>
      <c r="D13" s="119"/>
      <c r="E13" s="126"/>
      <c r="F13" s="127"/>
      <c r="G13" s="126"/>
      <c r="H13" s="126"/>
      <c r="I13" s="126"/>
      <c r="J13" s="121"/>
      <c r="K13" s="121"/>
      <c r="L13" s="121"/>
      <c r="M13" s="122"/>
    </row>
    <row r="14" spans="1:13">
      <c r="A14" s="425"/>
      <c r="B14" s="125"/>
      <c r="C14" s="104"/>
      <c r="D14" s="119"/>
      <c r="E14" s="126"/>
      <c r="F14" s="127"/>
      <c r="G14" s="126"/>
      <c r="H14" s="126"/>
      <c r="I14" s="126"/>
      <c r="J14" s="121"/>
      <c r="K14" s="121"/>
      <c r="L14" s="121"/>
      <c r="M14" s="122"/>
    </row>
    <row r="15" spans="1:13">
      <c r="A15" s="425"/>
      <c r="B15" s="128"/>
      <c r="C15" s="111"/>
      <c r="D15" s="119"/>
      <c r="E15" s="129"/>
      <c r="F15" s="127"/>
      <c r="G15" s="129"/>
      <c r="H15" s="129"/>
      <c r="I15" s="129"/>
      <c r="J15" s="121"/>
      <c r="K15" s="121"/>
      <c r="L15" s="121"/>
      <c r="M15" s="122"/>
    </row>
    <row r="16" spans="1:13">
      <c r="A16" s="425"/>
      <c r="B16" s="128"/>
      <c r="C16" s="111"/>
      <c r="D16" s="119"/>
      <c r="E16" s="129"/>
      <c r="F16" s="127"/>
      <c r="G16" s="129"/>
      <c r="H16" s="129"/>
      <c r="I16" s="129"/>
      <c r="J16" s="121"/>
      <c r="K16" s="121"/>
      <c r="L16" s="121"/>
      <c r="M16" s="122"/>
    </row>
    <row r="17" spans="1:13">
      <c r="A17" s="425"/>
      <c r="B17" s="125"/>
      <c r="C17" s="104"/>
      <c r="D17" s="119"/>
      <c r="E17" s="126"/>
      <c r="F17" s="127"/>
      <c r="G17" s="126"/>
      <c r="H17" s="126"/>
      <c r="I17" s="126"/>
      <c r="J17" s="121"/>
      <c r="K17" s="121"/>
      <c r="L17" s="121"/>
      <c r="M17" s="122"/>
    </row>
    <row r="18" spans="1:13">
      <c r="A18" s="425"/>
      <c r="B18" s="125"/>
      <c r="C18" s="104"/>
      <c r="D18" s="119"/>
      <c r="E18" s="126"/>
      <c r="F18" s="127"/>
      <c r="G18" s="126"/>
      <c r="H18" s="126"/>
      <c r="I18" s="126"/>
      <c r="J18" s="121"/>
      <c r="K18" s="121"/>
      <c r="L18" s="121"/>
      <c r="M18" s="122"/>
    </row>
    <row r="19" spans="1:13">
      <c r="A19" s="425"/>
      <c r="B19" s="125"/>
      <c r="C19" s="104"/>
      <c r="D19" s="119"/>
      <c r="E19" s="126"/>
      <c r="F19" s="127"/>
      <c r="G19" s="126"/>
      <c r="H19" s="126"/>
      <c r="I19" s="126"/>
      <c r="J19" s="121"/>
      <c r="K19" s="121"/>
      <c r="L19" s="121"/>
      <c r="M19" s="122"/>
    </row>
    <row r="20" spans="1:13" s="130" customFormat="1" ht="16.5" thickBot="1">
      <c r="A20" s="426"/>
      <c r="B20" s="427"/>
      <c r="C20" s="428"/>
      <c r="D20" s="429"/>
      <c r="E20" s="430"/>
      <c r="F20" s="431"/>
      <c r="G20" s="431"/>
      <c r="H20" s="431"/>
      <c r="I20" s="431"/>
      <c r="J20" s="431"/>
      <c r="K20" s="431"/>
      <c r="L20" s="431"/>
      <c r="M20" s="432"/>
    </row>
    <row r="21" spans="1:13">
      <c r="A21" s="433"/>
      <c r="B21" s="131"/>
      <c r="C21" s="132"/>
      <c r="D21" s="133"/>
      <c r="E21" s="134"/>
      <c r="F21" s="135"/>
      <c r="G21" s="134"/>
      <c r="H21" s="134"/>
      <c r="I21" s="134"/>
      <c r="J21" s="121"/>
      <c r="K21" s="121"/>
      <c r="L21" s="121"/>
      <c r="M21" s="136"/>
    </row>
    <row r="22" spans="1:13">
      <c r="A22" s="434"/>
      <c r="B22" s="137"/>
      <c r="C22" s="138"/>
      <c r="D22" s="139"/>
      <c r="E22" s="126"/>
      <c r="F22" s="140"/>
      <c r="G22" s="126"/>
      <c r="H22" s="126"/>
      <c r="I22" s="126"/>
      <c r="J22" s="121"/>
      <c r="K22" s="121"/>
      <c r="L22" s="121"/>
      <c r="M22" s="141"/>
    </row>
    <row r="23" spans="1:13">
      <c r="A23" s="435"/>
      <c r="B23" s="142"/>
      <c r="C23" s="138"/>
      <c r="D23" s="143"/>
      <c r="E23" s="126"/>
      <c r="F23" s="140"/>
      <c r="G23" s="126"/>
      <c r="H23" s="126"/>
      <c r="I23" s="126"/>
      <c r="J23" s="121"/>
      <c r="K23" s="121"/>
      <c r="L23" s="121"/>
      <c r="M23" s="144"/>
    </row>
    <row r="24" spans="1:13">
      <c r="A24" s="435"/>
      <c r="B24" s="145"/>
      <c r="C24" s="138"/>
      <c r="D24" s="143"/>
      <c r="E24" s="126"/>
      <c r="F24" s="146"/>
      <c r="G24" s="126"/>
      <c r="H24" s="126"/>
      <c r="I24" s="126"/>
      <c r="J24" s="121"/>
      <c r="K24" s="121"/>
      <c r="L24" s="121"/>
      <c r="M24" s="144"/>
    </row>
    <row r="25" spans="1:13" s="130" customFormat="1" ht="16.5" thickBot="1">
      <c r="A25" s="426"/>
      <c r="B25" s="436"/>
      <c r="C25" s="437"/>
      <c r="D25" s="438"/>
      <c r="E25" s="430"/>
      <c r="F25" s="431"/>
      <c r="G25" s="430"/>
      <c r="H25" s="430"/>
      <c r="I25" s="430"/>
      <c r="J25" s="439"/>
      <c r="K25" s="439"/>
      <c r="L25" s="439"/>
      <c r="M25" s="440"/>
    </row>
    <row r="26" spans="1:13">
      <c r="A26" s="441"/>
      <c r="B26" s="147"/>
      <c r="C26" s="148"/>
      <c r="D26" s="149"/>
      <c r="E26" s="150"/>
      <c r="F26" s="151"/>
      <c r="G26" s="150"/>
      <c r="H26" s="150"/>
      <c r="I26" s="150"/>
      <c r="J26" s="121"/>
      <c r="K26" s="121"/>
      <c r="L26" s="121"/>
      <c r="M26" s="152"/>
    </row>
    <row r="27" spans="1:13">
      <c r="A27" s="434"/>
      <c r="B27" s="137"/>
      <c r="C27" s="138"/>
      <c r="D27" s="139"/>
      <c r="E27" s="126"/>
      <c r="F27" s="140"/>
      <c r="G27" s="126"/>
      <c r="H27" s="126"/>
      <c r="I27" s="126"/>
      <c r="J27" s="121"/>
      <c r="K27" s="121"/>
      <c r="L27" s="121"/>
      <c r="M27" s="141"/>
    </row>
    <row r="28" spans="1:13">
      <c r="A28" s="442"/>
      <c r="B28" s="153"/>
      <c r="C28" s="138"/>
      <c r="D28" s="143"/>
      <c r="E28" s="126"/>
      <c r="F28" s="154"/>
      <c r="G28" s="126"/>
      <c r="H28" s="126"/>
      <c r="I28" s="126"/>
      <c r="J28" s="121"/>
      <c r="K28" s="121"/>
      <c r="L28" s="121"/>
      <c r="M28" s="144"/>
    </row>
    <row r="29" spans="1:13">
      <c r="A29" s="435"/>
      <c r="B29" s="153"/>
      <c r="C29" s="138"/>
      <c r="D29" s="143"/>
      <c r="E29" s="126"/>
      <c r="F29" s="140"/>
      <c r="G29" s="126"/>
      <c r="H29" s="155"/>
      <c r="I29" s="126"/>
      <c r="J29" s="121"/>
      <c r="K29" s="121"/>
      <c r="L29" s="121"/>
      <c r="M29" s="144"/>
    </row>
    <row r="30" spans="1:13" s="130" customFormat="1" ht="16.5" thickBot="1">
      <c r="A30" s="426"/>
      <c r="B30" s="436"/>
      <c r="C30" s="428"/>
      <c r="D30" s="429"/>
      <c r="E30" s="430"/>
      <c r="F30" s="431"/>
      <c r="G30" s="430"/>
      <c r="H30" s="430"/>
      <c r="I30" s="430"/>
      <c r="J30" s="439"/>
      <c r="K30" s="439"/>
      <c r="L30" s="439"/>
      <c r="M30" s="432"/>
    </row>
    <row r="31" spans="1:13">
      <c r="A31" s="441"/>
      <c r="B31" s="147"/>
      <c r="C31" s="148"/>
      <c r="D31" s="149"/>
      <c r="E31" s="150"/>
      <c r="F31" s="156"/>
      <c r="G31" s="150"/>
      <c r="H31" s="150"/>
      <c r="I31" s="150"/>
      <c r="J31" s="121"/>
      <c r="K31" s="121"/>
      <c r="L31" s="121"/>
      <c r="M31" s="152"/>
    </row>
    <row r="32" spans="1:13">
      <c r="A32" s="435"/>
      <c r="B32" s="142"/>
      <c r="C32" s="138"/>
      <c r="D32" s="143"/>
      <c r="E32" s="126"/>
      <c r="F32" s="140"/>
      <c r="G32" s="126"/>
      <c r="H32" s="126"/>
      <c r="I32" s="126"/>
      <c r="J32" s="121"/>
      <c r="K32" s="121"/>
      <c r="L32" s="121"/>
      <c r="M32" s="144"/>
    </row>
    <row r="33" spans="1:13" s="130" customFormat="1" ht="16.5" thickBot="1">
      <c r="A33" s="443"/>
      <c r="B33" s="444"/>
      <c r="C33" s="445"/>
      <c r="D33" s="446"/>
      <c r="E33" s="447"/>
      <c r="F33" s="448"/>
      <c r="G33" s="447"/>
      <c r="H33" s="447"/>
      <c r="I33" s="447"/>
      <c r="J33" s="449"/>
      <c r="K33" s="449"/>
      <c r="L33" s="449"/>
      <c r="M33" s="450"/>
    </row>
    <row r="34" spans="1:13">
      <c r="A34" s="441"/>
      <c r="B34" s="147"/>
      <c r="C34" s="148"/>
      <c r="D34" s="149"/>
      <c r="E34" s="150"/>
      <c r="F34" s="156"/>
      <c r="G34" s="150"/>
      <c r="H34" s="150"/>
      <c r="I34" s="150"/>
      <c r="J34" s="121"/>
      <c r="K34" s="121"/>
      <c r="L34" s="121"/>
      <c r="M34" s="152"/>
    </row>
    <row r="35" spans="1:13">
      <c r="A35" s="435"/>
      <c r="B35" s="142"/>
      <c r="C35" s="138"/>
      <c r="D35" s="143"/>
      <c r="E35" s="126"/>
      <c r="F35" s="140"/>
      <c r="G35" s="126"/>
      <c r="H35" s="126"/>
      <c r="I35" s="126"/>
      <c r="J35" s="121"/>
      <c r="K35" s="121"/>
      <c r="L35" s="121"/>
      <c r="M35" s="144"/>
    </row>
    <row r="36" spans="1:13">
      <c r="A36" s="434"/>
      <c r="B36" s="137"/>
      <c r="C36" s="138"/>
      <c r="D36" s="143"/>
      <c r="E36" s="126"/>
      <c r="F36" s="140"/>
      <c r="G36" s="126"/>
      <c r="H36" s="126"/>
      <c r="I36" s="126"/>
      <c r="J36" s="121"/>
      <c r="K36" s="121"/>
      <c r="L36" s="121"/>
      <c r="M36" s="144"/>
    </row>
    <row r="37" spans="1:13">
      <c r="A37" s="435"/>
      <c r="B37" s="142"/>
      <c r="C37" s="138"/>
      <c r="D37" s="143"/>
      <c r="E37" s="126"/>
      <c r="F37" s="140"/>
      <c r="G37" s="126"/>
      <c r="H37" s="126"/>
      <c r="I37" s="126"/>
      <c r="J37" s="121"/>
      <c r="K37" s="121"/>
      <c r="L37" s="121"/>
      <c r="M37" s="144"/>
    </row>
    <row r="38" spans="1:13">
      <c r="A38" s="467"/>
      <c r="B38" s="468"/>
      <c r="C38" s="469"/>
      <c r="D38" s="470"/>
      <c r="E38" s="471"/>
      <c r="F38" s="472"/>
      <c r="G38" s="471"/>
      <c r="H38" s="471"/>
      <c r="I38" s="471"/>
      <c r="J38" s="473"/>
      <c r="K38" s="473"/>
      <c r="L38" s="473"/>
      <c r="M38" s="470"/>
    </row>
    <row r="39" spans="1:13">
      <c r="A39" s="467"/>
      <c r="B39" s="474"/>
      <c r="C39" s="475"/>
      <c r="D39" s="467"/>
      <c r="E39" s="471"/>
      <c r="F39" s="471"/>
      <c r="G39" s="471"/>
      <c r="H39" s="471"/>
      <c r="I39" s="471"/>
      <c r="J39" s="476"/>
      <c r="K39" s="467"/>
      <c r="L39" s="476"/>
      <c r="M39" s="467"/>
    </row>
    <row r="40" spans="1:13">
      <c r="A40" s="467"/>
      <c r="B40" s="474"/>
      <c r="C40" s="475"/>
      <c r="D40" s="467"/>
      <c r="E40" s="471"/>
      <c r="F40" s="471"/>
      <c r="G40" s="471"/>
      <c r="H40" s="471"/>
      <c r="I40" s="471"/>
      <c r="J40" s="476"/>
      <c r="K40" s="467"/>
      <c r="L40" s="476"/>
      <c r="M40" s="467"/>
    </row>
    <row r="41" spans="1:13">
      <c r="A41" s="467"/>
      <c r="B41" s="474"/>
      <c r="C41" s="475"/>
      <c r="D41" s="467"/>
      <c r="E41" s="471"/>
      <c r="F41" s="471"/>
      <c r="G41" s="471"/>
      <c r="H41" s="471"/>
      <c r="I41" s="471"/>
      <c r="J41" s="476"/>
      <c r="K41" s="467"/>
      <c r="L41" s="476"/>
      <c r="M41" s="467"/>
    </row>
    <row r="42" spans="1:13">
      <c r="A42" s="477"/>
      <c r="B42" s="477"/>
      <c r="C42" s="477"/>
      <c r="D42" s="477"/>
      <c r="E42" s="477"/>
      <c r="F42" s="477"/>
      <c r="G42" s="477"/>
      <c r="H42" s="477"/>
      <c r="I42" s="477"/>
      <c r="J42" s="477"/>
      <c r="K42" s="477"/>
      <c r="L42" s="477"/>
      <c r="M42" s="477"/>
    </row>
    <row r="43" spans="1:13">
      <c r="A43" s="477"/>
      <c r="B43" s="477"/>
      <c r="C43" s="477"/>
      <c r="D43" s="477"/>
      <c r="E43" s="477"/>
      <c r="F43" s="477"/>
      <c r="G43" s="477"/>
      <c r="H43" s="477"/>
      <c r="I43" s="477"/>
      <c r="J43" s="477"/>
      <c r="K43" s="477"/>
      <c r="L43" s="477"/>
      <c r="M43" s="477"/>
    </row>
    <row r="44" spans="1:13">
      <c r="A44" s="477"/>
      <c r="B44" s="477"/>
      <c r="C44" s="477"/>
      <c r="D44" s="477"/>
      <c r="E44" s="477"/>
      <c r="F44" s="477"/>
      <c r="G44" s="477"/>
      <c r="H44" s="477"/>
      <c r="I44" s="477"/>
      <c r="J44" s="477"/>
      <c r="K44" s="477"/>
      <c r="L44" s="477"/>
      <c r="M44" s="477"/>
    </row>
    <row r="45" spans="1:13">
      <c r="A45" s="477"/>
      <c r="B45" s="477"/>
      <c r="C45" s="477"/>
      <c r="D45" s="477"/>
      <c r="E45" s="477"/>
      <c r="F45" s="477"/>
      <c r="G45" s="477"/>
      <c r="H45" s="477"/>
      <c r="I45" s="477"/>
      <c r="J45" s="477"/>
      <c r="K45" s="477"/>
      <c r="L45" s="477"/>
      <c r="M45" s="477"/>
    </row>
    <row r="46" spans="1:13">
      <c r="A46" s="477"/>
      <c r="B46" s="477"/>
      <c r="C46" s="477"/>
      <c r="D46" s="477"/>
      <c r="E46" s="477"/>
      <c r="F46" s="477"/>
      <c r="G46" s="477"/>
      <c r="H46" s="477"/>
      <c r="I46" s="477"/>
      <c r="J46" s="477"/>
      <c r="K46" s="477"/>
      <c r="L46" s="477"/>
      <c r="M46" s="477"/>
    </row>
    <row r="47" spans="1:13">
      <c r="A47" s="477"/>
      <c r="B47" s="477"/>
      <c r="C47" s="477"/>
      <c r="D47" s="477"/>
      <c r="E47" s="477"/>
      <c r="F47" s="477"/>
      <c r="G47" s="477"/>
      <c r="H47" s="477"/>
      <c r="I47" s="477"/>
      <c r="J47" s="477"/>
      <c r="K47" s="477"/>
      <c r="L47" s="477"/>
      <c r="M47" s="477"/>
    </row>
    <row r="48" spans="1:13">
      <c r="A48" s="477"/>
      <c r="B48" s="477"/>
      <c r="C48" s="477"/>
      <c r="D48" s="477"/>
      <c r="E48" s="477"/>
      <c r="F48" s="477"/>
      <c r="G48" s="477"/>
      <c r="H48" s="477"/>
      <c r="I48" s="477"/>
      <c r="J48" s="477"/>
      <c r="K48" s="477"/>
      <c r="L48" s="477"/>
      <c r="M48" s="477"/>
    </row>
    <row r="49" spans="1:13">
      <c r="A49" s="477"/>
      <c r="B49" s="477"/>
      <c r="C49" s="477"/>
      <c r="D49" s="477"/>
      <c r="E49" s="477"/>
      <c r="F49" s="477"/>
      <c r="G49" s="477"/>
      <c r="H49" s="477"/>
      <c r="I49" s="477"/>
      <c r="J49" s="477"/>
      <c r="K49" s="477"/>
      <c r="L49" s="477"/>
      <c r="M49" s="477"/>
    </row>
    <row r="50" spans="1:13">
      <c r="A50" s="467"/>
      <c r="B50" s="474"/>
      <c r="C50" s="475"/>
      <c r="D50" s="467"/>
      <c r="E50" s="471"/>
      <c r="F50" s="471"/>
      <c r="G50" s="471"/>
      <c r="H50" s="471"/>
      <c r="I50" s="471"/>
      <c r="J50" s="476"/>
      <c r="K50" s="467"/>
      <c r="L50" s="476"/>
      <c r="M50" s="467"/>
    </row>
    <row r="51" spans="1:13">
      <c r="A51" s="467"/>
      <c r="B51" s="474"/>
      <c r="C51" s="475"/>
      <c r="D51" s="467"/>
      <c r="E51" s="471"/>
      <c r="F51" s="471"/>
      <c r="G51" s="471"/>
      <c r="H51" s="471"/>
      <c r="I51" s="471"/>
      <c r="J51" s="476"/>
      <c r="K51" s="467"/>
      <c r="L51" s="476"/>
      <c r="M51" s="467"/>
    </row>
    <row r="52" spans="1:13">
      <c r="A52" s="467"/>
      <c r="B52" s="474"/>
      <c r="C52" s="475"/>
      <c r="D52" s="467"/>
      <c r="E52" s="471"/>
      <c r="F52" s="471"/>
      <c r="G52" s="471"/>
      <c r="H52" s="471"/>
      <c r="I52" s="471"/>
      <c r="J52" s="476"/>
      <c r="K52" s="467"/>
      <c r="L52" s="476"/>
      <c r="M52" s="467"/>
    </row>
    <row r="53" spans="1:13">
      <c r="A53" s="467"/>
      <c r="B53" s="474"/>
      <c r="C53" s="475"/>
      <c r="D53" s="467"/>
      <c r="E53" s="471"/>
      <c r="F53" s="471"/>
      <c r="G53" s="471"/>
      <c r="H53" s="471"/>
      <c r="I53" s="471"/>
      <c r="J53" s="476"/>
      <c r="K53" s="467"/>
      <c r="L53" s="476"/>
      <c r="M53" s="467"/>
    </row>
  </sheetData>
  <mergeCells count="11">
    <mergeCell ref="F1:G1"/>
    <mergeCell ref="A2:B2"/>
    <mergeCell ref="A5:M5"/>
    <mergeCell ref="G6:I6"/>
    <mergeCell ref="J6:L6"/>
    <mergeCell ref="A3:B4"/>
    <mergeCell ref="C3:J3"/>
    <mergeCell ref="C4:J4"/>
    <mergeCell ref="K3:M3"/>
    <mergeCell ref="K4:M4"/>
    <mergeCell ref="A1:B1"/>
  </mergeCells>
  <pageMargins left="0.32" right="0.17" top="0.36" bottom="0.3" header="0.3" footer="0.21"/>
  <pageSetup paperSize="9" scale="55" fitToWidth="100" fitToHeight="100" orientation="landscape" r:id="rId1"/>
  <headerFooter>
    <oddFooter>&amp;RPage &amp;P of &amp;N</oddFooter>
  </headerFooter>
  <drawing r:id="rId2"/>
  <legacyDrawing r:id="rId3"/>
  <oleObjects>
    <mc:AlternateContent xmlns:mc="http://schemas.openxmlformats.org/markup-compatibility/2006">
      <mc:Choice Requires="x14">
        <oleObject progId="PBrush" shapeId="15361" r:id="rId4">
          <objectPr defaultSize="0" autoPict="0" r:id="rId5">
            <anchor moveWithCells="1" sizeWithCells="1">
              <from>
                <xdr:col>1</xdr:col>
                <xdr:colOff>962025</xdr:colOff>
                <xdr:row>2</xdr:row>
                <xdr:rowOff>66675</xdr:rowOff>
              </from>
              <to>
                <xdr:col>1</xdr:col>
                <xdr:colOff>2724150</xdr:colOff>
                <xdr:row>3</xdr:row>
                <xdr:rowOff>704850</xdr:rowOff>
              </to>
            </anchor>
          </objectPr>
        </oleObject>
      </mc:Choice>
      <mc:Fallback>
        <oleObject progId="PBrush" shapeId="15361"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249977111117893"/>
  </sheetPr>
  <dimension ref="A1:R29"/>
  <sheetViews>
    <sheetView workbookViewId="0">
      <selection sqref="A1:Q4"/>
    </sheetView>
  </sheetViews>
  <sheetFormatPr defaultRowHeight="15.75"/>
  <cols>
    <col min="1" max="1" width="5.7109375" style="522" customWidth="1"/>
    <col min="2" max="2" width="13.42578125" style="523" customWidth="1"/>
    <col min="3" max="3" width="9.140625" style="523" bestFit="1" customWidth="1"/>
    <col min="4" max="4" width="7.42578125" style="523" customWidth="1"/>
    <col min="5" max="5" width="8.42578125" style="524" customWidth="1"/>
    <col min="6" max="6" width="11.5703125" style="526" customWidth="1"/>
    <col min="7" max="7" width="13" style="523" bestFit="1" customWidth="1"/>
    <col min="8" max="8" width="6.5703125" style="523" customWidth="1"/>
    <col min="9" max="9" width="8.7109375" style="523" customWidth="1"/>
    <col min="10" max="10" width="8" style="525" customWidth="1"/>
    <col min="11" max="11" width="10.7109375" style="523" customWidth="1"/>
    <col min="12" max="12" width="8.140625" style="523" customWidth="1"/>
    <col min="13" max="13" width="10" style="523" customWidth="1"/>
    <col min="14" max="14" width="15.7109375" style="523" hidden="1" customWidth="1"/>
    <col min="15" max="15" width="14.7109375" style="526" hidden="1" customWidth="1"/>
    <col min="16" max="16" width="11.85546875" style="523" hidden="1" customWidth="1"/>
    <col min="17" max="17" width="7.85546875" style="525" customWidth="1"/>
    <col min="18" max="18" width="13.7109375" style="82" customWidth="1"/>
  </cols>
  <sheetData>
    <row r="1" spans="1:18" ht="15">
      <c r="A1" s="1011" t="s">
        <v>336</v>
      </c>
      <c r="B1" s="1011"/>
      <c r="C1" s="1011"/>
      <c r="D1" s="1011"/>
      <c r="E1" s="1011"/>
      <c r="F1" s="1012" t="s">
        <v>332</v>
      </c>
      <c r="G1" s="1012"/>
      <c r="H1" s="1012"/>
      <c r="I1" s="1012"/>
      <c r="J1" s="1012"/>
      <c r="K1" s="1012"/>
      <c r="L1" s="1012"/>
      <c r="M1" s="1014" t="s">
        <v>334</v>
      </c>
      <c r="N1" s="1014"/>
      <c r="O1" s="1014"/>
      <c r="P1" s="1014"/>
      <c r="Q1" s="1014"/>
    </row>
    <row r="2" spans="1:18" ht="37.5" customHeight="1">
      <c r="A2" s="1011"/>
      <c r="B2" s="1011"/>
      <c r="C2" s="1011"/>
      <c r="D2" s="1011"/>
      <c r="E2" s="1011"/>
      <c r="F2" s="1013"/>
      <c r="G2" s="1013"/>
      <c r="H2" s="1013"/>
      <c r="I2" s="1013"/>
      <c r="J2" s="1013"/>
      <c r="K2" s="1013"/>
      <c r="L2" s="1013"/>
      <c r="M2" s="1015" t="s">
        <v>346</v>
      </c>
      <c r="N2" s="1015"/>
      <c r="O2" s="1015"/>
      <c r="P2" s="1015"/>
      <c r="Q2" s="1016"/>
    </row>
    <row r="3" spans="1:18">
      <c r="A3" s="1017"/>
      <c r="B3" s="1013"/>
      <c r="C3" s="1013"/>
      <c r="D3" s="1013"/>
      <c r="E3" s="1013"/>
      <c r="F3" s="1020"/>
      <c r="G3" s="1020"/>
      <c r="H3" s="1020"/>
      <c r="I3" s="1020"/>
      <c r="J3" s="1020"/>
      <c r="K3" s="1020"/>
      <c r="L3" s="1020"/>
      <c r="M3" s="1021" t="s">
        <v>335</v>
      </c>
      <c r="N3" s="1021"/>
      <c r="O3" s="1021"/>
      <c r="P3" s="1021"/>
      <c r="Q3" s="1022"/>
    </row>
    <row r="4" spans="1:18" ht="57" customHeight="1" thickBot="1">
      <c r="A4" s="1018"/>
      <c r="B4" s="1019"/>
      <c r="C4" s="1019"/>
      <c r="D4" s="1019"/>
      <c r="E4" s="1019"/>
      <c r="F4" s="1023" t="s">
        <v>361</v>
      </c>
      <c r="G4" s="1024"/>
      <c r="H4" s="1024"/>
      <c r="I4" s="1024"/>
      <c r="J4" s="1024"/>
      <c r="K4" s="1024"/>
      <c r="L4" s="1025"/>
      <c r="M4" s="1026">
        <v>1</v>
      </c>
      <c r="N4" s="1026"/>
      <c r="O4" s="1026"/>
      <c r="P4" s="1026"/>
      <c r="Q4" s="1026"/>
    </row>
    <row r="5" spans="1:18">
      <c r="A5" s="999" t="s">
        <v>341</v>
      </c>
      <c r="B5" s="999"/>
      <c r="C5" s="999"/>
      <c r="D5" s="999"/>
      <c r="E5" s="999"/>
      <c r="F5" s="999"/>
      <c r="G5" s="999"/>
      <c r="H5" s="999"/>
      <c r="I5" s="999"/>
      <c r="J5" s="999"/>
      <c r="K5" s="999"/>
      <c r="L5" s="999"/>
      <c r="M5" s="1000"/>
      <c r="N5" s="1000"/>
      <c r="O5" s="1000"/>
      <c r="P5" s="1000"/>
      <c r="Q5" s="1000"/>
    </row>
    <row r="6" spans="1:18">
      <c r="A6" s="1001" t="str">
        <f>'[74]General Information'!A3:I3</f>
        <v>Week period from______ To _________</v>
      </c>
      <c r="B6" s="1001"/>
      <c r="C6" s="1001"/>
      <c r="D6" s="1001"/>
      <c r="E6" s="1001"/>
      <c r="F6" s="1001"/>
      <c r="G6" s="1001"/>
      <c r="H6" s="1001"/>
      <c r="I6" s="1001"/>
      <c r="J6" s="1001"/>
      <c r="K6" s="1001"/>
      <c r="L6" s="1001"/>
      <c r="M6" s="1001"/>
      <c r="N6" s="1001"/>
      <c r="O6" s="1001"/>
      <c r="P6" s="1001"/>
      <c r="Q6" s="1001"/>
    </row>
    <row r="7" spans="1:18" ht="16.5" thickBot="1">
      <c r="A7" s="997" t="s">
        <v>140</v>
      </c>
      <c r="B7" s="998"/>
      <c r="C7" s="480"/>
      <c r="D7" s="480"/>
      <c r="E7" s="480"/>
      <c r="F7" s="480"/>
      <c r="G7" s="480"/>
      <c r="H7" s="480"/>
      <c r="I7" s="480"/>
      <c r="J7" s="480"/>
      <c r="K7" s="480"/>
      <c r="L7" s="480"/>
      <c r="M7" s="480"/>
      <c r="N7" s="480"/>
      <c r="O7" s="481"/>
      <c r="P7" s="480"/>
      <c r="Q7" s="532"/>
    </row>
    <row r="8" spans="1:18" ht="16.5" thickTop="1">
      <c r="A8" s="1002" t="s">
        <v>141</v>
      </c>
      <c r="B8" s="991" t="s">
        <v>142</v>
      </c>
      <c r="C8" s="1004" t="s">
        <v>143</v>
      </c>
      <c r="D8" s="1006" t="s">
        <v>144</v>
      </c>
      <c r="E8" s="1007"/>
      <c r="F8" s="991" t="s">
        <v>145</v>
      </c>
      <c r="G8" s="991" t="s">
        <v>146</v>
      </c>
      <c r="H8" s="991" t="s">
        <v>147</v>
      </c>
      <c r="I8" s="1008" t="s">
        <v>148</v>
      </c>
      <c r="J8" s="1009"/>
      <c r="K8" s="1009"/>
      <c r="L8" s="1010"/>
      <c r="M8" s="991" t="s">
        <v>149</v>
      </c>
      <c r="N8" s="993" t="s">
        <v>150</v>
      </c>
      <c r="O8" s="994"/>
      <c r="P8" s="995"/>
      <c r="Q8" s="996" t="s">
        <v>15</v>
      </c>
    </row>
    <row r="9" spans="1:18" ht="16.5" thickBot="1">
      <c r="A9" s="1003"/>
      <c r="B9" s="992"/>
      <c r="C9" s="1005"/>
      <c r="D9" s="449" t="s">
        <v>151</v>
      </c>
      <c r="E9" s="527" t="s">
        <v>152</v>
      </c>
      <c r="F9" s="992"/>
      <c r="G9" s="992"/>
      <c r="H9" s="992"/>
      <c r="I9" s="439" t="s">
        <v>153</v>
      </c>
      <c r="J9" s="528" t="s">
        <v>154</v>
      </c>
      <c r="K9" s="528" t="s">
        <v>155</v>
      </c>
      <c r="L9" s="529" t="s">
        <v>156</v>
      </c>
      <c r="M9" s="992"/>
      <c r="N9" s="530" t="s">
        <v>153</v>
      </c>
      <c r="O9" s="530" t="s">
        <v>152</v>
      </c>
      <c r="P9" s="530" t="s">
        <v>157</v>
      </c>
      <c r="Q9" s="996"/>
    </row>
    <row r="10" spans="1:18">
      <c r="A10" s="482"/>
      <c r="B10" s="483"/>
      <c r="C10" s="484"/>
      <c r="D10" s="484"/>
      <c r="E10" s="485"/>
      <c r="F10" s="486"/>
      <c r="G10" s="486"/>
      <c r="H10" s="487"/>
      <c r="I10" s="484"/>
      <c r="J10" s="488"/>
      <c r="K10" s="489"/>
      <c r="L10" s="483"/>
      <c r="M10" s="486"/>
      <c r="N10" s="484"/>
      <c r="O10" s="484"/>
      <c r="P10" s="484"/>
      <c r="Q10" s="533"/>
      <c r="R10" s="531"/>
    </row>
    <row r="11" spans="1:18">
      <c r="A11" s="490"/>
      <c r="B11" s="491"/>
      <c r="C11" s="491"/>
      <c r="D11" s="491"/>
      <c r="E11" s="491"/>
      <c r="F11" s="491"/>
      <c r="G11" s="491"/>
      <c r="H11" s="491"/>
      <c r="I11" s="492"/>
      <c r="J11" s="493"/>
      <c r="K11" s="491"/>
      <c r="L11" s="494"/>
      <c r="M11" s="491"/>
      <c r="N11" s="495"/>
      <c r="O11" s="496"/>
      <c r="P11" s="496"/>
      <c r="Q11" s="497"/>
      <c r="R11" s="531"/>
    </row>
    <row r="12" spans="1:18">
      <c r="A12" s="490"/>
      <c r="B12" s="491"/>
      <c r="C12" s="491"/>
      <c r="D12" s="491"/>
      <c r="E12" s="491"/>
      <c r="F12" s="491"/>
      <c r="G12" s="491"/>
      <c r="H12" s="491"/>
      <c r="I12" s="492"/>
      <c r="J12" s="493"/>
      <c r="K12" s="491"/>
      <c r="L12" s="494"/>
      <c r="M12" s="491"/>
      <c r="N12" s="495"/>
      <c r="O12" s="496"/>
      <c r="P12" s="496"/>
      <c r="Q12" s="497"/>
      <c r="R12" s="531"/>
    </row>
    <row r="13" spans="1:18">
      <c r="A13" s="490"/>
      <c r="B13" s="491"/>
      <c r="C13" s="491"/>
      <c r="D13" s="491"/>
      <c r="E13" s="491"/>
      <c r="F13" s="491"/>
      <c r="G13" s="491"/>
      <c r="H13" s="491"/>
      <c r="I13" s="492"/>
      <c r="J13" s="493"/>
      <c r="K13" s="491"/>
      <c r="L13" s="494"/>
      <c r="M13" s="491"/>
      <c r="N13" s="495"/>
      <c r="O13" s="496"/>
      <c r="P13" s="496"/>
      <c r="Q13" s="498"/>
    </row>
    <row r="14" spans="1:18">
      <c r="A14" s="490"/>
      <c r="B14" s="491"/>
      <c r="C14" s="491"/>
      <c r="D14" s="491"/>
      <c r="E14" s="491"/>
      <c r="F14" s="491"/>
      <c r="G14" s="491"/>
      <c r="H14" s="491"/>
      <c r="I14" s="492"/>
      <c r="J14" s="493"/>
      <c r="K14" s="491"/>
      <c r="L14" s="494"/>
      <c r="M14" s="491"/>
      <c r="N14" s="495"/>
      <c r="O14" s="496"/>
      <c r="P14" s="496"/>
      <c r="Q14" s="498"/>
    </row>
    <row r="15" spans="1:18">
      <c r="A15" s="499"/>
      <c r="B15" s="491"/>
      <c r="C15" s="491"/>
      <c r="D15" s="491"/>
      <c r="E15" s="500"/>
      <c r="F15" s="500"/>
      <c r="G15" s="500"/>
      <c r="H15" s="491"/>
      <c r="I15" s="501"/>
      <c r="J15" s="502"/>
      <c r="K15" s="491"/>
      <c r="L15" s="494"/>
      <c r="M15" s="491"/>
      <c r="N15" s="495"/>
      <c r="O15" s="496"/>
      <c r="P15" s="496"/>
      <c r="Q15" s="498"/>
    </row>
    <row r="16" spans="1:18">
      <c r="A16" s="499"/>
      <c r="B16" s="491"/>
      <c r="C16" s="491"/>
      <c r="D16" s="491"/>
      <c r="E16" s="500"/>
      <c r="F16" s="500"/>
      <c r="G16" s="500"/>
      <c r="H16" s="491"/>
      <c r="I16" s="501"/>
      <c r="J16" s="503"/>
      <c r="K16" s="491"/>
      <c r="L16" s="494"/>
      <c r="M16" s="491"/>
      <c r="N16" s="495"/>
      <c r="O16" s="496"/>
      <c r="P16" s="496"/>
      <c r="Q16" s="498"/>
    </row>
    <row r="17" spans="1:18">
      <c r="A17" s="499"/>
      <c r="B17" s="504"/>
      <c r="C17" s="491"/>
      <c r="D17" s="496"/>
      <c r="E17" s="491"/>
      <c r="F17" s="496"/>
      <c r="G17" s="496"/>
      <c r="H17" s="496"/>
      <c r="I17" s="505"/>
      <c r="J17" s="493"/>
      <c r="K17" s="496"/>
      <c r="L17" s="506"/>
      <c r="M17" s="496"/>
      <c r="N17" s="495"/>
      <c r="O17" s="496"/>
      <c r="P17" s="496"/>
      <c r="Q17" s="498"/>
    </row>
    <row r="18" spans="1:18">
      <c r="A18" s="499"/>
      <c r="B18" s="504"/>
      <c r="C18" s="491"/>
      <c r="D18" s="496"/>
      <c r="E18" s="491"/>
      <c r="F18" s="496"/>
      <c r="G18" s="496"/>
      <c r="H18" s="496"/>
      <c r="I18" s="505"/>
      <c r="J18" s="493"/>
      <c r="K18" s="496"/>
      <c r="L18" s="506"/>
      <c r="M18" s="496"/>
      <c r="N18" s="495"/>
      <c r="O18" s="496"/>
      <c r="P18" s="496"/>
      <c r="Q18" s="498"/>
    </row>
    <row r="19" spans="1:18">
      <c r="A19" s="499"/>
      <c r="B19" s="504"/>
      <c r="C19" s="491"/>
      <c r="D19" s="496"/>
      <c r="E19" s="491"/>
      <c r="F19" s="496"/>
      <c r="G19" s="496"/>
      <c r="H19" s="496"/>
      <c r="I19" s="505"/>
      <c r="J19" s="493"/>
      <c r="K19" s="496"/>
      <c r="L19" s="506"/>
      <c r="M19" s="496"/>
      <c r="N19" s="495"/>
      <c r="O19" s="496"/>
      <c r="P19" s="496"/>
      <c r="Q19" s="498"/>
    </row>
    <row r="20" spans="1:18">
      <c r="A20" s="499"/>
      <c r="B20" s="504"/>
      <c r="C20" s="491"/>
      <c r="D20" s="496"/>
      <c r="E20" s="479"/>
      <c r="F20" s="496"/>
      <c r="G20" s="496"/>
      <c r="H20" s="496"/>
      <c r="I20" s="492"/>
      <c r="J20" s="496"/>
      <c r="K20" s="496"/>
      <c r="L20" s="507"/>
      <c r="M20" s="496"/>
      <c r="N20" s="495"/>
      <c r="O20" s="496"/>
      <c r="P20" s="496"/>
      <c r="Q20" s="497"/>
    </row>
    <row r="21" spans="1:18">
      <c r="A21" s="499"/>
      <c r="B21" s="504"/>
      <c r="C21" s="496"/>
      <c r="D21" s="496"/>
      <c r="E21" s="491"/>
      <c r="F21" s="496"/>
      <c r="G21" s="496"/>
      <c r="H21" s="496"/>
      <c r="I21" s="505"/>
      <c r="J21" s="493"/>
      <c r="K21" s="496"/>
      <c r="L21" s="496"/>
      <c r="M21" s="496"/>
      <c r="N21" s="504"/>
      <c r="O21" s="504"/>
      <c r="P21" s="496"/>
      <c r="Q21" s="497"/>
    </row>
    <row r="22" spans="1:18">
      <c r="A22" s="499"/>
      <c r="B22" s="504"/>
      <c r="C22" s="496"/>
      <c r="D22" s="496"/>
      <c r="E22" s="491"/>
      <c r="F22" s="496"/>
      <c r="G22" s="496"/>
      <c r="H22" s="496"/>
      <c r="I22" s="492"/>
      <c r="J22" s="493"/>
      <c r="K22" s="496"/>
      <c r="L22" s="506"/>
      <c r="M22" s="496"/>
      <c r="N22" s="504"/>
      <c r="O22" s="504"/>
      <c r="P22" s="496"/>
      <c r="Q22" s="498"/>
    </row>
    <row r="23" spans="1:18">
      <c r="A23" s="508"/>
      <c r="B23" s="509"/>
      <c r="C23" s="509"/>
      <c r="D23" s="509"/>
      <c r="E23" s="479"/>
      <c r="F23" s="510"/>
      <c r="G23" s="510"/>
      <c r="H23" s="510"/>
      <c r="I23" s="510"/>
      <c r="J23" s="510"/>
      <c r="K23" s="510"/>
      <c r="L23" s="507"/>
      <c r="M23" s="510"/>
      <c r="N23" s="511"/>
      <c r="O23" s="512"/>
      <c r="P23" s="511"/>
      <c r="Q23" s="513"/>
      <c r="R23" s="161"/>
    </row>
    <row r="24" spans="1:18">
      <c r="A24" s="478"/>
      <c r="B24" s="479"/>
      <c r="C24" s="479"/>
      <c r="D24" s="479"/>
      <c r="E24" s="514"/>
      <c r="F24" s="514"/>
      <c r="G24" s="514"/>
      <c r="H24" s="514"/>
      <c r="I24" s="514"/>
      <c r="J24" s="514"/>
      <c r="K24" s="514"/>
      <c r="L24" s="514"/>
      <c r="M24" s="514"/>
      <c r="N24" s="514"/>
      <c r="O24" s="515"/>
      <c r="P24" s="514"/>
      <c r="Q24" s="516"/>
    </row>
    <row r="25" spans="1:18">
      <c r="A25" s="517"/>
      <c r="B25" s="479"/>
      <c r="C25" s="479"/>
      <c r="D25" s="479"/>
      <c r="E25" s="479"/>
      <c r="F25" s="510"/>
      <c r="G25" s="509"/>
      <c r="H25" s="518"/>
      <c r="I25" s="479"/>
      <c r="J25" s="479"/>
      <c r="K25" s="479"/>
      <c r="L25" s="479"/>
      <c r="M25" s="509"/>
      <c r="N25" s="479"/>
      <c r="O25" s="479"/>
      <c r="P25" s="479"/>
      <c r="Q25" s="519"/>
    </row>
    <row r="26" spans="1:18">
      <c r="A26" s="517"/>
      <c r="B26" s="479"/>
      <c r="C26" s="479"/>
      <c r="D26" s="510"/>
      <c r="E26" s="479"/>
      <c r="F26" s="510"/>
      <c r="G26" s="509"/>
      <c r="H26" s="518"/>
      <c r="I26" s="520"/>
      <c r="J26" s="510"/>
      <c r="K26" s="510"/>
      <c r="L26" s="479"/>
      <c r="M26" s="509"/>
      <c r="N26" s="510"/>
      <c r="O26" s="510"/>
      <c r="P26" s="510"/>
      <c r="Q26" s="519"/>
    </row>
    <row r="27" spans="1:18">
      <c r="A27" s="490"/>
      <c r="B27" s="504"/>
      <c r="C27" s="493"/>
      <c r="D27" s="491"/>
      <c r="E27" s="509"/>
      <c r="F27" s="509"/>
      <c r="G27" s="509"/>
      <c r="H27" s="496"/>
      <c r="I27" s="492"/>
      <c r="J27" s="496"/>
      <c r="K27" s="521"/>
      <c r="L27" s="491"/>
      <c r="M27" s="496"/>
      <c r="N27" s="504"/>
      <c r="O27" s="496"/>
      <c r="P27" s="521"/>
      <c r="Q27" s="497"/>
    </row>
    <row r="28" spans="1:18">
      <c r="A28" s="490"/>
      <c r="B28" s="504"/>
      <c r="C28" s="493"/>
      <c r="D28" s="491"/>
      <c r="E28" s="509"/>
      <c r="F28" s="509"/>
      <c r="G28" s="509"/>
      <c r="H28" s="515"/>
      <c r="I28" s="492"/>
      <c r="J28" s="496"/>
      <c r="K28" s="521"/>
      <c r="L28" s="491"/>
      <c r="M28" s="521"/>
      <c r="N28" s="504"/>
      <c r="O28" s="515"/>
      <c r="P28" s="521"/>
      <c r="Q28" s="497"/>
    </row>
    <row r="29" spans="1:18">
      <c r="F29" s="523"/>
      <c r="O29" s="526">
        <f>48.7+10.67+9.67</f>
        <v>69.040000000000006</v>
      </c>
    </row>
  </sheetData>
  <mergeCells count="23">
    <mergeCell ref="A1:E2"/>
    <mergeCell ref="F1:L2"/>
    <mergeCell ref="M1:Q1"/>
    <mergeCell ref="M2:Q2"/>
    <mergeCell ref="A3:E4"/>
    <mergeCell ref="F3:L3"/>
    <mergeCell ref="M3:Q3"/>
    <mergeCell ref="F4:L4"/>
    <mergeCell ref="M4:Q4"/>
    <mergeCell ref="M8:M9"/>
    <mergeCell ref="N8:P8"/>
    <mergeCell ref="Q8:Q9"/>
    <mergeCell ref="A7:B7"/>
    <mergeCell ref="A5:Q5"/>
    <mergeCell ref="A6:Q6"/>
    <mergeCell ref="A8:A9"/>
    <mergeCell ref="B8:B9"/>
    <mergeCell ref="C8:C9"/>
    <mergeCell ref="D8:E8"/>
    <mergeCell ref="F8:F9"/>
    <mergeCell ref="G8:G9"/>
    <mergeCell ref="H8:H9"/>
    <mergeCell ref="I8:L8"/>
  </mergeCells>
  <pageMargins left="0" right="0.66" top="0.75" bottom="0.75" header="0.3" footer="0.3"/>
  <pageSetup orientation="landscape" r:id="rId1"/>
  <drawing r:id="rId2"/>
  <legacyDrawing r:id="rId3"/>
  <oleObjects>
    <mc:AlternateContent xmlns:mc="http://schemas.openxmlformats.org/markup-compatibility/2006">
      <mc:Choice Requires="x14">
        <oleObject progId="PBrush" shapeId="52225" r:id="rId4">
          <objectPr defaultSize="0" autoPict="0" r:id="rId5">
            <anchor moveWithCells="1" sizeWithCells="1">
              <from>
                <xdr:col>1</xdr:col>
                <xdr:colOff>400050</xdr:colOff>
                <xdr:row>2</xdr:row>
                <xdr:rowOff>57150</xdr:rowOff>
              </from>
              <to>
                <xdr:col>3</xdr:col>
                <xdr:colOff>457200</xdr:colOff>
                <xdr:row>3</xdr:row>
                <xdr:rowOff>742950</xdr:rowOff>
              </to>
            </anchor>
          </objectPr>
        </oleObject>
      </mc:Choice>
      <mc:Fallback>
        <oleObject progId="PBrush" shapeId="52225"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249977111117893"/>
  </sheetPr>
  <dimension ref="A1:AE25"/>
  <sheetViews>
    <sheetView topLeftCell="A4" workbookViewId="0">
      <selection activeCell="AA12" sqref="AA12"/>
    </sheetView>
  </sheetViews>
  <sheetFormatPr defaultRowHeight="15"/>
  <cols>
    <col min="1" max="1" width="3.7109375" style="162" customWidth="1"/>
    <col min="2" max="2" width="7.85546875" style="162" customWidth="1"/>
    <col min="3" max="3" width="5.85546875" style="162" customWidth="1"/>
    <col min="4" max="4" width="4.140625" style="162" customWidth="1"/>
    <col min="5" max="5" width="7" style="162" customWidth="1"/>
    <col min="6" max="6" width="7.85546875" style="162" customWidth="1"/>
    <col min="7" max="7" width="5.28515625" style="162" customWidth="1"/>
    <col min="8" max="8" width="3.85546875" style="162" customWidth="1"/>
    <col min="9" max="9" width="3.140625" style="162" customWidth="1"/>
    <col min="10" max="10" width="7.28515625" style="162" customWidth="1"/>
    <col min="11" max="11" width="8.42578125" style="162" customWidth="1"/>
    <col min="12" max="12" width="7.5703125" style="162" customWidth="1"/>
    <col min="13" max="13" width="5.42578125" style="162" customWidth="1"/>
    <col min="14" max="15" width="3" style="162" customWidth="1"/>
    <col min="16" max="16" width="6.42578125" style="162" customWidth="1"/>
    <col min="17" max="18" width="6.7109375" style="162" customWidth="1"/>
    <col min="19" max="19" width="6.140625" style="162" customWidth="1"/>
    <col min="20" max="20" width="9.42578125" style="162" customWidth="1"/>
    <col min="21" max="21" width="4.140625" style="162" customWidth="1"/>
    <col min="22" max="22" width="5.140625" style="162" customWidth="1"/>
    <col min="23" max="23" width="6.42578125" style="162" customWidth="1"/>
  </cols>
  <sheetData>
    <row r="1" spans="1:31">
      <c r="A1" s="1052" t="s">
        <v>337</v>
      </c>
      <c r="B1" s="1053"/>
      <c r="C1" s="1053"/>
      <c r="D1" s="1053"/>
      <c r="E1" s="1053"/>
      <c r="F1" s="1053"/>
      <c r="G1" s="1054"/>
      <c r="H1" s="1058" t="s">
        <v>332</v>
      </c>
      <c r="I1" s="1058"/>
      <c r="J1" s="1058"/>
      <c r="K1" s="1058"/>
      <c r="L1" s="1058"/>
      <c r="M1" s="1058"/>
      <c r="N1" s="1058"/>
      <c r="O1" s="1058"/>
      <c r="P1" s="1058"/>
      <c r="Q1" s="1058"/>
      <c r="R1" s="1058"/>
      <c r="S1" s="1058"/>
      <c r="T1" s="1060" t="s">
        <v>334</v>
      </c>
      <c r="U1" s="1061"/>
      <c r="V1" s="1061"/>
      <c r="W1" s="1062"/>
    </row>
    <row r="2" spans="1:31" ht="38.25" customHeight="1">
      <c r="A2" s="1055"/>
      <c r="B2" s="1056"/>
      <c r="C2" s="1056"/>
      <c r="D2" s="1056"/>
      <c r="E2" s="1056"/>
      <c r="F2" s="1056"/>
      <c r="G2" s="1057"/>
      <c r="H2" s="1059"/>
      <c r="I2" s="1059"/>
      <c r="J2" s="1059"/>
      <c r="K2" s="1059"/>
      <c r="L2" s="1059"/>
      <c r="M2" s="1059"/>
      <c r="N2" s="1059"/>
      <c r="O2" s="1059"/>
      <c r="P2" s="1059"/>
      <c r="Q2" s="1059"/>
      <c r="R2" s="1059"/>
      <c r="S2" s="1059"/>
      <c r="T2" s="1063" t="s">
        <v>347</v>
      </c>
      <c r="U2" s="1064"/>
      <c r="V2" s="1064"/>
      <c r="W2" s="1065"/>
    </row>
    <row r="3" spans="1:31">
      <c r="A3" s="1066"/>
      <c r="B3" s="1032"/>
      <c r="C3" s="1032"/>
      <c r="D3" s="1032"/>
      <c r="E3" s="1032"/>
      <c r="F3" s="1032"/>
      <c r="G3" s="1032"/>
      <c r="H3" s="1069"/>
      <c r="I3" s="1069"/>
      <c r="J3" s="1069"/>
      <c r="K3" s="1069"/>
      <c r="L3" s="1069"/>
      <c r="M3" s="1069"/>
      <c r="N3" s="1069"/>
      <c r="O3" s="1069"/>
      <c r="P3" s="1069"/>
      <c r="Q3" s="1069"/>
      <c r="R3" s="1069"/>
      <c r="S3" s="1069"/>
      <c r="T3" s="1070" t="s">
        <v>335</v>
      </c>
      <c r="U3" s="1070"/>
      <c r="V3" s="1070"/>
      <c r="W3" s="1070"/>
    </row>
    <row r="4" spans="1:31" ht="41.25" customHeight="1" thickBot="1">
      <c r="A4" s="1067"/>
      <c r="B4" s="1068"/>
      <c r="C4" s="1068"/>
      <c r="D4" s="1068"/>
      <c r="E4" s="1068"/>
      <c r="F4" s="1068"/>
      <c r="G4" s="1068"/>
      <c r="H4" s="1071" t="s">
        <v>362</v>
      </c>
      <c r="I4" s="1071"/>
      <c r="J4" s="1071"/>
      <c r="K4" s="1071"/>
      <c r="L4" s="1071"/>
      <c r="M4" s="1071"/>
      <c r="N4" s="1071"/>
      <c r="O4" s="1071"/>
      <c r="P4" s="1071"/>
      <c r="Q4" s="1071"/>
      <c r="R4" s="1071"/>
      <c r="S4" s="1071"/>
      <c r="T4" s="1072">
        <v>1</v>
      </c>
      <c r="U4" s="1072"/>
      <c r="V4" s="1072"/>
      <c r="W4" s="1073"/>
    </row>
    <row r="5" spans="1:31" ht="15.75">
      <c r="A5" s="1044" t="s">
        <v>341</v>
      </c>
      <c r="B5" s="1044"/>
      <c r="C5" s="1044"/>
      <c r="D5" s="1044"/>
      <c r="E5" s="1044"/>
      <c r="F5" s="1044"/>
      <c r="G5" s="1044"/>
      <c r="H5" s="1044"/>
      <c r="I5" s="1044"/>
      <c r="J5" s="1044"/>
      <c r="K5" s="1044"/>
      <c r="L5" s="1044"/>
      <c r="M5" s="1044"/>
      <c r="N5" s="1044"/>
      <c r="O5" s="1044"/>
      <c r="P5" s="1044"/>
      <c r="Q5" s="1044"/>
      <c r="R5" s="1044"/>
      <c r="S5" s="1044"/>
      <c r="T5" s="1044"/>
      <c r="U5" s="1044"/>
      <c r="V5" s="1044"/>
      <c r="W5" s="1044"/>
    </row>
    <row r="6" spans="1:31" ht="30.75" customHeight="1">
      <c r="A6" s="1027" t="s">
        <v>162</v>
      </c>
      <c r="B6" s="1045" t="s">
        <v>158</v>
      </c>
      <c r="C6" s="1046"/>
      <c r="D6" s="1046"/>
      <c r="E6" s="1046"/>
      <c r="F6" s="1047"/>
      <c r="G6" s="1040" t="s">
        <v>159</v>
      </c>
      <c r="H6" s="1040"/>
      <c r="I6" s="1040"/>
      <c r="J6" s="1040"/>
      <c r="K6" s="1040"/>
      <c r="L6" s="1040"/>
      <c r="M6" s="1040"/>
      <c r="N6" s="1040"/>
      <c r="O6" s="1040"/>
      <c r="P6" s="1045" t="s">
        <v>160</v>
      </c>
      <c r="Q6" s="1046"/>
      <c r="R6" s="1046"/>
      <c r="S6" s="1047"/>
      <c r="T6" s="1048" t="s">
        <v>161</v>
      </c>
      <c r="U6" s="1049"/>
      <c r="V6" s="1050"/>
      <c r="W6" s="1041" t="s">
        <v>15</v>
      </c>
      <c r="X6" s="534"/>
      <c r="Y6" s="534"/>
      <c r="Z6" s="534"/>
      <c r="AA6" s="534"/>
      <c r="AB6" s="534"/>
      <c r="AC6" s="534"/>
      <c r="AD6" s="534"/>
      <c r="AE6" s="534"/>
    </row>
    <row r="7" spans="1:31">
      <c r="A7" s="1028"/>
      <c r="B7" s="1038" t="s">
        <v>163</v>
      </c>
      <c r="C7" s="1040" t="s">
        <v>164</v>
      </c>
      <c r="D7" s="1040" t="s">
        <v>130</v>
      </c>
      <c r="E7" s="1038" t="s">
        <v>165</v>
      </c>
      <c r="F7" s="1038" t="s">
        <v>166</v>
      </c>
      <c r="G7" s="1041" t="s">
        <v>374</v>
      </c>
      <c r="H7" s="1040" t="s">
        <v>141</v>
      </c>
      <c r="I7" s="1040" t="s">
        <v>167</v>
      </c>
      <c r="J7" s="1038" t="s">
        <v>168</v>
      </c>
      <c r="K7" s="1038" t="s">
        <v>169</v>
      </c>
      <c r="L7" s="1040" t="s">
        <v>170</v>
      </c>
      <c r="M7" s="1041" t="s">
        <v>171</v>
      </c>
      <c r="N7" s="1043" t="s">
        <v>141</v>
      </c>
      <c r="O7" s="1040" t="s">
        <v>167</v>
      </c>
      <c r="P7" s="1038" t="s">
        <v>172</v>
      </c>
      <c r="Q7" s="1038" t="s">
        <v>173</v>
      </c>
      <c r="R7" s="1038" t="s">
        <v>174</v>
      </c>
      <c r="S7" s="1038" t="s">
        <v>175</v>
      </c>
      <c r="T7" s="1038" t="s">
        <v>176</v>
      </c>
      <c r="U7" s="1038" t="s">
        <v>130</v>
      </c>
      <c r="V7" s="1039" t="s">
        <v>177</v>
      </c>
      <c r="W7" s="1051"/>
      <c r="X7" s="534"/>
      <c r="Y7" s="534"/>
      <c r="Z7" s="534"/>
      <c r="AA7" s="534"/>
      <c r="AB7" s="534"/>
      <c r="AC7" s="534"/>
      <c r="AD7" s="534"/>
      <c r="AE7" s="534"/>
    </row>
    <row r="8" spans="1:31" ht="55.5" customHeight="1">
      <c r="A8" s="1029"/>
      <c r="B8" s="1038"/>
      <c r="C8" s="1040"/>
      <c r="D8" s="1040"/>
      <c r="E8" s="1038"/>
      <c r="F8" s="1038"/>
      <c r="G8" s="1042"/>
      <c r="H8" s="1040"/>
      <c r="I8" s="1040"/>
      <c r="J8" s="1038"/>
      <c r="K8" s="1038"/>
      <c r="L8" s="1040"/>
      <c r="M8" s="1042"/>
      <c r="N8" s="1043"/>
      <c r="O8" s="1040"/>
      <c r="P8" s="1038"/>
      <c r="Q8" s="1038"/>
      <c r="R8" s="1038"/>
      <c r="S8" s="1038"/>
      <c r="T8" s="1038"/>
      <c r="U8" s="1038"/>
      <c r="V8" s="1039"/>
      <c r="W8" s="1042"/>
      <c r="X8" s="534"/>
      <c r="Y8" s="534"/>
      <c r="Z8" s="534"/>
      <c r="AA8" s="534"/>
      <c r="AB8" s="534"/>
      <c r="AC8" s="534"/>
      <c r="AD8" s="534"/>
      <c r="AE8" s="534"/>
    </row>
    <row r="9" spans="1:31">
      <c r="A9" s="1032"/>
      <c r="B9" s="1033"/>
      <c r="C9" s="1034"/>
      <c r="D9" s="1035"/>
      <c r="E9" s="1036"/>
      <c r="F9" s="1037"/>
      <c r="G9" s="163"/>
      <c r="H9" s="394"/>
      <c r="I9" s="164"/>
      <c r="J9" s="165"/>
      <c r="K9" s="166"/>
      <c r="L9" s="167"/>
      <c r="M9" s="163"/>
      <c r="N9" s="166"/>
      <c r="O9" s="164"/>
      <c r="P9" s="168"/>
      <c r="Q9" s="165"/>
      <c r="R9" s="165"/>
      <c r="S9" s="165"/>
      <c r="T9" s="169"/>
      <c r="U9" s="170"/>
      <c r="V9" s="171"/>
      <c r="W9" s="172"/>
    </row>
    <row r="10" spans="1:31">
      <c r="A10" s="1032"/>
      <c r="B10" s="1033"/>
      <c r="C10" s="1034"/>
      <c r="D10" s="1035"/>
      <c r="E10" s="1036"/>
      <c r="F10" s="1035"/>
      <c r="G10" s="173"/>
      <c r="H10" s="166"/>
      <c r="I10" s="164"/>
      <c r="J10" s="165"/>
      <c r="K10" s="174"/>
      <c r="L10" s="167"/>
      <c r="M10" s="163"/>
      <c r="N10" s="166"/>
      <c r="O10" s="164"/>
      <c r="P10" s="168"/>
      <c r="Q10" s="165"/>
      <c r="R10" s="165"/>
      <c r="S10" s="175"/>
      <c r="T10" s="169"/>
      <c r="U10" s="170"/>
      <c r="V10" s="171"/>
      <c r="W10" s="166"/>
    </row>
    <row r="11" spans="1:31">
      <c r="A11" s="1032"/>
      <c r="B11" s="1033"/>
      <c r="C11" s="1034"/>
      <c r="D11" s="1035"/>
      <c r="E11" s="1036"/>
      <c r="F11" s="1035"/>
      <c r="G11" s="173"/>
      <c r="H11" s="166"/>
      <c r="I11" s="164"/>
      <c r="J11" s="165"/>
      <c r="K11" s="174"/>
      <c r="L11" s="163"/>
      <c r="M11" s="176"/>
      <c r="N11" s="166"/>
      <c r="O11" s="164"/>
      <c r="P11" s="168"/>
      <c r="Q11" s="165"/>
      <c r="R11" s="165"/>
      <c r="S11" s="175"/>
      <c r="T11" s="166"/>
      <c r="U11" s="177"/>
      <c r="V11" s="178"/>
      <c r="W11" s="166"/>
    </row>
    <row r="12" spans="1:31">
      <c r="A12" s="1032"/>
      <c r="B12" s="1033"/>
      <c r="C12" s="1034"/>
      <c r="D12" s="1035"/>
      <c r="E12" s="1036"/>
      <c r="F12" s="1035"/>
      <c r="G12" s="173"/>
      <c r="H12" s="166"/>
      <c r="I12" s="164"/>
      <c r="J12" s="165"/>
      <c r="K12" s="174"/>
      <c r="L12" s="163"/>
      <c r="M12" s="176"/>
      <c r="N12" s="166"/>
      <c r="O12" s="164"/>
      <c r="P12" s="168"/>
      <c r="Q12" s="175"/>
      <c r="R12" s="175"/>
      <c r="S12" s="175"/>
      <c r="T12" s="166"/>
      <c r="U12" s="177"/>
      <c r="V12" s="178"/>
      <c r="W12" s="179"/>
    </row>
    <row r="13" spans="1:31">
      <c r="A13" s="1032"/>
      <c r="B13" s="1033"/>
      <c r="C13" s="1034"/>
      <c r="D13" s="1035"/>
      <c r="E13" s="1036"/>
      <c r="F13" s="1035"/>
      <c r="G13" s="173"/>
      <c r="H13" s="166"/>
      <c r="I13" s="164"/>
      <c r="J13" s="165"/>
      <c r="K13" s="174"/>
      <c r="L13" s="163"/>
      <c r="M13" s="176"/>
      <c r="N13" s="176"/>
      <c r="O13" s="176"/>
      <c r="P13" s="168"/>
      <c r="Q13" s="175"/>
      <c r="R13" s="175"/>
      <c r="S13" s="175"/>
      <c r="T13" s="166"/>
      <c r="U13" s="177"/>
      <c r="V13" s="178"/>
      <c r="W13" s="179"/>
    </row>
    <row r="14" spans="1:31">
      <c r="A14" s="1032"/>
      <c r="B14" s="1033"/>
      <c r="C14" s="1034"/>
      <c r="D14" s="1035"/>
      <c r="E14" s="1036"/>
      <c r="F14" s="1035"/>
      <c r="G14" s="173"/>
      <c r="H14" s="166"/>
      <c r="I14" s="164"/>
      <c r="J14" s="180"/>
      <c r="K14" s="174"/>
      <c r="L14" s="163"/>
      <c r="M14" s="163"/>
      <c r="N14" s="174"/>
      <c r="O14" s="168"/>
      <c r="P14" s="168"/>
      <c r="Q14" s="175"/>
      <c r="R14" s="175"/>
      <c r="S14" s="175"/>
      <c r="T14" s="166"/>
      <c r="U14" s="177"/>
      <c r="V14" s="178"/>
      <c r="W14" s="394"/>
    </row>
    <row r="15" spans="1:31">
      <c r="A15" s="1032"/>
      <c r="B15" s="1033"/>
      <c r="C15" s="1034"/>
      <c r="D15" s="1035"/>
      <c r="E15" s="1036"/>
      <c r="F15" s="1035"/>
      <c r="G15" s="176"/>
      <c r="H15" s="166"/>
      <c r="I15" s="164"/>
      <c r="J15" s="180"/>
      <c r="K15" s="174"/>
      <c r="L15" s="163"/>
      <c r="M15" s="163"/>
      <c r="N15" s="174"/>
      <c r="O15" s="168"/>
      <c r="P15" s="168"/>
      <c r="Q15" s="175"/>
      <c r="R15" s="175"/>
      <c r="S15" s="175"/>
      <c r="T15" s="166"/>
      <c r="U15" s="177"/>
      <c r="V15" s="178"/>
      <c r="W15" s="394"/>
    </row>
    <row r="16" spans="1:31">
      <c r="A16" s="1032"/>
      <c r="B16" s="1033"/>
      <c r="C16" s="1034"/>
      <c r="D16" s="1035"/>
      <c r="E16" s="1036"/>
      <c r="F16" s="1035"/>
      <c r="G16" s="181"/>
      <c r="H16" s="166"/>
      <c r="I16" s="164"/>
      <c r="J16" s="180"/>
      <c r="K16" s="174"/>
      <c r="L16" s="163"/>
      <c r="M16" s="163"/>
      <c r="N16" s="174"/>
      <c r="O16" s="168"/>
      <c r="P16" s="168"/>
      <c r="Q16" s="175"/>
      <c r="R16" s="175"/>
      <c r="S16" s="175"/>
      <c r="T16" s="166"/>
      <c r="U16" s="177"/>
      <c r="V16" s="178"/>
      <c r="W16" s="394"/>
    </row>
    <row r="17" spans="1:23">
      <c r="A17" s="1032"/>
      <c r="B17" s="1033"/>
      <c r="C17" s="1034"/>
      <c r="D17" s="1035"/>
      <c r="E17" s="1037"/>
      <c r="F17" s="1037"/>
      <c r="G17" s="163"/>
      <c r="H17" s="394"/>
      <c r="I17" s="164"/>
      <c r="J17" s="165"/>
      <c r="K17" s="174"/>
      <c r="L17" s="167"/>
      <c r="M17" s="163"/>
      <c r="N17" s="174"/>
      <c r="O17" s="168"/>
      <c r="P17" s="168"/>
      <c r="Q17" s="165"/>
      <c r="R17" s="165"/>
      <c r="S17" s="165"/>
      <c r="T17" s="169"/>
      <c r="U17" s="170"/>
      <c r="V17" s="178"/>
      <c r="W17" s="170"/>
    </row>
    <row r="18" spans="1:23">
      <c r="A18" s="1032"/>
      <c r="B18" s="1033"/>
      <c r="C18" s="1034"/>
      <c r="D18" s="1035"/>
      <c r="E18" s="1037"/>
      <c r="F18" s="1037"/>
      <c r="G18" s="173"/>
      <c r="H18" s="166"/>
      <c r="I18" s="164"/>
      <c r="J18" s="165"/>
      <c r="K18" s="174"/>
      <c r="L18" s="167"/>
      <c r="M18" s="163"/>
      <c r="N18" s="174"/>
      <c r="O18" s="168"/>
      <c r="P18" s="168"/>
      <c r="Q18" s="165"/>
      <c r="R18" s="165"/>
      <c r="S18" s="165"/>
      <c r="T18" s="169"/>
      <c r="U18" s="170"/>
      <c r="V18" s="178"/>
      <c r="W18" s="182"/>
    </row>
    <row r="19" spans="1:23">
      <c r="A19" s="1032"/>
      <c r="B19" s="1033"/>
      <c r="C19" s="1034"/>
      <c r="D19" s="1035"/>
      <c r="E19" s="1037"/>
      <c r="F19" s="1037"/>
      <c r="G19" s="173"/>
      <c r="H19" s="166"/>
      <c r="I19" s="164"/>
      <c r="J19" s="165"/>
      <c r="K19" s="174"/>
      <c r="L19" s="167"/>
      <c r="M19" s="163"/>
      <c r="N19" s="174"/>
      <c r="O19" s="168"/>
      <c r="P19" s="168"/>
      <c r="Q19" s="165"/>
      <c r="R19" s="165"/>
      <c r="S19" s="165"/>
      <c r="T19" s="169"/>
      <c r="U19" s="165"/>
      <c r="V19" s="178"/>
      <c r="W19" s="183"/>
    </row>
    <row r="20" spans="1:23">
      <c r="A20" s="1032"/>
      <c r="B20" s="1033"/>
      <c r="C20" s="1034"/>
      <c r="D20" s="1035"/>
      <c r="E20" s="1037"/>
      <c r="F20" s="1037"/>
      <c r="G20" s="173"/>
      <c r="H20" s="166"/>
      <c r="I20" s="164"/>
      <c r="J20" s="165"/>
      <c r="K20" s="174"/>
      <c r="L20" s="167"/>
      <c r="M20" s="184"/>
      <c r="N20" s="174"/>
      <c r="O20" s="168"/>
      <c r="P20" s="168"/>
      <c r="Q20" s="165"/>
      <c r="R20" s="165"/>
      <c r="S20" s="165"/>
      <c r="T20" s="169"/>
      <c r="U20" s="165"/>
      <c r="V20" s="178"/>
      <c r="W20" s="185"/>
    </row>
    <row r="21" spans="1:23">
      <c r="A21" s="1032"/>
      <c r="B21" s="1033"/>
      <c r="C21" s="1034"/>
      <c r="D21" s="1035"/>
      <c r="E21" s="1037"/>
      <c r="F21" s="1037"/>
      <c r="G21" s="173"/>
      <c r="H21" s="166"/>
      <c r="I21" s="164"/>
      <c r="J21" s="165"/>
      <c r="K21" s="174"/>
      <c r="L21" s="176"/>
      <c r="M21" s="184"/>
      <c r="N21" s="174"/>
      <c r="O21" s="168"/>
      <c r="P21" s="168"/>
      <c r="Q21" s="165"/>
      <c r="R21" s="165"/>
      <c r="S21" s="175"/>
      <c r="T21" s="169"/>
      <c r="U21" s="165"/>
      <c r="V21" s="178"/>
      <c r="W21" s="182"/>
    </row>
    <row r="22" spans="1:23">
      <c r="A22" s="1032"/>
      <c r="B22" s="1033"/>
      <c r="C22" s="1034"/>
      <c r="D22" s="1035"/>
      <c r="E22" s="1037"/>
      <c r="F22" s="1037"/>
      <c r="G22" s="176"/>
      <c r="H22" s="166"/>
      <c r="I22" s="164"/>
      <c r="J22" s="180"/>
      <c r="K22" s="174"/>
      <c r="L22" s="163"/>
      <c r="M22" s="163"/>
      <c r="N22" s="174"/>
      <c r="O22" s="168"/>
      <c r="P22" s="168"/>
      <c r="Q22" s="165"/>
      <c r="R22" s="165"/>
      <c r="S22" s="175"/>
      <c r="T22" s="169"/>
      <c r="U22" s="165"/>
      <c r="V22" s="178"/>
      <c r="W22" s="170"/>
    </row>
    <row r="23" spans="1:23">
      <c r="A23" s="1032"/>
      <c r="B23" s="1033"/>
      <c r="C23" s="1034"/>
      <c r="D23" s="1035"/>
      <c r="E23" s="1037"/>
      <c r="F23" s="1037"/>
      <c r="G23" s="176"/>
      <c r="H23" s="166"/>
      <c r="I23" s="164"/>
      <c r="J23" s="180"/>
      <c r="K23" s="174"/>
      <c r="L23" s="163"/>
      <c r="M23" s="163"/>
      <c r="N23" s="174"/>
      <c r="O23" s="168"/>
      <c r="P23" s="168"/>
      <c r="Q23" s="165"/>
      <c r="R23" s="165"/>
      <c r="S23" s="175"/>
      <c r="T23" s="169"/>
      <c r="U23" s="165"/>
      <c r="V23" s="178"/>
      <c r="W23" s="176"/>
    </row>
    <row r="24" spans="1:23">
      <c r="A24" s="1032"/>
      <c r="B24" s="1033"/>
      <c r="C24" s="1034"/>
      <c r="D24" s="1035"/>
      <c r="E24" s="1037"/>
      <c r="F24" s="1037"/>
      <c r="G24" s="176"/>
      <c r="H24" s="166"/>
      <c r="I24" s="164"/>
      <c r="J24" s="180"/>
      <c r="K24" s="174"/>
      <c r="L24" s="163"/>
      <c r="M24" s="163"/>
      <c r="N24" s="174"/>
      <c r="O24" s="168"/>
      <c r="P24" s="168"/>
      <c r="Q24" s="165"/>
      <c r="R24" s="165"/>
      <c r="S24" s="175"/>
      <c r="T24" s="169"/>
      <c r="U24" s="165"/>
      <c r="V24" s="178"/>
      <c r="W24" s="176"/>
    </row>
    <row r="25" spans="1:23" ht="15.75">
      <c r="A25" s="1030" t="s">
        <v>178</v>
      </c>
      <c r="B25" s="1030"/>
      <c r="C25" s="1031" t="s">
        <v>179</v>
      </c>
      <c r="D25" s="1031"/>
      <c r="E25" s="1031"/>
      <c r="F25" s="1031"/>
      <c r="G25" s="1031"/>
      <c r="H25" s="1031"/>
      <c r="I25" s="1031"/>
      <c r="J25" s="1031"/>
      <c r="K25" s="1031"/>
      <c r="L25" s="1031"/>
      <c r="M25" s="1031"/>
      <c r="N25" s="1031"/>
      <c r="O25" s="1031"/>
      <c r="P25" s="1031"/>
      <c r="Q25" s="1031"/>
      <c r="R25" s="1031"/>
      <c r="S25" s="1031"/>
      <c r="T25" s="1031"/>
      <c r="U25" s="1031"/>
      <c r="V25" s="1031"/>
      <c r="W25" s="1031"/>
    </row>
  </sheetData>
  <mergeCells count="49">
    <mergeCell ref="A1:G2"/>
    <mergeCell ref="H1:S2"/>
    <mergeCell ref="T1:W1"/>
    <mergeCell ref="T2:W2"/>
    <mergeCell ref="A3:G4"/>
    <mergeCell ref="H3:S3"/>
    <mergeCell ref="T3:W3"/>
    <mergeCell ref="H4:S4"/>
    <mergeCell ref="T4:W4"/>
    <mergeCell ref="J7:J8"/>
    <mergeCell ref="A5:W5"/>
    <mergeCell ref="B6:F6"/>
    <mergeCell ref="G6:O6"/>
    <mergeCell ref="P6:S6"/>
    <mergeCell ref="T6:V6"/>
    <mergeCell ref="W6:W8"/>
    <mergeCell ref="B7:B8"/>
    <mergeCell ref="C7:C8"/>
    <mergeCell ref="D7:D8"/>
    <mergeCell ref="E7:E8"/>
    <mergeCell ref="F7:F8"/>
    <mergeCell ref="G7:G8"/>
    <mergeCell ref="H7:H8"/>
    <mergeCell ref="I7:I8"/>
    <mergeCell ref="T7:T8"/>
    <mergeCell ref="U7:U8"/>
    <mergeCell ref="V7:V8"/>
    <mergeCell ref="K7:K8"/>
    <mergeCell ref="L7:L8"/>
    <mergeCell ref="M7:M8"/>
    <mergeCell ref="N7:N8"/>
    <mergeCell ref="O7:O8"/>
    <mergeCell ref="P7:P8"/>
    <mergeCell ref="A6:A8"/>
    <mergeCell ref="A25:B25"/>
    <mergeCell ref="C25:W25"/>
    <mergeCell ref="A9:A24"/>
    <mergeCell ref="B9:B24"/>
    <mergeCell ref="C9:C16"/>
    <mergeCell ref="D9:D16"/>
    <mergeCell ref="E9:E16"/>
    <mergeCell ref="F9:F16"/>
    <mergeCell ref="C17:C24"/>
    <mergeCell ref="D17:D24"/>
    <mergeCell ref="E17:E24"/>
    <mergeCell ref="F17:F24"/>
    <mergeCell ref="Q7:Q8"/>
    <mergeCell ref="R7:R8"/>
    <mergeCell ref="S7:S8"/>
  </mergeCells>
  <pageMargins left="0" right="0.25" top="0.75" bottom="0.75" header="0.3" footer="0.3"/>
  <pageSetup orientation="landscape" r:id="rId1"/>
  <drawing r:id="rId2"/>
  <legacyDrawing r:id="rId3"/>
  <oleObjects>
    <mc:AlternateContent xmlns:mc="http://schemas.openxmlformats.org/markup-compatibility/2006">
      <mc:Choice Requires="x14">
        <oleObject progId="PBrush" shapeId="54273" r:id="rId4">
          <objectPr defaultSize="0" autoPict="0" r:id="rId5">
            <anchor moveWithCells="1" sizeWithCells="1">
              <from>
                <xdr:col>1</xdr:col>
                <xdr:colOff>66675</xdr:colOff>
                <xdr:row>2</xdr:row>
                <xdr:rowOff>47625</xdr:rowOff>
              </from>
              <to>
                <xdr:col>4</xdr:col>
                <xdr:colOff>152400</xdr:colOff>
                <xdr:row>3</xdr:row>
                <xdr:rowOff>409575</xdr:rowOff>
              </to>
            </anchor>
          </objectPr>
        </oleObject>
      </mc:Choice>
      <mc:Fallback>
        <oleObject progId="PBrush" shapeId="54273"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A1:L56"/>
  <sheetViews>
    <sheetView zoomScaleSheetLayoutView="90" workbookViewId="0">
      <selection sqref="A1:I4"/>
    </sheetView>
  </sheetViews>
  <sheetFormatPr defaultRowHeight="15"/>
  <cols>
    <col min="1" max="1" width="9.28515625" style="186" bestFit="1" customWidth="1"/>
    <col min="2" max="2" width="33" style="186" customWidth="1"/>
    <col min="3" max="3" width="18" style="186" customWidth="1"/>
    <col min="4" max="4" width="19" style="186" customWidth="1"/>
    <col min="5" max="5" width="16.28515625" style="186" customWidth="1"/>
    <col min="6" max="6" width="20" style="186" customWidth="1"/>
    <col min="7" max="7" width="1.42578125" style="186" customWidth="1"/>
    <col min="8" max="8" width="15.85546875" style="186" customWidth="1"/>
    <col min="9" max="9" width="17.42578125" style="186" customWidth="1"/>
    <col min="10" max="11" width="9.140625" style="186"/>
    <col min="12" max="12" width="10" style="186" bestFit="1" customWidth="1"/>
    <col min="13" max="16384" width="9.140625" style="186"/>
  </cols>
  <sheetData>
    <row r="1" spans="1:12" ht="18.75" customHeight="1">
      <c r="A1" s="1097" t="s">
        <v>336</v>
      </c>
      <c r="B1" s="1098"/>
      <c r="C1" s="1099"/>
      <c r="D1" s="1107" t="s">
        <v>332</v>
      </c>
      <c r="E1" s="1107"/>
      <c r="F1" s="1107"/>
      <c r="G1" s="1107"/>
      <c r="H1" s="1107"/>
      <c r="I1" s="574" t="s">
        <v>334</v>
      </c>
    </row>
    <row r="2" spans="1:12" s="187" customFormat="1" ht="18.75" customHeight="1">
      <c r="A2" s="1100"/>
      <c r="B2" s="1101"/>
      <c r="C2" s="1102"/>
      <c r="D2" s="1108"/>
      <c r="E2" s="1108"/>
      <c r="F2" s="1108"/>
      <c r="G2" s="1108"/>
      <c r="H2" s="1108"/>
      <c r="I2" s="575" t="s">
        <v>348</v>
      </c>
    </row>
    <row r="3" spans="1:12" s="187" customFormat="1" ht="18.75">
      <c r="A3" s="1103"/>
      <c r="B3" s="1104"/>
      <c r="C3" s="1104"/>
      <c r="D3" s="1109"/>
      <c r="E3" s="1109"/>
      <c r="F3" s="1109"/>
      <c r="G3" s="1109"/>
      <c r="H3" s="1109"/>
      <c r="I3" s="576" t="s">
        <v>335</v>
      </c>
    </row>
    <row r="4" spans="1:12" ht="35.25" customHeight="1" thickBot="1">
      <c r="A4" s="1105"/>
      <c r="B4" s="1106"/>
      <c r="C4" s="1106"/>
      <c r="D4" s="1110" t="s">
        <v>180</v>
      </c>
      <c r="E4" s="1110"/>
      <c r="F4" s="1110"/>
      <c r="G4" s="1110"/>
      <c r="H4" s="1110"/>
      <c r="I4" s="577">
        <v>1</v>
      </c>
    </row>
    <row r="5" spans="1:12" ht="15.75">
      <c r="A5" s="1095" t="s">
        <v>341</v>
      </c>
      <c r="B5" s="1095"/>
      <c r="C5" s="1095"/>
      <c r="D5" s="1095"/>
      <c r="E5" s="1095"/>
      <c r="F5" s="1095"/>
      <c r="G5" s="393"/>
      <c r="H5" s="393"/>
      <c r="I5" s="393"/>
    </row>
    <row r="6" spans="1:12">
      <c r="A6" s="393"/>
      <c r="B6" s="393"/>
      <c r="C6" s="393"/>
      <c r="D6" s="393"/>
      <c r="E6" s="1096" t="str">
        <f>'[74]General Information'!A3</f>
        <v>Week period from______ To _________</v>
      </c>
      <c r="F6" s="1096"/>
      <c r="G6" s="1096"/>
      <c r="H6" s="1096"/>
      <c r="I6" s="1096"/>
    </row>
    <row r="7" spans="1:12" ht="15.75" thickBot="1">
      <c r="A7" s="1091" t="s">
        <v>181</v>
      </c>
      <c r="B7" s="1091"/>
      <c r="C7" s="1091"/>
      <c r="D7" s="1091"/>
      <c r="E7" s="1091"/>
      <c r="F7" s="1091"/>
      <c r="G7" s="535"/>
      <c r="H7" s="535"/>
      <c r="I7" s="535"/>
    </row>
    <row r="8" spans="1:12" ht="15.75" thickTop="1">
      <c r="A8" s="1092" t="s">
        <v>182</v>
      </c>
      <c r="B8" s="1083" t="s">
        <v>183</v>
      </c>
      <c r="C8" s="1083" t="s">
        <v>184</v>
      </c>
      <c r="D8" s="1092" t="s">
        <v>185</v>
      </c>
      <c r="E8" s="1087" t="s">
        <v>186</v>
      </c>
      <c r="F8" s="1075" t="s">
        <v>91</v>
      </c>
      <c r="G8" s="536"/>
      <c r="H8" s="1077" t="s">
        <v>187</v>
      </c>
      <c r="I8" s="1075" t="s">
        <v>139</v>
      </c>
    </row>
    <row r="9" spans="1:12">
      <c r="A9" s="1093"/>
      <c r="B9" s="1094"/>
      <c r="C9" s="1094"/>
      <c r="D9" s="1093"/>
      <c r="E9" s="1088"/>
      <c r="F9" s="1076"/>
      <c r="G9" s="536"/>
      <c r="H9" s="1078"/>
      <c r="I9" s="1076"/>
    </row>
    <row r="10" spans="1:12" ht="17.25" customHeight="1">
      <c r="A10" s="537">
        <v>1</v>
      </c>
      <c r="B10" s="538" t="s">
        <v>188</v>
      </c>
      <c r="C10" s="539"/>
      <c r="D10" s="540"/>
      <c r="E10" s="541"/>
      <c r="F10" s="542"/>
      <c r="G10" s="393"/>
      <c r="H10" s="543"/>
      <c r="I10" s="542"/>
      <c r="L10" s="188"/>
    </row>
    <row r="11" spans="1:12">
      <c r="A11" s="537">
        <v>2</v>
      </c>
      <c r="B11" s="544" t="s">
        <v>189</v>
      </c>
      <c r="C11" s="539"/>
      <c r="D11" s="540"/>
      <c r="E11" s="541"/>
      <c r="F11" s="542"/>
      <c r="G11" s="393"/>
      <c r="H11" s="543"/>
      <c r="I11" s="542"/>
      <c r="L11" s="188"/>
    </row>
    <row r="12" spans="1:12">
      <c r="A12" s="537">
        <v>3</v>
      </c>
      <c r="B12" s="545" t="s">
        <v>190</v>
      </c>
      <c r="C12" s="539"/>
      <c r="D12" s="540"/>
      <c r="E12" s="541"/>
      <c r="F12" s="542"/>
      <c r="G12" s="393"/>
      <c r="H12" s="543"/>
      <c r="I12" s="542"/>
    </row>
    <row r="13" spans="1:12">
      <c r="A13" s="537">
        <v>4</v>
      </c>
      <c r="B13" s="538" t="s">
        <v>191</v>
      </c>
      <c r="C13" s="539"/>
      <c r="D13" s="540"/>
      <c r="E13" s="541"/>
      <c r="F13" s="542"/>
      <c r="G13" s="393"/>
      <c r="H13" s="543"/>
      <c r="I13" s="542"/>
    </row>
    <row r="14" spans="1:12">
      <c r="A14" s="392">
        <v>5</v>
      </c>
      <c r="B14" s="546" t="s">
        <v>192</v>
      </c>
      <c r="C14" s="539"/>
      <c r="D14" s="540"/>
      <c r="E14" s="541"/>
      <c r="F14" s="542"/>
      <c r="G14" s="393"/>
      <c r="H14" s="543"/>
      <c r="I14" s="542"/>
    </row>
    <row r="15" spans="1:12" ht="15.75" thickBot="1">
      <c r="A15" s="1089" t="s">
        <v>91</v>
      </c>
      <c r="B15" s="1090"/>
      <c r="C15" s="547"/>
      <c r="D15" s="548"/>
      <c r="E15" s="549"/>
      <c r="F15" s="550"/>
      <c r="G15" s="551"/>
      <c r="H15" s="552"/>
      <c r="I15" s="550"/>
    </row>
    <row r="16" spans="1:12" ht="15.75" thickTop="1">
      <c r="A16" s="393"/>
      <c r="B16" s="393"/>
      <c r="C16" s="393"/>
      <c r="D16" s="81"/>
      <c r="E16" s="393"/>
      <c r="F16" s="393"/>
      <c r="G16" s="393"/>
      <c r="H16" s="393"/>
      <c r="I16" s="393"/>
    </row>
    <row r="17" spans="1:9" ht="15.75" thickBot="1">
      <c r="A17" s="1091" t="s">
        <v>193</v>
      </c>
      <c r="B17" s="1091"/>
      <c r="C17" s="1091"/>
      <c r="D17" s="1091"/>
      <c r="E17" s="1091"/>
      <c r="F17" s="1091"/>
      <c r="G17" s="393"/>
      <c r="H17" s="393"/>
      <c r="I17" s="393"/>
    </row>
    <row r="18" spans="1:9" ht="17.25" customHeight="1" thickTop="1">
      <c r="A18" s="1077" t="s">
        <v>182</v>
      </c>
      <c r="B18" s="1083" t="s">
        <v>183</v>
      </c>
      <c r="C18" s="1075" t="s">
        <v>184</v>
      </c>
      <c r="D18" s="1085" t="s">
        <v>194</v>
      </c>
      <c r="E18" s="1087" t="s">
        <v>186</v>
      </c>
      <c r="F18" s="1075" t="s">
        <v>91</v>
      </c>
      <c r="G18" s="553"/>
      <c r="H18" s="1077" t="s">
        <v>187</v>
      </c>
      <c r="I18" s="1075" t="s">
        <v>139</v>
      </c>
    </row>
    <row r="19" spans="1:9">
      <c r="A19" s="1078"/>
      <c r="B19" s="1084"/>
      <c r="C19" s="1076"/>
      <c r="D19" s="1086"/>
      <c r="E19" s="1088"/>
      <c r="F19" s="1076"/>
      <c r="G19" s="553"/>
      <c r="H19" s="1078"/>
      <c r="I19" s="1076"/>
    </row>
    <row r="20" spans="1:9">
      <c r="A20" s="392">
        <v>1</v>
      </c>
      <c r="B20" s="538" t="s">
        <v>189</v>
      </c>
      <c r="C20" s="554"/>
      <c r="D20" s="555"/>
      <c r="E20" s="555"/>
      <c r="F20" s="542"/>
      <c r="G20" s="393"/>
      <c r="H20" s="543"/>
      <c r="I20" s="542"/>
    </row>
    <row r="21" spans="1:9">
      <c r="A21" s="392">
        <v>2</v>
      </c>
      <c r="B21" s="546" t="s">
        <v>195</v>
      </c>
      <c r="C21" s="554"/>
      <c r="D21" s="555"/>
      <c r="E21" s="556"/>
      <c r="F21" s="542"/>
      <c r="G21" s="393"/>
      <c r="H21" s="543"/>
      <c r="I21" s="542"/>
    </row>
    <row r="22" spans="1:9" s="189" customFormat="1" ht="16.5" customHeight="1">
      <c r="A22" s="557">
        <v>3</v>
      </c>
      <c r="B22" s="558" t="s">
        <v>191</v>
      </c>
      <c r="C22" s="559"/>
      <c r="D22" s="556"/>
      <c r="E22" s="556"/>
      <c r="F22" s="560"/>
      <c r="G22" s="561"/>
      <c r="H22" s="562"/>
      <c r="I22" s="560"/>
    </row>
    <row r="23" spans="1:9">
      <c r="A23" s="392">
        <v>4</v>
      </c>
      <c r="B23" s="546" t="s">
        <v>196</v>
      </c>
      <c r="C23" s="554"/>
      <c r="D23" s="555"/>
      <c r="E23" s="555"/>
      <c r="F23" s="542"/>
      <c r="G23" s="393"/>
      <c r="H23" s="543"/>
      <c r="I23" s="542"/>
    </row>
    <row r="24" spans="1:9">
      <c r="A24" s="392">
        <v>5</v>
      </c>
      <c r="B24" s="546" t="s">
        <v>197</v>
      </c>
      <c r="C24" s="554"/>
      <c r="D24" s="555"/>
      <c r="E24" s="555"/>
      <c r="F24" s="542"/>
      <c r="G24" s="393"/>
      <c r="H24" s="543"/>
      <c r="I24" s="542"/>
    </row>
    <row r="25" spans="1:9">
      <c r="A25" s="1079" t="s">
        <v>91</v>
      </c>
      <c r="B25" s="1080"/>
      <c r="C25" s="563"/>
      <c r="D25" s="564"/>
      <c r="E25" s="564"/>
      <c r="F25" s="565"/>
      <c r="G25" s="566"/>
      <c r="H25" s="567"/>
      <c r="I25" s="565"/>
    </row>
    <row r="26" spans="1:9" ht="15.75" thickBot="1">
      <c r="A26" s="1081" t="s">
        <v>198</v>
      </c>
      <c r="B26" s="1082"/>
      <c r="C26" s="568"/>
      <c r="D26" s="569"/>
      <c r="E26" s="570"/>
      <c r="F26" s="571"/>
      <c r="G26" s="572"/>
      <c r="H26" s="573"/>
      <c r="I26" s="571"/>
    </row>
    <row r="27" spans="1:9" ht="15.75" thickTop="1"/>
    <row r="28" spans="1:9" hidden="1">
      <c r="A28" s="1074" t="s">
        <v>182</v>
      </c>
      <c r="B28" s="1074" t="s">
        <v>199</v>
      </c>
      <c r="C28" s="1074" t="s">
        <v>183</v>
      </c>
      <c r="D28" s="1074"/>
      <c r="E28" s="1074"/>
      <c r="F28" s="1074" t="s">
        <v>200</v>
      </c>
    </row>
    <row r="29" spans="1:9" hidden="1">
      <c r="A29" s="1074"/>
      <c r="B29" s="1074"/>
      <c r="C29" s="1074"/>
      <c r="D29" s="1074"/>
      <c r="E29" s="1074"/>
      <c r="F29" s="1074"/>
    </row>
    <row r="30" spans="1:9" hidden="1">
      <c r="A30" s="186">
        <v>1</v>
      </c>
      <c r="B30" s="186" t="s">
        <v>201</v>
      </c>
      <c r="C30" s="1074"/>
      <c r="D30" s="1074"/>
      <c r="E30" s="1074"/>
    </row>
    <row r="31" spans="1:9" hidden="1">
      <c r="A31" s="186">
        <v>2</v>
      </c>
      <c r="B31" s="186" t="s">
        <v>202</v>
      </c>
      <c r="C31" s="1074"/>
      <c r="D31" s="1074"/>
      <c r="E31" s="1074"/>
    </row>
    <row r="32" spans="1:9" hidden="1">
      <c r="A32" s="186">
        <v>3</v>
      </c>
      <c r="B32" s="186" t="s">
        <v>203</v>
      </c>
      <c r="C32" s="1074"/>
      <c r="D32" s="1074"/>
      <c r="E32" s="1074"/>
    </row>
    <row r="33" spans="1:6" hidden="1">
      <c r="A33" s="186">
        <v>4</v>
      </c>
      <c r="B33" s="186" t="s">
        <v>204</v>
      </c>
      <c r="C33" s="1074"/>
      <c r="D33" s="1074"/>
      <c r="E33" s="1074"/>
    </row>
    <row r="34" spans="1:6" hidden="1">
      <c r="A34" s="186">
        <v>5</v>
      </c>
      <c r="B34" s="186" t="s">
        <v>205</v>
      </c>
      <c r="C34" s="1074"/>
      <c r="D34" s="1074"/>
      <c r="E34" s="1074"/>
    </row>
    <row r="35" spans="1:6" hidden="1">
      <c r="A35" s="186">
        <v>6</v>
      </c>
      <c r="B35" s="186" t="s">
        <v>206</v>
      </c>
      <c r="C35" s="1074"/>
      <c r="D35" s="1074"/>
      <c r="E35" s="1074"/>
    </row>
    <row r="36" spans="1:6" hidden="1">
      <c r="A36" s="186">
        <v>7</v>
      </c>
      <c r="B36" s="186" t="s">
        <v>207</v>
      </c>
      <c r="C36" s="1074"/>
      <c r="D36" s="1074"/>
      <c r="E36" s="1074"/>
    </row>
    <row r="37" spans="1:6" hidden="1">
      <c r="A37" s="186">
        <v>8</v>
      </c>
      <c r="B37" s="186" t="s">
        <v>208</v>
      </c>
      <c r="C37" s="1074"/>
      <c r="D37" s="1074"/>
      <c r="E37" s="1074"/>
    </row>
    <row r="38" spans="1:6" hidden="1">
      <c r="A38" s="186">
        <v>9</v>
      </c>
      <c r="B38" s="186" t="s">
        <v>209</v>
      </c>
      <c r="C38" s="1074"/>
      <c r="D38" s="1074"/>
      <c r="E38" s="1074"/>
    </row>
    <row r="39" spans="1:6" hidden="1">
      <c r="A39" s="186">
        <v>10</v>
      </c>
      <c r="B39" s="186" t="s">
        <v>210</v>
      </c>
      <c r="C39" s="1074"/>
      <c r="D39" s="1074"/>
      <c r="E39" s="1074"/>
    </row>
    <row r="40" spans="1:6" hidden="1">
      <c r="C40" s="1074"/>
      <c r="D40" s="1074"/>
      <c r="E40" s="1074"/>
      <c r="F40" s="186">
        <f>SUM(F30:F38)</f>
        <v>0</v>
      </c>
    </row>
    <row r="41" spans="1:6">
      <c r="A41" s="186" t="s">
        <v>211</v>
      </c>
    </row>
    <row r="47" spans="1:6" ht="19.5" hidden="1" customHeight="1">
      <c r="A47" s="1074" t="s">
        <v>212</v>
      </c>
      <c r="B47" s="1074"/>
      <c r="C47" s="1074"/>
      <c r="D47" s="1074"/>
      <c r="E47" s="1074"/>
      <c r="F47" s="1074"/>
    </row>
    <row r="48" spans="1:6" hidden="1"/>
    <row r="49" spans="1:6" ht="17.25" hidden="1" customHeight="1">
      <c r="A49" s="1074" t="s">
        <v>182</v>
      </c>
      <c r="B49" s="1074" t="s">
        <v>129</v>
      </c>
      <c r="C49" s="1074" t="s">
        <v>213</v>
      </c>
      <c r="D49" s="1074" t="s">
        <v>152</v>
      </c>
      <c r="E49" s="1074" t="s">
        <v>15</v>
      </c>
      <c r="F49" s="1074"/>
    </row>
    <row r="50" spans="1:6" hidden="1">
      <c r="A50" s="1074"/>
      <c r="B50" s="1074"/>
      <c r="C50" s="1074"/>
      <c r="D50" s="1074"/>
      <c r="E50" s="1074"/>
      <c r="F50" s="1074"/>
    </row>
    <row r="51" spans="1:6" hidden="1">
      <c r="E51" s="1074"/>
      <c r="F51" s="1074"/>
    </row>
    <row r="52" spans="1:6" hidden="1">
      <c r="E52" s="1074"/>
      <c r="F52" s="1074"/>
    </row>
    <row r="53" spans="1:6" hidden="1">
      <c r="E53" s="1074"/>
      <c r="F53" s="1074"/>
    </row>
    <row r="54" spans="1:6" hidden="1">
      <c r="E54" s="1074"/>
      <c r="F54" s="1074"/>
    </row>
    <row r="55" spans="1:6" hidden="1">
      <c r="E55" s="1074"/>
      <c r="F55" s="1074"/>
    </row>
    <row r="56" spans="1:6" hidden="1">
      <c r="A56" s="1074" t="s">
        <v>198</v>
      </c>
      <c r="B56" s="1074"/>
      <c r="C56" s="1074"/>
      <c r="D56" s="1074"/>
      <c r="E56" s="1074"/>
      <c r="F56" s="1074"/>
    </row>
  </sheetData>
  <mergeCells count="56">
    <mergeCell ref="A5:F5"/>
    <mergeCell ref="E6:I6"/>
    <mergeCell ref="A7:F7"/>
    <mergeCell ref="A1:C2"/>
    <mergeCell ref="A3:C4"/>
    <mergeCell ref="D1:H2"/>
    <mergeCell ref="D3:H3"/>
    <mergeCell ref="D4:H4"/>
    <mergeCell ref="F8:F9"/>
    <mergeCell ref="H8:H9"/>
    <mergeCell ref="I8:I9"/>
    <mergeCell ref="A15:B15"/>
    <mergeCell ref="A17:F17"/>
    <mergeCell ref="A8:A9"/>
    <mergeCell ref="B8:B9"/>
    <mergeCell ref="C8:C9"/>
    <mergeCell ref="D8:D9"/>
    <mergeCell ref="E8:E9"/>
    <mergeCell ref="C35:E35"/>
    <mergeCell ref="F18:F19"/>
    <mergeCell ref="H18:H19"/>
    <mergeCell ref="I18:I19"/>
    <mergeCell ref="A25:B25"/>
    <mergeCell ref="A26:B26"/>
    <mergeCell ref="A28:A29"/>
    <mergeCell ref="B28:B29"/>
    <mergeCell ref="C28:E29"/>
    <mergeCell ref="F28:F29"/>
    <mergeCell ref="A18:A19"/>
    <mergeCell ref="B18:B19"/>
    <mergeCell ref="C18:C19"/>
    <mergeCell ref="D18:D19"/>
    <mergeCell ref="E18:E19"/>
    <mergeCell ref="C30:E30"/>
    <mergeCell ref="C31:E31"/>
    <mergeCell ref="C32:E32"/>
    <mergeCell ref="C33:E33"/>
    <mergeCell ref="C34:E34"/>
    <mergeCell ref="E51:F51"/>
    <mergeCell ref="C36:E36"/>
    <mergeCell ref="C37:E37"/>
    <mergeCell ref="C38:E38"/>
    <mergeCell ref="C39:E39"/>
    <mergeCell ref="C40:E40"/>
    <mergeCell ref="A47:F47"/>
    <mergeCell ref="A49:A50"/>
    <mergeCell ref="B49:B50"/>
    <mergeCell ref="C49:C50"/>
    <mergeCell ref="D49:D50"/>
    <mergeCell ref="E49:F50"/>
    <mergeCell ref="E52:F52"/>
    <mergeCell ref="E53:F53"/>
    <mergeCell ref="E54:F54"/>
    <mergeCell ref="E55:F55"/>
    <mergeCell ref="A56:D56"/>
    <mergeCell ref="E56:F56"/>
  </mergeCells>
  <pageMargins left="0" right="0" top="0.75" bottom="0.75" header="0.3" footer="0.3"/>
  <pageSetup scale="86" fitToHeight="0" orientation="landscape" r:id="rId1"/>
  <headerFooter>
    <oddFooter>&amp;RPage &amp;P of &amp;N</oddFooter>
  </headerFooter>
  <drawing r:id="rId2"/>
  <legacyDrawing r:id="rId3"/>
  <oleObjects>
    <mc:AlternateContent xmlns:mc="http://schemas.openxmlformats.org/markup-compatibility/2006">
      <mc:Choice Requires="x14">
        <oleObject progId="PBrush" shapeId="7169" r:id="rId4">
          <objectPr defaultSize="0" autoPict="0" r:id="rId5">
            <anchor moveWithCells="1" sizeWithCells="1">
              <from>
                <xdr:col>1</xdr:col>
                <xdr:colOff>361950</xdr:colOff>
                <xdr:row>2</xdr:row>
                <xdr:rowOff>9525</xdr:rowOff>
              </from>
              <to>
                <xdr:col>1</xdr:col>
                <xdr:colOff>1476375</xdr:colOff>
                <xdr:row>3</xdr:row>
                <xdr:rowOff>428625</xdr:rowOff>
              </to>
            </anchor>
          </objectPr>
        </oleObject>
      </mc:Choice>
      <mc:Fallback>
        <oleObject progId="PBrush" shapeId="7169"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P29"/>
  <sheetViews>
    <sheetView workbookViewId="0">
      <selection sqref="A1:P4"/>
    </sheetView>
  </sheetViews>
  <sheetFormatPr defaultRowHeight="15"/>
  <cols>
    <col min="1" max="1" width="5" style="333" customWidth="1"/>
    <col min="2" max="2" width="12.5703125" style="58" customWidth="1"/>
    <col min="3" max="3" width="6" style="58" customWidth="1"/>
    <col min="4" max="4" width="7.5703125" style="333" customWidth="1"/>
    <col min="5" max="6" width="8.42578125" style="333" customWidth="1"/>
    <col min="7" max="7" width="9.85546875" style="333" customWidth="1"/>
    <col min="8" max="8" width="8.5703125" style="600" customWidth="1"/>
    <col min="9" max="9" width="8.7109375" style="333" customWidth="1"/>
    <col min="10" max="10" width="9.7109375" style="333" customWidth="1"/>
    <col min="11" max="11" width="8.7109375" style="333" customWidth="1"/>
    <col min="12" max="12" width="9" style="333" customWidth="1"/>
    <col min="13" max="13" width="6.28515625" style="333" customWidth="1"/>
    <col min="14" max="14" width="6.5703125" style="333" customWidth="1"/>
    <col min="15" max="15" width="9" style="333" customWidth="1"/>
    <col min="16" max="16" width="11.140625" style="333" customWidth="1"/>
  </cols>
  <sheetData>
    <row r="1" spans="1:16">
      <c r="A1" s="1122" t="s">
        <v>336</v>
      </c>
      <c r="B1" s="1123"/>
      <c r="C1" s="1123"/>
      <c r="D1" s="1123"/>
      <c r="E1" s="1124"/>
      <c r="F1" s="890" t="s">
        <v>332</v>
      </c>
      <c r="G1" s="890"/>
      <c r="H1" s="890"/>
      <c r="I1" s="890"/>
      <c r="J1" s="890"/>
      <c r="K1" s="890"/>
      <c r="L1" s="890"/>
      <c r="M1" s="890"/>
      <c r="N1" s="1128" t="s">
        <v>334</v>
      </c>
      <c r="O1" s="1129"/>
      <c r="P1" s="1130"/>
    </row>
    <row r="2" spans="1:16" ht="19.5" customHeight="1">
      <c r="A2" s="1125"/>
      <c r="B2" s="1126"/>
      <c r="C2" s="1126"/>
      <c r="D2" s="1126"/>
      <c r="E2" s="1127"/>
      <c r="F2" s="891"/>
      <c r="G2" s="891"/>
      <c r="H2" s="891"/>
      <c r="I2" s="891"/>
      <c r="J2" s="891"/>
      <c r="K2" s="891"/>
      <c r="L2" s="891"/>
      <c r="M2" s="891"/>
      <c r="N2" s="1131" t="s">
        <v>349</v>
      </c>
      <c r="O2" s="1132"/>
      <c r="P2" s="1133"/>
    </row>
    <row r="3" spans="1:16" ht="18.75">
      <c r="A3" s="1134"/>
      <c r="B3" s="1135"/>
      <c r="C3" s="1135"/>
      <c r="D3" s="1135"/>
      <c r="E3" s="1135"/>
      <c r="F3" s="1138"/>
      <c r="G3" s="1138"/>
      <c r="H3" s="1138"/>
      <c r="I3" s="1138"/>
      <c r="J3" s="1138"/>
      <c r="K3" s="1138"/>
      <c r="L3" s="1138"/>
      <c r="M3" s="1138"/>
      <c r="N3" s="1139" t="s">
        <v>335</v>
      </c>
      <c r="O3" s="1139"/>
      <c r="P3" s="1139"/>
    </row>
    <row r="4" spans="1:16" ht="42.75" customHeight="1" thickBot="1">
      <c r="A4" s="1136"/>
      <c r="B4" s="1137"/>
      <c r="C4" s="1137"/>
      <c r="D4" s="1137"/>
      <c r="E4" s="1137"/>
      <c r="F4" s="1140" t="s">
        <v>214</v>
      </c>
      <c r="G4" s="1141"/>
      <c r="H4" s="1141"/>
      <c r="I4" s="1141"/>
      <c r="J4" s="1141"/>
      <c r="K4" s="1141"/>
      <c r="L4" s="1141"/>
      <c r="M4" s="1142"/>
      <c r="N4" s="1143">
        <v>1</v>
      </c>
      <c r="O4" s="1144"/>
      <c r="P4" s="1145"/>
    </row>
    <row r="5" spans="1:16">
      <c r="A5" s="1112" t="s">
        <v>341</v>
      </c>
      <c r="B5" s="1112"/>
      <c r="C5" s="1112"/>
      <c r="D5" s="1112"/>
      <c r="E5" s="1112"/>
      <c r="F5" s="1112"/>
      <c r="G5" s="1112"/>
      <c r="H5" s="1112"/>
      <c r="I5" s="1112"/>
      <c r="J5" s="1112"/>
      <c r="K5" s="1112"/>
      <c r="L5" s="1112"/>
      <c r="M5" s="1112"/>
      <c r="N5" s="1112"/>
      <c r="O5" s="1112"/>
      <c r="P5" s="1112"/>
    </row>
    <row r="6" spans="1:16" ht="15.75" thickBot="1">
      <c r="A6" s="1113" t="str">
        <f>'[74]General Information'!A3:I3</f>
        <v>Week period from______ To _________</v>
      </c>
      <c r="B6" s="1113"/>
      <c r="C6" s="1113"/>
      <c r="D6" s="1113"/>
      <c r="E6" s="1113"/>
      <c r="F6" s="1113"/>
      <c r="G6" s="1113"/>
      <c r="H6" s="1113"/>
      <c r="I6" s="1113"/>
      <c r="J6" s="1113"/>
      <c r="K6" s="1113"/>
      <c r="L6" s="1113"/>
      <c r="M6" s="1113"/>
      <c r="N6" s="1113"/>
      <c r="O6" s="1113"/>
      <c r="P6" s="1113"/>
    </row>
    <row r="7" spans="1:16" ht="15.75" thickTop="1">
      <c r="A7" s="1114" t="s">
        <v>182</v>
      </c>
      <c r="B7" s="1116" t="s">
        <v>129</v>
      </c>
      <c r="C7" s="1116" t="s">
        <v>130</v>
      </c>
      <c r="D7" s="1119" t="s">
        <v>215</v>
      </c>
      <c r="E7" s="1116" t="s">
        <v>216</v>
      </c>
      <c r="F7" s="1116"/>
      <c r="G7" s="1116"/>
      <c r="H7" s="1116"/>
      <c r="I7" s="1116"/>
      <c r="J7" s="1116"/>
      <c r="K7" s="1116" t="s">
        <v>217</v>
      </c>
      <c r="L7" s="1116"/>
      <c r="M7" s="1116"/>
      <c r="N7" s="1116"/>
      <c r="O7" s="1116"/>
      <c r="P7" s="1121"/>
    </row>
    <row r="8" spans="1:16" ht="39.75" thickBot="1">
      <c r="A8" s="1115"/>
      <c r="B8" s="1117"/>
      <c r="C8" s="1118"/>
      <c r="D8" s="1120"/>
      <c r="E8" s="601" t="s">
        <v>218</v>
      </c>
      <c r="F8" s="601" t="s">
        <v>219</v>
      </c>
      <c r="G8" s="601" t="s">
        <v>220</v>
      </c>
      <c r="H8" s="602" t="s">
        <v>221</v>
      </c>
      <c r="I8" s="601" t="s">
        <v>222</v>
      </c>
      <c r="J8" s="601" t="s">
        <v>223</v>
      </c>
      <c r="K8" s="601" t="s">
        <v>224</v>
      </c>
      <c r="L8" s="601" t="s">
        <v>375</v>
      </c>
      <c r="M8" s="601" t="s">
        <v>225</v>
      </c>
      <c r="N8" s="601" t="s">
        <v>221</v>
      </c>
      <c r="O8" s="601" t="s">
        <v>226</v>
      </c>
      <c r="P8" s="603" t="s">
        <v>223</v>
      </c>
    </row>
    <row r="9" spans="1:16">
      <c r="A9" s="578"/>
      <c r="B9" s="579"/>
      <c r="C9" s="579"/>
      <c r="D9" s="580"/>
      <c r="E9" s="580"/>
      <c r="F9" s="580"/>
      <c r="G9" s="580"/>
      <c r="H9" s="581"/>
      <c r="I9" s="580"/>
      <c r="J9" s="580"/>
      <c r="K9" s="580"/>
      <c r="L9" s="580"/>
      <c r="M9" s="580"/>
      <c r="N9" s="582"/>
      <c r="O9" s="580"/>
      <c r="P9" s="583"/>
    </row>
    <row r="10" spans="1:16">
      <c r="A10" s="584"/>
      <c r="B10" s="585"/>
      <c r="C10" s="586"/>
      <c r="D10" s="587"/>
      <c r="E10" s="588"/>
      <c r="F10" s="588"/>
      <c r="G10" s="588"/>
      <c r="H10" s="589"/>
      <c r="I10" s="588"/>
      <c r="J10" s="588"/>
      <c r="K10" s="588"/>
      <c r="L10" s="588"/>
      <c r="M10" s="588"/>
      <c r="N10" s="590"/>
      <c r="O10" s="588"/>
      <c r="P10" s="591"/>
    </row>
    <row r="11" spans="1:16">
      <c r="A11" s="584"/>
      <c r="B11" s="585"/>
      <c r="C11" s="586"/>
      <c r="D11" s="587"/>
      <c r="E11" s="588"/>
      <c r="F11" s="588"/>
      <c r="G11" s="588"/>
      <c r="H11" s="589"/>
      <c r="I11" s="588"/>
      <c r="J11" s="588"/>
      <c r="K11" s="588"/>
      <c r="L11" s="588"/>
      <c r="M11" s="588"/>
      <c r="N11" s="590"/>
      <c r="O11" s="588"/>
      <c r="P11" s="591"/>
    </row>
    <row r="12" spans="1:16">
      <c r="A12" s="584"/>
      <c r="B12" s="585"/>
      <c r="C12" s="586"/>
      <c r="D12" s="587"/>
      <c r="E12" s="588"/>
      <c r="F12" s="588"/>
      <c r="G12" s="588"/>
      <c r="H12" s="589"/>
      <c r="I12" s="588"/>
      <c r="J12" s="588"/>
      <c r="K12" s="588"/>
      <c r="L12" s="588"/>
      <c r="M12" s="588"/>
      <c r="N12" s="590"/>
      <c r="O12" s="588"/>
      <c r="P12" s="591"/>
    </row>
    <row r="13" spans="1:16">
      <c r="A13" s="584"/>
      <c r="B13" s="585"/>
      <c r="C13" s="586"/>
      <c r="D13" s="587"/>
      <c r="E13" s="588"/>
      <c r="F13" s="588"/>
      <c r="G13" s="588"/>
      <c r="H13" s="589"/>
      <c r="I13" s="588"/>
      <c r="J13" s="588"/>
      <c r="K13" s="588"/>
      <c r="L13" s="588"/>
      <c r="M13" s="588"/>
      <c r="N13" s="590"/>
      <c r="O13" s="588"/>
      <c r="P13" s="591"/>
    </row>
    <row r="14" spans="1:16">
      <c r="A14" s="584"/>
      <c r="B14" s="585"/>
      <c r="C14" s="585"/>
      <c r="D14" s="588"/>
      <c r="E14" s="588"/>
      <c r="F14" s="588"/>
      <c r="G14" s="588"/>
      <c r="H14" s="589"/>
      <c r="I14" s="588"/>
      <c r="J14" s="588"/>
      <c r="K14" s="588"/>
      <c r="L14" s="588"/>
      <c r="M14" s="588"/>
      <c r="N14" s="590"/>
      <c r="O14" s="588"/>
      <c r="P14" s="591"/>
    </row>
    <row r="15" spans="1:16">
      <c r="A15" s="584"/>
      <c r="B15" s="585"/>
      <c r="C15" s="585"/>
      <c r="D15" s="588"/>
      <c r="E15" s="588"/>
      <c r="F15" s="588"/>
      <c r="G15" s="588"/>
      <c r="H15" s="589"/>
      <c r="I15" s="588"/>
      <c r="J15" s="588"/>
      <c r="K15" s="588"/>
      <c r="L15" s="588"/>
      <c r="M15" s="588"/>
      <c r="N15" s="590"/>
      <c r="O15" s="588"/>
      <c r="P15" s="591"/>
    </row>
    <row r="16" spans="1:16">
      <c r="A16" s="584"/>
      <c r="B16" s="585"/>
      <c r="C16" s="585"/>
      <c r="D16" s="588"/>
      <c r="E16" s="588"/>
      <c r="F16" s="588"/>
      <c r="G16" s="588"/>
      <c r="H16" s="589"/>
      <c r="I16" s="588"/>
      <c r="J16" s="588"/>
      <c r="K16" s="588"/>
      <c r="L16" s="588"/>
      <c r="M16" s="588"/>
      <c r="N16" s="590"/>
      <c r="O16" s="588"/>
      <c r="P16" s="591"/>
    </row>
    <row r="17" spans="1:16">
      <c r="A17" s="584"/>
      <c r="B17" s="585"/>
      <c r="C17" s="585"/>
      <c r="D17" s="588"/>
      <c r="E17" s="588"/>
      <c r="F17" s="588"/>
      <c r="G17" s="588"/>
      <c r="H17" s="589"/>
      <c r="I17" s="588"/>
      <c r="J17" s="588"/>
      <c r="K17" s="588"/>
      <c r="L17" s="588"/>
      <c r="M17" s="588"/>
      <c r="N17" s="590"/>
      <c r="O17" s="588"/>
      <c r="P17" s="591"/>
    </row>
    <row r="18" spans="1:16">
      <c r="A18" s="584"/>
      <c r="B18" s="585"/>
      <c r="C18" s="585"/>
      <c r="D18" s="588"/>
      <c r="E18" s="588"/>
      <c r="F18" s="588"/>
      <c r="G18" s="588"/>
      <c r="H18" s="589"/>
      <c r="I18" s="588"/>
      <c r="J18" s="588"/>
      <c r="K18" s="588"/>
      <c r="L18" s="588"/>
      <c r="M18" s="588"/>
      <c r="N18" s="590"/>
      <c r="O18" s="588"/>
      <c r="P18" s="591"/>
    </row>
    <row r="19" spans="1:16">
      <c r="A19" s="584"/>
      <c r="B19" s="585"/>
      <c r="C19" s="585"/>
      <c r="D19" s="588"/>
      <c r="E19" s="588"/>
      <c r="F19" s="588"/>
      <c r="G19" s="588"/>
      <c r="H19" s="589"/>
      <c r="I19" s="588"/>
      <c r="J19" s="588"/>
      <c r="K19" s="588"/>
      <c r="L19" s="588"/>
      <c r="M19" s="588"/>
      <c r="N19" s="590"/>
      <c r="O19" s="588"/>
      <c r="P19" s="591"/>
    </row>
    <row r="20" spans="1:16">
      <c r="A20" s="584"/>
      <c r="B20" s="585"/>
      <c r="C20" s="585"/>
      <c r="D20" s="588"/>
      <c r="E20" s="588"/>
      <c r="F20" s="588"/>
      <c r="G20" s="588"/>
      <c r="H20" s="589"/>
      <c r="I20" s="588"/>
      <c r="J20" s="588"/>
      <c r="K20" s="588"/>
      <c r="L20" s="588"/>
      <c r="M20" s="588"/>
      <c r="N20" s="590"/>
      <c r="O20" s="588"/>
      <c r="P20" s="591"/>
    </row>
    <row r="21" spans="1:16">
      <c r="A21" s="584"/>
      <c r="B21" s="585"/>
      <c r="C21" s="585"/>
      <c r="D21" s="588"/>
      <c r="E21" s="588"/>
      <c r="F21" s="588"/>
      <c r="G21" s="588"/>
      <c r="H21" s="589"/>
      <c r="I21" s="588"/>
      <c r="J21" s="588"/>
      <c r="K21" s="588"/>
      <c r="L21" s="588"/>
      <c r="M21" s="588"/>
      <c r="N21" s="590"/>
      <c r="O21" s="588"/>
      <c r="P21" s="591"/>
    </row>
    <row r="22" spans="1:16">
      <c r="A22" s="584"/>
      <c r="B22" s="585"/>
      <c r="C22" s="585"/>
      <c r="D22" s="588"/>
      <c r="E22" s="588"/>
      <c r="F22" s="588"/>
      <c r="G22" s="588"/>
      <c r="H22" s="589"/>
      <c r="I22" s="588"/>
      <c r="J22" s="588"/>
      <c r="K22" s="588"/>
      <c r="L22" s="588"/>
      <c r="M22" s="588"/>
      <c r="N22" s="590"/>
      <c r="O22" s="588"/>
      <c r="P22" s="591"/>
    </row>
    <row r="23" spans="1:16">
      <c r="A23" s="584"/>
      <c r="B23" s="585"/>
      <c r="C23" s="585"/>
      <c r="D23" s="588"/>
      <c r="E23" s="588"/>
      <c r="F23" s="588"/>
      <c r="G23" s="588"/>
      <c r="H23" s="589"/>
      <c r="I23" s="588"/>
      <c r="J23" s="588"/>
      <c r="K23" s="588"/>
      <c r="L23" s="588"/>
      <c r="M23" s="588"/>
      <c r="N23" s="590"/>
      <c r="O23" s="588"/>
      <c r="P23" s="591"/>
    </row>
    <row r="24" spans="1:16">
      <c r="A24" s="584"/>
      <c r="B24" s="585"/>
      <c r="C24" s="585"/>
      <c r="D24" s="588"/>
      <c r="E24" s="588"/>
      <c r="F24" s="588"/>
      <c r="G24" s="588"/>
      <c r="H24" s="589"/>
      <c r="I24" s="588"/>
      <c r="J24" s="588"/>
      <c r="K24" s="588"/>
      <c r="L24" s="588"/>
      <c r="M24" s="588"/>
      <c r="N24" s="590"/>
      <c r="O24" s="588"/>
      <c r="P24" s="591"/>
    </row>
    <row r="25" spans="1:16">
      <c r="A25" s="584"/>
      <c r="B25" s="585"/>
      <c r="C25" s="585"/>
      <c r="D25" s="588"/>
      <c r="E25" s="588"/>
      <c r="F25" s="588"/>
      <c r="G25" s="588"/>
      <c r="H25" s="589"/>
      <c r="I25" s="588"/>
      <c r="J25" s="588"/>
      <c r="K25" s="588"/>
      <c r="L25" s="588"/>
      <c r="M25" s="588"/>
      <c r="N25" s="590"/>
      <c r="O25" s="588"/>
      <c r="P25" s="591"/>
    </row>
    <row r="26" spans="1:16">
      <c r="A26" s="584"/>
      <c r="B26" s="592"/>
      <c r="C26" s="592"/>
      <c r="D26" s="593"/>
      <c r="E26" s="588"/>
      <c r="F26" s="593"/>
      <c r="G26" s="593"/>
      <c r="H26" s="594"/>
      <c r="I26" s="593"/>
      <c r="J26" s="588"/>
      <c r="K26" s="588"/>
      <c r="L26" s="588"/>
      <c r="M26" s="588"/>
      <c r="N26" s="590"/>
      <c r="O26" s="588"/>
      <c r="P26" s="591"/>
    </row>
    <row r="27" spans="1:16">
      <c r="A27" s="584"/>
      <c r="B27" s="592"/>
      <c r="C27" s="592"/>
      <c r="D27" s="593"/>
      <c r="E27" s="588"/>
      <c r="F27" s="593"/>
      <c r="G27" s="593"/>
      <c r="H27" s="594"/>
      <c r="I27" s="593"/>
      <c r="J27" s="588"/>
      <c r="K27" s="588"/>
      <c r="L27" s="588"/>
      <c r="M27" s="588"/>
      <c r="N27" s="590"/>
      <c r="O27" s="588"/>
      <c r="P27" s="591"/>
    </row>
    <row r="28" spans="1:16" ht="15.75" thickBot="1">
      <c r="A28" s="595"/>
      <c r="B28" s="596"/>
      <c r="C28" s="596"/>
      <c r="D28" s="332"/>
      <c r="E28" s="332"/>
      <c r="F28" s="332"/>
      <c r="G28" s="332"/>
      <c r="H28" s="597"/>
      <c r="I28" s="1111"/>
      <c r="J28" s="1111"/>
      <c r="K28" s="598"/>
      <c r="L28" s="599"/>
      <c r="M28" s="599"/>
      <c r="N28" s="599"/>
      <c r="O28" s="599"/>
      <c r="P28" s="599"/>
    </row>
    <row r="29" spans="1:16" ht="15.75" thickTop="1"/>
  </sheetData>
  <mergeCells count="18">
    <mergeCell ref="A1:E2"/>
    <mergeCell ref="F1:M2"/>
    <mergeCell ref="N1:P1"/>
    <mergeCell ref="N2:P2"/>
    <mergeCell ref="A3:E4"/>
    <mergeCell ref="F3:M3"/>
    <mergeCell ref="N3:P3"/>
    <mergeCell ref="F4:M4"/>
    <mergeCell ref="N4:P4"/>
    <mergeCell ref="I28:J28"/>
    <mergeCell ref="A5:P5"/>
    <mergeCell ref="A6:P6"/>
    <mergeCell ref="A7:A8"/>
    <mergeCell ref="B7:B8"/>
    <mergeCell ref="C7:C8"/>
    <mergeCell ref="D7:D8"/>
    <mergeCell ref="E7:J7"/>
    <mergeCell ref="K7:P7"/>
  </mergeCells>
  <pageMargins left="0" right="0" top="0.75" bottom="0.75" header="0.3" footer="0.3"/>
  <pageSetup orientation="landscape" r:id="rId1"/>
  <drawing r:id="rId2"/>
  <legacyDrawing r:id="rId3"/>
  <oleObjects>
    <mc:AlternateContent xmlns:mc="http://schemas.openxmlformats.org/markup-compatibility/2006">
      <mc:Choice Requires="x14">
        <oleObject progId="PBrush" shapeId="55297" r:id="rId4">
          <objectPr defaultSize="0" autoPict="0" r:id="rId5">
            <anchor moveWithCells="1" sizeWithCells="1">
              <from>
                <xdr:col>1</xdr:col>
                <xdr:colOff>85725</xdr:colOff>
                <xdr:row>2</xdr:row>
                <xdr:rowOff>28575</xdr:rowOff>
              </from>
              <to>
                <xdr:col>3</xdr:col>
                <xdr:colOff>209550</xdr:colOff>
                <xdr:row>3</xdr:row>
                <xdr:rowOff>533400</xdr:rowOff>
              </to>
            </anchor>
          </objectPr>
        </oleObject>
      </mc:Choice>
      <mc:Fallback>
        <oleObject progId="PBrush" shapeId="55297" r:id="rId4"/>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AF100"/>
  <sheetViews>
    <sheetView tabSelected="1" workbookViewId="0">
      <selection activeCell="AC17" sqref="AC17"/>
    </sheetView>
  </sheetViews>
  <sheetFormatPr defaultRowHeight="15"/>
  <cols>
    <col min="1" max="1" width="2.7109375" style="664" customWidth="1"/>
    <col min="2" max="2" width="7.85546875" style="665" customWidth="1"/>
    <col min="3" max="3" width="5" style="664" customWidth="1"/>
    <col min="4" max="4" width="7.140625" style="664" customWidth="1"/>
    <col min="5" max="5" width="5.5703125" style="665" customWidth="1"/>
    <col min="6" max="6" width="3.85546875" style="666" customWidth="1"/>
    <col min="7" max="7" width="3.7109375" style="665" customWidth="1"/>
    <col min="8" max="8" width="4.85546875" style="665" customWidth="1"/>
    <col min="9" max="9" width="3.140625" style="665" customWidth="1"/>
    <col min="10" max="10" width="2.85546875" style="665" customWidth="1"/>
    <col min="11" max="11" width="4.7109375" style="665" hidden="1" customWidth="1"/>
    <col min="12" max="12" width="4" style="665" customWidth="1"/>
    <col min="13" max="13" width="3.42578125" style="665" customWidth="1"/>
    <col min="14" max="14" width="5" style="664" customWidth="1"/>
    <col min="15" max="15" width="3.140625" style="665" customWidth="1"/>
    <col min="16" max="16" width="3.28515625" style="665" customWidth="1"/>
    <col min="17" max="17" width="4.7109375" style="665" customWidth="1"/>
    <col min="18" max="18" width="3.42578125" style="665" customWidth="1"/>
    <col min="19" max="19" width="3.5703125" style="665" customWidth="1"/>
    <col min="20" max="20" width="4" style="665" customWidth="1"/>
    <col min="21" max="22" width="3" style="665" customWidth="1"/>
    <col min="23" max="23" width="4.5703125" style="665" customWidth="1"/>
    <col min="24" max="24" width="3.5703125" style="665" customWidth="1"/>
    <col min="25" max="25" width="2.5703125" style="665" customWidth="1"/>
    <col min="26" max="26" width="4.5703125" style="665" customWidth="1"/>
    <col min="27" max="27" width="2.7109375" style="665" customWidth="1"/>
    <col min="28" max="28" width="3.42578125" style="665" customWidth="1"/>
    <col min="29" max="29" width="3.7109375" style="665" customWidth="1"/>
    <col min="30" max="30" width="4.5703125" style="665" customWidth="1"/>
    <col min="31" max="31" width="3.140625" style="665" customWidth="1"/>
    <col min="32" max="32" width="4.85546875" style="665" customWidth="1"/>
  </cols>
  <sheetData>
    <row r="1" spans="1:32" ht="15" customHeight="1"/>
    <row r="2" spans="1:32" ht="15.75" customHeight="1"/>
    <row r="4" spans="1:32" ht="16.5" customHeight="1"/>
    <row r="6" spans="1:32" ht="15.75" thickBot="1">
      <c r="A6" s="1164" t="s">
        <v>141</v>
      </c>
      <c r="B6" s="1166" t="s">
        <v>227</v>
      </c>
      <c r="C6" s="1166" t="s">
        <v>228</v>
      </c>
      <c r="D6" s="1166" t="s">
        <v>376</v>
      </c>
      <c r="E6" s="1168" t="s">
        <v>229</v>
      </c>
      <c r="F6" s="1162" t="s">
        <v>230</v>
      </c>
      <c r="G6" s="1163"/>
      <c r="H6" s="1163"/>
      <c r="I6" s="1163"/>
      <c r="J6" s="1163"/>
      <c r="K6" s="1163"/>
      <c r="L6" s="1163"/>
      <c r="M6" s="1163"/>
      <c r="N6" s="1163"/>
      <c r="O6" s="1162" t="str">
        <f>+F6</f>
        <v>Day</v>
      </c>
      <c r="P6" s="1163"/>
      <c r="Q6" s="1163"/>
      <c r="R6" s="1163"/>
      <c r="S6" s="1163"/>
      <c r="T6" s="1163"/>
      <c r="U6" s="1163"/>
      <c r="V6" s="1163"/>
      <c r="W6" s="1163"/>
      <c r="X6" s="1162" t="str">
        <f>O6</f>
        <v>Day</v>
      </c>
      <c r="Y6" s="1163"/>
      <c r="Z6" s="1163"/>
      <c r="AA6" s="1163"/>
      <c r="AB6" s="1163"/>
      <c r="AC6" s="1163"/>
      <c r="AD6" s="1163"/>
      <c r="AE6" s="1163"/>
      <c r="AF6" s="1163"/>
    </row>
    <row r="7" spans="1:32" ht="15" customHeight="1">
      <c r="A7" s="1164"/>
      <c r="B7" s="1166"/>
      <c r="C7" s="1166"/>
      <c r="D7" s="1166"/>
      <c r="E7" s="1168"/>
      <c r="F7" s="1170" t="s">
        <v>231</v>
      </c>
      <c r="G7" s="1146" t="s">
        <v>232</v>
      </c>
      <c r="H7" s="1147"/>
      <c r="I7" s="1147"/>
      <c r="J7" s="1147"/>
      <c r="K7" s="1148"/>
      <c r="L7" s="1146" t="s">
        <v>233</v>
      </c>
      <c r="M7" s="1148"/>
      <c r="N7" s="1169" t="s">
        <v>234</v>
      </c>
      <c r="O7" s="1172" t="s">
        <v>231</v>
      </c>
      <c r="P7" s="1146" t="s">
        <v>232</v>
      </c>
      <c r="Q7" s="1147"/>
      <c r="R7" s="1147"/>
      <c r="S7" s="1147"/>
      <c r="T7" s="1148"/>
      <c r="U7" s="1146" t="s">
        <v>233</v>
      </c>
      <c r="V7" s="1148"/>
      <c r="W7" s="1149" t="s">
        <v>234</v>
      </c>
      <c r="X7" s="1151" t="s">
        <v>231</v>
      </c>
      <c r="Y7" s="1146" t="s">
        <v>232</v>
      </c>
      <c r="Z7" s="1147"/>
      <c r="AA7" s="1147"/>
      <c r="AB7" s="1147"/>
      <c r="AC7" s="1148"/>
      <c r="AD7" s="1146" t="s">
        <v>233</v>
      </c>
      <c r="AE7" s="1148"/>
      <c r="AF7" s="1169" t="s">
        <v>234</v>
      </c>
    </row>
    <row r="8" spans="1:32" ht="34.5" thickBot="1">
      <c r="A8" s="1165"/>
      <c r="B8" s="1167"/>
      <c r="C8" s="1167"/>
      <c r="D8" s="1167"/>
      <c r="E8" s="1168"/>
      <c r="F8" s="1171"/>
      <c r="G8" s="817" t="s">
        <v>235</v>
      </c>
      <c r="H8" s="818" t="s">
        <v>236</v>
      </c>
      <c r="I8" s="817" t="s">
        <v>237</v>
      </c>
      <c r="J8" s="817" t="s">
        <v>238</v>
      </c>
      <c r="K8" s="817" t="s">
        <v>239</v>
      </c>
      <c r="L8" s="817" t="s">
        <v>240</v>
      </c>
      <c r="M8" s="817" t="s">
        <v>241</v>
      </c>
      <c r="N8" s="1169"/>
      <c r="O8" s="1173"/>
      <c r="P8" s="817" t="s">
        <v>235</v>
      </c>
      <c r="Q8" s="818" t="s">
        <v>236</v>
      </c>
      <c r="R8" s="817" t="s">
        <v>237</v>
      </c>
      <c r="S8" s="817" t="s">
        <v>238</v>
      </c>
      <c r="T8" s="817" t="s">
        <v>239</v>
      </c>
      <c r="U8" s="817" t="s">
        <v>240</v>
      </c>
      <c r="V8" s="817" t="s">
        <v>241</v>
      </c>
      <c r="W8" s="1150"/>
      <c r="X8" s="1152"/>
      <c r="Y8" s="817" t="s">
        <v>235</v>
      </c>
      <c r="Z8" s="818" t="s">
        <v>236</v>
      </c>
      <c r="AA8" s="817" t="s">
        <v>237</v>
      </c>
      <c r="AB8" s="817" t="s">
        <v>238</v>
      </c>
      <c r="AC8" s="817" t="s">
        <v>239</v>
      </c>
      <c r="AD8" s="817" t="s">
        <v>240</v>
      </c>
      <c r="AE8" s="817" t="s">
        <v>241</v>
      </c>
      <c r="AF8" s="1169"/>
    </row>
    <row r="9" spans="1:32" ht="16.5" thickTop="1" thickBot="1">
      <c r="A9" s="1157" t="s">
        <v>242</v>
      </c>
      <c r="B9" s="1158"/>
      <c r="C9" s="1158"/>
      <c r="D9" s="1158"/>
      <c r="E9" s="604"/>
      <c r="F9" s="1159"/>
      <c r="G9" s="1158"/>
      <c r="H9" s="1158"/>
      <c r="I9" s="1158"/>
      <c r="J9" s="1158"/>
      <c r="K9" s="1158"/>
      <c r="L9" s="1158"/>
      <c r="M9" s="1158"/>
      <c r="N9" s="1160"/>
      <c r="O9" s="1161"/>
      <c r="P9" s="1158"/>
      <c r="Q9" s="1158"/>
      <c r="R9" s="1158"/>
      <c r="S9" s="1158"/>
      <c r="T9" s="1158"/>
      <c r="U9" s="1158"/>
      <c r="V9" s="1158"/>
      <c r="W9" s="1160"/>
      <c r="X9" s="1161"/>
      <c r="Y9" s="1158"/>
      <c r="Z9" s="1158"/>
      <c r="AA9" s="1158"/>
      <c r="AB9" s="1158"/>
      <c r="AC9" s="1158"/>
      <c r="AD9" s="1158"/>
      <c r="AE9" s="1158"/>
      <c r="AF9" s="1160"/>
    </row>
    <row r="10" spans="1:32">
      <c r="A10" s="605"/>
      <c r="B10" s="606"/>
      <c r="C10" s="607"/>
      <c r="D10" s="607"/>
      <c r="E10" s="608"/>
      <c r="F10" s="609"/>
      <c r="G10" s="610"/>
      <c r="H10" s="611"/>
      <c r="I10" s="611"/>
      <c r="J10" s="611"/>
      <c r="K10" s="611"/>
      <c r="L10" s="611"/>
      <c r="M10" s="611"/>
      <c r="N10" s="612"/>
      <c r="O10" s="613"/>
      <c r="P10" s="611"/>
      <c r="Q10" s="611"/>
      <c r="R10" s="611"/>
      <c r="S10" s="611"/>
      <c r="T10" s="611"/>
      <c r="U10" s="611"/>
      <c r="V10" s="611"/>
      <c r="W10" s="612"/>
      <c r="X10" s="613"/>
      <c r="Y10" s="611"/>
      <c r="Z10" s="611"/>
      <c r="AA10" s="611"/>
      <c r="AB10" s="611"/>
      <c r="AC10" s="611"/>
      <c r="AD10" s="611"/>
      <c r="AE10" s="611"/>
      <c r="AF10" s="612"/>
    </row>
    <row r="11" spans="1:32">
      <c r="A11" s="614"/>
      <c r="B11" s="615"/>
      <c r="C11" s="616"/>
      <c r="D11" s="616"/>
      <c r="E11" s="617"/>
      <c r="F11" s="618"/>
      <c r="G11" s="619"/>
      <c r="H11" s="619"/>
      <c r="I11" s="619"/>
      <c r="J11" s="619"/>
      <c r="K11" s="619"/>
      <c r="L11" s="619"/>
      <c r="M11" s="619"/>
      <c r="N11" s="612"/>
      <c r="O11" s="621"/>
      <c r="P11" s="619"/>
      <c r="Q11" s="619"/>
      <c r="R11" s="619"/>
      <c r="S11" s="619"/>
      <c r="T11" s="619"/>
      <c r="U11" s="619"/>
      <c r="V11" s="619"/>
      <c r="W11" s="620"/>
      <c r="X11" s="621"/>
      <c r="Y11" s="619"/>
      <c r="Z11" s="619"/>
      <c r="AA11" s="619"/>
      <c r="AB11" s="619"/>
      <c r="AC11" s="619"/>
      <c r="AD11" s="619"/>
      <c r="AE11" s="619"/>
      <c r="AF11" s="620"/>
    </row>
    <row r="12" spans="1:32">
      <c r="A12" s="623"/>
      <c r="B12" s="624"/>
      <c r="C12" s="625"/>
      <c r="D12" s="626"/>
      <c r="E12" s="627"/>
      <c r="F12" s="628"/>
      <c r="G12" s="611"/>
      <c r="H12" s="611"/>
      <c r="I12" s="611"/>
      <c r="J12" s="611"/>
      <c r="K12" s="611"/>
      <c r="L12" s="611"/>
      <c r="M12" s="611"/>
      <c r="N12" s="629"/>
      <c r="O12" s="628"/>
      <c r="P12" s="611"/>
      <c r="Q12" s="611"/>
      <c r="R12" s="611"/>
      <c r="S12" s="611"/>
      <c r="T12" s="611"/>
      <c r="U12" s="611"/>
      <c r="V12" s="611"/>
      <c r="W12" s="629"/>
      <c r="X12" s="630"/>
      <c r="Y12" s="611"/>
      <c r="Z12" s="611"/>
      <c r="AA12" s="611"/>
      <c r="AB12" s="611"/>
      <c r="AC12" s="611"/>
      <c r="AD12" s="611"/>
      <c r="AE12" s="611"/>
      <c r="AF12" s="629"/>
    </row>
    <row r="13" spans="1:32">
      <c r="A13" s="623"/>
      <c r="B13" s="624"/>
      <c r="C13" s="625"/>
      <c r="D13" s="626"/>
      <c r="E13" s="627"/>
      <c r="F13" s="628"/>
      <c r="G13" s="611"/>
      <c r="H13" s="611"/>
      <c r="I13" s="611"/>
      <c r="J13" s="611"/>
      <c r="K13" s="611"/>
      <c r="L13" s="611"/>
      <c r="M13" s="611"/>
      <c r="N13" s="629"/>
      <c r="O13" s="628"/>
      <c r="P13" s="611"/>
      <c r="Q13" s="611"/>
      <c r="R13" s="611"/>
      <c r="S13" s="611"/>
      <c r="T13" s="611"/>
      <c r="U13" s="611"/>
      <c r="V13" s="611"/>
      <c r="W13" s="629"/>
      <c r="X13" s="630"/>
      <c r="Y13" s="611"/>
      <c r="Z13" s="611"/>
      <c r="AA13" s="611"/>
      <c r="AB13" s="611"/>
      <c r="AC13" s="611"/>
      <c r="AD13" s="611"/>
      <c r="AE13" s="611"/>
      <c r="AF13" s="629"/>
    </row>
    <row r="14" spans="1:32">
      <c r="A14" s="623"/>
      <c r="B14" s="624"/>
      <c r="C14" s="625"/>
      <c r="D14" s="626"/>
      <c r="E14" s="627"/>
      <c r="F14" s="628"/>
      <c r="G14" s="611"/>
      <c r="H14" s="611"/>
      <c r="I14" s="611"/>
      <c r="J14" s="611"/>
      <c r="K14" s="611"/>
      <c r="L14" s="611"/>
      <c r="M14" s="611"/>
      <c r="N14" s="629"/>
      <c r="O14" s="628"/>
      <c r="P14" s="611"/>
      <c r="Q14" s="611"/>
      <c r="R14" s="611"/>
      <c r="S14" s="611"/>
      <c r="T14" s="611"/>
      <c r="U14" s="611"/>
      <c r="V14" s="611"/>
      <c r="W14" s="629"/>
      <c r="X14" s="630"/>
      <c r="Y14" s="611"/>
      <c r="Z14" s="611"/>
      <c r="AA14" s="611"/>
      <c r="AB14" s="611"/>
      <c r="AC14" s="611"/>
      <c r="AD14" s="611"/>
      <c r="AE14" s="611"/>
      <c r="AF14" s="629"/>
    </row>
    <row r="15" spans="1:32">
      <c r="A15" s="623"/>
      <c r="B15" s="615"/>
      <c r="C15" s="616"/>
      <c r="D15" s="626"/>
      <c r="E15" s="631"/>
      <c r="F15" s="628"/>
      <c r="G15" s="619"/>
      <c r="H15" s="611"/>
      <c r="I15" s="619"/>
      <c r="J15" s="619"/>
      <c r="K15" s="619"/>
      <c r="L15" s="619"/>
      <c r="M15" s="619"/>
      <c r="N15" s="632"/>
      <c r="O15" s="618"/>
      <c r="P15" s="619"/>
      <c r="Q15" s="619"/>
      <c r="R15" s="619"/>
      <c r="S15" s="619"/>
      <c r="T15" s="619"/>
      <c r="U15" s="619"/>
      <c r="V15" s="619"/>
      <c r="W15" s="632"/>
      <c r="X15" s="618"/>
      <c r="Y15" s="619"/>
      <c r="Z15" s="619"/>
      <c r="AA15" s="619"/>
      <c r="AB15" s="619"/>
      <c r="AC15" s="619"/>
      <c r="AD15" s="619"/>
      <c r="AE15" s="619"/>
      <c r="AF15" s="632"/>
    </row>
    <row r="16" spans="1:32">
      <c r="A16" s="623"/>
      <c r="B16" s="615"/>
      <c r="C16" s="633"/>
      <c r="D16" s="616"/>
      <c r="E16" s="634"/>
      <c r="F16" s="635"/>
      <c r="G16" s="619"/>
      <c r="H16" s="619"/>
      <c r="I16" s="619"/>
      <c r="J16" s="619"/>
      <c r="K16" s="611"/>
      <c r="L16" s="619"/>
      <c r="M16" s="619"/>
      <c r="N16" s="632"/>
      <c r="O16" s="635"/>
      <c r="P16" s="619"/>
      <c r="Q16" s="619"/>
      <c r="R16" s="619"/>
      <c r="S16" s="619"/>
      <c r="T16" s="611"/>
      <c r="U16" s="619"/>
      <c r="V16" s="619"/>
      <c r="W16" s="632"/>
      <c r="X16" s="635"/>
      <c r="Y16" s="619"/>
      <c r="Z16" s="619"/>
      <c r="AA16" s="619"/>
      <c r="AB16" s="619"/>
      <c r="AC16" s="619"/>
      <c r="AD16" s="619"/>
      <c r="AE16" s="619"/>
      <c r="AF16" s="632"/>
    </row>
    <row r="17" spans="1:32">
      <c r="A17" s="623"/>
      <c r="B17" s="615"/>
      <c r="C17" s="633"/>
      <c r="D17" s="616"/>
      <c r="E17" s="636"/>
      <c r="F17" s="635"/>
      <c r="G17" s="619"/>
      <c r="H17" s="619"/>
      <c r="I17" s="619"/>
      <c r="J17" s="619"/>
      <c r="K17" s="619"/>
      <c r="L17" s="619"/>
      <c r="M17" s="619"/>
      <c r="N17" s="632"/>
      <c r="O17" s="635"/>
      <c r="P17" s="619"/>
      <c r="Q17" s="619"/>
      <c r="R17" s="619"/>
      <c r="S17" s="619"/>
      <c r="T17" s="619"/>
      <c r="U17" s="619"/>
      <c r="V17" s="619"/>
      <c r="W17" s="632"/>
      <c r="X17" s="635"/>
      <c r="Y17" s="619"/>
      <c r="Z17" s="619"/>
      <c r="AA17" s="619"/>
      <c r="AB17" s="619"/>
      <c r="AC17" s="619"/>
      <c r="AD17" s="619"/>
      <c r="AE17" s="619"/>
      <c r="AF17" s="632"/>
    </row>
    <row r="18" spans="1:32">
      <c r="A18" s="623"/>
      <c r="B18" s="615"/>
      <c r="C18" s="633"/>
      <c r="D18" s="637"/>
      <c r="E18" s="638"/>
      <c r="F18" s="635"/>
      <c r="G18" s="619"/>
      <c r="H18" s="619"/>
      <c r="I18" s="619"/>
      <c r="J18" s="619"/>
      <c r="K18" s="611"/>
      <c r="L18" s="619"/>
      <c r="M18" s="619"/>
      <c r="N18" s="632"/>
      <c r="O18" s="635"/>
      <c r="P18" s="619"/>
      <c r="Q18" s="619"/>
      <c r="R18" s="619"/>
      <c r="S18" s="619"/>
      <c r="T18" s="611"/>
      <c r="U18" s="619"/>
      <c r="V18" s="619"/>
      <c r="W18" s="632"/>
      <c r="X18" s="635"/>
      <c r="Y18" s="619"/>
      <c r="Z18" s="619"/>
      <c r="AA18" s="619"/>
      <c r="AB18" s="619"/>
      <c r="AC18" s="619"/>
      <c r="AD18" s="619"/>
      <c r="AE18" s="619"/>
      <c r="AF18" s="632"/>
    </row>
    <row r="19" spans="1:32">
      <c r="A19" s="623"/>
      <c r="B19" s="615"/>
      <c r="C19" s="640"/>
      <c r="D19" s="640"/>
      <c r="E19" s="641"/>
      <c r="F19" s="642"/>
      <c r="G19" s="643"/>
      <c r="H19" s="643"/>
      <c r="I19" s="643"/>
      <c r="J19" s="643"/>
      <c r="K19" s="611"/>
      <c r="L19" s="643"/>
      <c r="M19" s="643"/>
      <c r="N19" s="644"/>
      <c r="O19" s="645"/>
      <c r="P19" s="643"/>
      <c r="Q19" s="643"/>
      <c r="R19" s="643"/>
      <c r="S19" s="643"/>
      <c r="T19" s="611"/>
      <c r="U19" s="643"/>
      <c r="V19" s="643"/>
      <c r="W19" s="644"/>
      <c r="X19" s="645"/>
      <c r="Y19" s="643"/>
      <c r="Z19" s="643"/>
      <c r="AA19" s="643"/>
      <c r="AB19" s="643"/>
      <c r="AC19" s="611"/>
      <c r="AD19" s="643"/>
      <c r="AE19" s="643"/>
      <c r="AF19" s="644"/>
    </row>
    <row r="20" spans="1:32">
      <c r="A20" s="623"/>
      <c r="B20" s="615"/>
      <c r="C20" s="640"/>
      <c r="D20" s="646"/>
      <c r="E20" s="647"/>
      <c r="F20" s="648"/>
      <c r="G20" s="643"/>
      <c r="H20" s="611"/>
      <c r="I20" s="643"/>
      <c r="J20" s="643"/>
      <c r="K20" s="611"/>
      <c r="L20" s="643"/>
      <c r="M20" s="643"/>
      <c r="N20" s="644"/>
      <c r="O20" s="645"/>
      <c r="P20" s="643"/>
      <c r="Q20" s="643"/>
      <c r="R20" s="643"/>
      <c r="S20" s="643"/>
      <c r="T20" s="611"/>
      <c r="U20" s="643"/>
      <c r="V20" s="643"/>
      <c r="W20" s="644"/>
      <c r="X20" s="645"/>
      <c r="Y20" s="643"/>
      <c r="Z20" s="643"/>
      <c r="AA20" s="643"/>
      <c r="AB20" s="643"/>
      <c r="AC20" s="611"/>
      <c r="AD20" s="643"/>
      <c r="AE20" s="643"/>
      <c r="AF20" s="644"/>
    </row>
    <row r="21" spans="1:32">
      <c r="A21" s="623"/>
      <c r="B21" s="615"/>
      <c r="C21" s="616"/>
      <c r="D21" s="626"/>
      <c r="E21" s="631"/>
      <c r="F21" s="635"/>
      <c r="G21" s="619"/>
      <c r="H21" s="619"/>
      <c r="I21" s="619"/>
      <c r="J21" s="619"/>
      <c r="K21" s="619"/>
      <c r="L21" s="619"/>
      <c r="M21" s="619"/>
      <c r="N21" s="632"/>
      <c r="O21" s="618"/>
      <c r="P21" s="619"/>
      <c r="Q21" s="619"/>
      <c r="R21" s="619"/>
      <c r="S21" s="619"/>
      <c r="T21" s="619"/>
      <c r="U21" s="619"/>
      <c r="V21" s="619"/>
      <c r="W21" s="632"/>
      <c r="X21" s="618"/>
      <c r="Y21" s="619"/>
      <c r="Z21" s="619"/>
      <c r="AA21" s="619"/>
      <c r="AB21" s="619"/>
      <c r="AC21" s="619"/>
      <c r="AD21" s="619"/>
      <c r="AE21" s="619"/>
      <c r="AF21" s="632"/>
    </row>
    <row r="22" spans="1:32">
      <c r="A22" s="623"/>
      <c r="B22" s="615"/>
      <c r="C22" s="637"/>
      <c r="D22" s="637"/>
      <c r="E22" s="639"/>
      <c r="F22" s="618"/>
      <c r="G22" s="619"/>
      <c r="H22" s="619"/>
      <c r="I22" s="619"/>
      <c r="J22" s="619"/>
      <c r="K22" s="611"/>
      <c r="L22" s="619"/>
      <c r="M22" s="619"/>
      <c r="N22" s="632"/>
      <c r="O22" s="618"/>
      <c r="P22" s="619"/>
      <c r="Q22" s="619"/>
      <c r="R22" s="619"/>
      <c r="S22" s="619"/>
      <c r="T22" s="611"/>
      <c r="U22" s="619"/>
      <c r="V22" s="619"/>
      <c r="W22" s="632"/>
      <c r="X22" s="618"/>
      <c r="Y22" s="619"/>
      <c r="Z22" s="619"/>
      <c r="AA22" s="619"/>
      <c r="AB22" s="619"/>
      <c r="AC22" s="611"/>
      <c r="AD22" s="619"/>
      <c r="AE22" s="619"/>
      <c r="AF22" s="632"/>
    </row>
    <row r="23" spans="1:32">
      <c r="A23" s="623"/>
      <c r="B23" s="615"/>
      <c r="C23" s="616"/>
      <c r="D23" s="626"/>
      <c r="E23" s="631"/>
      <c r="F23" s="628"/>
      <c r="G23" s="619"/>
      <c r="H23" s="611"/>
      <c r="I23" s="619"/>
      <c r="J23" s="619"/>
      <c r="K23" s="619"/>
      <c r="L23" s="619"/>
      <c r="M23" s="619"/>
      <c r="N23" s="632"/>
      <c r="O23" s="618"/>
      <c r="P23" s="619"/>
      <c r="Q23" s="619"/>
      <c r="R23" s="619"/>
      <c r="S23" s="619"/>
      <c r="T23" s="619"/>
      <c r="U23" s="619"/>
      <c r="V23" s="619"/>
      <c r="W23" s="632"/>
      <c r="X23" s="618"/>
      <c r="Y23" s="619"/>
      <c r="Z23" s="619"/>
      <c r="AA23" s="619"/>
      <c r="AB23" s="619"/>
      <c r="AC23" s="619"/>
      <c r="AD23" s="619"/>
      <c r="AE23" s="619"/>
      <c r="AF23" s="632"/>
    </row>
    <row r="24" spans="1:32">
      <c r="A24" s="623"/>
      <c r="B24" s="615"/>
      <c r="C24" s="616"/>
      <c r="D24" s="626"/>
      <c r="E24" s="631"/>
      <c r="F24" s="628"/>
      <c r="G24" s="619"/>
      <c r="H24" s="619"/>
      <c r="I24" s="619"/>
      <c r="J24" s="619"/>
      <c r="K24" s="611"/>
      <c r="L24" s="619"/>
      <c r="M24" s="619"/>
      <c r="N24" s="632"/>
      <c r="O24" s="618"/>
      <c r="P24" s="619"/>
      <c r="Q24" s="619"/>
      <c r="R24" s="619"/>
      <c r="S24" s="619"/>
      <c r="T24" s="611"/>
      <c r="U24" s="619"/>
      <c r="V24" s="619"/>
      <c r="W24" s="632"/>
      <c r="X24" s="618"/>
      <c r="Y24" s="619"/>
      <c r="Z24" s="619"/>
      <c r="AA24" s="619"/>
      <c r="AB24" s="619"/>
      <c r="AC24" s="611"/>
      <c r="AD24" s="619"/>
      <c r="AE24" s="619"/>
      <c r="AF24" s="632"/>
    </row>
    <row r="25" spans="1:32">
      <c r="A25" s="623"/>
      <c r="B25" s="649"/>
      <c r="C25" s="633"/>
      <c r="D25" s="650"/>
      <c r="E25" s="651"/>
      <c r="F25" s="652"/>
      <c r="G25" s="643"/>
      <c r="H25" s="643"/>
      <c r="I25" s="643"/>
      <c r="J25" s="643"/>
      <c r="K25" s="643"/>
      <c r="L25" s="643"/>
      <c r="M25" s="643"/>
      <c r="N25" s="644"/>
      <c r="O25" s="652"/>
      <c r="P25" s="643"/>
      <c r="Q25" s="643"/>
      <c r="R25" s="643"/>
      <c r="S25" s="643"/>
      <c r="T25" s="643"/>
      <c r="U25" s="643"/>
      <c r="V25" s="643"/>
      <c r="W25" s="644"/>
      <c r="X25" s="652"/>
      <c r="Y25" s="643"/>
      <c r="Z25" s="643"/>
      <c r="AA25" s="643"/>
      <c r="AB25" s="643"/>
      <c r="AC25" s="643"/>
      <c r="AD25" s="643"/>
      <c r="AE25" s="643"/>
      <c r="AF25" s="644"/>
    </row>
    <row r="26" spans="1:32">
      <c r="A26" s="623"/>
      <c r="B26" s="649"/>
      <c r="C26" s="633"/>
      <c r="D26" s="650"/>
      <c r="E26" s="651"/>
      <c r="F26" s="652"/>
      <c r="G26" s="643"/>
      <c r="H26" s="643"/>
      <c r="I26" s="643"/>
      <c r="J26" s="643"/>
      <c r="K26" s="643"/>
      <c r="L26" s="643"/>
      <c r="M26" s="643"/>
      <c r="N26" s="644"/>
      <c r="O26" s="652"/>
      <c r="P26" s="643"/>
      <c r="Q26" s="643"/>
      <c r="R26" s="643"/>
      <c r="S26" s="643"/>
      <c r="T26" s="643"/>
      <c r="U26" s="643"/>
      <c r="V26" s="643"/>
      <c r="W26" s="644"/>
      <c r="X26" s="652"/>
      <c r="Y26" s="643"/>
      <c r="Z26" s="643"/>
      <c r="AA26" s="643"/>
      <c r="AB26" s="643"/>
      <c r="AC26" s="643"/>
      <c r="AD26" s="643"/>
      <c r="AE26" s="643"/>
      <c r="AF26" s="644"/>
    </row>
    <row r="27" spans="1:32" ht="15.75" thickBot="1">
      <c r="A27" s="653"/>
      <c r="B27" s="654"/>
      <c r="C27" s="655"/>
      <c r="D27" s="656"/>
      <c r="E27" s="657"/>
      <c r="F27" s="658"/>
      <c r="G27" s="659"/>
      <c r="H27" s="659"/>
      <c r="I27" s="659"/>
      <c r="J27" s="659"/>
      <c r="K27" s="659"/>
      <c r="L27" s="659"/>
      <c r="M27" s="659"/>
      <c r="N27" s="660"/>
      <c r="O27" s="658"/>
      <c r="P27" s="659"/>
      <c r="Q27" s="659"/>
      <c r="R27" s="659"/>
      <c r="S27" s="659"/>
      <c r="T27" s="659"/>
      <c r="U27" s="659"/>
      <c r="V27" s="659"/>
      <c r="W27" s="660"/>
      <c r="X27" s="658"/>
      <c r="Y27" s="659"/>
      <c r="Z27" s="659"/>
      <c r="AA27" s="659"/>
      <c r="AB27" s="659"/>
      <c r="AC27" s="659"/>
      <c r="AD27" s="659"/>
      <c r="AE27" s="659"/>
      <c r="AF27" s="660"/>
    </row>
    <row r="28" spans="1:32" ht="16.5" thickTop="1" thickBot="1">
      <c r="A28" s="1153" t="s">
        <v>243</v>
      </c>
      <c r="B28" s="1154"/>
      <c r="C28" s="1154"/>
      <c r="D28" s="1154"/>
      <c r="E28" s="1155"/>
      <c r="F28" s="1156"/>
      <c r="G28" s="1154"/>
      <c r="H28" s="1154"/>
      <c r="I28" s="1154"/>
      <c r="J28" s="1154"/>
      <c r="K28" s="1154"/>
      <c r="L28" s="1154"/>
      <c r="M28" s="1154"/>
      <c r="N28" s="1155"/>
      <c r="O28" s="1156"/>
      <c r="P28" s="1154"/>
      <c r="Q28" s="1154"/>
      <c r="R28" s="1154"/>
      <c r="S28" s="1154"/>
      <c r="T28" s="1154"/>
      <c r="U28" s="1154"/>
      <c r="V28" s="1154"/>
      <c r="W28" s="1155"/>
      <c r="X28" s="1156"/>
      <c r="Y28" s="1154"/>
      <c r="Z28" s="1154"/>
      <c r="AA28" s="1154"/>
      <c r="AB28" s="1154"/>
      <c r="AC28" s="1154"/>
      <c r="AD28" s="1154"/>
      <c r="AE28" s="1154"/>
      <c r="AF28" s="1155"/>
    </row>
    <row r="29" spans="1:32" ht="15.75" thickTop="1">
      <c r="A29" s="614"/>
      <c r="B29" s="615"/>
      <c r="C29" s="637"/>
      <c r="D29" s="637"/>
      <c r="E29" s="631"/>
      <c r="F29" s="661"/>
      <c r="G29" s="619"/>
      <c r="H29" s="619"/>
      <c r="I29" s="619"/>
      <c r="J29" s="619"/>
      <c r="K29" s="619"/>
      <c r="L29" s="619"/>
      <c r="M29" s="619"/>
      <c r="N29" s="632"/>
      <c r="O29" s="661"/>
      <c r="P29" s="619"/>
      <c r="Q29" s="619"/>
      <c r="R29" s="619"/>
      <c r="S29" s="619"/>
      <c r="T29" s="619"/>
      <c r="U29" s="619"/>
      <c r="V29" s="619"/>
      <c r="W29" s="632"/>
      <c r="X29" s="662"/>
      <c r="Y29" s="622"/>
      <c r="Z29" s="619"/>
      <c r="AA29" s="619"/>
      <c r="AB29" s="619"/>
      <c r="AC29" s="619"/>
      <c r="AD29" s="619"/>
      <c r="AE29" s="619"/>
      <c r="AF29" s="632"/>
    </row>
    <row r="30" spans="1:32">
      <c r="A30" s="614"/>
      <c r="B30" s="615"/>
      <c r="C30" s="637"/>
      <c r="D30" s="637"/>
      <c r="E30" s="631"/>
      <c r="F30" s="661"/>
      <c r="G30" s="619"/>
      <c r="H30" s="619"/>
      <c r="I30" s="619"/>
      <c r="J30" s="619"/>
      <c r="K30" s="619"/>
      <c r="L30" s="619"/>
      <c r="M30" s="619"/>
      <c r="N30" s="632"/>
      <c r="O30" s="661"/>
      <c r="P30" s="619"/>
      <c r="Q30" s="619"/>
      <c r="R30" s="619"/>
      <c r="S30" s="619"/>
      <c r="T30" s="619"/>
      <c r="U30" s="619"/>
      <c r="V30" s="619"/>
      <c r="W30" s="632"/>
      <c r="X30" s="662"/>
      <c r="Y30" s="622"/>
      <c r="Z30" s="619"/>
      <c r="AA30" s="619"/>
      <c r="AB30" s="619"/>
      <c r="AC30" s="619"/>
      <c r="AD30" s="619"/>
      <c r="AE30" s="619"/>
      <c r="AF30" s="632"/>
    </row>
    <row r="31" spans="1:32">
      <c r="A31" s="671"/>
      <c r="B31" s="649"/>
      <c r="C31" s="640"/>
      <c r="D31" s="640"/>
      <c r="E31" s="663"/>
      <c r="F31" s="661"/>
      <c r="G31" s="619"/>
      <c r="H31" s="619"/>
      <c r="I31" s="619"/>
      <c r="J31" s="619"/>
      <c r="K31" s="619"/>
      <c r="L31" s="619"/>
      <c r="M31" s="619"/>
      <c r="N31" s="632"/>
      <c r="O31" s="661"/>
      <c r="P31" s="619"/>
      <c r="Q31" s="619"/>
      <c r="R31" s="619"/>
      <c r="S31" s="619"/>
      <c r="T31" s="619"/>
      <c r="U31" s="619"/>
      <c r="V31" s="619"/>
      <c r="W31" s="632"/>
      <c r="X31" s="662"/>
      <c r="Y31" s="622"/>
      <c r="Z31" s="619"/>
      <c r="AA31" s="619"/>
      <c r="AB31" s="619"/>
      <c r="AC31" s="619"/>
      <c r="AD31" s="619"/>
      <c r="AE31" s="619"/>
      <c r="AF31" s="632"/>
    </row>
    <row r="32" spans="1:32">
      <c r="A32" s="670"/>
      <c r="B32" s="672"/>
      <c r="C32" s="670"/>
      <c r="D32" s="670"/>
      <c r="E32" s="663"/>
      <c r="F32" s="661"/>
      <c r="G32" s="619"/>
      <c r="H32" s="619"/>
      <c r="I32" s="619"/>
      <c r="J32" s="619"/>
      <c r="K32" s="619"/>
      <c r="L32" s="619"/>
      <c r="M32" s="619"/>
      <c r="N32" s="632"/>
      <c r="O32" s="661"/>
      <c r="P32" s="619"/>
      <c r="Q32" s="619"/>
      <c r="R32" s="619"/>
      <c r="S32" s="619"/>
      <c r="T32" s="619"/>
      <c r="U32" s="619"/>
      <c r="V32" s="619"/>
      <c r="W32" s="632"/>
      <c r="X32" s="662"/>
      <c r="Y32" s="622"/>
      <c r="Z32" s="619"/>
      <c r="AA32" s="619"/>
      <c r="AB32" s="619"/>
      <c r="AC32" s="619"/>
      <c r="AD32" s="619"/>
      <c r="AE32" s="619"/>
      <c r="AF32" s="632"/>
    </row>
    <row r="33" spans="1:32">
      <c r="A33" s="667" t="s">
        <v>244</v>
      </c>
      <c r="B33" s="669"/>
      <c r="C33" s="669"/>
      <c r="G33" s="667"/>
      <c r="H33" s="668"/>
      <c r="L33" s="668"/>
      <c r="M33" s="668"/>
      <c r="N33" s="669"/>
      <c r="P33" s="667"/>
      <c r="Q33" s="668"/>
      <c r="U33" s="668"/>
      <c r="V33" s="668"/>
      <c r="W33" s="668"/>
      <c r="Y33" s="667"/>
      <c r="Z33" s="668"/>
      <c r="AD33" s="668"/>
      <c r="AE33" s="668"/>
      <c r="AF33" s="668"/>
    </row>
    <row r="34" spans="1:32">
      <c r="A34" s="667" t="s">
        <v>245</v>
      </c>
      <c r="B34" s="668"/>
      <c r="C34" s="669"/>
      <c r="G34" s="667"/>
      <c r="H34" s="669"/>
      <c r="P34" s="667"/>
      <c r="Q34" s="669"/>
      <c r="Y34" s="667"/>
      <c r="Z34" s="669"/>
    </row>
    <row r="35" spans="1:32">
      <c r="A35" s="667" t="s">
        <v>246</v>
      </c>
      <c r="B35" s="669"/>
      <c r="C35" s="669"/>
      <c r="G35" s="667"/>
      <c r="H35" s="668"/>
      <c r="L35" s="668"/>
      <c r="M35" s="668"/>
      <c r="N35" s="669"/>
      <c r="P35" s="667"/>
      <c r="Q35" s="668"/>
      <c r="U35" s="668"/>
      <c r="V35" s="668"/>
      <c r="W35" s="668"/>
      <c r="Y35" s="667"/>
      <c r="Z35" s="668"/>
      <c r="AD35" s="668"/>
      <c r="AE35" s="668"/>
      <c r="AF35" s="668"/>
    </row>
    <row r="36" spans="1:32">
      <c r="A36" s="667" t="s">
        <v>247</v>
      </c>
      <c r="B36" s="668"/>
      <c r="C36" s="669"/>
    </row>
    <row r="37" spans="1:32">
      <c r="A37" s="667" t="s">
        <v>248</v>
      </c>
      <c r="B37" s="669"/>
      <c r="C37" s="669"/>
      <c r="L37" s="668"/>
      <c r="M37" s="668"/>
      <c r="N37" s="669"/>
      <c r="U37" s="668"/>
      <c r="V37" s="668"/>
      <c r="W37" s="668"/>
      <c r="AB37" s="665" t="s">
        <v>377</v>
      </c>
      <c r="AD37" s="668"/>
      <c r="AE37" s="668"/>
      <c r="AF37" s="668"/>
    </row>
    <row r="38" spans="1:32">
      <c r="A38" s="668" t="s">
        <v>249</v>
      </c>
      <c r="B38" s="668"/>
    </row>
    <row r="50" spans="30:30">
      <c r="AD50" s="665">
        <f>40*0.25*1.5</f>
        <v>15</v>
      </c>
    </row>
    <row r="100" spans="32:32">
      <c r="AF100" s="665" t="s">
        <v>250</v>
      </c>
    </row>
  </sheetData>
  <mergeCells count="28">
    <mergeCell ref="O6:W6"/>
    <mergeCell ref="X6:AF6"/>
    <mergeCell ref="A6:A8"/>
    <mergeCell ref="B6:B8"/>
    <mergeCell ref="C6:C8"/>
    <mergeCell ref="D6:D8"/>
    <mergeCell ref="E6:E8"/>
    <mergeCell ref="F6:N6"/>
    <mergeCell ref="Y7:AC7"/>
    <mergeCell ref="AD7:AE7"/>
    <mergeCell ref="AF7:AF8"/>
    <mergeCell ref="F7:F8"/>
    <mergeCell ref="G7:K7"/>
    <mergeCell ref="L7:M7"/>
    <mergeCell ref="N7:N8"/>
    <mergeCell ref="O7:O8"/>
    <mergeCell ref="P7:T7"/>
    <mergeCell ref="U7:V7"/>
    <mergeCell ref="W7:W8"/>
    <mergeCell ref="X7:X8"/>
    <mergeCell ref="A28:E28"/>
    <mergeCell ref="F28:N28"/>
    <mergeCell ref="O28:W28"/>
    <mergeCell ref="X28:AF28"/>
    <mergeCell ref="A9:D9"/>
    <mergeCell ref="F9:N9"/>
    <mergeCell ref="O9:W9"/>
    <mergeCell ref="X9:AF9"/>
  </mergeCells>
  <pageMargins left="0.7" right="0.7" top="0" bottom="0" header="0.3" footer="0.3"/>
  <pageSetup orientation="landscape" r:id="rId1"/>
  <drawing r:id="rId2"/>
  <legacyDrawing r:id="rId3"/>
  <oleObjects>
    <mc:AlternateContent xmlns:mc="http://schemas.openxmlformats.org/markup-compatibility/2006">
      <mc:Choice Requires="x14">
        <oleObject progId="PBrush" shapeId="56321" r:id="rId4">
          <objectPr defaultSize="0" autoPict="0" r:id="rId5">
            <anchor moveWithCells="1" sizeWithCells="1">
              <from>
                <xdr:col>2</xdr:col>
                <xdr:colOff>0</xdr:colOff>
                <xdr:row>0</xdr:row>
                <xdr:rowOff>0</xdr:rowOff>
              </from>
              <to>
                <xdr:col>3</xdr:col>
                <xdr:colOff>0</xdr:colOff>
                <xdr:row>0</xdr:row>
                <xdr:rowOff>0</xdr:rowOff>
              </to>
            </anchor>
          </objectPr>
        </oleObject>
      </mc:Choice>
      <mc:Fallback>
        <oleObject progId="PBrush" shapeId="56321" r:id="rId4"/>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K59"/>
  <sheetViews>
    <sheetView zoomScaleSheetLayoutView="100" workbookViewId="0">
      <selection activeCell="P65" sqref="P65"/>
    </sheetView>
  </sheetViews>
  <sheetFormatPr defaultRowHeight="15"/>
  <cols>
    <col min="1" max="1" width="5.140625" style="190" customWidth="1"/>
    <col min="2" max="2" width="26.5703125" style="189" customWidth="1"/>
    <col min="3" max="3" width="14.85546875" style="189" customWidth="1"/>
    <col min="4" max="4" width="17.28515625" style="189" customWidth="1"/>
    <col min="5" max="5" width="5" style="189" customWidth="1"/>
    <col min="6" max="6" width="8.28515625" style="189" customWidth="1"/>
    <col min="7" max="7" width="9.140625" style="189"/>
    <col min="8" max="8" width="12" style="189" hidden="1" customWidth="1"/>
    <col min="9" max="9" width="11.28515625" style="189" hidden="1" customWidth="1"/>
    <col min="10" max="10" width="12.140625" style="191" customWidth="1"/>
    <col min="11" max="11" width="15.140625" style="189" bestFit="1" customWidth="1"/>
    <col min="12" max="16384" width="9.140625" style="189"/>
  </cols>
  <sheetData>
    <row r="1" spans="1:11" ht="18.75" customHeight="1">
      <c r="A1" s="1183" t="s">
        <v>336</v>
      </c>
      <c r="B1" s="1184"/>
      <c r="C1" s="1191" t="s">
        <v>332</v>
      </c>
      <c r="D1" s="1191"/>
      <c r="E1" s="1191"/>
      <c r="F1" s="1191"/>
      <c r="G1" s="1191"/>
      <c r="H1" s="293"/>
      <c r="I1" s="293"/>
      <c r="J1" s="1193" t="s">
        <v>334</v>
      </c>
      <c r="K1" s="1194"/>
    </row>
    <row r="2" spans="1:11" ht="15.75">
      <c r="A2" s="1185"/>
      <c r="B2" s="1186"/>
      <c r="C2" s="1192"/>
      <c r="D2" s="1192"/>
      <c r="E2" s="1192"/>
      <c r="F2" s="1192"/>
      <c r="G2" s="1192"/>
      <c r="H2" s="294"/>
      <c r="I2" s="294"/>
      <c r="J2" s="1195" t="s">
        <v>350</v>
      </c>
      <c r="K2" s="1196"/>
    </row>
    <row r="3" spans="1:11" ht="15.75" customHeight="1">
      <c r="A3" s="1187"/>
      <c r="B3" s="1188"/>
      <c r="C3" s="1201"/>
      <c r="D3" s="1202"/>
      <c r="E3" s="1202"/>
      <c r="F3" s="1202"/>
      <c r="G3" s="1203"/>
      <c r="H3" s="295"/>
      <c r="I3" s="295"/>
      <c r="J3" s="1197" t="s">
        <v>339</v>
      </c>
      <c r="K3" s="1198"/>
    </row>
    <row r="4" spans="1:11" ht="43.5" customHeight="1" thickBot="1">
      <c r="A4" s="1189"/>
      <c r="B4" s="1190"/>
      <c r="C4" s="1204" t="s">
        <v>363</v>
      </c>
      <c r="D4" s="1205"/>
      <c r="E4" s="1205"/>
      <c r="F4" s="1205"/>
      <c r="G4" s="1206"/>
      <c r="H4" s="296"/>
      <c r="I4" s="296"/>
      <c r="J4" s="1199">
        <v>1</v>
      </c>
      <c r="K4" s="1200"/>
    </row>
    <row r="5" spans="1:11" ht="15.75">
      <c r="A5" s="1178" t="s">
        <v>33</v>
      </c>
      <c r="B5" s="1178"/>
      <c r="C5" s="1178"/>
      <c r="D5" s="1178"/>
      <c r="E5" s="1178"/>
      <c r="F5" s="1178"/>
      <c r="G5" s="1178"/>
      <c r="H5" s="1178"/>
      <c r="I5" s="1178"/>
      <c r="J5" s="1178"/>
      <c r="K5" s="1178"/>
    </row>
    <row r="6" spans="1:11" ht="18" customHeight="1" thickBot="1">
      <c r="A6" s="1179" t="str">
        <f>'[74]General Information'!A3</f>
        <v>Week period from______ To _________</v>
      </c>
      <c r="B6" s="1179"/>
      <c r="C6" s="1179"/>
      <c r="D6" s="1179"/>
      <c r="E6" s="1179"/>
      <c r="F6" s="1179"/>
      <c r="G6" s="1179"/>
      <c r="H6" s="1179"/>
      <c r="I6" s="1179"/>
      <c r="J6" s="1179"/>
      <c r="K6" s="1179"/>
    </row>
    <row r="7" spans="1:11" ht="45" customHeight="1" thickTop="1" thickBot="1">
      <c r="A7" s="708" t="s">
        <v>251</v>
      </c>
      <c r="B7" s="709" t="s">
        <v>252</v>
      </c>
      <c r="C7" s="710" t="s">
        <v>253</v>
      </c>
      <c r="D7" s="710" t="s">
        <v>254</v>
      </c>
      <c r="E7" s="710" t="s">
        <v>141</v>
      </c>
      <c r="F7" s="710" t="s">
        <v>255</v>
      </c>
      <c r="G7" s="709" t="s">
        <v>256</v>
      </c>
      <c r="H7" s="709" t="s">
        <v>257</v>
      </c>
      <c r="I7" s="709" t="s">
        <v>258</v>
      </c>
      <c r="J7" s="711" t="s">
        <v>259</v>
      </c>
      <c r="K7" s="712" t="s">
        <v>258</v>
      </c>
    </row>
    <row r="8" spans="1:11" ht="18" customHeight="1" thickTop="1" thickBot="1">
      <c r="A8" s="1180" t="s">
        <v>242</v>
      </c>
      <c r="B8" s="1181"/>
      <c r="C8" s="1181"/>
      <c r="D8" s="1181"/>
      <c r="E8" s="1181"/>
      <c r="F8" s="1181"/>
      <c r="G8" s="1181"/>
      <c r="H8" s="1181"/>
      <c r="I8" s="1181"/>
      <c r="J8" s="1181"/>
      <c r="K8" s="1182"/>
    </row>
    <row r="9" spans="1:11" ht="15" customHeight="1">
      <c r="A9" s="673"/>
      <c r="B9" s="674"/>
      <c r="C9" s="675"/>
      <c r="D9" s="676"/>
      <c r="E9" s="677"/>
      <c r="F9" s="677"/>
      <c r="G9" s="677"/>
      <c r="H9" s="677"/>
      <c r="I9" s="677"/>
      <c r="J9" s="678"/>
      <c r="K9" s="679"/>
    </row>
    <row r="10" spans="1:11" ht="15" customHeight="1">
      <c r="A10" s="680"/>
      <c r="B10" s="681"/>
      <c r="C10" s="682"/>
      <c r="D10" s="683"/>
      <c r="E10" s="202"/>
      <c r="F10" s="202"/>
      <c r="G10" s="202"/>
      <c r="H10" s="202"/>
      <c r="I10" s="202"/>
      <c r="J10" s="207"/>
      <c r="K10" s="684"/>
    </row>
    <row r="11" spans="1:11" ht="15" customHeight="1">
      <c r="A11" s="673"/>
      <c r="B11" s="685"/>
      <c r="C11" s="676"/>
      <c r="D11" s="686"/>
      <c r="E11" s="202"/>
      <c r="F11" s="202"/>
      <c r="G11" s="202"/>
      <c r="H11" s="202"/>
      <c r="I11" s="202"/>
      <c r="J11" s="207"/>
      <c r="K11" s="684"/>
    </row>
    <row r="12" spans="1:11" ht="15.75" hidden="1">
      <c r="A12" s="680"/>
      <c r="B12" s="687"/>
      <c r="C12" s="688"/>
      <c r="D12" s="689"/>
      <c r="E12" s="202"/>
      <c r="F12" s="202"/>
      <c r="G12" s="202"/>
      <c r="H12" s="201"/>
      <c r="I12" s="201"/>
      <c r="J12" s="207"/>
      <c r="K12" s="684"/>
    </row>
    <row r="13" spans="1:11" ht="15.75" hidden="1">
      <c r="A13" s="673"/>
      <c r="B13" s="690"/>
      <c r="C13" s="713"/>
      <c r="D13" s="713"/>
      <c r="E13" s="202"/>
      <c r="F13" s="202"/>
      <c r="G13" s="202"/>
      <c r="H13" s="201"/>
      <c r="I13" s="201"/>
      <c r="J13" s="207"/>
      <c r="K13" s="684"/>
    </row>
    <row r="14" spans="1:11" ht="15.75" hidden="1">
      <c r="A14" s="680"/>
      <c r="B14" s="690"/>
      <c r="C14" s="713"/>
      <c r="D14" s="713"/>
      <c r="E14" s="202"/>
      <c r="F14" s="202"/>
      <c r="G14" s="202"/>
      <c r="H14" s="201"/>
      <c r="I14" s="201"/>
      <c r="J14" s="207"/>
      <c r="K14" s="684"/>
    </row>
    <row r="15" spans="1:11" ht="15.75" hidden="1">
      <c r="A15" s="673"/>
      <c r="B15" s="690"/>
      <c r="C15" s="713"/>
      <c r="D15" s="713"/>
      <c r="E15" s="202"/>
      <c r="F15" s="202"/>
      <c r="G15" s="202"/>
      <c r="H15" s="201"/>
      <c r="I15" s="201"/>
      <c r="J15" s="207"/>
      <c r="K15" s="684"/>
    </row>
    <row r="16" spans="1:11" ht="15.75" hidden="1">
      <c r="A16" s="680"/>
      <c r="B16" s="690"/>
      <c r="C16" s="713"/>
      <c r="D16" s="713"/>
      <c r="E16" s="202"/>
      <c r="F16" s="202"/>
      <c r="G16" s="202"/>
      <c r="H16" s="201"/>
      <c r="I16" s="201"/>
      <c r="J16" s="207"/>
      <c r="K16" s="684"/>
    </row>
    <row r="17" spans="1:11" ht="15.75" hidden="1">
      <c r="A17" s="673"/>
      <c r="B17" s="690"/>
      <c r="C17" s="713"/>
      <c r="D17" s="713"/>
      <c r="E17" s="202"/>
      <c r="F17" s="202"/>
      <c r="G17" s="202"/>
      <c r="H17" s="201"/>
      <c r="I17" s="201"/>
      <c r="J17" s="207"/>
      <c r="K17" s="684"/>
    </row>
    <row r="18" spans="1:11" ht="15.75" hidden="1">
      <c r="A18" s="680"/>
      <c r="B18" s="690"/>
      <c r="C18" s="713"/>
      <c r="D18" s="713"/>
      <c r="E18" s="202"/>
      <c r="F18" s="202"/>
      <c r="G18" s="202"/>
      <c r="H18" s="201"/>
      <c r="I18" s="201"/>
      <c r="J18" s="207"/>
      <c r="K18" s="684"/>
    </row>
    <row r="19" spans="1:11" ht="15.75">
      <c r="A19" s="673"/>
      <c r="B19" s="690"/>
      <c r="C19" s="713"/>
      <c r="D19" s="713"/>
      <c r="E19" s="202"/>
      <c r="F19" s="202"/>
      <c r="G19" s="202"/>
      <c r="H19" s="201"/>
      <c r="I19" s="201"/>
      <c r="J19" s="207"/>
      <c r="K19" s="684"/>
    </row>
    <row r="20" spans="1:11" ht="15.75">
      <c r="A20" s="673"/>
      <c r="B20" s="690"/>
      <c r="C20" s="713"/>
      <c r="D20" s="713"/>
      <c r="E20" s="202"/>
      <c r="F20" s="202"/>
      <c r="G20" s="202"/>
      <c r="H20" s="201"/>
      <c r="I20" s="201"/>
      <c r="J20" s="207"/>
      <c r="K20" s="684"/>
    </row>
    <row r="21" spans="1:11" ht="15.75">
      <c r="A21" s="673"/>
      <c r="B21" s="690"/>
      <c r="C21" s="713"/>
      <c r="D21" s="713"/>
      <c r="E21" s="202"/>
      <c r="F21" s="202"/>
      <c r="G21" s="202"/>
      <c r="H21" s="201"/>
      <c r="I21" s="201"/>
      <c r="J21" s="207"/>
      <c r="K21" s="684"/>
    </row>
    <row r="22" spans="1:11" ht="15.75">
      <c r="A22" s="673"/>
      <c r="B22" s="690"/>
      <c r="C22" s="713"/>
      <c r="D22" s="713"/>
      <c r="E22" s="202"/>
      <c r="F22" s="202"/>
      <c r="G22" s="202"/>
      <c r="H22" s="201"/>
      <c r="I22" s="201"/>
      <c r="J22" s="207"/>
      <c r="K22" s="684"/>
    </row>
    <row r="23" spans="1:11" ht="15.75">
      <c r="A23" s="673"/>
      <c r="B23" s="690"/>
      <c r="C23" s="713"/>
      <c r="D23" s="713"/>
      <c r="E23" s="202"/>
      <c r="F23" s="202"/>
      <c r="G23" s="202"/>
      <c r="H23" s="201"/>
      <c r="I23" s="201"/>
      <c r="J23" s="207"/>
      <c r="K23" s="684"/>
    </row>
    <row r="24" spans="1:11" ht="15.75">
      <c r="A24" s="673"/>
      <c r="B24" s="690"/>
      <c r="C24" s="713"/>
      <c r="D24" s="713"/>
      <c r="E24" s="202"/>
      <c r="F24" s="202"/>
      <c r="G24" s="202"/>
      <c r="H24" s="201"/>
      <c r="I24" s="201"/>
      <c r="J24" s="207"/>
      <c r="K24" s="684"/>
    </row>
    <row r="25" spans="1:11" ht="15.75">
      <c r="A25" s="673"/>
      <c r="B25" s="690"/>
      <c r="C25" s="713"/>
      <c r="D25" s="713"/>
      <c r="E25" s="202"/>
      <c r="F25" s="202"/>
      <c r="G25" s="202"/>
      <c r="H25" s="201"/>
      <c r="I25" s="201"/>
      <c r="J25" s="207"/>
      <c r="K25" s="684"/>
    </row>
    <row r="26" spans="1:11" ht="15.75">
      <c r="A26" s="673"/>
      <c r="B26" s="690"/>
      <c r="C26" s="713"/>
      <c r="D26" s="713"/>
      <c r="E26" s="202"/>
      <c r="F26" s="202"/>
      <c r="G26" s="202"/>
      <c r="H26" s="201"/>
      <c r="I26" s="201"/>
      <c r="J26" s="207"/>
      <c r="K26" s="684"/>
    </row>
    <row r="27" spans="1:11" ht="15.75">
      <c r="A27" s="680"/>
      <c r="B27" s="690"/>
      <c r="C27" s="713"/>
      <c r="D27" s="713"/>
      <c r="E27" s="202"/>
      <c r="F27" s="202"/>
      <c r="G27" s="202"/>
      <c r="H27" s="201"/>
      <c r="I27" s="201"/>
      <c r="J27" s="207"/>
      <c r="K27" s="684"/>
    </row>
    <row r="28" spans="1:11" ht="15.75">
      <c r="A28" s="673"/>
      <c r="B28" s="690"/>
      <c r="C28" s="713"/>
      <c r="D28" s="713"/>
      <c r="E28" s="202"/>
      <c r="F28" s="202"/>
      <c r="G28" s="202"/>
      <c r="H28" s="201"/>
      <c r="I28" s="201"/>
      <c r="J28" s="207"/>
      <c r="K28" s="684"/>
    </row>
    <row r="29" spans="1:11" ht="15.75">
      <c r="A29" s="680"/>
      <c r="B29" s="691"/>
      <c r="C29" s="713"/>
      <c r="D29" s="713"/>
      <c r="E29" s="202"/>
      <c r="F29" s="202"/>
      <c r="G29" s="202"/>
      <c r="H29" s="201"/>
      <c r="I29" s="201"/>
      <c r="J29" s="207"/>
      <c r="K29" s="684"/>
    </row>
    <row r="30" spans="1:11" ht="15.75">
      <c r="A30" s="673"/>
      <c r="B30" s="690"/>
      <c r="C30" s="713"/>
      <c r="D30" s="713"/>
      <c r="E30" s="202"/>
      <c r="F30" s="202"/>
      <c r="G30" s="202"/>
      <c r="H30" s="201"/>
      <c r="I30" s="201"/>
      <c r="J30" s="207"/>
      <c r="K30" s="684"/>
    </row>
    <row r="31" spans="1:11" ht="15.75">
      <c r="A31" s="680"/>
      <c r="B31" s="690"/>
      <c r="C31" s="713"/>
      <c r="D31" s="713"/>
      <c r="E31" s="202"/>
      <c r="F31" s="202"/>
      <c r="G31" s="202"/>
      <c r="H31" s="201"/>
      <c r="I31" s="201"/>
      <c r="J31" s="207"/>
      <c r="K31" s="684"/>
    </row>
    <row r="32" spans="1:11" ht="15.75" customHeight="1" thickBot="1">
      <c r="A32" s="1175" t="s">
        <v>260</v>
      </c>
      <c r="B32" s="1176"/>
      <c r="C32" s="1176"/>
      <c r="D32" s="1176"/>
      <c r="E32" s="1176"/>
      <c r="F32" s="1176"/>
      <c r="G32" s="1176"/>
      <c r="H32" s="1176"/>
      <c r="I32" s="1176"/>
      <c r="J32" s="1177"/>
      <c r="K32" s="692">
        <f>SUM(K9:K31)</f>
        <v>0</v>
      </c>
    </row>
    <row r="33" spans="1:11" ht="16.5" thickTop="1" thickBot="1">
      <c r="A33" s="1174" t="s">
        <v>261</v>
      </c>
      <c r="B33" s="1174"/>
      <c r="C33" s="1174"/>
      <c r="D33" s="1174"/>
      <c r="E33" s="1174"/>
      <c r="F33" s="1174"/>
      <c r="G33" s="1174"/>
      <c r="H33" s="1174"/>
      <c r="I33" s="1174"/>
      <c r="J33" s="1174"/>
      <c r="K33" s="1174"/>
    </row>
    <row r="34" spans="1:11" ht="15.75">
      <c r="A34" s="693"/>
      <c r="B34" s="674"/>
      <c r="C34" s="677"/>
      <c r="D34" s="677"/>
      <c r="E34" s="677"/>
      <c r="F34" s="677"/>
      <c r="G34" s="677"/>
      <c r="H34" s="677"/>
      <c r="I34" s="677"/>
      <c r="J34" s="694"/>
      <c r="K34" s="677"/>
    </row>
    <row r="35" spans="1:11">
      <c r="A35" s="715"/>
      <c r="B35" s="201"/>
      <c r="C35" s="696"/>
      <c r="D35" s="697"/>
      <c r="E35" s="697"/>
      <c r="F35" s="697"/>
      <c r="G35" s="697"/>
      <c r="H35" s="697"/>
      <c r="I35" s="697"/>
      <c r="J35" s="698"/>
      <c r="K35" s="699"/>
    </row>
    <row r="36" spans="1:11">
      <c r="A36" s="715"/>
      <c r="B36" s="201"/>
      <c r="C36" s="696"/>
      <c r="D36" s="697"/>
      <c r="E36" s="697"/>
      <c r="F36" s="697"/>
      <c r="G36" s="697"/>
      <c r="H36" s="697"/>
      <c r="I36" s="697"/>
      <c r="J36" s="698"/>
      <c r="K36" s="684"/>
    </row>
    <row r="37" spans="1:11">
      <c r="A37" s="715"/>
      <c r="B37" s="201"/>
      <c r="C37" s="202"/>
      <c r="D37" s="202"/>
      <c r="E37" s="202"/>
      <c r="F37" s="202"/>
      <c r="G37" s="202"/>
      <c r="H37" s="202"/>
      <c r="I37" s="202"/>
      <c r="J37" s="207"/>
      <c r="K37" s="684"/>
    </row>
    <row r="38" spans="1:11">
      <c r="A38" s="715"/>
      <c r="B38" s="201"/>
      <c r="C38" s="202"/>
      <c r="D38" s="202"/>
      <c r="E38" s="202"/>
      <c r="F38" s="202"/>
      <c r="G38" s="202"/>
      <c r="H38" s="202"/>
      <c r="I38" s="202"/>
      <c r="J38" s="207"/>
      <c r="K38" s="684"/>
    </row>
    <row r="39" spans="1:11">
      <c r="A39" s="715"/>
      <c r="B39" s="201"/>
      <c r="C39" s="202"/>
      <c r="D39" s="202"/>
      <c r="E39" s="202"/>
      <c r="F39" s="202"/>
      <c r="G39" s="202"/>
      <c r="H39" s="202"/>
      <c r="I39" s="202"/>
      <c r="J39" s="207"/>
      <c r="K39" s="684"/>
    </row>
    <row r="40" spans="1:11">
      <c r="A40" s="715"/>
      <c r="B40" s="201"/>
      <c r="C40" s="202"/>
      <c r="D40" s="202"/>
      <c r="E40" s="202"/>
      <c r="F40" s="202"/>
      <c r="G40" s="202"/>
      <c r="H40" s="202"/>
      <c r="I40" s="202"/>
      <c r="J40" s="207"/>
      <c r="K40" s="684"/>
    </row>
    <row r="41" spans="1:11">
      <c r="A41" s="715"/>
      <c r="B41" s="201"/>
      <c r="C41" s="202"/>
      <c r="D41" s="202"/>
      <c r="E41" s="202"/>
      <c r="F41" s="202"/>
      <c r="G41" s="202"/>
      <c r="H41" s="202"/>
      <c r="I41" s="202"/>
      <c r="J41" s="207"/>
      <c r="K41" s="684"/>
    </row>
    <row r="42" spans="1:11">
      <c r="A42" s="715"/>
      <c r="B42" s="201"/>
      <c r="C42" s="202"/>
      <c r="D42" s="202"/>
      <c r="E42" s="202"/>
      <c r="F42" s="202"/>
      <c r="G42" s="202"/>
      <c r="H42" s="202"/>
      <c r="I42" s="202"/>
      <c r="J42" s="207"/>
      <c r="K42" s="684"/>
    </row>
    <row r="43" spans="1:11">
      <c r="A43" s="715"/>
      <c r="B43" s="201"/>
      <c r="C43" s="202"/>
      <c r="D43" s="202"/>
      <c r="E43" s="202"/>
      <c r="F43" s="202"/>
      <c r="G43" s="202"/>
      <c r="H43" s="202"/>
      <c r="I43" s="202"/>
      <c r="J43" s="207"/>
      <c r="K43" s="684"/>
    </row>
    <row r="44" spans="1:11">
      <c r="A44" s="715"/>
      <c r="B44" s="201"/>
      <c r="C44" s="202"/>
      <c r="D44" s="202"/>
      <c r="E44" s="202"/>
      <c r="F44" s="202"/>
      <c r="G44" s="202"/>
      <c r="H44" s="202"/>
      <c r="I44" s="202"/>
      <c r="J44" s="207"/>
      <c r="K44" s="684"/>
    </row>
    <row r="45" spans="1:11">
      <c r="A45" s="715"/>
      <c r="B45" s="201"/>
      <c r="C45" s="201"/>
      <c r="D45" s="202"/>
      <c r="E45" s="202"/>
      <c r="F45" s="202"/>
      <c r="G45" s="202"/>
      <c r="H45" s="202"/>
      <c r="I45" s="202"/>
      <c r="J45" s="207"/>
      <c r="K45" s="684"/>
    </row>
    <row r="46" spans="1:11">
      <c r="A46" s="715"/>
      <c r="B46" s="201"/>
      <c r="C46" s="201"/>
      <c r="D46" s="202"/>
      <c r="E46" s="202"/>
      <c r="F46" s="202"/>
      <c r="G46" s="202"/>
      <c r="H46" s="202"/>
      <c r="I46" s="202"/>
      <c r="J46" s="207"/>
      <c r="K46" s="684"/>
    </row>
    <row r="47" spans="1:11">
      <c r="A47" s="714"/>
      <c r="B47" s="201"/>
      <c r="C47" s="201"/>
      <c r="D47" s="202"/>
      <c r="E47" s="202"/>
      <c r="F47" s="202"/>
      <c r="G47" s="202"/>
      <c r="H47" s="202"/>
      <c r="I47" s="202"/>
      <c r="J47" s="207"/>
      <c r="K47" s="684"/>
    </row>
    <row r="48" spans="1:11">
      <c r="A48" s="695"/>
      <c r="B48" s="201"/>
      <c r="C48" s="201"/>
      <c r="D48" s="202"/>
      <c r="E48" s="202"/>
      <c r="F48" s="202"/>
      <c r="G48" s="202"/>
      <c r="H48" s="202"/>
      <c r="I48" s="202"/>
      <c r="J48" s="207"/>
      <c r="K48" s="684"/>
    </row>
    <row r="49" spans="1:11">
      <c r="A49" s="695"/>
      <c r="B49" s="201"/>
      <c r="C49" s="201"/>
      <c r="D49" s="202"/>
      <c r="E49" s="202"/>
      <c r="F49" s="202"/>
      <c r="G49" s="202"/>
      <c r="H49" s="202"/>
      <c r="I49" s="202"/>
      <c r="J49" s="207"/>
      <c r="K49" s="684"/>
    </row>
    <row r="50" spans="1:11" ht="15.75">
      <c r="A50" s="695"/>
      <c r="B50" s="201"/>
      <c r="C50" s="700"/>
      <c r="D50" s="700"/>
      <c r="E50" s="202"/>
      <c r="F50" s="202"/>
      <c r="G50" s="202"/>
      <c r="H50" s="202"/>
      <c r="I50" s="202"/>
      <c r="J50" s="207"/>
      <c r="K50" s="684"/>
    </row>
    <row r="51" spans="1:11" hidden="1">
      <c r="A51" s="695"/>
      <c r="B51" s="201"/>
      <c r="C51" s="201"/>
      <c r="D51" s="202"/>
      <c r="E51" s="202"/>
      <c r="F51" s="202"/>
      <c r="G51" s="202"/>
      <c r="H51" s="202"/>
      <c r="I51" s="202"/>
      <c r="J51" s="207"/>
      <c r="K51" s="684"/>
    </row>
    <row r="52" spans="1:11" hidden="1">
      <c r="A52" s="695"/>
      <c r="B52" s="201"/>
      <c r="C52" s="201"/>
      <c r="D52" s="202"/>
      <c r="E52" s="202"/>
      <c r="F52" s="202"/>
      <c r="G52" s="202"/>
      <c r="H52" s="202"/>
      <c r="I52" s="202"/>
      <c r="J52" s="207"/>
      <c r="K52" s="684"/>
    </row>
    <row r="53" spans="1:11" hidden="1">
      <c r="A53" s="695"/>
      <c r="B53" s="201"/>
      <c r="C53" s="201"/>
      <c r="D53" s="202"/>
      <c r="E53" s="202"/>
      <c r="F53" s="202"/>
      <c r="G53" s="202"/>
      <c r="H53" s="202"/>
      <c r="I53" s="202"/>
      <c r="J53" s="207"/>
      <c r="K53" s="684"/>
    </row>
    <row r="54" spans="1:11">
      <c r="A54" s="695"/>
      <c r="B54" s="201"/>
      <c r="C54" s="201"/>
      <c r="D54" s="202"/>
      <c r="E54" s="202"/>
      <c r="F54" s="202"/>
      <c r="G54" s="202"/>
      <c r="H54" s="202"/>
      <c r="I54" s="202"/>
      <c r="J54" s="207"/>
      <c r="K54" s="684"/>
    </row>
    <row r="55" spans="1:11">
      <c r="A55" s="695"/>
      <c r="B55" s="701"/>
      <c r="C55" s="701"/>
      <c r="D55" s="702"/>
      <c r="E55" s="702"/>
      <c r="F55" s="702"/>
      <c r="G55" s="702"/>
      <c r="H55" s="702"/>
      <c r="I55" s="702"/>
      <c r="J55" s="703"/>
      <c r="K55" s="704"/>
    </row>
    <row r="56" spans="1:11" ht="16.5" hidden="1" customHeight="1" thickBot="1">
      <c r="A56" s="695">
        <f t="shared" ref="A56" si="0">A55+1</f>
        <v>1</v>
      </c>
      <c r="B56" s="696"/>
      <c r="C56" s="696"/>
      <c r="D56" s="696"/>
      <c r="E56" s="696"/>
      <c r="F56" s="696"/>
      <c r="G56" s="696"/>
      <c r="H56" s="696"/>
      <c r="I56" s="696"/>
      <c r="J56" s="705"/>
      <c r="K56" s="706">
        <f>J56*G56</f>
        <v>0</v>
      </c>
    </row>
    <row r="57" spans="1:11" ht="15.75" thickBot="1">
      <c r="A57" s="1175" t="s">
        <v>262</v>
      </c>
      <c r="B57" s="1176"/>
      <c r="C57" s="1176"/>
      <c r="D57" s="1176"/>
      <c r="E57" s="1176"/>
      <c r="F57" s="1176"/>
      <c r="G57" s="1176"/>
      <c r="H57" s="1176"/>
      <c r="I57" s="1176"/>
      <c r="J57" s="1177"/>
      <c r="K57" s="692">
        <f>SUM(K35:K56)</f>
        <v>0</v>
      </c>
    </row>
    <row r="58" spans="1:11" ht="15.75" thickTop="1">
      <c r="A58" s="600"/>
      <c r="B58" s="561"/>
      <c r="C58" s="561"/>
      <c r="D58" s="561"/>
      <c r="E58" s="561"/>
      <c r="F58" s="561"/>
      <c r="G58" s="561"/>
      <c r="H58" s="561"/>
      <c r="I58" s="561"/>
      <c r="J58" s="707"/>
      <c r="K58" s="561"/>
    </row>
    <row r="59" spans="1:11">
      <c r="K59" s="192">
        <f>K57+K32</f>
        <v>0</v>
      </c>
    </row>
  </sheetData>
  <mergeCells count="15">
    <mergeCell ref="A1:B2"/>
    <mergeCell ref="A3:B4"/>
    <mergeCell ref="C1:G2"/>
    <mergeCell ref="J1:K1"/>
    <mergeCell ref="J2:K2"/>
    <mergeCell ref="J3:K3"/>
    <mergeCell ref="J4:K4"/>
    <mergeCell ref="C3:G3"/>
    <mergeCell ref="C4:G4"/>
    <mergeCell ref="A33:K33"/>
    <mergeCell ref="A57:J57"/>
    <mergeCell ref="A5:K5"/>
    <mergeCell ref="A6:K6"/>
    <mergeCell ref="A8:K8"/>
    <mergeCell ref="A32:J32"/>
  </mergeCells>
  <pageMargins left="0.7" right="0.45" top="0.25" bottom="0" header="0.3" footer="0.3"/>
  <pageSetup scale="82" orientation="portrait" r:id="rId1"/>
  <headerFooter>
    <oddFooter>&amp;RPage&amp;P of &amp;N</oddFooter>
  </headerFooter>
  <drawing r:id="rId2"/>
  <legacyDrawing r:id="rId3"/>
  <oleObjects>
    <mc:AlternateContent xmlns:mc="http://schemas.openxmlformats.org/markup-compatibility/2006">
      <mc:Choice Requires="x14">
        <oleObject progId="PBrush" shapeId="17409" r:id="rId4">
          <objectPr defaultSize="0" autoPict="0" r:id="rId5">
            <anchor moveWithCells="1" sizeWithCells="1">
              <from>
                <xdr:col>1</xdr:col>
                <xdr:colOff>76200</xdr:colOff>
                <xdr:row>2</xdr:row>
                <xdr:rowOff>28575</xdr:rowOff>
              </from>
              <to>
                <xdr:col>1</xdr:col>
                <xdr:colOff>1190625</xdr:colOff>
                <xdr:row>3</xdr:row>
                <xdr:rowOff>523875</xdr:rowOff>
              </to>
            </anchor>
          </objectPr>
        </oleObject>
      </mc:Choice>
      <mc:Fallback>
        <oleObject progId="PBrush" shapeId="17409" r:id="rId4"/>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J28"/>
  <sheetViews>
    <sheetView workbookViewId="0">
      <selection activeCell="O19" sqref="O19"/>
    </sheetView>
  </sheetViews>
  <sheetFormatPr defaultRowHeight="15"/>
  <cols>
    <col min="1" max="1" width="5.42578125" customWidth="1"/>
    <col min="2" max="2" width="18" customWidth="1"/>
    <col min="3" max="3" width="15.5703125" customWidth="1"/>
    <col min="4" max="4" width="12.28515625" customWidth="1"/>
    <col min="8" max="8" width="14" customWidth="1"/>
    <col min="9" max="9" width="19" customWidth="1"/>
    <col min="10" max="10" width="22" customWidth="1"/>
  </cols>
  <sheetData>
    <row r="1" spans="1:10" ht="25.5" customHeight="1">
      <c r="A1" s="1207" t="s">
        <v>336</v>
      </c>
      <c r="B1" s="1208"/>
      <c r="C1" s="1209"/>
      <c r="D1" s="1213" t="s">
        <v>332</v>
      </c>
      <c r="E1" s="1213"/>
      <c r="F1" s="1213"/>
      <c r="G1" s="1213"/>
      <c r="H1" s="1213"/>
      <c r="I1" s="1215" t="s">
        <v>334</v>
      </c>
      <c r="J1" s="1216"/>
    </row>
    <row r="2" spans="1:10" ht="15.75">
      <c r="A2" s="1210"/>
      <c r="B2" s="1211"/>
      <c r="C2" s="1212"/>
      <c r="D2" s="1214"/>
      <c r="E2" s="1214"/>
      <c r="F2" s="1214"/>
      <c r="G2" s="1214"/>
      <c r="H2" s="1214"/>
      <c r="I2" s="1217" t="s">
        <v>351</v>
      </c>
      <c r="J2" s="1218"/>
    </row>
    <row r="3" spans="1:10">
      <c r="A3" s="1219"/>
      <c r="B3" s="1220"/>
      <c r="C3" s="1220"/>
      <c r="D3" s="1223"/>
      <c r="E3" s="1224"/>
      <c r="F3" s="1224"/>
      <c r="G3" s="1224"/>
      <c r="H3" s="1225"/>
      <c r="I3" s="1226" t="s">
        <v>339</v>
      </c>
      <c r="J3" s="1227"/>
    </row>
    <row r="4" spans="1:10" ht="48.75" customHeight="1" thickBot="1">
      <c r="A4" s="1221"/>
      <c r="B4" s="1222"/>
      <c r="C4" s="1222"/>
      <c r="D4" s="1228" t="s">
        <v>364</v>
      </c>
      <c r="E4" s="1229"/>
      <c r="F4" s="1229"/>
      <c r="G4" s="1229"/>
      <c r="H4" s="1230"/>
      <c r="I4" s="1231">
        <v>1</v>
      </c>
      <c r="J4" s="1232"/>
    </row>
    <row r="5" spans="1:10">
      <c r="A5" s="1236" t="s">
        <v>33</v>
      </c>
      <c r="B5" s="1236"/>
      <c r="C5" s="1236"/>
      <c r="D5" s="1236"/>
      <c r="E5" s="1236"/>
      <c r="F5" s="1236"/>
      <c r="G5" s="1236"/>
      <c r="H5" s="1236"/>
      <c r="I5" s="1236"/>
      <c r="J5" s="1236"/>
    </row>
    <row r="6" spans="1:10" ht="15.75" thickBot="1">
      <c r="A6" s="1237" t="str">
        <f>'[74]1-b Income VS Expence'!B4</f>
        <v>Week period from______ To _________</v>
      </c>
      <c r="B6" s="1237"/>
      <c r="C6" s="1237"/>
      <c r="D6" s="1237"/>
      <c r="E6" s="316"/>
      <c r="F6" s="316"/>
      <c r="G6" s="317"/>
      <c r="H6" s="318"/>
      <c r="I6" s="318"/>
      <c r="J6" s="317"/>
    </row>
    <row r="7" spans="1:10" ht="15.75" thickTop="1">
      <c r="A7" s="1238" t="s">
        <v>263</v>
      </c>
      <c r="B7" s="1240" t="s">
        <v>264</v>
      </c>
      <c r="C7" s="1242" t="s">
        <v>265</v>
      </c>
      <c r="D7" s="1244" t="s">
        <v>266</v>
      </c>
      <c r="E7" s="1244" t="s">
        <v>267</v>
      </c>
      <c r="F7" s="1244" t="s">
        <v>268</v>
      </c>
      <c r="G7" s="1246" t="s">
        <v>269</v>
      </c>
      <c r="H7" s="1233" t="s">
        <v>270</v>
      </c>
      <c r="I7" s="1233" t="s">
        <v>271</v>
      </c>
      <c r="J7" s="1235" t="s">
        <v>272</v>
      </c>
    </row>
    <row r="8" spans="1:10" ht="24" customHeight="1" thickBot="1">
      <c r="A8" s="1239"/>
      <c r="B8" s="1241"/>
      <c r="C8" s="1243"/>
      <c r="D8" s="1245"/>
      <c r="E8" s="1245"/>
      <c r="F8" s="1245"/>
      <c r="G8" s="1247"/>
      <c r="H8" s="1234"/>
      <c r="I8" s="1234"/>
      <c r="J8" s="1235"/>
    </row>
    <row r="9" spans="1:10" ht="16.5" thickTop="1">
      <c r="A9" s="319"/>
      <c r="B9" s="320"/>
      <c r="C9" s="321"/>
      <c r="D9" s="322"/>
      <c r="E9" s="322"/>
      <c r="F9" s="322"/>
      <c r="G9" s="323"/>
      <c r="H9" s="323"/>
      <c r="I9" s="324"/>
      <c r="J9" s="721"/>
    </row>
    <row r="10" spans="1:10" ht="15.75">
      <c r="A10" s="325"/>
      <c r="B10" s="326"/>
      <c r="C10" s="327"/>
      <c r="D10" s="328"/>
      <c r="E10" s="328"/>
      <c r="F10" s="328"/>
      <c r="G10" s="329"/>
      <c r="H10" s="329"/>
      <c r="I10" s="330"/>
      <c r="J10" s="721"/>
    </row>
    <row r="11" spans="1:10" ht="15.75">
      <c r="A11" s="325"/>
      <c r="B11" s="326"/>
      <c r="C11" s="327"/>
      <c r="D11" s="328"/>
      <c r="E11" s="328"/>
      <c r="F11" s="328"/>
      <c r="G11" s="329"/>
      <c r="H11" s="329"/>
      <c r="I11" s="330"/>
      <c r="J11" s="721"/>
    </row>
    <row r="12" spans="1:10" ht="15.75">
      <c r="A12" s="325"/>
      <c r="B12" s="326"/>
      <c r="C12" s="327"/>
      <c r="D12" s="328"/>
      <c r="E12" s="328"/>
      <c r="F12" s="328"/>
      <c r="G12" s="329"/>
      <c r="H12" s="329"/>
      <c r="I12" s="330"/>
      <c r="J12" s="721"/>
    </row>
    <row r="13" spans="1:10" ht="15.75">
      <c r="A13" s="325"/>
      <c r="B13" s="326"/>
      <c r="C13" s="327"/>
      <c r="D13" s="328"/>
      <c r="E13" s="328"/>
      <c r="F13" s="328"/>
      <c r="G13" s="329"/>
      <c r="H13" s="329"/>
      <c r="I13" s="330"/>
      <c r="J13" s="721"/>
    </row>
    <row r="14" spans="1:10" ht="15.75">
      <c r="A14" s="325"/>
      <c r="B14" s="326"/>
      <c r="C14" s="327"/>
      <c r="D14" s="328"/>
      <c r="E14" s="328"/>
      <c r="F14" s="328"/>
      <c r="G14" s="329"/>
      <c r="H14" s="329"/>
      <c r="I14" s="330"/>
      <c r="J14" s="721"/>
    </row>
    <row r="15" spans="1:10" ht="15.75">
      <c r="A15" s="325"/>
      <c r="B15" s="326"/>
      <c r="C15" s="327"/>
      <c r="D15" s="328"/>
      <c r="E15" s="328"/>
      <c r="F15" s="328"/>
      <c r="G15" s="329"/>
      <c r="H15" s="329"/>
      <c r="I15" s="330"/>
      <c r="J15" s="721"/>
    </row>
    <row r="16" spans="1:10" ht="15.75">
      <c r="A16" s="325"/>
      <c r="B16" s="326"/>
      <c r="C16" s="327"/>
      <c r="D16" s="328"/>
      <c r="E16" s="328"/>
      <c r="F16" s="328"/>
      <c r="G16" s="329"/>
      <c r="H16" s="329"/>
      <c r="I16" s="330"/>
      <c r="J16" s="721"/>
    </row>
    <row r="17" spans="1:10" ht="15.75">
      <c r="A17" s="325"/>
      <c r="B17" s="326"/>
      <c r="C17" s="327"/>
      <c r="D17" s="328"/>
      <c r="E17" s="328"/>
      <c r="F17" s="328"/>
      <c r="G17" s="329"/>
      <c r="H17" s="329"/>
      <c r="I17" s="330"/>
      <c r="J17" s="721"/>
    </row>
    <row r="18" spans="1:10" ht="15.75">
      <c r="A18" s="716"/>
      <c r="B18" s="717"/>
      <c r="C18" s="718"/>
      <c r="D18" s="719"/>
      <c r="E18" s="719"/>
      <c r="F18" s="719"/>
      <c r="G18" s="331"/>
      <c r="H18" s="331"/>
      <c r="I18" s="720"/>
      <c r="J18" s="722"/>
    </row>
    <row r="19" spans="1:10" ht="15.75">
      <c r="A19" s="716"/>
      <c r="B19" s="717"/>
      <c r="C19" s="718"/>
      <c r="D19" s="719"/>
      <c r="E19" s="719"/>
      <c r="F19" s="719"/>
      <c r="G19" s="331"/>
      <c r="H19" s="331"/>
      <c r="I19" s="720"/>
      <c r="J19" s="722"/>
    </row>
    <row r="20" spans="1:10" ht="15.75">
      <c r="A20" s="716"/>
      <c r="B20" s="717"/>
      <c r="C20" s="718"/>
      <c r="D20" s="719"/>
      <c r="E20" s="719"/>
      <c r="F20" s="719"/>
      <c r="G20" s="331"/>
      <c r="H20" s="331"/>
      <c r="I20" s="720"/>
      <c r="J20" s="722"/>
    </row>
    <row r="21" spans="1:10" ht="15.75">
      <c r="A21" s="716"/>
      <c r="B21" s="717"/>
      <c r="C21" s="718"/>
      <c r="D21" s="719"/>
      <c r="E21" s="719"/>
      <c r="F21" s="719"/>
      <c r="G21" s="331"/>
      <c r="H21" s="331"/>
      <c r="I21" s="720"/>
      <c r="J21" s="722"/>
    </row>
    <row r="22" spans="1:10" ht="15.75">
      <c r="A22" s="716"/>
      <c r="B22" s="717"/>
      <c r="C22" s="718"/>
      <c r="D22" s="719"/>
      <c r="E22" s="719"/>
      <c r="F22" s="719"/>
      <c r="G22" s="331"/>
      <c r="H22" s="331"/>
      <c r="I22" s="720"/>
      <c r="J22" s="722"/>
    </row>
    <row r="23" spans="1:10" ht="15.75">
      <c r="A23" s="716"/>
      <c r="B23" s="717"/>
      <c r="C23" s="718"/>
      <c r="D23" s="719"/>
      <c r="E23" s="719"/>
      <c r="F23" s="719"/>
      <c r="G23" s="331"/>
      <c r="H23" s="331"/>
      <c r="I23" s="720"/>
      <c r="J23" s="722"/>
    </row>
    <row r="24" spans="1:10" ht="15.75">
      <c r="A24" s="716"/>
      <c r="B24" s="717"/>
      <c r="C24" s="718"/>
      <c r="D24" s="719"/>
      <c r="E24" s="719"/>
      <c r="F24" s="719"/>
      <c r="G24" s="331"/>
      <c r="H24" s="331"/>
      <c r="I24" s="720"/>
      <c r="J24" s="722"/>
    </row>
    <row r="25" spans="1:10" ht="15.75">
      <c r="A25" s="716"/>
      <c r="B25" s="717"/>
      <c r="C25" s="718"/>
      <c r="D25" s="719"/>
      <c r="E25" s="719"/>
      <c r="F25" s="719"/>
      <c r="G25" s="331"/>
      <c r="H25" s="331"/>
      <c r="I25" s="720"/>
      <c r="J25" s="722"/>
    </row>
    <row r="26" spans="1:10" ht="15.75">
      <c r="A26" s="716"/>
      <c r="B26" s="717"/>
      <c r="C26" s="718"/>
      <c r="D26" s="331"/>
      <c r="E26" s="331"/>
      <c r="F26" s="331"/>
      <c r="G26" s="331"/>
      <c r="H26" s="331"/>
      <c r="I26" s="720"/>
      <c r="J26" s="723"/>
    </row>
    <row r="27" spans="1:10" ht="15.75">
      <c r="A27" s="724"/>
      <c r="B27" s="725"/>
      <c r="C27" s="726"/>
      <c r="D27" s="727"/>
      <c r="E27" s="727"/>
      <c r="F27" s="727"/>
      <c r="G27" s="727"/>
      <c r="H27" s="727"/>
      <c r="I27" s="728"/>
      <c r="J27" s="729"/>
    </row>
    <row r="28" spans="1:10" ht="15.75">
      <c r="A28" s="730"/>
      <c r="B28" s="731"/>
      <c r="C28" s="732"/>
      <c r="D28" s="733"/>
      <c r="E28" s="733"/>
      <c r="F28" s="733"/>
      <c r="G28" s="733"/>
      <c r="H28" s="733"/>
      <c r="I28" s="734"/>
      <c r="J28" s="723"/>
    </row>
  </sheetData>
  <mergeCells count="21">
    <mergeCell ref="I7:I8"/>
    <mergeCell ref="J7:J8"/>
    <mergeCell ref="A5:J5"/>
    <mergeCell ref="A6:D6"/>
    <mergeCell ref="A7:A8"/>
    <mergeCell ref="B7:B8"/>
    <mergeCell ref="C7:C8"/>
    <mergeCell ref="D7:D8"/>
    <mergeCell ref="E7:E8"/>
    <mergeCell ref="F7:F8"/>
    <mergeCell ref="G7:G8"/>
    <mergeCell ref="H7:H8"/>
    <mergeCell ref="A1:C2"/>
    <mergeCell ref="D1:H2"/>
    <mergeCell ref="I1:J1"/>
    <mergeCell ref="I2:J2"/>
    <mergeCell ref="A3:C4"/>
    <mergeCell ref="D3:H3"/>
    <mergeCell ref="I3:J3"/>
    <mergeCell ref="D4:H4"/>
    <mergeCell ref="I4:J4"/>
  </mergeCells>
  <pageMargins left="0" right="0" top="0.75" bottom="0.75" header="0.3" footer="0.3"/>
  <pageSetup orientation="landscape" r:id="rId1"/>
  <drawing r:id="rId2"/>
  <legacyDrawing r:id="rId3"/>
  <oleObjects>
    <mc:AlternateContent xmlns:mc="http://schemas.openxmlformats.org/markup-compatibility/2006">
      <mc:Choice Requires="x14">
        <oleObject progId="PBrush" shapeId="66561" r:id="rId4">
          <objectPr defaultSize="0" autoPict="0" r:id="rId5">
            <anchor moveWithCells="1" sizeWithCells="1">
              <from>
                <xdr:col>1</xdr:col>
                <xdr:colOff>0</xdr:colOff>
                <xdr:row>2</xdr:row>
                <xdr:rowOff>47625</xdr:rowOff>
              </from>
              <to>
                <xdr:col>2</xdr:col>
                <xdr:colOff>152400</xdr:colOff>
                <xdr:row>3</xdr:row>
                <xdr:rowOff>609600</xdr:rowOff>
              </to>
            </anchor>
          </objectPr>
        </oleObject>
      </mc:Choice>
      <mc:Fallback>
        <oleObject progId="PBrush" shapeId="66561" r:id="rId4"/>
      </mc:Fallback>
    </mc:AlternateContent>
  </oleObjec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249977111117893"/>
  </sheetPr>
  <dimension ref="A1:I32"/>
  <sheetViews>
    <sheetView topLeftCell="A4" workbookViewId="0">
      <selection activeCell="M26" sqref="M26"/>
    </sheetView>
  </sheetViews>
  <sheetFormatPr defaultRowHeight="15"/>
  <cols>
    <col min="6" max="6" width="16.85546875" customWidth="1"/>
    <col min="8" max="8" width="16.42578125" customWidth="1"/>
    <col min="9" max="9" width="22" customWidth="1"/>
  </cols>
  <sheetData>
    <row r="1" spans="1:9" ht="15.75" thickBot="1"/>
    <row r="2" spans="1:9" ht="15" customHeight="1">
      <c r="A2" s="1274" t="s">
        <v>336</v>
      </c>
      <c r="B2" s="1275"/>
      <c r="C2" s="1276"/>
      <c r="D2" s="1280" t="s">
        <v>332</v>
      </c>
      <c r="E2" s="1280"/>
      <c r="F2" s="1280"/>
      <c r="G2" s="1280"/>
      <c r="H2" s="1282" t="s">
        <v>334</v>
      </c>
      <c r="I2" s="1283"/>
    </row>
    <row r="3" spans="1:9" ht="15" customHeight="1">
      <c r="A3" s="1277"/>
      <c r="B3" s="1278"/>
      <c r="C3" s="1279"/>
      <c r="D3" s="1281"/>
      <c r="E3" s="1281"/>
      <c r="F3" s="1281"/>
      <c r="G3" s="1281"/>
      <c r="H3" s="1284" t="s">
        <v>352</v>
      </c>
      <c r="I3" s="1285"/>
    </row>
    <row r="4" spans="1:9" ht="15.75">
      <c r="A4" s="1286"/>
      <c r="B4" s="1192"/>
      <c r="C4" s="1192"/>
      <c r="D4" s="1288"/>
      <c r="E4" s="1288"/>
      <c r="F4" s="1288"/>
      <c r="G4" s="1288"/>
      <c r="H4" s="1289" t="s">
        <v>339</v>
      </c>
      <c r="I4" s="1290"/>
    </row>
    <row r="5" spans="1:9" ht="45.75" customHeight="1" thickBot="1">
      <c r="A5" s="1287"/>
      <c r="B5" s="1199"/>
      <c r="C5" s="1199"/>
      <c r="D5" s="1204" t="s">
        <v>365</v>
      </c>
      <c r="E5" s="1205"/>
      <c r="F5" s="1205"/>
      <c r="G5" s="1206"/>
      <c r="H5" s="1291">
        <v>1</v>
      </c>
      <c r="I5" s="1292"/>
    </row>
    <row r="6" spans="1:9" ht="15.75">
      <c r="A6" s="1178" t="s">
        <v>33</v>
      </c>
      <c r="B6" s="1178"/>
      <c r="C6" s="1178"/>
      <c r="D6" s="1178"/>
      <c r="E6" s="1178"/>
      <c r="F6" s="1178"/>
      <c r="G6" s="1178"/>
      <c r="H6" s="1178"/>
      <c r="I6" s="1178"/>
    </row>
    <row r="7" spans="1:9" ht="15.75" thickBot="1">
      <c r="A7" s="1256" t="s">
        <v>370</v>
      </c>
      <c r="B7" s="1256"/>
      <c r="C7" s="1256"/>
      <c r="D7" s="1256"/>
      <c r="E7" s="1256"/>
      <c r="F7" s="1256"/>
      <c r="G7" s="1256"/>
      <c r="H7" s="1256"/>
      <c r="I7" s="1256"/>
    </row>
    <row r="8" spans="1:9" ht="15.75" thickTop="1">
      <c r="A8" s="1257" t="s">
        <v>141</v>
      </c>
      <c r="B8" s="1260" t="s">
        <v>227</v>
      </c>
      <c r="C8" s="1260" t="s">
        <v>228</v>
      </c>
      <c r="D8" s="1260" t="s">
        <v>273</v>
      </c>
      <c r="E8" s="1263" t="s">
        <v>274</v>
      </c>
      <c r="F8" s="1266" t="s">
        <v>275</v>
      </c>
      <c r="G8" s="1269" t="s">
        <v>276</v>
      </c>
      <c r="H8" s="1269"/>
      <c r="I8" s="1270" t="s">
        <v>277</v>
      </c>
    </row>
    <row r="9" spans="1:9">
      <c r="A9" s="1258"/>
      <c r="B9" s="1261"/>
      <c r="C9" s="1261"/>
      <c r="D9" s="1261"/>
      <c r="E9" s="1264"/>
      <c r="F9" s="1267"/>
      <c r="G9" s="1273" t="s">
        <v>278</v>
      </c>
      <c r="H9" s="1273"/>
      <c r="I9" s="1271"/>
    </row>
    <row r="10" spans="1:9" ht="15.75" thickBot="1">
      <c r="A10" s="1259"/>
      <c r="B10" s="1262"/>
      <c r="C10" s="1262"/>
      <c r="D10" s="1262"/>
      <c r="E10" s="1265"/>
      <c r="F10" s="1268"/>
      <c r="G10" s="193" t="s">
        <v>152</v>
      </c>
      <c r="H10" s="193" t="s">
        <v>279</v>
      </c>
      <c r="I10" s="1272"/>
    </row>
    <row r="11" spans="1:9" ht="16.5" thickTop="1" thickBot="1">
      <c r="A11" s="1248" t="s">
        <v>280</v>
      </c>
      <c r="B11" s="1248"/>
      <c r="C11" s="1248"/>
      <c r="D11" s="1248"/>
      <c r="E11" s="1248"/>
      <c r="F11" s="1248"/>
      <c r="G11" s="1248"/>
      <c r="H11" s="1248"/>
      <c r="I11" s="1248"/>
    </row>
    <row r="12" spans="1:9" ht="15.75" thickTop="1">
      <c r="A12" s="194"/>
      <c r="B12" s="195"/>
      <c r="C12" s="196"/>
      <c r="D12" s="197"/>
      <c r="E12" s="198"/>
      <c r="F12" s="199"/>
      <c r="G12" s="199"/>
      <c r="H12" s="199"/>
      <c r="I12" s="379"/>
    </row>
    <row r="13" spans="1:9">
      <c r="A13" s="200"/>
      <c r="B13" s="201"/>
      <c r="C13" s="202"/>
      <c r="D13" s="203"/>
      <c r="E13" s="204"/>
      <c r="F13" s="201"/>
      <c r="G13" s="205"/>
      <c r="H13" s="205"/>
      <c r="I13" s="381"/>
    </row>
    <row r="14" spans="1:9">
      <c r="A14" s="200"/>
      <c r="B14" s="201"/>
      <c r="C14" s="202"/>
      <c r="D14" s="203"/>
      <c r="E14" s="206"/>
      <c r="F14" s="201"/>
      <c r="G14" s="205"/>
      <c r="H14" s="205"/>
      <c r="I14" s="381"/>
    </row>
    <row r="15" spans="1:9">
      <c r="A15" s="200"/>
      <c r="B15" s="201"/>
      <c r="C15" s="202"/>
      <c r="D15" s="203"/>
      <c r="E15" s="204"/>
      <c r="F15" s="201"/>
      <c r="G15" s="205"/>
      <c r="H15" s="205"/>
      <c r="I15" s="381"/>
    </row>
    <row r="16" spans="1:9">
      <c r="A16" s="200"/>
      <c r="B16" s="201"/>
      <c r="C16" s="202"/>
      <c r="D16" s="203"/>
      <c r="E16" s="207"/>
      <c r="F16" s="201"/>
      <c r="G16" s="205"/>
      <c r="H16" s="205"/>
      <c r="I16" s="381"/>
    </row>
    <row r="17" spans="1:9">
      <c r="A17" s="200"/>
      <c r="B17" s="201"/>
      <c r="C17" s="202"/>
      <c r="D17" s="203"/>
      <c r="E17" s="207"/>
      <c r="F17" s="201"/>
      <c r="G17" s="205"/>
      <c r="H17" s="205"/>
      <c r="I17" s="381"/>
    </row>
    <row r="18" spans="1:9">
      <c r="A18" s="200"/>
      <c r="B18" s="201"/>
      <c r="C18" s="202"/>
      <c r="D18" s="203"/>
      <c r="E18" s="207"/>
      <c r="F18" s="201"/>
      <c r="G18" s="205"/>
      <c r="H18" s="205"/>
      <c r="I18" s="381"/>
    </row>
    <row r="19" spans="1:9">
      <c r="A19" s="208"/>
      <c r="B19" s="209"/>
      <c r="C19" s="210"/>
      <c r="D19" s="211"/>
      <c r="E19" s="212"/>
      <c r="F19" s="201"/>
      <c r="G19" s="205"/>
      <c r="H19" s="205"/>
      <c r="I19" s="380"/>
    </row>
    <row r="20" spans="1:9">
      <c r="A20" s="208"/>
      <c r="B20" s="210"/>
      <c r="C20" s="210"/>
      <c r="D20" s="211"/>
      <c r="E20" s="212"/>
      <c r="F20" s="201"/>
      <c r="G20" s="205"/>
      <c r="H20" s="205"/>
      <c r="I20" s="213"/>
    </row>
    <row r="21" spans="1:9">
      <c r="A21" s="208"/>
      <c r="B21" s="210"/>
      <c r="C21" s="210"/>
      <c r="D21" s="211"/>
      <c r="E21" s="212"/>
      <c r="F21" s="201"/>
      <c r="G21" s="205"/>
      <c r="H21" s="205"/>
      <c r="I21" s="213"/>
    </row>
    <row r="22" spans="1:9" ht="15.75" thickBot="1">
      <c r="A22" s="1249" t="s">
        <v>281</v>
      </c>
      <c r="B22" s="1250"/>
      <c r="C22" s="1250"/>
      <c r="D22" s="1250"/>
      <c r="E22" s="1250"/>
      <c r="F22" s="1250"/>
      <c r="G22" s="214"/>
      <c r="H22" s="215"/>
      <c r="I22" s="216"/>
    </row>
    <row r="23" spans="1:9" ht="17.25" thickTop="1" thickBot="1">
      <c r="A23" s="1251" t="s">
        <v>243</v>
      </c>
      <c r="B23" s="1252"/>
      <c r="C23" s="1252"/>
      <c r="D23" s="1252"/>
      <c r="E23" s="1252"/>
      <c r="F23" s="1252"/>
      <c r="G23" s="1252"/>
      <c r="H23" s="1252"/>
      <c r="I23" s="1253"/>
    </row>
    <row r="24" spans="1:9" ht="15.75" thickTop="1">
      <c r="A24" s="200"/>
      <c r="B24" s="201"/>
      <c r="C24" s="201"/>
      <c r="D24" s="202"/>
      <c r="E24" s="204"/>
      <c r="F24" s="217"/>
      <c r="G24" s="218"/>
      <c r="H24" s="218"/>
      <c r="I24" s="219"/>
    </row>
    <row r="25" spans="1:9">
      <c r="A25" s="200"/>
      <c r="B25" s="201"/>
      <c r="C25" s="201"/>
      <c r="D25" s="202"/>
      <c r="E25" s="204"/>
      <c r="F25" s="217"/>
      <c r="G25" s="218"/>
      <c r="H25" s="218"/>
      <c r="I25" s="219"/>
    </row>
    <row r="26" spans="1:9" ht="15.75" customHeight="1">
      <c r="A26" s="735"/>
      <c r="B26" s="201"/>
      <c r="C26" s="201"/>
      <c r="D26" s="202"/>
      <c r="E26" s="212"/>
      <c r="F26" s="217"/>
      <c r="G26" s="218"/>
      <c r="H26" s="218"/>
      <c r="I26" s="219"/>
    </row>
    <row r="27" spans="1:9" ht="15" customHeight="1">
      <c r="A27" s="673"/>
      <c r="B27" s="201"/>
      <c r="C27" s="201"/>
      <c r="D27" s="202"/>
      <c r="E27" s="212"/>
      <c r="F27" s="217"/>
      <c r="G27" s="218"/>
      <c r="H27" s="218"/>
      <c r="I27" s="219"/>
    </row>
    <row r="28" spans="1:9">
      <c r="A28" s="200"/>
      <c r="B28" s="201"/>
      <c r="C28" s="201"/>
      <c r="D28" s="202"/>
      <c r="E28" s="207"/>
      <c r="F28" s="217"/>
      <c r="G28" s="218"/>
      <c r="H28" s="218"/>
      <c r="I28" s="219"/>
    </row>
    <row r="29" spans="1:9" ht="15.75">
      <c r="A29" s="220"/>
      <c r="B29" s="201"/>
      <c r="C29" s="201"/>
      <c r="D29" s="202"/>
      <c r="E29" s="207"/>
      <c r="F29" s="217"/>
      <c r="G29" s="218"/>
      <c r="H29" s="218"/>
      <c r="I29" s="219"/>
    </row>
    <row r="30" spans="1:9">
      <c r="A30" s="200"/>
      <c r="B30" s="201"/>
      <c r="C30" s="201"/>
      <c r="D30" s="202"/>
      <c r="E30" s="207"/>
      <c r="F30" s="217"/>
      <c r="G30" s="218"/>
      <c r="H30" s="218"/>
      <c r="I30" s="219"/>
    </row>
    <row r="31" spans="1:9" ht="15.75" thickBot="1">
      <c r="A31" s="1254" t="s">
        <v>282</v>
      </c>
      <c r="B31" s="1255"/>
      <c r="C31" s="1255"/>
      <c r="D31" s="1255"/>
      <c r="E31" s="1255"/>
      <c r="F31" s="1255"/>
      <c r="G31" s="221"/>
      <c r="H31" s="222"/>
      <c r="I31" s="223"/>
    </row>
    <row r="32" spans="1:9" ht="15.75" thickTop="1"/>
  </sheetData>
  <mergeCells count="24">
    <mergeCell ref="A2:C3"/>
    <mergeCell ref="D2:G3"/>
    <mergeCell ref="H2:I2"/>
    <mergeCell ref="H3:I3"/>
    <mergeCell ref="A4:C5"/>
    <mergeCell ref="D4:G4"/>
    <mergeCell ref="H4:I4"/>
    <mergeCell ref="D5:G5"/>
    <mergeCell ref="H5:I5"/>
    <mergeCell ref="A11:I11"/>
    <mergeCell ref="A22:F22"/>
    <mergeCell ref="A23:I23"/>
    <mergeCell ref="A31:F31"/>
    <mergeCell ref="A6:I6"/>
    <mergeCell ref="A7:I7"/>
    <mergeCell ref="A8:A10"/>
    <mergeCell ref="B8:B10"/>
    <mergeCell ref="C8:C10"/>
    <mergeCell ref="D8:D10"/>
    <mergeCell ref="E8:E10"/>
    <mergeCell ref="F8:F10"/>
    <mergeCell ref="G8:H8"/>
    <mergeCell ref="I8:I10"/>
    <mergeCell ref="G9:H9"/>
  </mergeCells>
  <pageMargins left="0.7" right="0.97" top="0.75" bottom="0.75" header="0.3" footer="0.3"/>
  <pageSetup orientation="landscape" r:id="rId1"/>
  <drawing r:id="rId2"/>
  <legacyDrawing r:id="rId3"/>
  <oleObjects>
    <mc:AlternateContent xmlns:mc="http://schemas.openxmlformats.org/markup-compatibility/2006">
      <mc:Choice Requires="x14">
        <oleObject progId="PBrush" shapeId="47105" r:id="rId4">
          <objectPr defaultSize="0" autoPict="0" r:id="rId5">
            <anchor moveWithCells="1" sizeWithCells="1">
              <from>
                <xdr:col>0</xdr:col>
                <xdr:colOff>0</xdr:colOff>
                <xdr:row>3</xdr:row>
                <xdr:rowOff>38100</xdr:rowOff>
              </from>
              <to>
                <xdr:col>0</xdr:col>
                <xdr:colOff>0</xdr:colOff>
                <xdr:row>4</xdr:row>
                <xdr:rowOff>152400</xdr:rowOff>
              </to>
            </anchor>
          </objectPr>
        </oleObject>
      </mc:Choice>
      <mc:Fallback>
        <oleObject progId="PBrush" shapeId="47105" r:id="rId4"/>
      </mc:Fallback>
    </mc:AlternateContent>
    <mc:AlternateContent xmlns:mc="http://schemas.openxmlformats.org/markup-compatibility/2006">
      <mc:Choice Requires="x14">
        <oleObject progId="PBrush" shapeId="47106" r:id="rId6">
          <objectPr defaultSize="0" autoPict="0" r:id="rId5">
            <anchor moveWithCells="1" sizeWithCells="1">
              <from>
                <xdr:col>0</xdr:col>
                <xdr:colOff>323850</xdr:colOff>
                <xdr:row>3</xdr:row>
                <xdr:rowOff>38100</xdr:rowOff>
              </from>
              <to>
                <xdr:col>2</xdr:col>
                <xdr:colOff>247650</xdr:colOff>
                <xdr:row>4</xdr:row>
                <xdr:rowOff>504825</xdr:rowOff>
              </to>
            </anchor>
          </objectPr>
        </oleObject>
      </mc:Choice>
      <mc:Fallback>
        <oleObject progId="PBrush" shapeId="47106" r:id="rId6"/>
      </mc:Fallback>
    </mc:AlternateContent>
  </oleObjec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Y30"/>
  <sheetViews>
    <sheetView workbookViewId="0">
      <selection activeCell="J20" sqref="J20"/>
    </sheetView>
  </sheetViews>
  <sheetFormatPr defaultRowHeight="15"/>
  <cols>
    <col min="1" max="1" width="3" customWidth="1"/>
    <col min="2" max="2" width="7.28515625" customWidth="1"/>
    <col min="3" max="3" width="6.85546875" customWidth="1"/>
    <col min="4" max="5" width="7" customWidth="1"/>
    <col min="6" max="6" width="6.140625" customWidth="1"/>
    <col min="7" max="7" width="7.140625" customWidth="1"/>
    <col min="8" max="8" width="7" customWidth="1"/>
    <col min="9" max="9" width="6.7109375" customWidth="1"/>
    <col min="10" max="10" width="6.28515625" customWidth="1"/>
    <col min="11" max="13" width="6.7109375" customWidth="1"/>
    <col min="14" max="14" width="6.28515625" customWidth="1"/>
    <col min="15" max="15" width="7.140625" customWidth="1"/>
    <col min="16" max="17" width="4.5703125" customWidth="1"/>
    <col min="18" max="18" width="4.7109375" customWidth="1"/>
    <col min="19" max="19" width="3.140625" customWidth="1"/>
    <col min="20" max="20" width="4.28515625" customWidth="1"/>
    <col min="21" max="21" width="2.7109375" customWidth="1"/>
    <col min="22" max="22" width="8" customWidth="1"/>
    <col min="23" max="23" width="4.42578125" customWidth="1"/>
  </cols>
  <sheetData>
    <row r="1" spans="1:25" ht="21.75" customHeight="1">
      <c r="A1" s="1293" t="s">
        <v>336</v>
      </c>
      <c r="B1" s="1293"/>
      <c r="C1" s="1293"/>
      <c r="D1" s="1293"/>
      <c r="E1" s="1293"/>
      <c r="F1" s="1293"/>
      <c r="G1" s="1293"/>
      <c r="H1" s="1281" t="s">
        <v>332</v>
      </c>
      <c r="I1" s="1281"/>
      <c r="J1" s="1281"/>
      <c r="K1" s="1281"/>
      <c r="L1" s="1281"/>
      <c r="M1" s="1281"/>
      <c r="N1" s="1281"/>
      <c r="O1" s="1281"/>
      <c r="P1" s="1281"/>
      <c r="Q1" s="1281"/>
      <c r="R1" s="1281"/>
      <c r="S1" s="1281"/>
      <c r="T1" s="1295" t="s">
        <v>334</v>
      </c>
      <c r="U1" s="1295"/>
      <c r="V1" s="1295"/>
      <c r="W1" s="1295"/>
    </row>
    <row r="2" spans="1:25" ht="15.75">
      <c r="A2" s="1293"/>
      <c r="B2" s="1293"/>
      <c r="C2" s="1293"/>
      <c r="D2" s="1293"/>
      <c r="E2" s="1293"/>
      <c r="F2" s="1293"/>
      <c r="G2" s="1293"/>
      <c r="H2" s="1294"/>
      <c r="I2" s="1294"/>
      <c r="J2" s="1294"/>
      <c r="K2" s="1294"/>
      <c r="L2" s="1294"/>
      <c r="M2" s="1294"/>
      <c r="N2" s="1294"/>
      <c r="O2" s="1294"/>
      <c r="P2" s="1294"/>
      <c r="Q2" s="1294"/>
      <c r="R2" s="1294"/>
      <c r="S2" s="1294"/>
      <c r="T2" s="1296" t="s">
        <v>353</v>
      </c>
      <c r="U2" s="1297"/>
      <c r="V2" s="1297"/>
      <c r="W2" s="1298"/>
    </row>
    <row r="3" spans="1:25" ht="18.75">
      <c r="A3" s="1299"/>
      <c r="B3" s="1299"/>
      <c r="C3" s="1299"/>
      <c r="D3" s="1299"/>
      <c r="E3" s="1299"/>
      <c r="F3" s="1299"/>
      <c r="G3" s="1300"/>
      <c r="H3" s="1301"/>
      <c r="I3" s="1302"/>
      <c r="J3" s="1302"/>
      <c r="K3" s="1302"/>
      <c r="L3" s="1302"/>
      <c r="M3" s="1302"/>
      <c r="N3" s="1302"/>
      <c r="O3" s="1302"/>
      <c r="P3" s="1302"/>
      <c r="Q3" s="1302"/>
      <c r="R3" s="1302"/>
      <c r="S3" s="1303"/>
      <c r="T3" s="1304" t="s">
        <v>334</v>
      </c>
      <c r="U3" s="1305"/>
      <c r="V3" s="1305"/>
      <c r="W3" s="1305"/>
    </row>
    <row r="4" spans="1:25" ht="42.75" customHeight="1">
      <c r="A4" s="1299"/>
      <c r="B4" s="1299"/>
      <c r="C4" s="1299"/>
      <c r="D4" s="1299"/>
      <c r="E4" s="1299"/>
      <c r="F4" s="1299"/>
      <c r="G4" s="1300"/>
      <c r="H4" s="1306" t="s">
        <v>366</v>
      </c>
      <c r="I4" s="1307"/>
      <c r="J4" s="1307"/>
      <c r="K4" s="1307"/>
      <c r="L4" s="1307"/>
      <c r="M4" s="1307"/>
      <c r="N4" s="1307"/>
      <c r="O4" s="1307"/>
      <c r="P4" s="1307"/>
      <c r="Q4" s="1307"/>
      <c r="R4" s="1307"/>
      <c r="S4" s="1308"/>
      <c r="T4" s="1309">
        <v>1</v>
      </c>
      <c r="U4" s="1192"/>
      <c r="V4" s="1192"/>
      <c r="W4" s="1192"/>
    </row>
    <row r="5" spans="1:25" ht="19.5" thickBot="1">
      <c r="A5" s="1315" t="s">
        <v>33</v>
      </c>
      <c r="B5" s="1315"/>
      <c r="C5" s="1315"/>
      <c r="D5" s="1315"/>
      <c r="E5" s="1315"/>
      <c r="F5" s="1315"/>
      <c r="G5" s="1315"/>
      <c r="H5" s="1315"/>
      <c r="I5" s="1315"/>
      <c r="J5" s="1315"/>
      <c r="K5" s="1315"/>
      <c r="L5" s="1315"/>
      <c r="M5" s="1315"/>
      <c r="N5" s="1315"/>
      <c r="O5" s="1315"/>
      <c r="P5" s="1315"/>
      <c r="Q5" s="1315"/>
      <c r="R5" s="1315"/>
      <c r="S5" s="1315"/>
      <c r="T5" s="1315"/>
      <c r="U5" s="1315"/>
      <c r="V5" s="1315"/>
      <c r="W5" s="1315"/>
    </row>
    <row r="6" spans="1:25" ht="16.5" thickTop="1" thickBot="1">
      <c r="A6" s="1316" t="s">
        <v>283</v>
      </c>
      <c r="B6" s="1317"/>
      <c r="C6" s="1318" t="s">
        <v>284</v>
      </c>
      <c r="D6" s="1319"/>
      <c r="E6" s="224"/>
      <c r="J6" s="224"/>
      <c r="K6" s="224"/>
      <c r="L6" s="224"/>
      <c r="M6" s="224"/>
      <c r="N6" s="224"/>
      <c r="O6" s="224"/>
      <c r="P6" s="224"/>
      <c r="Q6" s="224"/>
      <c r="R6" s="224"/>
      <c r="S6" s="224"/>
      <c r="T6" s="224"/>
      <c r="U6" s="224"/>
      <c r="V6" s="224"/>
      <c r="W6" s="224"/>
    </row>
    <row r="7" spans="1:25" ht="15.75" thickTop="1">
      <c r="A7" s="225" t="s">
        <v>285</v>
      </c>
      <c r="B7" s="226"/>
      <c r="C7" s="227"/>
      <c r="D7" s="228" t="s">
        <v>286</v>
      </c>
      <c r="E7" s="224"/>
      <c r="J7" s="224"/>
      <c r="K7" s="224"/>
      <c r="L7" s="224"/>
      <c r="M7" s="224"/>
      <c r="N7" s="224"/>
      <c r="O7" s="224"/>
      <c r="P7" s="224"/>
      <c r="Q7" s="224"/>
      <c r="R7" s="224"/>
      <c r="S7" s="224"/>
      <c r="T7" s="224"/>
      <c r="U7" s="224"/>
      <c r="V7" s="224"/>
      <c r="W7" s="224"/>
    </row>
    <row r="8" spans="1:25">
      <c r="A8" s="229" t="s">
        <v>287</v>
      </c>
      <c r="B8" s="230"/>
      <c r="C8" s="231"/>
      <c r="D8" s="232" t="s">
        <v>286</v>
      </c>
      <c r="E8" s="224"/>
      <c r="J8" s="224"/>
      <c r="K8" s="224"/>
      <c r="L8" s="224"/>
      <c r="M8" s="224"/>
      <c r="N8" s="224"/>
      <c r="O8" s="224"/>
      <c r="P8" s="224"/>
      <c r="Q8" s="224"/>
      <c r="R8" s="224"/>
      <c r="S8" s="224"/>
      <c r="T8" s="224"/>
      <c r="U8" s="224"/>
      <c r="V8" s="224"/>
      <c r="W8" s="224"/>
    </row>
    <row r="9" spans="1:25">
      <c r="A9" s="229" t="s">
        <v>288</v>
      </c>
      <c r="B9" s="230"/>
      <c r="C9" s="231"/>
      <c r="D9" s="232" t="s">
        <v>286</v>
      </c>
      <c r="E9" s="224"/>
      <c r="J9" s="224"/>
      <c r="K9" s="224"/>
      <c r="L9" s="224"/>
      <c r="M9" s="224"/>
      <c r="N9" s="224"/>
      <c r="O9" s="224"/>
      <c r="P9" s="224"/>
      <c r="Q9" s="224"/>
      <c r="R9" s="224"/>
      <c r="S9" s="224"/>
      <c r="T9" s="224"/>
      <c r="U9" s="224"/>
      <c r="V9" s="224"/>
      <c r="W9" s="224"/>
    </row>
    <row r="10" spans="1:25">
      <c r="A10" s="229" t="s">
        <v>289</v>
      </c>
      <c r="B10" s="230"/>
      <c r="C10" s="231"/>
      <c r="D10" s="232" t="s">
        <v>286</v>
      </c>
      <c r="E10" s="224"/>
      <c r="J10" s="224"/>
      <c r="K10" s="224"/>
      <c r="L10" s="224"/>
      <c r="M10" s="224"/>
      <c r="N10" s="224"/>
      <c r="O10" s="224"/>
      <c r="P10" s="224"/>
      <c r="Q10" s="224"/>
      <c r="R10" s="224"/>
      <c r="S10" s="224"/>
      <c r="T10" s="224"/>
      <c r="U10" s="224"/>
      <c r="V10" s="224"/>
      <c r="W10" s="224"/>
    </row>
    <row r="11" spans="1:25">
      <c r="A11" s="229" t="s">
        <v>290</v>
      </c>
      <c r="B11" s="230"/>
      <c r="C11" s="231"/>
      <c r="D11" s="232" t="s">
        <v>286</v>
      </c>
      <c r="E11" s="224"/>
      <c r="J11" s="224"/>
      <c r="K11" s="224"/>
      <c r="L11" s="224"/>
      <c r="M11" s="224"/>
      <c r="N11" s="224"/>
      <c r="O11" s="224"/>
      <c r="P11" s="224"/>
      <c r="Q11" s="224"/>
      <c r="R11" s="224"/>
      <c r="S11" s="224"/>
      <c r="T11" s="224"/>
      <c r="U11" s="224"/>
      <c r="V11" s="224"/>
      <c r="W11" s="224"/>
    </row>
    <row r="12" spans="1:25" ht="15.75" thickBot="1">
      <c r="A12" s="233" t="s">
        <v>291</v>
      </c>
      <c r="B12" s="234"/>
      <c r="C12" s="235"/>
      <c r="D12" s="236" t="s">
        <v>286</v>
      </c>
      <c r="E12" s="224"/>
      <c r="J12" s="224"/>
      <c r="K12" s="224"/>
      <c r="L12" s="224"/>
      <c r="M12" s="224"/>
      <c r="N12" s="224"/>
      <c r="O12" s="224" t="str">
        <f>'[74]2-Plan vs Executed  '!A4</f>
        <v>Week period from______ To _________</v>
      </c>
      <c r="P12" s="224"/>
      <c r="Q12" s="224"/>
      <c r="R12" s="224"/>
      <c r="S12" s="224"/>
      <c r="T12" s="224"/>
      <c r="U12" s="224"/>
      <c r="V12" s="224"/>
      <c r="W12" s="224"/>
    </row>
    <row r="13" spans="1:25" ht="15.75" thickTop="1">
      <c r="A13" s="1320" t="s">
        <v>141</v>
      </c>
      <c r="B13" s="1322" t="s">
        <v>292</v>
      </c>
      <c r="C13" s="1322" t="s">
        <v>293</v>
      </c>
      <c r="D13" s="1324" t="s">
        <v>285</v>
      </c>
      <c r="E13" s="1324"/>
      <c r="F13" s="1324" t="s">
        <v>287</v>
      </c>
      <c r="G13" s="1324"/>
      <c r="H13" s="1324" t="s">
        <v>288</v>
      </c>
      <c r="I13" s="1324"/>
      <c r="J13" s="1324" t="s">
        <v>289</v>
      </c>
      <c r="K13" s="1324"/>
      <c r="L13" s="1324" t="s">
        <v>290</v>
      </c>
      <c r="M13" s="1324"/>
      <c r="N13" s="1324" t="s">
        <v>291</v>
      </c>
      <c r="O13" s="1324"/>
      <c r="P13" s="1327" t="s">
        <v>294</v>
      </c>
      <c r="Q13" s="1329" t="s">
        <v>295</v>
      </c>
      <c r="R13" s="1310" t="s">
        <v>296</v>
      </c>
      <c r="S13" s="1311"/>
      <c r="T13" s="1311"/>
      <c r="U13" s="1311"/>
      <c r="V13" s="1311"/>
      <c r="W13" s="1312"/>
      <c r="X13" s="534"/>
      <c r="Y13" s="534"/>
    </row>
    <row r="14" spans="1:25" ht="46.5" thickBot="1">
      <c r="A14" s="1321"/>
      <c r="B14" s="1323"/>
      <c r="C14" s="1323"/>
      <c r="D14" s="750" t="s">
        <v>297</v>
      </c>
      <c r="E14" s="750" t="s">
        <v>200</v>
      </c>
      <c r="F14" s="750" t="s">
        <v>297</v>
      </c>
      <c r="G14" s="750" t="s">
        <v>200</v>
      </c>
      <c r="H14" s="750" t="s">
        <v>297</v>
      </c>
      <c r="I14" s="750" t="s">
        <v>200</v>
      </c>
      <c r="J14" s="750" t="s">
        <v>297</v>
      </c>
      <c r="K14" s="750" t="s">
        <v>200</v>
      </c>
      <c r="L14" s="750" t="s">
        <v>297</v>
      </c>
      <c r="M14" s="750" t="s">
        <v>200</v>
      </c>
      <c r="N14" s="750" t="s">
        <v>297</v>
      </c>
      <c r="O14" s="750" t="s">
        <v>200</v>
      </c>
      <c r="P14" s="1328"/>
      <c r="Q14" s="1330"/>
      <c r="R14" s="753" t="s">
        <v>298</v>
      </c>
      <c r="S14" s="754" t="s">
        <v>299</v>
      </c>
      <c r="T14" s="751" t="s">
        <v>300</v>
      </c>
      <c r="U14" s="752" t="s">
        <v>301</v>
      </c>
      <c r="V14" s="752" t="s">
        <v>302</v>
      </c>
      <c r="W14" s="755" t="s">
        <v>303</v>
      </c>
      <c r="X14" s="534"/>
      <c r="Y14" s="534"/>
    </row>
    <row r="15" spans="1:25" ht="15.75" thickTop="1">
      <c r="A15" s="736"/>
      <c r="B15" s="737"/>
      <c r="C15" s="738"/>
      <c r="D15" s="739"/>
      <c r="E15" s="738"/>
      <c r="F15" s="739"/>
      <c r="G15" s="738"/>
      <c r="H15" s="739"/>
      <c r="I15" s="738"/>
      <c r="J15" s="738"/>
      <c r="K15" s="738"/>
      <c r="L15" s="738"/>
      <c r="M15" s="738"/>
      <c r="N15" s="738"/>
      <c r="O15" s="738"/>
      <c r="P15" s="738"/>
      <c r="Q15" s="740"/>
      <c r="R15" s="741"/>
      <c r="S15" s="742"/>
      <c r="T15" s="743"/>
      <c r="U15" s="743"/>
      <c r="V15" s="743"/>
      <c r="W15" s="744"/>
      <c r="X15" s="534"/>
      <c r="Y15" s="534"/>
    </row>
    <row r="16" spans="1:25">
      <c r="A16" s="745"/>
      <c r="B16" s="746"/>
      <c r="C16" s="747"/>
      <c r="D16" s="748"/>
      <c r="E16" s="747"/>
      <c r="F16" s="748"/>
      <c r="G16" s="747"/>
      <c r="H16" s="748"/>
      <c r="I16" s="747"/>
      <c r="J16" s="747"/>
      <c r="K16" s="747"/>
      <c r="L16" s="747"/>
      <c r="M16" s="747"/>
      <c r="N16" s="747"/>
      <c r="O16" s="747"/>
      <c r="P16" s="747"/>
      <c r="Q16" s="749"/>
      <c r="R16" s="741"/>
      <c r="S16" s="742"/>
      <c r="T16" s="743"/>
      <c r="U16" s="743"/>
      <c r="V16" s="743"/>
      <c r="W16" s="744"/>
      <c r="X16" s="534"/>
      <c r="Y16" s="534"/>
    </row>
    <row r="17" spans="1:25">
      <c r="A17" s="745"/>
      <c r="B17" s="746"/>
      <c r="C17" s="747"/>
      <c r="D17" s="748"/>
      <c r="E17" s="747"/>
      <c r="F17" s="748"/>
      <c r="G17" s="747"/>
      <c r="H17" s="748"/>
      <c r="I17" s="747"/>
      <c r="J17" s="747"/>
      <c r="K17" s="747"/>
      <c r="L17" s="747"/>
      <c r="M17" s="747"/>
      <c r="N17" s="747"/>
      <c r="O17" s="747"/>
      <c r="P17" s="747"/>
      <c r="Q17" s="749"/>
      <c r="R17" s="741"/>
      <c r="S17" s="742"/>
      <c r="T17" s="743"/>
      <c r="U17" s="743"/>
      <c r="V17" s="743"/>
      <c r="W17" s="744"/>
      <c r="X17" s="534"/>
      <c r="Y17" s="534"/>
    </row>
    <row r="18" spans="1:25">
      <c r="A18" s="237"/>
      <c r="B18" s="238"/>
      <c r="C18" s="239"/>
      <c r="D18" s="240"/>
      <c r="E18" s="239"/>
      <c r="F18" s="240"/>
      <c r="G18" s="239"/>
      <c r="H18" s="240"/>
      <c r="I18" s="239"/>
      <c r="J18" s="239"/>
      <c r="K18" s="239"/>
      <c r="L18" s="239"/>
      <c r="M18" s="239"/>
      <c r="N18" s="239"/>
      <c r="O18" s="239"/>
      <c r="P18" s="239"/>
      <c r="Q18" s="358"/>
      <c r="R18" s="361"/>
      <c r="S18" s="362"/>
      <c r="T18" s="363"/>
      <c r="U18" s="363"/>
      <c r="V18" s="363"/>
      <c r="W18" s="364"/>
    </row>
    <row r="19" spans="1:25">
      <c r="A19" s="237"/>
      <c r="B19" s="238"/>
      <c r="C19" s="239"/>
      <c r="D19" s="240"/>
      <c r="E19" s="239"/>
      <c r="F19" s="240"/>
      <c r="G19" s="239"/>
      <c r="H19" s="240"/>
      <c r="I19" s="239"/>
      <c r="J19" s="239"/>
      <c r="K19" s="239"/>
      <c r="L19" s="239"/>
      <c r="M19" s="239"/>
      <c r="N19" s="239"/>
      <c r="O19" s="239"/>
      <c r="P19" s="239"/>
      <c r="Q19" s="358"/>
      <c r="R19" s="361"/>
      <c r="S19" s="362"/>
      <c r="T19" s="363"/>
      <c r="U19" s="363"/>
      <c r="V19" s="363"/>
      <c r="W19" s="364"/>
    </row>
    <row r="20" spans="1:25">
      <c r="A20" s="237"/>
      <c r="B20" s="238"/>
      <c r="C20" s="239"/>
      <c r="D20" s="240"/>
      <c r="E20" s="239"/>
      <c r="F20" s="240"/>
      <c r="G20" s="239"/>
      <c r="H20" s="240"/>
      <c r="I20" s="239"/>
      <c r="J20" s="239"/>
      <c r="K20" s="239"/>
      <c r="L20" s="239"/>
      <c r="M20" s="239"/>
      <c r="N20" s="239"/>
      <c r="O20" s="239"/>
      <c r="P20" s="239"/>
      <c r="Q20" s="358"/>
      <c r="R20" s="361"/>
      <c r="S20" s="362"/>
      <c r="T20" s="363"/>
      <c r="U20" s="363"/>
      <c r="V20" s="363"/>
      <c r="W20" s="364"/>
    </row>
    <row r="21" spans="1:25">
      <c r="A21" s="237"/>
      <c r="B21" s="238"/>
      <c r="C21" s="239"/>
      <c r="D21" s="240"/>
      <c r="E21" s="239"/>
      <c r="F21" s="240"/>
      <c r="G21" s="239"/>
      <c r="H21" s="240"/>
      <c r="I21" s="239"/>
      <c r="J21" s="239"/>
      <c r="K21" s="239"/>
      <c r="L21" s="239"/>
      <c r="M21" s="239"/>
      <c r="N21" s="239"/>
      <c r="O21" s="239"/>
      <c r="P21" s="239"/>
      <c r="Q21" s="358"/>
      <c r="R21" s="361"/>
      <c r="S21" s="362"/>
      <c r="T21" s="363"/>
      <c r="U21" s="363"/>
      <c r="V21" s="363"/>
      <c r="W21" s="364"/>
    </row>
    <row r="22" spans="1:25">
      <c r="A22" s="237"/>
      <c r="B22" s="238"/>
      <c r="C22" s="239"/>
      <c r="D22" s="240"/>
      <c r="E22" s="239"/>
      <c r="F22" s="240"/>
      <c r="G22" s="239"/>
      <c r="H22" s="240"/>
      <c r="I22" s="239"/>
      <c r="J22" s="239"/>
      <c r="K22" s="239"/>
      <c r="L22" s="239"/>
      <c r="M22" s="239"/>
      <c r="N22" s="239"/>
      <c r="O22" s="239"/>
      <c r="P22" s="239"/>
      <c r="Q22" s="358"/>
      <c r="R22" s="361"/>
      <c r="S22" s="362"/>
      <c r="T22" s="363"/>
      <c r="U22" s="363"/>
      <c r="V22" s="363"/>
      <c r="W22" s="364"/>
    </row>
    <row r="23" spans="1:25">
      <c r="A23" s="237"/>
      <c r="B23" s="238"/>
      <c r="C23" s="239"/>
      <c r="D23" s="240"/>
      <c r="E23" s="239"/>
      <c r="F23" s="240"/>
      <c r="G23" s="239"/>
      <c r="H23" s="240"/>
      <c r="I23" s="239"/>
      <c r="J23" s="239"/>
      <c r="K23" s="239"/>
      <c r="L23" s="239"/>
      <c r="M23" s="239"/>
      <c r="N23" s="239"/>
      <c r="O23" s="239"/>
      <c r="P23" s="239"/>
      <c r="Q23" s="358"/>
      <c r="R23" s="361"/>
      <c r="S23" s="362"/>
      <c r="T23" s="363"/>
      <c r="U23" s="363"/>
      <c r="V23" s="363"/>
      <c r="W23" s="364"/>
    </row>
    <row r="24" spans="1:25">
      <c r="A24" s="241"/>
      <c r="B24" s="242"/>
      <c r="C24" s="243"/>
      <c r="D24" s="244"/>
      <c r="E24" s="243"/>
      <c r="F24" s="244"/>
      <c r="G24" s="243"/>
      <c r="H24" s="244"/>
      <c r="I24" s="243"/>
      <c r="J24" s="243"/>
      <c r="K24" s="243"/>
      <c r="L24" s="243"/>
      <c r="M24" s="243"/>
      <c r="N24" s="243"/>
      <c r="O24" s="243"/>
      <c r="P24" s="243"/>
      <c r="Q24" s="359"/>
      <c r="R24" s="361"/>
      <c r="S24" s="362"/>
      <c r="T24" s="363"/>
      <c r="U24" s="363"/>
      <c r="V24" s="363"/>
      <c r="W24" s="364"/>
    </row>
    <row r="25" spans="1:25">
      <c r="A25" s="241"/>
      <c r="B25" s="242"/>
      <c r="C25" s="243"/>
      <c r="D25" s="244"/>
      <c r="E25" s="243"/>
      <c r="F25" s="244"/>
      <c r="G25" s="243"/>
      <c r="H25" s="244"/>
      <c r="I25" s="243"/>
      <c r="J25" s="243"/>
      <c r="K25" s="243"/>
      <c r="L25" s="243"/>
      <c r="M25" s="243"/>
      <c r="N25" s="243"/>
      <c r="O25" s="243"/>
      <c r="P25" s="243"/>
      <c r="Q25" s="359"/>
      <c r="R25" s="361"/>
      <c r="S25" s="362"/>
      <c r="T25" s="363"/>
      <c r="U25" s="363"/>
      <c r="V25" s="363"/>
      <c r="W25" s="365"/>
    </row>
    <row r="26" spans="1:25">
      <c r="A26" s="241"/>
      <c r="B26" s="242"/>
      <c r="C26" s="243"/>
      <c r="D26" s="244"/>
      <c r="E26" s="243"/>
      <c r="F26" s="244"/>
      <c r="G26" s="243"/>
      <c r="H26" s="244"/>
      <c r="I26" s="243"/>
      <c r="J26" s="243"/>
      <c r="K26" s="243"/>
      <c r="L26" s="243"/>
      <c r="M26" s="243"/>
      <c r="N26" s="243"/>
      <c r="O26" s="243"/>
      <c r="P26" s="243"/>
      <c r="Q26" s="359"/>
      <c r="R26" s="361"/>
      <c r="S26" s="366"/>
      <c r="T26" s="366"/>
      <c r="U26" s="366"/>
      <c r="V26" s="366"/>
      <c r="W26" s="367"/>
    </row>
    <row r="27" spans="1:25">
      <c r="A27" s="241"/>
      <c r="B27" s="245"/>
      <c r="C27" s="243"/>
      <c r="D27" s="243"/>
      <c r="E27" s="243"/>
      <c r="F27" s="243"/>
      <c r="G27" s="243"/>
      <c r="H27" s="243"/>
      <c r="I27" s="243"/>
      <c r="J27" s="243"/>
      <c r="K27" s="243"/>
      <c r="L27" s="243"/>
      <c r="M27" s="243"/>
      <c r="N27" s="243"/>
      <c r="O27" s="243"/>
      <c r="P27" s="243"/>
      <c r="Q27" s="359"/>
      <c r="R27" s="361"/>
      <c r="S27" s="368"/>
      <c r="T27" s="369"/>
      <c r="U27" s="369"/>
      <c r="V27" s="369"/>
      <c r="W27" s="370"/>
    </row>
    <row r="28" spans="1:25">
      <c r="A28" s="1313"/>
      <c r="B28" s="1314"/>
      <c r="C28" s="1314"/>
      <c r="D28" s="1314"/>
      <c r="E28" s="1314"/>
      <c r="F28" s="1314"/>
      <c r="G28" s="1314"/>
      <c r="H28" s="1314"/>
      <c r="I28" s="1314"/>
      <c r="J28" s="1314"/>
      <c r="K28" s="1314"/>
      <c r="L28" s="1314"/>
      <c r="M28" s="1314"/>
      <c r="N28" s="1314"/>
      <c r="O28" s="1314"/>
      <c r="P28" s="246"/>
      <c r="Q28" s="359"/>
      <c r="R28" s="371"/>
      <c r="S28" s="372"/>
      <c r="T28" s="372"/>
      <c r="U28" s="372"/>
      <c r="V28" s="372"/>
      <c r="W28" s="373"/>
    </row>
    <row r="29" spans="1:25" ht="15.75" thickBot="1">
      <c r="A29" s="1325"/>
      <c r="B29" s="1326"/>
      <c r="C29" s="1326"/>
      <c r="D29" s="1326"/>
      <c r="E29" s="1326"/>
      <c r="F29" s="1326"/>
      <c r="G29" s="1326"/>
      <c r="H29" s="1326"/>
      <c r="I29" s="1326"/>
      <c r="J29" s="1326"/>
      <c r="K29" s="1326"/>
      <c r="L29" s="1326"/>
      <c r="M29" s="1326"/>
      <c r="N29" s="1326"/>
      <c r="O29" s="1326"/>
      <c r="P29" s="247"/>
      <c r="Q29" s="360"/>
      <c r="R29" s="374"/>
      <c r="S29" s="375"/>
      <c r="T29" s="375"/>
      <c r="U29" s="375"/>
      <c r="V29" s="375"/>
      <c r="W29" s="376"/>
    </row>
    <row r="30" spans="1:25" ht="15.75" thickTop="1"/>
  </sheetData>
  <mergeCells count="26">
    <mergeCell ref="A29:O29"/>
    <mergeCell ref="L13:M13"/>
    <mergeCell ref="N13:O13"/>
    <mergeCell ref="P13:P14"/>
    <mergeCell ref="Q13:Q14"/>
    <mergeCell ref="R13:W13"/>
    <mergeCell ref="A28:O28"/>
    <mergeCell ref="A5:W5"/>
    <mergeCell ref="A6:B6"/>
    <mergeCell ref="C6:D6"/>
    <mergeCell ref="A13:A14"/>
    <mergeCell ref="B13:B14"/>
    <mergeCell ref="C13:C14"/>
    <mergeCell ref="D13:E13"/>
    <mergeCell ref="F13:G13"/>
    <mergeCell ref="H13:I13"/>
    <mergeCell ref="J13:K13"/>
    <mergeCell ref="A1:G2"/>
    <mergeCell ref="H1:S2"/>
    <mergeCell ref="T1:W1"/>
    <mergeCell ref="T2:W2"/>
    <mergeCell ref="A3:G4"/>
    <mergeCell ref="H3:S3"/>
    <mergeCell ref="T3:W3"/>
    <mergeCell ref="H4:S4"/>
    <mergeCell ref="T4:W4"/>
  </mergeCells>
  <pageMargins left="0" right="0" top="0.75" bottom="0.75" header="0.3" footer="0.3"/>
  <pageSetup orientation="landscape" r:id="rId1"/>
  <drawing r:id="rId2"/>
  <legacyDrawing r:id="rId3"/>
  <oleObjects>
    <mc:AlternateContent xmlns:mc="http://schemas.openxmlformats.org/markup-compatibility/2006">
      <mc:Choice Requires="x14">
        <oleObject progId="PBrush" shapeId="67585" r:id="rId4">
          <objectPr defaultSize="0" autoPict="0" r:id="rId5">
            <anchor moveWithCells="1" sizeWithCells="1">
              <from>
                <xdr:col>2</xdr:col>
                <xdr:colOff>447675</xdr:colOff>
                <xdr:row>2</xdr:row>
                <xdr:rowOff>76200</xdr:rowOff>
              </from>
              <to>
                <xdr:col>5</xdr:col>
                <xdr:colOff>123825</xdr:colOff>
                <xdr:row>4</xdr:row>
                <xdr:rowOff>0</xdr:rowOff>
              </to>
            </anchor>
          </objectPr>
        </oleObject>
      </mc:Choice>
      <mc:Fallback>
        <oleObject progId="PBrush" shapeId="67585" r:id="rId4"/>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L26"/>
  <sheetViews>
    <sheetView zoomScale="90" zoomScaleNormal="90" workbookViewId="0">
      <selection activeCell="H10" sqref="H10"/>
    </sheetView>
  </sheetViews>
  <sheetFormatPr defaultRowHeight="15.75"/>
  <cols>
    <col min="1" max="1" width="7.28515625" style="255" customWidth="1"/>
    <col min="2" max="3" width="8" style="255" bestFit="1" customWidth="1"/>
    <col min="4" max="4" width="14.7109375" style="256" customWidth="1"/>
    <col min="5" max="5" width="18.28515625" style="255" customWidth="1"/>
    <col min="6" max="6" width="18.7109375" style="256" customWidth="1"/>
    <col min="7" max="7" width="18.85546875" style="255" bestFit="1" customWidth="1"/>
    <col min="8" max="8" width="13.5703125" style="255" customWidth="1"/>
    <col min="9" max="9" width="10.42578125" style="255" bestFit="1" customWidth="1"/>
    <col min="10" max="10" width="11.42578125" style="255" customWidth="1"/>
    <col min="11" max="11" width="14.85546875" style="255" customWidth="1"/>
    <col min="12" max="12" width="11.7109375" style="255" customWidth="1"/>
    <col min="13" max="16384" width="9.140625" style="248"/>
  </cols>
  <sheetData>
    <row r="1" spans="1:12" ht="24" customHeight="1">
      <c r="A1" s="1335" t="s">
        <v>336</v>
      </c>
      <c r="B1" s="1336"/>
      <c r="C1" s="1336"/>
      <c r="D1" s="1336"/>
      <c r="E1" s="1337"/>
      <c r="F1" s="1345" t="s">
        <v>332</v>
      </c>
      <c r="G1" s="1346"/>
      <c r="H1" s="1346"/>
      <c r="I1" s="1347"/>
      <c r="J1" s="1331" t="s">
        <v>334</v>
      </c>
      <c r="K1" s="1331"/>
      <c r="L1" s="1331"/>
    </row>
    <row r="2" spans="1:12">
      <c r="A2" s="1338"/>
      <c r="B2" s="1339"/>
      <c r="C2" s="1339"/>
      <c r="D2" s="1339"/>
      <c r="E2" s="1340"/>
      <c r="F2" s="1348"/>
      <c r="G2" s="1349"/>
      <c r="H2" s="1349"/>
      <c r="I2" s="1350"/>
      <c r="J2" s="1351" t="s">
        <v>354</v>
      </c>
      <c r="K2" s="1351"/>
      <c r="L2" s="1351"/>
    </row>
    <row r="3" spans="1:12">
      <c r="A3" s="1341"/>
      <c r="B3" s="1342"/>
      <c r="C3" s="1342"/>
      <c r="D3" s="1342"/>
      <c r="E3" s="1342"/>
      <c r="F3" s="1352" t="s">
        <v>367</v>
      </c>
      <c r="G3" s="1353"/>
      <c r="H3" s="1353"/>
      <c r="I3" s="1354"/>
      <c r="J3" s="1331" t="s">
        <v>334</v>
      </c>
      <c r="K3" s="1331"/>
      <c r="L3" s="1331"/>
    </row>
    <row r="4" spans="1:12" ht="42.75" customHeight="1" thickBot="1">
      <c r="A4" s="1343"/>
      <c r="B4" s="1344"/>
      <c r="C4" s="1344"/>
      <c r="D4" s="1344"/>
      <c r="E4" s="1344"/>
      <c r="F4" s="1355"/>
      <c r="G4" s="1356"/>
      <c r="H4" s="1356"/>
      <c r="I4" s="1357"/>
      <c r="J4" s="1332">
        <v>1</v>
      </c>
      <c r="K4" s="1333"/>
      <c r="L4" s="1334"/>
    </row>
    <row r="5" spans="1:12" ht="18.75" customHeight="1" thickBot="1">
      <c r="A5" s="1360" t="s">
        <v>33</v>
      </c>
      <c r="B5" s="1361"/>
      <c r="C5" s="1361"/>
      <c r="D5" s="1361"/>
      <c r="E5" s="1361"/>
      <c r="F5" s="1361"/>
      <c r="G5" s="1361"/>
      <c r="H5" s="1361"/>
      <c r="I5" s="1361"/>
      <c r="J5" s="1362"/>
      <c r="K5" s="1362"/>
      <c r="L5" s="1363"/>
    </row>
    <row r="6" spans="1:12" ht="36.75" customHeight="1" thickTop="1">
      <c r="A6" s="1364" t="s">
        <v>304</v>
      </c>
      <c r="B6" s="1366" t="s">
        <v>305</v>
      </c>
      <c r="C6" s="1367"/>
      <c r="D6" s="1368" t="s">
        <v>306</v>
      </c>
      <c r="E6" s="1370" t="s">
        <v>307</v>
      </c>
      <c r="F6" s="1370"/>
      <c r="G6" s="1371" t="s">
        <v>308</v>
      </c>
      <c r="H6" s="1371"/>
      <c r="I6" s="1371" t="s">
        <v>309</v>
      </c>
      <c r="J6" s="1371"/>
      <c r="K6" s="1372" t="s">
        <v>310</v>
      </c>
      <c r="L6" s="1358" t="s">
        <v>15</v>
      </c>
    </row>
    <row r="7" spans="1:12" ht="36.75" customHeight="1">
      <c r="A7" s="1365"/>
      <c r="B7" s="756" t="s">
        <v>16</v>
      </c>
      <c r="C7" s="756" t="s">
        <v>17</v>
      </c>
      <c r="D7" s="1369"/>
      <c r="E7" s="756" t="s">
        <v>311</v>
      </c>
      <c r="F7" s="756" t="s">
        <v>312</v>
      </c>
      <c r="G7" s="756" t="s">
        <v>311</v>
      </c>
      <c r="H7" s="757" t="s">
        <v>312</v>
      </c>
      <c r="I7" s="756" t="s">
        <v>311</v>
      </c>
      <c r="J7" s="756" t="s">
        <v>312</v>
      </c>
      <c r="K7" s="1373"/>
      <c r="L7" s="1359" t="s">
        <v>313</v>
      </c>
    </row>
    <row r="8" spans="1:12" ht="36.75" customHeight="1">
      <c r="A8" s="758"/>
      <c r="B8" s="759"/>
      <c r="C8" s="759"/>
      <c r="D8" s="760"/>
      <c r="E8" s="761"/>
      <c r="F8" s="761"/>
      <c r="G8" s="761"/>
      <c r="H8" s="762"/>
      <c r="I8" s="761"/>
      <c r="J8" s="761"/>
      <c r="K8" s="763"/>
      <c r="L8" s="764"/>
    </row>
    <row r="9" spans="1:12" ht="36.75" customHeight="1">
      <c r="A9" s="758"/>
      <c r="B9" s="759"/>
      <c r="C9" s="759"/>
      <c r="D9" s="760"/>
      <c r="E9" s="761"/>
      <c r="F9" s="761"/>
      <c r="G9" s="761"/>
      <c r="H9" s="761"/>
      <c r="I9" s="761"/>
      <c r="J9" s="761"/>
      <c r="K9" s="763"/>
      <c r="L9" s="764"/>
    </row>
    <row r="10" spans="1:12" ht="36.75" customHeight="1">
      <c r="A10" s="758"/>
      <c r="B10" s="759"/>
      <c r="C10" s="759"/>
      <c r="D10" s="760"/>
      <c r="E10" s="761"/>
      <c r="F10" s="761"/>
      <c r="G10" s="761"/>
      <c r="H10" s="762"/>
      <c r="I10" s="761"/>
      <c r="J10" s="761"/>
      <c r="K10" s="763"/>
      <c r="L10" s="764"/>
    </row>
    <row r="11" spans="1:12" ht="36.75" customHeight="1">
      <c r="A11" s="758"/>
      <c r="B11" s="759"/>
      <c r="C11" s="759"/>
      <c r="D11" s="760"/>
      <c r="E11" s="761"/>
      <c r="F11" s="761"/>
      <c r="G11" s="761"/>
      <c r="H11" s="762"/>
      <c r="I11" s="761"/>
      <c r="J11" s="761"/>
      <c r="K11" s="763"/>
      <c r="L11" s="764"/>
    </row>
    <row r="12" spans="1:12" ht="36.75" customHeight="1">
      <c r="A12" s="758"/>
      <c r="B12" s="759"/>
      <c r="C12" s="759"/>
      <c r="D12" s="760"/>
      <c r="E12" s="761"/>
      <c r="F12" s="761"/>
      <c r="G12" s="761"/>
      <c r="H12" s="762"/>
      <c r="I12" s="761"/>
      <c r="J12" s="761"/>
      <c r="K12" s="763"/>
      <c r="L12" s="764"/>
    </row>
    <row r="13" spans="1:12" ht="36.75" customHeight="1">
      <c r="A13" s="758"/>
      <c r="B13" s="759"/>
      <c r="C13" s="759"/>
      <c r="D13" s="760"/>
      <c r="E13" s="761"/>
      <c r="F13" s="761"/>
      <c r="G13" s="761"/>
      <c r="H13" s="762"/>
      <c r="I13" s="761"/>
      <c r="J13" s="761"/>
      <c r="K13" s="763"/>
      <c r="L13" s="764"/>
    </row>
    <row r="14" spans="1:12" ht="36.75" customHeight="1">
      <c r="A14" s="758"/>
      <c r="B14" s="759"/>
      <c r="C14" s="759"/>
      <c r="D14" s="760"/>
      <c r="E14" s="761"/>
      <c r="F14" s="761"/>
      <c r="G14" s="761"/>
      <c r="H14" s="762"/>
      <c r="I14" s="761"/>
      <c r="J14" s="761"/>
      <c r="K14" s="763"/>
      <c r="L14" s="764"/>
    </row>
    <row r="15" spans="1:12" ht="36.75" customHeight="1">
      <c r="A15" s="758"/>
      <c r="B15" s="759"/>
      <c r="C15" s="759"/>
      <c r="D15" s="760"/>
      <c r="E15" s="761"/>
      <c r="F15" s="761"/>
      <c r="G15" s="761"/>
      <c r="H15" s="762"/>
      <c r="I15" s="761"/>
      <c r="J15" s="761"/>
      <c r="K15" s="763"/>
      <c r="L15" s="764"/>
    </row>
    <row r="16" spans="1:12" ht="36.75" customHeight="1">
      <c r="A16" s="758"/>
      <c r="B16" s="759"/>
      <c r="C16" s="759"/>
      <c r="D16" s="760"/>
      <c r="E16" s="761"/>
      <c r="F16" s="761"/>
      <c r="G16" s="761"/>
      <c r="H16" s="762"/>
      <c r="I16" s="761"/>
      <c r="J16" s="761"/>
      <c r="K16" s="763"/>
      <c r="L16" s="764"/>
    </row>
    <row r="17" spans="1:12" ht="36.75" customHeight="1">
      <c r="A17" s="758"/>
      <c r="B17" s="759"/>
      <c r="C17" s="759"/>
      <c r="D17" s="760"/>
      <c r="E17" s="761"/>
      <c r="F17" s="761"/>
      <c r="G17" s="761"/>
      <c r="H17" s="762"/>
      <c r="I17" s="761"/>
      <c r="J17" s="761"/>
      <c r="K17" s="763"/>
      <c r="L17" s="764"/>
    </row>
    <row r="18" spans="1:12" ht="36.75" customHeight="1">
      <c r="A18" s="758"/>
      <c r="B18" s="759"/>
      <c r="C18" s="759"/>
      <c r="D18" s="760"/>
      <c r="E18" s="761"/>
      <c r="F18" s="761"/>
      <c r="G18" s="761"/>
      <c r="H18" s="762"/>
      <c r="I18" s="761"/>
      <c r="J18" s="761"/>
      <c r="K18" s="763"/>
      <c r="L18" s="764"/>
    </row>
    <row r="19" spans="1:12">
      <c r="A19" s="765"/>
      <c r="B19" s="766"/>
      <c r="C19" s="766"/>
      <c r="D19" s="767"/>
      <c r="E19" s="768"/>
      <c r="F19" s="769"/>
      <c r="G19" s="770"/>
      <c r="H19" s="771"/>
      <c r="I19" s="771"/>
      <c r="J19" s="771"/>
      <c r="K19" s="771"/>
      <c r="L19" s="772"/>
    </row>
    <row r="20" spans="1:12">
      <c r="A20" s="765"/>
      <c r="B20" s="766"/>
      <c r="C20" s="766"/>
      <c r="D20" s="767"/>
      <c r="E20" s="773"/>
      <c r="F20" s="774"/>
      <c r="G20" s="770"/>
      <c r="H20" s="771"/>
      <c r="I20" s="771"/>
      <c r="J20" s="774"/>
      <c r="K20" s="771"/>
      <c r="L20" s="772"/>
    </row>
    <row r="21" spans="1:12">
      <c r="A21" s="765"/>
      <c r="B21" s="766"/>
      <c r="C21" s="766"/>
      <c r="D21" s="767"/>
      <c r="E21" s="773"/>
      <c r="F21" s="774"/>
      <c r="G21" s="770"/>
      <c r="H21" s="771"/>
      <c r="I21" s="771"/>
      <c r="J21" s="774"/>
      <c r="K21" s="771"/>
      <c r="L21" s="772"/>
    </row>
    <row r="22" spans="1:12">
      <c r="A22" s="765"/>
      <c r="B22" s="766"/>
      <c r="C22" s="766"/>
      <c r="D22" s="767"/>
      <c r="E22" s="773"/>
      <c r="F22" s="774"/>
      <c r="G22" s="770"/>
      <c r="H22" s="771"/>
      <c r="I22" s="771"/>
      <c r="J22" s="774"/>
      <c r="K22" s="771"/>
      <c r="L22" s="772"/>
    </row>
    <row r="23" spans="1:12">
      <c r="A23" s="765"/>
      <c r="B23" s="766"/>
      <c r="C23" s="766"/>
      <c r="D23" s="767"/>
      <c r="E23" s="773"/>
      <c r="F23" s="774"/>
      <c r="G23" s="770"/>
      <c r="H23" s="771"/>
      <c r="I23" s="771"/>
      <c r="J23" s="774"/>
      <c r="K23" s="771"/>
      <c r="L23" s="772"/>
    </row>
    <row r="24" spans="1:12" ht="23.25" customHeight="1" thickBot="1">
      <c r="A24" s="775"/>
      <c r="B24" s="776"/>
      <c r="C24" s="776"/>
      <c r="D24" s="777"/>
      <c r="E24" s="778"/>
      <c r="F24" s="779"/>
      <c r="G24" s="778"/>
      <c r="H24" s="776"/>
      <c r="I24" s="776"/>
      <c r="J24" s="776"/>
      <c r="K24" s="776"/>
      <c r="L24" s="780"/>
    </row>
    <row r="25" spans="1:12" s="254" customFormat="1" ht="16.5" thickBot="1">
      <c r="A25" s="249" t="s">
        <v>91</v>
      </c>
      <c r="B25" s="250"/>
      <c r="C25" s="250"/>
      <c r="D25" s="251"/>
      <c r="E25" s="252"/>
      <c r="F25" s="251"/>
      <c r="G25" s="252"/>
      <c r="H25" s="252"/>
      <c r="I25" s="252"/>
      <c r="J25" s="252"/>
      <c r="K25" s="252"/>
      <c r="L25" s="253"/>
    </row>
    <row r="26" spans="1:12" ht="16.5" thickTop="1"/>
  </sheetData>
  <mergeCells count="17">
    <mergeCell ref="L6:L7"/>
    <mergeCell ref="A5:L5"/>
    <mergeCell ref="A6:A7"/>
    <mergeCell ref="B6:C6"/>
    <mergeCell ref="D6:D7"/>
    <mergeCell ref="E6:F6"/>
    <mergeCell ref="G6:H6"/>
    <mergeCell ref="I6:J6"/>
    <mergeCell ref="K6:K7"/>
    <mergeCell ref="J3:L3"/>
    <mergeCell ref="J4:L4"/>
    <mergeCell ref="A1:E2"/>
    <mergeCell ref="A3:E4"/>
    <mergeCell ref="F1:I2"/>
    <mergeCell ref="J1:L1"/>
    <mergeCell ref="J2:L2"/>
    <mergeCell ref="F3:I4"/>
  </mergeCells>
  <pageMargins left="0.7" right="0.7" top="0.41" bottom="0.24" header="0.3" footer="0.3"/>
  <pageSetup scale="75" orientation="landscape" r:id="rId1"/>
  <headerFooter>
    <oddFooter>&amp;RPage &amp;P of&amp;N</oddFooter>
  </headerFooter>
  <drawing r:id="rId2"/>
  <legacyDrawing r:id="rId3"/>
  <oleObjects>
    <mc:AlternateContent xmlns:mc="http://schemas.openxmlformats.org/markup-compatibility/2006">
      <mc:Choice Requires="x14">
        <oleObject progId="PBrush" shapeId="12289" r:id="rId4">
          <objectPr defaultSize="0" autoPict="0" r:id="rId5">
            <anchor moveWithCells="1" sizeWithCells="1">
              <from>
                <xdr:col>2</xdr:col>
                <xdr:colOff>133350</xdr:colOff>
                <xdr:row>2</xdr:row>
                <xdr:rowOff>66675</xdr:rowOff>
              </from>
              <to>
                <xdr:col>3</xdr:col>
                <xdr:colOff>914400</xdr:colOff>
                <xdr:row>3</xdr:row>
                <xdr:rowOff>457200</xdr:rowOff>
              </to>
            </anchor>
          </objectPr>
        </oleObject>
      </mc:Choice>
      <mc:Fallback>
        <oleObject progId="PBrush" shapeId="12289" r:id="rId4"/>
      </mc:Fallback>
    </mc:AlternateContent>
  </oleObjec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Q32"/>
  <sheetViews>
    <sheetView workbookViewId="0">
      <selection activeCell="T6" sqref="T6"/>
    </sheetView>
  </sheetViews>
  <sheetFormatPr defaultRowHeight="15"/>
  <cols>
    <col min="1" max="1" width="4" style="275" customWidth="1"/>
    <col min="2" max="2" width="8.42578125" style="275" customWidth="1"/>
    <col min="3" max="3" width="7.28515625" style="275" customWidth="1"/>
    <col min="4" max="4" width="8.5703125" style="275" customWidth="1"/>
    <col min="5" max="5" width="6.85546875" style="275" customWidth="1"/>
    <col min="6" max="6" width="8.42578125" style="275" customWidth="1"/>
    <col min="7" max="7" width="7.85546875" style="275" customWidth="1"/>
    <col min="8" max="8" width="6.7109375" style="275" customWidth="1"/>
    <col min="9" max="9" width="8.5703125" style="275" customWidth="1"/>
    <col min="10" max="10" width="9.140625" style="275" customWidth="1"/>
    <col min="11" max="11" width="7.5703125" style="275" customWidth="1"/>
    <col min="12" max="12" width="13.85546875" style="275" customWidth="1"/>
    <col min="13" max="13" width="7.42578125" style="275" customWidth="1"/>
    <col min="14" max="14" width="11" style="275" customWidth="1"/>
    <col min="15" max="15" width="11.5703125" style="275" customWidth="1"/>
    <col min="16" max="16" width="7.140625" style="275" customWidth="1"/>
  </cols>
  <sheetData>
    <row r="1" spans="1:17">
      <c r="A1" s="1374" t="s">
        <v>338</v>
      </c>
      <c r="B1" s="1375"/>
      <c r="C1" s="1375"/>
      <c r="D1" s="1375"/>
      <c r="E1" s="1375"/>
      <c r="F1" s="1375"/>
      <c r="G1" s="1375"/>
      <c r="H1" s="1376"/>
      <c r="I1" s="1380" t="s">
        <v>332</v>
      </c>
      <c r="J1" s="1380"/>
      <c r="K1" s="1380"/>
      <c r="L1" s="1380"/>
      <c r="M1" s="1380"/>
      <c r="N1" s="1380"/>
      <c r="O1" s="1383" t="s">
        <v>334</v>
      </c>
      <c r="P1" s="1384"/>
    </row>
    <row r="2" spans="1:17">
      <c r="A2" s="1377"/>
      <c r="B2" s="1378"/>
      <c r="C2" s="1378"/>
      <c r="D2" s="1378"/>
      <c r="E2" s="1378"/>
      <c r="F2" s="1378"/>
      <c r="G2" s="1378"/>
      <c r="H2" s="1379"/>
      <c r="I2" s="1381"/>
      <c r="J2" s="1381"/>
      <c r="K2" s="1381"/>
      <c r="L2" s="1381"/>
      <c r="M2" s="1381"/>
      <c r="N2" s="1382"/>
      <c r="O2" s="1385" t="s">
        <v>355</v>
      </c>
      <c r="P2" s="1386"/>
    </row>
    <row r="3" spans="1:17">
      <c r="A3" s="1387"/>
      <c r="B3" s="1388"/>
      <c r="C3" s="1388"/>
      <c r="D3" s="1388"/>
      <c r="E3" s="1388"/>
      <c r="F3" s="1388"/>
      <c r="G3" s="1388"/>
      <c r="H3" s="1388"/>
      <c r="I3" s="1391" t="s">
        <v>368</v>
      </c>
      <c r="J3" s="1392"/>
      <c r="K3" s="1392"/>
      <c r="L3" s="1392"/>
      <c r="M3" s="1392"/>
      <c r="N3" s="1393"/>
      <c r="O3" s="1331" t="s">
        <v>334</v>
      </c>
      <c r="P3" s="1331"/>
    </row>
    <row r="4" spans="1:17" ht="35.25" customHeight="1">
      <c r="A4" s="1389"/>
      <c r="B4" s="1390"/>
      <c r="C4" s="1390"/>
      <c r="D4" s="1390"/>
      <c r="E4" s="1390"/>
      <c r="F4" s="1390"/>
      <c r="G4" s="1390"/>
      <c r="H4" s="1390"/>
      <c r="I4" s="1394"/>
      <c r="J4" s="1395"/>
      <c r="K4" s="1395"/>
      <c r="L4" s="1395"/>
      <c r="M4" s="1395"/>
      <c r="N4" s="1396"/>
      <c r="O4" s="1397">
        <v>1</v>
      </c>
      <c r="P4" s="1398"/>
    </row>
    <row r="5" spans="1:17" ht="15.75">
      <c r="A5" s="1401" t="s">
        <v>33</v>
      </c>
      <c r="B5" s="1401"/>
      <c r="C5" s="1401"/>
      <c r="D5" s="1401"/>
      <c r="E5" s="1401"/>
      <c r="F5" s="1401"/>
      <c r="G5" s="1401"/>
      <c r="H5" s="1401"/>
      <c r="I5" s="1401"/>
      <c r="J5" s="1401"/>
      <c r="K5" s="1401"/>
      <c r="L5" s="1401"/>
      <c r="M5" s="1401"/>
      <c r="N5" s="1401"/>
      <c r="O5" s="1401"/>
      <c r="P5" s="1401"/>
    </row>
    <row r="6" spans="1:17" ht="25.5" customHeight="1">
      <c r="A6" s="792"/>
      <c r="B6" s="1402" t="s">
        <v>305</v>
      </c>
      <c r="C6" s="1402"/>
      <c r="D6" s="1403" t="s">
        <v>314</v>
      </c>
      <c r="E6" s="1403"/>
      <c r="F6" s="1403"/>
      <c r="G6" s="1403"/>
      <c r="H6" s="1403"/>
      <c r="I6" s="1409"/>
      <c r="J6" s="1410"/>
      <c r="K6" s="1410"/>
      <c r="L6" s="1410"/>
      <c r="M6" s="1410"/>
      <c r="N6" s="1410"/>
      <c r="O6" s="1411"/>
      <c r="P6" s="793"/>
    </row>
    <row r="7" spans="1:17">
      <c r="A7" s="1404" t="s">
        <v>304</v>
      </c>
      <c r="B7" s="1406" t="s">
        <v>315</v>
      </c>
      <c r="C7" s="1406" t="s">
        <v>278</v>
      </c>
      <c r="D7" s="1406" t="s">
        <v>316</v>
      </c>
      <c r="E7" s="1406" t="s">
        <v>317</v>
      </c>
      <c r="F7" s="1406" t="s">
        <v>318</v>
      </c>
      <c r="G7" s="1406" t="s">
        <v>319</v>
      </c>
      <c r="H7" s="1406" t="s">
        <v>320</v>
      </c>
      <c r="I7" s="1412" t="s">
        <v>307</v>
      </c>
      <c r="J7" s="1412"/>
      <c r="K7" s="1413" t="s">
        <v>308</v>
      </c>
      <c r="L7" s="1414"/>
      <c r="M7" s="1413" t="s">
        <v>309</v>
      </c>
      <c r="N7" s="1414"/>
      <c r="O7" s="1415" t="s">
        <v>310</v>
      </c>
      <c r="P7" s="1399" t="s">
        <v>15</v>
      </c>
      <c r="Q7" s="534"/>
    </row>
    <row r="8" spans="1:17" ht="15.75" thickBot="1">
      <c r="A8" s="1405"/>
      <c r="B8" s="1407"/>
      <c r="C8" s="1407"/>
      <c r="D8" s="1408"/>
      <c r="E8" s="1408" t="s">
        <v>317</v>
      </c>
      <c r="F8" s="1408" t="s">
        <v>318</v>
      </c>
      <c r="G8" s="1408" t="s">
        <v>319</v>
      </c>
      <c r="H8" s="1408" t="s">
        <v>321</v>
      </c>
      <c r="I8" s="781" t="s">
        <v>311</v>
      </c>
      <c r="J8" s="781" t="s">
        <v>312</v>
      </c>
      <c r="K8" s="781" t="s">
        <v>311</v>
      </c>
      <c r="L8" s="781" t="s">
        <v>312</v>
      </c>
      <c r="M8" s="781" t="s">
        <v>311</v>
      </c>
      <c r="N8" s="781" t="s">
        <v>312</v>
      </c>
      <c r="O8" s="1416"/>
      <c r="P8" s="1400" t="s">
        <v>313</v>
      </c>
      <c r="Q8" s="534"/>
    </row>
    <row r="9" spans="1:17" ht="15.75" thickTop="1">
      <c r="A9" s="782"/>
      <c r="B9" s="783"/>
      <c r="C9" s="783"/>
      <c r="D9" s="784"/>
      <c r="E9" s="784"/>
      <c r="F9" s="784"/>
      <c r="G9" s="784"/>
      <c r="H9" s="784"/>
      <c r="I9" s="785"/>
      <c r="J9" s="784"/>
      <c r="K9" s="784"/>
      <c r="L9" s="784"/>
      <c r="M9" s="784"/>
      <c r="N9" s="784"/>
      <c r="O9" s="784"/>
      <c r="P9" s="786"/>
      <c r="Q9" s="534"/>
    </row>
    <row r="10" spans="1:17">
      <c r="A10" s="787"/>
      <c r="B10" s="788"/>
      <c r="C10" s="788"/>
      <c r="D10" s="789"/>
      <c r="E10" s="789"/>
      <c r="F10" s="789"/>
      <c r="G10" s="789"/>
      <c r="H10" s="789"/>
      <c r="I10" s="790"/>
      <c r="J10" s="789"/>
      <c r="K10" s="789"/>
      <c r="L10" s="789"/>
      <c r="M10" s="789"/>
      <c r="N10" s="789"/>
      <c r="O10" s="789"/>
      <c r="P10" s="791"/>
      <c r="Q10" s="534"/>
    </row>
    <row r="11" spans="1:17">
      <c r="A11" s="787"/>
      <c r="B11" s="788"/>
      <c r="C11" s="788"/>
      <c r="D11" s="789"/>
      <c r="E11" s="789"/>
      <c r="F11" s="789"/>
      <c r="G11" s="789"/>
      <c r="H11" s="789"/>
      <c r="I11" s="790"/>
      <c r="J11" s="789"/>
      <c r="K11" s="789"/>
      <c r="L11" s="789"/>
      <c r="M11" s="789"/>
      <c r="N11" s="789"/>
      <c r="O11" s="789"/>
      <c r="P11" s="791"/>
      <c r="Q11" s="534"/>
    </row>
    <row r="12" spans="1:17">
      <c r="A12" s="257"/>
      <c r="B12" s="258"/>
      <c r="C12" s="258"/>
      <c r="D12" s="259"/>
      <c r="E12" s="259"/>
      <c r="F12" s="259"/>
      <c r="G12" s="259"/>
      <c r="H12" s="259"/>
      <c r="I12" s="260"/>
      <c r="J12" s="259"/>
      <c r="K12" s="259"/>
      <c r="L12" s="259"/>
      <c r="M12" s="259"/>
      <c r="N12" s="259"/>
      <c r="O12" s="259"/>
      <c r="P12" s="261"/>
    </row>
    <row r="13" spans="1:17">
      <c r="A13" s="257"/>
      <c r="B13" s="258"/>
      <c r="C13" s="258"/>
      <c r="D13" s="259"/>
      <c r="E13" s="259"/>
      <c r="F13" s="259"/>
      <c r="G13" s="259"/>
      <c r="H13" s="259"/>
      <c r="I13" s="260"/>
      <c r="J13" s="259"/>
      <c r="K13" s="259"/>
      <c r="L13" s="259"/>
      <c r="M13" s="259"/>
      <c r="N13" s="259"/>
      <c r="O13" s="259"/>
      <c r="P13" s="262"/>
    </row>
    <row r="14" spans="1:17">
      <c r="A14" s="257"/>
      <c r="B14" s="258"/>
      <c r="C14" s="258"/>
      <c r="D14" s="259"/>
      <c r="E14" s="259"/>
      <c r="F14" s="259"/>
      <c r="G14" s="259"/>
      <c r="H14" s="259"/>
      <c r="I14" s="260"/>
      <c r="J14" s="259"/>
      <c r="K14" s="259"/>
      <c r="L14" s="259"/>
      <c r="M14" s="259"/>
      <c r="N14" s="259"/>
      <c r="O14" s="259"/>
      <c r="P14" s="261"/>
    </row>
    <row r="15" spans="1:17">
      <c r="A15" s="257"/>
      <c r="B15" s="258"/>
      <c r="C15" s="258"/>
      <c r="D15" s="259"/>
      <c r="E15" s="259"/>
      <c r="F15" s="259"/>
      <c r="G15" s="259"/>
      <c r="H15" s="259"/>
      <c r="I15" s="260"/>
      <c r="J15" s="259"/>
      <c r="K15" s="259"/>
      <c r="L15" s="259"/>
      <c r="M15" s="259"/>
      <c r="N15" s="259"/>
      <c r="O15" s="259"/>
      <c r="P15" s="261"/>
    </row>
    <row r="16" spans="1:17">
      <c r="A16" s="257"/>
      <c r="B16" s="258"/>
      <c r="C16" s="258"/>
      <c r="D16" s="259"/>
      <c r="E16" s="259"/>
      <c r="F16" s="259"/>
      <c r="G16" s="259"/>
      <c r="H16" s="259"/>
      <c r="I16" s="260"/>
      <c r="J16" s="259"/>
      <c r="K16" s="259"/>
      <c r="L16" s="259"/>
      <c r="M16" s="259"/>
      <c r="N16" s="259"/>
      <c r="O16" s="259"/>
      <c r="P16" s="261"/>
    </row>
    <row r="17" spans="1:16">
      <c r="A17" s="257"/>
      <c r="B17" s="258"/>
      <c r="C17" s="258"/>
      <c r="D17" s="259"/>
      <c r="E17" s="259"/>
      <c r="F17" s="259"/>
      <c r="G17" s="259"/>
      <c r="H17" s="259"/>
      <c r="I17" s="260"/>
      <c r="J17" s="259"/>
      <c r="K17" s="259"/>
      <c r="L17" s="259"/>
      <c r="M17" s="259"/>
      <c r="N17" s="259"/>
      <c r="O17" s="259"/>
      <c r="P17" s="261"/>
    </row>
    <row r="18" spans="1:16">
      <c r="A18" s="257"/>
      <c r="B18" s="258"/>
      <c r="C18" s="258"/>
      <c r="D18" s="259"/>
      <c r="E18" s="259"/>
      <c r="F18" s="259"/>
      <c r="G18" s="259"/>
      <c r="H18" s="259"/>
      <c r="I18" s="260"/>
      <c r="J18" s="263"/>
      <c r="K18" s="260"/>
      <c r="L18" s="259"/>
      <c r="M18" s="260"/>
      <c r="N18" s="259"/>
      <c r="O18" s="260"/>
      <c r="P18" s="262"/>
    </row>
    <row r="19" spans="1:16">
      <c r="A19" s="257"/>
      <c r="B19" s="258"/>
      <c r="C19" s="258"/>
      <c r="D19" s="259"/>
      <c r="E19" s="259"/>
      <c r="F19" s="259"/>
      <c r="G19" s="259"/>
      <c r="H19" s="259"/>
      <c r="I19" s="260"/>
      <c r="J19" s="263"/>
      <c r="K19" s="260"/>
      <c r="L19" s="259"/>
      <c r="M19" s="264"/>
      <c r="N19" s="263"/>
      <c r="O19" s="260"/>
      <c r="P19" s="265"/>
    </row>
    <row r="20" spans="1:16">
      <c r="A20" s="257"/>
      <c r="B20" s="258"/>
      <c r="C20" s="258"/>
      <c r="D20" s="259"/>
      <c r="E20" s="259"/>
      <c r="F20" s="259"/>
      <c r="G20" s="259"/>
      <c r="H20" s="259"/>
      <c r="I20" s="260"/>
      <c r="J20" s="263"/>
      <c r="K20" s="260"/>
      <c r="L20" s="259"/>
      <c r="M20" s="264"/>
      <c r="N20" s="263"/>
      <c r="O20" s="260"/>
      <c r="P20" s="265"/>
    </row>
    <row r="21" spans="1:16">
      <c r="A21" s="257"/>
      <c r="B21" s="258"/>
      <c r="C21" s="258"/>
      <c r="D21" s="259"/>
      <c r="E21" s="259"/>
      <c r="F21" s="259"/>
      <c r="G21" s="259"/>
      <c r="H21" s="259"/>
      <c r="I21" s="260"/>
      <c r="J21" s="263"/>
      <c r="K21" s="260"/>
      <c r="L21" s="259"/>
      <c r="M21" s="264"/>
      <c r="N21" s="263"/>
      <c r="O21" s="260"/>
      <c r="P21" s="265"/>
    </row>
    <row r="22" spans="1:16">
      <c r="A22" s="257"/>
      <c r="B22" s="258"/>
      <c r="C22" s="258"/>
      <c r="D22" s="259"/>
      <c r="E22" s="259"/>
      <c r="F22" s="259"/>
      <c r="G22" s="259"/>
      <c r="H22" s="259"/>
      <c r="I22" s="260"/>
      <c r="J22" s="263"/>
      <c r="K22" s="260"/>
      <c r="L22" s="259"/>
      <c r="M22" s="264"/>
      <c r="N22" s="263"/>
      <c r="O22" s="260"/>
      <c r="P22" s="265"/>
    </row>
    <row r="23" spans="1:16">
      <c r="A23" s="257"/>
      <c r="B23" s="258"/>
      <c r="C23" s="258"/>
      <c r="D23" s="259"/>
      <c r="E23" s="259"/>
      <c r="F23" s="259"/>
      <c r="G23" s="259"/>
      <c r="H23" s="259"/>
      <c r="I23" s="260"/>
      <c r="J23" s="263"/>
      <c r="K23" s="260"/>
      <c r="L23" s="259"/>
      <c r="M23" s="264"/>
      <c r="N23" s="263"/>
      <c r="O23" s="260"/>
      <c r="P23" s="265"/>
    </row>
    <row r="24" spans="1:16">
      <c r="A24" s="257"/>
      <c r="B24" s="258"/>
      <c r="C24" s="258"/>
      <c r="D24" s="259"/>
      <c r="E24" s="259"/>
      <c r="F24" s="259"/>
      <c r="G24" s="259"/>
      <c r="H24" s="259"/>
      <c r="I24" s="260"/>
      <c r="J24" s="263"/>
      <c r="K24" s="260"/>
      <c r="L24" s="259"/>
      <c r="M24" s="264"/>
      <c r="N24" s="263"/>
      <c r="O24" s="260"/>
      <c r="P24" s="265"/>
    </row>
    <row r="25" spans="1:16">
      <c r="A25" s="257"/>
      <c r="B25" s="258"/>
      <c r="C25" s="258"/>
      <c r="D25" s="259"/>
      <c r="E25" s="259"/>
      <c r="F25" s="259"/>
      <c r="G25" s="259"/>
      <c r="H25" s="259"/>
      <c r="I25" s="260"/>
      <c r="J25" s="263"/>
      <c r="K25" s="260"/>
      <c r="L25" s="259"/>
      <c r="M25" s="264"/>
      <c r="N25" s="263"/>
      <c r="O25" s="260"/>
      <c r="P25" s="265"/>
    </row>
    <row r="26" spans="1:16">
      <c r="A26" s="257"/>
      <c r="B26" s="258"/>
      <c r="C26" s="258"/>
      <c r="D26" s="259"/>
      <c r="E26" s="259"/>
      <c r="F26" s="259"/>
      <c r="G26" s="259"/>
      <c r="H26" s="259"/>
      <c r="I26" s="260"/>
      <c r="J26" s="263"/>
      <c r="K26" s="260"/>
      <c r="L26" s="259"/>
      <c r="M26" s="264"/>
      <c r="N26" s="263"/>
      <c r="O26" s="260"/>
      <c r="P26" s="265"/>
    </row>
    <row r="27" spans="1:16">
      <c r="A27" s="257"/>
      <c r="B27" s="258"/>
      <c r="C27" s="258"/>
      <c r="D27" s="259"/>
      <c r="E27" s="259"/>
      <c r="F27" s="259"/>
      <c r="G27" s="259"/>
      <c r="H27" s="259"/>
      <c r="I27" s="260"/>
      <c r="J27" s="263"/>
      <c r="K27" s="260"/>
      <c r="L27" s="259"/>
      <c r="M27" s="264"/>
      <c r="N27" s="259"/>
      <c r="O27" s="259"/>
      <c r="P27" s="265"/>
    </row>
    <row r="28" spans="1:16">
      <c r="A28" s="257"/>
      <c r="B28" s="258"/>
      <c r="C28" s="258"/>
      <c r="D28" s="259"/>
      <c r="E28" s="259"/>
      <c r="F28" s="259"/>
      <c r="G28" s="259"/>
      <c r="H28" s="259"/>
      <c r="I28" s="260"/>
      <c r="J28" s="263"/>
      <c r="K28" s="260"/>
      <c r="L28" s="259"/>
      <c r="M28" s="263"/>
      <c r="N28" s="263"/>
      <c r="O28" s="260"/>
      <c r="P28" s="265"/>
    </row>
    <row r="29" spans="1:16">
      <c r="A29" s="257"/>
      <c r="B29" s="258"/>
      <c r="C29" s="258"/>
      <c r="D29" s="259"/>
      <c r="E29" s="259"/>
      <c r="F29" s="259"/>
      <c r="G29" s="259"/>
      <c r="H29" s="259"/>
      <c r="I29" s="260"/>
      <c r="J29" s="263"/>
      <c r="K29" s="260"/>
      <c r="L29" s="259"/>
      <c r="M29" s="263"/>
      <c r="N29" s="259"/>
      <c r="O29" s="259"/>
      <c r="P29" s="265"/>
    </row>
    <row r="30" spans="1:16" ht="15.75" thickBot="1">
      <c r="A30" s="266"/>
      <c r="B30" s="267"/>
      <c r="C30" s="267"/>
      <c r="D30" s="268"/>
      <c r="E30" s="268"/>
      <c r="F30" s="268"/>
      <c r="G30" s="268"/>
      <c r="H30" s="268"/>
      <c r="I30" s="269"/>
      <c r="J30" s="270"/>
      <c r="K30" s="269"/>
      <c r="L30" s="268"/>
      <c r="M30" s="270"/>
      <c r="N30" s="268"/>
      <c r="O30" s="268"/>
      <c r="P30" s="271"/>
    </row>
    <row r="31" spans="1:16" ht="16.5" thickTop="1" thickBot="1">
      <c r="A31" s="272" t="s">
        <v>91</v>
      </c>
      <c r="B31" s="273"/>
      <c r="C31" s="273"/>
      <c r="D31" s="273"/>
      <c r="E31" s="273"/>
      <c r="F31" s="273"/>
      <c r="G31" s="273"/>
      <c r="H31" s="273"/>
      <c r="I31" s="273"/>
      <c r="J31" s="273"/>
      <c r="K31" s="273"/>
      <c r="L31" s="273"/>
      <c r="M31" s="273"/>
      <c r="N31" s="273"/>
      <c r="O31" s="273"/>
      <c r="P31" s="274"/>
    </row>
    <row r="32" spans="1:16" ht="15.75" thickTop="1"/>
  </sheetData>
  <mergeCells count="25">
    <mergeCell ref="O7:O8"/>
    <mergeCell ref="P7:P8"/>
    <mergeCell ref="A5:P5"/>
    <mergeCell ref="B6:C6"/>
    <mergeCell ref="D6:H6"/>
    <mergeCell ref="A7:A8"/>
    <mergeCell ref="B7:B8"/>
    <mergeCell ref="C7:C8"/>
    <mergeCell ref="D7:D8"/>
    <mergeCell ref="E7:E8"/>
    <mergeCell ref="F7:F8"/>
    <mergeCell ref="G7:G8"/>
    <mergeCell ref="I6:O6"/>
    <mergeCell ref="H7:H8"/>
    <mergeCell ref="I7:J7"/>
    <mergeCell ref="K7:L7"/>
    <mergeCell ref="M7:N7"/>
    <mergeCell ref="A1:H2"/>
    <mergeCell ref="I1:N2"/>
    <mergeCell ref="O1:P1"/>
    <mergeCell ref="O2:P2"/>
    <mergeCell ref="A3:H4"/>
    <mergeCell ref="I3:N4"/>
    <mergeCell ref="O3:P3"/>
    <mergeCell ref="O4:P4"/>
  </mergeCells>
  <pageMargins left="0" right="0" top="0.75" bottom="0.75" header="0.3" footer="0.3"/>
  <pageSetup orientation="landscape" r:id="rId1"/>
  <drawing r:id="rId2"/>
  <legacyDrawing r:id="rId3"/>
  <oleObjects>
    <mc:AlternateContent xmlns:mc="http://schemas.openxmlformats.org/markup-compatibility/2006">
      <mc:Choice Requires="x14">
        <oleObject progId="PBrush" shapeId="68609" r:id="rId4">
          <objectPr defaultSize="0" autoPict="0" r:id="rId5">
            <anchor moveWithCells="1" sizeWithCells="1">
              <from>
                <xdr:col>3</xdr:col>
                <xdr:colOff>85725</xdr:colOff>
                <xdr:row>2</xdr:row>
                <xdr:rowOff>66675</xdr:rowOff>
              </from>
              <to>
                <xdr:col>5</xdr:col>
                <xdr:colOff>0</xdr:colOff>
                <xdr:row>4</xdr:row>
                <xdr:rowOff>0</xdr:rowOff>
              </to>
            </anchor>
          </objectPr>
        </oleObject>
      </mc:Choice>
      <mc:Fallback>
        <oleObject progId="PBrush" shapeId="68609" r:id="rId4"/>
      </mc:Fallback>
    </mc:AlternateContent>
  </oleObjec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249977111117893"/>
  </sheetPr>
  <dimension ref="A1:O29"/>
  <sheetViews>
    <sheetView workbookViewId="0">
      <selection sqref="A1:G2"/>
    </sheetView>
  </sheetViews>
  <sheetFormatPr defaultRowHeight="15"/>
  <cols>
    <col min="1" max="1" width="6.140625" customWidth="1"/>
    <col min="4" max="4" width="10.5703125" customWidth="1"/>
    <col min="7" max="7" width="8.140625" customWidth="1"/>
    <col min="9" max="9" width="6.42578125" customWidth="1"/>
    <col min="10" max="10" width="7.5703125" customWidth="1"/>
    <col min="11" max="11" width="10.5703125" customWidth="1"/>
    <col min="14" max="14" width="13.140625" customWidth="1"/>
  </cols>
  <sheetData>
    <row r="1" spans="1:15" ht="15" customHeight="1">
      <c r="A1" s="1417" t="s">
        <v>336</v>
      </c>
      <c r="B1" s="1418"/>
      <c r="C1" s="1418"/>
      <c r="D1" s="1418"/>
      <c r="E1" s="1418"/>
      <c r="F1" s="1418"/>
      <c r="G1" s="1419"/>
      <c r="H1" s="1380" t="s">
        <v>332</v>
      </c>
      <c r="I1" s="1380"/>
      <c r="J1" s="1380"/>
      <c r="K1" s="1380"/>
      <c r="L1" s="1380"/>
      <c r="M1" s="1380"/>
      <c r="N1" s="1423" t="s">
        <v>334</v>
      </c>
      <c r="O1" s="1423"/>
    </row>
    <row r="2" spans="1:15" ht="21.75" customHeight="1">
      <c r="A2" s="1420"/>
      <c r="B2" s="1421"/>
      <c r="C2" s="1421"/>
      <c r="D2" s="1421"/>
      <c r="E2" s="1421"/>
      <c r="F2" s="1421"/>
      <c r="G2" s="1422"/>
      <c r="H2" s="1381"/>
      <c r="I2" s="1381"/>
      <c r="J2" s="1381"/>
      <c r="K2" s="1381"/>
      <c r="L2" s="1381"/>
      <c r="M2" s="1381"/>
      <c r="N2" s="1424" t="s">
        <v>356</v>
      </c>
      <c r="O2" s="1425"/>
    </row>
    <row r="3" spans="1:15">
      <c r="A3" s="1426"/>
      <c r="B3" s="1427"/>
      <c r="C3" s="1427"/>
      <c r="D3" s="1427"/>
      <c r="E3" s="1427"/>
      <c r="F3" s="1427"/>
      <c r="G3" s="1427"/>
      <c r="H3" s="1430"/>
      <c r="I3" s="1431"/>
      <c r="J3" s="1431"/>
      <c r="K3" s="1431"/>
      <c r="L3" s="1431"/>
      <c r="M3" s="1432"/>
      <c r="N3" s="1433" t="s">
        <v>339</v>
      </c>
      <c r="O3" s="1434"/>
    </row>
    <row r="4" spans="1:15" ht="54" customHeight="1" thickBot="1">
      <c r="A4" s="1428"/>
      <c r="B4" s="1429"/>
      <c r="C4" s="1429"/>
      <c r="D4" s="1429"/>
      <c r="E4" s="1429"/>
      <c r="F4" s="1429"/>
      <c r="G4" s="1429"/>
      <c r="H4" s="1435" t="s">
        <v>369</v>
      </c>
      <c r="I4" s="1436"/>
      <c r="J4" s="1436"/>
      <c r="K4" s="1436"/>
      <c r="L4" s="1436"/>
      <c r="M4" s="1437"/>
      <c r="N4" s="1438">
        <v>1</v>
      </c>
      <c r="O4" s="1439"/>
    </row>
    <row r="5" spans="1:15" ht="19.5" thickBot="1">
      <c r="A5" s="1444"/>
      <c r="B5" s="1445"/>
      <c r="C5" s="1445"/>
      <c r="D5" s="1445"/>
      <c r="E5" s="1445"/>
      <c r="F5" s="1445"/>
      <c r="G5" s="1445"/>
      <c r="H5" s="1445"/>
      <c r="I5" s="1445"/>
      <c r="J5" s="1446"/>
      <c r="K5" s="1446"/>
      <c r="L5" s="1446"/>
      <c r="M5" s="1446"/>
      <c r="N5" s="1445"/>
      <c r="O5" s="1447"/>
    </row>
    <row r="6" spans="1:15" ht="15.75" customHeight="1" thickTop="1">
      <c r="A6" s="1448" t="s">
        <v>378</v>
      </c>
      <c r="B6" s="1450" t="s">
        <v>305</v>
      </c>
      <c r="C6" s="1451"/>
      <c r="D6" s="1452" t="s">
        <v>316</v>
      </c>
      <c r="E6" s="1452" t="s">
        <v>317</v>
      </c>
      <c r="F6" s="1452" t="s">
        <v>321</v>
      </c>
      <c r="G6" s="1450" t="s">
        <v>320</v>
      </c>
      <c r="H6" s="1456" t="s">
        <v>307</v>
      </c>
      <c r="I6" s="1457"/>
      <c r="J6" s="1458" t="s">
        <v>308</v>
      </c>
      <c r="K6" s="1458"/>
      <c r="L6" s="1458" t="s">
        <v>309</v>
      </c>
      <c r="M6" s="1458"/>
      <c r="N6" s="1440" t="s">
        <v>322</v>
      </c>
      <c r="O6" s="1442" t="s">
        <v>15</v>
      </c>
    </row>
    <row r="7" spans="1:15" ht="23.25" customHeight="1" thickBot="1">
      <c r="A7" s="1449"/>
      <c r="B7" s="276" t="s">
        <v>323</v>
      </c>
      <c r="C7" s="277" t="s">
        <v>324</v>
      </c>
      <c r="D7" s="1453"/>
      <c r="E7" s="1454"/>
      <c r="F7" s="1454"/>
      <c r="G7" s="1455"/>
      <c r="H7" s="456" t="s">
        <v>311</v>
      </c>
      <c r="I7" s="456" t="s">
        <v>312</v>
      </c>
      <c r="J7" s="456" t="s">
        <v>311</v>
      </c>
      <c r="K7" s="456" t="s">
        <v>312</v>
      </c>
      <c r="L7" s="456" t="s">
        <v>311</v>
      </c>
      <c r="M7" s="456" t="s">
        <v>312</v>
      </c>
      <c r="N7" s="1441"/>
      <c r="O7" s="1443"/>
    </row>
    <row r="8" spans="1:15">
      <c r="A8" s="278"/>
      <c r="B8" s="279"/>
      <c r="C8" s="279"/>
      <c r="D8" s="280"/>
      <c r="E8" s="280"/>
      <c r="F8" s="280"/>
      <c r="G8" s="280"/>
      <c r="H8" s="281"/>
      <c r="I8" s="282"/>
      <c r="J8" s="281"/>
      <c r="K8" s="282"/>
      <c r="L8" s="281"/>
      <c r="M8" s="282"/>
      <c r="N8" s="280"/>
      <c r="O8" s="283"/>
    </row>
    <row r="9" spans="1:15">
      <c r="A9" s="257"/>
      <c r="B9" s="258"/>
      <c r="C9" s="258"/>
      <c r="D9" s="259"/>
      <c r="E9" s="259"/>
      <c r="F9" s="259"/>
      <c r="G9" s="259"/>
      <c r="H9" s="260"/>
      <c r="I9" s="263"/>
      <c r="J9" s="260"/>
      <c r="K9" s="263"/>
      <c r="L9" s="260"/>
      <c r="M9" s="263"/>
      <c r="N9" s="259"/>
      <c r="O9" s="262"/>
    </row>
    <row r="10" spans="1:15">
      <c r="A10" s="257"/>
      <c r="B10" s="258"/>
      <c r="C10" s="258"/>
      <c r="D10" s="259"/>
      <c r="E10" s="259"/>
      <c r="F10" s="259"/>
      <c r="G10" s="259"/>
      <c r="H10" s="260"/>
      <c r="I10" s="263"/>
      <c r="J10" s="260"/>
      <c r="K10" s="263"/>
      <c r="L10" s="260"/>
      <c r="M10" s="263"/>
      <c r="N10" s="259"/>
      <c r="O10" s="262"/>
    </row>
    <row r="11" spans="1:15">
      <c r="A11" s="257"/>
      <c r="B11" s="258"/>
      <c r="C11" s="258"/>
      <c r="D11" s="259"/>
      <c r="E11" s="259"/>
      <c r="F11" s="259"/>
      <c r="G11" s="259"/>
      <c r="H11" s="260"/>
      <c r="I11" s="263"/>
      <c r="J11" s="260"/>
      <c r="K11" s="263"/>
      <c r="L11" s="260"/>
      <c r="M11" s="263"/>
      <c r="N11" s="259"/>
      <c r="O11" s="262"/>
    </row>
    <row r="12" spans="1:15">
      <c r="A12" s="257"/>
      <c r="B12" s="258"/>
      <c r="C12" s="258"/>
      <c r="D12" s="259"/>
      <c r="E12" s="259"/>
      <c r="F12" s="259"/>
      <c r="G12" s="259"/>
      <c r="H12" s="260"/>
      <c r="I12" s="263"/>
      <c r="J12" s="260"/>
      <c r="K12" s="263"/>
      <c r="L12" s="260"/>
      <c r="M12" s="263"/>
      <c r="N12" s="259"/>
      <c r="O12" s="262"/>
    </row>
    <row r="13" spans="1:15">
      <c r="A13" s="257"/>
      <c r="B13" s="258"/>
      <c r="C13" s="258"/>
      <c r="D13" s="259"/>
      <c r="E13" s="259"/>
      <c r="F13" s="259"/>
      <c r="G13" s="259"/>
      <c r="H13" s="260"/>
      <c r="I13" s="263"/>
      <c r="J13" s="260"/>
      <c r="K13" s="263"/>
      <c r="L13" s="260"/>
      <c r="M13" s="263"/>
      <c r="N13" s="259"/>
      <c r="O13" s="262"/>
    </row>
    <row r="14" spans="1:15">
      <c r="A14" s="257"/>
      <c r="B14" s="258"/>
      <c r="C14" s="258"/>
      <c r="D14" s="259"/>
      <c r="E14" s="259"/>
      <c r="F14" s="259"/>
      <c r="G14" s="204"/>
      <c r="H14" s="260"/>
      <c r="I14" s="263"/>
      <c r="J14" s="260"/>
      <c r="K14" s="263"/>
      <c r="L14" s="260"/>
      <c r="M14" s="263"/>
      <c r="N14" s="259"/>
      <c r="O14" s="262"/>
    </row>
    <row r="15" spans="1:15">
      <c r="A15" s="257"/>
      <c r="B15" s="258"/>
      <c r="C15" s="258"/>
      <c r="D15" s="259"/>
      <c r="E15" s="259"/>
      <c r="F15" s="259"/>
      <c r="G15" s="259"/>
      <c r="H15" s="260"/>
      <c r="I15" s="263"/>
      <c r="J15" s="260"/>
      <c r="K15" s="263"/>
      <c r="L15" s="260"/>
      <c r="M15" s="263"/>
      <c r="N15" s="259"/>
      <c r="O15" s="261"/>
    </row>
    <row r="16" spans="1:15">
      <c r="A16" s="257"/>
      <c r="B16" s="258"/>
      <c r="C16" s="258"/>
      <c r="D16" s="259"/>
      <c r="E16" s="259"/>
      <c r="F16" s="259"/>
      <c r="G16" s="259"/>
      <c r="H16" s="260"/>
      <c r="I16" s="263"/>
      <c r="J16" s="260"/>
      <c r="K16" s="263"/>
      <c r="L16" s="260"/>
      <c r="M16" s="263"/>
      <c r="N16" s="259"/>
      <c r="O16" s="261"/>
    </row>
    <row r="17" spans="1:15">
      <c r="A17" s="257"/>
      <c r="B17" s="258"/>
      <c r="C17" s="258"/>
      <c r="D17" s="259"/>
      <c r="E17" s="259"/>
      <c r="F17" s="259"/>
      <c r="G17" s="259"/>
      <c r="H17" s="260"/>
      <c r="I17" s="263"/>
      <c r="J17" s="260"/>
      <c r="K17" s="263"/>
      <c r="L17" s="260"/>
      <c r="M17" s="263"/>
      <c r="N17" s="259"/>
      <c r="O17" s="261"/>
    </row>
    <row r="18" spans="1:15">
      <c r="A18" s="257"/>
      <c r="B18" s="258"/>
      <c r="C18" s="258"/>
      <c r="D18" s="259"/>
      <c r="E18" s="259"/>
      <c r="F18" s="259"/>
      <c r="G18" s="259"/>
      <c r="H18" s="260"/>
      <c r="I18" s="263"/>
      <c r="J18" s="260"/>
      <c r="K18" s="263"/>
      <c r="L18" s="260"/>
      <c r="M18" s="263"/>
      <c r="N18" s="259"/>
      <c r="O18" s="261"/>
    </row>
    <row r="19" spans="1:15">
      <c r="A19" s="257"/>
      <c r="B19" s="258"/>
      <c r="C19" s="258"/>
      <c r="D19" s="259"/>
      <c r="E19" s="259"/>
      <c r="F19" s="259"/>
      <c r="G19" s="259"/>
      <c r="H19" s="260"/>
      <c r="I19" s="263"/>
      <c r="J19" s="260"/>
      <c r="K19" s="263"/>
      <c r="L19" s="260"/>
      <c r="M19" s="259"/>
      <c r="N19" s="259"/>
      <c r="O19" s="261"/>
    </row>
    <row r="20" spans="1:15">
      <c r="A20" s="257"/>
      <c r="B20" s="258"/>
      <c r="C20" s="258"/>
      <c r="D20" s="259"/>
      <c r="E20" s="259"/>
      <c r="F20" s="259"/>
      <c r="G20" s="259"/>
      <c r="H20" s="260"/>
      <c r="I20" s="263"/>
      <c r="J20" s="260"/>
      <c r="K20" s="263"/>
      <c r="L20" s="260"/>
      <c r="M20" s="259"/>
      <c r="N20" s="259"/>
      <c r="O20" s="261"/>
    </row>
    <row r="21" spans="1:15">
      <c r="A21" s="257"/>
      <c r="B21" s="258"/>
      <c r="C21" s="258"/>
      <c r="D21" s="259"/>
      <c r="E21" s="259"/>
      <c r="F21" s="259"/>
      <c r="G21" s="259"/>
      <c r="H21" s="260"/>
      <c r="I21" s="263"/>
      <c r="J21" s="260"/>
      <c r="K21" s="263"/>
      <c r="L21" s="260"/>
      <c r="M21" s="259"/>
      <c r="N21" s="259"/>
      <c r="O21" s="261"/>
    </row>
    <row r="22" spans="1:15">
      <c r="A22" s="257"/>
      <c r="B22" s="258"/>
      <c r="C22" s="258"/>
      <c r="D22" s="259"/>
      <c r="E22" s="259"/>
      <c r="F22" s="259"/>
      <c r="G22" s="259"/>
      <c r="H22" s="260"/>
      <c r="I22" s="263"/>
      <c r="J22" s="260"/>
      <c r="K22" s="263"/>
      <c r="L22" s="260"/>
      <c r="M22" s="259"/>
      <c r="N22" s="259"/>
      <c r="O22" s="261"/>
    </row>
    <row r="23" spans="1:15">
      <c r="A23" s="257"/>
      <c r="B23" s="258"/>
      <c r="C23" s="258"/>
      <c r="D23" s="259"/>
      <c r="E23" s="259"/>
      <c r="F23" s="259"/>
      <c r="G23" s="259"/>
      <c r="H23" s="260"/>
      <c r="I23" s="263"/>
      <c r="J23" s="260"/>
      <c r="K23" s="263"/>
      <c r="L23" s="260"/>
      <c r="M23" s="259"/>
      <c r="N23" s="259"/>
      <c r="O23" s="261"/>
    </row>
    <row r="24" spans="1:15">
      <c r="A24" s="257"/>
      <c r="B24" s="258"/>
      <c r="C24" s="258"/>
      <c r="D24" s="259"/>
      <c r="E24" s="259"/>
      <c r="F24" s="259"/>
      <c r="G24" s="259"/>
      <c r="H24" s="260"/>
      <c r="I24" s="263"/>
      <c r="J24" s="260"/>
      <c r="K24" s="263"/>
      <c r="L24" s="260"/>
      <c r="M24" s="259"/>
      <c r="N24" s="259"/>
      <c r="O24" s="261"/>
    </row>
    <row r="25" spans="1:15">
      <c r="A25" s="257"/>
      <c r="B25" s="258"/>
      <c r="C25" s="258"/>
      <c r="D25" s="259"/>
      <c r="E25" s="259"/>
      <c r="F25" s="259"/>
      <c r="G25" s="259"/>
      <c r="H25" s="260"/>
      <c r="I25" s="263"/>
      <c r="J25" s="260"/>
      <c r="K25" s="259"/>
      <c r="L25" s="260"/>
      <c r="M25" s="259"/>
      <c r="N25" s="259"/>
      <c r="O25" s="261"/>
    </row>
    <row r="26" spans="1:15">
      <c r="A26" s="284"/>
      <c r="B26" s="285"/>
      <c r="C26" s="285"/>
      <c r="D26" s="285"/>
      <c r="E26" s="285"/>
      <c r="F26" s="285"/>
      <c r="G26" s="285"/>
      <c r="H26" s="285"/>
      <c r="I26" s="285"/>
      <c r="J26" s="285"/>
      <c r="K26" s="285"/>
      <c r="L26" s="285"/>
      <c r="M26" s="285"/>
      <c r="N26" s="285"/>
      <c r="O26" s="286"/>
    </row>
    <row r="27" spans="1:15">
      <c r="A27" s="287"/>
      <c r="B27" s="288"/>
      <c r="C27" s="288"/>
      <c r="D27" s="288"/>
      <c r="E27" s="288"/>
      <c r="F27" s="288"/>
      <c r="G27" s="288"/>
      <c r="H27" s="288"/>
      <c r="I27" s="288"/>
      <c r="J27" s="288"/>
      <c r="K27" s="288"/>
      <c r="L27" s="288"/>
      <c r="M27" s="288"/>
      <c r="N27" s="288"/>
      <c r="O27" s="289"/>
    </row>
    <row r="28" spans="1:15" ht="15.75" thickBot="1">
      <c r="A28" s="290"/>
      <c r="B28" s="291"/>
      <c r="C28" s="291"/>
      <c r="D28" s="291"/>
      <c r="E28" s="291"/>
      <c r="F28" s="291"/>
      <c r="G28" s="291"/>
      <c r="H28" s="291"/>
      <c r="I28" s="291"/>
      <c r="J28" s="291"/>
      <c r="K28" s="291"/>
      <c r="L28" s="291"/>
      <c r="M28" s="291"/>
      <c r="N28" s="291"/>
      <c r="O28" s="292"/>
    </row>
    <row r="29" spans="1:15" ht="15.75" thickTop="1"/>
  </sheetData>
  <mergeCells count="21">
    <mergeCell ref="N6:N7"/>
    <mergeCell ref="O6:O7"/>
    <mergeCell ref="A5:O5"/>
    <mergeCell ref="A6:A7"/>
    <mergeCell ref="B6:C6"/>
    <mergeCell ref="D6:D7"/>
    <mergeCell ref="E6:E7"/>
    <mergeCell ref="F6:F7"/>
    <mergeCell ref="G6:G7"/>
    <mergeCell ref="H6:I6"/>
    <mergeCell ref="J6:K6"/>
    <mergeCell ref="L6:M6"/>
    <mergeCell ref="A1:G2"/>
    <mergeCell ref="H1:M2"/>
    <mergeCell ref="N1:O1"/>
    <mergeCell ref="N2:O2"/>
    <mergeCell ref="A3:G4"/>
    <mergeCell ref="H3:M3"/>
    <mergeCell ref="N3:O3"/>
    <mergeCell ref="H4:M4"/>
    <mergeCell ref="N4:O4"/>
  </mergeCells>
  <pageMargins left="0" right="0" top="0.75" bottom="0.75" header="0.3" footer="0.3"/>
  <pageSetup orientation="landscape" r:id="rId1"/>
  <drawing r:id="rId2"/>
  <legacyDrawing r:id="rId3"/>
  <oleObjects>
    <mc:AlternateContent xmlns:mc="http://schemas.openxmlformats.org/markup-compatibility/2006">
      <mc:Choice Requires="x14">
        <oleObject progId="PBrush" shapeId="69633" r:id="rId4">
          <objectPr defaultSize="0" autoPict="0" r:id="rId5">
            <anchor moveWithCells="1" sizeWithCells="1">
              <from>
                <xdr:col>2</xdr:col>
                <xdr:colOff>266700</xdr:colOff>
                <xdr:row>2</xdr:row>
                <xdr:rowOff>47625</xdr:rowOff>
              </from>
              <to>
                <xdr:col>4</xdr:col>
                <xdr:colOff>142875</xdr:colOff>
                <xdr:row>3</xdr:row>
                <xdr:rowOff>600075</xdr:rowOff>
              </to>
            </anchor>
          </objectPr>
        </oleObject>
      </mc:Choice>
      <mc:Fallback>
        <oleObject progId="PBrush" shapeId="6963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vt:i4>
      </vt:variant>
    </vt:vector>
  </HeadingPairs>
  <TitlesOfParts>
    <vt:vector size="23" baseType="lpstr">
      <vt:lpstr> TABLE  </vt:lpstr>
      <vt:lpstr>001 Problem Encounter </vt:lpstr>
      <vt:lpstr>01 Problem Encounter </vt:lpstr>
      <vt:lpstr>002 General Information</vt:lpstr>
      <vt:lpstr>3 Contractual Matters</vt:lpstr>
      <vt:lpstr>004 Income VS Expence</vt:lpstr>
      <vt:lpstr>005  Financial Progress Report</vt:lpstr>
      <vt:lpstr>06 Plan Executed</vt:lpstr>
      <vt:lpstr>07 Crew formation</vt:lpstr>
      <vt:lpstr>008 Man power Expense</vt:lpstr>
      <vt:lpstr>09 Material</vt:lpstr>
      <vt:lpstr>10 Old Weekly Report </vt:lpstr>
      <vt:lpstr>011 Equipment Rent</vt:lpstr>
      <vt:lpstr>12 fuel EVa</vt:lpstr>
      <vt:lpstr>013 Fuel Cost </vt:lpstr>
      <vt:lpstr>14 Rental damp turck</vt:lpstr>
      <vt:lpstr>015 Template status</vt:lpstr>
      <vt:lpstr>16 Box or Slab Culvert</vt:lpstr>
      <vt:lpstr>17 Pipe Culvert</vt:lpstr>
      <vt:lpstr>' TABLE  '!Print_Area</vt:lpstr>
      <vt:lpstr>'002 General Information'!Print_Area</vt:lpstr>
      <vt:lpstr>'004 Income VS Expence'!Print_Area</vt:lpstr>
      <vt:lpstr>'011 Equipment Rent'!Print_Area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Abduejebar</dc:creator>
  <cp:lastModifiedBy>User</cp:lastModifiedBy>
  <cp:lastPrinted>2019-07-25T11:38:51Z</cp:lastPrinted>
  <dcterms:created xsi:type="dcterms:W3CDTF">2019-02-21T06:49:26Z</dcterms:created>
  <dcterms:modified xsi:type="dcterms:W3CDTF">2020-01-18T01:02:56Z</dcterms:modified>
</cp:coreProperties>
</file>