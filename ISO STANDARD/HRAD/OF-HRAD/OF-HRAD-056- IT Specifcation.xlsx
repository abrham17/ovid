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18195" windowHeight="11760" firstSheet="2" activeTab="7"/>
  </bookViews>
  <sheets>
    <sheet name="Sheet1 (5)" sheetId="7" r:id="rId1"/>
    <sheet name="Sheet1 (4)" sheetId="6" r:id="rId2"/>
    <sheet name="Sheet1 (3)" sheetId="5" r:id="rId3"/>
    <sheet name="Sheet1 (2)" sheetId="4" r:id="rId4"/>
    <sheet name="Sheet1" sheetId="1" r:id="rId5"/>
    <sheet name="Sheet2" sheetId="2" r:id="rId6"/>
    <sheet name="Sheet3" sheetId="3" r:id="rId7"/>
    <sheet name="Lap top Computer Specifcation" sheetId="8" r:id="rId8"/>
    <sheet name="Sheet4" sheetId="9" r:id="rId9"/>
    <sheet name="Sheet5" sheetId="10" r:id="rId10"/>
  </sheets>
  <calcPr calcId="144525"/>
</workbook>
</file>

<file path=xl/calcChain.xml><?xml version="1.0" encoding="utf-8"?>
<calcChain xmlns="http://schemas.openxmlformats.org/spreadsheetml/2006/main">
  <c r="M8" i="7" l="1"/>
  <c r="M9" i="7" s="1"/>
  <c r="N19" i="6"/>
  <c r="N20" i="6" s="1"/>
  <c r="L12" i="5"/>
  <c r="K12" i="4" l="1"/>
  <c r="K13" i="4" s="1"/>
</calcChain>
</file>

<file path=xl/sharedStrings.xml><?xml version="1.0" encoding="utf-8"?>
<sst xmlns="http://schemas.openxmlformats.org/spreadsheetml/2006/main" count="330" uniqueCount="114">
  <si>
    <t>No</t>
  </si>
  <si>
    <t xml:space="preserve">Supplier Name </t>
  </si>
  <si>
    <t>Supplier Description</t>
  </si>
  <si>
    <t>Model</t>
  </si>
  <si>
    <t xml:space="preserve">Processor </t>
  </si>
  <si>
    <t>warranty</t>
  </si>
  <si>
    <t>Unit Price Including VAT 15%</t>
  </si>
  <si>
    <t>ON -LINE Computer Trading</t>
  </si>
  <si>
    <t>500GB</t>
  </si>
  <si>
    <t>4GB</t>
  </si>
  <si>
    <t xml:space="preserve">3 years limited part labor warranty of CPU and 1 Year Monitor, Keyboard and Mouse </t>
  </si>
  <si>
    <t>One Year</t>
  </si>
  <si>
    <t xml:space="preserve">Satellite Genereal Trading </t>
  </si>
  <si>
    <t>STAPLES Trading</t>
  </si>
  <si>
    <t xml:space="preserve">PRO -TECK Trading </t>
  </si>
  <si>
    <t>Dell optiplex GX 3040</t>
  </si>
  <si>
    <t>RAM</t>
  </si>
  <si>
    <t>Hard Drive</t>
  </si>
  <si>
    <t>Dell optiplex  GX 3040</t>
  </si>
  <si>
    <t>Dell  3040</t>
  </si>
  <si>
    <t>Dell optiplex  3040</t>
  </si>
  <si>
    <t>GUPITER  Trading</t>
  </si>
  <si>
    <t>Dell optiplex 3040</t>
  </si>
  <si>
    <t xml:space="preserve"> Dell optiplex  3050</t>
  </si>
  <si>
    <t xml:space="preserve">Summary: - Based on the specifications we analyze all computer specifications. All are the same except Pro-Kid Tek computer technology. So that according to the request the selected supplier description fit to the organization demand.
Wondwosen Tesfaye 
</t>
  </si>
  <si>
    <t>Not mansion</t>
  </si>
  <si>
    <t xml:space="preserve">PO - KID TECK </t>
  </si>
  <si>
    <t>Core i3 , 3.6</t>
  </si>
  <si>
    <t>Core i3, 3.7</t>
  </si>
  <si>
    <t>Dell optiplex 3050</t>
  </si>
  <si>
    <t>Core i3, 3.9</t>
  </si>
  <si>
    <t>Core i5,3.41</t>
  </si>
  <si>
    <t>Core i5, 3.7</t>
  </si>
  <si>
    <t>Memory</t>
  </si>
  <si>
    <t>DDR3</t>
  </si>
  <si>
    <t>DDR4</t>
  </si>
  <si>
    <t>Dell optiplex GX 3050</t>
  </si>
  <si>
    <t xml:space="preserve"> Dell optiplex  3040</t>
  </si>
  <si>
    <t>Core i3, 3.2</t>
  </si>
  <si>
    <t>Dell  3050</t>
  </si>
  <si>
    <t xml:space="preserve">Computer Specification </t>
  </si>
  <si>
    <t>Size</t>
  </si>
  <si>
    <t xml:space="preserve">Type </t>
  </si>
  <si>
    <t>Two Year</t>
  </si>
  <si>
    <t xml:space="preserve">Core i3.9 </t>
  </si>
  <si>
    <t xml:space="preserve">HP Notebook PC </t>
  </si>
  <si>
    <t xml:space="preserve">Generation </t>
  </si>
  <si>
    <t xml:space="preserve">Core </t>
  </si>
  <si>
    <t xml:space="preserve">7th Generation </t>
  </si>
  <si>
    <t>Core i7, 2.7</t>
  </si>
  <si>
    <t xml:space="preserve">BENAS COMPUTER </t>
  </si>
  <si>
    <t xml:space="preserve">6th Generation </t>
  </si>
  <si>
    <t>DDR3L</t>
  </si>
  <si>
    <t xml:space="preserve">One year Warranty for manufactur defects </t>
  </si>
  <si>
    <t xml:space="preserve">ATMT COMTECH PLC </t>
  </si>
  <si>
    <t xml:space="preserve">ECAS TRADING PLC </t>
  </si>
  <si>
    <t>7th Generation</t>
  </si>
  <si>
    <t>Core i3 , 3.9</t>
  </si>
  <si>
    <t xml:space="preserve">Desktop Computer Specification </t>
  </si>
  <si>
    <t xml:space="preserve">Laptop Computer Specification </t>
  </si>
  <si>
    <t xml:space="preserve">1TB </t>
  </si>
  <si>
    <t xml:space="preserve">2 years for mentenance and 1 year for parst </t>
  </si>
  <si>
    <t>8GB</t>
  </si>
  <si>
    <t>Toshiba</t>
  </si>
  <si>
    <t>Core i7, 2.4</t>
  </si>
  <si>
    <t>750GB</t>
  </si>
  <si>
    <t>HP LAPTOP</t>
  </si>
  <si>
    <t>Core i7, 2.9</t>
  </si>
  <si>
    <t xml:space="preserve">WEB CAM </t>
  </si>
  <si>
    <t xml:space="preserve">Screen size in inch  </t>
  </si>
  <si>
    <t xml:space="preserve">Core i3, </t>
  </si>
  <si>
    <t>three Year</t>
  </si>
  <si>
    <t xml:space="preserve">Core i3.3.2 </t>
  </si>
  <si>
    <r>
      <t>Summary: - Based on the specifications we analyze all computer specifications.According to the request</t>
    </r>
    <r>
      <rPr>
        <b/>
        <sz val="11"/>
        <color theme="1"/>
        <rFont val="Calibri"/>
        <family val="2"/>
        <scheme val="minor"/>
      </rPr>
      <t xml:space="preserve"> Satellite General Trading </t>
    </r>
    <r>
      <rPr>
        <sz val="11"/>
        <color theme="1"/>
        <rFont val="Calibri"/>
        <family val="2"/>
        <scheme val="minor"/>
      </rPr>
      <t xml:space="preserve"> supplier description fit to the organization demand.
Wondwosen Tesfaye 
</t>
    </r>
  </si>
  <si>
    <r>
      <t>Summary: - Based on the specifications we analyze all computer specifications.According to the request</t>
    </r>
    <r>
      <rPr>
        <b/>
        <sz val="11"/>
        <color theme="1"/>
        <rFont val="Calibri"/>
        <family val="2"/>
        <scheme val="minor"/>
      </rPr>
      <t xml:space="preserve"> ON-LINE Computer Trading</t>
    </r>
    <r>
      <rPr>
        <sz val="11"/>
        <color theme="1"/>
        <rFont val="Calibri"/>
        <family val="2"/>
        <scheme val="minor"/>
      </rPr>
      <t xml:space="preserve">  supplier description fit to the organization demand.
Wondwosen Tesfaye 
</t>
    </r>
  </si>
  <si>
    <t>አሰር ኮንስትራክሽን ኃ.የተ.የግ.ማ
ASER CONSTRUCTION P.L.C</t>
  </si>
  <si>
    <t xml:space="preserve">FORMAT </t>
  </si>
  <si>
    <t>Document No</t>
  </si>
  <si>
    <t>Issue No.</t>
  </si>
  <si>
    <t>OF/HRAD/056</t>
  </si>
  <si>
    <t>Laptop Computer Specifcation</t>
  </si>
  <si>
    <t>Web Cam</t>
  </si>
  <si>
    <r>
      <t>Summary: - Based on the specifications we analyze all computer specifications.According to the request</t>
    </r>
    <r>
      <rPr>
        <b/>
        <sz val="11"/>
        <color theme="1"/>
        <rFont val="Cambria"/>
        <family val="1"/>
        <scheme val="major"/>
      </rPr>
      <t xml:space="preserve"> ON-LINE Computer Trading</t>
    </r>
    <r>
      <rPr>
        <sz val="11"/>
        <color theme="1"/>
        <rFont val="Cambria"/>
        <family val="1"/>
        <scheme val="major"/>
      </rPr>
      <t xml:space="preserve">  supplier description fit to the organization demand.
Wondwosen Tesfaye 
</t>
    </r>
  </si>
  <si>
    <t xml:space="preserve"> </t>
  </si>
  <si>
    <t xml:space="preserve">Photo copy machine </t>
  </si>
  <si>
    <t xml:space="preserve">Scan Resolution </t>
  </si>
  <si>
    <t xml:space="preserve">Memory </t>
  </si>
  <si>
    <t xml:space="preserve">CPU </t>
  </si>
  <si>
    <t xml:space="preserve">Coping and Printing </t>
  </si>
  <si>
    <t xml:space="preserve">First Copy Time </t>
  </si>
  <si>
    <t xml:space="preserve">Warming up time </t>
  </si>
  <si>
    <t>600dpi</t>
  </si>
  <si>
    <t xml:space="preserve">Note: - Based on the department request they don't need heavy duty scanner so according
 to these  information we select On-Line computer trading spec. because from other medium 
Scanner specs its better than other in Dots per Pixel (dpi).
ICT Service 
</t>
  </si>
  <si>
    <t>Photo Copy Machine</t>
  </si>
  <si>
    <t>Form</t>
  </si>
  <si>
    <t xml:space="preserve">Maximum document size </t>
  </si>
  <si>
    <t xml:space="preserve">automatic document feeder speed </t>
  </si>
  <si>
    <t>Hp scan jet 2500f Digital flatbed Scanner authomatic document feeder</t>
  </si>
  <si>
    <t>2400dpi</t>
  </si>
  <si>
    <t>21.6cmx27.9cm</t>
  </si>
  <si>
    <t>up to 8ppm</t>
  </si>
  <si>
    <t>Hp 7500 Scanner</t>
  </si>
  <si>
    <t>HP scanerjet pro 2500n</t>
  </si>
  <si>
    <t xml:space="preserve">Hp Scanner heavy duty 2500fi authomatic document feeder </t>
  </si>
  <si>
    <t>1200dpi</t>
  </si>
  <si>
    <t>21.6cmx309.9cm</t>
  </si>
  <si>
    <t>up to 20ppm/40 ipm</t>
  </si>
  <si>
    <t xml:space="preserve">one year limited warranty </t>
  </si>
  <si>
    <t>216mmx356mm</t>
  </si>
  <si>
    <t>up to 50ppm/100 ipm</t>
  </si>
  <si>
    <t xml:space="preserve">1 year warranty for manufacture defects not include electrical shock &amp; fall </t>
  </si>
  <si>
    <t xml:space="preserve">Scanner Specifcation Tender </t>
  </si>
  <si>
    <t>Switch Specifcation</t>
  </si>
  <si>
    <r>
      <rPr>
        <b/>
        <sz val="11"/>
        <color theme="1"/>
        <rFont val="Times New Roman"/>
        <family val="1"/>
      </rPr>
      <t>NOTE:-</t>
    </r>
    <r>
      <rPr>
        <sz val="11"/>
        <color theme="1"/>
        <rFont val="Times New Roman"/>
        <family val="1"/>
      </rPr>
      <t xml:space="preserve"> We ask 16 port Gigabit Switch for centeral workshop but there is no 16 port switch in the market depend on the proforma. So that PRO-KID TEK COMPUTER TECHNOLOGY 24 port switch is fit for the organization and we can swap the new 24 port switch for head office and provide 16 port to centeral workshop.
Wondwosen Tesfaye 
</t>
    </r>
  </si>
</sst>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12"/>
      <color theme="1"/>
      <name val="Calibri"/>
      <family val="2"/>
      <scheme val="minor"/>
    </font>
    <font>
      <b/>
      <sz val="16"/>
      <color theme="1"/>
      <name val="Calibri"/>
      <family val="2"/>
      <scheme val="minor"/>
    </font>
    <font>
      <b/>
      <sz val="11"/>
      <color theme="1"/>
      <name val="Calibri"/>
      <family val="2"/>
      <scheme val="minor"/>
    </font>
    <font>
      <b/>
      <sz val="12"/>
      <color theme="1"/>
      <name val="Times New Roman"/>
      <family val="1"/>
    </font>
    <font>
      <sz val="12"/>
      <color theme="1"/>
      <name val="Times New Roman"/>
      <family val="1"/>
    </font>
    <font>
      <b/>
      <sz val="9"/>
      <color theme="1"/>
      <name val="Times New Roman"/>
      <family val="1"/>
    </font>
    <font>
      <sz val="8"/>
      <color theme="1"/>
      <name val="Times New Roman"/>
      <family val="1"/>
    </font>
    <font>
      <sz val="9"/>
      <color theme="1"/>
      <name val="Times New Roman"/>
      <family val="1"/>
    </font>
    <font>
      <b/>
      <sz val="14"/>
      <color theme="1"/>
      <name val="Times New Roman"/>
      <family val="1"/>
    </font>
    <font>
      <b/>
      <sz val="8"/>
      <color theme="1"/>
      <name val="Times New Roman"/>
      <family val="1"/>
    </font>
    <font>
      <b/>
      <sz val="11"/>
      <color theme="1"/>
      <name val="Times New Roman"/>
      <family val="1"/>
    </font>
    <font>
      <b/>
      <sz val="10"/>
      <color theme="1"/>
      <name val="Times New Roman"/>
      <family val="1"/>
    </font>
    <font>
      <sz val="11"/>
      <color theme="1"/>
      <name val="Cambria"/>
      <family val="1"/>
      <scheme val="major"/>
    </font>
    <font>
      <b/>
      <sz val="11"/>
      <color theme="1"/>
      <name val="Cambria"/>
      <family val="1"/>
      <scheme val="major"/>
    </font>
    <font>
      <sz val="11"/>
      <color theme="1"/>
      <name val="Times New Roman"/>
      <family val="1"/>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145">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xf>
    <xf numFmtId="4" fontId="1" fillId="0" borderId="1" xfId="0" applyNumberFormat="1" applyFont="1" applyBorder="1"/>
    <xf numFmtId="0" fontId="0" fillId="0" borderId="0" xfId="0" applyAlignment="1">
      <alignment vertical="center"/>
    </xf>
    <xf numFmtId="0" fontId="1" fillId="0" borderId="6" xfId="0" applyFont="1" applyBorder="1" applyAlignment="1">
      <alignment horizontal="center" vertical="center" wrapText="1"/>
    </xf>
    <xf numFmtId="0" fontId="2" fillId="0" borderId="0" xfId="0" applyFont="1"/>
    <xf numFmtId="0" fontId="1" fillId="0" borderId="6" xfId="0" applyFont="1" applyBorder="1" applyAlignment="1">
      <alignment vertical="center"/>
    </xf>
    <xf numFmtId="0" fontId="1" fillId="0" borderId="6" xfId="0" applyFont="1" applyBorder="1" applyAlignment="1">
      <alignment horizontal="center" vertical="center"/>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6" xfId="0" applyFont="1" applyBorder="1" applyAlignment="1">
      <alignment horizontal="center" vertical="center"/>
    </xf>
    <xf numFmtId="0" fontId="1" fillId="0" borderId="6" xfId="0" applyFont="1" applyBorder="1" applyAlignment="1">
      <alignment vertical="center"/>
    </xf>
    <xf numFmtId="0" fontId="0" fillId="0" borderId="1" xfId="0" applyFill="1" applyBorder="1" applyAlignment="1">
      <alignment horizontal="center" vertical="center"/>
    </xf>
    <xf numFmtId="0" fontId="0" fillId="0" borderId="1" xfId="0" applyFill="1" applyBorder="1" applyAlignment="1">
      <alignment horizontal="left" vertical="center"/>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4" fontId="1" fillId="0" borderId="1" xfId="0" applyNumberFormat="1" applyFont="1" applyFill="1" applyBorder="1"/>
    <xf numFmtId="0" fontId="0" fillId="0" borderId="0" xfId="0" applyFill="1"/>
    <xf numFmtId="0" fontId="0" fillId="0" borderId="1" xfId="0" applyFill="1" applyBorder="1" applyAlignment="1">
      <alignment vertical="center"/>
    </xf>
    <xf numFmtId="0" fontId="0" fillId="0" borderId="6" xfId="0" applyFill="1" applyBorder="1" applyAlignment="1">
      <alignment horizontal="center" vertical="center"/>
    </xf>
    <xf numFmtId="0" fontId="0" fillId="0" borderId="5" xfId="0" applyFill="1" applyBorder="1" applyAlignment="1">
      <alignment vertical="center" wrapText="1"/>
    </xf>
    <xf numFmtId="0" fontId="0" fillId="0" borderId="1" xfId="0" applyFill="1" applyBorder="1" applyAlignment="1">
      <alignment wrapText="1"/>
    </xf>
    <xf numFmtId="0" fontId="0" fillId="0" borderId="5" xfId="0" applyFill="1" applyBorder="1" applyAlignment="1">
      <alignment vertical="center"/>
    </xf>
    <xf numFmtId="0" fontId="0" fillId="0" borderId="1" xfId="0" applyFill="1" applyBorder="1"/>
    <xf numFmtId="0" fontId="0" fillId="0" borderId="1" xfId="0" applyFill="1" applyBorder="1" applyAlignment="1">
      <alignment vertical="center" wrapText="1"/>
    </xf>
    <xf numFmtId="0" fontId="3" fillId="0" borderId="0" xfId="0" applyFont="1"/>
    <xf numFmtId="0" fontId="3" fillId="0" borderId="1" xfId="0" applyFont="1" applyFill="1" applyBorder="1" applyAlignment="1">
      <alignment horizontal="center" vertical="center"/>
    </xf>
    <xf numFmtId="0" fontId="3" fillId="0" borderId="1" xfId="0" applyFont="1" applyFill="1" applyBorder="1" applyAlignment="1">
      <alignment horizontal="left" vertical="center"/>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vertical="center"/>
    </xf>
    <xf numFmtId="0" fontId="3" fillId="0" borderId="1" xfId="0" applyFont="1" applyFill="1" applyBorder="1" applyAlignment="1">
      <alignment wrapText="1"/>
    </xf>
    <xf numFmtId="0" fontId="0" fillId="0" borderId="6" xfId="0" applyFill="1" applyBorder="1" applyAlignment="1">
      <alignment horizontal="center" vertical="center"/>
    </xf>
    <xf numFmtId="0" fontId="0" fillId="2" borderId="5" xfId="0" applyFill="1" applyBorder="1" applyAlignment="1">
      <alignment vertical="center" wrapText="1"/>
    </xf>
    <xf numFmtId="0" fontId="0" fillId="2" borderId="1" xfId="0"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wrapText="1"/>
    </xf>
    <xf numFmtId="4" fontId="1" fillId="2" borderId="1" xfId="0" applyNumberFormat="1" applyFont="1" applyFill="1" applyBorder="1"/>
    <xf numFmtId="0" fontId="13" fillId="0" borderId="0" xfId="0" applyFont="1"/>
    <xf numFmtId="0" fontId="5" fillId="0" borderId="0" xfId="0" applyFont="1"/>
    <xf numFmtId="0" fontId="1" fillId="0" borderId="1" xfId="0" applyFont="1" applyBorder="1" applyAlignment="1">
      <alignment horizontal="center" vertical="center" wrapText="1"/>
    </xf>
    <xf numFmtId="0" fontId="4" fillId="0" borderId="1" xfId="0" applyFont="1" applyBorder="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left" vertical="center"/>
    </xf>
    <xf numFmtId="0" fontId="15" fillId="0" borderId="1" xfId="0" applyFont="1" applyBorder="1" applyAlignment="1">
      <alignment horizontal="center" vertical="center" wrapText="1"/>
    </xf>
    <xf numFmtId="0" fontId="15" fillId="0" borderId="1" xfId="0" applyFont="1" applyBorder="1"/>
    <xf numFmtId="4" fontId="4" fillId="0" borderId="1" xfId="0" applyNumberFormat="1" applyFont="1" applyBorder="1"/>
    <xf numFmtId="0" fontId="15" fillId="0" borderId="1" xfId="0" applyFont="1" applyBorder="1" applyAlignment="1">
      <alignment horizontal="left" vertical="center" wrapText="1"/>
    </xf>
    <xf numFmtId="0" fontId="15" fillId="0" borderId="1" xfId="0" applyFont="1" applyBorder="1" applyAlignment="1">
      <alignment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5" fillId="0" borderId="1" xfId="0" applyFont="1" applyBorder="1" applyAlignment="1">
      <alignment vertical="center" wrapText="1"/>
    </xf>
    <xf numFmtId="0" fontId="9" fillId="0" borderId="0" xfId="0" applyFont="1"/>
    <xf numFmtId="0" fontId="15" fillId="0" borderId="0" xfId="0" applyFont="1"/>
    <xf numFmtId="0" fontId="12" fillId="0" borderId="6" xfId="0" applyFont="1" applyBorder="1" applyAlignment="1">
      <alignment vertical="center"/>
    </xf>
    <xf numFmtId="0" fontId="12" fillId="0" borderId="6" xfId="0" applyFont="1" applyBorder="1" applyAlignment="1">
      <alignment horizontal="center" vertical="center"/>
    </xf>
    <xf numFmtId="0" fontId="0" fillId="0" borderId="0" xfId="0" applyAlignment="1">
      <alignment horizontal="center"/>
    </xf>
    <xf numFmtId="0" fontId="4" fillId="0" borderId="5" xfId="0" applyFont="1" applyBorder="1" applyAlignment="1">
      <alignment vertical="center"/>
    </xf>
    <xf numFmtId="0" fontId="4" fillId="0" borderId="5" xfId="0" applyFont="1" applyBorder="1" applyAlignment="1">
      <alignment horizontal="center"/>
    </xf>
    <xf numFmtId="0" fontId="4" fillId="0" borderId="5" xfId="0" applyFont="1" applyBorder="1" applyAlignment="1">
      <alignment horizontal="center" vertical="center" wrapText="1"/>
    </xf>
    <xf numFmtId="0" fontId="4" fillId="0" borderId="6" xfId="0" applyFont="1" applyBorder="1" applyAlignment="1">
      <alignment vertical="center"/>
    </xf>
    <xf numFmtId="0" fontId="4" fillId="0" borderId="6" xfId="0" applyFont="1" applyBorder="1" applyAlignment="1">
      <alignment horizontal="center"/>
    </xf>
    <xf numFmtId="0" fontId="4" fillId="0" borderId="6" xfId="0" applyFont="1" applyBorder="1" applyAlignment="1">
      <alignment horizontal="center" vertical="center" wrapText="1"/>
    </xf>
    <xf numFmtId="4" fontId="4" fillId="0" borderId="1" xfId="0" applyNumberFormat="1" applyFont="1" applyBorder="1" applyAlignment="1">
      <alignment horizontal="right"/>
    </xf>
    <xf numFmtId="0" fontId="15" fillId="0" borderId="5" xfId="0" applyFont="1" applyBorder="1" applyAlignment="1">
      <alignment horizontal="center" vertical="center"/>
    </xf>
    <xf numFmtId="0" fontId="4" fillId="0" borderId="2" xfId="0" applyFont="1" applyBorder="1" applyAlignment="1">
      <alignment horizontal="center" vertical="center" wrapText="1"/>
    </xf>
    <xf numFmtId="0" fontId="0" fillId="0" borderId="0" xfId="0" applyAlignment="1">
      <alignment horizontal="center" vertical="center" wrapText="1"/>
    </xf>
    <xf numFmtId="0" fontId="1" fillId="0" borderId="5" xfId="0" applyFont="1" applyBorder="1" applyAlignment="1">
      <alignment horizontal="center" vertical="center"/>
    </xf>
    <xf numFmtId="0" fontId="1" fillId="0" borderId="7"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0" fillId="0" borderId="5" xfId="0" applyFill="1" applyBorder="1" applyAlignment="1">
      <alignment horizontal="center" vertical="center"/>
    </xf>
    <xf numFmtId="0" fontId="0" fillId="0" borderId="6" xfId="0" applyFill="1" applyBorder="1" applyAlignment="1">
      <alignment horizontal="center" vertical="center"/>
    </xf>
    <xf numFmtId="0" fontId="4" fillId="2" borderId="8" xfId="0" applyFont="1" applyFill="1" applyBorder="1" applyAlignment="1">
      <alignment horizontal="center" wrapText="1"/>
    </xf>
    <xf numFmtId="0" fontId="4" fillId="2" borderId="9" xfId="0" applyFont="1" applyFill="1" applyBorder="1" applyAlignment="1">
      <alignment horizontal="center"/>
    </xf>
    <xf numFmtId="0" fontId="4" fillId="2" borderId="10" xfId="0" applyFont="1" applyFill="1" applyBorder="1" applyAlignment="1">
      <alignment horizontal="center"/>
    </xf>
    <xf numFmtId="0" fontId="4" fillId="2" borderId="11" xfId="0" applyFont="1" applyFill="1" applyBorder="1" applyAlignment="1">
      <alignment horizontal="center"/>
    </xf>
    <xf numFmtId="0" fontId="5" fillId="2" borderId="1" xfId="0" applyFont="1" applyFill="1" applyBorder="1" applyAlignment="1">
      <alignment horizontal="center" wrapText="1"/>
    </xf>
    <xf numFmtId="0" fontId="6" fillId="2" borderId="1" xfId="0" applyFont="1" applyFill="1" applyBorder="1" applyAlignment="1">
      <alignment horizontal="center" wrapText="1"/>
    </xf>
    <xf numFmtId="0" fontId="7"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8" xfId="0" applyFont="1" applyFill="1" applyBorder="1" applyAlignment="1">
      <alignment horizontal="center"/>
    </xf>
    <xf numFmtId="0" fontId="8" fillId="2" borderId="9" xfId="0" applyFont="1" applyFill="1" applyBorder="1" applyAlignment="1">
      <alignment horizontal="center"/>
    </xf>
    <xf numFmtId="0" fontId="8" fillId="2" borderId="10" xfId="0" applyFont="1" applyFill="1" applyBorder="1" applyAlignment="1">
      <alignment horizontal="center"/>
    </xf>
    <xf numFmtId="0" fontId="8" fillId="2" borderId="11" xfId="0" applyFont="1" applyFill="1" applyBorder="1" applyAlignment="1">
      <alignment horizontal="center"/>
    </xf>
    <xf numFmtId="0" fontId="9" fillId="2" borderId="8"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0"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left" vertical="center"/>
    </xf>
    <xf numFmtId="0" fontId="0" fillId="0" borderId="6" xfId="0" applyBorder="1" applyAlignment="1">
      <alignment horizontal="left" vertical="center"/>
    </xf>
    <xf numFmtId="0" fontId="0" fillId="0" borderId="5" xfId="0" applyBorder="1" applyAlignment="1">
      <alignment horizontal="center" vertical="center"/>
    </xf>
    <xf numFmtId="0" fontId="0" fillId="0" borderId="6" xfId="0"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1" fillId="0" borderId="5" xfId="0" applyFont="1" applyBorder="1" applyAlignment="1">
      <alignment vertical="center"/>
    </xf>
    <xf numFmtId="0" fontId="1" fillId="0" borderId="6" xfId="0" applyFont="1" applyBorder="1" applyAlignment="1">
      <alignment vertical="center"/>
    </xf>
    <xf numFmtId="0" fontId="9" fillId="2" borderId="12"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5" fillId="0" borderId="0" xfId="0" applyFont="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2" fillId="0" borderId="5" xfId="0" applyFont="1" applyBorder="1" applyAlignment="1">
      <alignment vertical="center"/>
    </xf>
    <xf numFmtId="0" fontId="12" fillId="0" borderId="6" xfId="0" applyFont="1" applyBorder="1" applyAlignment="1">
      <alignment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15" fillId="0" borderId="0" xfId="0" applyFont="1" applyAlignment="1">
      <alignment horizontal="left" vertical="top" wrapText="1"/>
    </xf>
    <xf numFmtId="0" fontId="15" fillId="0" borderId="0" xfId="0" applyFont="1" applyAlignment="1">
      <alignment horizontal="left" vertical="top"/>
    </xf>
    <xf numFmtId="0" fontId="12" fillId="0" borderId="7" xfId="0" applyFont="1" applyBorder="1" applyAlignment="1">
      <alignment horizontal="center" vertical="center" wrapText="1"/>
    </xf>
    <xf numFmtId="0" fontId="13" fillId="0" borderId="0" xfId="0" applyFont="1" applyAlignment="1">
      <alignment horizontal="center" vertical="center" wrapText="1"/>
    </xf>
    <xf numFmtId="0" fontId="11" fillId="0" borderId="5" xfId="0" applyFont="1" applyBorder="1" applyAlignment="1">
      <alignment horizontal="center" vertical="center"/>
    </xf>
    <xf numFmtId="0" fontId="11" fillId="0" borderId="7" xfId="0" applyFont="1" applyBorder="1" applyAlignment="1">
      <alignment horizontal="center" vertical="center"/>
    </xf>
    <xf numFmtId="0" fontId="11" fillId="0" borderId="6" xfId="0" applyFont="1" applyBorder="1" applyAlignment="1">
      <alignment horizontal="center" vertical="center"/>
    </xf>
    <xf numFmtId="0" fontId="12" fillId="0" borderId="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161925</xdr:colOff>
          <xdr:row>2</xdr:row>
          <xdr:rowOff>47625</xdr:rowOff>
        </xdr:from>
        <xdr:to>
          <xdr:col>2</xdr:col>
          <xdr:colOff>123825</xdr:colOff>
          <xdr:row>4</xdr:row>
          <xdr:rowOff>0</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314325</xdr:colOff>
          <xdr:row>2</xdr:row>
          <xdr:rowOff>19050</xdr:rowOff>
        </xdr:from>
        <xdr:to>
          <xdr:col>2</xdr:col>
          <xdr:colOff>438150</xdr:colOff>
          <xdr:row>3</xdr:row>
          <xdr:rowOff>495300</xdr:rowOff>
        </xdr:to>
        <xdr:sp macro="" textlink="">
          <xdr:nvSpPr>
            <xdr:cNvPr id="2049" name="Object 1" hidden="1">
              <a:extLst>
                <a:ext uri="{63B3BB69-23CF-44E3-9099-C40C66FF867C}">
                  <a14:compatExt spid="_x0000_s20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314325</xdr:colOff>
          <xdr:row>34</xdr:row>
          <xdr:rowOff>19050</xdr:rowOff>
        </xdr:from>
        <xdr:to>
          <xdr:col>2</xdr:col>
          <xdr:colOff>619125</xdr:colOff>
          <xdr:row>36</xdr:row>
          <xdr:rowOff>0</xdr:rowOff>
        </xdr:to>
        <xdr:sp macro="" textlink="">
          <xdr:nvSpPr>
            <xdr:cNvPr id="2050" name="Object 2" hidden="1">
              <a:extLst>
                <a:ext uri="{63B3BB69-23CF-44E3-9099-C40C66FF867C}">
                  <a14:compatExt spid="_x0000_s20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314325</xdr:colOff>
          <xdr:row>63</xdr:row>
          <xdr:rowOff>19050</xdr:rowOff>
        </xdr:from>
        <xdr:to>
          <xdr:col>2</xdr:col>
          <xdr:colOff>714375</xdr:colOff>
          <xdr:row>65</xdr:row>
          <xdr:rowOff>0</xdr:rowOff>
        </xdr:to>
        <xdr:sp macro="" textlink="">
          <xdr:nvSpPr>
            <xdr:cNvPr id="2051" name="Object 3" hidden="1">
              <a:extLst>
                <a:ext uri="{63B3BB69-23CF-44E3-9099-C40C66FF867C}">
                  <a14:compatExt spid="_x0000_s20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142875</xdr:colOff>
          <xdr:row>88</xdr:row>
          <xdr:rowOff>19050</xdr:rowOff>
        </xdr:from>
        <xdr:to>
          <xdr:col>1</xdr:col>
          <xdr:colOff>1057275</xdr:colOff>
          <xdr:row>90</xdr:row>
          <xdr:rowOff>0</xdr:rowOff>
        </xdr:to>
        <xdr:sp macro="" textlink="">
          <xdr:nvSpPr>
            <xdr:cNvPr id="2052" name="Object 4" hidden="1">
              <a:extLst>
                <a:ext uri="{63B3BB69-23CF-44E3-9099-C40C66FF867C}">
                  <a14:compatExt spid="_x0000_s2052"/>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2.vml"/><Relationship Id="rId7" Type="http://schemas.openxmlformats.org/officeDocument/2006/relationships/oleObject" Target="../embeddings/oleObject4.bin"/><Relationship Id="rId2" Type="http://schemas.openxmlformats.org/officeDocument/2006/relationships/drawing" Target="../drawings/drawing2.xml"/><Relationship Id="rId1" Type="http://schemas.openxmlformats.org/officeDocument/2006/relationships/printerSettings" Target="../printerSettings/printerSettings6.bin"/><Relationship Id="rId6" Type="http://schemas.openxmlformats.org/officeDocument/2006/relationships/oleObject" Target="../embeddings/oleObject3.bin"/><Relationship Id="rId5" Type="http://schemas.openxmlformats.org/officeDocument/2006/relationships/image" Target="../media/image1.png"/><Relationship Id="rId4" Type="http://schemas.openxmlformats.org/officeDocument/2006/relationships/oleObject" Target="../embeddings/oleObject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topLeftCell="A28" workbookViewId="0">
      <selection activeCell="B13" sqref="B13:J13"/>
    </sheetView>
  </sheetViews>
  <sheetFormatPr defaultRowHeight="15" x14ac:dyDescent="0.25"/>
  <cols>
    <col min="1" max="1" width="5.5703125" customWidth="1"/>
    <col min="2" max="2" width="25" customWidth="1"/>
    <col min="3" max="3" width="12.7109375" customWidth="1"/>
    <col min="4" max="4" width="9.28515625" customWidth="1"/>
    <col min="5" max="5" width="10.140625" customWidth="1"/>
    <col min="6" max="6" width="12" customWidth="1"/>
    <col min="7" max="7" width="12.85546875" customWidth="1"/>
    <col min="8" max="8" width="15.85546875" customWidth="1"/>
    <col min="9" max="9" width="14.5703125" customWidth="1"/>
    <col min="10" max="10" width="24.28515625" customWidth="1"/>
    <col min="11" max="11" width="12.42578125" customWidth="1"/>
  </cols>
  <sheetData>
    <row r="1" spans="1:13" ht="21" x14ac:dyDescent="0.35">
      <c r="A1" s="12" t="s">
        <v>59</v>
      </c>
      <c r="B1" s="12"/>
      <c r="C1" s="32"/>
      <c r="D1" s="32"/>
      <c r="E1" s="32"/>
      <c r="F1" s="32"/>
      <c r="G1" s="32"/>
      <c r="H1" s="32"/>
      <c r="I1" s="32"/>
      <c r="J1" s="32"/>
      <c r="K1" s="32"/>
    </row>
    <row r="2" spans="1:13" x14ac:dyDescent="0.25">
      <c r="A2" s="32"/>
      <c r="B2" s="32"/>
      <c r="C2" s="32"/>
      <c r="D2" s="32"/>
      <c r="E2" s="32"/>
      <c r="F2" s="32"/>
      <c r="G2" s="32"/>
      <c r="H2" s="32"/>
      <c r="I2" s="32"/>
      <c r="J2" s="32"/>
      <c r="K2" s="32"/>
    </row>
    <row r="3" spans="1:13" ht="15.75" customHeight="1" x14ac:dyDescent="0.25">
      <c r="A3" s="74" t="s">
        <v>0</v>
      </c>
      <c r="B3" s="74" t="s">
        <v>1</v>
      </c>
      <c r="C3" s="77" t="s">
        <v>2</v>
      </c>
      <c r="D3" s="78"/>
      <c r="E3" s="78"/>
      <c r="F3" s="78"/>
      <c r="G3" s="78"/>
      <c r="H3" s="78"/>
      <c r="I3" s="78"/>
      <c r="J3" s="79"/>
      <c r="K3" s="80" t="s">
        <v>6</v>
      </c>
    </row>
    <row r="4" spans="1:13" ht="15.75" x14ac:dyDescent="0.25">
      <c r="A4" s="75"/>
      <c r="B4" s="75"/>
      <c r="C4" s="74" t="s">
        <v>3</v>
      </c>
      <c r="D4" s="80" t="s">
        <v>17</v>
      </c>
      <c r="E4" s="77" t="s">
        <v>33</v>
      </c>
      <c r="F4" s="79"/>
      <c r="G4" s="83" t="s">
        <v>4</v>
      </c>
      <c r="H4" s="84"/>
      <c r="I4" s="80" t="s">
        <v>69</v>
      </c>
      <c r="J4" s="74" t="s">
        <v>5</v>
      </c>
      <c r="K4" s="81"/>
    </row>
    <row r="5" spans="1:13" ht="15.75" customHeight="1" x14ac:dyDescent="0.25">
      <c r="A5" s="76"/>
      <c r="B5" s="76"/>
      <c r="C5" s="76"/>
      <c r="D5" s="82"/>
      <c r="E5" s="8" t="s">
        <v>41</v>
      </c>
      <c r="F5" s="8" t="s">
        <v>42</v>
      </c>
      <c r="G5" s="18" t="s">
        <v>47</v>
      </c>
      <c r="H5" s="17" t="s">
        <v>46</v>
      </c>
      <c r="I5" s="82"/>
      <c r="J5" s="76"/>
      <c r="K5" s="82"/>
    </row>
    <row r="6" spans="1:13" s="24" customFormat="1" ht="64.5" customHeight="1" x14ac:dyDescent="0.25">
      <c r="A6" s="33">
        <v>1</v>
      </c>
      <c r="B6" s="34" t="s">
        <v>7</v>
      </c>
      <c r="C6" s="35" t="s">
        <v>66</v>
      </c>
      <c r="D6" s="33" t="s">
        <v>60</v>
      </c>
      <c r="E6" s="33" t="s">
        <v>62</v>
      </c>
      <c r="F6" s="33" t="s">
        <v>34</v>
      </c>
      <c r="G6" s="33" t="s">
        <v>67</v>
      </c>
      <c r="H6" s="33" t="s">
        <v>56</v>
      </c>
      <c r="I6" s="33">
        <v>15.6</v>
      </c>
      <c r="J6" s="36" t="s">
        <v>10</v>
      </c>
      <c r="K6" s="23">
        <v>24800</v>
      </c>
    </row>
    <row r="7" spans="1:13" s="24" customFormat="1" ht="27.75" customHeight="1" x14ac:dyDescent="0.25">
      <c r="A7" s="33">
        <v>2</v>
      </c>
      <c r="B7" s="34" t="s">
        <v>12</v>
      </c>
      <c r="C7" s="33" t="s">
        <v>63</v>
      </c>
      <c r="D7" s="33" t="s">
        <v>65</v>
      </c>
      <c r="E7" s="33" t="s">
        <v>62</v>
      </c>
      <c r="F7" s="37" t="s">
        <v>25</v>
      </c>
      <c r="G7" s="33" t="s">
        <v>64</v>
      </c>
      <c r="H7" s="33" t="s">
        <v>25</v>
      </c>
      <c r="I7" s="33" t="s">
        <v>25</v>
      </c>
      <c r="J7" s="33" t="s">
        <v>25</v>
      </c>
      <c r="K7" s="23">
        <v>25890</v>
      </c>
    </row>
    <row r="8" spans="1:13" s="24" customFormat="1" ht="67.5" customHeight="1" x14ac:dyDescent="0.25">
      <c r="A8" s="33">
        <v>3</v>
      </c>
      <c r="B8" s="34" t="s">
        <v>26</v>
      </c>
      <c r="C8" s="35" t="s">
        <v>45</v>
      </c>
      <c r="D8" s="33" t="s">
        <v>60</v>
      </c>
      <c r="E8" s="33" t="s">
        <v>9</v>
      </c>
      <c r="F8" s="33" t="s">
        <v>35</v>
      </c>
      <c r="G8" s="33" t="s">
        <v>49</v>
      </c>
      <c r="H8" s="33" t="s">
        <v>48</v>
      </c>
      <c r="I8" s="33">
        <v>15.6</v>
      </c>
      <c r="J8" s="38" t="s">
        <v>61</v>
      </c>
      <c r="K8" s="23">
        <v>27480</v>
      </c>
      <c r="M8" s="24" t="e">
        <f>#REF!*15%</f>
        <v>#REF!</v>
      </c>
    </row>
    <row r="9" spans="1:13" x14ac:dyDescent="0.25">
      <c r="M9" t="e">
        <f>#REF!+M8</f>
        <v>#REF!</v>
      </c>
    </row>
    <row r="13" spans="1:13" ht="150" customHeight="1" x14ac:dyDescent="0.25">
      <c r="B13" s="73" t="s">
        <v>24</v>
      </c>
      <c r="C13" s="73"/>
      <c r="D13" s="73"/>
      <c r="E13" s="73"/>
      <c r="F13" s="73"/>
      <c r="G13" s="73"/>
      <c r="H13" s="73"/>
      <c r="I13" s="73"/>
      <c r="J13" s="73"/>
    </row>
  </sheetData>
  <mergeCells count="11">
    <mergeCell ref="B13:J13"/>
    <mergeCell ref="A3:A5"/>
    <mergeCell ref="B3:B5"/>
    <mergeCell ref="C3:J3"/>
    <mergeCell ref="K3:K5"/>
    <mergeCell ref="C4:C5"/>
    <mergeCell ref="D4:D5"/>
    <mergeCell ref="E4:F4"/>
    <mergeCell ref="G4:H4"/>
    <mergeCell ref="I4:I5"/>
    <mergeCell ref="J4:J5"/>
  </mergeCells>
  <pageMargins left="0.7" right="0.7" top="0.75" bottom="0.75" header="0.3" footer="0.3"/>
  <pageSetup scale="75"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4"/>
  <sheetViews>
    <sheetView workbookViewId="0">
      <selection activeCell="C15" sqref="C15"/>
    </sheetView>
  </sheetViews>
  <sheetFormatPr defaultRowHeight="15" x14ac:dyDescent="0.25"/>
  <cols>
    <col min="1" max="1" width="7.85546875" customWidth="1"/>
    <col min="2" max="2" width="25" customWidth="1"/>
    <col min="3" max="3" width="12.7109375" customWidth="1"/>
    <col min="4" max="4" width="9.28515625" customWidth="1"/>
    <col min="5" max="5" width="10.140625" customWidth="1"/>
    <col min="6" max="6" width="12" customWidth="1"/>
    <col min="7" max="7" width="12.85546875" customWidth="1"/>
    <col min="8" max="9" width="15.85546875" customWidth="1"/>
    <col min="10" max="10" width="14.5703125" customWidth="1"/>
    <col min="11" max="11" width="24.28515625" customWidth="1"/>
    <col min="12" max="12" width="12.42578125" customWidth="1"/>
  </cols>
  <sheetData>
    <row r="1" spans="1:14" x14ac:dyDescent="0.25">
      <c r="B1" s="87" t="s">
        <v>75</v>
      </c>
      <c r="C1" s="88"/>
      <c r="D1" s="91" t="s">
        <v>76</v>
      </c>
      <c r="E1" s="92"/>
      <c r="F1" s="92"/>
      <c r="G1" s="92"/>
      <c r="H1" s="93" t="s">
        <v>77</v>
      </c>
      <c r="I1" s="93"/>
      <c r="J1" s="93"/>
      <c r="K1" s="93"/>
    </row>
    <row r="2" spans="1:14" ht="15.75" x14ac:dyDescent="0.25">
      <c r="B2" s="89"/>
      <c r="C2" s="90"/>
      <c r="D2" s="92"/>
      <c r="E2" s="92"/>
      <c r="F2" s="92"/>
      <c r="G2" s="92"/>
      <c r="H2" s="94" t="s">
        <v>79</v>
      </c>
      <c r="I2" s="95"/>
      <c r="J2" s="95"/>
      <c r="K2" s="95"/>
    </row>
    <row r="3" spans="1:14" x14ac:dyDescent="0.25">
      <c r="B3" s="96"/>
      <c r="C3" s="97"/>
      <c r="D3" s="100" t="s">
        <v>80</v>
      </c>
      <c r="E3" s="101"/>
      <c r="F3" s="101"/>
      <c r="G3" s="102"/>
      <c r="H3" s="106" t="s">
        <v>78</v>
      </c>
      <c r="I3" s="107"/>
      <c r="J3" s="107"/>
      <c r="K3" s="107"/>
    </row>
    <row r="4" spans="1:14" ht="36.75" customHeight="1" x14ac:dyDescent="0.25">
      <c r="B4" s="98"/>
      <c r="C4" s="99"/>
      <c r="D4" s="103"/>
      <c r="E4" s="104"/>
      <c r="F4" s="104"/>
      <c r="G4" s="105"/>
      <c r="H4" s="95">
        <v>1</v>
      </c>
      <c r="I4" s="95"/>
      <c r="J4" s="95"/>
      <c r="K4" s="95"/>
    </row>
    <row r="7" spans="1:14" ht="21" x14ac:dyDescent="0.35">
      <c r="A7" s="12" t="s">
        <v>59</v>
      </c>
      <c r="B7" s="12"/>
    </row>
    <row r="9" spans="1:14" ht="15.75" customHeight="1" x14ac:dyDescent="0.25">
      <c r="A9" s="74" t="s">
        <v>0</v>
      </c>
      <c r="B9" s="74" t="s">
        <v>1</v>
      </c>
      <c r="C9" s="77" t="s">
        <v>2</v>
      </c>
      <c r="D9" s="78"/>
      <c r="E9" s="78"/>
      <c r="F9" s="78"/>
      <c r="G9" s="78"/>
      <c r="H9" s="78"/>
      <c r="I9" s="78"/>
      <c r="J9" s="78"/>
      <c r="K9" s="79"/>
      <c r="L9" s="80" t="s">
        <v>6</v>
      </c>
    </row>
    <row r="10" spans="1:14" ht="15.75" x14ac:dyDescent="0.25">
      <c r="A10" s="75"/>
      <c r="B10" s="75"/>
      <c r="C10" s="74" t="s">
        <v>3</v>
      </c>
      <c r="D10" s="80" t="s">
        <v>17</v>
      </c>
      <c r="E10" s="77" t="s">
        <v>33</v>
      </c>
      <c r="F10" s="79"/>
      <c r="G10" s="77" t="s">
        <v>4</v>
      </c>
      <c r="H10" s="79"/>
      <c r="I10" s="74" t="s">
        <v>68</v>
      </c>
      <c r="J10" s="80" t="s">
        <v>69</v>
      </c>
      <c r="K10" s="74" t="s">
        <v>5</v>
      </c>
      <c r="L10" s="81"/>
    </row>
    <row r="11" spans="1:14" ht="15.75" customHeight="1" x14ac:dyDescent="0.25">
      <c r="A11" s="76"/>
      <c r="B11" s="76"/>
      <c r="C11" s="76"/>
      <c r="D11" s="82"/>
      <c r="E11" s="8" t="s">
        <v>41</v>
      </c>
      <c r="F11" s="8" t="s">
        <v>42</v>
      </c>
      <c r="G11" s="13" t="s">
        <v>47</v>
      </c>
      <c r="H11" s="14" t="s">
        <v>46</v>
      </c>
      <c r="I11" s="76"/>
      <c r="J11" s="82"/>
      <c r="K11" s="76"/>
      <c r="L11" s="82"/>
    </row>
    <row r="12" spans="1:14" s="24" customFormat="1" ht="64.5" customHeight="1" x14ac:dyDescent="0.25">
      <c r="A12" s="19">
        <v>1</v>
      </c>
      <c r="B12" s="20"/>
      <c r="C12" s="21"/>
      <c r="D12" s="19"/>
      <c r="E12" s="19"/>
      <c r="F12" s="19"/>
      <c r="G12" s="19"/>
      <c r="H12" s="19"/>
      <c r="I12" s="19"/>
      <c r="J12" s="19"/>
      <c r="K12" s="22"/>
      <c r="L12" s="23"/>
    </row>
    <row r="13" spans="1:14" s="24" customFormat="1" ht="27.75" customHeight="1" x14ac:dyDescent="0.25">
      <c r="A13" s="19">
        <v>2</v>
      </c>
      <c r="B13" s="20"/>
      <c r="C13" s="19"/>
      <c r="D13" s="19"/>
      <c r="E13" s="19"/>
      <c r="F13" s="25"/>
      <c r="G13" s="19"/>
      <c r="H13" s="19"/>
      <c r="I13" s="19"/>
      <c r="J13" s="19"/>
      <c r="K13" s="19"/>
      <c r="L13" s="23"/>
    </row>
    <row r="14" spans="1:14" s="24" customFormat="1" ht="30" customHeight="1" x14ac:dyDescent="0.25">
      <c r="A14" s="26">
        <v>3</v>
      </c>
      <c r="B14" s="85"/>
      <c r="C14" s="40"/>
      <c r="D14" s="41"/>
      <c r="E14" s="41"/>
      <c r="F14" s="42"/>
      <c r="G14" s="41"/>
      <c r="H14" s="41"/>
      <c r="I14" s="41"/>
      <c r="J14" s="41"/>
      <c r="K14" s="43"/>
      <c r="L14" s="44"/>
      <c r="N14" s="24">
        <v>15413.04</v>
      </c>
    </row>
    <row r="15" spans="1:14" s="24" customFormat="1" ht="30" customHeight="1" x14ac:dyDescent="0.25">
      <c r="A15" s="26">
        <v>4</v>
      </c>
      <c r="B15" s="86"/>
      <c r="C15" s="27"/>
      <c r="D15" s="19"/>
      <c r="E15" s="19"/>
      <c r="F15" s="25"/>
      <c r="G15" s="19"/>
      <c r="H15" s="19"/>
      <c r="I15" s="19"/>
      <c r="J15" s="19"/>
      <c r="K15" s="28"/>
      <c r="L15" s="23"/>
    </row>
    <row r="16" spans="1:14" s="24" customFormat="1" ht="30" customHeight="1" x14ac:dyDescent="0.25">
      <c r="A16" s="26">
        <v>5</v>
      </c>
      <c r="B16" s="29"/>
      <c r="C16" s="21"/>
      <c r="D16" s="19"/>
      <c r="E16" s="19"/>
      <c r="F16" s="19"/>
      <c r="G16" s="19"/>
      <c r="H16" s="19"/>
      <c r="I16" s="19"/>
      <c r="J16" s="19"/>
      <c r="K16" s="28"/>
      <c r="L16" s="23"/>
      <c r="N16" s="24">
        <v>15413.04</v>
      </c>
    </row>
    <row r="17" spans="1:14" s="24" customFormat="1" ht="30" customHeight="1" x14ac:dyDescent="0.25">
      <c r="A17" s="26">
        <v>6</v>
      </c>
      <c r="B17" s="29"/>
      <c r="C17" s="21"/>
      <c r="D17" s="19"/>
      <c r="E17" s="19"/>
      <c r="F17" s="19"/>
      <c r="G17" s="19"/>
      <c r="H17" s="19"/>
      <c r="I17" s="21"/>
      <c r="K17" s="28"/>
      <c r="L17" s="23"/>
      <c r="N17" s="24">
        <v>20695.650000000001</v>
      </c>
    </row>
    <row r="18" spans="1:14" s="24" customFormat="1" ht="30" customHeight="1" x14ac:dyDescent="0.25">
      <c r="A18" s="26">
        <v>7</v>
      </c>
      <c r="B18" s="29"/>
      <c r="C18" s="21"/>
      <c r="D18" s="19"/>
      <c r="E18" s="19"/>
      <c r="F18" s="19"/>
      <c r="G18" s="19"/>
      <c r="H18" s="19"/>
      <c r="I18" s="19"/>
      <c r="J18" s="19"/>
      <c r="K18" s="30"/>
      <c r="L18" s="23"/>
      <c r="N18" s="24">
        <v>24370</v>
      </c>
    </row>
    <row r="19" spans="1:14" s="24" customFormat="1" ht="67.5" customHeight="1" x14ac:dyDescent="0.25">
      <c r="A19" s="19">
        <v>8</v>
      </c>
      <c r="B19" s="20"/>
      <c r="C19" s="21"/>
      <c r="D19" s="19"/>
      <c r="E19" s="19"/>
      <c r="F19" s="19"/>
      <c r="G19" s="19"/>
      <c r="H19" s="19"/>
      <c r="I19" s="19"/>
      <c r="J19" s="19"/>
      <c r="K19" s="28"/>
      <c r="L19" s="23"/>
      <c r="N19" s="24">
        <f>N18*15%</f>
        <v>3655.5</v>
      </c>
    </row>
    <row r="20" spans="1:14" x14ac:dyDescent="0.25">
      <c r="N20">
        <f>N18+N19</f>
        <v>28025.5</v>
      </c>
    </row>
    <row r="24" spans="1:14" ht="150" customHeight="1" x14ac:dyDescent="0.25">
      <c r="B24" s="73" t="s">
        <v>74</v>
      </c>
      <c r="C24" s="73"/>
      <c r="D24" s="73"/>
      <c r="E24" s="73"/>
      <c r="F24" s="73"/>
      <c r="G24" s="73"/>
      <c r="H24" s="73"/>
      <c r="I24" s="73"/>
      <c r="J24" s="73"/>
      <c r="K24" s="73"/>
    </row>
  </sheetData>
  <mergeCells count="21">
    <mergeCell ref="B1:C2"/>
    <mergeCell ref="D1:G2"/>
    <mergeCell ref="H1:K1"/>
    <mergeCell ref="H2:K2"/>
    <mergeCell ref="B3:C4"/>
    <mergeCell ref="D3:G4"/>
    <mergeCell ref="H3:K3"/>
    <mergeCell ref="H4:K4"/>
    <mergeCell ref="A9:A11"/>
    <mergeCell ref="B9:B11"/>
    <mergeCell ref="C9:K9"/>
    <mergeCell ref="C10:C11"/>
    <mergeCell ref="D10:D11"/>
    <mergeCell ref="E10:F10"/>
    <mergeCell ref="G10:H10"/>
    <mergeCell ref="K10:K11"/>
    <mergeCell ref="L9:L11"/>
    <mergeCell ref="B24:K24"/>
    <mergeCell ref="B14:B15"/>
    <mergeCell ref="J10:J11"/>
    <mergeCell ref="I10:I11"/>
  </mergeCells>
  <pageMargins left="0" right="0" top="0.75" bottom="0.75" header="0.3" footer="0.3"/>
  <pageSetup scale="70" orientation="landscape" r:id="rId1"/>
  <drawing r:id="rId2"/>
  <legacyDrawing r:id="rId3"/>
  <oleObjects>
    <mc:AlternateContent xmlns:mc="http://schemas.openxmlformats.org/markup-compatibility/2006">
      <mc:Choice Requires="x14">
        <oleObject progId="PBrush" shapeId="1025" r:id="rId4">
          <objectPr defaultSize="0" autoPict="0" r:id="rId5">
            <anchor moveWithCells="1" sizeWithCells="1">
              <from>
                <xdr:col>1</xdr:col>
                <xdr:colOff>161925</xdr:colOff>
                <xdr:row>2</xdr:row>
                <xdr:rowOff>47625</xdr:rowOff>
              </from>
              <to>
                <xdr:col>2</xdr:col>
                <xdr:colOff>123825</xdr:colOff>
                <xdr:row>4</xdr:row>
                <xdr:rowOff>0</xdr:rowOff>
              </to>
            </anchor>
          </objectPr>
        </oleObject>
      </mc:Choice>
      <mc:Fallback>
        <oleObject progId="PBrush" shapeId="1025"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Views>
    <sheetView workbookViewId="0">
      <selection activeCell="B16" sqref="B16:I16"/>
    </sheetView>
  </sheetViews>
  <sheetFormatPr defaultRowHeight="15" x14ac:dyDescent="0.25"/>
  <cols>
    <col min="1" max="1" width="7.85546875" customWidth="1"/>
    <col min="2" max="2" width="25" customWidth="1"/>
    <col min="3" max="3" width="12.7109375" customWidth="1"/>
    <col min="4" max="4" width="12.140625" customWidth="1"/>
    <col min="5" max="6" width="12" customWidth="1"/>
    <col min="7" max="7" width="12.85546875" customWidth="1"/>
    <col min="8" max="8" width="15.85546875" customWidth="1"/>
    <col min="9" max="9" width="24.42578125" customWidth="1"/>
    <col min="10" max="10" width="12.5703125" customWidth="1"/>
  </cols>
  <sheetData>
    <row r="1" spans="1:12" ht="21" x14ac:dyDescent="0.35">
      <c r="A1" s="12" t="s">
        <v>58</v>
      </c>
      <c r="B1" s="12"/>
    </row>
    <row r="3" spans="1:12" ht="15.75" customHeight="1" x14ac:dyDescent="0.25">
      <c r="A3" s="74" t="s">
        <v>0</v>
      </c>
      <c r="B3" s="74" t="s">
        <v>1</v>
      </c>
      <c r="C3" s="77" t="s">
        <v>2</v>
      </c>
      <c r="D3" s="78"/>
      <c r="E3" s="78"/>
      <c r="F3" s="78"/>
      <c r="G3" s="78"/>
      <c r="H3" s="78"/>
      <c r="I3" s="79"/>
      <c r="J3" s="80" t="s">
        <v>6</v>
      </c>
    </row>
    <row r="4" spans="1:12" ht="15.75" x14ac:dyDescent="0.25">
      <c r="A4" s="75"/>
      <c r="B4" s="75"/>
      <c r="C4" s="74" t="s">
        <v>3</v>
      </c>
      <c r="D4" s="74" t="s">
        <v>17</v>
      </c>
      <c r="E4" s="77" t="s">
        <v>33</v>
      </c>
      <c r="F4" s="79"/>
      <c r="G4" s="83" t="s">
        <v>4</v>
      </c>
      <c r="H4" s="84"/>
      <c r="I4" s="74" t="s">
        <v>5</v>
      </c>
      <c r="J4" s="81"/>
    </row>
    <row r="5" spans="1:12" ht="15.75" customHeight="1" x14ac:dyDescent="0.25">
      <c r="A5" s="76"/>
      <c r="B5" s="76"/>
      <c r="C5" s="76"/>
      <c r="D5" s="76"/>
      <c r="E5" s="8" t="s">
        <v>41</v>
      </c>
      <c r="F5" s="8" t="s">
        <v>42</v>
      </c>
      <c r="G5" s="13" t="s">
        <v>47</v>
      </c>
      <c r="H5" s="14" t="s">
        <v>46</v>
      </c>
      <c r="I5" s="76"/>
      <c r="J5" s="82"/>
    </row>
    <row r="6" spans="1:12" s="24" customFormat="1" ht="64.5" customHeight="1" x14ac:dyDescent="0.25">
      <c r="A6" s="19">
        <v>1</v>
      </c>
      <c r="B6" s="20" t="s">
        <v>7</v>
      </c>
      <c r="C6" s="21" t="s">
        <v>36</v>
      </c>
      <c r="D6" s="19" t="s">
        <v>8</v>
      </c>
      <c r="E6" s="19" t="s">
        <v>9</v>
      </c>
      <c r="F6" s="19" t="s">
        <v>25</v>
      </c>
      <c r="G6" s="19" t="s">
        <v>57</v>
      </c>
      <c r="H6" s="19" t="s">
        <v>56</v>
      </c>
      <c r="I6" s="22" t="s">
        <v>10</v>
      </c>
      <c r="J6" s="23">
        <v>22800</v>
      </c>
    </row>
    <row r="7" spans="1:12" s="24" customFormat="1" ht="15.75" x14ac:dyDescent="0.25">
      <c r="A7" s="19">
        <v>2</v>
      </c>
      <c r="B7" s="20" t="s">
        <v>12</v>
      </c>
      <c r="C7" s="19" t="s">
        <v>39</v>
      </c>
      <c r="D7" s="19" t="s">
        <v>8</v>
      </c>
      <c r="E7" s="19" t="s">
        <v>9</v>
      </c>
      <c r="F7" s="19" t="s">
        <v>35</v>
      </c>
      <c r="G7" s="19" t="s">
        <v>72</v>
      </c>
      <c r="H7" s="19" t="s">
        <v>56</v>
      </c>
      <c r="I7" s="30" t="s">
        <v>43</v>
      </c>
      <c r="J7" s="23">
        <v>21500</v>
      </c>
    </row>
    <row r="8" spans="1:12" s="24" customFormat="1" ht="30" customHeight="1" x14ac:dyDescent="0.25">
      <c r="A8" s="26">
        <v>3</v>
      </c>
      <c r="B8" s="29" t="s">
        <v>21</v>
      </c>
      <c r="C8" s="27" t="s">
        <v>29</v>
      </c>
      <c r="D8" s="19" t="s">
        <v>8</v>
      </c>
      <c r="E8" s="19" t="s">
        <v>9</v>
      </c>
      <c r="F8" s="19" t="s">
        <v>35</v>
      </c>
      <c r="G8" s="19" t="s">
        <v>30</v>
      </c>
      <c r="H8" s="19"/>
      <c r="I8" s="28" t="s">
        <v>53</v>
      </c>
      <c r="J8" s="23">
        <v>23800</v>
      </c>
      <c r="L8" s="24">
        <v>15413.04</v>
      </c>
    </row>
    <row r="9" spans="1:12" s="24" customFormat="1" ht="30" customHeight="1" x14ac:dyDescent="0.25">
      <c r="A9" s="26">
        <v>4</v>
      </c>
      <c r="B9" s="29" t="s">
        <v>55</v>
      </c>
      <c r="C9" s="27" t="s">
        <v>29</v>
      </c>
      <c r="D9" s="19" t="s">
        <v>8</v>
      </c>
      <c r="E9" s="19" t="s">
        <v>9</v>
      </c>
      <c r="F9" s="19" t="s">
        <v>34</v>
      </c>
      <c r="G9" s="19" t="s">
        <v>70</v>
      </c>
      <c r="H9" s="19"/>
      <c r="I9" s="28" t="s">
        <v>71</v>
      </c>
      <c r="J9" s="23">
        <v>23800</v>
      </c>
      <c r="L9" s="24">
        <v>15413.04</v>
      </c>
    </row>
    <row r="10" spans="1:12" s="24" customFormat="1" ht="30" customHeight="1" x14ac:dyDescent="0.25">
      <c r="A10" s="26">
        <v>5</v>
      </c>
      <c r="B10" s="29" t="s">
        <v>54</v>
      </c>
      <c r="C10" s="27" t="s">
        <v>29</v>
      </c>
      <c r="D10" s="19" t="s">
        <v>8</v>
      </c>
      <c r="E10" s="19" t="s">
        <v>9</v>
      </c>
      <c r="F10" s="19" t="s">
        <v>35</v>
      </c>
      <c r="G10" s="19" t="s">
        <v>30</v>
      </c>
      <c r="H10" s="19" t="s">
        <v>48</v>
      </c>
      <c r="I10" s="28" t="s">
        <v>11</v>
      </c>
      <c r="J10" s="23">
        <v>22800</v>
      </c>
      <c r="L10" s="24">
        <v>20695.650000000001</v>
      </c>
    </row>
    <row r="11" spans="1:12" s="24" customFormat="1" ht="30" customHeight="1" x14ac:dyDescent="0.25">
      <c r="A11" s="26">
        <v>6</v>
      </c>
      <c r="B11" s="25" t="s">
        <v>50</v>
      </c>
      <c r="C11" s="31" t="s">
        <v>29</v>
      </c>
      <c r="D11" s="19" t="s">
        <v>8</v>
      </c>
      <c r="E11" s="19" t="s">
        <v>9</v>
      </c>
      <c r="F11" s="19" t="s">
        <v>52</v>
      </c>
      <c r="G11" s="19" t="s">
        <v>30</v>
      </c>
      <c r="H11" s="19" t="s">
        <v>51</v>
      </c>
      <c r="I11" s="30" t="s">
        <v>25</v>
      </c>
      <c r="J11" s="23">
        <v>22803.45</v>
      </c>
      <c r="L11" s="24">
        <v>20695.650000000001</v>
      </c>
    </row>
    <row r="12" spans="1:12" x14ac:dyDescent="0.25">
      <c r="L12" t="e">
        <f>L11+#REF!</f>
        <v>#REF!</v>
      </c>
    </row>
    <row r="16" spans="1:12" ht="150" customHeight="1" x14ac:dyDescent="0.25">
      <c r="B16" s="73" t="s">
        <v>73</v>
      </c>
      <c r="C16" s="73"/>
      <c r="D16" s="73"/>
      <c r="E16" s="73"/>
      <c r="F16" s="73"/>
      <c r="G16" s="73"/>
      <c r="H16" s="73"/>
      <c r="I16" s="73"/>
    </row>
  </sheetData>
  <mergeCells count="10">
    <mergeCell ref="J3:J5"/>
    <mergeCell ref="B16:I16"/>
    <mergeCell ref="A3:A5"/>
    <mergeCell ref="B3:B5"/>
    <mergeCell ref="C3:I3"/>
    <mergeCell ref="C4:C5"/>
    <mergeCell ref="D4:D5"/>
    <mergeCell ref="E4:F4"/>
    <mergeCell ref="I4:I5"/>
    <mergeCell ref="G4:H4"/>
  </mergeCells>
  <pageMargins left="0.7" right="0.7" top="0.75" bottom="0.75" header="0.3" footer="0.3"/>
  <pageSetup scale="8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workbookViewId="0">
      <selection activeCell="I11" sqref="I11"/>
    </sheetView>
  </sheetViews>
  <sheetFormatPr defaultRowHeight="15" x14ac:dyDescent="0.25"/>
  <cols>
    <col min="1" max="1" width="7.85546875" customWidth="1"/>
    <col min="2" max="2" width="25" customWidth="1"/>
    <col min="3" max="3" width="12.7109375" customWidth="1"/>
    <col min="4" max="4" width="12.140625" customWidth="1"/>
    <col min="5" max="6" width="12" customWidth="1"/>
    <col min="7" max="7" width="12.85546875" customWidth="1"/>
    <col min="8" max="8" width="25.42578125" customWidth="1"/>
    <col min="9" max="9" width="15.5703125" customWidth="1"/>
  </cols>
  <sheetData>
    <row r="1" spans="1:11" ht="21" x14ac:dyDescent="0.35">
      <c r="A1" s="12" t="s">
        <v>40</v>
      </c>
      <c r="B1" s="12"/>
    </row>
    <row r="3" spans="1:11" ht="15.75" customHeight="1" x14ac:dyDescent="0.25">
      <c r="A3" s="74" t="s">
        <v>0</v>
      </c>
      <c r="B3" s="74" t="s">
        <v>1</v>
      </c>
      <c r="C3" s="77" t="s">
        <v>2</v>
      </c>
      <c r="D3" s="78"/>
      <c r="E3" s="78"/>
      <c r="F3" s="78"/>
      <c r="G3" s="78"/>
      <c r="H3" s="79"/>
      <c r="I3" s="15" t="s">
        <v>6</v>
      </c>
    </row>
    <row r="4" spans="1:11" ht="15.75" x14ac:dyDescent="0.25">
      <c r="A4" s="75"/>
      <c r="B4" s="75"/>
      <c r="C4" s="74" t="s">
        <v>3</v>
      </c>
      <c r="D4" s="74" t="s">
        <v>17</v>
      </c>
      <c r="E4" s="77" t="s">
        <v>33</v>
      </c>
      <c r="F4" s="79"/>
      <c r="G4" s="74" t="s">
        <v>4</v>
      </c>
      <c r="H4" s="74" t="s">
        <v>5</v>
      </c>
      <c r="I4" s="16"/>
    </row>
    <row r="5" spans="1:11" ht="15.75" customHeight="1" x14ac:dyDescent="0.25">
      <c r="A5" s="76"/>
      <c r="B5" s="76"/>
      <c r="C5" s="76"/>
      <c r="D5" s="76"/>
      <c r="E5" s="8" t="s">
        <v>41</v>
      </c>
      <c r="F5" s="8" t="s">
        <v>42</v>
      </c>
      <c r="G5" s="76"/>
      <c r="H5" s="76"/>
      <c r="I5" s="11"/>
    </row>
    <row r="6" spans="1:11" ht="64.5" customHeight="1" x14ac:dyDescent="0.25">
      <c r="A6" s="6">
        <v>1</v>
      </c>
      <c r="B6" s="3" t="s">
        <v>7</v>
      </c>
      <c r="C6" s="7" t="s">
        <v>36</v>
      </c>
      <c r="D6" s="6" t="s">
        <v>8</v>
      </c>
      <c r="E6" s="6" t="s">
        <v>9</v>
      </c>
      <c r="F6" s="6" t="s">
        <v>25</v>
      </c>
      <c r="G6" s="6" t="s">
        <v>27</v>
      </c>
      <c r="H6" s="4" t="s">
        <v>10</v>
      </c>
      <c r="I6" s="9">
        <v>16300</v>
      </c>
    </row>
    <row r="7" spans="1:11" ht="64.5" customHeight="1" x14ac:dyDescent="0.25">
      <c r="A7" s="112">
        <v>2</v>
      </c>
      <c r="B7" s="110" t="s">
        <v>14</v>
      </c>
      <c r="C7" s="7" t="s">
        <v>18</v>
      </c>
      <c r="D7" s="6" t="s">
        <v>8</v>
      </c>
      <c r="E7" s="6" t="s">
        <v>9</v>
      </c>
      <c r="F7" s="6" t="s">
        <v>34</v>
      </c>
      <c r="G7" s="6" t="s">
        <v>28</v>
      </c>
      <c r="H7" s="1" t="s">
        <v>11</v>
      </c>
      <c r="I7" s="9">
        <v>17400</v>
      </c>
    </row>
    <row r="8" spans="1:11" ht="30" x14ac:dyDescent="0.25">
      <c r="A8" s="113"/>
      <c r="B8" s="111"/>
      <c r="C8" s="7" t="s">
        <v>18</v>
      </c>
      <c r="D8" s="6" t="s">
        <v>8</v>
      </c>
      <c r="E8" s="6" t="s">
        <v>9</v>
      </c>
      <c r="F8" s="6" t="s">
        <v>34</v>
      </c>
      <c r="G8" s="6" t="s">
        <v>32</v>
      </c>
      <c r="H8" s="1" t="s">
        <v>11</v>
      </c>
      <c r="I8" s="9">
        <v>22000</v>
      </c>
    </row>
    <row r="9" spans="1:11" ht="15.75" x14ac:dyDescent="0.25">
      <c r="A9" s="6">
        <v>3</v>
      </c>
      <c r="B9" s="3" t="s">
        <v>12</v>
      </c>
      <c r="C9" s="6" t="s">
        <v>39</v>
      </c>
      <c r="D9" s="6" t="s">
        <v>8</v>
      </c>
      <c r="E9" s="6" t="s">
        <v>9</v>
      </c>
      <c r="F9" s="5" t="s">
        <v>25</v>
      </c>
      <c r="G9" s="6" t="s">
        <v>44</v>
      </c>
      <c r="H9" s="1" t="s">
        <v>43</v>
      </c>
      <c r="I9" s="9">
        <v>17725</v>
      </c>
    </row>
    <row r="10" spans="1:11" ht="15.75" x14ac:dyDescent="0.25">
      <c r="A10" s="112">
        <v>4</v>
      </c>
      <c r="B10" s="110" t="s">
        <v>21</v>
      </c>
      <c r="C10" s="108" t="s">
        <v>29</v>
      </c>
      <c r="D10" s="6" t="s">
        <v>8</v>
      </c>
      <c r="E10" s="6" t="s">
        <v>9</v>
      </c>
      <c r="F10" s="6" t="s">
        <v>35</v>
      </c>
      <c r="G10" s="6" t="s">
        <v>31</v>
      </c>
      <c r="H10" s="1" t="s">
        <v>25</v>
      </c>
      <c r="I10" s="9">
        <v>21800</v>
      </c>
    </row>
    <row r="11" spans="1:11" ht="30" customHeight="1" x14ac:dyDescent="0.25">
      <c r="A11" s="113"/>
      <c r="B11" s="111"/>
      <c r="C11" s="109"/>
      <c r="D11" s="6" t="s">
        <v>8</v>
      </c>
      <c r="E11" s="6" t="s">
        <v>9</v>
      </c>
      <c r="F11" s="6" t="s">
        <v>35</v>
      </c>
      <c r="G11" s="6" t="s">
        <v>30</v>
      </c>
      <c r="H11" s="1" t="s">
        <v>25</v>
      </c>
      <c r="I11" s="9">
        <v>18000</v>
      </c>
      <c r="K11">
        <v>15413.04</v>
      </c>
    </row>
    <row r="12" spans="1:11" ht="67.5" customHeight="1" x14ac:dyDescent="0.25">
      <c r="A12" s="6">
        <v>5</v>
      </c>
      <c r="B12" s="3" t="s">
        <v>26</v>
      </c>
      <c r="C12" s="7" t="s">
        <v>37</v>
      </c>
      <c r="D12" s="6" t="s">
        <v>8</v>
      </c>
      <c r="E12" s="6" t="s">
        <v>9</v>
      </c>
      <c r="F12" s="6" t="s">
        <v>34</v>
      </c>
      <c r="G12" s="6" t="s">
        <v>38</v>
      </c>
      <c r="H12" s="2" t="s">
        <v>10</v>
      </c>
      <c r="I12" s="9">
        <v>17875</v>
      </c>
      <c r="K12">
        <f>K11*15%</f>
        <v>2311.9560000000001</v>
      </c>
    </row>
    <row r="13" spans="1:11" x14ac:dyDescent="0.25">
      <c r="K13">
        <f>K11+K12</f>
        <v>17724.995999999999</v>
      </c>
    </row>
    <row r="17" spans="2:8" ht="150" customHeight="1" x14ac:dyDescent="0.25">
      <c r="B17" s="73" t="s">
        <v>24</v>
      </c>
      <c r="C17" s="73"/>
      <c r="D17" s="73"/>
      <c r="E17" s="73"/>
      <c r="F17" s="73"/>
      <c r="G17" s="73"/>
      <c r="H17" s="73"/>
    </row>
  </sheetData>
  <mergeCells count="14">
    <mergeCell ref="H4:H5"/>
    <mergeCell ref="B3:B5"/>
    <mergeCell ref="A3:A5"/>
    <mergeCell ref="C3:H3"/>
    <mergeCell ref="B17:H17"/>
    <mergeCell ref="C10:C11"/>
    <mergeCell ref="B10:B11"/>
    <mergeCell ref="A10:A11"/>
    <mergeCell ref="B7:B8"/>
    <mergeCell ref="A7:A8"/>
    <mergeCell ref="E4:F4"/>
    <mergeCell ref="D4:D5"/>
    <mergeCell ref="C4:C5"/>
    <mergeCell ref="G4:G5"/>
  </mergeCells>
  <pageMargins left="0.7" right="0.7" top="0.75" bottom="0.75" header="0.3" footer="0.3"/>
  <pageSetup scale="9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5"/>
  <sheetViews>
    <sheetView workbookViewId="0">
      <selection activeCell="B20" sqref="B20"/>
    </sheetView>
  </sheetViews>
  <sheetFormatPr defaultRowHeight="15" x14ac:dyDescent="0.25"/>
  <cols>
    <col min="1" max="1" width="7.85546875" customWidth="1"/>
    <col min="2" max="2" width="25" customWidth="1"/>
    <col min="3" max="3" width="12.7109375" customWidth="1"/>
    <col min="4" max="4" width="12.140625" customWidth="1"/>
    <col min="5" max="5" width="12" customWidth="1"/>
    <col min="6" max="6" width="12.85546875" customWidth="1"/>
    <col min="7" max="7" width="26.5703125" customWidth="1"/>
    <col min="8" max="8" width="15.5703125" customWidth="1"/>
  </cols>
  <sheetData>
    <row r="3" spans="1:8" ht="15.75" x14ac:dyDescent="0.25">
      <c r="A3" s="116" t="s">
        <v>0</v>
      </c>
      <c r="B3" s="114" t="s">
        <v>1</v>
      </c>
      <c r="C3" s="77" t="s">
        <v>2</v>
      </c>
      <c r="D3" s="78"/>
      <c r="E3" s="78"/>
      <c r="F3" s="78"/>
      <c r="G3" s="79"/>
      <c r="H3" s="80" t="s">
        <v>6</v>
      </c>
    </row>
    <row r="4" spans="1:8" ht="15.75" x14ac:dyDescent="0.25">
      <c r="A4" s="117"/>
      <c r="B4" s="115"/>
      <c r="C4" s="8" t="s">
        <v>3</v>
      </c>
      <c r="D4" s="8" t="s">
        <v>17</v>
      </c>
      <c r="E4" s="8" t="s">
        <v>16</v>
      </c>
      <c r="F4" s="8" t="s">
        <v>4</v>
      </c>
      <c r="G4" s="8" t="s">
        <v>5</v>
      </c>
      <c r="H4" s="82"/>
    </row>
    <row r="5" spans="1:8" ht="64.5" customHeight="1" x14ac:dyDescent="0.25">
      <c r="A5" s="6">
        <v>1</v>
      </c>
      <c r="B5" s="3" t="s">
        <v>7</v>
      </c>
      <c r="C5" s="7" t="s">
        <v>15</v>
      </c>
      <c r="D5" s="6" t="s">
        <v>8</v>
      </c>
      <c r="E5" s="6" t="s">
        <v>9</v>
      </c>
      <c r="F5" s="6" t="s">
        <v>27</v>
      </c>
      <c r="G5" s="4" t="s">
        <v>10</v>
      </c>
      <c r="H5" s="9">
        <v>15000</v>
      </c>
    </row>
    <row r="6" spans="1:8" ht="30" x14ac:dyDescent="0.25">
      <c r="A6" s="6">
        <v>2</v>
      </c>
      <c r="B6" s="3" t="s">
        <v>14</v>
      </c>
      <c r="C6" s="7" t="s">
        <v>18</v>
      </c>
      <c r="D6" s="6" t="s">
        <v>8</v>
      </c>
      <c r="E6" s="6" t="s">
        <v>9</v>
      </c>
      <c r="F6" s="6" t="s">
        <v>28</v>
      </c>
      <c r="G6" s="1" t="s">
        <v>11</v>
      </c>
      <c r="H6" s="9">
        <v>16500</v>
      </c>
    </row>
    <row r="7" spans="1:8" ht="15.75" x14ac:dyDescent="0.25">
      <c r="A7" s="6">
        <v>3</v>
      </c>
      <c r="B7" s="3" t="s">
        <v>12</v>
      </c>
      <c r="C7" s="6" t="s">
        <v>19</v>
      </c>
      <c r="D7" s="10" t="s">
        <v>25</v>
      </c>
      <c r="E7" s="5" t="s">
        <v>25</v>
      </c>
      <c r="F7" s="6" t="s">
        <v>28</v>
      </c>
      <c r="G7" s="1" t="s">
        <v>25</v>
      </c>
      <c r="H7" s="9">
        <v>20200</v>
      </c>
    </row>
    <row r="8" spans="1:8" ht="30" x14ac:dyDescent="0.25">
      <c r="A8" s="6">
        <v>4</v>
      </c>
      <c r="B8" s="3" t="s">
        <v>13</v>
      </c>
      <c r="C8" s="7" t="s">
        <v>20</v>
      </c>
      <c r="D8" s="6" t="s">
        <v>8</v>
      </c>
      <c r="E8" s="6" t="s">
        <v>9</v>
      </c>
      <c r="F8" s="6" t="s">
        <v>28</v>
      </c>
      <c r="G8" s="1" t="s">
        <v>25</v>
      </c>
      <c r="H8" s="9">
        <v>17100</v>
      </c>
    </row>
    <row r="9" spans="1:8" ht="30" x14ac:dyDescent="0.25">
      <c r="A9" s="6">
        <v>5</v>
      </c>
      <c r="B9" s="3" t="s">
        <v>21</v>
      </c>
      <c r="C9" s="7" t="s">
        <v>22</v>
      </c>
      <c r="D9" s="6" t="s">
        <v>8</v>
      </c>
      <c r="E9" s="6" t="s">
        <v>9</v>
      </c>
      <c r="F9" s="6" t="s">
        <v>28</v>
      </c>
      <c r="G9" s="1" t="s">
        <v>11</v>
      </c>
      <c r="H9" s="9">
        <v>21563.37</v>
      </c>
    </row>
    <row r="10" spans="1:8" ht="60" x14ac:dyDescent="0.25">
      <c r="A10" s="6">
        <v>6</v>
      </c>
      <c r="B10" s="3" t="s">
        <v>26</v>
      </c>
      <c r="C10" s="7" t="s">
        <v>23</v>
      </c>
      <c r="D10" s="6" t="s">
        <v>8</v>
      </c>
      <c r="E10" s="6" t="s">
        <v>9</v>
      </c>
      <c r="F10" s="6" t="s">
        <v>28</v>
      </c>
      <c r="G10" s="2" t="s">
        <v>10</v>
      </c>
      <c r="H10" s="9">
        <v>16475</v>
      </c>
    </row>
    <row r="15" spans="1:8" ht="150" customHeight="1" x14ac:dyDescent="0.25">
      <c r="B15" s="73" t="s">
        <v>24</v>
      </c>
      <c r="C15" s="73"/>
      <c r="D15" s="73"/>
      <c r="E15" s="73"/>
      <c r="F15" s="73"/>
      <c r="G15" s="73"/>
    </row>
  </sheetData>
  <mergeCells count="5">
    <mergeCell ref="C3:G3"/>
    <mergeCell ref="B3:B4"/>
    <mergeCell ref="A3:A4"/>
    <mergeCell ref="H3:H4"/>
    <mergeCell ref="B15:G15"/>
  </mergeCells>
  <pageMargins left="0.7" right="0.7" top="0.75" bottom="0.75" header="0.3" footer="0.3"/>
  <pageSetup scale="9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L104"/>
  <sheetViews>
    <sheetView tabSelected="1" view="pageBreakPreview" topLeftCell="A96" zoomScale="90" zoomScaleSheetLayoutView="90" workbookViewId="0">
      <selection activeCell="J76" sqref="J76"/>
    </sheetView>
  </sheetViews>
  <sheetFormatPr defaultRowHeight="15" x14ac:dyDescent="0.25"/>
  <cols>
    <col min="1" max="1" width="2" customWidth="1"/>
    <col min="2" max="2" width="20.7109375" customWidth="1"/>
    <col min="3" max="3" width="18.85546875" customWidth="1"/>
    <col min="4" max="4" width="19.7109375" customWidth="1"/>
    <col min="5" max="5" width="12.5703125" customWidth="1"/>
    <col min="6" max="6" width="12.140625" customWidth="1"/>
    <col min="7" max="7" width="7.140625" customWidth="1"/>
    <col min="8" max="9" width="11" customWidth="1"/>
    <col min="10" max="10" width="9" customWidth="1"/>
    <col min="11" max="11" width="11.28515625" customWidth="1"/>
    <col min="12" max="12" width="7.85546875" customWidth="1"/>
  </cols>
  <sheetData>
    <row r="1" spans="1:12" x14ac:dyDescent="0.25">
      <c r="B1" s="87" t="s">
        <v>75</v>
      </c>
      <c r="C1" s="88"/>
      <c r="D1" s="91" t="s">
        <v>76</v>
      </c>
      <c r="E1" s="92"/>
      <c r="F1" s="92"/>
      <c r="G1" s="92"/>
      <c r="H1" s="93" t="s">
        <v>77</v>
      </c>
      <c r="I1" s="93"/>
      <c r="J1" s="93"/>
      <c r="K1" s="93"/>
    </row>
    <row r="2" spans="1:12" ht="15.75" x14ac:dyDescent="0.25">
      <c r="B2" s="89"/>
      <c r="C2" s="90"/>
      <c r="D2" s="92"/>
      <c r="E2" s="92"/>
      <c r="F2" s="92"/>
      <c r="G2" s="92"/>
      <c r="H2" s="94" t="s">
        <v>79</v>
      </c>
      <c r="I2" s="95"/>
      <c r="J2" s="95"/>
      <c r="K2" s="95"/>
    </row>
    <row r="3" spans="1:12" x14ac:dyDescent="0.25">
      <c r="B3" s="96"/>
      <c r="C3" s="97"/>
      <c r="D3" s="100" t="s">
        <v>80</v>
      </c>
      <c r="E3" s="101"/>
      <c r="F3" s="101"/>
      <c r="G3" s="102"/>
      <c r="H3" s="106" t="s">
        <v>78</v>
      </c>
      <c r="I3" s="107"/>
      <c r="J3" s="107"/>
      <c r="K3" s="107"/>
    </row>
    <row r="4" spans="1:12" ht="41.25" customHeight="1" x14ac:dyDescent="0.25">
      <c r="B4" s="98"/>
      <c r="C4" s="99"/>
      <c r="D4" s="103"/>
      <c r="E4" s="104"/>
      <c r="F4" s="104"/>
      <c r="G4" s="105"/>
      <c r="H4" s="95">
        <v>1</v>
      </c>
      <c r="I4" s="95"/>
      <c r="J4" s="95"/>
      <c r="K4" s="95"/>
    </row>
    <row r="7" spans="1:12" ht="15.75" x14ac:dyDescent="0.25">
      <c r="A7" s="46" t="s">
        <v>59</v>
      </c>
      <c r="B7" s="46"/>
      <c r="C7" s="46"/>
      <c r="D7" s="46"/>
    </row>
    <row r="9" spans="1:12" x14ac:dyDescent="0.25">
      <c r="A9" s="141" t="s">
        <v>0</v>
      </c>
      <c r="B9" s="135" t="s">
        <v>1</v>
      </c>
      <c r="C9" s="132" t="s">
        <v>2</v>
      </c>
      <c r="D9" s="133"/>
      <c r="E9" s="133"/>
      <c r="F9" s="133"/>
      <c r="G9" s="133"/>
      <c r="H9" s="133"/>
      <c r="I9" s="133"/>
      <c r="J9" s="133"/>
      <c r="K9" s="134"/>
      <c r="L9" s="124" t="s">
        <v>6</v>
      </c>
    </row>
    <row r="10" spans="1:12" x14ac:dyDescent="0.25">
      <c r="A10" s="142"/>
      <c r="B10" s="144"/>
      <c r="C10" s="135" t="s">
        <v>3</v>
      </c>
      <c r="D10" s="124" t="s">
        <v>17</v>
      </c>
      <c r="E10" s="132" t="s">
        <v>33</v>
      </c>
      <c r="F10" s="134"/>
      <c r="G10" s="132" t="s">
        <v>4</v>
      </c>
      <c r="H10" s="134"/>
      <c r="I10" s="124" t="s">
        <v>81</v>
      </c>
      <c r="J10" s="124" t="s">
        <v>69</v>
      </c>
      <c r="K10" s="135" t="s">
        <v>5</v>
      </c>
      <c r="L10" s="139"/>
    </row>
    <row r="11" spans="1:12" ht="24.75" customHeight="1" x14ac:dyDescent="0.25">
      <c r="A11" s="143"/>
      <c r="B11" s="136"/>
      <c r="C11" s="136"/>
      <c r="D11" s="125"/>
      <c r="E11" s="56" t="s">
        <v>41</v>
      </c>
      <c r="F11" s="56" t="s">
        <v>42</v>
      </c>
      <c r="G11" s="61" t="s">
        <v>47</v>
      </c>
      <c r="H11" s="62" t="s">
        <v>46</v>
      </c>
      <c r="I11" s="125"/>
      <c r="J11" s="125"/>
      <c r="K11" s="136"/>
      <c r="L11" s="125"/>
    </row>
    <row r="12" spans="1:12" ht="15.75" x14ac:dyDescent="0.25">
      <c r="A12" s="19">
        <v>1</v>
      </c>
      <c r="B12" s="20"/>
      <c r="C12" s="21"/>
      <c r="D12" s="19"/>
      <c r="E12" s="19"/>
      <c r="F12" s="19"/>
      <c r="G12" s="19"/>
      <c r="H12" s="19"/>
      <c r="I12" s="19"/>
      <c r="J12" s="19"/>
      <c r="K12" s="22"/>
      <c r="L12" s="23"/>
    </row>
    <row r="13" spans="1:12" ht="15.75" x14ac:dyDescent="0.25">
      <c r="A13" s="19">
        <v>2</v>
      </c>
      <c r="B13" s="20"/>
      <c r="C13" s="19"/>
      <c r="D13" s="19"/>
      <c r="E13" s="19"/>
      <c r="F13" s="25"/>
      <c r="G13" s="19"/>
      <c r="H13" s="19"/>
      <c r="I13" s="19"/>
      <c r="J13" s="19"/>
      <c r="K13" s="19"/>
      <c r="L13" s="23"/>
    </row>
    <row r="14" spans="1:12" ht="15.75" x14ac:dyDescent="0.25">
      <c r="A14" s="39">
        <v>3</v>
      </c>
      <c r="B14" s="85"/>
      <c r="C14" s="40"/>
      <c r="D14" s="41"/>
      <c r="E14" s="41"/>
      <c r="F14" s="42"/>
      <c r="G14" s="41"/>
      <c r="H14" s="41"/>
      <c r="I14" s="41"/>
      <c r="J14" s="41"/>
      <c r="K14" s="43"/>
      <c r="L14" s="44"/>
    </row>
    <row r="15" spans="1:12" ht="15.75" x14ac:dyDescent="0.25">
      <c r="A15" s="39">
        <v>4</v>
      </c>
      <c r="B15" s="86"/>
      <c r="C15" s="27"/>
      <c r="D15" s="19"/>
      <c r="E15" s="19"/>
      <c r="F15" s="25"/>
      <c r="G15" s="19"/>
      <c r="H15" s="19"/>
      <c r="I15" s="19"/>
      <c r="J15" s="19"/>
      <c r="K15" s="28"/>
      <c r="L15" s="23"/>
    </row>
    <row r="16" spans="1:12" ht="15.75" x14ac:dyDescent="0.25">
      <c r="A16" s="39">
        <v>5</v>
      </c>
      <c r="B16" s="29"/>
      <c r="C16" s="21"/>
      <c r="D16" s="19"/>
      <c r="E16" s="19"/>
      <c r="F16" s="19"/>
      <c r="G16" s="19"/>
      <c r="H16" s="19"/>
      <c r="I16" s="19"/>
      <c r="J16" s="19"/>
      <c r="K16" s="28"/>
      <c r="L16" s="23"/>
    </row>
    <row r="17" spans="1:12" ht="15.75" x14ac:dyDescent="0.25">
      <c r="A17" s="39">
        <v>6</v>
      </c>
      <c r="B17" s="29"/>
      <c r="C17" s="21"/>
      <c r="D17" s="19"/>
      <c r="E17" s="19"/>
      <c r="F17" s="19"/>
      <c r="G17" s="19"/>
      <c r="H17" s="19"/>
      <c r="I17" s="21"/>
      <c r="J17" s="24"/>
      <c r="K17" s="28"/>
      <c r="L17" s="23"/>
    </row>
    <row r="18" spans="1:12" ht="15.75" x14ac:dyDescent="0.25">
      <c r="A18" s="39">
        <v>7</v>
      </c>
      <c r="B18" s="29"/>
      <c r="C18" s="21"/>
      <c r="D18" s="19"/>
      <c r="E18" s="19"/>
      <c r="F18" s="19"/>
      <c r="G18" s="19"/>
      <c r="H18" s="19"/>
      <c r="I18" s="19"/>
      <c r="J18" s="19"/>
      <c r="K18" s="30"/>
      <c r="L18" s="23"/>
    </row>
    <row r="19" spans="1:12" ht="15.75" x14ac:dyDescent="0.25">
      <c r="A19" s="19">
        <v>8</v>
      </c>
      <c r="B19" s="20"/>
      <c r="C19" s="21"/>
      <c r="D19" s="19"/>
      <c r="E19" s="19"/>
      <c r="F19" s="19"/>
      <c r="G19" s="19"/>
      <c r="H19" s="19"/>
      <c r="I19" s="19"/>
      <c r="J19" s="19"/>
      <c r="K19" s="28"/>
      <c r="L19" s="23"/>
    </row>
    <row r="23" spans="1:12" x14ac:dyDescent="0.25">
      <c r="B23" s="45"/>
      <c r="C23" s="45"/>
      <c r="D23" s="45"/>
      <c r="E23" s="45"/>
      <c r="F23" s="45"/>
      <c r="G23" s="45"/>
      <c r="H23" s="45"/>
      <c r="I23" s="45"/>
      <c r="J23" s="45"/>
      <c r="K23" s="45"/>
    </row>
    <row r="24" spans="1:12" x14ac:dyDescent="0.25">
      <c r="B24" s="140" t="s">
        <v>82</v>
      </c>
      <c r="C24" s="140"/>
      <c r="D24" s="140"/>
      <c r="E24" s="140"/>
      <c r="F24" s="140"/>
      <c r="G24" s="140"/>
      <c r="H24" s="140"/>
      <c r="I24" s="140"/>
      <c r="J24" s="140"/>
      <c r="K24" s="140"/>
    </row>
    <row r="33" spans="1:11" x14ac:dyDescent="0.25">
      <c r="B33" s="87" t="s">
        <v>75</v>
      </c>
      <c r="C33" s="88"/>
      <c r="D33" s="91" t="s">
        <v>94</v>
      </c>
      <c r="E33" s="92"/>
      <c r="F33" s="92"/>
      <c r="G33" s="92"/>
      <c r="H33" s="93" t="s">
        <v>77</v>
      </c>
      <c r="I33" s="93"/>
      <c r="J33" s="93"/>
      <c r="K33" s="93"/>
    </row>
    <row r="34" spans="1:11" ht="45" customHeight="1" x14ac:dyDescent="0.25">
      <c r="B34" s="89"/>
      <c r="C34" s="90"/>
      <c r="D34" s="92"/>
      <c r="E34" s="92"/>
      <c r="F34" s="92"/>
      <c r="G34" s="92"/>
      <c r="H34" s="94" t="s">
        <v>79</v>
      </c>
      <c r="I34" s="95"/>
      <c r="J34" s="95"/>
      <c r="K34" s="95"/>
    </row>
    <row r="35" spans="1:11" x14ac:dyDescent="0.25">
      <c r="B35" s="96"/>
      <c r="C35" s="97"/>
      <c r="D35" s="100" t="s">
        <v>93</v>
      </c>
      <c r="E35" s="101"/>
      <c r="F35" s="101"/>
      <c r="G35" s="102"/>
      <c r="H35" s="106" t="s">
        <v>78</v>
      </c>
      <c r="I35" s="107"/>
      <c r="J35" s="107"/>
      <c r="K35" s="107"/>
    </row>
    <row r="36" spans="1:11" ht="36" customHeight="1" x14ac:dyDescent="0.25">
      <c r="B36" s="98"/>
      <c r="C36" s="99"/>
      <c r="D36" s="103"/>
      <c r="E36" s="104"/>
      <c r="F36" s="104"/>
      <c r="G36" s="105"/>
      <c r="H36" s="95">
        <v>1</v>
      </c>
      <c r="I36" s="95"/>
      <c r="J36" s="95"/>
      <c r="K36" s="95"/>
    </row>
    <row r="38" spans="1:11" ht="18.75" x14ac:dyDescent="0.3">
      <c r="A38" t="s">
        <v>83</v>
      </c>
      <c r="B38" s="59" t="s">
        <v>84</v>
      </c>
      <c r="C38" s="60"/>
      <c r="D38" s="60"/>
    </row>
    <row r="40" spans="1:11" x14ac:dyDescent="0.25">
      <c r="A40" s="130" t="s">
        <v>0</v>
      </c>
      <c r="B40" s="135" t="s">
        <v>1</v>
      </c>
      <c r="C40" s="132" t="s">
        <v>2</v>
      </c>
      <c r="D40" s="133"/>
      <c r="E40" s="133"/>
      <c r="F40" s="133"/>
      <c r="G40" s="133"/>
      <c r="H40" s="133"/>
      <c r="I40" s="133"/>
      <c r="J40" s="134"/>
      <c r="K40" s="124" t="s">
        <v>6</v>
      </c>
    </row>
    <row r="41" spans="1:11" ht="87" customHeight="1" x14ac:dyDescent="0.25">
      <c r="A41" s="131"/>
      <c r="B41" s="136"/>
      <c r="C41" s="56" t="s">
        <v>3</v>
      </c>
      <c r="D41" s="57" t="s">
        <v>85</v>
      </c>
      <c r="E41" s="57" t="s">
        <v>86</v>
      </c>
      <c r="F41" s="57" t="s">
        <v>87</v>
      </c>
      <c r="G41" s="57" t="s">
        <v>88</v>
      </c>
      <c r="H41" s="57" t="s">
        <v>89</v>
      </c>
      <c r="I41" s="57" t="s">
        <v>90</v>
      </c>
      <c r="J41" s="56" t="s">
        <v>5</v>
      </c>
      <c r="K41" s="125"/>
    </row>
    <row r="42" spans="1:11" ht="15.75" x14ac:dyDescent="0.25">
      <c r="A42" s="49">
        <v>1</v>
      </c>
      <c r="B42" s="50"/>
      <c r="C42" s="51"/>
      <c r="D42" s="49"/>
      <c r="E42" s="49"/>
      <c r="F42" s="49"/>
      <c r="G42" s="49"/>
      <c r="H42" s="49"/>
      <c r="I42" s="49"/>
      <c r="J42" s="52"/>
      <c r="K42" s="53"/>
    </row>
    <row r="43" spans="1:11" ht="15.75" x14ac:dyDescent="0.25">
      <c r="A43" s="49">
        <v>2</v>
      </c>
      <c r="B43" s="58"/>
      <c r="C43" s="54"/>
      <c r="D43" s="49"/>
      <c r="E43" s="49"/>
      <c r="F43" s="49"/>
      <c r="G43" s="49"/>
      <c r="H43" s="49"/>
      <c r="I43" s="49"/>
      <c r="J43" s="54"/>
      <c r="K43" s="53"/>
    </row>
    <row r="44" spans="1:11" ht="15.75" x14ac:dyDescent="0.25">
      <c r="A44" s="49">
        <v>3</v>
      </c>
      <c r="B44" s="50"/>
      <c r="C44" s="51"/>
      <c r="D44" s="49"/>
      <c r="E44" s="49"/>
      <c r="F44" s="49"/>
      <c r="G44" s="49"/>
      <c r="H44" s="49"/>
      <c r="I44" s="49"/>
      <c r="J44" s="52"/>
      <c r="K44" s="53"/>
    </row>
    <row r="45" spans="1:11" ht="15.75" x14ac:dyDescent="0.25">
      <c r="A45" s="49">
        <v>4</v>
      </c>
      <c r="B45" s="50"/>
      <c r="C45" s="54"/>
      <c r="D45" s="49"/>
      <c r="E45" s="49"/>
      <c r="F45" s="49"/>
      <c r="G45" s="51"/>
      <c r="H45" s="51"/>
      <c r="I45" s="51"/>
      <c r="J45" s="55"/>
      <c r="K45" s="53"/>
    </row>
    <row r="46" spans="1:11" x14ac:dyDescent="0.25">
      <c r="A46" s="1">
        <v>5</v>
      </c>
      <c r="B46" s="1"/>
      <c r="C46" s="1"/>
      <c r="D46" s="1"/>
      <c r="E46" s="1"/>
      <c r="F46" s="1"/>
      <c r="G46" s="1"/>
      <c r="H46" s="1"/>
      <c r="I46" s="1"/>
      <c r="J46" s="1"/>
      <c r="K46" s="1"/>
    </row>
    <row r="47" spans="1:11" x14ac:dyDescent="0.25">
      <c r="A47" s="1">
        <v>6</v>
      </c>
      <c r="B47" s="1"/>
      <c r="C47" s="1"/>
      <c r="D47" s="1"/>
      <c r="E47" s="1"/>
      <c r="F47" s="1"/>
      <c r="G47" s="1"/>
      <c r="H47" s="1"/>
      <c r="I47" s="1"/>
      <c r="J47" s="1"/>
      <c r="K47" s="1"/>
    </row>
    <row r="49" spans="2:11" x14ac:dyDescent="0.25">
      <c r="C49" s="137" t="s">
        <v>92</v>
      </c>
      <c r="D49" s="138"/>
      <c r="E49" s="138"/>
      <c r="F49" s="138"/>
      <c r="G49" s="138"/>
      <c r="H49" s="138"/>
      <c r="I49" s="138"/>
      <c r="J49" s="138"/>
    </row>
    <row r="50" spans="2:11" x14ac:dyDescent="0.25">
      <c r="C50" s="138"/>
      <c r="D50" s="138"/>
      <c r="E50" s="138"/>
      <c r="F50" s="138"/>
      <c r="G50" s="138"/>
      <c r="H50" s="138"/>
      <c r="I50" s="138"/>
      <c r="J50" s="138"/>
    </row>
    <row r="51" spans="2:11" x14ac:dyDescent="0.25">
      <c r="C51" s="138"/>
      <c r="D51" s="138"/>
      <c r="E51" s="138"/>
      <c r="F51" s="138"/>
      <c r="G51" s="138"/>
      <c r="H51" s="138"/>
      <c r="I51" s="138"/>
      <c r="J51" s="138"/>
    </row>
    <row r="52" spans="2:11" x14ac:dyDescent="0.25">
      <c r="C52" s="138"/>
      <c r="D52" s="138"/>
      <c r="E52" s="138"/>
      <c r="F52" s="138"/>
      <c r="G52" s="138"/>
      <c r="H52" s="138"/>
      <c r="I52" s="138"/>
      <c r="J52" s="138"/>
    </row>
    <row r="53" spans="2:11" x14ac:dyDescent="0.25">
      <c r="C53" s="138"/>
      <c r="D53" s="138"/>
      <c r="E53" s="138"/>
      <c r="F53" s="138"/>
      <c r="G53" s="138"/>
      <c r="H53" s="138"/>
      <c r="I53" s="138"/>
      <c r="J53" s="138"/>
    </row>
    <row r="54" spans="2:11" x14ac:dyDescent="0.25">
      <c r="C54" s="138"/>
      <c r="D54" s="138"/>
      <c r="E54" s="138"/>
      <c r="F54" s="138"/>
      <c r="G54" s="138"/>
      <c r="H54" s="138"/>
      <c r="I54" s="138"/>
      <c r="J54" s="138"/>
    </row>
    <row r="55" spans="2:11" x14ac:dyDescent="0.25">
      <c r="C55" s="138"/>
      <c r="D55" s="138"/>
      <c r="E55" s="138"/>
      <c r="F55" s="138"/>
      <c r="G55" s="138"/>
      <c r="H55" s="138"/>
      <c r="I55" s="138"/>
      <c r="J55" s="138"/>
    </row>
    <row r="56" spans="2:11" x14ac:dyDescent="0.25">
      <c r="C56" s="138"/>
      <c r="D56" s="138"/>
      <c r="E56" s="138"/>
      <c r="F56" s="138"/>
      <c r="G56" s="138"/>
      <c r="H56" s="138"/>
      <c r="I56" s="138"/>
      <c r="J56" s="138"/>
    </row>
    <row r="62" spans="2:11" x14ac:dyDescent="0.25">
      <c r="B62" s="87" t="s">
        <v>75</v>
      </c>
      <c r="C62" s="88"/>
      <c r="D62" s="91" t="s">
        <v>94</v>
      </c>
      <c r="E62" s="92"/>
      <c r="F62" s="92"/>
      <c r="G62" s="92"/>
      <c r="H62" s="93" t="s">
        <v>77</v>
      </c>
      <c r="I62" s="93"/>
      <c r="J62" s="93"/>
      <c r="K62" s="93"/>
    </row>
    <row r="63" spans="2:11" ht="46.5" customHeight="1" x14ac:dyDescent="0.25">
      <c r="B63" s="89"/>
      <c r="C63" s="90"/>
      <c r="D63" s="92"/>
      <c r="E63" s="92"/>
      <c r="F63" s="92"/>
      <c r="G63" s="92"/>
      <c r="H63" s="94" t="s">
        <v>79</v>
      </c>
      <c r="I63" s="95"/>
      <c r="J63" s="95"/>
      <c r="K63" s="95"/>
    </row>
    <row r="64" spans="2:11" x14ac:dyDescent="0.25">
      <c r="B64" s="96"/>
      <c r="C64" s="97"/>
      <c r="D64" s="100" t="s">
        <v>111</v>
      </c>
      <c r="E64" s="101"/>
      <c r="F64" s="101"/>
      <c r="G64" s="102"/>
      <c r="H64" s="106" t="s">
        <v>78</v>
      </c>
      <c r="I64" s="107"/>
      <c r="J64" s="107"/>
      <c r="K64" s="107"/>
    </row>
    <row r="65" spans="2:11" ht="33" customHeight="1" x14ac:dyDescent="0.25">
      <c r="B65" s="98"/>
      <c r="C65" s="99"/>
      <c r="D65" s="103"/>
      <c r="E65" s="104"/>
      <c r="F65" s="104"/>
      <c r="G65" s="105"/>
      <c r="H65" s="95">
        <v>1</v>
      </c>
      <c r="I65" s="95"/>
      <c r="J65" s="95"/>
      <c r="K65" s="95"/>
    </row>
    <row r="67" spans="2:11" ht="28.5" customHeight="1" x14ac:dyDescent="0.25">
      <c r="B67" s="130" t="s">
        <v>0</v>
      </c>
      <c r="C67" s="124" t="s">
        <v>1</v>
      </c>
      <c r="D67" s="132" t="s">
        <v>2</v>
      </c>
      <c r="E67" s="133"/>
      <c r="F67" s="133"/>
      <c r="G67" s="133"/>
      <c r="H67" s="134"/>
      <c r="I67" s="124" t="s">
        <v>6</v>
      </c>
    </row>
    <row r="68" spans="2:11" ht="56.25" customHeight="1" x14ac:dyDescent="0.25">
      <c r="B68" s="131"/>
      <c r="C68" s="125"/>
      <c r="D68" s="56" t="s">
        <v>3</v>
      </c>
      <c r="E68" s="57" t="s">
        <v>85</v>
      </c>
      <c r="F68" s="57" t="s">
        <v>95</v>
      </c>
      <c r="G68" s="57" t="s">
        <v>96</v>
      </c>
      <c r="H68" s="56" t="s">
        <v>5</v>
      </c>
      <c r="I68" s="125"/>
    </row>
    <row r="69" spans="2:11" ht="15.75" x14ac:dyDescent="0.25">
      <c r="B69" s="126"/>
      <c r="C69" s="128"/>
      <c r="D69" s="54"/>
      <c r="E69" s="49"/>
      <c r="F69" s="49"/>
      <c r="G69" s="51"/>
      <c r="H69" s="54"/>
      <c r="I69" s="53"/>
    </row>
    <row r="70" spans="2:11" ht="15.75" x14ac:dyDescent="0.25">
      <c r="B70" s="127"/>
      <c r="C70" s="129"/>
      <c r="D70" s="54"/>
      <c r="E70" s="49"/>
      <c r="F70" s="49"/>
      <c r="G70" s="49"/>
      <c r="H70" s="54"/>
      <c r="I70" s="53"/>
    </row>
    <row r="71" spans="2:11" ht="15.75" x14ac:dyDescent="0.25">
      <c r="B71" s="49"/>
      <c r="C71" s="50"/>
      <c r="D71" s="51"/>
      <c r="E71" s="49"/>
      <c r="F71" s="49"/>
      <c r="G71" s="49"/>
      <c r="H71" s="52"/>
      <c r="I71" s="53"/>
    </row>
    <row r="72" spans="2:11" ht="15.75" x14ac:dyDescent="0.25">
      <c r="B72" s="49"/>
      <c r="C72" s="50"/>
      <c r="D72" s="51"/>
      <c r="E72" s="49"/>
      <c r="F72" s="49"/>
      <c r="G72" s="51"/>
      <c r="H72" s="52"/>
      <c r="I72" s="53"/>
    </row>
    <row r="73" spans="2:11" ht="15.75" x14ac:dyDescent="0.25">
      <c r="B73" s="49"/>
      <c r="C73" s="50"/>
      <c r="D73" s="54"/>
      <c r="E73" s="49"/>
      <c r="F73" s="49"/>
      <c r="G73" s="51"/>
      <c r="H73" s="55"/>
      <c r="I73" s="53"/>
    </row>
    <row r="87" spans="1:10" x14ac:dyDescent="0.25">
      <c r="A87" s="87" t="s">
        <v>75</v>
      </c>
      <c r="B87" s="88"/>
      <c r="C87" s="91" t="s">
        <v>94</v>
      </c>
      <c r="D87" s="92"/>
      <c r="E87" s="92"/>
      <c r="F87" s="92"/>
      <c r="G87" s="93" t="s">
        <v>77</v>
      </c>
      <c r="H87" s="93"/>
      <c r="I87" s="93"/>
      <c r="J87" s="93"/>
    </row>
    <row r="88" spans="1:10" ht="48" customHeight="1" x14ac:dyDescent="0.25">
      <c r="A88" s="89"/>
      <c r="B88" s="90"/>
      <c r="C88" s="92"/>
      <c r="D88" s="92"/>
      <c r="E88" s="92"/>
      <c r="F88" s="92"/>
      <c r="G88" s="94" t="s">
        <v>79</v>
      </c>
      <c r="H88" s="95"/>
      <c r="I88" s="95"/>
      <c r="J88" s="95"/>
    </row>
    <row r="89" spans="1:10" ht="15" customHeight="1" x14ac:dyDescent="0.25">
      <c r="A89" s="96"/>
      <c r="B89" s="97"/>
      <c r="C89" s="100" t="s">
        <v>112</v>
      </c>
      <c r="D89" s="118"/>
      <c r="E89" s="118"/>
      <c r="F89" s="119"/>
      <c r="G89" s="106" t="s">
        <v>78</v>
      </c>
      <c r="H89" s="107"/>
      <c r="I89" s="107"/>
      <c r="J89" s="107"/>
    </row>
    <row r="90" spans="1:10" ht="35.25" customHeight="1" x14ac:dyDescent="0.25">
      <c r="A90" s="98"/>
      <c r="B90" s="99"/>
      <c r="C90" s="120"/>
      <c r="D90" s="121"/>
      <c r="E90" s="121"/>
      <c r="F90" s="122"/>
      <c r="G90" s="95">
        <v>1</v>
      </c>
      <c r="H90" s="95"/>
      <c r="I90" s="95"/>
      <c r="J90" s="95"/>
    </row>
    <row r="91" spans="1:10" ht="15.75" customHeight="1" x14ac:dyDescent="0.25"/>
    <row r="92" spans="1:10" ht="48" customHeight="1" x14ac:dyDescent="0.25">
      <c r="C92" s="64" t="s">
        <v>0</v>
      </c>
      <c r="D92" s="65" t="s">
        <v>1</v>
      </c>
      <c r="E92" s="72" t="s">
        <v>2</v>
      </c>
      <c r="F92" s="66" t="s">
        <v>6</v>
      </c>
    </row>
    <row r="93" spans="1:10" ht="16.5" customHeight="1" x14ac:dyDescent="0.25">
      <c r="C93" s="67"/>
      <c r="D93" s="68"/>
      <c r="E93" s="48" t="s">
        <v>3</v>
      </c>
      <c r="F93" s="69"/>
    </row>
    <row r="94" spans="1:10" ht="15.75" x14ac:dyDescent="0.25">
      <c r="C94" s="49">
        <v>1</v>
      </c>
      <c r="D94" s="50"/>
      <c r="E94" s="51"/>
      <c r="F94" s="70"/>
    </row>
    <row r="95" spans="1:10" ht="15.75" x14ac:dyDescent="0.25">
      <c r="C95" s="71">
        <v>2</v>
      </c>
      <c r="D95" s="71"/>
      <c r="E95" s="51"/>
      <c r="F95" s="70"/>
    </row>
    <row r="96" spans="1:10" ht="15.75" x14ac:dyDescent="0.25">
      <c r="C96" s="49">
        <v>3</v>
      </c>
      <c r="D96" s="50"/>
      <c r="E96" s="51"/>
      <c r="F96" s="70"/>
    </row>
    <row r="97" spans="2:8" ht="15.75" x14ac:dyDescent="0.25">
      <c r="C97" s="71">
        <v>4</v>
      </c>
      <c r="D97" s="71"/>
      <c r="E97" s="51"/>
      <c r="F97" s="70"/>
    </row>
    <row r="98" spans="2:8" ht="15.75" x14ac:dyDescent="0.25">
      <c r="C98" s="49">
        <v>5</v>
      </c>
      <c r="D98" s="50"/>
      <c r="E98" s="51"/>
      <c r="F98" s="53"/>
    </row>
    <row r="102" spans="2:8" ht="15" customHeight="1" x14ac:dyDescent="0.25"/>
    <row r="103" spans="2:8" x14ac:dyDescent="0.25">
      <c r="B103" s="63"/>
      <c r="C103" s="123" t="s">
        <v>113</v>
      </c>
      <c r="D103" s="123"/>
      <c r="E103" s="123"/>
      <c r="F103" s="123"/>
      <c r="G103" s="60"/>
      <c r="H103" s="60"/>
    </row>
    <row r="104" spans="2:8" x14ac:dyDescent="0.25">
      <c r="C104" s="60"/>
      <c r="D104" s="60"/>
      <c r="E104" s="60"/>
      <c r="F104" s="60"/>
      <c r="G104" s="60"/>
      <c r="H104" s="60"/>
    </row>
  </sheetData>
  <mergeCells count="57">
    <mergeCell ref="B14:B15"/>
    <mergeCell ref="B24:K24"/>
    <mergeCell ref="A9:A11"/>
    <mergeCell ref="B9:B11"/>
    <mergeCell ref="C9:K9"/>
    <mergeCell ref="L9:L11"/>
    <mergeCell ref="C10:C11"/>
    <mergeCell ref="D10:D11"/>
    <mergeCell ref="E10:F10"/>
    <mergeCell ref="G10:H10"/>
    <mergeCell ref="I10:I11"/>
    <mergeCell ref="J10:J11"/>
    <mergeCell ref="K10:K11"/>
    <mergeCell ref="B1:C2"/>
    <mergeCell ref="D1:G2"/>
    <mergeCell ref="H1:K1"/>
    <mergeCell ref="H2:K2"/>
    <mergeCell ref="B3:C4"/>
    <mergeCell ref="D3:G4"/>
    <mergeCell ref="H3:K3"/>
    <mergeCell ref="H4:K4"/>
    <mergeCell ref="A40:A41"/>
    <mergeCell ref="B40:B41"/>
    <mergeCell ref="C40:J40"/>
    <mergeCell ref="K40:K41"/>
    <mergeCell ref="C49:J56"/>
    <mergeCell ref="B33:C34"/>
    <mergeCell ref="D33:G34"/>
    <mergeCell ref="H33:K33"/>
    <mergeCell ref="H34:K34"/>
    <mergeCell ref="B35:C36"/>
    <mergeCell ref="D35:G36"/>
    <mergeCell ref="H35:K35"/>
    <mergeCell ref="H36:K36"/>
    <mergeCell ref="C103:F103"/>
    <mergeCell ref="I67:I68"/>
    <mergeCell ref="B69:B70"/>
    <mergeCell ref="C69:C70"/>
    <mergeCell ref="B62:C63"/>
    <mergeCell ref="D62:G63"/>
    <mergeCell ref="H62:K62"/>
    <mergeCell ref="H63:K63"/>
    <mergeCell ref="B64:C65"/>
    <mergeCell ref="D64:G65"/>
    <mergeCell ref="H64:K64"/>
    <mergeCell ref="H65:K65"/>
    <mergeCell ref="B67:B68"/>
    <mergeCell ref="C67:C68"/>
    <mergeCell ref="D67:H67"/>
    <mergeCell ref="A87:B88"/>
    <mergeCell ref="C87:F88"/>
    <mergeCell ref="G87:J87"/>
    <mergeCell ref="G88:J88"/>
    <mergeCell ref="A89:B90"/>
    <mergeCell ref="C89:F90"/>
    <mergeCell ref="G89:J89"/>
    <mergeCell ref="G90:J90"/>
  </mergeCells>
  <pageMargins left="0" right="0" top="0.75" bottom="0.75" header="0.3" footer="0.3"/>
  <pageSetup scale="95" orientation="landscape" r:id="rId1"/>
  <drawing r:id="rId2"/>
  <legacyDrawing r:id="rId3"/>
  <oleObjects>
    <mc:AlternateContent xmlns:mc="http://schemas.openxmlformats.org/markup-compatibility/2006">
      <mc:Choice Requires="x14">
        <oleObject progId="PBrush" shapeId="2049" r:id="rId4">
          <objectPr defaultSize="0" autoPict="0" r:id="rId5">
            <anchor moveWithCells="1" sizeWithCells="1">
              <from>
                <xdr:col>1</xdr:col>
                <xdr:colOff>314325</xdr:colOff>
                <xdr:row>2</xdr:row>
                <xdr:rowOff>19050</xdr:rowOff>
              </from>
              <to>
                <xdr:col>2</xdr:col>
                <xdr:colOff>438150</xdr:colOff>
                <xdr:row>3</xdr:row>
                <xdr:rowOff>495300</xdr:rowOff>
              </to>
            </anchor>
          </objectPr>
        </oleObject>
      </mc:Choice>
      <mc:Fallback>
        <oleObject progId="PBrush" shapeId="2049" r:id="rId4"/>
      </mc:Fallback>
    </mc:AlternateContent>
    <mc:AlternateContent xmlns:mc="http://schemas.openxmlformats.org/markup-compatibility/2006">
      <mc:Choice Requires="x14">
        <oleObject progId="PBrush" shapeId="2050" r:id="rId6">
          <objectPr defaultSize="0" autoPict="0" r:id="rId5">
            <anchor moveWithCells="1" sizeWithCells="1">
              <from>
                <xdr:col>1</xdr:col>
                <xdr:colOff>314325</xdr:colOff>
                <xdr:row>34</xdr:row>
                <xdr:rowOff>19050</xdr:rowOff>
              </from>
              <to>
                <xdr:col>2</xdr:col>
                <xdr:colOff>619125</xdr:colOff>
                <xdr:row>36</xdr:row>
                <xdr:rowOff>0</xdr:rowOff>
              </to>
            </anchor>
          </objectPr>
        </oleObject>
      </mc:Choice>
      <mc:Fallback>
        <oleObject progId="PBrush" shapeId="2050" r:id="rId6"/>
      </mc:Fallback>
    </mc:AlternateContent>
    <mc:AlternateContent xmlns:mc="http://schemas.openxmlformats.org/markup-compatibility/2006">
      <mc:Choice Requires="x14">
        <oleObject progId="PBrush" shapeId="2051" r:id="rId7">
          <objectPr defaultSize="0" autoPict="0" r:id="rId5">
            <anchor moveWithCells="1" sizeWithCells="1">
              <from>
                <xdr:col>1</xdr:col>
                <xdr:colOff>314325</xdr:colOff>
                <xdr:row>63</xdr:row>
                <xdr:rowOff>19050</xdr:rowOff>
              </from>
              <to>
                <xdr:col>2</xdr:col>
                <xdr:colOff>714375</xdr:colOff>
                <xdr:row>65</xdr:row>
                <xdr:rowOff>0</xdr:rowOff>
              </to>
            </anchor>
          </objectPr>
        </oleObject>
      </mc:Choice>
      <mc:Fallback>
        <oleObject progId="PBrush" shapeId="2051" r:id="rId7"/>
      </mc:Fallback>
    </mc:AlternateContent>
    <mc:AlternateContent xmlns:mc="http://schemas.openxmlformats.org/markup-compatibility/2006">
      <mc:Choice Requires="x14">
        <oleObject progId="PBrush" shapeId="2052" r:id="rId8">
          <objectPr defaultSize="0" autoPict="0" r:id="rId5">
            <anchor moveWithCells="1" sizeWithCells="1">
              <from>
                <xdr:col>1</xdr:col>
                <xdr:colOff>142875</xdr:colOff>
                <xdr:row>88</xdr:row>
                <xdr:rowOff>19050</xdr:rowOff>
              </from>
              <to>
                <xdr:col>1</xdr:col>
                <xdr:colOff>1057275</xdr:colOff>
                <xdr:row>90</xdr:row>
                <xdr:rowOff>0</xdr:rowOff>
              </to>
            </anchor>
          </objectPr>
        </oleObject>
      </mc:Choice>
      <mc:Fallback>
        <oleObject progId="PBrush" shapeId="2052" r:id="rId8"/>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4:H90"/>
  <sheetViews>
    <sheetView workbookViewId="0">
      <selection sqref="A1:H1048576"/>
    </sheetView>
  </sheetViews>
  <sheetFormatPr defaultRowHeight="15" x14ac:dyDescent="0.25"/>
  <cols>
    <col min="1" max="1" width="18.5703125" customWidth="1"/>
    <col min="2" max="3" width="15.140625" customWidth="1"/>
    <col min="4" max="4" width="16" customWidth="1"/>
    <col min="5" max="5" width="14.85546875" customWidth="1"/>
    <col min="6" max="6" width="11.140625" customWidth="1"/>
    <col min="7" max="7" width="12.7109375" customWidth="1"/>
  </cols>
  <sheetData>
    <row r="84" spans="1:8" ht="15.75" x14ac:dyDescent="0.25">
      <c r="A84" s="116" t="s">
        <v>0</v>
      </c>
      <c r="B84" s="114" t="s">
        <v>1</v>
      </c>
      <c r="C84" s="77" t="s">
        <v>2</v>
      </c>
      <c r="D84" s="78"/>
      <c r="E84" s="78"/>
      <c r="F84" s="78"/>
      <c r="G84" s="79"/>
      <c r="H84" s="80" t="s">
        <v>6</v>
      </c>
    </row>
    <row r="85" spans="1:8" ht="63" x14ac:dyDescent="0.25">
      <c r="A85" s="117"/>
      <c r="B85" s="115"/>
      <c r="C85" s="8" t="s">
        <v>3</v>
      </c>
      <c r="D85" s="47" t="s">
        <v>85</v>
      </c>
      <c r="E85" s="47" t="s">
        <v>95</v>
      </c>
      <c r="F85" s="47" t="s">
        <v>96</v>
      </c>
      <c r="G85" s="8" t="s">
        <v>5</v>
      </c>
      <c r="H85" s="82"/>
    </row>
    <row r="86" spans="1:8" ht="90" x14ac:dyDescent="0.25">
      <c r="A86" s="112">
        <v>1</v>
      </c>
      <c r="B86" s="108" t="s">
        <v>7</v>
      </c>
      <c r="C86" s="4" t="s">
        <v>97</v>
      </c>
      <c r="D86" s="6" t="s">
        <v>98</v>
      </c>
      <c r="E86" s="6" t="s">
        <v>99</v>
      </c>
      <c r="F86" s="7" t="s">
        <v>100</v>
      </c>
      <c r="G86" s="4"/>
      <c r="H86" s="9">
        <v>10500</v>
      </c>
    </row>
    <row r="87" spans="1:8" ht="30" x14ac:dyDescent="0.25">
      <c r="A87" s="113"/>
      <c r="B87" s="109"/>
      <c r="C87" s="4" t="s">
        <v>101</v>
      </c>
      <c r="D87" s="6"/>
      <c r="E87" s="6"/>
      <c r="F87" s="6"/>
      <c r="G87" s="4"/>
      <c r="H87" s="9">
        <v>72000</v>
      </c>
    </row>
    <row r="88" spans="1:8" ht="30" x14ac:dyDescent="0.25">
      <c r="A88" s="6">
        <v>2</v>
      </c>
      <c r="B88" s="3" t="s">
        <v>14</v>
      </c>
      <c r="C88" s="7" t="s">
        <v>102</v>
      </c>
      <c r="D88" s="6"/>
      <c r="E88" s="6"/>
      <c r="F88" s="6"/>
      <c r="G88" s="1"/>
      <c r="H88" s="9">
        <v>11000</v>
      </c>
    </row>
    <row r="89" spans="1:8" ht="90" x14ac:dyDescent="0.25">
      <c r="A89" s="6">
        <v>3</v>
      </c>
      <c r="B89" s="3" t="s">
        <v>13</v>
      </c>
      <c r="C89" s="7" t="s">
        <v>103</v>
      </c>
      <c r="D89" s="6" t="s">
        <v>104</v>
      </c>
      <c r="E89" s="6" t="s">
        <v>105</v>
      </c>
      <c r="F89" s="7" t="s">
        <v>106</v>
      </c>
      <c r="G89" s="1" t="s">
        <v>107</v>
      </c>
      <c r="H89" s="9">
        <v>9800</v>
      </c>
    </row>
    <row r="90" spans="1:8" ht="105" x14ac:dyDescent="0.25">
      <c r="A90" s="6">
        <v>4</v>
      </c>
      <c r="B90" s="3" t="s">
        <v>21</v>
      </c>
      <c r="C90" s="4" t="s">
        <v>101</v>
      </c>
      <c r="D90" s="6" t="s">
        <v>91</v>
      </c>
      <c r="E90" s="6" t="s">
        <v>108</v>
      </c>
      <c r="F90" s="7" t="s">
        <v>109</v>
      </c>
      <c r="G90" s="2" t="s">
        <v>110</v>
      </c>
      <c r="H90" s="9">
        <v>85000</v>
      </c>
    </row>
  </sheetData>
  <mergeCells count="6">
    <mergeCell ref="A84:A85"/>
    <mergeCell ref="B84:B85"/>
    <mergeCell ref="C84:G84"/>
    <mergeCell ref="H84:H85"/>
    <mergeCell ref="A86:A87"/>
    <mergeCell ref="B86:B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D7"/>
    </sheetView>
  </sheetViews>
  <sheetFormatPr defaultRowHeight="15" x14ac:dyDescent="0.25"/>
  <cols>
    <col min="2" max="2" width="17.42578125" customWidth="1"/>
    <col min="3" max="3" width="20.42578125" customWidth="1"/>
    <col min="4" max="4" width="18.42578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 (5)</vt:lpstr>
      <vt:lpstr>Sheet1 (4)</vt:lpstr>
      <vt:lpstr>Sheet1 (3)</vt:lpstr>
      <vt:lpstr>Sheet1 (2)</vt:lpstr>
      <vt:lpstr>Sheet1</vt:lpstr>
      <vt:lpstr>Sheet2</vt:lpstr>
      <vt:lpstr>Sheet3</vt:lpstr>
      <vt:lpstr>Lap top Computer Specifcation</vt:lpstr>
      <vt:lpstr>Sheet4</vt:lpstr>
      <vt:lpstr>Sheet5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cp:lastPrinted>2019-08-06T07:39:51Z</cp:lastPrinted>
  <dcterms:created xsi:type="dcterms:W3CDTF">2017-11-20T06:22:08Z</dcterms:created>
  <dcterms:modified xsi:type="dcterms:W3CDTF">2019-11-14T08:22:58Z</dcterms:modified>
</cp:coreProperties>
</file>